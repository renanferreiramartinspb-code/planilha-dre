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mparação mensal" sheetId="2" state="visible" r:id="rId2"/>
    <sheet name="Por fornecedor" sheetId="3" state="visible" r:id="rId3"/>
    <sheet name="Base" sheetId="4" state="visible" r:id="rId4"/>
    <sheet name="Premissas" sheetId="5" state="visible" r:id="rId5"/>
    <sheet name="Fora do escopo" sheetId="6" state="visible" r:id="rId6"/>
  </sheets>
  <definedNames>
    <definedName name="_xlnm._FilterDatabase" localSheetId="2" hidden="1">'Por fornecedor'!$A$4:$M$155</definedName>
    <definedName name="_xlnm._FilterDatabase" localSheetId="3" hidden="1">'Base'!$A$1:$P$4835</definedName>
    <definedName name="_xlnm._FilterDatabase" localSheetId="5" hidden="1">'Fora do escopo'!$A$1:$M$176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mmm/yy"/>
    <numFmt numFmtId="165" formatCode="#,##0.00;[Red]-#,##0.00"/>
    <numFmt numFmtId="166" formatCode="0.0%"/>
    <numFmt numFmtId="167" formatCode="dd/mm/yyyy"/>
    <numFmt numFmtId="168" formatCode="yyyy-mm-dd h:mm:ss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FF"/>
    </font>
    <font>
      <b val="1"/>
      <sz val="14"/>
    </font>
    <font/>
    <font>
      <b val="1"/>
      <color rgb="00000000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164" fontId="2" fillId="2" borderId="0" pivotButton="0" quotePrefix="0" xfId="0"/>
    <xf numFmtId="0" fontId="5" fillId="0" borderId="0" pivotButton="0" quotePrefix="0" xfId="0"/>
    <xf numFmtId="165" fontId="3" fillId="3" borderId="0" pivotButton="0" quotePrefix="0" xfId="0"/>
    <xf numFmtId="165" fontId="5" fillId="0" borderId="0" pivotButton="0" quotePrefix="0" xfId="0"/>
    <xf numFmtId="0" fontId="1" fillId="0" borderId="0" pivotButton="0" quotePrefix="0" xfId="0"/>
    <xf numFmtId="165" fontId="6" fillId="0" borderId="0" pivotButton="0" quotePrefix="0" xfId="0"/>
    <xf numFmtId="165" fontId="1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0" fontId="2" fillId="2" borderId="0" applyAlignment="1" pivotButton="0" quotePrefix="0" xfId="0">
      <alignment wrapText="1"/>
    </xf>
    <xf numFmtId="167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2" fillId="2" borderId="0" pivotButton="0" quotePrefix="0" xfId="0"/>
    <xf numFmtId="165" fontId="3" fillId="3" borderId="0" pivotButton="0" quotePrefix="0" xfId="0"/>
    <xf numFmtId="165" fontId="5" fillId="0" borderId="0" pivotButton="0" quotePrefix="0" xfId="0"/>
    <xf numFmtId="165" fontId="6" fillId="0" borderId="0" pivotButton="0" quotePrefix="0" xfId="0"/>
    <xf numFmtId="165" fontId="1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4" fontId="0" fillId="0" borderId="0" pivotButton="0" quotePrefix="0" xfId="0"/>
    <xf numFmtId="4" fontId="1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2">
    <dxf>
      <font>
        <b val="1"/>
        <color rgb="00C00000"/>
      </font>
    </dxf>
    <dxf>
      <font>
        <b val="1"/>
        <color rgb="0054823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Despesas 2026 – almoxarifado (insumos, papel, uso e consumo, frete de compra) e frete de venda – VINCO</t>
        </is>
      </c>
    </row>
    <row r="2">
      <c r="A2" t="inlineStr">
        <is>
          <t>R$, por mês de emissão. Custo líquido = valor bruto menos créditos de impostos recuperáveis (regras na aba Premissas). Só o efetivamente pago (NF-e com título a pagar + CT-e); sem remessa de compra, devolução, transferência, x.949, x.922 e aluguel de contêiner.</t>
        </is>
      </c>
    </row>
    <row r="4">
      <c r="A4" s="2" t="inlineStr">
        <is>
          <t>Destino / Categoria</t>
        </is>
      </c>
      <c r="B4" s="17" t="n">
        <v>46023</v>
      </c>
      <c r="C4" s="17" t="n">
        <v>46054</v>
      </c>
      <c r="D4" s="17" t="n">
        <v>46082</v>
      </c>
      <c r="E4" s="17" t="n">
        <v>46113</v>
      </c>
      <c r="F4" s="17" t="n">
        <v>46143</v>
      </c>
      <c r="G4" s="17" t="n">
        <v>46174</v>
      </c>
      <c r="H4" s="17" t="n">
        <v>46204</v>
      </c>
      <c r="I4" s="17" t="n">
        <v>46235</v>
      </c>
      <c r="J4" s="17" t="n">
        <v>46266</v>
      </c>
      <c r="K4" s="2" t="inlineStr">
        <is>
          <t>Total 2026</t>
        </is>
      </c>
      <c r="L4" s="2" t="inlineStr">
        <is>
          <t>Memo: antes de 2026</t>
        </is>
      </c>
    </row>
    <row r="5">
      <c r="A5" s="7" t="inlineStr">
        <is>
          <t>Insumos e papel</t>
        </is>
      </c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</row>
    <row r="6">
      <c r="A6" s="4" t="inlineStr">
        <is>
          <t xml:space="preserve">   2.01.03 Compra de Matéria Prima (Papel)</t>
        </is>
      </c>
      <c r="B6" s="28">
        <f>SUMIFS(Base!$N$2:$N$4835,Base!$B$2:$B$4835,"Insumos e papel",Base!$C$2:$C$4835,"2.01.03 Compra de Matéria Prima (Papel)",Base!$A$2:$A$4835,B$4)</f>
        <v/>
      </c>
      <c r="C6" s="28">
        <f>SUMIFS(Base!$N$2:$N$4835,Base!$B$2:$B$4835,"Insumos e papel",Base!$C$2:$C$4835,"2.01.03 Compra de Matéria Prima (Papel)",Base!$A$2:$A$4835,C$4)</f>
        <v/>
      </c>
      <c r="D6" s="28">
        <f>SUMIFS(Base!$N$2:$N$4835,Base!$B$2:$B$4835,"Insumos e papel",Base!$C$2:$C$4835,"2.01.03 Compra de Matéria Prima (Papel)",Base!$A$2:$A$4835,D$4)</f>
        <v/>
      </c>
      <c r="E6" s="28">
        <f>SUMIFS(Base!$N$2:$N$4835,Base!$B$2:$B$4835,"Insumos e papel",Base!$C$2:$C$4835,"2.01.03 Compra de Matéria Prima (Papel)",Base!$A$2:$A$4835,E$4)</f>
        <v/>
      </c>
      <c r="F6" s="28">
        <f>SUMIFS(Base!$N$2:$N$4835,Base!$B$2:$B$4835,"Insumos e papel",Base!$C$2:$C$4835,"2.01.03 Compra de Matéria Prima (Papel)",Base!$A$2:$A$4835,F$4)</f>
        <v/>
      </c>
      <c r="G6" s="28">
        <f>SUMIFS(Base!$N$2:$N$4835,Base!$B$2:$B$4835,"Insumos e papel",Base!$C$2:$C$4835,"2.01.03 Compra de Matéria Prima (Papel)",Base!$A$2:$A$4835,G$4)</f>
        <v/>
      </c>
      <c r="H6" s="28">
        <f>SUMIFS(Base!$N$2:$N$4835,Base!$B$2:$B$4835,"Insumos e papel",Base!$C$2:$C$4835,"2.01.03 Compra de Matéria Prima (Papel)",Base!$A$2:$A$4835,H$4)</f>
        <v/>
      </c>
      <c r="I6" s="28">
        <f>SUMIFS(Base!$N$2:$N$4835,Base!$B$2:$B$4835,"Insumos e papel",Base!$C$2:$C$4835,"2.01.03 Compra de Matéria Prima (Papel)",Base!$A$2:$A$4835,I$4)</f>
        <v/>
      </c>
      <c r="J6" s="28">
        <f>SUMIFS(Base!$N$2:$N$4835,Base!$B$2:$B$4835,"Insumos e papel",Base!$C$2:$C$4835,"2.01.03 Compra de Matéria Prima (Papel)",Base!$A$2:$A$4835,J$4)</f>
        <v/>
      </c>
      <c r="K6" s="28">
        <f>SUM(B6:J6)</f>
        <v/>
      </c>
      <c r="L6" s="28">
        <f>SUMIFS(Base!$N$2:$N$4835,Base!$B$2:$B$4835,"Insumos e papel",Base!$C$2:$C$4835,"2.01.03 Compra de Matéria Prima (Papel)",Base!$A$2:$A$4835,"Antes de 2026")</f>
        <v/>
      </c>
    </row>
    <row r="7">
      <c r="A7" s="4" t="inlineStr">
        <is>
          <t xml:space="preserve">   2.01.79 Compra de Gás</t>
        </is>
      </c>
      <c r="B7" s="28">
        <f>SUMIFS(Base!$N$2:$N$4835,Base!$B$2:$B$4835,"Insumos e papel",Base!$C$2:$C$4835,"2.01.79 Compra de Gás",Base!$A$2:$A$4835,B$4)</f>
        <v/>
      </c>
      <c r="C7" s="28">
        <f>SUMIFS(Base!$N$2:$N$4835,Base!$B$2:$B$4835,"Insumos e papel",Base!$C$2:$C$4835,"2.01.79 Compra de Gás",Base!$A$2:$A$4835,C$4)</f>
        <v/>
      </c>
      <c r="D7" s="28">
        <f>SUMIFS(Base!$N$2:$N$4835,Base!$B$2:$B$4835,"Insumos e papel",Base!$C$2:$C$4835,"2.01.79 Compra de Gás",Base!$A$2:$A$4835,D$4)</f>
        <v/>
      </c>
      <c r="E7" s="28">
        <f>SUMIFS(Base!$N$2:$N$4835,Base!$B$2:$B$4835,"Insumos e papel",Base!$C$2:$C$4835,"2.01.79 Compra de Gás",Base!$A$2:$A$4835,E$4)</f>
        <v/>
      </c>
      <c r="F7" s="28">
        <f>SUMIFS(Base!$N$2:$N$4835,Base!$B$2:$B$4835,"Insumos e papel",Base!$C$2:$C$4835,"2.01.79 Compra de Gás",Base!$A$2:$A$4835,F$4)</f>
        <v/>
      </c>
      <c r="G7" s="28">
        <f>SUMIFS(Base!$N$2:$N$4835,Base!$B$2:$B$4835,"Insumos e papel",Base!$C$2:$C$4835,"2.01.79 Compra de Gás",Base!$A$2:$A$4835,G$4)</f>
        <v/>
      </c>
      <c r="H7" s="28">
        <f>SUMIFS(Base!$N$2:$N$4835,Base!$B$2:$B$4835,"Insumos e papel",Base!$C$2:$C$4835,"2.01.79 Compra de Gás",Base!$A$2:$A$4835,H$4)</f>
        <v/>
      </c>
      <c r="I7" s="28">
        <f>SUMIFS(Base!$N$2:$N$4835,Base!$B$2:$B$4835,"Insumos e papel",Base!$C$2:$C$4835,"2.01.79 Compra de Gás",Base!$A$2:$A$4835,I$4)</f>
        <v/>
      </c>
      <c r="J7" s="28">
        <f>SUMIFS(Base!$N$2:$N$4835,Base!$B$2:$B$4835,"Insumos e papel",Base!$C$2:$C$4835,"2.01.79 Compra de Gás",Base!$A$2:$A$4835,J$4)</f>
        <v/>
      </c>
      <c r="K7" s="28">
        <f>SUM(B7:J7)</f>
        <v/>
      </c>
      <c r="L7" s="28">
        <f>SUMIFS(Base!$N$2:$N$4835,Base!$B$2:$B$4835,"Insumos e papel",Base!$C$2:$C$4835,"2.01.79 Compra de Gás",Base!$A$2:$A$4835,"Antes de 2026")</f>
        <v/>
      </c>
    </row>
    <row r="8">
      <c r="A8" s="4" t="inlineStr">
        <is>
          <t xml:space="preserve">   2.01.83 Compra de Etiqueta Personalizada</t>
        </is>
      </c>
      <c r="B8" s="28">
        <f>SUMIFS(Base!$N$2:$N$4835,Base!$B$2:$B$4835,"Insumos e papel",Base!$C$2:$C$4835,"2.01.83 Compra de Etiqueta Personalizada",Base!$A$2:$A$4835,B$4)</f>
        <v/>
      </c>
      <c r="C8" s="28">
        <f>SUMIFS(Base!$N$2:$N$4835,Base!$B$2:$B$4835,"Insumos e papel",Base!$C$2:$C$4835,"2.01.83 Compra de Etiqueta Personalizada",Base!$A$2:$A$4835,C$4)</f>
        <v/>
      </c>
      <c r="D8" s="28">
        <f>SUMIFS(Base!$N$2:$N$4835,Base!$B$2:$B$4835,"Insumos e papel",Base!$C$2:$C$4835,"2.01.83 Compra de Etiqueta Personalizada",Base!$A$2:$A$4835,D$4)</f>
        <v/>
      </c>
      <c r="E8" s="28">
        <f>SUMIFS(Base!$N$2:$N$4835,Base!$B$2:$B$4835,"Insumos e papel",Base!$C$2:$C$4835,"2.01.83 Compra de Etiqueta Personalizada",Base!$A$2:$A$4835,E$4)</f>
        <v/>
      </c>
      <c r="F8" s="28">
        <f>SUMIFS(Base!$N$2:$N$4835,Base!$B$2:$B$4835,"Insumos e papel",Base!$C$2:$C$4835,"2.01.83 Compra de Etiqueta Personalizada",Base!$A$2:$A$4835,F$4)</f>
        <v/>
      </c>
      <c r="G8" s="28">
        <f>SUMIFS(Base!$N$2:$N$4835,Base!$B$2:$B$4835,"Insumos e papel",Base!$C$2:$C$4835,"2.01.83 Compra de Etiqueta Personalizada",Base!$A$2:$A$4835,G$4)</f>
        <v/>
      </c>
      <c r="H8" s="28">
        <f>SUMIFS(Base!$N$2:$N$4835,Base!$B$2:$B$4835,"Insumos e papel",Base!$C$2:$C$4835,"2.01.83 Compra de Etiqueta Personalizada",Base!$A$2:$A$4835,H$4)</f>
        <v/>
      </c>
      <c r="I8" s="28">
        <f>SUMIFS(Base!$N$2:$N$4835,Base!$B$2:$B$4835,"Insumos e papel",Base!$C$2:$C$4835,"2.01.83 Compra de Etiqueta Personalizada",Base!$A$2:$A$4835,I$4)</f>
        <v/>
      </c>
      <c r="J8" s="28">
        <f>SUMIFS(Base!$N$2:$N$4835,Base!$B$2:$B$4835,"Insumos e papel",Base!$C$2:$C$4835,"2.01.83 Compra de Etiqueta Personalizada",Base!$A$2:$A$4835,J$4)</f>
        <v/>
      </c>
      <c r="K8" s="28">
        <f>SUM(B8:J8)</f>
        <v/>
      </c>
      <c r="L8" s="28">
        <f>SUMIFS(Base!$N$2:$N$4835,Base!$B$2:$B$4835,"Insumos e papel",Base!$C$2:$C$4835,"2.01.83 Compra de Etiqueta Personalizada",Base!$A$2:$A$4835,"Antes de 2026")</f>
        <v/>
      </c>
    </row>
    <row r="9">
      <c r="A9" s="4" t="inlineStr">
        <is>
          <t xml:space="preserve">   2.01.89 Compra de Pallet</t>
        </is>
      </c>
      <c r="B9" s="28">
        <f>SUMIFS(Base!$N$2:$N$4835,Base!$B$2:$B$4835,"Insumos e papel",Base!$C$2:$C$4835,"2.01.89 Compra de Pallet",Base!$A$2:$A$4835,B$4)</f>
        <v/>
      </c>
      <c r="C9" s="28">
        <f>SUMIFS(Base!$N$2:$N$4835,Base!$B$2:$B$4835,"Insumos e papel",Base!$C$2:$C$4835,"2.01.89 Compra de Pallet",Base!$A$2:$A$4835,C$4)</f>
        <v/>
      </c>
      <c r="D9" s="28">
        <f>SUMIFS(Base!$N$2:$N$4835,Base!$B$2:$B$4835,"Insumos e papel",Base!$C$2:$C$4835,"2.01.89 Compra de Pallet",Base!$A$2:$A$4835,D$4)</f>
        <v/>
      </c>
      <c r="E9" s="28">
        <f>SUMIFS(Base!$N$2:$N$4835,Base!$B$2:$B$4835,"Insumos e papel",Base!$C$2:$C$4835,"2.01.89 Compra de Pallet",Base!$A$2:$A$4835,E$4)</f>
        <v/>
      </c>
      <c r="F9" s="28">
        <f>SUMIFS(Base!$N$2:$N$4835,Base!$B$2:$B$4835,"Insumos e papel",Base!$C$2:$C$4835,"2.01.89 Compra de Pallet",Base!$A$2:$A$4835,F$4)</f>
        <v/>
      </c>
      <c r="G9" s="28">
        <f>SUMIFS(Base!$N$2:$N$4835,Base!$B$2:$B$4835,"Insumos e papel",Base!$C$2:$C$4835,"2.01.89 Compra de Pallet",Base!$A$2:$A$4835,G$4)</f>
        <v/>
      </c>
      <c r="H9" s="28">
        <f>SUMIFS(Base!$N$2:$N$4835,Base!$B$2:$B$4835,"Insumos e papel",Base!$C$2:$C$4835,"2.01.89 Compra de Pallet",Base!$A$2:$A$4835,H$4)</f>
        <v/>
      </c>
      <c r="I9" s="28">
        <f>SUMIFS(Base!$N$2:$N$4835,Base!$B$2:$B$4835,"Insumos e papel",Base!$C$2:$C$4835,"2.01.89 Compra de Pallet",Base!$A$2:$A$4835,I$4)</f>
        <v/>
      </c>
      <c r="J9" s="28">
        <f>SUMIFS(Base!$N$2:$N$4835,Base!$B$2:$B$4835,"Insumos e papel",Base!$C$2:$C$4835,"2.01.89 Compra de Pallet",Base!$A$2:$A$4835,J$4)</f>
        <v/>
      </c>
      <c r="K9" s="28">
        <f>SUM(B9:J9)</f>
        <v/>
      </c>
      <c r="L9" s="28">
        <f>SUMIFS(Base!$N$2:$N$4835,Base!$B$2:$B$4835,"Insumos e papel",Base!$C$2:$C$4835,"2.01.89 Compra de Pallet",Base!$A$2:$A$4835,"Antes de 2026")</f>
        <v/>
      </c>
    </row>
    <row r="10">
      <c r="A10" s="4" t="inlineStr">
        <is>
          <t xml:space="preserve">   2.01.91 Compra de Filme Strech</t>
        </is>
      </c>
      <c r="B10" s="28">
        <f>SUMIFS(Base!$N$2:$N$4835,Base!$B$2:$B$4835,"Insumos e papel",Base!$C$2:$C$4835,"2.01.91 Compra de Filme Strech",Base!$A$2:$A$4835,B$4)</f>
        <v/>
      </c>
      <c r="C10" s="28">
        <f>SUMIFS(Base!$N$2:$N$4835,Base!$B$2:$B$4835,"Insumos e papel",Base!$C$2:$C$4835,"2.01.91 Compra de Filme Strech",Base!$A$2:$A$4835,C$4)</f>
        <v/>
      </c>
      <c r="D10" s="28">
        <f>SUMIFS(Base!$N$2:$N$4835,Base!$B$2:$B$4835,"Insumos e papel",Base!$C$2:$C$4835,"2.01.91 Compra de Filme Strech",Base!$A$2:$A$4835,D$4)</f>
        <v/>
      </c>
      <c r="E10" s="28">
        <f>SUMIFS(Base!$N$2:$N$4835,Base!$B$2:$B$4835,"Insumos e papel",Base!$C$2:$C$4835,"2.01.91 Compra de Filme Strech",Base!$A$2:$A$4835,E$4)</f>
        <v/>
      </c>
      <c r="F10" s="28">
        <f>SUMIFS(Base!$N$2:$N$4835,Base!$B$2:$B$4835,"Insumos e papel",Base!$C$2:$C$4835,"2.01.91 Compra de Filme Strech",Base!$A$2:$A$4835,F$4)</f>
        <v/>
      </c>
      <c r="G10" s="28">
        <f>SUMIFS(Base!$N$2:$N$4835,Base!$B$2:$B$4835,"Insumos e papel",Base!$C$2:$C$4835,"2.01.91 Compra de Filme Strech",Base!$A$2:$A$4835,G$4)</f>
        <v/>
      </c>
      <c r="H10" s="28">
        <f>SUMIFS(Base!$N$2:$N$4835,Base!$B$2:$B$4835,"Insumos e papel",Base!$C$2:$C$4835,"2.01.91 Compra de Filme Strech",Base!$A$2:$A$4835,H$4)</f>
        <v/>
      </c>
      <c r="I10" s="28">
        <f>SUMIFS(Base!$N$2:$N$4835,Base!$B$2:$B$4835,"Insumos e papel",Base!$C$2:$C$4835,"2.01.91 Compra de Filme Strech",Base!$A$2:$A$4835,I$4)</f>
        <v/>
      </c>
      <c r="J10" s="28">
        <f>SUMIFS(Base!$N$2:$N$4835,Base!$B$2:$B$4835,"Insumos e papel",Base!$C$2:$C$4835,"2.01.91 Compra de Filme Strech",Base!$A$2:$A$4835,J$4)</f>
        <v/>
      </c>
      <c r="K10" s="28">
        <f>SUM(B10:J10)</f>
        <v/>
      </c>
      <c r="L10" s="28">
        <f>SUMIFS(Base!$N$2:$N$4835,Base!$B$2:$B$4835,"Insumos e papel",Base!$C$2:$C$4835,"2.01.91 Compra de Filme Strech",Base!$A$2:$A$4835,"Antes de 2026")</f>
        <v/>
      </c>
    </row>
    <row r="11">
      <c r="A11" s="4" t="inlineStr">
        <is>
          <t xml:space="preserve">   2.01.92 Compra de Tinta</t>
        </is>
      </c>
      <c r="B11" s="28">
        <f>SUMIFS(Base!$N$2:$N$4835,Base!$B$2:$B$4835,"Insumos e papel",Base!$C$2:$C$4835,"2.01.92 Compra de Tinta",Base!$A$2:$A$4835,B$4)</f>
        <v/>
      </c>
      <c r="C11" s="28">
        <f>SUMIFS(Base!$N$2:$N$4835,Base!$B$2:$B$4835,"Insumos e papel",Base!$C$2:$C$4835,"2.01.92 Compra de Tinta",Base!$A$2:$A$4835,C$4)</f>
        <v/>
      </c>
      <c r="D11" s="28">
        <f>SUMIFS(Base!$N$2:$N$4835,Base!$B$2:$B$4835,"Insumos e papel",Base!$C$2:$C$4835,"2.01.92 Compra de Tinta",Base!$A$2:$A$4835,D$4)</f>
        <v/>
      </c>
      <c r="E11" s="28">
        <f>SUMIFS(Base!$N$2:$N$4835,Base!$B$2:$B$4835,"Insumos e papel",Base!$C$2:$C$4835,"2.01.92 Compra de Tinta",Base!$A$2:$A$4835,E$4)</f>
        <v/>
      </c>
      <c r="F11" s="28">
        <f>SUMIFS(Base!$N$2:$N$4835,Base!$B$2:$B$4835,"Insumos e papel",Base!$C$2:$C$4835,"2.01.92 Compra de Tinta",Base!$A$2:$A$4835,F$4)</f>
        <v/>
      </c>
      <c r="G11" s="28">
        <f>SUMIFS(Base!$N$2:$N$4835,Base!$B$2:$B$4835,"Insumos e papel",Base!$C$2:$C$4835,"2.01.92 Compra de Tinta",Base!$A$2:$A$4835,G$4)</f>
        <v/>
      </c>
      <c r="H11" s="28">
        <f>SUMIFS(Base!$N$2:$N$4835,Base!$B$2:$B$4835,"Insumos e papel",Base!$C$2:$C$4835,"2.01.92 Compra de Tinta",Base!$A$2:$A$4835,H$4)</f>
        <v/>
      </c>
      <c r="I11" s="28">
        <f>SUMIFS(Base!$N$2:$N$4835,Base!$B$2:$B$4835,"Insumos e papel",Base!$C$2:$C$4835,"2.01.92 Compra de Tinta",Base!$A$2:$A$4835,I$4)</f>
        <v/>
      </c>
      <c r="J11" s="28">
        <f>SUMIFS(Base!$N$2:$N$4835,Base!$B$2:$B$4835,"Insumos e papel",Base!$C$2:$C$4835,"2.01.92 Compra de Tinta",Base!$A$2:$A$4835,J$4)</f>
        <v/>
      </c>
      <c r="K11" s="28">
        <f>SUM(B11:J11)</f>
        <v/>
      </c>
      <c r="L11" s="28">
        <f>SUMIFS(Base!$N$2:$N$4835,Base!$B$2:$B$4835,"Insumos e papel",Base!$C$2:$C$4835,"2.01.92 Compra de Tinta",Base!$A$2:$A$4835,"Antes de 2026")</f>
        <v/>
      </c>
    </row>
    <row r="12">
      <c r="A12" s="4" t="inlineStr">
        <is>
          <t xml:space="preserve">   2.01.93 Compra de Plástico Poliolefínico</t>
        </is>
      </c>
      <c r="B12" s="28">
        <f>SUMIFS(Base!$N$2:$N$4835,Base!$B$2:$B$4835,"Insumos e papel",Base!$C$2:$C$4835,"2.01.93 Compra de Plástico Poliolefínico",Base!$A$2:$A$4835,B$4)</f>
        <v/>
      </c>
      <c r="C12" s="28">
        <f>SUMIFS(Base!$N$2:$N$4835,Base!$B$2:$B$4835,"Insumos e papel",Base!$C$2:$C$4835,"2.01.93 Compra de Plástico Poliolefínico",Base!$A$2:$A$4835,C$4)</f>
        <v/>
      </c>
      <c r="D12" s="28">
        <f>SUMIFS(Base!$N$2:$N$4835,Base!$B$2:$B$4835,"Insumos e papel",Base!$C$2:$C$4835,"2.01.93 Compra de Plástico Poliolefínico",Base!$A$2:$A$4835,D$4)</f>
        <v/>
      </c>
      <c r="E12" s="28">
        <f>SUMIFS(Base!$N$2:$N$4835,Base!$B$2:$B$4835,"Insumos e papel",Base!$C$2:$C$4835,"2.01.93 Compra de Plástico Poliolefínico",Base!$A$2:$A$4835,E$4)</f>
        <v/>
      </c>
      <c r="F12" s="28">
        <f>SUMIFS(Base!$N$2:$N$4835,Base!$B$2:$B$4835,"Insumos e papel",Base!$C$2:$C$4835,"2.01.93 Compra de Plástico Poliolefínico",Base!$A$2:$A$4835,F$4)</f>
        <v/>
      </c>
      <c r="G12" s="28">
        <f>SUMIFS(Base!$N$2:$N$4835,Base!$B$2:$B$4835,"Insumos e papel",Base!$C$2:$C$4835,"2.01.93 Compra de Plástico Poliolefínico",Base!$A$2:$A$4835,G$4)</f>
        <v/>
      </c>
      <c r="H12" s="28">
        <f>SUMIFS(Base!$N$2:$N$4835,Base!$B$2:$B$4835,"Insumos e papel",Base!$C$2:$C$4835,"2.01.93 Compra de Plástico Poliolefínico",Base!$A$2:$A$4835,H$4)</f>
        <v/>
      </c>
      <c r="I12" s="28">
        <f>SUMIFS(Base!$N$2:$N$4835,Base!$B$2:$B$4835,"Insumos e papel",Base!$C$2:$C$4835,"2.01.93 Compra de Plástico Poliolefínico",Base!$A$2:$A$4835,I$4)</f>
        <v/>
      </c>
      <c r="J12" s="28">
        <f>SUMIFS(Base!$N$2:$N$4835,Base!$B$2:$B$4835,"Insumos e papel",Base!$C$2:$C$4835,"2.01.93 Compra de Plástico Poliolefínico",Base!$A$2:$A$4835,J$4)</f>
        <v/>
      </c>
      <c r="K12" s="28">
        <f>SUM(B12:J12)</f>
        <v/>
      </c>
      <c r="L12" s="28">
        <f>SUMIFS(Base!$N$2:$N$4835,Base!$B$2:$B$4835,"Insumos e papel",Base!$C$2:$C$4835,"2.01.93 Compra de Plástico Poliolefínico",Base!$A$2:$A$4835,"Antes de 2026")</f>
        <v/>
      </c>
    </row>
    <row r="13">
      <c r="A13" s="4" t="inlineStr">
        <is>
          <t xml:space="preserve">   2.01.94 Compra de Fita Adesiva</t>
        </is>
      </c>
      <c r="B13" s="28">
        <f>SUMIFS(Base!$N$2:$N$4835,Base!$B$2:$B$4835,"Insumos e papel",Base!$C$2:$C$4835,"2.01.94 Compra de Fita Adesiva",Base!$A$2:$A$4835,B$4)</f>
        <v/>
      </c>
      <c r="C13" s="28">
        <f>SUMIFS(Base!$N$2:$N$4835,Base!$B$2:$B$4835,"Insumos e papel",Base!$C$2:$C$4835,"2.01.94 Compra de Fita Adesiva",Base!$A$2:$A$4835,C$4)</f>
        <v/>
      </c>
      <c r="D13" s="28">
        <f>SUMIFS(Base!$N$2:$N$4835,Base!$B$2:$B$4835,"Insumos e papel",Base!$C$2:$C$4835,"2.01.94 Compra de Fita Adesiva",Base!$A$2:$A$4835,D$4)</f>
        <v/>
      </c>
      <c r="E13" s="28">
        <f>SUMIFS(Base!$N$2:$N$4835,Base!$B$2:$B$4835,"Insumos e papel",Base!$C$2:$C$4835,"2.01.94 Compra de Fita Adesiva",Base!$A$2:$A$4835,E$4)</f>
        <v/>
      </c>
      <c r="F13" s="28">
        <f>SUMIFS(Base!$N$2:$N$4835,Base!$B$2:$B$4835,"Insumos e papel",Base!$C$2:$C$4835,"2.01.94 Compra de Fita Adesiva",Base!$A$2:$A$4835,F$4)</f>
        <v/>
      </c>
      <c r="G13" s="28">
        <f>SUMIFS(Base!$N$2:$N$4835,Base!$B$2:$B$4835,"Insumos e papel",Base!$C$2:$C$4835,"2.01.94 Compra de Fita Adesiva",Base!$A$2:$A$4835,G$4)</f>
        <v/>
      </c>
      <c r="H13" s="28">
        <f>SUMIFS(Base!$N$2:$N$4835,Base!$B$2:$B$4835,"Insumos e papel",Base!$C$2:$C$4835,"2.01.94 Compra de Fita Adesiva",Base!$A$2:$A$4835,H$4)</f>
        <v/>
      </c>
      <c r="I13" s="28">
        <f>SUMIFS(Base!$N$2:$N$4835,Base!$B$2:$B$4835,"Insumos e papel",Base!$C$2:$C$4835,"2.01.94 Compra de Fita Adesiva",Base!$A$2:$A$4835,I$4)</f>
        <v/>
      </c>
      <c r="J13" s="28">
        <f>SUMIFS(Base!$N$2:$N$4835,Base!$B$2:$B$4835,"Insumos e papel",Base!$C$2:$C$4835,"2.01.94 Compra de Fita Adesiva",Base!$A$2:$A$4835,J$4)</f>
        <v/>
      </c>
      <c r="K13" s="28">
        <f>SUM(B13:J13)</f>
        <v/>
      </c>
      <c r="L13" s="28">
        <f>SUMIFS(Base!$N$2:$N$4835,Base!$B$2:$B$4835,"Insumos e papel",Base!$C$2:$C$4835,"2.01.94 Compra de Fita Adesiva",Base!$A$2:$A$4835,"Antes de 2026")</f>
        <v/>
      </c>
    </row>
    <row r="14">
      <c r="A14" s="4" t="inlineStr">
        <is>
          <t xml:space="preserve">   2.01.95 Compra de Etiqueta</t>
        </is>
      </c>
      <c r="B14" s="28">
        <f>SUMIFS(Base!$N$2:$N$4835,Base!$B$2:$B$4835,"Insumos e papel",Base!$C$2:$C$4835,"2.01.95 Compra de Etiqueta",Base!$A$2:$A$4835,B$4)</f>
        <v/>
      </c>
      <c r="C14" s="28">
        <f>SUMIFS(Base!$N$2:$N$4835,Base!$B$2:$B$4835,"Insumos e papel",Base!$C$2:$C$4835,"2.01.95 Compra de Etiqueta",Base!$A$2:$A$4835,C$4)</f>
        <v/>
      </c>
      <c r="D14" s="28">
        <f>SUMIFS(Base!$N$2:$N$4835,Base!$B$2:$B$4835,"Insumos e papel",Base!$C$2:$C$4835,"2.01.95 Compra de Etiqueta",Base!$A$2:$A$4835,D$4)</f>
        <v/>
      </c>
      <c r="E14" s="28">
        <f>SUMIFS(Base!$N$2:$N$4835,Base!$B$2:$B$4835,"Insumos e papel",Base!$C$2:$C$4835,"2.01.95 Compra de Etiqueta",Base!$A$2:$A$4835,E$4)</f>
        <v/>
      </c>
      <c r="F14" s="28">
        <f>SUMIFS(Base!$N$2:$N$4835,Base!$B$2:$B$4835,"Insumos e papel",Base!$C$2:$C$4835,"2.01.95 Compra de Etiqueta",Base!$A$2:$A$4835,F$4)</f>
        <v/>
      </c>
      <c r="G14" s="28">
        <f>SUMIFS(Base!$N$2:$N$4835,Base!$B$2:$B$4835,"Insumos e papel",Base!$C$2:$C$4835,"2.01.95 Compra de Etiqueta",Base!$A$2:$A$4835,G$4)</f>
        <v/>
      </c>
      <c r="H14" s="28">
        <f>SUMIFS(Base!$N$2:$N$4835,Base!$B$2:$B$4835,"Insumos e papel",Base!$C$2:$C$4835,"2.01.95 Compra de Etiqueta",Base!$A$2:$A$4835,H$4)</f>
        <v/>
      </c>
      <c r="I14" s="28">
        <f>SUMIFS(Base!$N$2:$N$4835,Base!$B$2:$B$4835,"Insumos e papel",Base!$C$2:$C$4835,"2.01.95 Compra de Etiqueta",Base!$A$2:$A$4835,I$4)</f>
        <v/>
      </c>
      <c r="J14" s="28">
        <f>SUMIFS(Base!$N$2:$N$4835,Base!$B$2:$B$4835,"Insumos e papel",Base!$C$2:$C$4835,"2.01.95 Compra de Etiqueta",Base!$A$2:$A$4835,J$4)</f>
        <v/>
      </c>
      <c r="K14" s="28">
        <f>SUM(B14:J14)</f>
        <v/>
      </c>
      <c r="L14" s="28">
        <f>SUMIFS(Base!$N$2:$N$4835,Base!$B$2:$B$4835,"Insumos e papel",Base!$C$2:$C$4835,"2.01.95 Compra de Etiqueta",Base!$A$2:$A$4835,"Antes de 2026")</f>
        <v/>
      </c>
    </row>
    <row r="15">
      <c r="A15" s="4" t="inlineStr">
        <is>
          <t xml:space="preserve">   2.01.96 Compra de Cola</t>
        </is>
      </c>
      <c r="B15" s="28">
        <f>SUMIFS(Base!$N$2:$N$4835,Base!$B$2:$B$4835,"Insumos e papel",Base!$C$2:$C$4835,"2.01.96 Compra de Cola",Base!$A$2:$A$4835,B$4)</f>
        <v/>
      </c>
      <c r="C15" s="28">
        <f>SUMIFS(Base!$N$2:$N$4835,Base!$B$2:$B$4835,"Insumos e papel",Base!$C$2:$C$4835,"2.01.96 Compra de Cola",Base!$A$2:$A$4835,C$4)</f>
        <v/>
      </c>
      <c r="D15" s="28">
        <f>SUMIFS(Base!$N$2:$N$4835,Base!$B$2:$B$4835,"Insumos e papel",Base!$C$2:$C$4835,"2.01.96 Compra de Cola",Base!$A$2:$A$4835,D$4)</f>
        <v/>
      </c>
      <c r="E15" s="28">
        <f>SUMIFS(Base!$N$2:$N$4835,Base!$B$2:$B$4835,"Insumos e papel",Base!$C$2:$C$4835,"2.01.96 Compra de Cola",Base!$A$2:$A$4835,E$4)</f>
        <v/>
      </c>
      <c r="F15" s="28">
        <f>SUMIFS(Base!$N$2:$N$4835,Base!$B$2:$B$4835,"Insumos e papel",Base!$C$2:$C$4835,"2.01.96 Compra de Cola",Base!$A$2:$A$4835,F$4)</f>
        <v/>
      </c>
      <c r="G15" s="28">
        <f>SUMIFS(Base!$N$2:$N$4835,Base!$B$2:$B$4835,"Insumos e papel",Base!$C$2:$C$4835,"2.01.96 Compra de Cola",Base!$A$2:$A$4835,G$4)</f>
        <v/>
      </c>
      <c r="H15" s="28">
        <f>SUMIFS(Base!$N$2:$N$4835,Base!$B$2:$B$4835,"Insumos e papel",Base!$C$2:$C$4835,"2.01.96 Compra de Cola",Base!$A$2:$A$4835,H$4)</f>
        <v/>
      </c>
      <c r="I15" s="28">
        <f>SUMIFS(Base!$N$2:$N$4835,Base!$B$2:$B$4835,"Insumos e papel",Base!$C$2:$C$4835,"2.01.96 Compra de Cola",Base!$A$2:$A$4835,I$4)</f>
        <v/>
      </c>
      <c r="J15" s="28">
        <f>SUMIFS(Base!$N$2:$N$4835,Base!$B$2:$B$4835,"Insumos e papel",Base!$C$2:$C$4835,"2.01.96 Compra de Cola",Base!$A$2:$A$4835,J$4)</f>
        <v/>
      </c>
      <c r="K15" s="28">
        <f>SUM(B15:J15)</f>
        <v/>
      </c>
      <c r="L15" s="28">
        <f>SUMIFS(Base!$N$2:$N$4835,Base!$B$2:$B$4835,"Insumos e papel",Base!$C$2:$C$4835,"2.01.96 Compra de Cola",Base!$A$2:$A$4835,"Antes de 2026")</f>
        <v/>
      </c>
    </row>
    <row r="16">
      <c r="A16" s="4" t="inlineStr">
        <is>
          <t xml:space="preserve">   2.01.97 Compra de Clichê</t>
        </is>
      </c>
      <c r="B16" s="28">
        <f>SUMIFS(Base!$N$2:$N$4835,Base!$B$2:$B$4835,"Insumos e papel",Base!$C$2:$C$4835,"2.01.97 Compra de Clichê",Base!$A$2:$A$4835,B$4)</f>
        <v/>
      </c>
      <c r="C16" s="28">
        <f>SUMIFS(Base!$N$2:$N$4835,Base!$B$2:$B$4835,"Insumos e papel",Base!$C$2:$C$4835,"2.01.97 Compra de Clichê",Base!$A$2:$A$4835,C$4)</f>
        <v/>
      </c>
      <c r="D16" s="28">
        <f>SUMIFS(Base!$N$2:$N$4835,Base!$B$2:$B$4835,"Insumos e papel",Base!$C$2:$C$4835,"2.01.97 Compra de Clichê",Base!$A$2:$A$4835,D$4)</f>
        <v/>
      </c>
      <c r="E16" s="28">
        <f>SUMIFS(Base!$N$2:$N$4835,Base!$B$2:$B$4835,"Insumos e papel",Base!$C$2:$C$4835,"2.01.97 Compra de Clichê",Base!$A$2:$A$4835,E$4)</f>
        <v/>
      </c>
      <c r="F16" s="28">
        <f>SUMIFS(Base!$N$2:$N$4835,Base!$B$2:$B$4835,"Insumos e papel",Base!$C$2:$C$4835,"2.01.97 Compra de Clichê",Base!$A$2:$A$4835,F$4)</f>
        <v/>
      </c>
      <c r="G16" s="28">
        <f>SUMIFS(Base!$N$2:$N$4835,Base!$B$2:$B$4835,"Insumos e papel",Base!$C$2:$C$4835,"2.01.97 Compra de Clichê",Base!$A$2:$A$4835,G$4)</f>
        <v/>
      </c>
      <c r="H16" s="28">
        <f>SUMIFS(Base!$N$2:$N$4835,Base!$B$2:$B$4835,"Insumos e papel",Base!$C$2:$C$4835,"2.01.97 Compra de Clichê",Base!$A$2:$A$4835,H$4)</f>
        <v/>
      </c>
      <c r="I16" s="28">
        <f>SUMIFS(Base!$N$2:$N$4835,Base!$B$2:$B$4835,"Insumos e papel",Base!$C$2:$C$4835,"2.01.97 Compra de Clichê",Base!$A$2:$A$4835,I$4)</f>
        <v/>
      </c>
      <c r="J16" s="28">
        <f>SUMIFS(Base!$N$2:$N$4835,Base!$B$2:$B$4835,"Insumos e papel",Base!$C$2:$C$4835,"2.01.97 Compra de Clichê",Base!$A$2:$A$4835,J$4)</f>
        <v/>
      </c>
      <c r="K16" s="28">
        <f>SUM(B16:J16)</f>
        <v/>
      </c>
      <c r="L16" s="28">
        <f>SUMIFS(Base!$N$2:$N$4835,Base!$B$2:$B$4835,"Insumos e papel",Base!$C$2:$C$4835,"2.01.97 Compra de Clichê",Base!$A$2:$A$4835,"Antes de 2026")</f>
        <v/>
      </c>
    </row>
    <row r="17">
      <c r="A17" s="4" t="inlineStr">
        <is>
          <t xml:space="preserve">   2.01.99 Compra de Caixas</t>
        </is>
      </c>
      <c r="B17" s="28">
        <f>SUMIFS(Base!$N$2:$N$4835,Base!$B$2:$B$4835,"Insumos e papel",Base!$C$2:$C$4835,"2.01.99 Compra de Caixas",Base!$A$2:$A$4835,B$4)</f>
        <v/>
      </c>
      <c r="C17" s="28">
        <f>SUMIFS(Base!$N$2:$N$4835,Base!$B$2:$B$4835,"Insumos e papel",Base!$C$2:$C$4835,"2.01.99 Compra de Caixas",Base!$A$2:$A$4835,C$4)</f>
        <v/>
      </c>
      <c r="D17" s="28">
        <f>SUMIFS(Base!$N$2:$N$4835,Base!$B$2:$B$4835,"Insumos e papel",Base!$C$2:$C$4835,"2.01.99 Compra de Caixas",Base!$A$2:$A$4835,D$4)</f>
        <v/>
      </c>
      <c r="E17" s="28">
        <f>SUMIFS(Base!$N$2:$N$4835,Base!$B$2:$B$4835,"Insumos e papel",Base!$C$2:$C$4835,"2.01.99 Compra de Caixas",Base!$A$2:$A$4835,E$4)</f>
        <v/>
      </c>
      <c r="F17" s="28">
        <f>SUMIFS(Base!$N$2:$N$4835,Base!$B$2:$B$4835,"Insumos e papel",Base!$C$2:$C$4835,"2.01.99 Compra de Caixas",Base!$A$2:$A$4835,F$4)</f>
        <v/>
      </c>
      <c r="G17" s="28">
        <f>SUMIFS(Base!$N$2:$N$4835,Base!$B$2:$B$4835,"Insumos e papel",Base!$C$2:$C$4835,"2.01.99 Compra de Caixas",Base!$A$2:$A$4835,G$4)</f>
        <v/>
      </c>
      <c r="H17" s="28">
        <f>SUMIFS(Base!$N$2:$N$4835,Base!$B$2:$B$4835,"Insumos e papel",Base!$C$2:$C$4835,"2.01.99 Compra de Caixas",Base!$A$2:$A$4835,H$4)</f>
        <v/>
      </c>
      <c r="I17" s="28">
        <f>SUMIFS(Base!$N$2:$N$4835,Base!$B$2:$B$4835,"Insumos e papel",Base!$C$2:$C$4835,"2.01.99 Compra de Caixas",Base!$A$2:$A$4835,I$4)</f>
        <v/>
      </c>
      <c r="J17" s="28">
        <f>SUMIFS(Base!$N$2:$N$4835,Base!$B$2:$B$4835,"Insumos e papel",Base!$C$2:$C$4835,"2.01.99 Compra de Caixas",Base!$A$2:$A$4835,J$4)</f>
        <v/>
      </c>
      <c r="K17" s="28">
        <f>SUM(B17:J17)</f>
        <v/>
      </c>
      <c r="L17" s="28">
        <f>SUMIFS(Base!$N$2:$N$4835,Base!$B$2:$B$4835,"Insumos e papel",Base!$C$2:$C$4835,"2.01.99 Compra de Caixas",Base!$A$2:$A$4835,"Antes de 2026")</f>
        <v/>
      </c>
    </row>
    <row r="18">
      <c r="A18" s="7" t="inlineStr">
        <is>
          <t>Total Insumos e papel</t>
        </is>
      </c>
      <c r="B18" s="21">
        <f>SUM(B6:B17)</f>
        <v/>
      </c>
      <c r="C18" s="21">
        <f>SUM(C6:C17)</f>
        <v/>
      </c>
      <c r="D18" s="21">
        <f>SUM(D6:D17)</f>
        <v/>
      </c>
      <c r="E18" s="21">
        <f>SUM(E6:E17)</f>
        <v/>
      </c>
      <c r="F18" s="21">
        <f>SUM(F6:F17)</f>
        <v/>
      </c>
      <c r="G18" s="21">
        <f>SUM(G6:G17)</f>
        <v/>
      </c>
      <c r="H18" s="21">
        <f>SUM(H6:H17)</f>
        <v/>
      </c>
      <c r="I18" s="21">
        <f>SUM(I6:I17)</f>
        <v/>
      </c>
      <c r="J18" s="21">
        <f>SUM(J6:J17)</f>
        <v/>
      </c>
      <c r="K18" s="21">
        <f>SUM(K6:K17)</f>
        <v/>
      </c>
      <c r="L18" s="21">
        <f>SUM(L6:L17)</f>
        <v/>
      </c>
    </row>
    <row r="19"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</row>
    <row r="20">
      <c r="A20" s="7" t="inlineStr">
        <is>
          <t>Uso e consumo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</row>
    <row r="21">
      <c r="A21" s="4" t="inlineStr">
        <is>
          <t xml:space="preserve">   2.01.85 Compra de Uso e Consumo</t>
        </is>
      </c>
      <c r="B21" s="28">
        <f>SUMIFS(Base!$N$2:$N$4835,Base!$B$2:$B$4835,"Uso e consumo",Base!$C$2:$C$4835,"2.01.85 Compra de Uso e Consumo",Base!$A$2:$A$4835,B$4)</f>
        <v/>
      </c>
      <c r="C21" s="28">
        <f>SUMIFS(Base!$N$2:$N$4835,Base!$B$2:$B$4835,"Uso e consumo",Base!$C$2:$C$4835,"2.01.85 Compra de Uso e Consumo",Base!$A$2:$A$4835,C$4)</f>
        <v/>
      </c>
      <c r="D21" s="28">
        <f>SUMIFS(Base!$N$2:$N$4835,Base!$B$2:$B$4835,"Uso e consumo",Base!$C$2:$C$4835,"2.01.85 Compra de Uso e Consumo",Base!$A$2:$A$4835,D$4)</f>
        <v/>
      </c>
      <c r="E21" s="28">
        <f>SUMIFS(Base!$N$2:$N$4835,Base!$B$2:$B$4835,"Uso e consumo",Base!$C$2:$C$4835,"2.01.85 Compra de Uso e Consumo",Base!$A$2:$A$4835,E$4)</f>
        <v/>
      </c>
      <c r="F21" s="28">
        <f>SUMIFS(Base!$N$2:$N$4835,Base!$B$2:$B$4835,"Uso e consumo",Base!$C$2:$C$4835,"2.01.85 Compra de Uso e Consumo",Base!$A$2:$A$4835,F$4)</f>
        <v/>
      </c>
      <c r="G21" s="28">
        <f>SUMIFS(Base!$N$2:$N$4835,Base!$B$2:$B$4835,"Uso e consumo",Base!$C$2:$C$4835,"2.01.85 Compra de Uso e Consumo",Base!$A$2:$A$4835,G$4)</f>
        <v/>
      </c>
      <c r="H21" s="28">
        <f>SUMIFS(Base!$N$2:$N$4835,Base!$B$2:$B$4835,"Uso e consumo",Base!$C$2:$C$4835,"2.01.85 Compra de Uso e Consumo",Base!$A$2:$A$4835,H$4)</f>
        <v/>
      </c>
      <c r="I21" s="28">
        <f>SUMIFS(Base!$N$2:$N$4835,Base!$B$2:$B$4835,"Uso e consumo",Base!$C$2:$C$4835,"2.01.85 Compra de Uso e Consumo",Base!$A$2:$A$4835,I$4)</f>
        <v/>
      </c>
      <c r="J21" s="28">
        <f>SUMIFS(Base!$N$2:$N$4835,Base!$B$2:$B$4835,"Uso e consumo",Base!$C$2:$C$4835,"2.01.85 Compra de Uso e Consumo",Base!$A$2:$A$4835,J$4)</f>
        <v/>
      </c>
      <c r="K21" s="28">
        <f>SUM(B21:J21)</f>
        <v/>
      </c>
      <c r="L21" s="28">
        <f>SUMIFS(Base!$N$2:$N$4835,Base!$B$2:$B$4835,"Uso e consumo",Base!$C$2:$C$4835,"2.01.85 Compra de Uso e Consumo",Base!$A$2:$A$4835,"Antes de 2026")</f>
        <v/>
      </c>
    </row>
    <row r="22">
      <c r="A22" s="4" t="inlineStr">
        <is>
          <t xml:space="preserve">   2.01.87 Compra de Peças de Máquinas</t>
        </is>
      </c>
      <c r="B22" s="28">
        <f>SUMIFS(Base!$N$2:$N$4835,Base!$B$2:$B$4835,"Uso e consumo",Base!$C$2:$C$4835,"2.01.87 Compra de Peças de Máquinas",Base!$A$2:$A$4835,B$4)</f>
        <v/>
      </c>
      <c r="C22" s="28">
        <f>SUMIFS(Base!$N$2:$N$4835,Base!$B$2:$B$4835,"Uso e consumo",Base!$C$2:$C$4835,"2.01.87 Compra de Peças de Máquinas",Base!$A$2:$A$4835,C$4)</f>
        <v/>
      </c>
      <c r="D22" s="28">
        <f>SUMIFS(Base!$N$2:$N$4835,Base!$B$2:$B$4835,"Uso e consumo",Base!$C$2:$C$4835,"2.01.87 Compra de Peças de Máquinas",Base!$A$2:$A$4835,D$4)</f>
        <v/>
      </c>
      <c r="E22" s="28">
        <f>SUMIFS(Base!$N$2:$N$4835,Base!$B$2:$B$4835,"Uso e consumo",Base!$C$2:$C$4835,"2.01.87 Compra de Peças de Máquinas",Base!$A$2:$A$4835,E$4)</f>
        <v/>
      </c>
      <c r="F22" s="28">
        <f>SUMIFS(Base!$N$2:$N$4835,Base!$B$2:$B$4835,"Uso e consumo",Base!$C$2:$C$4835,"2.01.87 Compra de Peças de Máquinas",Base!$A$2:$A$4835,F$4)</f>
        <v/>
      </c>
      <c r="G22" s="28">
        <f>SUMIFS(Base!$N$2:$N$4835,Base!$B$2:$B$4835,"Uso e consumo",Base!$C$2:$C$4835,"2.01.87 Compra de Peças de Máquinas",Base!$A$2:$A$4835,G$4)</f>
        <v/>
      </c>
      <c r="H22" s="28">
        <f>SUMIFS(Base!$N$2:$N$4835,Base!$B$2:$B$4835,"Uso e consumo",Base!$C$2:$C$4835,"2.01.87 Compra de Peças de Máquinas",Base!$A$2:$A$4835,H$4)</f>
        <v/>
      </c>
      <c r="I22" s="28">
        <f>SUMIFS(Base!$N$2:$N$4835,Base!$B$2:$B$4835,"Uso e consumo",Base!$C$2:$C$4835,"2.01.87 Compra de Peças de Máquinas",Base!$A$2:$A$4835,I$4)</f>
        <v/>
      </c>
      <c r="J22" s="28">
        <f>SUMIFS(Base!$N$2:$N$4835,Base!$B$2:$B$4835,"Uso e consumo",Base!$C$2:$C$4835,"2.01.87 Compra de Peças de Máquinas",Base!$A$2:$A$4835,J$4)</f>
        <v/>
      </c>
      <c r="K22" s="28">
        <f>SUM(B22:J22)</f>
        <v/>
      </c>
      <c r="L22" s="28">
        <f>SUMIFS(Base!$N$2:$N$4835,Base!$B$2:$B$4835,"Uso e consumo",Base!$C$2:$C$4835,"2.01.87 Compra de Peças de Máquinas",Base!$A$2:$A$4835,"Antes de 2026")</f>
        <v/>
      </c>
    </row>
    <row r="23">
      <c r="A23" s="4" t="inlineStr">
        <is>
          <t xml:space="preserve">   2.03.88 Compra de Fardamento</t>
        </is>
      </c>
      <c r="B23" s="28">
        <f>SUMIFS(Base!$N$2:$N$4835,Base!$B$2:$B$4835,"Uso e consumo",Base!$C$2:$C$4835,"2.03.88 Compra de Fardamento",Base!$A$2:$A$4835,B$4)</f>
        <v/>
      </c>
      <c r="C23" s="28">
        <f>SUMIFS(Base!$N$2:$N$4835,Base!$B$2:$B$4835,"Uso e consumo",Base!$C$2:$C$4835,"2.03.88 Compra de Fardamento",Base!$A$2:$A$4835,C$4)</f>
        <v/>
      </c>
      <c r="D23" s="28">
        <f>SUMIFS(Base!$N$2:$N$4835,Base!$B$2:$B$4835,"Uso e consumo",Base!$C$2:$C$4835,"2.03.88 Compra de Fardamento",Base!$A$2:$A$4835,D$4)</f>
        <v/>
      </c>
      <c r="E23" s="28">
        <f>SUMIFS(Base!$N$2:$N$4835,Base!$B$2:$B$4835,"Uso e consumo",Base!$C$2:$C$4835,"2.03.88 Compra de Fardamento",Base!$A$2:$A$4835,E$4)</f>
        <v/>
      </c>
      <c r="F23" s="28">
        <f>SUMIFS(Base!$N$2:$N$4835,Base!$B$2:$B$4835,"Uso e consumo",Base!$C$2:$C$4835,"2.03.88 Compra de Fardamento",Base!$A$2:$A$4835,F$4)</f>
        <v/>
      </c>
      <c r="G23" s="28">
        <f>SUMIFS(Base!$N$2:$N$4835,Base!$B$2:$B$4835,"Uso e consumo",Base!$C$2:$C$4835,"2.03.88 Compra de Fardamento",Base!$A$2:$A$4835,G$4)</f>
        <v/>
      </c>
      <c r="H23" s="28">
        <f>SUMIFS(Base!$N$2:$N$4835,Base!$B$2:$B$4835,"Uso e consumo",Base!$C$2:$C$4835,"2.03.88 Compra de Fardamento",Base!$A$2:$A$4835,H$4)</f>
        <v/>
      </c>
      <c r="I23" s="28">
        <f>SUMIFS(Base!$N$2:$N$4835,Base!$B$2:$B$4835,"Uso e consumo",Base!$C$2:$C$4835,"2.03.88 Compra de Fardamento",Base!$A$2:$A$4835,I$4)</f>
        <v/>
      </c>
      <c r="J23" s="28">
        <f>SUMIFS(Base!$N$2:$N$4835,Base!$B$2:$B$4835,"Uso e consumo",Base!$C$2:$C$4835,"2.03.88 Compra de Fardamento",Base!$A$2:$A$4835,J$4)</f>
        <v/>
      </c>
      <c r="K23" s="28">
        <f>SUM(B23:J23)</f>
        <v/>
      </c>
      <c r="L23" s="28">
        <f>SUMIFS(Base!$N$2:$N$4835,Base!$B$2:$B$4835,"Uso e consumo",Base!$C$2:$C$4835,"2.03.88 Compra de Fardamento",Base!$A$2:$A$4835,"Antes de 2026")</f>
        <v/>
      </c>
    </row>
    <row r="24">
      <c r="A24" s="4" t="inlineStr">
        <is>
          <t xml:space="preserve">   2.03.90 Compra de EPI</t>
        </is>
      </c>
      <c r="B24" s="28">
        <f>SUMIFS(Base!$N$2:$N$4835,Base!$B$2:$B$4835,"Uso e consumo",Base!$C$2:$C$4835,"2.03.90 Compra de EPI",Base!$A$2:$A$4835,B$4)</f>
        <v/>
      </c>
      <c r="C24" s="28">
        <f>SUMIFS(Base!$N$2:$N$4835,Base!$B$2:$B$4835,"Uso e consumo",Base!$C$2:$C$4835,"2.03.90 Compra de EPI",Base!$A$2:$A$4835,C$4)</f>
        <v/>
      </c>
      <c r="D24" s="28">
        <f>SUMIFS(Base!$N$2:$N$4835,Base!$B$2:$B$4835,"Uso e consumo",Base!$C$2:$C$4835,"2.03.90 Compra de EPI",Base!$A$2:$A$4835,D$4)</f>
        <v/>
      </c>
      <c r="E24" s="28">
        <f>SUMIFS(Base!$N$2:$N$4835,Base!$B$2:$B$4835,"Uso e consumo",Base!$C$2:$C$4835,"2.03.90 Compra de EPI",Base!$A$2:$A$4835,E$4)</f>
        <v/>
      </c>
      <c r="F24" s="28">
        <f>SUMIFS(Base!$N$2:$N$4835,Base!$B$2:$B$4835,"Uso e consumo",Base!$C$2:$C$4835,"2.03.90 Compra de EPI",Base!$A$2:$A$4835,F$4)</f>
        <v/>
      </c>
      <c r="G24" s="28">
        <f>SUMIFS(Base!$N$2:$N$4835,Base!$B$2:$B$4835,"Uso e consumo",Base!$C$2:$C$4835,"2.03.90 Compra de EPI",Base!$A$2:$A$4835,G$4)</f>
        <v/>
      </c>
      <c r="H24" s="28">
        <f>SUMIFS(Base!$N$2:$N$4835,Base!$B$2:$B$4835,"Uso e consumo",Base!$C$2:$C$4835,"2.03.90 Compra de EPI",Base!$A$2:$A$4835,H$4)</f>
        <v/>
      </c>
      <c r="I24" s="28">
        <f>SUMIFS(Base!$N$2:$N$4835,Base!$B$2:$B$4835,"Uso e consumo",Base!$C$2:$C$4835,"2.03.90 Compra de EPI",Base!$A$2:$A$4835,I$4)</f>
        <v/>
      </c>
      <c r="J24" s="28">
        <f>SUMIFS(Base!$N$2:$N$4835,Base!$B$2:$B$4835,"Uso e consumo",Base!$C$2:$C$4835,"2.03.90 Compra de EPI",Base!$A$2:$A$4835,J$4)</f>
        <v/>
      </c>
      <c r="K24" s="28">
        <f>SUM(B24:J24)</f>
        <v/>
      </c>
      <c r="L24" s="28">
        <f>SUMIFS(Base!$N$2:$N$4835,Base!$B$2:$B$4835,"Uso e consumo",Base!$C$2:$C$4835,"2.03.90 Compra de EPI",Base!$A$2:$A$4835,"Antes de 2026")</f>
        <v/>
      </c>
    </row>
    <row r="25">
      <c r="A25" s="4" t="inlineStr">
        <is>
          <t xml:space="preserve">   2.04.06 Material de Escritório</t>
        </is>
      </c>
      <c r="B25" s="28">
        <f>SUMIFS(Base!$N$2:$N$4835,Base!$B$2:$B$4835,"Uso e consumo",Base!$C$2:$C$4835,"2.04.06 Material de Escritório",Base!$A$2:$A$4835,B$4)</f>
        <v/>
      </c>
      <c r="C25" s="28">
        <f>SUMIFS(Base!$N$2:$N$4835,Base!$B$2:$B$4835,"Uso e consumo",Base!$C$2:$C$4835,"2.04.06 Material de Escritório",Base!$A$2:$A$4835,C$4)</f>
        <v/>
      </c>
      <c r="D25" s="28">
        <f>SUMIFS(Base!$N$2:$N$4835,Base!$B$2:$B$4835,"Uso e consumo",Base!$C$2:$C$4835,"2.04.06 Material de Escritório",Base!$A$2:$A$4835,D$4)</f>
        <v/>
      </c>
      <c r="E25" s="28">
        <f>SUMIFS(Base!$N$2:$N$4835,Base!$B$2:$B$4835,"Uso e consumo",Base!$C$2:$C$4835,"2.04.06 Material de Escritório",Base!$A$2:$A$4835,E$4)</f>
        <v/>
      </c>
      <c r="F25" s="28">
        <f>SUMIFS(Base!$N$2:$N$4835,Base!$B$2:$B$4835,"Uso e consumo",Base!$C$2:$C$4835,"2.04.06 Material de Escritório",Base!$A$2:$A$4835,F$4)</f>
        <v/>
      </c>
      <c r="G25" s="28">
        <f>SUMIFS(Base!$N$2:$N$4835,Base!$B$2:$B$4835,"Uso e consumo",Base!$C$2:$C$4835,"2.04.06 Material de Escritório",Base!$A$2:$A$4835,G$4)</f>
        <v/>
      </c>
      <c r="H25" s="28">
        <f>SUMIFS(Base!$N$2:$N$4835,Base!$B$2:$B$4835,"Uso e consumo",Base!$C$2:$C$4835,"2.04.06 Material de Escritório",Base!$A$2:$A$4835,H$4)</f>
        <v/>
      </c>
      <c r="I25" s="28">
        <f>SUMIFS(Base!$N$2:$N$4835,Base!$B$2:$B$4835,"Uso e consumo",Base!$C$2:$C$4835,"2.04.06 Material de Escritório",Base!$A$2:$A$4835,I$4)</f>
        <v/>
      </c>
      <c r="J25" s="28">
        <f>SUMIFS(Base!$N$2:$N$4835,Base!$B$2:$B$4835,"Uso e consumo",Base!$C$2:$C$4835,"2.04.06 Material de Escritório",Base!$A$2:$A$4835,J$4)</f>
        <v/>
      </c>
      <c r="K25" s="28">
        <f>SUM(B25:J25)</f>
        <v/>
      </c>
      <c r="L25" s="28">
        <f>SUMIFS(Base!$N$2:$N$4835,Base!$B$2:$B$4835,"Uso e consumo",Base!$C$2:$C$4835,"2.04.06 Material de Escritório",Base!$A$2:$A$4835,"Antes de 2026")</f>
        <v/>
      </c>
    </row>
    <row r="26">
      <c r="A26" s="4" t="inlineStr">
        <is>
          <t xml:space="preserve">   2.04.91 Compra de Material de Limpeza</t>
        </is>
      </c>
      <c r="B26" s="28">
        <f>SUMIFS(Base!$N$2:$N$4835,Base!$B$2:$B$4835,"Uso e consumo",Base!$C$2:$C$4835,"2.04.91 Compra de Material de Limpeza",Base!$A$2:$A$4835,B$4)</f>
        <v/>
      </c>
      <c r="C26" s="28">
        <f>SUMIFS(Base!$N$2:$N$4835,Base!$B$2:$B$4835,"Uso e consumo",Base!$C$2:$C$4835,"2.04.91 Compra de Material de Limpeza",Base!$A$2:$A$4835,C$4)</f>
        <v/>
      </c>
      <c r="D26" s="28">
        <f>SUMIFS(Base!$N$2:$N$4835,Base!$B$2:$B$4835,"Uso e consumo",Base!$C$2:$C$4835,"2.04.91 Compra de Material de Limpeza",Base!$A$2:$A$4835,D$4)</f>
        <v/>
      </c>
      <c r="E26" s="28">
        <f>SUMIFS(Base!$N$2:$N$4835,Base!$B$2:$B$4835,"Uso e consumo",Base!$C$2:$C$4835,"2.04.91 Compra de Material de Limpeza",Base!$A$2:$A$4835,E$4)</f>
        <v/>
      </c>
      <c r="F26" s="28">
        <f>SUMIFS(Base!$N$2:$N$4835,Base!$B$2:$B$4835,"Uso e consumo",Base!$C$2:$C$4835,"2.04.91 Compra de Material de Limpeza",Base!$A$2:$A$4835,F$4)</f>
        <v/>
      </c>
      <c r="G26" s="28">
        <f>SUMIFS(Base!$N$2:$N$4835,Base!$B$2:$B$4835,"Uso e consumo",Base!$C$2:$C$4835,"2.04.91 Compra de Material de Limpeza",Base!$A$2:$A$4835,G$4)</f>
        <v/>
      </c>
      <c r="H26" s="28">
        <f>SUMIFS(Base!$N$2:$N$4835,Base!$B$2:$B$4835,"Uso e consumo",Base!$C$2:$C$4835,"2.04.91 Compra de Material de Limpeza",Base!$A$2:$A$4835,H$4)</f>
        <v/>
      </c>
      <c r="I26" s="28">
        <f>SUMIFS(Base!$N$2:$N$4835,Base!$B$2:$B$4835,"Uso e consumo",Base!$C$2:$C$4835,"2.04.91 Compra de Material de Limpeza",Base!$A$2:$A$4835,I$4)</f>
        <v/>
      </c>
      <c r="J26" s="28">
        <f>SUMIFS(Base!$N$2:$N$4835,Base!$B$2:$B$4835,"Uso e consumo",Base!$C$2:$C$4835,"2.04.91 Compra de Material de Limpeza",Base!$A$2:$A$4835,J$4)</f>
        <v/>
      </c>
      <c r="K26" s="28">
        <f>SUM(B26:J26)</f>
        <v/>
      </c>
      <c r="L26" s="28">
        <f>SUMIFS(Base!$N$2:$N$4835,Base!$B$2:$B$4835,"Uso e consumo",Base!$C$2:$C$4835,"2.04.91 Compra de Material de Limpeza",Base!$A$2:$A$4835,"Antes de 2026")</f>
        <v/>
      </c>
    </row>
    <row r="27">
      <c r="A27" s="4" t="inlineStr">
        <is>
          <t xml:space="preserve">   2.04.95 Copa e Cozinha</t>
        </is>
      </c>
      <c r="B27" s="28">
        <f>SUMIFS(Base!$N$2:$N$4835,Base!$B$2:$B$4835,"Uso e consumo",Base!$C$2:$C$4835,"2.04.95 Copa e Cozinha",Base!$A$2:$A$4835,B$4)</f>
        <v/>
      </c>
      <c r="C27" s="28">
        <f>SUMIFS(Base!$N$2:$N$4835,Base!$B$2:$B$4835,"Uso e consumo",Base!$C$2:$C$4835,"2.04.95 Copa e Cozinha",Base!$A$2:$A$4835,C$4)</f>
        <v/>
      </c>
      <c r="D27" s="28">
        <f>SUMIFS(Base!$N$2:$N$4835,Base!$B$2:$B$4835,"Uso e consumo",Base!$C$2:$C$4835,"2.04.95 Copa e Cozinha",Base!$A$2:$A$4835,D$4)</f>
        <v/>
      </c>
      <c r="E27" s="28">
        <f>SUMIFS(Base!$N$2:$N$4835,Base!$B$2:$B$4835,"Uso e consumo",Base!$C$2:$C$4835,"2.04.95 Copa e Cozinha",Base!$A$2:$A$4835,E$4)</f>
        <v/>
      </c>
      <c r="F27" s="28">
        <f>SUMIFS(Base!$N$2:$N$4835,Base!$B$2:$B$4835,"Uso e consumo",Base!$C$2:$C$4835,"2.04.95 Copa e Cozinha",Base!$A$2:$A$4835,F$4)</f>
        <v/>
      </c>
      <c r="G27" s="28">
        <f>SUMIFS(Base!$N$2:$N$4835,Base!$B$2:$B$4835,"Uso e consumo",Base!$C$2:$C$4835,"2.04.95 Copa e Cozinha",Base!$A$2:$A$4835,G$4)</f>
        <v/>
      </c>
      <c r="H27" s="28">
        <f>SUMIFS(Base!$N$2:$N$4835,Base!$B$2:$B$4835,"Uso e consumo",Base!$C$2:$C$4835,"2.04.95 Copa e Cozinha",Base!$A$2:$A$4835,H$4)</f>
        <v/>
      </c>
      <c r="I27" s="28">
        <f>SUMIFS(Base!$N$2:$N$4835,Base!$B$2:$B$4835,"Uso e consumo",Base!$C$2:$C$4835,"2.04.95 Copa e Cozinha",Base!$A$2:$A$4835,I$4)</f>
        <v/>
      </c>
      <c r="J27" s="28">
        <f>SUMIFS(Base!$N$2:$N$4835,Base!$B$2:$B$4835,"Uso e consumo",Base!$C$2:$C$4835,"2.04.95 Copa e Cozinha",Base!$A$2:$A$4835,J$4)</f>
        <v/>
      </c>
      <c r="K27" s="28">
        <f>SUM(B27:J27)</f>
        <v/>
      </c>
      <c r="L27" s="28">
        <f>SUMIFS(Base!$N$2:$N$4835,Base!$B$2:$B$4835,"Uso e consumo",Base!$C$2:$C$4835,"2.04.95 Copa e Cozinha",Base!$A$2:$A$4835,"Antes de 2026")</f>
        <v/>
      </c>
    </row>
    <row r="28">
      <c r="A28" s="4" t="inlineStr">
        <is>
          <t xml:space="preserve">   2.04.96 Bens de Pequeno Valor</t>
        </is>
      </c>
      <c r="B28" s="28">
        <f>SUMIFS(Base!$N$2:$N$4835,Base!$B$2:$B$4835,"Uso e consumo",Base!$C$2:$C$4835,"2.04.96 Bens de Pequeno Valor",Base!$A$2:$A$4835,B$4)</f>
        <v/>
      </c>
      <c r="C28" s="28">
        <f>SUMIFS(Base!$N$2:$N$4835,Base!$B$2:$B$4835,"Uso e consumo",Base!$C$2:$C$4835,"2.04.96 Bens de Pequeno Valor",Base!$A$2:$A$4835,C$4)</f>
        <v/>
      </c>
      <c r="D28" s="28">
        <f>SUMIFS(Base!$N$2:$N$4835,Base!$B$2:$B$4835,"Uso e consumo",Base!$C$2:$C$4835,"2.04.96 Bens de Pequeno Valor",Base!$A$2:$A$4835,D$4)</f>
        <v/>
      </c>
      <c r="E28" s="28">
        <f>SUMIFS(Base!$N$2:$N$4835,Base!$B$2:$B$4835,"Uso e consumo",Base!$C$2:$C$4835,"2.04.96 Bens de Pequeno Valor",Base!$A$2:$A$4835,E$4)</f>
        <v/>
      </c>
      <c r="F28" s="28">
        <f>SUMIFS(Base!$N$2:$N$4835,Base!$B$2:$B$4835,"Uso e consumo",Base!$C$2:$C$4835,"2.04.96 Bens de Pequeno Valor",Base!$A$2:$A$4835,F$4)</f>
        <v/>
      </c>
      <c r="G28" s="28">
        <f>SUMIFS(Base!$N$2:$N$4835,Base!$B$2:$B$4835,"Uso e consumo",Base!$C$2:$C$4835,"2.04.96 Bens de Pequeno Valor",Base!$A$2:$A$4835,G$4)</f>
        <v/>
      </c>
      <c r="H28" s="28">
        <f>SUMIFS(Base!$N$2:$N$4835,Base!$B$2:$B$4835,"Uso e consumo",Base!$C$2:$C$4835,"2.04.96 Bens de Pequeno Valor",Base!$A$2:$A$4835,H$4)</f>
        <v/>
      </c>
      <c r="I28" s="28">
        <f>SUMIFS(Base!$N$2:$N$4835,Base!$B$2:$B$4835,"Uso e consumo",Base!$C$2:$C$4835,"2.04.96 Bens de Pequeno Valor",Base!$A$2:$A$4835,I$4)</f>
        <v/>
      </c>
      <c r="J28" s="28">
        <f>SUMIFS(Base!$N$2:$N$4835,Base!$B$2:$B$4835,"Uso e consumo",Base!$C$2:$C$4835,"2.04.96 Bens de Pequeno Valor",Base!$A$2:$A$4835,J$4)</f>
        <v/>
      </c>
      <c r="K28" s="28">
        <f>SUM(B28:J28)</f>
        <v/>
      </c>
      <c r="L28" s="28">
        <f>SUMIFS(Base!$N$2:$N$4835,Base!$B$2:$B$4835,"Uso e consumo",Base!$C$2:$C$4835,"2.04.96 Bens de Pequeno Valor",Base!$A$2:$A$4835,"Antes de 2026")</f>
        <v/>
      </c>
    </row>
    <row r="29">
      <c r="A29" s="7" t="inlineStr">
        <is>
          <t>Total Uso e consumo</t>
        </is>
      </c>
      <c r="B29" s="21">
        <f>SUM(B21:B28)</f>
        <v/>
      </c>
      <c r="C29" s="21">
        <f>SUM(C21:C28)</f>
        <v/>
      </c>
      <c r="D29" s="21">
        <f>SUM(D21:D28)</f>
        <v/>
      </c>
      <c r="E29" s="21">
        <f>SUM(E21:E28)</f>
        <v/>
      </c>
      <c r="F29" s="21">
        <f>SUM(F21:F28)</f>
        <v/>
      </c>
      <c r="G29" s="21">
        <f>SUM(G21:G28)</f>
        <v/>
      </c>
      <c r="H29" s="21">
        <f>SUM(H21:H28)</f>
        <v/>
      </c>
      <c r="I29" s="21">
        <f>SUM(I21:I28)</f>
        <v/>
      </c>
      <c r="J29" s="21">
        <f>SUM(J21:J28)</f>
        <v/>
      </c>
      <c r="K29" s="21">
        <f>SUM(K21:K28)</f>
        <v/>
      </c>
      <c r="L29" s="21">
        <f>SUM(L21:L28)</f>
        <v/>
      </c>
    </row>
    <row r="30"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</row>
    <row r="31">
      <c r="A31" s="7" t="inlineStr">
        <is>
          <t>Frete de compra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</row>
    <row r="32">
      <c r="A32" s="4" t="inlineStr">
        <is>
          <t xml:space="preserve">   Frete de compra</t>
        </is>
      </c>
      <c r="B32" s="28">
        <f>SUMIFS(Base!$N$2:$N$4835,Base!$B$2:$B$4835,"Frete de compra",Base!$C$2:$C$4835,"Frete de compra",Base!$A$2:$A$4835,B$4)</f>
        <v/>
      </c>
      <c r="C32" s="28">
        <f>SUMIFS(Base!$N$2:$N$4835,Base!$B$2:$B$4835,"Frete de compra",Base!$C$2:$C$4835,"Frete de compra",Base!$A$2:$A$4835,C$4)</f>
        <v/>
      </c>
      <c r="D32" s="28">
        <f>SUMIFS(Base!$N$2:$N$4835,Base!$B$2:$B$4835,"Frete de compra",Base!$C$2:$C$4835,"Frete de compra",Base!$A$2:$A$4835,D$4)</f>
        <v/>
      </c>
      <c r="E32" s="28">
        <f>SUMIFS(Base!$N$2:$N$4835,Base!$B$2:$B$4835,"Frete de compra",Base!$C$2:$C$4835,"Frete de compra",Base!$A$2:$A$4835,E$4)</f>
        <v/>
      </c>
      <c r="F32" s="28">
        <f>SUMIFS(Base!$N$2:$N$4835,Base!$B$2:$B$4835,"Frete de compra",Base!$C$2:$C$4835,"Frete de compra",Base!$A$2:$A$4835,F$4)</f>
        <v/>
      </c>
      <c r="G32" s="28">
        <f>SUMIFS(Base!$N$2:$N$4835,Base!$B$2:$B$4835,"Frete de compra",Base!$C$2:$C$4835,"Frete de compra",Base!$A$2:$A$4835,G$4)</f>
        <v/>
      </c>
      <c r="H32" s="28">
        <f>SUMIFS(Base!$N$2:$N$4835,Base!$B$2:$B$4835,"Frete de compra",Base!$C$2:$C$4835,"Frete de compra",Base!$A$2:$A$4835,H$4)</f>
        <v/>
      </c>
      <c r="I32" s="28">
        <f>SUMIFS(Base!$N$2:$N$4835,Base!$B$2:$B$4835,"Frete de compra",Base!$C$2:$C$4835,"Frete de compra",Base!$A$2:$A$4835,I$4)</f>
        <v/>
      </c>
      <c r="J32" s="28">
        <f>SUMIFS(Base!$N$2:$N$4835,Base!$B$2:$B$4835,"Frete de compra",Base!$C$2:$C$4835,"Frete de compra",Base!$A$2:$A$4835,J$4)</f>
        <v/>
      </c>
      <c r="K32" s="28">
        <f>SUM(B32:J32)</f>
        <v/>
      </c>
      <c r="L32" s="28">
        <f>SUMIFS(Base!$N$2:$N$4835,Base!$B$2:$B$4835,"Frete de compra",Base!$C$2:$C$4835,"Frete de compra",Base!$A$2:$A$4835,"Antes de 2026")</f>
        <v/>
      </c>
    </row>
    <row r="33">
      <c r="A33" s="7" t="inlineStr">
        <is>
          <t>Total Frete de compra</t>
        </is>
      </c>
      <c r="B33" s="21">
        <f>SUM(B32:B32)</f>
        <v/>
      </c>
      <c r="C33" s="21">
        <f>SUM(C32:C32)</f>
        <v/>
      </c>
      <c r="D33" s="21">
        <f>SUM(D32:D32)</f>
        <v/>
      </c>
      <c r="E33" s="21">
        <f>SUM(E32:E32)</f>
        <v/>
      </c>
      <c r="F33" s="21">
        <f>SUM(F32:F32)</f>
        <v/>
      </c>
      <c r="G33" s="21">
        <f>SUM(G32:G32)</f>
        <v/>
      </c>
      <c r="H33" s="21">
        <f>SUM(H32:H32)</f>
        <v/>
      </c>
      <c r="I33" s="21">
        <f>SUM(I32:I32)</f>
        <v/>
      </c>
      <c r="J33" s="21">
        <f>SUM(J32:J32)</f>
        <v/>
      </c>
      <c r="K33" s="21">
        <f>SUM(K32:K32)</f>
        <v/>
      </c>
      <c r="L33" s="21">
        <f>SUM(L32:L32)</f>
        <v/>
      </c>
    </row>
    <row r="34"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</row>
    <row r="35">
      <c r="A35" s="7" t="inlineStr">
        <is>
          <t>Frete de venda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</row>
    <row r="36">
      <c r="A36" s="4" t="inlineStr">
        <is>
          <t xml:space="preserve">   Frete de venda (para clientes)</t>
        </is>
      </c>
      <c r="B36" s="28">
        <f>SUMIFS(Base!$N$2:$N$4835,Base!$B$2:$B$4835,"Frete de venda",Base!$C$2:$C$4835,"Frete de venda (para clientes)",Base!$A$2:$A$4835,B$4)</f>
        <v/>
      </c>
      <c r="C36" s="28">
        <f>SUMIFS(Base!$N$2:$N$4835,Base!$B$2:$B$4835,"Frete de venda",Base!$C$2:$C$4835,"Frete de venda (para clientes)",Base!$A$2:$A$4835,C$4)</f>
        <v/>
      </c>
      <c r="D36" s="28">
        <f>SUMIFS(Base!$N$2:$N$4835,Base!$B$2:$B$4835,"Frete de venda",Base!$C$2:$C$4835,"Frete de venda (para clientes)",Base!$A$2:$A$4835,D$4)</f>
        <v/>
      </c>
      <c r="E36" s="28">
        <f>SUMIFS(Base!$N$2:$N$4835,Base!$B$2:$B$4835,"Frete de venda",Base!$C$2:$C$4835,"Frete de venda (para clientes)",Base!$A$2:$A$4835,E$4)</f>
        <v/>
      </c>
      <c r="F36" s="28">
        <f>SUMIFS(Base!$N$2:$N$4835,Base!$B$2:$B$4835,"Frete de venda",Base!$C$2:$C$4835,"Frete de venda (para clientes)",Base!$A$2:$A$4835,F$4)</f>
        <v/>
      </c>
      <c r="G36" s="28">
        <f>SUMIFS(Base!$N$2:$N$4835,Base!$B$2:$B$4835,"Frete de venda",Base!$C$2:$C$4835,"Frete de venda (para clientes)",Base!$A$2:$A$4835,G$4)</f>
        <v/>
      </c>
      <c r="H36" s="28">
        <f>SUMIFS(Base!$N$2:$N$4835,Base!$B$2:$B$4835,"Frete de venda",Base!$C$2:$C$4835,"Frete de venda (para clientes)",Base!$A$2:$A$4835,H$4)</f>
        <v/>
      </c>
      <c r="I36" s="28">
        <f>SUMIFS(Base!$N$2:$N$4835,Base!$B$2:$B$4835,"Frete de venda",Base!$C$2:$C$4835,"Frete de venda (para clientes)",Base!$A$2:$A$4835,I$4)</f>
        <v/>
      </c>
      <c r="J36" s="28">
        <f>SUMIFS(Base!$N$2:$N$4835,Base!$B$2:$B$4835,"Frete de venda",Base!$C$2:$C$4835,"Frete de venda (para clientes)",Base!$A$2:$A$4835,J$4)</f>
        <v/>
      </c>
      <c r="K36" s="28">
        <f>SUM(B36:J36)</f>
        <v/>
      </c>
      <c r="L36" s="28">
        <f>SUMIFS(Base!$N$2:$N$4835,Base!$B$2:$B$4835,"Frete de venda",Base!$C$2:$C$4835,"Frete de venda (para clientes)",Base!$A$2:$A$4835,"Antes de 2026")</f>
        <v/>
      </c>
    </row>
    <row r="37">
      <c r="A37" s="7" t="inlineStr">
        <is>
          <t>Total Frete de venda</t>
        </is>
      </c>
      <c r="B37" s="21">
        <f>SUM(B36:B36)</f>
        <v/>
      </c>
      <c r="C37" s="21">
        <f>SUM(C36:C36)</f>
        <v/>
      </c>
      <c r="D37" s="21">
        <f>SUM(D36:D36)</f>
        <v/>
      </c>
      <c r="E37" s="21">
        <f>SUM(E36:E36)</f>
        <v/>
      </c>
      <c r="F37" s="21">
        <f>SUM(F36:F36)</f>
        <v/>
      </c>
      <c r="G37" s="21">
        <f>SUM(G36:G36)</f>
        <v/>
      </c>
      <c r="H37" s="21">
        <f>SUM(H36:H36)</f>
        <v/>
      </c>
      <c r="I37" s="21">
        <f>SUM(I36:I36)</f>
        <v/>
      </c>
      <c r="J37" s="21">
        <f>SUM(J36:J36)</f>
        <v/>
      </c>
      <c r="K37" s="21">
        <f>SUM(K36:K36)</f>
        <v/>
      </c>
      <c r="L37" s="21">
        <f>SUM(L36:L36)</f>
        <v/>
      </c>
    </row>
    <row r="38"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</row>
    <row r="39">
      <c r="A39" s="7" t="inlineStr">
        <is>
          <t>TOTAL DAS DESPESAS (líquido de créditos)</t>
        </is>
      </c>
      <c r="B39" s="21">
        <f>B18+B29+B33+B37</f>
        <v/>
      </c>
      <c r="C39" s="21">
        <f>C18+C29+C33+C37</f>
        <v/>
      </c>
      <c r="D39" s="21">
        <f>D18+D29+D33+D37</f>
        <v/>
      </c>
      <c r="E39" s="21">
        <f>E18+E29+E33+E37</f>
        <v/>
      </c>
      <c r="F39" s="21">
        <f>F18+F29+F33+F37</f>
        <v/>
      </c>
      <c r="G39" s="21">
        <f>G18+G29+G33+G37</f>
        <v/>
      </c>
      <c r="H39" s="21">
        <f>H18+H29+H33+H37</f>
        <v/>
      </c>
      <c r="I39" s="21">
        <f>I18+I29+I33+I37</f>
        <v/>
      </c>
      <c r="J39" s="21">
        <f>J18+J29+J33+J37</f>
        <v/>
      </c>
      <c r="K39" s="21">
        <f>K18+K29+K33+K37</f>
        <v/>
      </c>
      <c r="L39" s="21">
        <f>L18+L29+L33+L37</f>
        <v/>
      </c>
    </row>
    <row r="40"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</row>
    <row r="41">
      <c r="A41" s="4" t="inlineStr">
        <is>
          <t>Memo: valor bruto (com impostos)</t>
        </is>
      </c>
      <c r="B41" s="28">
        <f>SUMIFS(Base!$H$2:$H$4835,Base!$A$2:$A$4835,B$4)</f>
        <v/>
      </c>
      <c r="C41" s="28">
        <f>SUMIFS(Base!$H$2:$H$4835,Base!$A$2:$A$4835,C$4)</f>
        <v/>
      </c>
      <c r="D41" s="28">
        <f>SUMIFS(Base!$H$2:$H$4835,Base!$A$2:$A$4835,D$4)</f>
        <v/>
      </c>
      <c r="E41" s="28">
        <f>SUMIFS(Base!$H$2:$H$4835,Base!$A$2:$A$4835,E$4)</f>
        <v/>
      </c>
      <c r="F41" s="28">
        <f>SUMIFS(Base!$H$2:$H$4835,Base!$A$2:$A$4835,F$4)</f>
        <v/>
      </c>
      <c r="G41" s="28">
        <f>SUMIFS(Base!$H$2:$H$4835,Base!$A$2:$A$4835,G$4)</f>
        <v/>
      </c>
      <c r="H41" s="28">
        <f>SUMIFS(Base!$H$2:$H$4835,Base!$A$2:$A$4835,H$4)</f>
        <v/>
      </c>
      <c r="I41" s="28">
        <f>SUMIFS(Base!$H$2:$H$4835,Base!$A$2:$A$4835,I$4)</f>
        <v/>
      </c>
      <c r="J41" s="28">
        <f>SUMIFS(Base!$H$2:$H$4835,Base!$A$2:$A$4835,J$4)</f>
        <v/>
      </c>
      <c r="K41" s="28">
        <f>SUM(B41:J41)</f>
        <v/>
      </c>
      <c r="L41" s="28">
        <f>SUMIFS(Base!$H$2:$H$4835,Base!$A$2:$A$4835,"Antes de 2026")</f>
        <v/>
      </c>
    </row>
    <row r="42">
      <c r="A42" s="4" t="inlineStr">
        <is>
          <t>Memo: créditos de impostos abatidos</t>
        </is>
      </c>
      <c r="B42" s="28">
        <f>SUMIFS(Base!$M$2:$M$4835,Base!$A$2:$A$4835,B$4)</f>
        <v/>
      </c>
      <c r="C42" s="28">
        <f>SUMIFS(Base!$M$2:$M$4835,Base!$A$2:$A$4835,C$4)</f>
        <v/>
      </c>
      <c r="D42" s="28">
        <f>SUMIFS(Base!$M$2:$M$4835,Base!$A$2:$A$4835,D$4)</f>
        <v/>
      </c>
      <c r="E42" s="28">
        <f>SUMIFS(Base!$M$2:$M$4835,Base!$A$2:$A$4835,E$4)</f>
        <v/>
      </c>
      <c r="F42" s="28">
        <f>SUMIFS(Base!$M$2:$M$4835,Base!$A$2:$A$4835,F$4)</f>
        <v/>
      </c>
      <c r="G42" s="28">
        <f>SUMIFS(Base!$M$2:$M$4835,Base!$A$2:$A$4835,G$4)</f>
        <v/>
      </c>
      <c r="H42" s="28">
        <f>SUMIFS(Base!$M$2:$M$4835,Base!$A$2:$A$4835,H$4)</f>
        <v/>
      </c>
      <c r="I42" s="28">
        <f>SUMIFS(Base!$M$2:$M$4835,Base!$A$2:$A$4835,I$4)</f>
        <v/>
      </c>
      <c r="J42" s="28">
        <f>SUMIFS(Base!$M$2:$M$4835,Base!$A$2:$A$4835,J$4)</f>
        <v/>
      </c>
      <c r="K42" s="28">
        <f>SUM(B42:J42)</f>
        <v/>
      </c>
      <c r="L42" s="28">
        <f>SUMIFS(Base!$M$2:$M$4835,Base!$A$2:$A$4835,"Antes de 2026")</f>
        <v/>
      </c>
    </row>
    <row r="43">
      <c r="A43" t="inlineStr">
        <is>
          <t>Conferência: bruto − créditos − total (deve ser zero)</t>
        </is>
      </c>
      <c r="B43" s="28">
        <f>ROUND(B41-B42-B39,2)</f>
        <v/>
      </c>
      <c r="C43" s="28">
        <f>ROUND(C41-C42-C39,2)</f>
        <v/>
      </c>
      <c r="D43" s="28">
        <f>ROUND(D41-D42-D39,2)</f>
        <v/>
      </c>
      <c r="E43" s="28">
        <f>ROUND(E41-E42-E39,2)</f>
        <v/>
      </c>
      <c r="F43" s="28">
        <f>ROUND(F41-F42-F39,2)</f>
        <v/>
      </c>
      <c r="G43" s="28">
        <f>ROUND(G41-G42-G39,2)</f>
        <v/>
      </c>
      <c r="H43" s="28">
        <f>ROUND(H41-H42-H39,2)</f>
        <v/>
      </c>
      <c r="I43" s="28">
        <f>ROUND(I41-I42-I39,2)</f>
        <v/>
      </c>
      <c r="J43" s="28">
        <f>ROUND(J41-J42-J39,2)</f>
        <v/>
      </c>
      <c r="K43" s="28">
        <f>ROUND(K41-K42-K39,2)</f>
        <v/>
      </c>
      <c r="L43" s="28">
        <f>ROUND(L41-L42-L39,2)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Comparação mensal – custo líquido de créditos (R$, positivo = gasto)</t>
        </is>
      </c>
    </row>
    <row r="2">
      <c r="A2" t="inlineStr">
        <is>
          <t>Variação = mês contra o mês anterior. Vermelho: alta acima de 20%; verde: queda acima de 20%. Pico = mês de maior gasto.</t>
        </is>
      </c>
    </row>
    <row r="4">
      <c r="A4" s="2" t="inlineStr">
        <is>
          <t>Por destino</t>
        </is>
      </c>
      <c r="B4" s="17" t="n">
        <v>46023</v>
      </c>
      <c r="C4" s="17" t="n">
        <v>46054</v>
      </c>
      <c r="D4" s="17" t="n">
        <v>46082</v>
      </c>
      <c r="E4" s="17" t="n">
        <v>46113</v>
      </c>
      <c r="F4" s="17" t="n">
        <v>46143</v>
      </c>
      <c r="G4" s="17" t="n">
        <v>46174</v>
      </c>
      <c r="H4" s="17" t="n">
        <v>46204</v>
      </c>
      <c r="I4" s="17" t="n">
        <v>46235</v>
      </c>
      <c r="J4" s="17" t="n">
        <v>46266</v>
      </c>
      <c r="K4" s="2" t="inlineStr">
        <is>
          <t>Total 2026</t>
        </is>
      </c>
      <c r="L4" s="2" t="inlineStr">
        <is>
          <t>Média mensal</t>
        </is>
      </c>
      <c r="M4" s="2" t="inlineStr">
        <is>
          <t>Maior mês</t>
        </is>
      </c>
      <c r="N4" s="2" t="inlineStr">
        <is>
          <t>Mês do pico</t>
        </is>
      </c>
    </row>
    <row r="5">
      <c r="A5" s="4" t="inlineStr">
        <is>
          <t>Insumos e papel</t>
        </is>
      </c>
      <c r="B5" s="19">
        <f>SUMIFS(Base!$N$2:$N$4835,Base!$B$2:$B$4835,"Insumos e papel",Base!$A$2:$A$4835,B$4)</f>
        <v/>
      </c>
      <c r="C5" s="19">
        <f>SUMIFS(Base!$N$2:$N$4835,Base!$B$2:$B$4835,"Insumos e papel",Base!$A$2:$A$4835,C$4)</f>
        <v/>
      </c>
      <c r="D5" s="19">
        <f>SUMIFS(Base!$N$2:$N$4835,Base!$B$2:$B$4835,"Insumos e papel",Base!$A$2:$A$4835,D$4)</f>
        <v/>
      </c>
      <c r="E5" s="19">
        <f>SUMIFS(Base!$N$2:$N$4835,Base!$B$2:$B$4835,"Insumos e papel",Base!$A$2:$A$4835,E$4)</f>
        <v/>
      </c>
      <c r="F5" s="19">
        <f>SUMIFS(Base!$N$2:$N$4835,Base!$B$2:$B$4835,"Insumos e papel",Base!$A$2:$A$4835,F$4)</f>
        <v/>
      </c>
      <c r="G5" s="19">
        <f>SUMIFS(Base!$N$2:$N$4835,Base!$B$2:$B$4835,"Insumos e papel",Base!$A$2:$A$4835,G$4)</f>
        <v/>
      </c>
      <c r="H5" s="19">
        <f>SUMIFS(Base!$N$2:$N$4835,Base!$B$2:$B$4835,"Insumos e papel",Base!$A$2:$A$4835,H$4)</f>
        <v/>
      </c>
      <c r="I5" s="19">
        <f>SUMIFS(Base!$N$2:$N$4835,Base!$B$2:$B$4835,"Insumos e papel",Base!$A$2:$A$4835,I$4)</f>
        <v/>
      </c>
      <c r="J5" s="19">
        <f>SUMIFS(Base!$N$2:$N$4835,Base!$B$2:$B$4835,"Insumos e papel",Base!$A$2:$A$4835,J$4)</f>
        <v/>
      </c>
      <c r="K5" s="19">
        <f>SUM(B5:J5)</f>
        <v/>
      </c>
      <c r="L5" s="19">
        <f>AVERAGE(B5:J5)</f>
        <v/>
      </c>
      <c r="M5" s="19">
        <f>MAX(B5:J5)</f>
        <v/>
      </c>
      <c r="N5" s="24">
        <f>IF(M5=0,"",INDEX($B$4:$J$4,MATCH(M5,B5:J5,0)))</f>
        <v/>
      </c>
    </row>
    <row r="6">
      <c r="A6" s="4" t="inlineStr">
        <is>
          <t>Uso e consumo</t>
        </is>
      </c>
      <c r="B6" s="19">
        <f>SUMIFS(Base!$N$2:$N$4835,Base!$B$2:$B$4835,"Uso e consumo",Base!$A$2:$A$4835,B$4)</f>
        <v/>
      </c>
      <c r="C6" s="19">
        <f>SUMIFS(Base!$N$2:$N$4835,Base!$B$2:$B$4835,"Uso e consumo",Base!$A$2:$A$4835,C$4)</f>
        <v/>
      </c>
      <c r="D6" s="19">
        <f>SUMIFS(Base!$N$2:$N$4835,Base!$B$2:$B$4835,"Uso e consumo",Base!$A$2:$A$4835,D$4)</f>
        <v/>
      </c>
      <c r="E6" s="19">
        <f>SUMIFS(Base!$N$2:$N$4835,Base!$B$2:$B$4835,"Uso e consumo",Base!$A$2:$A$4835,E$4)</f>
        <v/>
      </c>
      <c r="F6" s="19">
        <f>SUMIFS(Base!$N$2:$N$4835,Base!$B$2:$B$4835,"Uso e consumo",Base!$A$2:$A$4835,F$4)</f>
        <v/>
      </c>
      <c r="G6" s="19">
        <f>SUMIFS(Base!$N$2:$N$4835,Base!$B$2:$B$4835,"Uso e consumo",Base!$A$2:$A$4835,G$4)</f>
        <v/>
      </c>
      <c r="H6" s="19">
        <f>SUMIFS(Base!$N$2:$N$4835,Base!$B$2:$B$4835,"Uso e consumo",Base!$A$2:$A$4835,H$4)</f>
        <v/>
      </c>
      <c r="I6" s="19">
        <f>SUMIFS(Base!$N$2:$N$4835,Base!$B$2:$B$4835,"Uso e consumo",Base!$A$2:$A$4835,I$4)</f>
        <v/>
      </c>
      <c r="J6" s="19">
        <f>SUMIFS(Base!$N$2:$N$4835,Base!$B$2:$B$4835,"Uso e consumo",Base!$A$2:$A$4835,J$4)</f>
        <v/>
      </c>
      <c r="K6" s="19">
        <f>SUM(B6:J6)</f>
        <v/>
      </c>
      <c r="L6" s="19">
        <f>AVERAGE(B6:J6)</f>
        <v/>
      </c>
      <c r="M6" s="19">
        <f>MAX(B6:J6)</f>
        <v/>
      </c>
      <c r="N6" s="24">
        <f>IF(M6=0,"",INDEX($B$4:$J$4,MATCH(M6,B6:J6,0)))</f>
        <v/>
      </c>
    </row>
    <row r="7">
      <c r="A7" s="4" t="inlineStr">
        <is>
          <t>Frete de compra</t>
        </is>
      </c>
      <c r="B7" s="19">
        <f>SUMIFS(Base!$N$2:$N$4835,Base!$B$2:$B$4835,"Frete de compra",Base!$A$2:$A$4835,B$4)</f>
        <v/>
      </c>
      <c r="C7" s="19">
        <f>SUMIFS(Base!$N$2:$N$4835,Base!$B$2:$B$4835,"Frete de compra",Base!$A$2:$A$4835,C$4)</f>
        <v/>
      </c>
      <c r="D7" s="19">
        <f>SUMIFS(Base!$N$2:$N$4835,Base!$B$2:$B$4835,"Frete de compra",Base!$A$2:$A$4835,D$4)</f>
        <v/>
      </c>
      <c r="E7" s="19">
        <f>SUMIFS(Base!$N$2:$N$4835,Base!$B$2:$B$4835,"Frete de compra",Base!$A$2:$A$4835,E$4)</f>
        <v/>
      </c>
      <c r="F7" s="19">
        <f>SUMIFS(Base!$N$2:$N$4835,Base!$B$2:$B$4835,"Frete de compra",Base!$A$2:$A$4835,F$4)</f>
        <v/>
      </c>
      <c r="G7" s="19">
        <f>SUMIFS(Base!$N$2:$N$4835,Base!$B$2:$B$4835,"Frete de compra",Base!$A$2:$A$4835,G$4)</f>
        <v/>
      </c>
      <c r="H7" s="19">
        <f>SUMIFS(Base!$N$2:$N$4835,Base!$B$2:$B$4835,"Frete de compra",Base!$A$2:$A$4835,H$4)</f>
        <v/>
      </c>
      <c r="I7" s="19">
        <f>SUMIFS(Base!$N$2:$N$4835,Base!$B$2:$B$4835,"Frete de compra",Base!$A$2:$A$4835,I$4)</f>
        <v/>
      </c>
      <c r="J7" s="19">
        <f>SUMIFS(Base!$N$2:$N$4835,Base!$B$2:$B$4835,"Frete de compra",Base!$A$2:$A$4835,J$4)</f>
        <v/>
      </c>
      <c r="K7" s="19">
        <f>SUM(B7:J7)</f>
        <v/>
      </c>
      <c r="L7" s="19">
        <f>AVERAGE(B7:J7)</f>
        <v/>
      </c>
      <c r="M7" s="19">
        <f>MAX(B7:J7)</f>
        <v/>
      </c>
      <c r="N7" s="24">
        <f>IF(M7=0,"",INDEX($B$4:$J$4,MATCH(M7,B7:J7,0)))</f>
        <v/>
      </c>
    </row>
    <row r="8">
      <c r="A8" s="4" t="inlineStr">
        <is>
          <t>Frete de venda</t>
        </is>
      </c>
      <c r="B8" s="19">
        <f>SUMIFS(Base!$N$2:$N$4835,Base!$B$2:$B$4835,"Frete de venda",Base!$A$2:$A$4835,B$4)</f>
        <v/>
      </c>
      <c r="C8" s="19">
        <f>SUMIFS(Base!$N$2:$N$4835,Base!$B$2:$B$4835,"Frete de venda",Base!$A$2:$A$4835,C$4)</f>
        <v/>
      </c>
      <c r="D8" s="19">
        <f>SUMIFS(Base!$N$2:$N$4835,Base!$B$2:$B$4835,"Frete de venda",Base!$A$2:$A$4835,D$4)</f>
        <v/>
      </c>
      <c r="E8" s="19">
        <f>SUMIFS(Base!$N$2:$N$4835,Base!$B$2:$B$4835,"Frete de venda",Base!$A$2:$A$4835,E$4)</f>
        <v/>
      </c>
      <c r="F8" s="19">
        <f>SUMIFS(Base!$N$2:$N$4835,Base!$B$2:$B$4835,"Frete de venda",Base!$A$2:$A$4835,F$4)</f>
        <v/>
      </c>
      <c r="G8" s="19">
        <f>SUMIFS(Base!$N$2:$N$4835,Base!$B$2:$B$4835,"Frete de venda",Base!$A$2:$A$4835,G$4)</f>
        <v/>
      </c>
      <c r="H8" s="19">
        <f>SUMIFS(Base!$N$2:$N$4835,Base!$B$2:$B$4835,"Frete de venda",Base!$A$2:$A$4835,H$4)</f>
        <v/>
      </c>
      <c r="I8" s="19">
        <f>SUMIFS(Base!$N$2:$N$4835,Base!$B$2:$B$4835,"Frete de venda",Base!$A$2:$A$4835,I$4)</f>
        <v/>
      </c>
      <c r="J8" s="19">
        <f>SUMIFS(Base!$N$2:$N$4835,Base!$B$2:$B$4835,"Frete de venda",Base!$A$2:$A$4835,J$4)</f>
        <v/>
      </c>
      <c r="K8" s="19">
        <f>SUM(B8:J8)</f>
        <v/>
      </c>
      <c r="L8" s="19">
        <f>AVERAGE(B8:J8)</f>
        <v/>
      </c>
      <c r="M8" s="19">
        <f>MAX(B8:J8)</f>
        <v/>
      </c>
      <c r="N8" s="24">
        <f>IF(M8=0,"",INDEX($B$4:$J$4,MATCH(M8,B8:J8,0)))</f>
        <v/>
      </c>
    </row>
    <row r="9">
      <c r="A9" s="7" t="inlineStr">
        <is>
          <t>TOTAL</t>
        </is>
      </c>
      <c r="B9" s="25">
        <f>SUM(B5:B8)</f>
        <v/>
      </c>
      <c r="C9" s="25">
        <f>SUM(C5:C8)</f>
        <v/>
      </c>
      <c r="D9" s="25">
        <f>SUM(D5:D8)</f>
        <v/>
      </c>
      <c r="E9" s="25">
        <f>SUM(E5:E8)</f>
        <v/>
      </c>
      <c r="F9" s="25">
        <f>SUM(F5:F8)</f>
        <v/>
      </c>
      <c r="G9" s="25">
        <f>SUM(G5:G8)</f>
        <v/>
      </c>
      <c r="H9" s="25">
        <f>SUM(H5:H8)</f>
        <v/>
      </c>
      <c r="I9" s="25">
        <f>SUM(I5:I8)</f>
        <v/>
      </c>
      <c r="J9" s="25">
        <f>SUM(J5:J8)</f>
        <v/>
      </c>
      <c r="K9" s="25">
        <f>SUM(K5:K8)</f>
        <v/>
      </c>
      <c r="L9" s="25">
        <f>AVERAGE(B9:J9)</f>
        <v/>
      </c>
      <c r="M9" s="25">
        <f>MAX(B9:J9)</f>
        <v/>
      </c>
      <c r="N9" s="24">
        <f>INDEX($B$4:$J$4,MATCH(M9,B9:J9,0))</f>
        <v/>
      </c>
    </row>
    <row r="11">
      <c r="A11" s="2" t="inlineStr">
        <is>
          <t>Variação % vs mês anterior – destino</t>
        </is>
      </c>
      <c r="B11" s="17" t="n">
        <v>46023</v>
      </c>
      <c r="C11" s="17" t="n">
        <v>46054</v>
      </c>
      <c r="D11" s="17" t="n">
        <v>46082</v>
      </c>
      <c r="E11" s="17" t="n">
        <v>46113</v>
      </c>
      <c r="F11" s="17" t="n">
        <v>46143</v>
      </c>
      <c r="G11" s="17" t="n">
        <v>46174</v>
      </c>
      <c r="H11" s="17" t="n">
        <v>46204</v>
      </c>
      <c r="I11" s="17" t="n">
        <v>46235</v>
      </c>
      <c r="J11" s="17" t="n">
        <v>46266</v>
      </c>
      <c r="K11" s="2" t="inlineStr">
        <is>
          <t>Total 2026</t>
        </is>
      </c>
      <c r="L11" s="2" t="inlineStr">
        <is>
          <t>Média mensal</t>
        </is>
      </c>
      <c r="M11" s="2" t="inlineStr">
        <is>
          <t>Maior mês</t>
        </is>
      </c>
      <c r="N11" s="2" t="inlineStr">
        <is>
          <t>Mês do pico</t>
        </is>
      </c>
    </row>
    <row r="12">
      <c r="A12">
        <f>A5</f>
        <v/>
      </c>
      <c r="C12" s="26">
        <f>IF(B5=0,"",C5/B5-1)</f>
        <v/>
      </c>
      <c r="D12" s="26">
        <f>IF(C5=0,"",D5/C5-1)</f>
        <v/>
      </c>
      <c r="E12" s="26">
        <f>IF(D5=0,"",E5/D5-1)</f>
        <v/>
      </c>
      <c r="F12" s="26">
        <f>IF(E5=0,"",F5/E5-1)</f>
        <v/>
      </c>
      <c r="G12" s="26">
        <f>IF(F5=0,"",G5/F5-1)</f>
        <v/>
      </c>
      <c r="H12" s="26">
        <f>IF(G5=0,"",H5/G5-1)</f>
        <v/>
      </c>
      <c r="I12" s="26">
        <f>IF(H5=0,"",I5/H5-1)</f>
        <v/>
      </c>
      <c r="J12" s="26">
        <f>IF(I5=0,"",J5/I5-1)</f>
        <v/>
      </c>
    </row>
    <row r="13">
      <c r="A13">
        <f>A6</f>
        <v/>
      </c>
      <c r="C13" s="26">
        <f>IF(B6=0,"",C6/B6-1)</f>
        <v/>
      </c>
      <c r="D13" s="26">
        <f>IF(C6=0,"",D6/C6-1)</f>
        <v/>
      </c>
      <c r="E13" s="26">
        <f>IF(D6=0,"",E6/D6-1)</f>
        <v/>
      </c>
      <c r="F13" s="26">
        <f>IF(E6=0,"",F6/E6-1)</f>
        <v/>
      </c>
      <c r="G13" s="26">
        <f>IF(F6=0,"",G6/F6-1)</f>
        <v/>
      </c>
      <c r="H13" s="26">
        <f>IF(G6=0,"",H6/G6-1)</f>
        <v/>
      </c>
      <c r="I13" s="26">
        <f>IF(H6=0,"",I6/H6-1)</f>
        <v/>
      </c>
      <c r="J13" s="26">
        <f>IF(I6=0,"",J6/I6-1)</f>
        <v/>
      </c>
    </row>
    <row r="14">
      <c r="A14">
        <f>A7</f>
        <v/>
      </c>
      <c r="C14" s="26">
        <f>IF(B7=0,"",C7/B7-1)</f>
        <v/>
      </c>
      <c r="D14" s="26">
        <f>IF(C7=0,"",D7/C7-1)</f>
        <v/>
      </c>
      <c r="E14" s="26">
        <f>IF(D7=0,"",E7/D7-1)</f>
        <v/>
      </c>
      <c r="F14" s="26">
        <f>IF(E7=0,"",F7/E7-1)</f>
        <v/>
      </c>
      <c r="G14" s="26">
        <f>IF(F7=0,"",G7/F7-1)</f>
        <v/>
      </c>
      <c r="H14" s="26">
        <f>IF(G7=0,"",H7/G7-1)</f>
        <v/>
      </c>
      <c r="I14" s="26">
        <f>IF(H7=0,"",I7/H7-1)</f>
        <v/>
      </c>
      <c r="J14" s="26">
        <f>IF(I7=0,"",J7/I7-1)</f>
        <v/>
      </c>
    </row>
    <row r="15">
      <c r="A15">
        <f>A8</f>
        <v/>
      </c>
      <c r="C15" s="26">
        <f>IF(B8=0,"",C8/B8-1)</f>
        <v/>
      </c>
      <c r="D15" s="26">
        <f>IF(C8=0,"",D8/C8-1)</f>
        <v/>
      </c>
      <c r="E15" s="26">
        <f>IF(D8=0,"",E8/D8-1)</f>
        <v/>
      </c>
      <c r="F15" s="26">
        <f>IF(E8=0,"",F8/E8-1)</f>
        <v/>
      </c>
      <c r="G15" s="26">
        <f>IF(F8=0,"",G8/F8-1)</f>
        <v/>
      </c>
      <c r="H15" s="26">
        <f>IF(G8=0,"",H8/G8-1)</f>
        <v/>
      </c>
      <c r="I15" s="26">
        <f>IF(H8=0,"",I8/H8-1)</f>
        <v/>
      </c>
      <c r="J15" s="26">
        <f>IF(I8=0,"",J8/I8-1)</f>
        <v/>
      </c>
    </row>
    <row r="16">
      <c r="A16">
        <f>A9</f>
        <v/>
      </c>
      <c r="C16" s="26">
        <f>IF(B9=0,"",C9/B9-1)</f>
        <v/>
      </c>
      <c r="D16" s="26">
        <f>IF(C9=0,"",D9/C9-1)</f>
        <v/>
      </c>
      <c r="E16" s="26">
        <f>IF(D9=0,"",E9/D9-1)</f>
        <v/>
      </c>
      <c r="F16" s="26">
        <f>IF(E9=0,"",F9/E9-1)</f>
        <v/>
      </c>
      <c r="G16" s="26">
        <f>IF(F9=0,"",G9/F9-1)</f>
        <v/>
      </c>
      <c r="H16" s="26">
        <f>IF(G9=0,"",H9/G9-1)</f>
        <v/>
      </c>
      <c r="I16" s="26">
        <f>IF(H9=0,"",I9/H9-1)</f>
        <v/>
      </c>
      <c r="J16" s="26">
        <f>IF(I9=0,"",J9/I9-1)</f>
        <v/>
      </c>
    </row>
    <row r="18">
      <c r="A18" s="2" t="inlineStr">
        <is>
          <t>Participação no total do mês</t>
        </is>
      </c>
      <c r="B18" s="17" t="n">
        <v>46023</v>
      </c>
      <c r="C18" s="17" t="n">
        <v>46054</v>
      </c>
      <c r="D18" s="17" t="n">
        <v>46082</v>
      </c>
      <c r="E18" s="17" t="n">
        <v>46113</v>
      </c>
      <c r="F18" s="17" t="n">
        <v>46143</v>
      </c>
      <c r="G18" s="17" t="n">
        <v>46174</v>
      </c>
      <c r="H18" s="17" t="n">
        <v>46204</v>
      </c>
      <c r="I18" s="17" t="n">
        <v>46235</v>
      </c>
      <c r="J18" s="17" t="n">
        <v>46266</v>
      </c>
      <c r="K18" s="2" t="inlineStr">
        <is>
          <t>Total 2026</t>
        </is>
      </c>
      <c r="L18" s="2" t="inlineStr">
        <is>
          <t>Média mensal</t>
        </is>
      </c>
      <c r="M18" s="2" t="inlineStr">
        <is>
          <t>Maior mês</t>
        </is>
      </c>
      <c r="N18" s="2" t="inlineStr">
        <is>
          <t>Mês do pico</t>
        </is>
      </c>
    </row>
    <row r="19">
      <c r="A19">
        <f>A5</f>
        <v/>
      </c>
      <c r="B19" s="26">
        <f>IFERROR(B5/B$9,"")</f>
        <v/>
      </c>
      <c r="C19" s="26">
        <f>IFERROR(C5/C$9,"")</f>
        <v/>
      </c>
      <c r="D19" s="26">
        <f>IFERROR(D5/D$9,"")</f>
        <v/>
      </c>
      <c r="E19" s="26">
        <f>IFERROR(E5/E$9,"")</f>
        <v/>
      </c>
      <c r="F19" s="26">
        <f>IFERROR(F5/F$9,"")</f>
        <v/>
      </c>
      <c r="G19" s="26">
        <f>IFERROR(G5/G$9,"")</f>
        <v/>
      </c>
      <c r="H19" s="26">
        <f>IFERROR(H5/H$9,"")</f>
        <v/>
      </c>
      <c r="I19" s="26">
        <f>IFERROR(I5/I$9,"")</f>
        <v/>
      </c>
      <c r="J19" s="26">
        <f>IFERROR(J5/J$9,"")</f>
        <v/>
      </c>
      <c r="K19" s="26">
        <f>IFERROR(K5/K$9,"")</f>
        <v/>
      </c>
    </row>
    <row r="20">
      <c r="A20">
        <f>A6</f>
        <v/>
      </c>
      <c r="B20" s="26">
        <f>IFERROR(B6/B$9,"")</f>
        <v/>
      </c>
      <c r="C20" s="26">
        <f>IFERROR(C6/C$9,"")</f>
        <v/>
      </c>
      <c r="D20" s="26">
        <f>IFERROR(D6/D$9,"")</f>
        <v/>
      </c>
      <c r="E20" s="26">
        <f>IFERROR(E6/E$9,"")</f>
        <v/>
      </c>
      <c r="F20" s="26">
        <f>IFERROR(F6/F$9,"")</f>
        <v/>
      </c>
      <c r="G20" s="26">
        <f>IFERROR(G6/G$9,"")</f>
        <v/>
      </c>
      <c r="H20" s="26">
        <f>IFERROR(H6/H$9,"")</f>
        <v/>
      </c>
      <c r="I20" s="26">
        <f>IFERROR(I6/I$9,"")</f>
        <v/>
      </c>
      <c r="J20" s="26">
        <f>IFERROR(J6/J$9,"")</f>
        <v/>
      </c>
      <c r="K20" s="26">
        <f>IFERROR(K6/K$9,"")</f>
        <v/>
      </c>
    </row>
    <row r="21">
      <c r="A21">
        <f>A7</f>
        <v/>
      </c>
      <c r="B21" s="26">
        <f>IFERROR(B7/B$9,"")</f>
        <v/>
      </c>
      <c r="C21" s="26">
        <f>IFERROR(C7/C$9,"")</f>
        <v/>
      </c>
      <c r="D21" s="26">
        <f>IFERROR(D7/D$9,"")</f>
        <v/>
      </c>
      <c r="E21" s="26">
        <f>IFERROR(E7/E$9,"")</f>
        <v/>
      </c>
      <c r="F21" s="26">
        <f>IFERROR(F7/F$9,"")</f>
        <v/>
      </c>
      <c r="G21" s="26">
        <f>IFERROR(G7/G$9,"")</f>
        <v/>
      </c>
      <c r="H21" s="26">
        <f>IFERROR(H7/H$9,"")</f>
        <v/>
      </c>
      <c r="I21" s="26">
        <f>IFERROR(I7/I$9,"")</f>
        <v/>
      </c>
      <c r="J21" s="26">
        <f>IFERROR(J7/J$9,"")</f>
        <v/>
      </c>
      <c r="K21" s="26">
        <f>IFERROR(K7/K$9,"")</f>
        <v/>
      </c>
    </row>
    <row r="22">
      <c r="A22">
        <f>A8</f>
        <v/>
      </c>
      <c r="B22" s="26">
        <f>IFERROR(B8/B$9,"")</f>
        <v/>
      </c>
      <c r="C22" s="26">
        <f>IFERROR(C8/C$9,"")</f>
        <v/>
      </c>
      <c r="D22" s="26">
        <f>IFERROR(D8/D$9,"")</f>
        <v/>
      </c>
      <c r="E22" s="26">
        <f>IFERROR(E8/E$9,"")</f>
        <v/>
      </c>
      <c r="F22" s="26">
        <f>IFERROR(F8/F$9,"")</f>
        <v/>
      </c>
      <c r="G22" s="26">
        <f>IFERROR(G8/G$9,"")</f>
        <v/>
      </c>
      <c r="H22" s="26">
        <f>IFERROR(H8/H$9,"")</f>
        <v/>
      </c>
      <c r="I22" s="26">
        <f>IFERROR(I8/I$9,"")</f>
        <v/>
      </c>
      <c r="J22" s="26">
        <f>IFERROR(J8/J$9,"")</f>
        <v/>
      </c>
      <c r="K22" s="26">
        <f>IFERROR(K8/K$9,"")</f>
        <v/>
      </c>
    </row>
    <row r="24">
      <c r="A24" s="2" t="inlineStr">
        <is>
          <t>Por categoria do Omie</t>
        </is>
      </c>
      <c r="B24" s="17" t="n">
        <v>46023</v>
      </c>
      <c r="C24" s="17" t="n">
        <v>46054</v>
      </c>
      <c r="D24" s="17" t="n">
        <v>46082</v>
      </c>
      <c r="E24" s="17" t="n">
        <v>46113</v>
      </c>
      <c r="F24" s="17" t="n">
        <v>46143</v>
      </c>
      <c r="G24" s="17" t="n">
        <v>46174</v>
      </c>
      <c r="H24" s="17" t="n">
        <v>46204</v>
      </c>
      <c r="I24" s="17" t="n">
        <v>46235</v>
      </c>
      <c r="J24" s="17" t="n">
        <v>46266</v>
      </c>
      <c r="K24" s="2" t="inlineStr">
        <is>
          <t>Total 2026</t>
        </is>
      </c>
      <c r="L24" s="2" t="inlineStr">
        <is>
          <t>Média mensal</t>
        </is>
      </c>
      <c r="M24" s="2" t="inlineStr">
        <is>
          <t>Maior mês</t>
        </is>
      </c>
      <c r="N24" s="2" t="inlineStr">
        <is>
          <t>Mês do pico</t>
        </is>
      </c>
    </row>
    <row r="25">
      <c r="A25" s="7" t="inlineStr">
        <is>
          <t>Insumos e papel</t>
        </is>
      </c>
    </row>
    <row r="26">
      <c r="A26" s="4" t="inlineStr">
        <is>
          <t xml:space="preserve">   2.01.03 Compra de Matéria Prima (Papel)</t>
        </is>
      </c>
      <c r="B26" s="19">
        <f>SUMIFS(Base!$N$2:$N$4835,Base!$B$2:$B$4835,"Insumos e papel",Base!$C$2:$C$4835,"2.01.03 Compra de Matéria Prima (Papel)",Base!$A$2:$A$4835,B$4)</f>
        <v/>
      </c>
      <c r="C26" s="19">
        <f>SUMIFS(Base!$N$2:$N$4835,Base!$B$2:$B$4835,"Insumos e papel",Base!$C$2:$C$4835,"2.01.03 Compra de Matéria Prima (Papel)",Base!$A$2:$A$4835,C$4)</f>
        <v/>
      </c>
      <c r="D26" s="19">
        <f>SUMIFS(Base!$N$2:$N$4835,Base!$B$2:$B$4835,"Insumos e papel",Base!$C$2:$C$4835,"2.01.03 Compra de Matéria Prima (Papel)",Base!$A$2:$A$4835,D$4)</f>
        <v/>
      </c>
      <c r="E26" s="19">
        <f>SUMIFS(Base!$N$2:$N$4835,Base!$B$2:$B$4835,"Insumos e papel",Base!$C$2:$C$4835,"2.01.03 Compra de Matéria Prima (Papel)",Base!$A$2:$A$4835,E$4)</f>
        <v/>
      </c>
      <c r="F26" s="19">
        <f>SUMIFS(Base!$N$2:$N$4835,Base!$B$2:$B$4835,"Insumos e papel",Base!$C$2:$C$4835,"2.01.03 Compra de Matéria Prima (Papel)",Base!$A$2:$A$4835,F$4)</f>
        <v/>
      </c>
      <c r="G26" s="19">
        <f>SUMIFS(Base!$N$2:$N$4835,Base!$B$2:$B$4835,"Insumos e papel",Base!$C$2:$C$4835,"2.01.03 Compra de Matéria Prima (Papel)",Base!$A$2:$A$4835,G$4)</f>
        <v/>
      </c>
      <c r="H26" s="19">
        <f>SUMIFS(Base!$N$2:$N$4835,Base!$B$2:$B$4835,"Insumos e papel",Base!$C$2:$C$4835,"2.01.03 Compra de Matéria Prima (Papel)",Base!$A$2:$A$4835,H$4)</f>
        <v/>
      </c>
      <c r="I26" s="19">
        <f>SUMIFS(Base!$N$2:$N$4835,Base!$B$2:$B$4835,"Insumos e papel",Base!$C$2:$C$4835,"2.01.03 Compra de Matéria Prima (Papel)",Base!$A$2:$A$4835,I$4)</f>
        <v/>
      </c>
      <c r="J26" s="19">
        <f>SUMIFS(Base!$N$2:$N$4835,Base!$B$2:$B$4835,"Insumos e papel",Base!$C$2:$C$4835,"2.01.03 Compra de Matéria Prima (Papel)",Base!$A$2:$A$4835,J$4)</f>
        <v/>
      </c>
      <c r="K26" s="19">
        <f>SUM(B26:J26)</f>
        <v/>
      </c>
      <c r="L26" s="19">
        <f>AVERAGE(B26:J26)</f>
        <v/>
      </c>
      <c r="M26" s="19">
        <f>MAX(B26:J26)</f>
        <v/>
      </c>
      <c r="N26" s="24">
        <f>IF(M26=0,"",INDEX($B$4:$J$4,MATCH(M26,B26:J26,0)))</f>
        <v/>
      </c>
    </row>
    <row r="27">
      <c r="A27" s="4" t="inlineStr">
        <is>
          <t xml:space="preserve">   2.01.79 Compra de Gás</t>
        </is>
      </c>
      <c r="B27" s="19">
        <f>SUMIFS(Base!$N$2:$N$4835,Base!$B$2:$B$4835,"Insumos e papel",Base!$C$2:$C$4835,"2.01.79 Compra de Gás",Base!$A$2:$A$4835,B$4)</f>
        <v/>
      </c>
      <c r="C27" s="19">
        <f>SUMIFS(Base!$N$2:$N$4835,Base!$B$2:$B$4835,"Insumos e papel",Base!$C$2:$C$4835,"2.01.79 Compra de Gás",Base!$A$2:$A$4835,C$4)</f>
        <v/>
      </c>
      <c r="D27" s="19">
        <f>SUMIFS(Base!$N$2:$N$4835,Base!$B$2:$B$4835,"Insumos e papel",Base!$C$2:$C$4835,"2.01.79 Compra de Gás",Base!$A$2:$A$4835,D$4)</f>
        <v/>
      </c>
      <c r="E27" s="19">
        <f>SUMIFS(Base!$N$2:$N$4835,Base!$B$2:$B$4835,"Insumos e papel",Base!$C$2:$C$4835,"2.01.79 Compra de Gás",Base!$A$2:$A$4835,E$4)</f>
        <v/>
      </c>
      <c r="F27" s="19">
        <f>SUMIFS(Base!$N$2:$N$4835,Base!$B$2:$B$4835,"Insumos e papel",Base!$C$2:$C$4835,"2.01.79 Compra de Gás",Base!$A$2:$A$4835,F$4)</f>
        <v/>
      </c>
      <c r="G27" s="19">
        <f>SUMIFS(Base!$N$2:$N$4835,Base!$B$2:$B$4835,"Insumos e papel",Base!$C$2:$C$4835,"2.01.79 Compra de Gás",Base!$A$2:$A$4835,G$4)</f>
        <v/>
      </c>
      <c r="H27" s="19">
        <f>SUMIFS(Base!$N$2:$N$4835,Base!$B$2:$B$4835,"Insumos e papel",Base!$C$2:$C$4835,"2.01.79 Compra de Gás",Base!$A$2:$A$4835,H$4)</f>
        <v/>
      </c>
      <c r="I27" s="19">
        <f>SUMIFS(Base!$N$2:$N$4835,Base!$B$2:$B$4835,"Insumos e papel",Base!$C$2:$C$4835,"2.01.79 Compra de Gás",Base!$A$2:$A$4835,I$4)</f>
        <v/>
      </c>
      <c r="J27" s="19">
        <f>SUMIFS(Base!$N$2:$N$4835,Base!$B$2:$B$4835,"Insumos e papel",Base!$C$2:$C$4835,"2.01.79 Compra de Gás",Base!$A$2:$A$4835,J$4)</f>
        <v/>
      </c>
      <c r="K27" s="19">
        <f>SUM(B27:J27)</f>
        <v/>
      </c>
      <c r="L27" s="19">
        <f>AVERAGE(B27:J27)</f>
        <v/>
      </c>
      <c r="M27" s="19">
        <f>MAX(B27:J27)</f>
        <v/>
      </c>
      <c r="N27" s="24">
        <f>IF(M27=0,"",INDEX($B$4:$J$4,MATCH(M27,B27:J27,0)))</f>
        <v/>
      </c>
    </row>
    <row r="28">
      <c r="A28" s="4" t="inlineStr">
        <is>
          <t xml:space="preserve">   2.01.83 Compra de Etiqueta Personalizada</t>
        </is>
      </c>
      <c r="B28" s="19">
        <f>SUMIFS(Base!$N$2:$N$4835,Base!$B$2:$B$4835,"Insumos e papel",Base!$C$2:$C$4835,"2.01.83 Compra de Etiqueta Personalizada",Base!$A$2:$A$4835,B$4)</f>
        <v/>
      </c>
      <c r="C28" s="19">
        <f>SUMIFS(Base!$N$2:$N$4835,Base!$B$2:$B$4835,"Insumos e papel",Base!$C$2:$C$4835,"2.01.83 Compra de Etiqueta Personalizada",Base!$A$2:$A$4835,C$4)</f>
        <v/>
      </c>
      <c r="D28" s="19">
        <f>SUMIFS(Base!$N$2:$N$4835,Base!$B$2:$B$4835,"Insumos e papel",Base!$C$2:$C$4835,"2.01.83 Compra de Etiqueta Personalizada",Base!$A$2:$A$4835,D$4)</f>
        <v/>
      </c>
      <c r="E28" s="19">
        <f>SUMIFS(Base!$N$2:$N$4835,Base!$B$2:$B$4835,"Insumos e papel",Base!$C$2:$C$4835,"2.01.83 Compra de Etiqueta Personalizada",Base!$A$2:$A$4835,E$4)</f>
        <v/>
      </c>
      <c r="F28" s="19">
        <f>SUMIFS(Base!$N$2:$N$4835,Base!$B$2:$B$4835,"Insumos e papel",Base!$C$2:$C$4835,"2.01.83 Compra de Etiqueta Personalizada",Base!$A$2:$A$4835,F$4)</f>
        <v/>
      </c>
      <c r="G28" s="19">
        <f>SUMIFS(Base!$N$2:$N$4835,Base!$B$2:$B$4835,"Insumos e papel",Base!$C$2:$C$4835,"2.01.83 Compra de Etiqueta Personalizada",Base!$A$2:$A$4835,G$4)</f>
        <v/>
      </c>
      <c r="H28" s="19">
        <f>SUMIFS(Base!$N$2:$N$4835,Base!$B$2:$B$4835,"Insumos e papel",Base!$C$2:$C$4835,"2.01.83 Compra de Etiqueta Personalizada",Base!$A$2:$A$4835,H$4)</f>
        <v/>
      </c>
      <c r="I28" s="19">
        <f>SUMIFS(Base!$N$2:$N$4835,Base!$B$2:$B$4835,"Insumos e papel",Base!$C$2:$C$4835,"2.01.83 Compra de Etiqueta Personalizada",Base!$A$2:$A$4835,I$4)</f>
        <v/>
      </c>
      <c r="J28" s="19">
        <f>SUMIFS(Base!$N$2:$N$4835,Base!$B$2:$B$4835,"Insumos e papel",Base!$C$2:$C$4835,"2.01.83 Compra de Etiqueta Personalizada",Base!$A$2:$A$4835,J$4)</f>
        <v/>
      </c>
      <c r="K28" s="19">
        <f>SUM(B28:J28)</f>
        <v/>
      </c>
      <c r="L28" s="19">
        <f>AVERAGE(B28:J28)</f>
        <v/>
      </c>
      <c r="M28" s="19">
        <f>MAX(B28:J28)</f>
        <v/>
      </c>
      <c r="N28" s="24">
        <f>IF(M28=0,"",INDEX($B$4:$J$4,MATCH(M28,B28:J28,0)))</f>
        <v/>
      </c>
    </row>
    <row r="29">
      <c r="A29" s="4" t="inlineStr">
        <is>
          <t xml:space="preserve">   2.01.89 Compra de Pallet</t>
        </is>
      </c>
      <c r="B29" s="19">
        <f>SUMIFS(Base!$N$2:$N$4835,Base!$B$2:$B$4835,"Insumos e papel",Base!$C$2:$C$4835,"2.01.89 Compra de Pallet",Base!$A$2:$A$4835,B$4)</f>
        <v/>
      </c>
      <c r="C29" s="19">
        <f>SUMIFS(Base!$N$2:$N$4835,Base!$B$2:$B$4835,"Insumos e papel",Base!$C$2:$C$4835,"2.01.89 Compra de Pallet",Base!$A$2:$A$4835,C$4)</f>
        <v/>
      </c>
      <c r="D29" s="19">
        <f>SUMIFS(Base!$N$2:$N$4835,Base!$B$2:$B$4835,"Insumos e papel",Base!$C$2:$C$4835,"2.01.89 Compra de Pallet",Base!$A$2:$A$4835,D$4)</f>
        <v/>
      </c>
      <c r="E29" s="19">
        <f>SUMIFS(Base!$N$2:$N$4835,Base!$B$2:$B$4835,"Insumos e papel",Base!$C$2:$C$4835,"2.01.89 Compra de Pallet",Base!$A$2:$A$4835,E$4)</f>
        <v/>
      </c>
      <c r="F29" s="19">
        <f>SUMIFS(Base!$N$2:$N$4835,Base!$B$2:$B$4835,"Insumos e papel",Base!$C$2:$C$4835,"2.01.89 Compra de Pallet",Base!$A$2:$A$4835,F$4)</f>
        <v/>
      </c>
      <c r="G29" s="19">
        <f>SUMIFS(Base!$N$2:$N$4835,Base!$B$2:$B$4835,"Insumos e papel",Base!$C$2:$C$4835,"2.01.89 Compra de Pallet",Base!$A$2:$A$4835,G$4)</f>
        <v/>
      </c>
      <c r="H29" s="19">
        <f>SUMIFS(Base!$N$2:$N$4835,Base!$B$2:$B$4835,"Insumos e papel",Base!$C$2:$C$4835,"2.01.89 Compra de Pallet",Base!$A$2:$A$4835,H$4)</f>
        <v/>
      </c>
      <c r="I29" s="19">
        <f>SUMIFS(Base!$N$2:$N$4835,Base!$B$2:$B$4835,"Insumos e papel",Base!$C$2:$C$4835,"2.01.89 Compra de Pallet",Base!$A$2:$A$4835,I$4)</f>
        <v/>
      </c>
      <c r="J29" s="19">
        <f>SUMIFS(Base!$N$2:$N$4835,Base!$B$2:$B$4835,"Insumos e papel",Base!$C$2:$C$4835,"2.01.89 Compra de Pallet",Base!$A$2:$A$4835,J$4)</f>
        <v/>
      </c>
      <c r="K29" s="19">
        <f>SUM(B29:J29)</f>
        <v/>
      </c>
      <c r="L29" s="19">
        <f>AVERAGE(B29:J29)</f>
        <v/>
      </c>
      <c r="M29" s="19">
        <f>MAX(B29:J29)</f>
        <v/>
      </c>
      <c r="N29" s="24">
        <f>IF(M29=0,"",INDEX($B$4:$J$4,MATCH(M29,B29:J29,0)))</f>
        <v/>
      </c>
    </row>
    <row r="30">
      <c r="A30" s="4" t="inlineStr">
        <is>
          <t xml:space="preserve">   2.01.91 Compra de Filme Strech</t>
        </is>
      </c>
      <c r="B30" s="19">
        <f>SUMIFS(Base!$N$2:$N$4835,Base!$B$2:$B$4835,"Insumos e papel",Base!$C$2:$C$4835,"2.01.91 Compra de Filme Strech",Base!$A$2:$A$4835,B$4)</f>
        <v/>
      </c>
      <c r="C30" s="19">
        <f>SUMIFS(Base!$N$2:$N$4835,Base!$B$2:$B$4835,"Insumos e papel",Base!$C$2:$C$4835,"2.01.91 Compra de Filme Strech",Base!$A$2:$A$4835,C$4)</f>
        <v/>
      </c>
      <c r="D30" s="19">
        <f>SUMIFS(Base!$N$2:$N$4835,Base!$B$2:$B$4835,"Insumos e papel",Base!$C$2:$C$4835,"2.01.91 Compra de Filme Strech",Base!$A$2:$A$4835,D$4)</f>
        <v/>
      </c>
      <c r="E30" s="19">
        <f>SUMIFS(Base!$N$2:$N$4835,Base!$B$2:$B$4835,"Insumos e papel",Base!$C$2:$C$4835,"2.01.91 Compra de Filme Strech",Base!$A$2:$A$4835,E$4)</f>
        <v/>
      </c>
      <c r="F30" s="19">
        <f>SUMIFS(Base!$N$2:$N$4835,Base!$B$2:$B$4835,"Insumos e papel",Base!$C$2:$C$4835,"2.01.91 Compra de Filme Strech",Base!$A$2:$A$4835,F$4)</f>
        <v/>
      </c>
      <c r="G30" s="19">
        <f>SUMIFS(Base!$N$2:$N$4835,Base!$B$2:$B$4835,"Insumos e papel",Base!$C$2:$C$4835,"2.01.91 Compra de Filme Strech",Base!$A$2:$A$4835,G$4)</f>
        <v/>
      </c>
      <c r="H30" s="19">
        <f>SUMIFS(Base!$N$2:$N$4835,Base!$B$2:$B$4835,"Insumos e papel",Base!$C$2:$C$4835,"2.01.91 Compra de Filme Strech",Base!$A$2:$A$4835,H$4)</f>
        <v/>
      </c>
      <c r="I30" s="19">
        <f>SUMIFS(Base!$N$2:$N$4835,Base!$B$2:$B$4835,"Insumos e papel",Base!$C$2:$C$4835,"2.01.91 Compra de Filme Strech",Base!$A$2:$A$4835,I$4)</f>
        <v/>
      </c>
      <c r="J30" s="19">
        <f>SUMIFS(Base!$N$2:$N$4835,Base!$B$2:$B$4835,"Insumos e papel",Base!$C$2:$C$4835,"2.01.91 Compra de Filme Strech",Base!$A$2:$A$4835,J$4)</f>
        <v/>
      </c>
      <c r="K30" s="19">
        <f>SUM(B30:J30)</f>
        <v/>
      </c>
      <c r="L30" s="19">
        <f>AVERAGE(B30:J30)</f>
        <v/>
      </c>
      <c r="M30" s="19">
        <f>MAX(B30:J30)</f>
        <v/>
      </c>
      <c r="N30" s="24">
        <f>IF(M30=0,"",INDEX($B$4:$J$4,MATCH(M30,B30:J30,0)))</f>
        <v/>
      </c>
    </row>
    <row r="31">
      <c r="A31" s="4" t="inlineStr">
        <is>
          <t xml:space="preserve">   2.01.92 Compra de Tinta</t>
        </is>
      </c>
      <c r="B31" s="19">
        <f>SUMIFS(Base!$N$2:$N$4835,Base!$B$2:$B$4835,"Insumos e papel",Base!$C$2:$C$4835,"2.01.92 Compra de Tinta",Base!$A$2:$A$4835,B$4)</f>
        <v/>
      </c>
      <c r="C31" s="19">
        <f>SUMIFS(Base!$N$2:$N$4835,Base!$B$2:$B$4835,"Insumos e papel",Base!$C$2:$C$4835,"2.01.92 Compra de Tinta",Base!$A$2:$A$4835,C$4)</f>
        <v/>
      </c>
      <c r="D31" s="19">
        <f>SUMIFS(Base!$N$2:$N$4835,Base!$B$2:$B$4835,"Insumos e papel",Base!$C$2:$C$4835,"2.01.92 Compra de Tinta",Base!$A$2:$A$4835,D$4)</f>
        <v/>
      </c>
      <c r="E31" s="19">
        <f>SUMIFS(Base!$N$2:$N$4835,Base!$B$2:$B$4835,"Insumos e papel",Base!$C$2:$C$4835,"2.01.92 Compra de Tinta",Base!$A$2:$A$4835,E$4)</f>
        <v/>
      </c>
      <c r="F31" s="19">
        <f>SUMIFS(Base!$N$2:$N$4835,Base!$B$2:$B$4835,"Insumos e papel",Base!$C$2:$C$4835,"2.01.92 Compra de Tinta",Base!$A$2:$A$4835,F$4)</f>
        <v/>
      </c>
      <c r="G31" s="19">
        <f>SUMIFS(Base!$N$2:$N$4835,Base!$B$2:$B$4835,"Insumos e papel",Base!$C$2:$C$4835,"2.01.92 Compra de Tinta",Base!$A$2:$A$4835,G$4)</f>
        <v/>
      </c>
      <c r="H31" s="19">
        <f>SUMIFS(Base!$N$2:$N$4835,Base!$B$2:$B$4835,"Insumos e papel",Base!$C$2:$C$4835,"2.01.92 Compra de Tinta",Base!$A$2:$A$4835,H$4)</f>
        <v/>
      </c>
      <c r="I31" s="19">
        <f>SUMIFS(Base!$N$2:$N$4835,Base!$B$2:$B$4835,"Insumos e papel",Base!$C$2:$C$4835,"2.01.92 Compra de Tinta",Base!$A$2:$A$4835,I$4)</f>
        <v/>
      </c>
      <c r="J31" s="19">
        <f>SUMIFS(Base!$N$2:$N$4835,Base!$B$2:$B$4835,"Insumos e papel",Base!$C$2:$C$4835,"2.01.92 Compra de Tinta",Base!$A$2:$A$4835,J$4)</f>
        <v/>
      </c>
      <c r="K31" s="19">
        <f>SUM(B31:J31)</f>
        <v/>
      </c>
      <c r="L31" s="19">
        <f>AVERAGE(B31:J31)</f>
        <v/>
      </c>
      <c r="M31" s="19">
        <f>MAX(B31:J31)</f>
        <v/>
      </c>
      <c r="N31" s="24">
        <f>IF(M31=0,"",INDEX($B$4:$J$4,MATCH(M31,B31:J31,0)))</f>
        <v/>
      </c>
    </row>
    <row r="32">
      <c r="A32" s="4" t="inlineStr">
        <is>
          <t xml:space="preserve">   2.01.93 Compra de Plástico Poliolefínico</t>
        </is>
      </c>
      <c r="B32" s="19">
        <f>SUMIFS(Base!$N$2:$N$4835,Base!$B$2:$B$4835,"Insumos e papel",Base!$C$2:$C$4835,"2.01.93 Compra de Plástico Poliolefínico",Base!$A$2:$A$4835,B$4)</f>
        <v/>
      </c>
      <c r="C32" s="19">
        <f>SUMIFS(Base!$N$2:$N$4835,Base!$B$2:$B$4835,"Insumos e papel",Base!$C$2:$C$4835,"2.01.93 Compra de Plástico Poliolefínico",Base!$A$2:$A$4835,C$4)</f>
        <v/>
      </c>
      <c r="D32" s="19">
        <f>SUMIFS(Base!$N$2:$N$4835,Base!$B$2:$B$4835,"Insumos e papel",Base!$C$2:$C$4835,"2.01.93 Compra de Plástico Poliolefínico",Base!$A$2:$A$4835,D$4)</f>
        <v/>
      </c>
      <c r="E32" s="19">
        <f>SUMIFS(Base!$N$2:$N$4835,Base!$B$2:$B$4835,"Insumos e papel",Base!$C$2:$C$4835,"2.01.93 Compra de Plástico Poliolefínico",Base!$A$2:$A$4835,E$4)</f>
        <v/>
      </c>
      <c r="F32" s="19">
        <f>SUMIFS(Base!$N$2:$N$4835,Base!$B$2:$B$4835,"Insumos e papel",Base!$C$2:$C$4835,"2.01.93 Compra de Plástico Poliolefínico",Base!$A$2:$A$4835,F$4)</f>
        <v/>
      </c>
      <c r="G32" s="19">
        <f>SUMIFS(Base!$N$2:$N$4835,Base!$B$2:$B$4835,"Insumos e papel",Base!$C$2:$C$4835,"2.01.93 Compra de Plástico Poliolefínico",Base!$A$2:$A$4835,G$4)</f>
        <v/>
      </c>
      <c r="H32" s="19">
        <f>SUMIFS(Base!$N$2:$N$4835,Base!$B$2:$B$4835,"Insumos e papel",Base!$C$2:$C$4835,"2.01.93 Compra de Plástico Poliolefínico",Base!$A$2:$A$4835,H$4)</f>
        <v/>
      </c>
      <c r="I32" s="19">
        <f>SUMIFS(Base!$N$2:$N$4835,Base!$B$2:$B$4835,"Insumos e papel",Base!$C$2:$C$4835,"2.01.93 Compra de Plástico Poliolefínico",Base!$A$2:$A$4835,I$4)</f>
        <v/>
      </c>
      <c r="J32" s="19">
        <f>SUMIFS(Base!$N$2:$N$4835,Base!$B$2:$B$4835,"Insumos e papel",Base!$C$2:$C$4835,"2.01.93 Compra de Plástico Poliolefínico",Base!$A$2:$A$4835,J$4)</f>
        <v/>
      </c>
      <c r="K32" s="19">
        <f>SUM(B32:J32)</f>
        <v/>
      </c>
      <c r="L32" s="19">
        <f>AVERAGE(B32:J32)</f>
        <v/>
      </c>
      <c r="M32" s="19">
        <f>MAX(B32:J32)</f>
        <v/>
      </c>
      <c r="N32" s="24">
        <f>IF(M32=0,"",INDEX($B$4:$J$4,MATCH(M32,B32:J32,0)))</f>
        <v/>
      </c>
    </row>
    <row r="33">
      <c r="A33" s="4" t="inlineStr">
        <is>
          <t xml:space="preserve">   2.01.94 Compra de Fita Adesiva</t>
        </is>
      </c>
      <c r="B33" s="19">
        <f>SUMIFS(Base!$N$2:$N$4835,Base!$B$2:$B$4835,"Insumos e papel",Base!$C$2:$C$4835,"2.01.94 Compra de Fita Adesiva",Base!$A$2:$A$4835,B$4)</f>
        <v/>
      </c>
      <c r="C33" s="19">
        <f>SUMIFS(Base!$N$2:$N$4835,Base!$B$2:$B$4835,"Insumos e papel",Base!$C$2:$C$4835,"2.01.94 Compra de Fita Adesiva",Base!$A$2:$A$4835,C$4)</f>
        <v/>
      </c>
      <c r="D33" s="19">
        <f>SUMIFS(Base!$N$2:$N$4835,Base!$B$2:$B$4835,"Insumos e papel",Base!$C$2:$C$4835,"2.01.94 Compra de Fita Adesiva",Base!$A$2:$A$4835,D$4)</f>
        <v/>
      </c>
      <c r="E33" s="19">
        <f>SUMIFS(Base!$N$2:$N$4835,Base!$B$2:$B$4835,"Insumos e papel",Base!$C$2:$C$4835,"2.01.94 Compra de Fita Adesiva",Base!$A$2:$A$4835,E$4)</f>
        <v/>
      </c>
      <c r="F33" s="19">
        <f>SUMIFS(Base!$N$2:$N$4835,Base!$B$2:$B$4835,"Insumos e papel",Base!$C$2:$C$4835,"2.01.94 Compra de Fita Adesiva",Base!$A$2:$A$4835,F$4)</f>
        <v/>
      </c>
      <c r="G33" s="19">
        <f>SUMIFS(Base!$N$2:$N$4835,Base!$B$2:$B$4835,"Insumos e papel",Base!$C$2:$C$4835,"2.01.94 Compra de Fita Adesiva",Base!$A$2:$A$4835,G$4)</f>
        <v/>
      </c>
      <c r="H33" s="19">
        <f>SUMIFS(Base!$N$2:$N$4835,Base!$B$2:$B$4835,"Insumos e papel",Base!$C$2:$C$4835,"2.01.94 Compra de Fita Adesiva",Base!$A$2:$A$4835,H$4)</f>
        <v/>
      </c>
      <c r="I33" s="19">
        <f>SUMIFS(Base!$N$2:$N$4835,Base!$B$2:$B$4835,"Insumos e papel",Base!$C$2:$C$4835,"2.01.94 Compra de Fita Adesiva",Base!$A$2:$A$4835,I$4)</f>
        <v/>
      </c>
      <c r="J33" s="19">
        <f>SUMIFS(Base!$N$2:$N$4835,Base!$B$2:$B$4835,"Insumos e papel",Base!$C$2:$C$4835,"2.01.94 Compra de Fita Adesiva",Base!$A$2:$A$4835,J$4)</f>
        <v/>
      </c>
      <c r="K33" s="19">
        <f>SUM(B33:J33)</f>
        <v/>
      </c>
      <c r="L33" s="19">
        <f>AVERAGE(B33:J33)</f>
        <v/>
      </c>
      <c r="M33" s="19">
        <f>MAX(B33:J33)</f>
        <v/>
      </c>
      <c r="N33" s="24">
        <f>IF(M33=0,"",INDEX($B$4:$J$4,MATCH(M33,B33:J33,0)))</f>
        <v/>
      </c>
    </row>
    <row r="34">
      <c r="A34" s="4" t="inlineStr">
        <is>
          <t xml:space="preserve">   2.01.95 Compra de Etiqueta</t>
        </is>
      </c>
      <c r="B34" s="19">
        <f>SUMIFS(Base!$N$2:$N$4835,Base!$B$2:$B$4835,"Insumos e papel",Base!$C$2:$C$4835,"2.01.95 Compra de Etiqueta",Base!$A$2:$A$4835,B$4)</f>
        <v/>
      </c>
      <c r="C34" s="19">
        <f>SUMIFS(Base!$N$2:$N$4835,Base!$B$2:$B$4835,"Insumos e papel",Base!$C$2:$C$4835,"2.01.95 Compra de Etiqueta",Base!$A$2:$A$4835,C$4)</f>
        <v/>
      </c>
      <c r="D34" s="19">
        <f>SUMIFS(Base!$N$2:$N$4835,Base!$B$2:$B$4835,"Insumos e papel",Base!$C$2:$C$4835,"2.01.95 Compra de Etiqueta",Base!$A$2:$A$4835,D$4)</f>
        <v/>
      </c>
      <c r="E34" s="19">
        <f>SUMIFS(Base!$N$2:$N$4835,Base!$B$2:$B$4835,"Insumos e papel",Base!$C$2:$C$4835,"2.01.95 Compra de Etiqueta",Base!$A$2:$A$4835,E$4)</f>
        <v/>
      </c>
      <c r="F34" s="19">
        <f>SUMIFS(Base!$N$2:$N$4835,Base!$B$2:$B$4835,"Insumos e papel",Base!$C$2:$C$4835,"2.01.95 Compra de Etiqueta",Base!$A$2:$A$4835,F$4)</f>
        <v/>
      </c>
      <c r="G34" s="19">
        <f>SUMIFS(Base!$N$2:$N$4835,Base!$B$2:$B$4835,"Insumos e papel",Base!$C$2:$C$4835,"2.01.95 Compra de Etiqueta",Base!$A$2:$A$4835,G$4)</f>
        <v/>
      </c>
      <c r="H34" s="19">
        <f>SUMIFS(Base!$N$2:$N$4835,Base!$B$2:$B$4835,"Insumos e papel",Base!$C$2:$C$4835,"2.01.95 Compra de Etiqueta",Base!$A$2:$A$4835,H$4)</f>
        <v/>
      </c>
      <c r="I34" s="19">
        <f>SUMIFS(Base!$N$2:$N$4835,Base!$B$2:$B$4835,"Insumos e papel",Base!$C$2:$C$4835,"2.01.95 Compra de Etiqueta",Base!$A$2:$A$4835,I$4)</f>
        <v/>
      </c>
      <c r="J34" s="19">
        <f>SUMIFS(Base!$N$2:$N$4835,Base!$B$2:$B$4835,"Insumos e papel",Base!$C$2:$C$4835,"2.01.95 Compra de Etiqueta",Base!$A$2:$A$4835,J$4)</f>
        <v/>
      </c>
      <c r="K34" s="19">
        <f>SUM(B34:J34)</f>
        <v/>
      </c>
      <c r="L34" s="19">
        <f>AVERAGE(B34:J34)</f>
        <v/>
      </c>
      <c r="M34" s="19">
        <f>MAX(B34:J34)</f>
        <v/>
      </c>
      <c r="N34" s="24">
        <f>IF(M34=0,"",INDEX($B$4:$J$4,MATCH(M34,B34:J34,0)))</f>
        <v/>
      </c>
    </row>
    <row r="35">
      <c r="A35" s="4" t="inlineStr">
        <is>
          <t xml:space="preserve">   2.01.96 Compra de Cola</t>
        </is>
      </c>
      <c r="B35" s="19">
        <f>SUMIFS(Base!$N$2:$N$4835,Base!$B$2:$B$4835,"Insumos e papel",Base!$C$2:$C$4835,"2.01.96 Compra de Cola",Base!$A$2:$A$4835,B$4)</f>
        <v/>
      </c>
      <c r="C35" s="19">
        <f>SUMIFS(Base!$N$2:$N$4835,Base!$B$2:$B$4835,"Insumos e papel",Base!$C$2:$C$4835,"2.01.96 Compra de Cola",Base!$A$2:$A$4835,C$4)</f>
        <v/>
      </c>
      <c r="D35" s="19">
        <f>SUMIFS(Base!$N$2:$N$4835,Base!$B$2:$B$4835,"Insumos e papel",Base!$C$2:$C$4835,"2.01.96 Compra de Cola",Base!$A$2:$A$4835,D$4)</f>
        <v/>
      </c>
      <c r="E35" s="19">
        <f>SUMIFS(Base!$N$2:$N$4835,Base!$B$2:$B$4835,"Insumos e papel",Base!$C$2:$C$4835,"2.01.96 Compra de Cola",Base!$A$2:$A$4835,E$4)</f>
        <v/>
      </c>
      <c r="F35" s="19">
        <f>SUMIFS(Base!$N$2:$N$4835,Base!$B$2:$B$4835,"Insumos e papel",Base!$C$2:$C$4835,"2.01.96 Compra de Cola",Base!$A$2:$A$4835,F$4)</f>
        <v/>
      </c>
      <c r="G35" s="19">
        <f>SUMIFS(Base!$N$2:$N$4835,Base!$B$2:$B$4835,"Insumos e papel",Base!$C$2:$C$4835,"2.01.96 Compra de Cola",Base!$A$2:$A$4835,G$4)</f>
        <v/>
      </c>
      <c r="H35" s="19">
        <f>SUMIFS(Base!$N$2:$N$4835,Base!$B$2:$B$4835,"Insumos e papel",Base!$C$2:$C$4835,"2.01.96 Compra de Cola",Base!$A$2:$A$4835,H$4)</f>
        <v/>
      </c>
      <c r="I35" s="19">
        <f>SUMIFS(Base!$N$2:$N$4835,Base!$B$2:$B$4835,"Insumos e papel",Base!$C$2:$C$4835,"2.01.96 Compra de Cola",Base!$A$2:$A$4835,I$4)</f>
        <v/>
      </c>
      <c r="J35" s="19">
        <f>SUMIFS(Base!$N$2:$N$4835,Base!$B$2:$B$4835,"Insumos e papel",Base!$C$2:$C$4835,"2.01.96 Compra de Cola",Base!$A$2:$A$4835,J$4)</f>
        <v/>
      </c>
      <c r="K35" s="19">
        <f>SUM(B35:J35)</f>
        <v/>
      </c>
      <c r="L35" s="19">
        <f>AVERAGE(B35:J35)</f>
        <v/>
      </c>
      <c r="M35" s="19">
        <f>MAX(B35:J35)</f>
        <v/>
      </c>
      <c r="N35" s="24">
        <f>IF(M35=0,"",INDEX($B$4:$J$4,MATCH(M35,B35:J35,0)))</f>
        <v/>
      </c>
    </row>
    <row r="36">
      <c r="A36" s="4" t="inlineStr">
        <is>
          <t xml:space="preserve">   2.01.97 Compra de Clichê</t>
        </is>
      </c>
      <c r="B36" s="19">
        <f>SUMIFS(Base!$N$2:$N$4835,Base!$B$2:$B$4835,"Insumos e papel",Base!$C$2:$C$4835,"2.01.97 Compra de Clichê",Base!$A$2:$A$4835,B$4)</f>
        <v/>
      </c>
      <c r="C36" s="19">
        <f>SUMIFS(Base!$N$2:$N$4835,Base!$B$2:$B$4835,"Insumos e papel",Base!$C$2:$C$4835,"2.01.97 Compra de Clichê",Base!$A$2:$A$4835,C$4)</f>
        <v/>
      </c>
      <c r="D36" s="19">
        <f>SUMIFS(Base!$N$2:$N$4835,Base!$B$2:$B$4835,"Insumos e papel",Base!$C$2:$C$4835,"2.01.97 Compra de Clichê",Base!$A$2:$A$4835,D$4)</f>
        <v/>
      </c>
      <c r="E36" s="19">
        <f>SUMIFS(Base!$N$2:$N$4835,Base!$B$2:$B$4835,"Insumos e papel",Base!$C$2:$C$4835,"2.01.97 Compra de Clichê",Base!$A$2:$A$4835,E$4)</f>
        <v/>
      </c>
      <c r="F36" s="19">
        <f>SUMIFS(Base!$N$2:$N$4835,Base!$B$2:$B$4835,"Insumos e papel",Base!$C$2:$C$4835,"2.01.97 Compra de Clichê",Base!$A$2:$A$4835,F$4)</f>
        <v/>
      </c>
      <c r="G36" s="19">
        <f>SUMIFS(Base!$N$2:$N$4835,Base!$B$2:$B$4835,"Insumos e papel",Base!$C$2:$C$4835,"2.01.97 Compra de Clichê",Base!$A$2:$A$4835,G$4)</f>
        <v/>
      </c>
      <c r="H36" s="19">
        <f>SUMIFS(Base!$N$2:$N$4835,Base!$B$2:$B$4835,"Insumos e papel",Base!$C$2:$C$4835,"2.01.97 Compra de Clichê",Base!$A$2:$A$4835,H$4)</f>
        <v/>
      </c>
      <c r="I36" s="19">
        <f>SUMIFS(Base!$N$2:$N$4835,Base!$B$2:$B$4835,"Insumos e papel",Base!$C$2:$C$4835,"2.01.97 Compra de Clichê",Base!$A$2:$A$4835,I$4)</f>
        <v/>
      </c>
      <c r="J36" s="19">
        <f>SUMIFS(Base!$N$2:$N$4835,Base!$B$2:$B$4835,"Insumos e papel",Base!$C$2:$C$4835,"2.01.97 Compra de Clichê",Base!$A$2:$A$4835,J$4)</f>
        <v/>
      </c>
      <c r="K36" s="19">
        <f>SUM(B36:J36)</f>
        <v/>
      </c>
      <c r="L36" s="19">
        <f>AVERAGE(B36:J36)</f>
        <v/>
      </c>
      <c r="M36" s="19">
        <f>MAX(B36:J36)</f>
        <v/>
      </c>
      <c r="N36" s="24">
        <f>IF(M36=0,"",INDEX($B$4:$J$4,MATCH(M36,B36:J36,0)))</f>
        <v/>
      </c>
    </row>
    <row r="37">
      <c r="A37" s="4" t="inlineStr">
        <is>
          <t xml:space="preserve">   2.01.99 Compra de Caixas</t>
        </is>
      </c>
      <c r="B37" s="19">
        <f>SUMIFS(Base!$N$2:$N$4835,Base!$B$2:$B$4835,"Insumos e papel",Base!$C$2:$C$4835,"2.01.99 Compra de Caixas",Base!$A$2:$A$4835,B$4)</f>
        <v/>
      </c>
      <c r="C37" s="19">
        <f>SUMIFS(Base!$N$2:$N$4835,Base!$B$2:$B$4835,"Insumos e papel",Base!$C$2:$C$4835,"2.01.99 Compra de Caixas",Base!$A$2:$A$4835,C$4)</f>
        <v/>
      </c>
      <c r="D37" s="19">
        <f>SUMIFS(Base!$N$2:$N$4835,Base!$B$2:$B$4835,"Insumos e papel",Base!$C$2:$C$4835,"2.01.99 Compra de Caixas",Base!$A$2:$A$4835,D$4)</f>
        <v/>
      </c>
      <c r="E37" s="19">
        <f>SUMIFS(Base!$N$2:$N$4835,Base!$B$2:$B$4835,"Insumos e papel",Base!$C$2:$C$4835,"2.01.99 Compra de Caixas",Base!$A$2:$A$4835,E$4)</f>
        <v/>
      </c>
      <c r="F37" s="19">
        <f>SUMIFS(Base!$N$2:$N$4835,Base!$B$2:$B$4835,"Insumos e papel",Base!$C$2:$C$4835,"2.01.99 Compra de Caixas",Base!$A$2:$A$4835,F$4)</f>
        <v/>
      </c>
      <c r="G37" s="19">
        <f>SUMIFS(Base!$N$2:$N$4835,Base!$B$2:$B$4835,"Insumos e papel",Base!$C$2:$C$4835,"2.01.99 Compra de Caixas",Base!$A$2:$A$4835,G$4)</f>
        <v/>
      </c>
      <c r="H37" s="19">
        <f>SUMIFS(Base!$N$2:$N$4835,Base!$B$2:$B$4835,"Insumos e papel",Base!$C$2:$C$4835,"2.01.99 Compra de Caixas",Base!$A$2:$A$4835,H$4)</f>
        <v/>
      </c>
      <c r="I37" s="19">
        <f>SUMIFS(Base!$N$2:$N$4835,Base!$B$2:$B$4835,"Insumos e papel",Base!$C$2:$C$4835,"2.01.99 Compra de Caixas",Base!$A$2:$A$4835,I$4)</f>
        <v/>
      </c>
      <c r="J37" s="19">
        <f>SUMIFS(Base!$N$2:$N$4835,Base!$B$2:$B$4835,"Insumos e papel",Base!$C$2:$C$4835,"2.01.99 Compra de Caixas",Base!$A$2:$A$4835,J$4)</f>
        <v/>
      </c>
      <c r="K37" s="19">
        <f>SUM(B37:J37)</f>
        <v/>
      </c>
      <c r="L37" s="19">
        <f>AVERAGE(B37:J37)</f>
        <v/>
      </c>
      <c r="M37" s="19">
        <f>MAX(B37:J37)</f>
        <v/>
      </c>
      <c r="N37" s="24">
        <f>IF(M37=0,"",INDEX($B$4:$J$4,MATCH(M37,B37:J37,0)))</f>
        <v/>
      </c>
    </row>
    <row r="38">
      <c r="A38" s="7" t="inlineStr">
        <is>
          <t>Uso e consumo</t>
        </is>
      </c>
    </row>
    <row r="39">
      <c r="A39" s="4" t="inlineStr">
        <is>
          <t xml:space="preserve">   2.01.85 Compra de Uso e Consumo</t>
        </is>
      </c>
      <c r="B39" s="19">
        <f>SUMIFS(Base!$N$2:$N$4835,Base!$B$2:$B$4835,"Uso e consumo",Base!$C$2:$C$4835,"2.01.85 Compra de Uso e Consumo",Base!$A$2:$A$4835,B$4)</f>
        <v/>
      </c>
      <c r="C39" s="19">
        <f>SUMIFS(Base!$N$2:$N$4835,Base!$B$2:$B$4835,"Uso e consumo",Base!$C$2:$C$4835,"2.01.85 Compra de Uso e Consumo",Base!$A$2:$A$4835,C$4)</f>
        <v/>
      </c>
      <c r="D39" s="19">
        <f>SUMIFS(Base!$N$2:$N$4835,Base!$B$2:$B$4835,"Uso e consumo",Base!$C$2:$C$4835,"2.01.85 Compra de Uso e Consumo",Base!$A$2:$A$4835,D$4)</f>
        <v/>
      </c>
      <c r="E39" s="19">
        <f>SUMIFS(Base!$N$2:$N$4835,Base!$B$2:$B$4835,"Uso e consumo",Base!$C$2:$C$4835,"2.01.85 Compra de Uso e Consumo",Base!$A$2:$A$4835,E$4)</f>
        <v/>
      </c>
      <c r="F39" s="19">
        <f>SUMIFS(Base!$N$2:$N$4835,Base!$B$2:$B$4835,"Uso e consumo",Base!$C$2:$C$4835,"2.01.85 Compra de Uso e Consumo",Base!$A$2:$A$4835,F$4)</f>
        <v/>
      </c>
      <c r="G39" s="19">
        <f>SUMIFS(Base!$N$2:$N$4835,Base!$B$2:$B$4835,"Uso e consumo",Base!$C$2:$C$4835,"2.01.85 Compra de Uso e Consumo",Base!$A$2:$A$4835,G$4)</f>
        <v/>
      </c>
      <c r="H39" s="19">
        <f>SUMIFS(Base!$N$2:$N$4835,Base!$B$2:$B$4835,"Uso e consumo",Base!$C$2:$C$4835,"2.01.85 Compra de Uso e Consumo",Base!$A$2:$A$4835,H$4)</f>
        <v/>
      </c>
      <c r="I39" s="19">
        <f>SUMIFS(Base!$N$2:$N$4835,Base!$B$2:$B$4835,"Uso e consumo",Base!$C$2:$C$4835,"2.01.85 Compra de Uso e Consumo",Base!$A$2:$A$4835,I$4)</f>
        <v/>
      </c>
      <c r="J39" s="19">
        <f>SUMIFS(Base!$N$2:$N$4835,Base!$B$2:$B$4835,"Uso e consumo",Base!$C$2:$C$4835,"2.01.85 Compra de Uso e Consumo",Base!$A$2:$A$4835,J$4)</f>
        <v/>
      </c>
      <c r="K39" s="19">
        <f>SUM(B39:J39)</f>
        <v/>
      </c>
      <c r="L39" s="19">
        <f>AVERAGE(B39:J39)</f>
        <v/>
      </c>
      <c r="M39" s="19">
        <f>MAX(B39:J39)</f>
        <v/>
      </c>
      <c r="N39" s="24">
        <f>IF(M39=0,"",INDEX($B$4:$J$4,MATCH(M39,B39:J39,0)))</f>
        <v/>
      </c>
    </row>
    <row r="40">
      <c r="A40" s="4" t="inlineStr">
        <is>
          <t xml:space="preserve">   2.01.87 Compra de Peças de Máquinas</t>
        </is>
      </c>
      <c r="B40" s="19">
        <f>SUMIFS(Base!$N$2:$N$4835,Base!$B$2:$B$4835,"Uso e consumo",Base!$C$2:$C$4835,"2.01.87 Compra de Peças de Máquinas",Base!$A$2:$A$4835,B$4)</f>
        <v/>
      </c>
      <c r="C40" s="19">
        <f>SUMIFS(Base!$N$2:$N$4835,Base!$B$2:$B$4835,"Uso e consumo",Base!$C$2:$C$4835,"2.01.87 Compra de Peças de Máquinas",Base!$A$2:$A$4835,C$4)</f>
        <v/>
      </c>
      <c r="D40" s="19">
        <f>SUMIFS(Base!$N$2:$N$4835,Base!$B$2:$B$4835,"Uso e consumo",Base!$C$2:$C$4835,"2.01.87 Compra de Peças de Máquinas",Base!$A$2:$A$4835,D$4)</f>
        <v/>
      </c>
      <c r="E40" s="19">
        <f>SUMIFS(Base!$N$2:$N$4835,Base!$B$2:$B$4835,"Uso e consumo",Base!$C$2:$C$4835,"2.01.87 Compra de Peças de Máquinas",Base!$A$2:$A$4835,E$4)</f>
        <v/>
      </c>
      <c r="F40" s="19">
        <f>SUMIFS(Base!$N$2:$N$4835,Base!$B$2:$B$4835,"Uso e consumo",Base!$C$2:$C$4835,"2.01.87 Compra de Peças de Máquinas",Base!$A$2:$A$4835,F$4)</f>
        <v/>
      </c>
      <c r="G40" s="19">
        <f>SUMIFS(Base!$N$2:$N$4835,Base!$B$2:$B$4835,"Uso e consumo",Base!$C$2:$C$4835,"2.01.87 Compra de Peças de Máquinas",Base!$A$2:$A$4835,G$4)</f>
        <v/>
      </c>
      <c r="H40" s="19">
        <f>SUMIFS(Base!$N$2:$N$4835,Base!$B$2:$B$4835,"Uso e consumo",Base!$C$2:$C$4835,"2.01.87 Compra de Peças de Máquinas",Base!$A$2:$A$4835,H$4)</f>
        <v/>
      </c>
      <c r="I40" s="19">
        <f>SUMIFS(Base!$N$2:$N$4835,Base!$B$2:$B$4835,"Uso e consumo",Base!$C$2:$C$4835,"2.01.87 Compra de Peças de Máquinas",Base!$A$2:$A$4835,I$4)</f>
        <v/>
      </c>
      <c r="J40" s="19">
        <f>SUMIFS(Base!$N$2:$N$4835,Base!$B$2:$B$4835,"Uso e consumo",Base!$C$2:$C$4835,"2.01.87 Compra de Peças de Máquinas",Base!$A$2:$A$4835,J$4)</f>
        <v/>
      </c>
      <c r="K40" s="19">
        <f>SUM(B40:J40)</f>
        <v/>
      </c>
      <c r="L40" s="19">
        <f>AVERAGE(B40:J40)</f>
        <v/>
      </c>
      <c r="M40" s="19">
        <f>MAX(B40:J40)</f>
        <v/>
      </c>
      <c r="N40" s="24">
        <f>IF(M40=0,"",INDEX($B$4:$J$4,MATCH(M40,B40:J40,0)))</f>
        <v/>
      </c>
    </row>
    <row r="41">
      <c r="A41" s="4" t="inlineStr">
        <is>
          <t xml:space="preserve">   2.03.88 Compra de Fardamento</t>
        </is>
      </c>
      <c r="B41" s="19">
        <f>SUMIFS(Base!$N$2:$N$4835,Base!$B$2:$B$4835,"Uso e consumo",Base!$C$2:$C$4835,"2.03.88 Compra de Fardamento",Base!$A$2:$A$4835,B$4)</f>
        <v/>
      </c>
      <c r="C41" s="19">
        <f>SUMIFS(Base!$N$2:$N$4835,Base!$B$2:$B$4835,"Uso e consumo",Base!$C$2:$C$4835,"2.03.88 Compra de Fardamento",Base!$A$2:$A$4835,C$4)</f>
        <v/>
      </c>
      <c r="D41" s="19">
        <f>SUMIFS(Base!$N$2:$N$4835,Base!$B$2:$B$4835,"Uso e consumo",Base!$C$2:$C$4835,"2.03.88 Compra de Fardamento",Base!$A$2:$A$4835,D$4)</f>
        <v/>
      </c>
      <c r="E41" s="19">
        <f>SUMIFS(Base!$N$2:$N$4835,Base!$B$2:$B$4835,"Uso e consumo",Base!$C$2:$C$4835,"2.03.88 Compra de Fardamento",Base!$A$2:$A$4835,E$4)</f>
        <v/>
      </c>
      <c r="F41" s="19">
        <f>SUMIFS(Base!$N$2:$N$4835,Base!$B$2:$B$4835,"Uso e consumo",Base!$C$2:$C$4835,"2.03.88 Compra de Fardamento",Base!$A$2:$A$4835,F$4)</f>
        <v/>
      </c>
      <c r="G41" s="19">
        <f>SUMIFS(Base!$N$2:$N$4835,Base!$B$2:$B$4835,"Uso e consumo",Base!$C$2:$C$4835,"2.03.88 Compra de Fardamento",Base!$A$2:$A$4835,G$4)</f>
        <v/>
      </c>
      <c r="H41" s="19">
        <f>SUMIFS(Base!$N$2:$N$4835,Base!$B$2:$B$4835,"Uso e consumo",Base!$C$2:$C$4835,"2.03.88 Compra de Fardamento",Base!$A$2:$A$4835,H$4)</f>
        <v/>
      </c>
      <c r="I41" s="19">
        <f>SUMIFS(Base!$N$2:$N$4835,Base!$B$2:$B$4835,"Uso e consumo",Base!$C$2:$C$4835,"2.03.88 Compra de Fardamento",Base!$A$2:$A$4835,I$4)</f>
        <v/>
      </c>
      <c r="J41" s="19">
        <f>SUMIFS(Base!$N$2:$N$4835,Base!$B$2:$B$4835,"Uso e consumo",Base!$C$2:$C$4835,"2.03.88 Compra de Fardamento",Base!$A$2:$A$4835,J$4)</f>
        <v/>
      </c>
      <c r="K41" s="19">
        <f>SUM(B41:J41)</f>
        <v/>
      </c>
      <c r="L41" s="19">
        <f>AVERAGE(B41:J41)</f>
        <v/>
      </c>
      <c r="M41" s="19">
        <f>MAX(B41:J41)</f>
        <v/>
      </c>
      <c r="N41" s="24">
        <f>IF(M41=0,"",INDEX($B$4:$J$4,MATCH(M41,B41:J41,0)))</f>
        <v/>
      </c>
    </row>
    <row r="42">
      <c r="A42" s="4" t="inlineStr">
        <is>
          <t xml:space="preserve">   2.03.90 Compra de EPI</t>
        </is>
      </c>
      <c r="B42" s="19">
        <f>SUMIFS(Base!$N$2:$N$4835,Base!$B$2:$B$4835,"Uso e consumo",Base!$C$2:$C$4835,"2.03.90 Compra de EPI",Base!$A$2:$A$4835,B$4)</f>
        <v/>
      </c>
      <c r="C42" s="19">
        <f>SUMIFS(Base!$N$2:$N$4835,Base!$B$2:$B$4835,"Uso e consumo",Base!$C$2:$C$4835,"2.03.90 Compra de EPI",Base!$A$2:$A$4835,C$4)</f>
        <v/>
      </c>
      <c r="D42" s="19">
        <f>SUMIFS(Base!$N$2:$N$4835,Base!$B$2:$B$4835,"Uso e consumo",Base!$C$2:$C$4835,"2.03.90 Compra de EPI",Base!$A$2:$A$4835,D$4)</f>
        <v/>
      </c>
      <c r="E42" s="19">
        <f>SUMIFS(Base!$N$2:$N$4835,Base!$B$2:$B$4835,"Uso e consumo",Base!$C$2:$C$4835,"2.03.90 Compra de EPI",Base!$A$2:$A$4835,E$4)</f>
        <v/>
      </c>
      <c r="F42" s="19">
        <f>SUMIFS(Base!$N$2:$N$4835,Base!$B$2:$B$4835,"Uso e consumo",Base!$C$2:$C$4835,"2.03.90 Compra de EPI",Base!$A$2:$A$4835,F$4)</f>
        <v/>
      </c>
      <c r="G42" s="19">
        <f>SUMIFS(Base!$N$2:$N$4835,Base!$B$2:$B$4835,"Uso e consumo",Base!$C$2:$C$4835,"2.03.90 Compra de EPI",Base!$A$2:$A$4835,G$4)</f>
        <v/>
      </c>
      <c r="H42" s="19">
        <f>SUMIFS(Base!$N$2:$N$4835,Base!$B$2:$B$4835,"Uso e consumo",Base!$C$2:$C$4835,"2.03.90 Compra de EPI",Base!$A$2:$A$4835,H$4)</f>
        <v/>
      </c>
      <c r="I42" s="19">
        <f>SUMIFS(Base!$N$2:$N$4835,Base!$B$2:$B$4835,"Uso e consumo",Base!$C$2:$C$4835,"2.03.90 Compra de EPI",Base!$A$2:$A$4835,I$4)</f>
        <v/>
      </c>
      <c r="J42" s="19">
        <f>SUMIFS(Base!$N$2:$N$4835,Base!$B$2:$B$4835,"Uso e consumo",Base!$C$2:$C$4835,"2.03.90 Compra de EPI",Base!$A$2:$A$4835,J$4)</f>
        <v/>
      </c>
      <c r="K42" s="19">
        <f>SUM(B42:J42)</f>
        <v/>
      </c>
      <c r="L42" s="19">
        <f>AVERAGE(B42:J42)</f>
        <v/>
      </c>
      <c r="M42" s="19">
        <f>MAX(B42:J42)</f>
        <v/>
      </c>
      <c r="N42" s="24">
        <f>IF(M42=0,"",INDEX($B$4:$J$4,MATCH(M42,B42:J42,0)))</f>
        <v/>
      </c>
    </row>
    <row r="43">
      <c r="A43" s="4" t="inlineStr">
        <is>
          <t xml:space="preserve">   2.04.06 Material de Escritório</t>
        </is>
      </c>
      <c r="B43" s="19">
        <f>SUMIFS(Base!$N$2:$N$4835,Base!$B$2:$B$4835,"Uso e consumo",Base!$C$2:$C$4835,"2.04.06 Material de Escritório",Base!$A$2:$A$4835,B$4)</f>
        <v/>
      </c>
      <c r="C43" s="19">
        <f>SUMIFS(Base!$N$2:$N$4835,Base!$B$2:$B$4835,"Uso e consumo",Base!$C$2:$C$4835,"2.04.06 Material de Escritório",Base!$A$2:$A$4835,C$4)</f>
        <v/>
      </c>
      <c r="D43" s="19">
        <f>SUMIFS(Base!$N$2:$N$4835,Base!$B$2:$B$4835,"Uso e consumo",Base!$C$2:$C$4835,"2.04.06 Material de Escritório",Base!$A$2:$A$4835,D$4)</f>
        <v/>
      </c>
      <c r="E43" s="19">
        <f>SUMIFS(Base!$N$2:$N$4835,Base!$B$2:$B$4835,"Uso e consumo",Base!$C$2:$C$4835,"2.04.06 Material de Escritório",Base!$A$2:$A$4835,E$4)</f>
        <v/>
      </c>
      <c r="F43" s="19">
        <f>SUMIFS(Base!$N$2:$N$4835,Base!$B$2:$B$4835,"Uso e consumo",Base!$C$2:$C$4835,"2.04.06 Material de Escritório",Base!$A$2:$A$4835,F$4)</f>
        <v/>
      </c>
      <c r="G43" s="19">
        <f>SUMIFS(Base!$N$2:$N$4835,Base!$B$2:$B$4835,"Uso e consumo",Base!$C$2:$C$4835,"2.04.06 Material de Escritório",Base!$A$2:$A$4835,G$4)</f>
        <v/>
      </c>
      <c r="H43" s="19">
        <f>SUMIFS(Base!$N$2:$N$4835,Base!$B$2:$B$4835,"Uso e consumo",Base!$C$2:$C$4835,"2.04.06 Material de Escritório",Base!$A$2:$A$4835,H$4)</f>
        <v/>
      </c>
      <c r="I43" s="19">
        <f>SUMIFS(Base!$N$2:$N$4835,Base!$B$2:$B$4835,"Uso e consumo",Base!$C$2:$C$4835,"2.04.06 Material de Escritório",Base!$A$2:$A$4835,I$4)</f>
        <v/>
      </c>
      <c r="J43" s="19">
        <f>SUMIFS(Base!$N$2:$N$4835,Base!$B$2:$B$4835,"Uso e consumo",Base!$C$2:$C$4835,"2.04.06 Material de Escritório",Base!$A$2:$A$4835,J$4)</f>
        <v/>
      </c>
      <c r="K43" s="19">
        <f>SUM(B43:J43)</f>
        <v/>
      </c>
      <c r="L43" s="19">
        <f>AVERAGE(B43:J43)</f>
        <v/>
      </c>
      <c r="M43" s="19">
        <f>MAX(B43:J43)</f>
        <v/>
      </c>
      <c r="N43" s="24">
        <f>IF(M43=0,"",INDEX($B$4:$J$4,MATCH(M43,B43:J43,0)))</f>
        <v/>
      </c>
    </row>
    <row r="44">
      <c r="A44" s="4" t="inlineStr">
        <is>
          <t xml:space="preserve">   2.04.91 Compra de Material de Limpeza</t>
        </is>
      </c>
      <c r="B44" s="19">
        <f>SUMIFS(Base!$N$2:$N$4835,Base!$B$2:$B$4835,"Uso e consumo",Base!$C$2:$C$4835,"2.04.91 Compra de Material de Limpeza",Base!$A$2:$A$4835,B$4)</f>
        <v/>
      </c>
      <c r="C44" s="19">
        <f>SUMIFS(Base!$N$2:$N$4835,Base!$B$2:$B$4835,"Uso e consumo",Base!$C$2:$C$4835,"2.04.91 Compra de Material de Limpeza",Base!$A$2:$A$4835,C$4)</f>
        <v/>
      </c>
      <c r="D44" s="19">
        <f>SUMIFS(Base!$N$2:$N$4835,Base!$B$2:$B$4835,"Uso e consumo",Base!$C$2:$C$4835,"2.04.91 Compra de Material de Limpeza",Base!$A$2:$A$4835,D$4)</f>
        <v/>
      </c>
      <c r="E44" s="19">
        <f>SUMIFS(Base!$N$2:$N$4835,Base!$B$2:$B$4835,"Uso e consumo",Base!$C$2:$C$4835,"2.04.91 Compra de Material de Limpeza",Base!$A$2:$A$4835,E$4)</f>
        <v/>
      </c>
      <c r="F44" s="19">
        <f>SUMIFS(Base!$N$2:$N$4835,Base!$B$2:$B$4835,"Uso e consumo",Base!$C$2:$C$4835,"2.04.91 Compra de Material de Limpeza",Base!$A$2:$A$4835,F$4)</f>
        <v/>
      </c>
      <c r="G44" s="19">
        <f>SUMIFS(Base!$N$2:$N$4835,Base!$B$2:$B$4835,"Uso e consumo",Base!$C$2:$C$4835,"2.04.91 Compra de Material de Limpeza",Base!$A$2:$A$4835,G$4)</f>
        <v/>
      </c>
      <c r="H44" s="19">
        <f>SUMIFS(Base!$N$2:$N$4835,Base!$B$2:$B$4835,"Uso e consumo",Base!$C$2:$C$4835,"2.04.91 Compra de Material de Limpeza",Base!$A$2:$A$4835,H$4)</f>
        <v/>
      </c>
      <c r="I44" s="19">
        <f>SUMIFS(Base!$N$2:$N$4835,Base!$B$2:$B$4835,"Uso e consumo",Base!$C$2:$C$4835,"2.04.91 Compra de Material de Limpeza",Base!$A$2:$A$4835,I$4)</f>
        <v/>
      </c>
      <c r="J44" s="19">
        <f>SUMIFS(Base!$N$2:$N$4835,Base!$B$2:$B$4835,"Uso e consumo",Base!$C$2:$C$4835,"2.04.91 Compra de Material de Limpeza",Base!$A$2:$A$4835,J$4)</f>
        <v/>
      </c>
      <c r="K44" s="19">
        <f>SUM(B44:J44)</f>
        <v/>
      </c>
      <c r="L44" s="19">
        <f>AVERAGE(B44:J44)</f>
        <v/>
      </c>
      <c r="M44" s="19">
        <f>MAX(B44:J44)</f>
        <v/>
      </c>
      <c r="N44" s="24">
        <f>IF(M44=0,"",INDEX($B$4:$J$4,MATCH(M44,B44:J44,0)))</f>
        <v/>
      </c>
    </row>
    <row r="45">
      <c r="A45" s="4" t="inlineStr">
        <is>
          <t xml:space="preserve">   2.04.95 Copa e Cozinha</t>
        </is>
      </c>
      <c r="B45" s="19">
        <f>SUMIFS(Base!$N$2:$N$4835,Base!$B$2:$B$4835,"Uso e consumo",Base!$C$2:$C$4835,"2.04.95 Copa e Cozinha",Base!$A$2:$A$4835,B$4)</f>
        <v/>
      </c>
      <c r="C45" s="19">
        <f>SUMIFS(Base!$N$2:$N$4835,Base!$B$2:$B$4835,"Uso e consumo",Base!$C$2:$C$4835,"2.04.95 Copa e Cozinha",Base!$A$2:$A$4835,C$4)</f>
        <v/>
      </c>
      <c r="D45" s="19">
        <f>SUMIFS(Base!$N$2:$N$4835,Base!$B$2:$B$4835,"Uso e consumo",Base!$C$2:$C$4835,"2.04.95 Copa e Cozinha",Base!$A$2:$A$4835,D$4)</f>
        <v/>
      </c>
      <c r="E45" s="19">
        <f>SUMIFS(Base!$N$2:$N$4835,Base!$B$2:$B$4835,"Uso e consumo",Base!$C$2:$C$4835,"2.04.95 Copa e Cozinha",Base!$A$2:$A$4835,E$4)</f>
        <v/>
      </c>
      <c r="F45" s="19">
        <f>SUMIFS(Base!$N$2:$N$4835,Base!$B$2:$B$4835,"Uso e consumo",Base!$C$2:$C$4835,"2.04.95 Copa e Cozinha",Base!$A$2:$A$4835,F$4)</f>
        <v/>
      </c>
      <c r="G45" s="19">
        <f>SUMIFS(Base!$N$2:$N$4835,Base!$B$2:$B$4835,"Uso e consumo",Base!$C$2:$C$4835,"2.04.95 Copa e Cozinha",Base!$A$2:$A$4835,G$4)</f>
        <v/>
      </c>
      <c r="H45" s="19">
        <f>SUMIFS(Base!$N$2:$N$4835,Base!$B$2:$B$4835,"Uso e consumo",Base!$C$2:$C$4835,"2.04.95 Copa e Cozinha",Base!$A$2:$A$4835,H$4)</f>
        <v/>
      </c>
      <c r="I45" s="19">
        <f>SUMIFS(Base!$N$2:$N$4835,Base!$B$2:$B$4835,"Uso e consumo",Base!$C$2:$C$4835,"2.04.95 Copa e Cozinha",Base!$A$2:$A$4835,I$4)</f>
        <v/>
      </c>
      <c r="J45" s="19">
        <f>SUMIFS(Base!$N$2:$N$4835,Base!$B$2:$B$4835,"Uso e consumo",Base!$C$2:$C$4835,"2.04.95 Copa e Cozinha",Base!$A$2:$A$4835,J$4)</f>
        <v/>
      </c>
      <c r="K45" s="19">
        <f>SUM(B45:J45)</f>
        <v/>
      </c>
      <c r="L45" s="19">
        <f>AVERAGE(B45:J45)</f>
        <v/>
      </c>
      <c r="M45" s="19">
        <f>MAX(B45:J45)</f>
        <v/>
      </c>
      <c r="N45" s="24">
        <f>IF(M45=0,"",INDEX($B$4:$J$4,MATCH(M45,B45:J45,0)))</f>
        <v/>
      </c>
    </row>
    <row r="46">
      <c r="A46" s="4" t="inlineStr">
        <is>
          <t xml:space="preserve">   2.04.96 Bens de Pequeno Valor</t>
        </is>
      </c>
      <c r="B46" s="19">
        <f>SUMIFS(Base!$N$2:$N$4835,Base!$B$2:$B$4835,"Uso e consumo",Base!$C$2:$C$4835,"2.04.96 Bens de Pequeno Valor",Base!$A$2:$A$4835,B$4)</f>
        <v/>
      </c>
      <c r="C46" s="19">
        <f>SUMIFS(Base!$N$2:$N$4835,Base!$B$2:$B$4835,"Uso e consumo",Base!$C$2:$C$4835,"2.04.96 Bens de Pequeno Valor",Base!$A$2:$A$4835,C$4)</f>
        <v/>
      </c>
      <c r="D46" s="19">
        <f>SUMIFS(Base!$N$2:$N$4835,Base!$B$2:$B$4835,"Uso e consumo",Base!$C$2:$C$4835,"2.04.96 Bens de Pequeno Valor",Base!$A$2:$A$4835,D$4)</f>
        <v/>
      </c>
      <c r="E46" s="19">
        <f>SUMIFS(Base!$N$2:$N$4835,Base!$B$2:$B$4835,"Uso e consumo",Base!$C$2:$C$4835,"2.04.96 Bens de Pequeno Valor",Base!$A$2:$A$4835,E$4)</f>
        <v/>
      </c>
      <c r="F46" s="19">
        <f>SUMIFS(Base!$N$2:$N$4835,Base!$B$2:$B$4835,"Uso e consumo",Base!$C$2:$C$4835,"2.04.96 Bens de Pequeno Valor",Base!$A$2:$A$4835,F$4)</f>
        <v/>
      </c>
      <c r="G46" s="19">
        <f>SUMIFS(Base!$N$2:$N$4835,Base!$B$2:$B$4835,"Uso e consumo",Base!$C$2:$C$4835,"2.04.96 Bens de Pequeno Valor",Base!$A$2:$A$4835,G$4)</f>
        <v/>
      </c>
      <c r="H46" s="19">
        <f>SUMIFS(Base!$N$2:$N$4835,Base!$B$2:$B$4835,"Uso e consumo",Base!$C$2:$C$4835,"2.04.96 Bens de Pequeno Valor",Base!$A$2:$A$4835,H$4)</f>
        <v/>
      </c>
      <c r="I46" s="19">
        <f>SUMIFS(Base!$N$2:$N$4835,Base!$B$2:$B$4835,"Uso e consumo",Base!$C$2:$C$4835,"2.04.96 Bens de Pequeno Valor",Base!$A$2:$A$4835,I$4)</f>
        <v/>
      </c>
      <c r="J46" s="19">
        <f>SUMIFS(Base!$N$2:$N$4835,Base!$B$2:$B$4835,"Uso e consumo",Base!$C$2:$C$4835,"2.04.96 Bens de Pequeno Valor",Base!$A$2:$A$4835,J$4)</f>
        <v/>
      </c>
      <c r="K46" s="19">
        <f>SUM(B46:J46)</f>
        <v/>
      </c>
      <c r="L46" s="19">
        <f>AVERAGE(B46:J46)</f>
        <v/>
      </c>
      <c r="M46" s="19">
        <f>MAX(B46:J46)</f>
        <v/>
      </c>
      <c r="N46" s="24">
        <f>IF(M46=0,"",INDEX($B$4:$J$4,MATCH(M46,B46:J46,0)))</f>
        <v/>
      </c>
    </row>
    <row r="47">
      <c r="A47" s="7" t="inlineStr">
        <is>
          <t>Frete de compra</t>
        </is>
      </c>
    </row>
    <row r="48">
      <c r="A48" s="4" t="inlineStr">
        <is>
          <t xml:space="preserve">   Frete de compra</t>
        </is>
      </c>
      <c r="B48" s="19">
        <f>SUMIFS(Base!$N$2:$N$4835,Base!$B$2:$B$4835,"Frete de compra",Base!$C$2:$C$4835,"Frete de compra",Base!$A$2:$A$4835,B$4)</f>
        <v/>
      </c>
      <c r="C48" s="19">
        <f>SUMIFS(Base!$N$2:$N$4835,Base!$B$2:$B$4835,"Frete de compra",Base!$C$2:$C$4835,"Frete de compra",Base!$A$2:$A$4835,C$4)</f>
        <v/>
      </c>
      <c r="D48" s="19">
        <f>SUMIFS(Base!$N$2:$N$4835,Base!$B$2:$B$4835,"Frete de compra",Base!$C$2:$C$4835,"Frete de compra",Base!$A$2:$A$4835,D$4)</f>
        <v/>
      </c>
      <c r="E48" s="19">
        <f>SUMIFS(Base!$N$2:$N$4835,Base!$B$2:$B$4835,"Frete de compra",Base!$C$2:$C$4835,"Frete de compra",Base!$A$2:$A$4835,E$4)</f>
        <v/>
      </c>
      <c r="F48" s="19">
        <f>SUMIFS(Base!$N$2:$N$4835,Base!$B$2:$B$4835,"Frete de compra",Base!$C$2:$C$4835,"Frete de compra",Base!$A$2:$A$4835,F$4)</f>
        <v/>
      </c>
      <c r="G48" s="19">
        <f>SUMIFS(Base!$N$2:$N$4835,Base!$B$2:$B$4835,"Frete de compra",Base!$C$2:$C$4835,"Frete de compra",Base!$A$2:$A$4835,G$4)</f>
        <v/>
      </c>
      <c r="H48" s="19">
        <f>SUMIFS(Base!$N$2:$N$4835,Base!$B$2:$B$4835,"Frete de compra",Base!$C$2:$C$4835,"Frete de compra",Base!$A$2:$A$4835,H$4)</f>
        <v/>
      </c>
      <c r="I48" s="19">
        <f>SUMIFS(Base!$N$2:$N$4835,Base!$B$2:$B$4835,"Frete de compra",Base!$C$2:$C$4835,"Frete de compra",Base!$A$2:$A$4835,I$4)</f>
        <v/>
      </c>
      <c r="J48" s="19">
        <f>SUMIFS(Base!$N$2:$N$4835,Base!$B$2:$B$4835,"Frete de compra",Base!$C$2:$C$4835,"Frete de compra",Base!$A$2:$A$4835,J$4)</f>
        <v/>
      </c>
      <c r="K48" s="19">
        <f>SUM(B48:J48)</f>
        <v/>
      </c>
      <c r="L48" s="19">
        <f>AVERAGE(B48:J48)</f>
        <v/>
      </c>
      <c r="M48" s="19">
        <f>MAX(B48:J48)</f>
        <v/>
      </c>
      <c r="N48" s="24">
        <f>IF(M48=0,"",INDEX($B$4:$J$4,MATCH(M48,B48:J48,0)))</f>
        <v/>
      </c>
    </row>
    <row r="49">
      <c r="A49" s="7" t="inlineStr">
        <is>
          <t>Frete de venda</t>
        </is>
      </c>
    </row>
    <row r="50">
      <c r="A50" s="4" t="inlineStr">
        <is>
          <t xml:space="preserve">   Frete de venda (para clientes)</t>
        </is>
      </c>
      <c r="B50" s="19">
        <f>SUMIFS(Base!$N$2:$N$4835,Base!$B$2:$B$4835,"Frete de venda",Base!$C$2:$C$4835,"Frete de venda (para clientes)",Base!$A$2:$A$4835,B$4)</f>
        <v/>
      </c>
      <c r="C50" s="19">
        <f>SUMIFS(Base!$N$2:$N$4835,Base!$B$2:$B$4835,"Frete de venda",Base!$C$2:$C$4835,"Frete de venda (para clientes)",Base!$A$2:$A$4835,C$4)</f>
        <v/>
      </c>
      <c r="D50" s="19">
        <f>SUMIFS(Base!$N$2:$N$4835,Base!$B$2:$B$4835,"Frete de venda",Base!$C$2:$C$4835,"Frete de venda (para clientes)",Base!$A$2:$A$4835,D$4)</f>
        <v/>
      </c>
      <c r="E50" s="19">
        <f>SUMIFS(Base!$N$2:$N$4835,Base!$B$2:$B$4835,"Frete de venda",Base!$C$2:$C$4835,"Frete de venda (para clientes)",Base!$A$2:$A$4835,E$4)</f>
        <v/>
      </c>
      <c r="F50" s="19">
        <f>SUMIFS(Base!$N$2:$N$4835,Base!$B$2:$B$4835,"Frete de venda",Base!$C$2:$C$4835,"Frete de venda (para clientes)",Base!$A$2:$A$4835,F$4)</f>
        <v/>
      </c>
      <c r="G50" s="19">
        <f>SUMIFS(Base!$N$2:$N$4835,Base!$B$2:$B$4835,"Frete de venda",Base!$C$2:$C$4835,"Frete de venda (para clientes)",Base!$A$2:$A$4835,G$4)</f>
        <v/>
      </c>
      <c r="H50" s="19">
        <f>SUMIFS(Base!$N$2:$N$4835,Base!$B$2:$B$4835,"Frete de venda",Base!$C$2:$C$4835,"Frete de venda (para clientes)",Base!$A$2:$A$4835,H$4)</f>
        <v/>
      </c>
      <c r="I50" s="19">
        <f>SUMIFS(Base!$N$2:$N$4835,Base!$B$2:$B$4835,"Frete de venda",Base!$C$2:$C$4835,"Frete de venda (para clientes)",Base!$A$2:$A$4835,I$4)</f>
        <v/>
      </c>
      <c r="J50" s="19">
        <f>SUMIFS(Base!$N$2:$N$4835,Base!$B$2:$B$4835,"Frete de venda",Base!$C$2:$C$4835,"Frete de venda (para clientes)",Base!$A$2:$A$4835,J$4)</f>
        <v/>
      </c>
      <c r="K50" s="19">
        <f>SUM(B50:J50)</f>
        <v/>
      </c>
      <c r="L50" s="19">
        <f>AVERAGE(B50:J50)</f>
        <v/>
      </c>
      <c r="M50" s="19">
        <f>MAX(B50:J50)</f>
        <v/>
      </c>
      <c r="N50" s="24">
        <f>IF(M50=0,"",INDEX($B$4:$J$4,MATCH(M50,B50:J50,0)))</f>
        <v/>
      </c>
    </row>
    <row r="52">
      <c r="A52" s="2" t="inlineStr">
        <is>
          <t>Variação % vs mês anterior – categoria</t>
        </is>
      </c>
      <c r="B52" s="17" t="n">
        <v>46023</v>
      </c>
      <c r="C52" s="17" t="n">
        <v>46054</v>
      </c>
      <c r="D52" s="17" t="n">
        <v>46082</v>
      </c>
      <c r="E52" s="17" t="n">
        <v>46113</v>
      </c>
      <c r="F52" s="17" t="n">
        <v>46143</v>
      </c>
      <c r="G52" s="17" t="n">
        <v>46174</v>
      </c>
      <c r="H52" s="17" t="n">
        <v>46204</v>
      </c>
      <c r="I52" s="17" t="n">
        <v>46235</v>
      </c>
      <c r="J52" s="17" t="n">
        <v>46266</v>
      </c>
      <c r="K52" s="2" t="inlineStr">
        <is>
          <t>Total 2026</t>
        </is>
      </c>
      <c r="L52" s="2" t="inlineStr">
        <is>
          <t>Média mensal</t>
        </is>
      </c>
      <c r="M52" s="2" t="inlineStr">
        <is>
          <t>Maior mês</t>
        </is>
      </c>
      <c r="N52" s="2" t="inlineStr">
        <is>
          <t>Mês do pico</t>
        </is>
      </c>
    </row>
    <row r="53">
      <c r="A53">
        <f>A26</f>
        <v/>
      </c>
      <c r="C53" s="26">
        <f>IF(B26=0,"",C26/B26-1)</f>
        <v/>
      </c>
      <c r="D53" s="26">
        <f>IF(C26=0,"",D26/C26-1)</f>
        <v/>
      </c>
      <c r="E53" s="26">
        <f>IF(D26=0,"",E26/D26-1)</f>
        <v/>
      </c>
      <c r="F53" s="26">
        <f>IF(E26=0,"",F26/E26-1)</f>
        <v/>
      </c>
      <c r="G53" s="26">
        <f>IF(F26=0,"",G26/F26-1)</f>
        <v/>
      </c>
      <c r="H53" s="26">
        <f>IF(G26=0,"",H26/G26-1)</f>
        <v/>
      </c>
      <c r="I53" s="26">
        <f>IF(H26=0,"",I26/H26-1)</f>
        <v/>
      </c>
      <c r="J53" s="26">
        <f>IF(I26=0,"",J26/I26-1)</f>
        <v/>
      </c>
    </row>
    <row r="54">
      <c r="A54">
        <f>A27</f>
        <v/>
      </c>
      <c r="C54" s="26">
        <f>IF(B27=0,"",C27/B27-1)</f>
        <v/>
      </c>
      <c r="D54" s="26">
        <f>IF(C27=0,"",D27/C27-1)</f>
        <v/>
      </c>
      <c r="E54" s="26">
        <f>IF(D27=0,"",E27/D27-1)</f>
        <v/>
      </c>
      <c r="F54" s="26">
        <f>IF(E27=0,"",F27/E27-1)</f>
        <v/>
      </c>
      <c r="G54" s="26">
        <f>IF(F27=0,"",G27/F27-1)</f>
        <v/>
      </c>
      <c r="H54" s="26">
        <f>IF(G27=0,"",H27/G27-1)</f>
        <v/>
      </c>
      <c r="I54" s="26">
        <f>IF(H27=0,"",I27/H27-1)</f>
        <v/>
      </c>
      <c r="J54" s="26">
        <f>IF(I27=0,"",J27/I27-1)</f>
        <v/>
      </c>
    </row>
    <row r="55">
      <c r="A55">
        <f>A28</f>
        <v/>
      </c>
      <c r="C55" s="26">
        <f>IF(B28=0,"",C28/B28-1)</f>
        <v/>
      </c>
      <c r="D55" s="26">
        <f>IF(C28=0,"",D28/C28-1)</f>
        <v/>
      </c>
      <c r="E55" s="26">
        <f>IF(D28=0,"",E28/D28-1)</f>
        <v/>
      </c>
      <c r="F55" s="26">
        <f>IF(E28=0,"",F28/E28-1)</f>
        <v/>
      </c>
      <c r="G55" s="26">
        <f>IF(F28=0,"",G28/F28-1)</f>
        <v/>
      </c>
      <c r="H55" s="26">
        <f>IF(G28=0,"",H28/G28-1)</f>
        <v/>
      </c>
      <c r="I55" s="26">
        <f>IF(H28=0,"",I28/H28-1)</f>
        <v/>
      </c>
      <c r="J55" s="26">
        <f>IF(I28=0,"",J28/I28-1)</f>
        <v/>
      </c>
    </row>
    <row r="56">
      <c r="A56">
        <f>A29</f>
        <v/>
      </c>
      <c r="C56" s="26">
        <f>IF(B29=0,"",C29/B29-1)</f>
        <v/>
      </c>
      <c r="D56" s="26">
        <f>IF(C29=0,"",D29/C29-1)</f>
        <v/>
      </c>
      <c r="E56" s="26">
        <f>IF(D29=0,"",E29/D29-1)</f>
        <v/>
      </c>
      <c r="F56" s="26">
        <f>IF(E29=0,"",F29/E29-1)</f>
        <v/>
      </c>
      <c r="G56" s="26">
        <f>IF(F29=0,"",G29/F29-1)</f>
        <v/>
      </c>
      <c r="H56" s="26">
        <f>IF(G29=0,"",H29/G29-1)</f>
        <v/>
      </c>
      <c r="I56" s="26">
        <f>IF(H29=0,"",I29/H29-1)</f>
        <v/>
      </c>
      <c r="J56" s="26">
        <f>IF(I29=0,"",J29/I29-1)</f>
        <v/>
      </c>
    </row>
    <row r="57">
      <c r="A57">
        <f>A30</f>
        <v/>
      </c>
      <c r="C57" s="26">
        <f>IF(B30=0,"",C30/B30-1)</f>
        <v/>
      </c>
      <c r="D57" s="26">
        <f>IF(C30=0,"",D30/C30-1)</f>
        <v/>
      </c>
      <c r="E57" s="26">
        <f>IF(D30=0,"",E30/D30-1)</f>
        <v/>
      </c>
      <c r="F57" s="26">
        <f>IF(E30=0,"",F30/E30-1)</f>
        <v/>
      </c>
      <c r="G57" s="26">
        <f>IF(F30=0,"",G30/F30-1)</f>
        <v/>
      </c>
      <c r="H57" s="26">
        <f>IF(G30=0,"",H30/G30-1)</f>
        <v/>
      </c>
      <c r="I57" s="26">
        <f>IF(H30=0,"",I30/H30-1)</f>
        <v/>
      </c>
      <c r="J57" s="26">
        <f>IF(I30=0,"",J30/I30-1)</f>
        <v/>
      </c>
    </row>
    <row r="58">
      <c r="A58">
        <f>A31</f>
        <v/>
      </c>
      <c r="C58" s="26">
        <f>IF(B31=0,"",C31/B31-1)</f>
        <v/>
      </c>
      <c r="D58" s="26">
        <f>IF(C31=0,"",D31/C31-1)</f>
        <v/>
      </c>
      <c r="E58" s="26">
        <f>IF(D31=0,"",E31/D31-1)</f>
        <v/>
      </c>
      <c r="F58" s="26">
        <f>IF(E31=0,"",F31/E31-1)</f>
        <v/>
      </c>
      <c r="G58" s="26">
        <f>IF(F31=0,"",G31/F31-1)</f>
        <v/>
      </c>
      <c r="H58" s="26">
        <f>IF(G31=0,"",H31/G31-1)</f>
        <v/>
      </c>
      <c r="I58" s="26">
        <f>IF(H31=0,"",I31/H31-1)</f>
        <v/>
      </c>
      <c r="J58" s="26">
        <f>IF(I31=0,"",J31/I31-1)</f>
        <v/>
      </c>
    </row>
    <row r="59">
      <c r="A59">
        <f>A32</f>
        <v/>
      </c>
      <c r="C59" s="26">
        <f>IF(B32=0,"",C32/B32-1)</f>
        <v/>
      </c>
      <c r="D59" s="26">
        <f>IF(C32=0,"",D32/C32-1)</f>
        <v/>
      </c>
      <c r="E59" s="26">
        <f>IF(D32=0,"",E32/D32-1)</f>
        <v/>
      </c>
      <c r="F59" s="26">
        <f>IF(E32=0,"",F32/E32-1)</f>
        <v/>
      </c>
      <c r="G59" s="26">
        <f>IF(F32=0,"",G32/F32-1)</f>
        <v/>
      </c>
      <c r="H59" s="26">
        <f>IF(G32=0,"",H32/G32-1)</f>
        <v/>
      </c>
      <c r="I59" s="26">
        <f>IF(H32=0,"",I32/H32-1)</f>
        <v/>
      </c>
      <c r="J59" s="26">
        <f>IF(I32=0,"",J32/I32-1)</f>
        <v/>
      </c>
    </row>
    <row r="60">
      <c r="A60">
        <f>A33</f>
        <v/>
      </c>
      <c r="C60" s="26">
        <f>IF(B33=0,"",C33/B33-1)</f>
        <v/>
      </c>
      <c r="D60" s="26">
        <f>IF(C33=0,"",D33/C33-1)</f>
        <v/>
      </c>
      <c r="E60" s="26">
        <f>IF(D33=0,"",E33/D33-1)</f>
        <v/>
      </c>
      <c r="F60" s="26">
        <f>IF(E33=0,"",F33/E33-1)</f>
        <v/>
      </c>
      <c r="G60" s="26">
        <f>IF(F33=0,"",G33/F33-1)</f>
        <v/>
      </c>
      <c r="H60" s="26">
        <f>IF(G33=0,"",H33/G33-1)</f>
        <v/>
      </c>
      <c r="I60" s="26">
        <f>IF(H33=0,"",I33/H33-1)</f>
        <v/>
      </c>
      <c r="J60" s="26">
        <f>IF(I33=0,"",J33/I33-1)</f>
        <v/>
      </c>
    </row>
    <row r="61">
      <c r="A61">
        <f>A34</f>
        <v/>
      </c>
      <c r="C61" s="26">
        <f>IF(B34=0,"",C34/B34-1)</f>
        <v/>
      </c>
      <c r="D61" s="26">
        <f>IF(C34=0,"",D34/C34-1)</f>
        <v/>
      </c>
      <c r="E61" s="26">
        <f>IF(D34=0,"",E34/D34-1)</f>
        <v/>
      </c>
      <c r="F61" s="26">
        <f>IF(E34=0,"",F34/E34-1)</f>
        <v/>
      </c>
      <c r="G61" s="26">
        <f>IF(F34=0,"",G34/F34-1)</f>
        <v/>
      </c>
      <c r="H61" s="26">
        <f>IF(G34=0,"",H34/G34-1)</f>
        <v/>
      </c>
      <c r="I61" s="26">
        <f>IF(H34=0,"",I34/H34-1)</f>
        <v/>
      </c>
      <c r="J61" s="26">
        <f>IF(I34=0,"",J34/I34-1)</f>
        <v/>
      </c>
    </row>
    <row r="62">
      <c r="A62">
        <f>A35</f>
        <v/>
      </c>
      <c r="C62" s="26">
        <f>IF(B35=0,"",C35/B35-1)</f>
        <v/>
      </c>
      <c r="D62" s="26">
        <f>IF(C35=0,"",D35/C35-1)</f>
        <v/>
      </c>
      <c r="E62" s="26">
        <f>IF(D35=0,"",E35/D35-1)</f>
        <v/>
      </c>
      <c r="F62" s="26">
        <f>IF(E35=0,"",F35/E35-1)</f>
        <v/>
      </c>
      <c r="G62" s="26">
        <f>IF(F35=0,"",G35/F35-1)</f>
        <v/>
      </c>
      <c r="H62" s="26">
        <f>IF(G35=0,"",H35/G35-1)</f>
        <v/>
      </c>
      <c r="I62" s="26">
        <f>IF(H35=0,"",I35/H35-1)</f>
        <v/>
      </c>
      <c r="J62" s="26">
        <f>IF(I35=0,"",J35/I35-1)</f>
        <v/>
      </c>
    </row>
    <row r="63">
      <c r="A63">
        <f>A36</f>
        <v/>
      </c>
      <c r="C63" s="26">
        <f>IF(B36=0,"",C36/B36-1)</f>
        <v/>
      </c>
      <c r="D63" s="26">
        <f>IF(C36=0,"",D36/C36-1)</f>
        <v/>
      </c>
      <c r="E63" s="26">
        <f>IF(D36=0,"",E36/D36-1)</f>
        <v/>
      </c>
      <c r="F63" s="26">
        <f>IF(E36=0,"",F36/E36-1)</f>
        <v/>
      </c>
      <c r="G63" s="26">
        <f>IF(F36=0,"",G36/F36-1)</f>
        <v/>
      </c>
      <c r="H63" s="26">
        <f>IF(G36=0,"",H36/G36-1)</f>
        <v/>
      </c>
      <c r="I63" s="26">
        <f>IF(H36=0,"",I36/H36-1)</f>
        <v/>
      </c>
      <c r="J63" s="26">
        <f>IF(I36=0,"",J36/I36-1)</f>
        <v/>
      </c>
    </row>
    <row r="64">
      <c r="A64">
        <f>A37</f>
        <v/>
      </c>
      <c r="C64" s="26">
        <f>IF(B37=0,"",C37/B37-1)</f>
        <v/>
      </c>
      <c r="D64" s="26">
        <f>IF(C37=0,"",D37/C37-1)</f>
        <v/>
      </c>
      <c r="E64" s="26">
        <f>IF(D37=0,"",E37/D37-1)</f>
        <v/>
      </c>
      <c r="F64" s="26">
        <f>IF(E37=0,"",F37/E37-1)</f>
        <v/>
      </c>
      <c r="G64" s="26">
        <f>IF(F37=0,"",G37/F37-1)</f>
        <v/>
      </c>
      <c r="H64" s="26">
        <f>IF(G37=0,"",H37/G37-1)</f>
        <v/>
      </c>
      <c r="I64" s="26">
        <f>IF(H37=0,"",I37/H37-1)</f>
        <v/>
      </c>
      <c r="J64" s="26">
        <f>IF(I37=0,"",J37/I37-1)</f>
        <v/>
      </c>
    </row>
    <row r="65">
      <c r="A65">
        <f>A39</f>
        <v/>
      </c>
      <c r="C65" s="26">
        <f>IF(B39=0,"",C39/B39-1)</f>
        <v/>
      </c>
      <c r="D65" s="26">
        <f>IF(C39=0,"",D39/C39-1)</f>
        <v/>
      </c>
      <c r="E65" s="26">
        <f>IF(D39=0,"",E39/D39-1)</f>
        <v/>
      </c>
      <c r="F65" s="26">
        <f>IF(E39=0,"",F39/E39-1)</f>
        <v/>
      </c>
      <c r="G65" s="26">
        <f>IF(F39=0,"",G39/F39-1)</f>
        <v/>
      </c>
      <c r="H65" s="26">
        <f>IF(G39=0,"",H39/G39-1)</f>
        <v/>
      </c>
      <c r="I65" s="26">
        <f>IF(H39=0,"",I39/H39-1)</f>
        <v/>
      </c>
      <c r="J65" s="26">
        <f>IF(I39=0,"",J39/I39-1)</f>
        <v/>
      </c>
    </row>
    <row r="66">
      <c r="A66">
        <f>A40</f>
        <v/>
      </c>
      <c r="C66" s="26">
        <f>IF(B40=0,"",C40/B40-1)</f>
        <v/>
      </c>
      <c r="D66" s="26">
        <f>IF(C40=0,"",D40/C40-1)</f>
        <v/>
      </c>
      <c r="E66" s="26">
        <f>IF(D40=0,"",E40/D40-1)</f>
        <v/>
      </c>
      <c r="F66" s="26">
        <f>IF(E40=0,"",F40/E40-1)</f>
        <v/>
      </c>
      <c r="G66" s="26">
        <f>IF(F40=0,"",G40/F40-1)</f>
        <v/>
      </c>
      <c r="H66" s="26">
        <f>IF(G40=0,"",H40/G40-1)</f>
        <v/>
      </c>
      <c r="I66" s="26">
        <f>IF(H40=0,"",I40/H40-1)</f>
        <v/>
      </c>
      <c r="J66" s="26">
        <f>IF(I40=0,"",J40/I40-1)</f>
        <v/>
      </c>
    </row>
    <row r="67">
      <c r="A67">
        <f>A41</f>
        <v/>
      </c>
      <c r="C67" s="26">
        <f>IF(B41=0,"",C41/B41-1)</f>
        <v/>
      </c>
      <c r="D67" s="26">
        <f>IF(C41=0,"",D41/C41-1)</f>
        <v/>
      </c>
      <c r="E67" s="26">
        <f>IF(D41=0,"",E41/D41-1)</f>
        <v/>
      </c>
      <c r="F67" s="26">
        <f>IF(E41=0,"",F41/E41-1)</f>
        <v/>
      </c>
      <c r="G67" s="26">
        <f>IF(F41=0,"",G41/F41-1)</f>
        <v/>
      </c>
      <c r="H67" s="26">
        <f>IF(G41=0,"",H41/G41-1)</f>
        <v/>
      </c>
      <c r="I67" s="26">
        <f>IF(H41=0,"",I41/H41-1)</f>
        <v/>
      </c>
      <c r="J67" s="26">
        <f>IF(I41=0,"",J41/I41-1)</f>
        <v/>
      </c>
    </row>
    <row r="68">
      <c r="A68">
        <f>A42</f>
        <v/>
      </c>
      <c r="C68" s="26">
        <f>IF(B42=0,"",C42/B42-1)</f>
        <v/>
      </c>
      <c r="D68" s="26">
        <f>IF(C42=0,"",D42/C42-1)</f>
        <v/>
      </c>
      <c r="E68" s="26">
        <f>IF(D42=0,"",E42/D42-1)</f>
        <v/>
      </c>
      <c r="F68" s="26">
        <f>IF(E42=0,"",F42/E42-1)</f>
        <v/>
      </c>
      <c r="G68" s="26">
        <f>IF(F42=0,"",G42/F42-1)</f>
        <v/>
      </c>
      <c r="H68" s="26">
        <f>IF(G42=0,"",H42/G42-1)</f>
        <v/>
      </c>
      <c r="I68" s="26">
        <f>IF(H42=0,"",I42/H42-1)</f>
        <v/>
      </c>
      <c r="J68" s="26">
        <f>IF(I42=0,"",J42/I42-1)</f>
        <v/>
      </c>
    </row>
    <row r="69">
      <c r="A69">
        <f>A43</f>
        <v/>
      </c>
      <c r="C69" s="26">
        <f>IF(B43=0,"",C43/B43-1)</f>
        <v/>
      </c>
      <c r="D69" s="26">
        <f>IF(C43=0,"",D43/C43-1)</f>
        <v/>
      </c>
      <c r="E69" s="26">
        <f>IF(D43=0,"",E43/D43-1)</f>
        <v/>
      </c>
      <c r="F69" s="26">
        <f>IF(E43=0,"",F43/E43-1)</f>
        <v/>
      </c>
      <c r="G69" s="26">
        <f>IF(F43=0,"",G43/F43-1)</f>
        <v/>
      </c>
      <c r="H69" s="26">
        <f>IF(G43=0,"",H43/G43-1)</f>
        <v/>
      </c>
      <c r="I69" s="26">
        <f>IF(H43=0,"",I43/H43-1)</f>
        <v/>
      </c>
      <c r="J69" s="26">
        <f>IF(I43=0,"",J43/I43-1)</f>
        <v/>
      </c>
    </row>
    <row r="70">
      <c r="A70">
        <f>A44</f>
        <v/>
      </c>
      <c r="C70" s="26">
        <f>IF(B44=0,"",C44/B44-1)</f>
        <v/>
      </c>
      <c r="D70" s="26">
        <f>IF(C44=0,"",D44/C44-1)</f>
        <v/>
      </c>
      <c r="E70" s="26">
        <f>IF(D44=0,"",E44/D44-1)</f>
        <v/>
      </c>
      <c r="F70" s="26">
        <f>IF(E44=0,"",F44/E44-1)</f>
        <v/>
      </c>
      <c r="G70" s="26">
        <f>IF(F44=0,"",G44/F44-1)</f>
        <v/>
      </c>
      <c r="H70" s="26">
        <f>IF(G44=0,"",H44/G44-1)</f>
        <v/>
      </c>
      <c r="I70" s="26">
        <f>IF(H44=0,"",I44/H44-1)</f>
        <v/>
      </c>
      <c r="J70" s="26">
        <f>IF(I44=0,"",J44/I44-1)</f>
        <v/>
      </c>
    </row>
    <row r="71">
      <c r="A71">
        <f>A45</f>
        <v/>
      </c>
      <c r="C71" s="26">
        <f>IF(B45=0,"",C45/B45-1)</f>
        <v/>
      </c>
      <c r="D71" s="26">
        <f>IF(C45=0,"",D45/C45-1)</f>
        <v/>
      </c>
      <c r="E71" s="26">
        <f>IF(D45=0,"",E45/D45-1)</f>
        <v/>
      </c>
      <c r="F71" s="26">
        <f>IF(E45=0,"",F45/E45-1)</f>
        <v/>
      </c>
      <c r="G71" s="26">
        <f>IF(F45=0,"",G45/F45-1)</f>
        <v/>
      </c>
      <c r="H71" s="26">
        <f>IF(G45=0,"",H45/G45-1)</f>
        <v/>
      </c>
      <c r="I71" s="26">
        <f>IF(H45=0,"",I45/H45-1)</f>
        <v/>
      </c>
      <c r="J71" s="26">
        <f>IF(I45=0,"",J45/I45-1)</f>
        <v/>
      </c>
    </row>
    <row r="72">
      <c r="A72">
        <f>A46</f>
        <v/>
      </c>
      <c r="C72" s="26">
        <f>IF(B46=0,"",C46/B46-1)</f>
        <v/>
      </c>
      <c r="D72" s="26">
        <f>IF(C46=0,"",D46/C46-1)</f>
        <v/>
      </c>
      <c r="E72" s="26">
        <f>IF(D46=0,"",E46/D46-1)</f>
        <v/>
      </c>
      <c r="F72" s="26">
        <f>IF(E46=0,"",F46/E46-1)</f>
        <v/>
      </c>
      <c r="G72" s="26">
        <f>IF(F46=0,"",G46/F46-1)</f>
        <v/>
      </c>
      <c r="H72" s="26">
        <f>IF(G46=0,"",H46/G46-1)</f>
        <v/>
      </c>
      <c r="I72" s="26">
        <f>IF(H46=0,"",I46/H46-1)</f>
        <v/>
      </c>
      <c r="J72" s="26">
        <f>IF(I46=0,"",J46/I46-1)</f>
        <v/>
      </c>
    </row>
    <row r="73">
      <c r="A73">
        <f>A48</f>
        <v/>
      </c>
      <c r="C73" s="26">
        <f>IF(B48=0,"",C48/B48-1)</f>
        <v/>
      </c>
      <c r="D73" s="26">
        <f>IF(C48=0,"",D48/C48-1)</f>
        <v/>
      </c>
      <c r="E73" s="26">
        <f>IF(D48=0,"",E48/D48-1)</f>
        <v/>
      </c>
      <c r="F73" s="26">
        <f>IF(E48=0,"",F48/E48-1)</f>
        <v/>
      </c>
      <c r="G73" s="26">
        <f>IF(F48=0,"",G48/F48-1)</f>
        <v/>
      </c>
      <c r="H73" s="26">
        <f>IF(G48=0,"",H48/G48-1)</f>
        <v/>
      </c>
      <c r="I73" s="26">
        <f>IF(H48=0,"",I48/H48-1)</f>
        <v/>
      </c>
      <c r="J73" s="26">
        <f>IF(I48=0,"",J48/I48-1)</f>
        <v/>
      </c>
    </row>
    <row r="74">
      <c r="A74">
        <f>A50</f>
        <v/>
      </c>
      <c r="C74" s="26">
        <f>IF(B50=0,"",C50/B50-1)</f>
        <v/>
      </c>
      <c r="D74" s="26">
        <f>IF(C50=0,"",D50/C50-1)</f>
        <v/>
      </c>
      <c r="E74" s="26">
        <f>IF(D50=0,"",E50/D50-1)</f>
        <v/>
      </c>
      <c r="F74" s="26">
        <f>IF(E50=0,"",F50/E50-1)</f>
        <v/>
      </c>
      <c r="G74" s="26">
        <f>IF(F50=0,"",G50/F50-1)</f>
        <v/>
      </c>
      <c r="H74" s="26">
        <f>IF(G50=0,"",H50/G50-1)</f>
        <v/>
      </c>
      <c r="I74" s="26">
        <f>IF(H50=0,"",I50/H50-1)</f>
        <v/>
      </c>
      <c r="J74" s="26">
        <f>IF(I50=0,"",J50/I50-1)</f>
        <v/>
      </c>
    </row>
  </sheetData>
  <conditionalFormatting sqref="C12:J16">
    <cfRule type="cellIs" priority="1" operator="greaterThan" dxfId="0">
      <formula>0.2</formula>
    </cfRule>
    <cfRule type="cellIs" priority="2" operator="lessThan" dxfId="1">
      <formula>-0.2</formula>
    </cfRule>
  </conditionalFormatting>
  <conditionalFormatting sqref="C53:J74">
    <cfRule type="cellIs" priority="3" operator="greaterThan" dxfId="0">
      <formula>0.2</formula>
    </cfRule>
    <cfRule type="cellIs" priority="4" operator="lessThan" dxfId="1">
      <formula>-0.2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Por fornecedor / transportadora – custo líquido 2026 (R$)</t>
        </is>
      </c>
    </row>
    <row r="4">
      <c r="A4" s="2" t="inlineStr">
        <is>
          <t>Destino</t>
        </is>
      </c>
      <c r="B4" s="2" t="inlineStr">
        <is>
          <t>Fornecedor / Transportadora</t>
        </is>
      </c>
      <c r="C4" s="17" t="n">
        <v>46023</v>
      </c>
      <c r="D4" s="17" t="n">
        <v>46054</v>
      </c>
      <c r="E4" s="17" t="n">
        <v>46082</v>
      </c>
      <c r="F4" s="17" t="n">
        <v>46113</v>
      </c>
      <c r="G4" s="17" t="n">
        <v>46143</v>
      </c>
      <c r="H4" s="17" t="n">
        <v>46174</v>
      </c>
      <c r="I4" s="17" t="n">
        <v>46204</v>
      </c>
      <c r="J4" s="17" t="n">
        <v>46235</v>
      </c>
      <c r="K4" s="17" t="n">
        <v>46266</v>
      </c>
      <c r="L4" s="2" t="inlineStr">
        <is>
          <t>Total 2026</t>
        </is>
      </c>
      <c r="M4" s="2" t="inlineStr">
        <is>
          <t>% do destino</t>
        </is>
      </c>
    </row>
    <row r="5">
      <c r="A5" t="inlineStr">
        <is>
          <t>Insumos e papel</t>
        </is>
      </c>
      <c r="B5" t="inlineStr">
        <is>
          <t>CMPC Iguacu Embalagens Ltda</t>
        </is>
      </c>
      <c r="C5" s="28">
        <f>SUMIFS(Base!$N$2:$N$4835,Base!$B$2:$B$4835,$A5,Base!$F$2:$F$4835,$B5,Base!$A$2:$A$4835,C$4)</f>
        <v/>
      </c>
      <c r="D5" s="28">
        <f>SUMIFS(Base!$N$2:$N$4835,Base!$B$2:$B$4835,$A5,Base!$F$2:$F$4835,$B5,Base!$A$2:$A$4835,D$4)</f>
        <v/>
      </c>
      <c r="E5" s="28">
        <f>SUMIFS(Base!$N$2:$N$4835,Base!$B$2:$B$4835,$A5,Base!$F$2:$F$4835,$B5,Base!$A$2:$A$4835,E$4)</f>
        <v/>
      </c>
      <c r="F5" s="28">
        <f>SUMIFS(Base!$N$2:$N$4835,Base!$B$2:$B$4835,$A5,Base!$F$2:$F$4835,$B5,Base!$A$2:$A$4835,F$4)</f>
        <v/>
      </c>
      <c r="G5" s="28">
        <f>SUMIFS(Base!$N$2:$N$4835,Base!$B$2:$B$4835,$A5,Base!$F$2:$F$4835,$B5,Base!$A$2:$A$4835,G$4)</f>
        <v/>
      </c>
      <c r="H5" s="28">
        <f>SUMIFS(Base!$N$2:$N$4835,Base!$B$2:$B$4835,$A5,Base!$F$2:$F$4835,$B5,Base!$A$2:$A$4835,H$4)</f>
        <v/>
      </c>
      <c r="I5" s="28">
        <f>SUMIFS(Base!$N$2:$N$4835,Base!$B$2:$B$4835,$A5,Base!$F$2:$F$4835,$B5,Base!$A$2:$A$4835,I$4)</f>
        <v/>
      </c>
      <c r="J5" s="28">
        <f>SUMIFS(Base!$N$2:$N$4835,Base!$B$2:$B$4835,$A5,Base!$F$2:$F$4835,$B5,Base!$A$2:$A$4835,J$4)</f>
        <v/>
      </c>
      <c r="K5" s="28">
        <f>SUMIFS(Base!$N$2:$N$4835,Base!$B$2:$B$4835,$A5,Base!$F$2:$F$4835,$B5,Base!$A$2:$A$4835,K$4)</f>
        <v/>
      </c>
      <c r="L5" s="28">
        <f>SUM(C5:K5)</f>
        <v/>
      </c>
      <c r="M5" s="26">
        <f>IFERROR(L5/L$41,"")</f>
        <v/>
      </c>
    </row>
    <row r="6">
      <c r="A6" t="inlineStr">
        <is>
          <t>Insumos e papel</t>
        </is>
      </c>
      <c r="B6" t="inlineStr">
        <is>
          <t>NOVA CONPEL COMPANHIA NORDESTINA DE PAPEL LTDA</t>
        </is>
      </c>
      <c r="C6" s="28">
        <f>SUMIFS(Base!$N$2:$N$4835,Base!$B$2:$B$4835,$A6,Base!$F$2:$F$4835,$B6,Base!$A$2:$A$4835,C$4)</f>
        <v/>
      </c>
      <c r="D6" s="28">
        <f>SUMIFS(Base!$N$2:$N$4835,Base!$B$2:$B$4835,$A6,Base!$F$2:$F$4835,$B6,Base!$A$2:$A$4835,D$4)</f>
        <v/>
      </c>
      <c r="E6" s="28">
        <f>SUMIFS(Base!$N$2:$N$4835,Base!$B$2:$B$4835,$A6,Base!$F$2:$F$4835,$B6,Base!$A$2:$A$4835,E$4)</f>
        <v/>
      </c>
      <c r="F6" s="28">
        <f>SUMIFS(Base!$N$2:$N$4835,Base!$B$2:$B$4835,$A6,Base!$F$2:$F$4835,$B6,Base!$A$2:$A$4835,F$4)</f>
        <v/>
      </c>
      <c r="G6" s="28">
        <f>SUMIFS(Base!$N$2:$N$4835,Base!$B$2:$B$4835,$A6,Base!$F$2:$F$4835,$B6,Base!$A$2:$A$4835,G$4)</f>
        <v/>
      </c>
      <c r="H6" s="28">
        <f>SUMIFS(Base!$N$2:$N$4835,Base!$B$2:$B$4835,$A6,Base!$F$2:$F$4835,$B6,Base!$A$2:$A$4835,H$4)</f>
        <v/>
      </c>
      <c r="I6" s="28">
        <f>SUMIFS(Base!$N$2:$N$4835,Base!$B$2:$B$4835,$A6,Base!$F$2:$F$4835,$B6,Base!$A$2:$A$4835,I$4)</f>
        <v/>
      </c>
      <c r="J6" s="28">
        <f>SUMIFS(Base!$N$2:$N$4835,Base!$B$2:$B$4835,$A6,Base!$F$2:$F$4835,$B6,Base!$A$2:$A$4835,J$4)</f>
        <v/>
      </c>
      <c r="K6" s="28">
        <f>SUMIFS(Base!$N$2:$N$4835,Base!$B$2:$B$4835,$A6,Base!$F$2:$F$4835,$B6,Base!$A$2:$A$4835,K$4)</f>
        <v/>
      </c>
      <c r="L6" s="28">
        <f>SUM(C6:K6)</f>
        <v/>
      </c>
      <c r="M6" s="26">
        <f>IFERROR(L6/L$41,"")</f>
        <v/>
      </c>
    </row>
    <row r="7">
      <c r="A7" t="inlineStr">
        <is>
          <t>Insumos e papel</t>
        </is>
      </c>
      <c r="B7" t="inlineStr">
        <is>
          <t>COCELPA CIA DE CEL. E PAPEL DO PARANA SA</t>
        </is>
      </c>
      <c r="C7" s="28">
        <f>SUMIFS(Base!$N$2:$N$4835,Base!$B$2:$B$4835,$A7,Base!$F$2:$F$4835,$B7,Base!$A$2:$A$4835,C$4)</f>
        <v/>
      </c>
      <c r="D7" s="28">
        <f>SUMIFS(Base!$N$2:$N$4835,Base!$B$2:$B$4835,$A7,Base!$F$2:$F$4835,$B7,Base!$A$2:$A$4835,D$4)</f>
        <v/>
      </c>
      <c r="E7" s="28">
        <f>SUMIFS(Base!$N$2:$N$4835,Base!$B$2:$B$4835,$A7,Base!$F$2:$F$4835,$B7,Base!$A$2:$A$4835,E$4)</f>
        <v/>
      </c>
      <c r="F7" s="28">
        <f>SUMIFS(Base!$N$2:$N$4835,Base!$B$2:$B$4835,$A7,Base!$F$2:$F$4835,$B7,Base!$A$2:$A$4835,F$4)</f>
        <v/>
      </c>
      <c r="G7" s="28">
        <f>SUMIFS(Base!$N$2:$N$4835,Base!$B$2:$B$4835,$A7,Base!$F$2:$F$4835,$B7,Base!$A$2:$A$4835,G$4)</f>
        <v/>
      </c>
      <c r="H7" s="28">
        <f>SUMIFS(Base!$N$2:$N$4835,Base!$B$2:$B$4835,$A7,Base!$F$2:$F$4835,$B7,Base!$A$2:$A$4835,H$4)</f>
        <v/>
      </c>
      <c r="I7" s="28">
        <f>SUMIFS(Base!$N$2:$N$4835,Base!$B$2:$B$4835,$A7,Base!$F$2:$F$4835,$B7,Base!$A$2:$A$4835,I$4)</f>
        <v/>
      </c>
      <c r="J7" s="28">
        <f>SUMIFS(Base!$N$2:$N$4835,Base!$B$2:$B$4835,$A7,Base!$F$2:$F$4835,$B7,Base!$A$2:$A$4835,J$4)</f>
        <v/>
      </c>
      <c r="K7" s="28">
        <f>SUMIFS(Base!$N$2:$N$4835,Base!$B$2:$B$4835,$A7,Base!$F$2:$F$4835,$B7,Base!$A$2:$A$4835,K$4)</f>
        <v/>
      </c>
      <c r="L7" s="28">
        <f>SUM(C7:K7)</f>
        <v/>
      </c>
      <c r="M7" s="26">
        <f>IFERROR(L7/L$41,"")</f>
        <v/>
      </c>
    </row>
    <row r="8">
      <c r="A8" t="inlineStr">
        <is>
          <t>Insumos e papel</t>
        </is>
      </c>
      <c r="B8" t="inlineStr">
        <is>
          <t>COLAMID</t>
        </is>
      </c>
      <c r="C8" s="28">
        <f>SUMIFS(Base!$N$2:$N$4835,Base!$B$2:$B$4835,$A8,Base!$F$2:$F$4835,$B8,Base!$A$2:$A$4835,C$4)</f>
        <v/>
      </c>
      <c r="D8" s="28">
        <f>SUMIFS(Base!$N$2:$N$4835,Base!$B$2:$B$4835,$A8,Base!$F$2:$F$4835,$B8,Base!$A$2:$A$4835,D$4)</f>
        <v/>
      </c>
      <c r="E8" s="28">
        <f>SUMIFS(Base!$N$2:$N$4835,Base!$B$2:$B$4835,$A8,Base!$F$2:$F$4835,$B8,Base!$A$2:$A$4835,E$4)</f>
        <v/>
      </c>
      <c r="F8" s="28">
        <f>SUMIFS(Base!$N$2:$N$4835,Base!$B$2:$B$4835,$A8,Base!$F$2:$F$4835,$B8,Base!$A$2:$A$4835,F$4)</f>
        <v/>
      </c>
      <c r="G8" s="28">
        <f>SUMIFS(Base!$N$2:$N$4835,Base!$B$2:$B$4835,$A8,Base!$F$2:$F$4835,$B8,Base!$A$2:$A$4835,G$4)</f>
        <v/>
      </c>
      <c r="H8" s="28">
        <f>SUMIFS(Base!$N$2:$N$4835,Base!$B$2:$B$4835,$A8,Base!$F$2:$F$4835,$B8,Base!$A$2:$A$4835,H$4)</f>
        <v/>
      </c>
      <c r="I8" s="28">
        <f>SUMIFS(Base!$N$2:$N$4835,Base!$B$2:$B$4835,$A8,Base!$F$2:$F$4835,$B8,Base!$A$2:$A$4835,I$4)</f>
        <v/>
      </c>
      <c r="J8" s="28">
        <f>SUMIFS(Base!$N$2:$N$4835,Base!$B$2:$B$4835,$A8,Base!$F$2:$F$4835,$B8,Base!$A$2:$A$4835,J$4)</f>
        <v/>
      </c>
      <c r="K8" s="28">
        <f>SUMIFS(Base!$N$2:$N$4835,Base!$B$2:$B$4835,$A8,Base!$F$2:$F$4835,$B8,Base!$A$2:$A$4835,K$4)</f>
        <v/>
      </c>
      <c r="L8" s="28">
        <f>SUM(C8:K8)</f>
        <v/>
      </c>
      <c r="M8" s="26">
        <f>IFERROR(L8/L$41,"")</f>
        <v/>
      </c>
    </row>
    <row r="9">
      <c r="A9" t="inlineStr">
        <is>
          <t>Insumos e papel</t>
        </is>
      </c>
      <c r="B9" t="inlineStr">
        <is>
          <t>SANTA MARIA CIA DE PAPEL E CELULOSE</t>
        </is>
      </c>
      <c r="C9" s="28">
        <f>SUMIFS(Base!$N$2:$N$4835,Base!$B$2:$B$4835,$A9,Base!$F$2:$F$4835,$B9,Base!$A$2:$A$4835,C$4)</f>
        <v/>
      </c>
      <c r="D9" s="28">
        <f>SUMIFS(Base!$N$2:$N$4835,Base!$B$2:$B$4835,$A9,Base!$F$2:$F$4835,$B9,Base!$A$2:$A$4835,D$4)</f>
        <v/>
      </c>
      <c r="E9" s="28">
        <f>SUMIFS(Base!$N$2:$N$4835,Base!$B$2:$B$4835,$A9,Base!$F$2:$F$4835,$B9,Base!$A$2:$A$4835,E$4)</f>
        <v/>
      </c>
      <c r="F9" s="28">
        <f>SUMIFS(Base!$N$2:$N$4835,Base!$B$2:$B$4835,$A9,Base!$F$2:$F$4835,$B9,Base!$A$2:$A$4835,F$4)</f>
        <v/>
      </c>
      <c r="G9" s="28">
        <f>SUMIFS(Base!$N$2:$N$4835,Base!$B$2:$B$4835,$A9,Base!$F$2:$F$4835,$B9,Base!$A$2:$A$4835,G$4)</f>
        <v/>
      </c>
      <c r="H9" s="28">
        <f>SUMIFS(Base!$N$2:$N$4835,Base!$B$2:$B$4835,$A9,Base!$F$2:$F$4835,$B9,Base!$A$2:$A$4835,H$4)</f>
        <v/>
      </c>
      <c r="I9" s="28">
        <f>SUMIFS(Base!$N$2:$N$4835,Base!$B$2:$B$4835,$A9,Base!$F$2:$F$4835,$B9,Base!$A$2:$A$4835,I$4)</f>
        <v/>
      </c>
      <c r="J9" s="28">
        <f>SUMIFS(Base!$N$2:$N$4835,Base!$B$2:$B$4835,$A9,Base!$F$2:$F$4835,$B9,Base!$A$2:$A$4835,J$4)</f>
        <v/>
      </c>
      <c r="K9" s="28">
        <f>SUMIFS(Base!$N$2:$N$4835,Base!$B$2:$B$4835,$A9,Base!$F$2:$F$4835,$B9,Base!$A$2:$A$4835,K$4)</f>
        <v/>
      </c>
      <c r="L9" s="28">
        <f>SUM(C9:K9)</f>
        <v/>
      </c>
      <c r="M9" s="26">
        <f>IFERROR(L9/L$41,"")</f>
        <v/>
      </c>
    </row>
    <row r="10">
      <c r="A10" t="inlineStr">
        <is>
          <t>Insumos e papel</t>
        </is>
      </c>
      <c r="B10" t="inlineStr">
        <is>
          <t>ALSTEK SOLUCOES EM EMBALAGENS LTDA</t>
        </is>
      </c>
      <c r="C10" s="28">
        <f>SUMIFS(Base!$N$2:$N$4835,Base!$B$2:$B$4835,$A10,Base!$F$2:$F$4835,$B10,Base!$A$2:$A$4835,C$4)</f>
        <v/>
      </c>
      <c r="D10" s="28">
        <f>SUMIFS(Base!$N$2:$N$4835,Base!$B$2:$B$4835,$A10,Base!$F$2:$F$4835,$B10,Base!$A$2:$A$4835,D$4)</f>
        <v/>
      </c>
      <c r="E10" s="28">
        <f>SUMIFS(Base!$N$2:$N$4835,Base!$B$2:$B$4835,$A10,Base!$F$2:$F$4835,$B10,Base!$A$2:$A$4835,E$4)</f>
        <v/>
      </c>
      <c r="F10" s="28">
        <f>SUMIFS(Base!$N$2:$N$4835,Base!$B$2:$B$4835,$A10,Base!$F$2:$F$4835,$B10,Base!$A$2:$A$4835,F$4)</f>
        <v/>
      </c>
      <c r="G10" s="28">
        <f>SUMIFS(Base!$N$2:$N$4835,Base!$B$2:$B$4835,$A10,Base!$F$2:$F$4835,$B10,Base!$A$2:$A$4835,G$4)</f>
        <v/>
      </c>
      <c r="H10" s="28">
        <f>SUMIFS(Base!$N$2:$N$4835,Base!$B$2:$B$4835,$A10,Base!$F$2:$F$4835,$B10,Base!$A$2:$A$4835,H$4)</f>
        <v/>
      </c>
      <c r="I10" s="28">
        <f>SUMIFS(Base!$N$2:$N$4835,Base!$B$2:$B$4835,$A10,Base!$F$2:$F$4835,$B10,Base!$A$2:$A$4835,I$4)</f>
        <v/>
      </c>
      <c r="J10" s="28">
        <f>SUMIFS(Base!$N$2:$N$4835,Base!$B$2:$B$4835,$A10,Base!$F$2:$F$4835,$B10,Base!$A$2:$A$4835,J$4)</f>
        <v/>
      </c>
      <c r="K10" s="28">
        <f>SUMIFS(Base!$N$2:$N$4835,Base!$B$2:$B$4835,$A10,Base!$F$2:$F$4835,$B10,Base!$A$2:$A$4835,K$4)</f>
        <v/>
      </c>
      <c r="L10" s="28">
        <f>SUM(C10:K10)</f>
        <v/>
      </c>
      <c r="M10" s="26">
        <f>IFERROR(L10/L$41,"")</f>
        <v/>
      </c>
    </row>
    <row r="11">
      <c r="A11" t="inlineStr">
        <is>
          <t>Insumos e papel</t>
        </is>
      </c>
      <c r="B11" t="inlineStr">
        <is>
          <t>REQUIM PRODUTOS QUIMICOS LTDA</t>
        </is>
      </c>
      <c r="C11" s="28">
        <f>SUMIFS(Base!$N$2:$N$4835,Base!$B$2:$B$4835,$A11,Base!$F$2:$F$4835,$B11,Base!$A$2:$A$4835,C$4)</f>
        <v/>
      </c>
      <c r="D11" s="28">
        <f>SUMIFS(Base!$N$2:$N$4835,Base!$B$2:$B$4835,$A11,Base!$F$2:$F$4835,$B11,Base!$A$2:$A$4835,D$4)</f>
        <v/>
      </c>
      <c r="E11" s="28">
        <f>SUMIFS(Base!$N$2:$N$4835,Base!$B$2:$B$4835,$A11,Base!$F$2:$F$4835,$B11,Base!$A$2:$A$4835,E$4)</f>
        <v/>
      </c>
      <c r="F11" s="28">
        <f>SUMIFS(Base!$N$2:$N$4835,Base!$B$2:$B$4835,$A11,Base!$F$2:$F$4835,$B11,Base!$A$2:$A$4835,F$4)</f>
        <v/>
      </c>
      <c r="G11" s="28">
        <f>SUMIFS(Base!$N$2:$N$4835,Base!$B$2:$B$4835,$A11,Base!$F$2:$F$4835,$B11,Base!$A$2:$A$4835,G$4)</f>
        <v/>
      </c>
      <c r="H11" s="28">
        <f>SUMIFS(Base!$N$2:$N$4835,Base!$B$2:$B$4835,$A11,Base!$F$2:$F$4835,$B11,Base!$A$2:$A$4835,H$4)</f>
        <v/>
      </c>
      <c r="I11" s="28">
        <f>SUMIFS(Base!$N$2:$N$4835,Base!$B$2:$B$4835,$A11,Base!$F$2:$F$4835,$B11,Base!$A$2:$A$4835,I$4)</f>
        <v/>
      </c>
      <c r="J11" s="28">
        <f>SUMIFS(Base!$N$2:$N$4835,Base!$B$2:$B$4835,$A11,Base!$F$2:$F$4835,$B11,Base!$A$2:$A$4835,J$4)</f>
        <v/>
      </c>
      <c r="K11" s="28">
        <f>SUMIFS(Base!$N$2:$N$4835,Base!$B$2:$B$4835,$A11,Base!$F$2:$F$4835,$B11,Base!$A$2:$A$4835,K$4)</f>
        <v/>
      </c>
      <c r="L11" s="28">
        <f>SUM(C11:K11)</f>
        <v/>
      </c>
      <c r="M11" s="26">
        <f>IFERROR(L11/L$41,"")</f>
        <v/>
      </c>
    </row>
    <row r="12">
      <c r="A12" t="inlineStr">
        <is>
          <t>Insumos e papel</t>
        </is>
      </c>
      <c r="B12" t="inlineStr">
        <is>
          <t>IRANI PAPEL E EMBALAGEM S.A.</t>
        </is>
      </c>
      <c r="C12" s="28">
        <f>SUMIFS(Base!$N$2:$N$4835,Base!$B$2:$B$4835,$A12,Base!$F$2:$F$4835,$B12,Base!$A$2:$A$4835,C$4)</f>
        <v/>
      </c>
      <c r="D12" s="28">
        <f>SUMIFS(Base!$N$2:$N$4835,Base!$B$2:$B$4835,$A12,Base!$F$2:$F$4835,$B12,Base!$A$2:$A$4835,D$4)</f>
        <v/>
      </c>
      <c r="E12" s="28">
        <f>SUMIFS(Base!$N$2:$N$4835,Base!$B$2:$B$4835,$A12,Base!$F$2:$F$4835,$B12,Base!$A$2:$A$4835,E$4)</f>
        <v/>
      </c>
      <c r="F12" s="28">
        <f>SUMIFS(Base!$N$2:$N$4835,Base!$B$2:$B$4835,$A12,Base!$F$2:$F$4835,$B12,Base!$A$2:$A$4835,F$4)</f>
        <v/>
      </c>
      <c r="G12" s="28">
        <f>SUMIFS(Base!$N$2:$N$4835,Base!$B$2:$B$4835,$A12,Base!$F$2:$F$4835,$B12,Base!$A$2:$A$4835,G$4)</f>
        <v/>
      </c>
      <c r="H12" s="28">
        <f>SUMIFS(Base!$N$2:$N$4835,Base!$B$2:$B$4835,$A12,Base!$F$2:$F$4835,$B12,Base!$A$2:$A$4835,H$4)</f>
        <v/>
      </c>
      <c r="I12" s="28">
        <f>SUMIFS(Base!$N$2:$N$4835,Base!$B$2:$B$4835,$A12,Base!$F$2:$F$4835,$B12,Base!$A$2:$A$4835,I$4)</f>
        <v/>
      </c>
      <c r="J12" s="28">
        <f>SUMIFS(Base!$N$2:$N$4835,Base!$B$2:$B$4835,$A12,Base!$F$2:$F$4835,$B12,Base!$A$2:$A$4835,J$4)</f>
        <v/>
      </c>
      <c r="K12" s="28">
        <f>SUMIFS(Base!$N$2:$N$4835,Base!$B$2:$B$4835,$A12,Base!$F$2:$F$4835,$B12,Base!$A$2:$A$4835,K$4)</f>
        <v/>
      </c>
      <c r="L12" s="28">
        <f>SUM(C12:K12)</f>
        <v/>
      </c>
      <c r="M12" s="26">
        <f>IFERROR(L12/L$41,"")</f>
        <v/>
      </c>
    </row>
    <row r="13">
      <c r="A13" t="inlineStr">
        <is>
          <t>Insumos e papel</t>
        </is>
      </c>
      <c r="B13" t="inlineStr">
        <is>
          <t>FITTYCOR - INDUSTRIA E COMERCIO DE TINTAS ESPECIAIS LTDA</t>
        </is>
      </c>
      <c r="C13" s="28">
        <f>SUMIFS(Base!$N$2:$N$4835,Base!$B$2:$B$4835,$A13,Base!$F$2:$F$4835,$B13,Base!$A$2:$A$4835,C$4)</f>
        <v/>
      </c>
      <c r="D13" s="28">
        <f>SUMIFS(Base!$N$2:$N$4835,Base!$B$2:$B$4835,$A13,Base!$F$2:$F$4835,$B13,Base!$A$2:$A$4835,D$4)</f>
        <v/>
      </c>
      <c r="E13" s="28">
        <f>SUMIFS(Base!$N$2:$N$4835,Base!$B$2:$B$4835,$A13,Base!$F$2:$F$4835,$B13,Base!$A$2:$A$4835,E$4)</f>
        <v/>
      </c>
      <c r="F13" s="28">
        <f>SUMIFS(Base!$N$2:$N$4835,Base!$B$2:$B$4835,$A13,Base!$F$2:$F$4835,$B13,Base!$A$2:$A$4835,F$4)</f>
        <v/>
      </c>
      <c r="G13" s="28">
        <f>SUMIFS(Base!$N$2:$N$4835,Base!$B$2:$B$4835,$A13,Base!$F$2:$F$4835,$B13,Base!$A$2:$A$4835,G$4)</f>
        <v/>
      </c>
      <c r="H13" s="28">
        <f>SUMIFS(Base!$N$2:$N$4835,Base!$B$2:$B$4835,$A13,Base!$F$2:$F$4835,$B13,Base!$A$2:$A$4835,H$4)</f>
        <v/>
      </c>
      <c r="I13" s="28">
        <f>SUMIFS(Base!$N$2:$N$4835,Base!$B$2:$B$4835,$A13,Base!$F$2:$F$4835,$B13,Base!$A$2:$A$4835,I$4)</f>
        <v/>
      </c>
      <c r="J13" s="28">
        <f>SUMIFS(Base!$N$2:$N$4835,Base!$B$2:$B$4835,$A13,Base!$F$2:$F$4835,$B13,Base!$A$2:$A$4835,J$4)</f>
        <v/>
      </c>
      <c r="K13" s="28">
        <f>SUMIFS(Base!$N$2:$N$4835,Base!$B$2:$B$4835,$A13,Base!$F$2:$F$4835,$B13,Base!$A$2:$A$4835,K$4)</f>
        <v/>
      </c>
      <c r="L13" s="28">
        <f>SUM(C13:K13)</f>
        <v/>
      </c>
      <c r="M13" s="26">
        <f>IFERROR(L13/L$41,"")</f>
        <v/>
      </c>
    </row>
    <row r="14">
      <c r="A14" t="inlineStr">
        <is>
          <t>Insumos e papel</t>
        </is>
      </c>
      <c r="B14" t="inlineStr">
        <is>
          <t>BR EMBALAGENS INDUSTRIA E COMERCIO LTDA</t>
        </is>
      </c>
      <c r="C14" s="28">
        <f>SUMIFS(Base!$N$2:$N$4835,Base!$B$2:$B$4835,$A14,Base!$F$2:$F$4835,$B14,Base!$A$2:$A$4835,C$4)</f>
        <v/>
      </c>
      <c r="D14" s="28">
        <f>SUMIFS(Base!$N$2:$N$4835,Base!$B$2:$B$4835,$A14,Base!$F$2:$F$4835,$B14,Base!$A$2:$A$4835,D$4)</f>
        <v/>
      </c>
      <c r="E14" s="28">
        <f>SUMIFS(Base!$N$2:$N$4835,Base!$B$2:$B$4835,$A14,Base!$F$2:$F$4835,$B14,Base!$A$2:$A$4835,E$4)</f>
        <v/>
      </c>
      <c r="F14" s="28">
        <f>SUMIFS(Base!$N$2:$N$4835,Base!$B$2:$B$4835,$A14,Base!$F$2:$F$4835,$B14,Base!$A$2:$A$4835,F$4)</f>
        <v/>
      </c>
      <c r="G14" s="28">
        <f>SUMIFS(Base!$N$2:$N$4835,Base!$B$2:$B$4835,$A14,Base!$F$2:$F$4835,$B14,Base!$A$2:$A$4835,G$4)</f>
        <v/>
      </c>
      <c r="H14" s="28">
        <f>SUMIFS(Base!$N$2:$N$4835,Base!$B$2:$B$4835,$A14,Base!$F$2:$F$4835,$B14,Base!$A$2:$A$4835,H$4)</f>
        <v/>
      </c>
      <c r="I14" s="28">
        <f>SUMIFS(Base!$N$2:$N$4835,Base!$B$2:$B$4835,$A14,Base!$F$2:$F$4835,$B14,Base!$A$2:$A$4835,I$4)</f>
        <v/>
      </c>
      <c r="J14" s="28">
        <f>SUMIFS(Base!$N$2:$N$4835,Base!$B$2:$B$4835,$A14,Base!$F$2:$F$4835,$B14,Base!$A$2:$A$4835,J$4)</f>
        <v/>
      </c>
      <c r="K14" s="28">
        <f>SUMIFS(Base!$N$2:$N$4835,Base!$B$2:$B$4835,$A14,Base!$F$2:$F$4835,$B14,Base!$A$2:$A$4835,K$4)</f>
        <v/>
      </c>
      <c r="L14" s="28">
        <f>SUM(C14:K14)</f>
        <v/>
      </c>
      <c r="M14" s="26">
        <f>IFERROR(L14/L$41,"")</f>
        <v/>
      </c>
    </row>
    <row r="15">
      <c r="A15" t="inlineStr">
        <is>
          <t>Insumos e papel</t>
        </is>
      </c>
      <c r="B15" t="inlineStr">
        <is>
          <t>GDM INDUSTRIA E COMERCIO DE PLASTICOS LTDA.</t>
        </is>
      </c>
      <c r="C15" s="28">
        <f>SUMIFS(Base!$N$2:$N$4835,Base!$B$2:$B$4835,$A15,Base!$F$2:$F$4835,$B15,Base!$A$2:$A$4835,C$4)</f>
        <v/>
      </c>
      <c r="D15" s="28">
        <f>SUMIFS(Base!$N$2:$N$4835,Base!$B$2:$B$4835,$A15,Base!$F$2:$F$4835,$B15,Base!$A$2:$A$4835,D$4)</f>
        <v/>
      </c>
      <c r="E15" s="28">
        <f>SUMIFS(Base!$N$2:$N$4835,Base!$B$2:$B$4835,$A15,Base!$F$2:$F$4835,$B15,Base!$A$2:$A$4835,E$4)</f>
        <v/>
      </c>
      <c r="F15" s="28">
        <f>SUMIFS(Base!$N$2:$N$4835,Base!$B$2:$B$4835,$A15,Base!$F$2:$F$4835,$B15,Base!$A$2:$A$4835,F$4)</f>
        <v/>
      </c>
      <c r="G15" s="28">
        <f>SUMIFS(Base!$N$2:$N$4835,Base!$B$2:$B$4835,$A15,Base!$F$2:$F$4835,$B15,Base!$A$2:$A$4835,G$4)</f>
        <v/>
      </c>
      <c r="H15" s="28">
        <f>SUMIFS(Base!$N$2:$N$4835,Base!$B$2:$B$4835,$A15,Base!$F$2:$F$4835,$B15,Base!$A$2:$A$4835,H$4)</f>
        <v/>
      </c>
      <c r="I15" s="28">
        <f>SUMIFS(Base!$N$2:$N$4835,Base!$B$2:$B$4835,$A15,Base!$F$2:$F$4835,$B15,Base!$A$2:$A$4835,I$4)</f>
        <v/>
      </c>
      <c r="J15" s="28">
        <f>SUMIFS(Base!$N$2:$N$4835,Base!$B$2:$B$4835,$A15,Base!$F$2:$F$4835,$B15,Base!$A$2:$A$4835,J$4)</f>
        <v/>
      </c>
      <c r="K15" s="28">
        <f>SUMIFS(Base!$N$2:$N$4835,Base!$B$2:$B$4835,$A15,Base!$F$2:$F$4835,$B15,Base!$A$2:$A$4835,K$4)</f>
        <v/>
      </c>
      <c r="L15" s="28">
        <f>SUM(C15:K15)</f>
        <v/>
      </c>
      <c r="M15" s="26">
        <f>IFERROR(L15/L$41,"")</f>
        <v/>
      </c>
    </row>
    <row r="16">
      <c r="A16" t="inlineStr">
        <is>
          <t>Insumos e papel</t>
        </is>
      </c>
      <c r="B16" t="inlineStr">
        <is>
          <t>ANIN INDUSTRIA E COMERCIO DE PAPEL LTDA</t>
        </is>
      </c>
      <c r="C16" s="28">
        <f>SUMIFS(Base!$N$2:$N$4835,Base!$B$2:$B$4835,$A16,Base!$F$2:$F$4835,$B16,Base!$A$2:$A$4835,C$4)</f>
        <v/>
      </c>
      <c r="D16" s="28">
        <f>SUMIFS(Base!$N$2:$N$4835,Base!$B$2:$B$4835,$A16,Base!$F$2:$F$4835,$B16,Base!$A$2:$A$4835,D$4)</f>
        <v/>
      </c>
      <c r="E16" s="28">
        <f>SUMIFS(Base!$N$2:$N$4835,Base!$B$2:$B$4835,$A16,Base!$F$2:$F$4835,$B16,Base!$A$2:$A$4835,E$4)</f>
        <v/>
      </c>
      <c r="F16" s="28">
        <f>SUMIFS(Base!$N$2:$N$4835,Base!$B$2:$B$4835,$A16,Base!$F$2:$F$4835,$B16,Base!$A$2:$A$4835,F$4)</f>
        <v/>
      </c>
      <c r="G16" s="28">
        <f>SUMIFS(Base!$N$2:$N$4835,Base!$B$2:$B$4835,$A16,Base!$F$2:$F$4835,$B16,Base!$A$2:$A$4835,G$4)</f>
        <v/>
      </c>
      <c r="H16" s="28">
        <f>SUMIFS(Base!$N$2:$N$4835,Base!$B$2:$B$4835,$A16,Base!$F$2:$F$4835,$B16,Base!$A$2:$A$4835,H$4)</f>
        <v/>
      </c>
      <c r="I16" s="28">
        <f>SUMIFS(Base!$N$2:$N$4835,Base!$B$2:$B$4835,$A16,Base!$F$2:$F$4835,$B16,Base!$A$2:$A$4835,I$4)</f>
        <v/>
      </c>
      <c r="J16" s="28">
        <f>SUMIFS(Base!$N$2:$N$4835,Base!$B$2:$B$4835,$A16,Base!$F$2:$F$4835,$B16,Base!$A$2:$A$4835,J$4)</f>
        <v/>
      </c>
      <c r="K16" s="28">
        <f>SUMIFS(Base!$N$2:$N$4835,Base!$B$2:$B$4835,$A16,Base!$F$2:$F$4835,$B16,Base!$A$2:$A$4835,K$4)</f>
        <v/>
      </c>
      <c r="L16" s="28">
        <f>SUM(C16:K16)</f>
        <v/>
      </c>
      <c r="M16" s="26">
        <f>IFERROR(L16/L$41,"")</f>
        <v/>
      </c>
    </row>
    <row r="17">
      <c r="A17" t="inlineStr">
        <is>
          <t>Insumos e papel</t>
        </is>
      </c>
      <c r="B17" t="inlineStr">
        <is>
          <t>FLEXOPEL LTDA</t>
        </is>
      </c>
      <c r="C17" s="28">
        <f>SUMIFS(Base!$N$2:$N$4835,Base!$B$2:$B$4835,$A17,Base!$F$2:$F$4835,$B17,Base!$A$2:$A$4835,C$4)</f>
        <v/>
      </c>
      <c r="D17" s="28">
        <f>SUMIFS(Base!$N$2:$N$4835,Base!$B$2:$B$4835,$A17,Base!$F$2:$F$4835,$B17,Base!$A$2:$A$4835,D$4)</f>
        <v/>
      </c>
      <c r="E17" s="28">
        <f>SUMIFS(Base!$N$2:$N$4835,Base!$B$2:$B$4835,$A17,Base!$F$2:$F$4835,$B17,Base!$A$2:$A$4835,E$4)</f>
        <v/>
      </c>
      <c r="F17" s="28">
        <f>SUMIFS(Base!$N$2:$N$4835,Base!$B$2:$B$4835,$A17,Base!$F$2:$F$4835,$B17,Base!$A$2:$A$4835,F$4)</f>
        <v/>
      </c>
      <c r="G17" s="28">
        <f>SUMIFS(Base!$N$2:$N$4835,Base!$B$2:$B$4835,$A17,Base!$F$2:$F$4835,$B17,Base!$A$2:$A$4835,G$4)</f>
        <v/>
      </c>
      <c r="H17" s="28">
        <f>SUMIFS(Base!$N$2:$N$4835,Base!$B$2:$B$4835,$A17,Base!$F$2:$F$4835,$B17,Base!$A$2:$A$4835,H$4)</f>
        <v/>
      </c>
      <c r="I17" s="28">
        <f>SUMIFS(Base!$N$2:$N$4835,Base!$B$2:$B$4835,$A17,Base!$F$2:$F$4835,$B17,Base!$A$2:$A$4835,I$4)</f>
        <v/>
      </c>
      <c r="J17" s="28">
        <f>SUMIFS(Base!$N$2:$N$4835,Base!$B$2:$B$4835,$A17,Base!$F$2:$F$4835,$B17,Base!$A$2:$A$4835,J$4)</f>
        <v/>
      </c>
      <c r="K17" s="28">
        <f>SUMIFS(Base!$N$2:$N$4835,Base!$B$2:$B$4835,$A17,Base!$F$2:$F$4835,$B17,Base!$A$2:$A$4835,K$4)</f>
        <v/>
      </c>
      <c r="L17" s="28">
        <f>SUM(C17:K17)</f>
        <v/>
      </c>
      <c r="M17" s="26">
        <f>IFERROR(L17/L$41,"")</f>
        <v/>
      </c>
    </row>
    <row r="18">
      <c r="A18" t="inlineStr">
        <is>
          <t>Insumos e papel</t>
        </is>
      </c>
      <c r="B18" t="inlineStr">
        <is>
          <t>BAHIA CLICHERIA LTDA</t>
        </is>
      </c>
      <c r="C18" s="28">
        <f>SUMIFS(Base!$N$2:$N$4835,Base!$B$2:$B$4835,$A18,Base!$F$2:$F$4835,$B18,Base!$A$2:$A$4835,C$4)</f>
        <v/>
      </c>
      <c r="D18" s="28">
        <f>SUMIFS(Base!$N$2:$N$4835,Base!$B$2:$B$4835,$A18,Base!$F$2:$F$4835,$B18,Base!$A$2:$A$4835,D$4)</f>
        <v/>
      </c>
      <c r="E18" s="28">
        <f>SUMIFS(Base!$N$2:$N$4835,Base!$B$2:$B$4835,$A18,Base!$F$2:$F$4835,$B18,Base!$A$2:$A$4835,E$4)</f>
        <v/>
      </c>
      <c r="F18" s="28">
        <f>SUMIFS(Base!$N$2:$N$4835,Base!$B$2:$B$4835,$A18,Base!$F$2:$F$4835,$B18,Base!$A$2:$A$4835,F$4)</f>
        <v/>
      </c>
      <c r="G18" s="28">
        <f>SUMIFS(Base!$N$2:$N$4835,Base!$B$2:$B$4835,$A18,Base!$F$2:$F$4835,$B18,Base!$A$2:$A$4835,G$4)</f>
        <v/>
      </c>
      <c r="H18" s="28">
        <f>SUMIFS(Base!$N$2:$N$4835,Base!$B$2:$B$4835,$A18,Base!$F$2:$F$4835,$B18,Base!$A$2:$A$4835,H$4)</f>
        <v/>
      </c>
      <c r="I18" s="28">
        <f>SUMIFS(Base!$N$2:$N$4835,Base!$B$2:$B$4835,$A18,Base!$F$2:$F$4835,$B18,Base!$A$2:$A$4835,I$4)</f>
        <v/>
      </c>
      <c r="J18" s="28">
        <f>SUMIFS(Base!$N$2:$N$4835,Base!$B$2:$B$4835,$A18,Base!$F$2:$F$4835,$B18,Base!$A$2:$A$4835,J$4)</f>
        <v/>
      </c>
      <c r="K18" s="28">
        <f>SUMIFS(Base!$N$2:$N$4835,Base!$B$2:$B$4835,$A18,Base!$F$2:$F$4835,$B18,Base!$A$2:$A$4835,K$4)</f>
        <v/>
      </c>
      <c r="L18" s="28">
        <f>SUM(C18:K18)</f>
        <v/>
      </c>
      <c r="M18" s="26">
        <f>IFERROR(L18/L$41,"")</f>
        <v/>
      </c>
    </row>
    <row r="19">
      <c r="A19" t="inlineStr">
        <is>
          <t>Insumos e papel</t>
        </is>
      </c>
      <c r="B19" t="inlineStr">
        <is>
          <t>PRODUTOS, SERVICOS E TINTAS LATINOAMERICANOS PROYSA LTDA</t>
        </is>
      </c>
      <c r="C19" s="28">
        <f>SUMIFS(Base!$N$2:$N$4835,Base!$B$2:$B$4835,$A19,Base!$F$2:$F$4835,$B19,Base!$A$2:$A$4835,C$4)</f>
        <v/>
      </c>
      <c r="D19" s="28">
        <f>SUMIFS(Base!$N$2:$N$4835,Base!$B$2:$B$4835,$A19,Base!$F$2:$F$4835,$B19,Base!$A$2:$A$4835,D$4)</f>
        <v/>
      </c>
      <c r="E19" s="28">
        <f>SUMIFS(Base!$N$2:$N$4835,Base!$B$2:$B$4835,$A19,Base!$F$2:$F$4835,$B19,Base!$A$2:$A$4835,E$4)</f>
        <v/>
      </c>
      <c r="F19" s="28">
        <f>SUMIFS(Base!$N$2:$N$4835,Base!$B$2:$B$4835,$A19,Base!$F$2:$F$4835,$B19,Base!$A$2:$A$4835,F$4)</f>
        <v/>
      </c>
      <c r="G19" s="28">
        <f>SUMIFS(Base!$N$2:$N$4835,Base!$B$2:$B$4835,$A19,Base!$F$2:$F$4835,$B19,Base!$A$2:$A$4835,G$4)</f>
        <v/>
      </c>
      <c r="H19" s="28">
        <f>SUMIFS(Base!$N$2:$N$4835,Base!$B$2:$B$4835,$A19,Base!$F$2:$F$4835,$B19,Base!$A$2:$A$4835,H$4)</f>
        <v/>
      </c>
      <c r="I19" s="28">
        <f>SUMIFS(Base!$N$2:$N$4835,Base!$B$2:$B$4835,$A19,Base!$F$2:$F$4835,$B19,Base!$A$2:$A$4835,I$4)</f>
        <v/>
      </c>
      <c r="J19" s="28">
        <f>SUMIFS(Base!$N$2:$N$4835,Base!$B$2:$B$4835,$A19,Base!$F$2:$F$4835,$B19,Base!$A$2:$A$4835,J$4)</f>
        <v/>
      </c>
      <c r="K19" s="28">
        <f>SUMIFS(Base!$N$2:$N$4835,Base!$B$2:$B$4835,$A19,Base!$F$2:$F$4835,$B19,Base!$A$2:$A$4835,K$4)</f>
        <v/>
      </c>
      <c r="L19" s="28">
        <f>SUM(C19:K19)</f>
        <v/>
      </c>
      <c r="M19" s="26">
        <f>IFERROR(L19/L$41,"")</f>
        <v/>
      </c>
    </row>
    <row r="20">
      <c r="A20" t="inlineStr">
        <is>
          <t>Insumos e papel</t>
        </is>
      </c>
      <c r="B20" t="inlineStr">
        <is>
          <t>DELINEAR BAHIA CLICHERIA LTDA</t>
        </is>
      </c>
      <c r="C20" s="28">
        <f>SUMIFS(Base!$N$2:$N$4835,Base!$B$2:$B$4835,$A20,Base!$F$2:$F$4835,$B20,Base!$A$2:$A$4835,C$4)</f>
        <v/>
      </c>
      <c r="D20" s="28">
        <f>SUMIFS(Base!$N$2:$N$4835,Base!$B$2:$B$4835,$A20,Base!$F$2:$F$4835,$B20,Base!$A$2:$A$4835,D$4)</f>
        <v/>
      </c>
      <c r="E20" s="28">
        <f>SUMIFS(Base!$N$2:$N$4835,Base!$B$2:$B$4835,$A20,Base!$F$2:$F$4835,$B20,Base!$A$2:$A$4835,E$4)</f>
        <v/>
      </c>
      <c r="F20" s="28">
        <f>SUMIFS(Base!$N$2:$N$4835,Base!$B$2:$B$4835,$A20,Base!$F$2:$F$4835,$B20,Base!$A$2:$A$4835,F$4)</f>
        <v/>
      </c>
      <c r="G20" s="28">
        <f>SUMIFS(Base!$N$2:$N$4835,Base!$B$2:$B$4835,$A20,Base!$F$2:$F$4835,$B20,Base!$A$2:$A$4835,G$4)</f>
        <v/>
      </c>
      <c r="H20" s="28">
        <f>SUMIFS(Base!$N$2:$N$4835,Base!$B$2:$B$4835,$A20,Base!$F$2:$F$4835,$B20,Base!$A$2:$A$4835,H$4)</f>
        <v/>
      </c>
      <c r="I20" s="28">
        <f>SUMIFS(Base!$N$2:$N$4835,Base!$B$2:$B$4835,$A20,Base!$F$2:$F$4835,$B20,Base!$A$2:$A$4835,I$4)</f>
        <v/>
      </c>
      <c r="J20" s="28">
        <f>SUMIFS(Base!$N$2:$N$4835,Base!$B$2:$B$4835,$A20,Base!$F$2:$F$4835,$B20,Base!$A$2:$A$4835,J$4)</f>
        <v/>
      </c>
      <c r="K20" s="28">
        <f>SUMIFS(Base!$N$2:$N$4835,Base!$B$2:$B$4835,$A20,Base!$F$2:$F$4835,$B20,Base!$A$2:$A$4835,K$4)</f>
        <v/>
      </c>
      <c r="L20" s="28">
        <f>SUM(C20:K20)</f>
        <v/>
      </c>
      <c r="M20" s="26">
        <f>IFERROR(L20/L$41,"")</f>
        <v/>
      </c>
    </row>
    <row r="21">
      <c r="A21" t="inlineStr">
        <is>
          <t>Insumos e papel</t>
        </is>
      </c>
      <c r="B21" t="inlineStr">
        <is>
          <t>PERNAMBUCO DISTRIBUIDORA ATAC EPIS, INS IND e MRO LTDA</t>
        </is>
      </c>
      <c r="C21" s="28">
        <f>SUMIFS(Base!$N$2:$N$4835,Base!$B$2:$B$4835,$A21,Base!$F$2:$F$4835,$B21,Base!$A$2:$A$4835,C$4)</f>
        <v/>
      </c>
      <c r="D21" s="28">
        <f>SUMIFS(Base!$N$2:$N$4835,Base!$B$2:$B$4835,$A21,Base!$F$2:$F$4835,$B21,Base!$A$2:$A$4835,D$4)</f>
        <v/>
      </c>
      <c r="E21" s="28">
        <f>SUMIFS(Base!$N$2:$N$4835,Base!$B$2:$B$4835,$A21,Base!$F$2:$F$4835,$B21,Base!$A$2:$A$4835,E$4)</f>
        <v/>
      </c>
      <c r="F21" s="28">
        <f>SUMIFS(Base!$N$2:$N$4835,Base!$B$2:$B$4835,$A21,Base!$F$2:$F$4835,$B21,Base!$A$2:$A$4835,F$4)</f>
        <v/>
      </c>
      <c r="G21" s="28">
        <f>SUMIFS(Base!$N$2:$N$4835,Base!$B$2:$B$4835,$A21,Base!$F$2:$F$4835,$B21,Base!$A$2:$A$4835,G$4)</f>
        <v/>
      </c>
      <c r="H21" s="28">
        <f>SUMIFS(Base!$N$2:$N$4835,Base!$B$2:$B$4835,$A21,Base!$F$2:$F$4835,$B21,Base!$A$2:$A$4835,H$4)</f>
        <v/>
      </c>
      <c r="I21" s="28">
        <f>SUMIFS(Base!$N$2:$N$4835,Base!$B$2:$B$4835,$A21,Base!$F$2:$F$4835,$B21,Base!$A$2:$A$4835,I$4)</f>
        <v/>
      </c>
      <c r="J21" s="28">
        <f>SUMIFS(Base!$N$2:$N$4835,Base!$B$2:$B$4835,$A21,Base!$F$2:$F$4835,$B21,Base!$A$2:$A$4835,J$4)</f>
        <v/>
      </c>
      <c r="K21" s="28">
        <f>SUMIFS(Base!$N$2:$N$4835,Base!$B$2:$B$4835,$A21,Base!$F$2:$F$4835,$B21,Base!$A$2:$A$4835,K$4)</f>
        <v/>
      </c>
      <c r="L21" s="28">
        <f>SUM(C21:K21)</f>
        <v/>
      </c>
      <c r="M21" s="26">
        <f>IFERROR(L21/L$41,"")</f>
        <v/>
      </c>
    </row>
    <row r="22">
      <c r="A22" t="inlineStr">
        <is>
          <t>Insumos e papel</t>
        </is>
      </c>
      <c r="B22" t="inlineStr">
        <is>
          <t>GS BOBINAS E ETIQUETAS</t>
        </is>
      </c>
      <c r="C22" s="28">
        <f>SUMIFS(Base!$N$2:$N$4835,Base!$B$2:$B$4835,$A22,Base!$F$2:$F$4835,$B22,Base!$A$2:$A$4835,C$4)</f>
        <v/>
      </c>
      <c r="D22" s="28">
        <f>SUMIFS(Base!$N$2:$N$4835,Base!$B$2:$B$4835,$A22,Base!$F$2:$F$4835,$B22,Base!$A$2:$A$4835,D$4)</f>
        <v/>
      </c>
      <c r="E22" s="28">
        <f>SUMIFS(Base!$N$2:$N$4835,Base!$B$2:$B$4835,$A22,Base!$F$2:$F$4835,$B22,Base!$A$2:$A$4835,E$4)</f>
        <v/>
      </c>
      <c r="F22" s="28">
        <f>SUMIFS(Base!$N$2:$N$4835,Base!$B$2:$B$4835,$A22,Base!$F$2:$F$4835,$B22,Base!$A$2:$A$4835,F$4)</f>
        <v/>
      </c>
      <c r="G22" s="28">
        <f>SUMIFS(Base!$N$2:$N$4835,Base!$B$2:$B$4835,$A22,Base!$F$2:$F$4835,$B22,Base!$A$2:$A$4835,G$4)</f>
        <v/>
      </c>
      <c r="H22" s="28">
        <f>SUMIFS(Base!$N$2:$N$4835,Base!$B$2:$B$4835,$A22,Base!$F$2:$F$4835,$B22,Base!$A$2:$A$4835,H$4)</f>
        <v/>
      </c>
      <c r="I22" s="28">
        <f>SUMIFS(Base!$N$2:$N$4835,Base!$B$2:$B$4835,$A22,Base!$F$2:$F$4835,$B22,Base!$A$2:$A$4835,I$4)</f>
        <v/>
      </c>
      <c r="J22" s="28">
        <f>SUMIFS(Base!$N$2:$N$4835,Base!$B$2:$B$4835,$A22,Base!$F$2:$F$4835,$B22,Base!$A$2:$A$4835,J$4)</f>
        <v/>
      </c>
      <c r="K22" s="28">
        <f>SUMIFS(Base!$N$2:$N$4835,Base!$B$2:$B$4835,$A22,Base!$F$2:$F$4835,$B22,Base!$A$2:$A$4835,K$4)</f>
        <v/>
      </c>
      <c r="L22" s="28">
        <f>SUM(C22:K22)</f>
        <v/>
      </c>
      <c r="M22" s="26">
        <f>IFERROR(L22/L$41,"")</f>
        <v/>
      </c>
    </row>
    <row r="23">
      <c r="A23" t="inlineStr">
        <is>
          <t>Insumos e papel</t>
        </is>
      </c>
      <c r="B23" t="inlineStr">
        <is>
          <t>INOVE EMBALAGENS PLASTICAS LTDA</t>
        </is>
      </c>
      <c r="C23" s="28">
        <f>SUMIFS(Base!$N$2:$N$4835,Base!$B$2:$B$4835,$A23,Base!$F$2:$F$4835,$B23,Base!$A$2:$A$4835,C$4)</f>
        <v/>
      </c>
      <c r="D23" s="28">
        <f>SUMIFS(Base!$N$2:$N$4835,Base!$B$2:$B$4835,$A23,Base!$F$2:$F$4835,$B23,Base!$A$2:$A$4835,D$4)</f>
        <v/>
      </c>
      <c r="E23" s="28">
        <f>SUMIFS(Base!$N$2:$N$4835,Base!$B$2:$B$4835,$A23,Base!$F$2:$F$4835,$B23,Base!$A$2:$A$4835,E$4)</f>
        <v/>
      </c>
      <c r="F23" s="28">
        <f>SUMIFS(Base!$N$2:$N$4835,Base!$B$2:$B$4835,$A23,Base!$F$2:$F$4835,$B23,Base!$A$2:$A$4835,F$4)</f>
        <v/>
      </c>
      <c r="G23" s="28">
        <f>SUMIFS(Base!$N$2:$N$4835,Base!$B$2:$B$4835,$A23,Base!$F$2:$F$4835,$B23,Base!$A$2:$A$4835,G$4)</f>
        <v/>
      </c>
      <c r="H23" s="28">
        <f>SUMIFS(Base!$N$2:$N$4835,Base!$B$2:$B$4835,$A23,Base!$F$2:$F$4835,$B23,Base!$A$2:$A$4835,H$4)</f>
        <v/>
      </c>
      <c r="I23" s="28">
        <f>SUMIFS(Base!$N$2:$N$4835,Base!$B$2:$B$4835,$A23,Base!$F$2:$F$4835,$B23,Base!$A$2:$A$4835,I$4)</f>
        <v/>
      </c>
      <c r="J23" s="28">
        <f>SUMIFS(Base!$N$2:$N$4835,Base!$B$2:$B$4835,$A23,Base!$F$2:$F$4835,$B23,Base!$A$2:$A$4835,J$4)</f>
        <v/>
      </c>
      <c r="K23" s="28">
        <f>SUMIFS(Base!$N$2:$N$4835,Base!$B$2:$B$4835,$A23,Base!$F$2:$F$4835,$B23,Base!$A$2:$A$4835,K$4)</f>
        <v/>
      </c>
      <c r="L23" s="28">
        <f>SUM(C23:K23)</f>
        <v/>
      </c>
      <c r="M23" s="26">
        <f>IFERROR(L23/L$41,"")</f>
        <v/>
      </c>
    </row>
    <row r="24">
      <c r="A24" t="inlineStr">
        <is>
          <t>Insumos e papel</t>
        </is>
      </c>
      <c r="B24" t="inlineStr">
        <is>
          <t>ODAFLEXO COMERCIO DE PRODUTOS FLEXOGRAFICOS LTDA</t>
        </is>
      </c>
      <c r="C24" s="28">
        <f>SUMIFS(Base!$N$2:$N$4835,Base!$B$2:$B$4835,$A24,Base!$F$2:$F$4835,$B24,Base!$A$2:$A$4835,C$4)</f>
        <v/>
      </c>
      <c r="D24" s="28">
        <f>SUMIFS(Base!$N$2:$N$4835,Base!$B$2:$B$4835,$A24,Base!$F$2:$F$4835,$B24,Base!$A$2:$A$4835,D$4)</f>
        <v/>
      </c>
      <c r="E24" s="28">
        <f>SUMIFS(Base!$N$2:$N$4835,Base!$B$2:$B$4835,$A24,Base!$F$2:$F$4835,$B24,Base!$A$2:$A$4835,E$4)</f>
        <v/>
      </c>
      <c r="F24" s="28">
        <f>SUMIFS(Base!$N$2:$N$4835,Base!$B$2:$B$4835,$A24,Base!$F$2:$F$4835,$B24,Base!$A$2:$A$4835,F$4)</f>
        <v/>
      </c>
      <c r="G24" s="28">
        <f>SUMIFS(Base!$N$2:$N$4835,Base!$B$2:$B$4835,$A24,Base!$F$2:$F$4835,$B24,Base!$A$2:$A$4835,G$4)</f>
        <v/>
      </c>
      <c r="H24" s="28">
        <f>SUMIFS(Base!$N$2:$N$4835,Base!$B$2:$B$4835,$A24,Base!$F$2:$F$4835,$B24,Base!$A$2:$A$4835,H$4)</f>
        <v/>
      </c>
      <c r="I24" s="28">
        <f>SUMIFS(Base!$N$2:$N$4835,Base!$B$2:$B$4835,$A24,Base!$F$2:$F$4835,$B24,Base!$A$2:$A$4835,I$4)</f>
        <v/>
      </c>
      <c r="J24" s="28">
        <f>SUMIFS(Base!$N$2:$N$4835,Base!$B$2:$B$4835,$A24,Base!$F$2:$F$4835,$B24,Base!$A$2:$A$4835,J$4)</f>
        <v/>
      </c>
      <c r="K24" s="28">
        <f>SUMIFS(Base!$N$2:$N$4835,Base!$B$2:$B$4835,$A24,Base!$F$2:$F$4835,$B24,Base!$A$2:$A$4835,K$4)</f>
        <v/>
      </c>
      <c r="L24" s="28">
        <f>SUM(C24:K24)</f>
        <v/>
      </c>
      <c r="M24" s="26">
        <f>IFERROR(L24/L$41,"")</f>
        <v/>
      </c>
    </row>
    <row r="25">
      <c r="A25" t="inlineStr">
        <is>
          <t>Insumos e papel</t>
        </is>
      </c>
      <c r="B25" t="inlineStr">
        <is>
          <t>ADERE PRODUTOS AUTO ADESIVOS LTDA</t>
        </is>
      </c>
      <c r="C25" s="28">
        <f>SUMIFS(Base!$N$2:$N$4835,Base!$B$2:$B$4835,$A25,Base!$F$2:$F$4835,$B25,Base!$A$2:$A$4835,C$4)</f>
        <v/>
      </c>
      <c r="D25" s="28">
        <f>SUMIFS(Base!$N$2:$N$4835,Base!$B$2:$B$4835,$A25,Base!$F$2:$F$4835,$B25,Base!$A$2:$A$4835,D$4)</f>
        <v/>
      </c>
      <c r="E25" s="28">
        <f>SUMIFS(Base!$N$2:$N$4835,Base!$B$2:$B$4835,$A25,Base!$F$2:$F$4835,$B25,Base!$A$2:$A$4835,E$4)</f>
        <v/>
      </c>
      <c r="F25" s="28">
        <f>SUMIFS(Base!$N$2:$N$4835,Base!$B$2:$B$4835,$A25,Base!$F$2:$F$4835,$B25,Base!$A$2:$A$4835,F$4)</f>
        <v/>
      </c>
      <c r="G25" s="28">
        <f>SUMIFS(Base!$N$2:$N$4835,Base!$B$2:$B$4835,$A25,Base!$F$2:$F$4835,$B25,Base!$A$2:$A$4835,G$4)</f>
        <v/>
      </c>
      <c r="H25" s="28">
        <f>SUMIFS(Base!$N$2:$N$4835,Base!$B$2:$B$4835,$A25,Base!$F$2:$F$4835,$B25,Base!$A$2:$A$4835,H$4)</f>
        <v/>
      </c>
      <c r="I25" s="28">
        <f>SUMIFS(Base!$N$2:$N$4835,Base!$B$2:$B$4835,$A25,Base!$F$2:$F$4835,$B25,Base!$A$2:$A$4835,I$4)</f>
        <v/>
      </c>
      <c r="J25" s="28">
        <f>SUMIFS(Base!$N$2:$N$4835,Base!$B$2:$B$4835,$A25,Base!$F$2:$F$4835,$B25,Base!$A$2:$A$4835,J$4)</f>
        <v/>
      </c>
      <c r="K25" s="28">
        <f>SUMIFS(Base!$N$2:$N$4835,Base!$B$2:$B$4835,$A25,Base!$F$2:$F$4835,$B25,Base!$A$2:$A$4835,K$4)</f>
        <v/>
      </c>
      <c r="L25" s="28">
        <f>SUM(C25:K25)</f>
        <v/>
      </c>
      <c r="M25" s="26">
        <f>IFERROR(L25/L$41,"")</f>
        <v/>
      </c>
    </row>
    <row r="26">
      <c r="A26" t="inlineStr">
        <is>
          <t>Insumos e papel</t>
        </is>
      </c>
      <c r="B26" t="inlineStr">
        <is>
          <t>RECICLAGEM LIBERDADE LTDA</t>
        </is>
      </c>
      <c r="C26" s="28">
        <f>SUMIFS(Base!$N$2:$N$4835,Base!$B$2:$B$4835,$A26,Base!$F$2:$F$4835,$B26,Base!$A$2:$A$4835,C$4)</f>
        <v/>
      </c>
      <c r="D26" s="28">
        <f>SUMIFS(Base!$N$2:$N$4835,Base!$B$2:$B$4835,$A26,Base!$F$2:$F$4835,$B26,Base!$A$2:$A$4835,D$4)</f>
        <v/>
      </c>
      <c r="E26" s="28">
        <f>SUMIFS(Base!$N$2:$N$4835,Base!$B$2:$B$4835,$A26,Base!$F$2:$F$4835,$B26,Base!$A$2:$A$4835,E$4)</f>
        <v/>
      </c>
      <c r="F26" s="28">
        <f>SUMIFS(Base!$N$2:$N$4835,Base!$B$2:$B$4835,$A26,Base!$F$2:$F$4835,$B26,Base!$A$2:$A$4835,F$4)</f>
        <v/>
      </c>
      <c r="G26" s="28">
        <f>SUMIFS(Base!$N$2:$N$4835,Base!$B$2:$B$4835,$A26,Base!$F$2:$F$4835,$B26,Base!$A$2:$A$4835,G$4)</f>
        <v/>
      </c>
      <c r="H26" s="28">
        <f>SUMIFS(Base!$N$2:$N$4835,Base!$B$2:$B$4835,$A26,Base!$F$2:$F$4835,$B26,Base!$A$2:$A$4835,H$4)</f>
        <v/>
      </c>
      <c r="I26" s="28">
        <f>SUMIFS(Base!$N$2:$N$4835,Base!$B$2:$B$4835,$A26,Base!$F$2:$F$4835,$B26,Base!$A$2:$A$4835,I$4)</f>
        <v/>
      </c>
      <c r="J26" s="28">
        <f>SUMIFS(Base!$N$2:$N$4835,Base!$B$2:$B$4835,$A26,Base!$F$2:$F$4835,$B26,Base!$A$2:$A$4835,J$4)</f>
        <v/>
      </c>
      <c r="K26" s="28">
        <f>SUMIFS(Base!$N$2:$N$4835,Base!$B$2:$B$4835,$A26,Base!$F$2:$F$4835,$B26,Base!$A$2:$A$4835,K$4)</f>
        <v/>
      </c>
      <c r="L26" s="28">
        <f>SUM(C26:K26)</f>
        <v/>
      </c>
      <c r="M26" s="26">
        <f>IFERROR(L26/L$41,"")</f>
        <v/>
      </c>
    </row>
    <row r="27">
      <c r="A27" t="inlineStr">
        <is>
          <t>Insumos e papel</t>
        </is>
      </c>
      <c r="B27" t="inlineStr">
        <is>
          <t>SUPERGASBRAS ENERGIA LTDA</t>
        </is>
      </c>
      <c r="C27" s="28">
        <f>SUMIFS(Base!$N$2:$N$4835,Base!$B$2:$B$4835,$A27,Base!$F$2:$F$4835,$B27,Base!$A$2:$A$4835,C$4)</f>
        <v/>
      </c>
      <c r="D27" s="28">
        <f>SUMIFS(Base!$N$2:$N$4835,Base!$B$2:$B$4835,$A27,Base!$F$2:$F$4835,$B27,Base!$A$2:$A$4835,D$4)</f>
        <v/>
      </c>
      <c r="E27" s="28">
        <f>SUMIFS(Base!$N$2:$N$4835,Base!$B$2:$B$4835,$A27,Base!$F$2:$F$4835,$B27,Base!$A$2:$A$4835,E$4)</f>
        <v/>
      </c>
      <c r="F27" s="28">
        <f>SUMIFS(Base!$N$2:$N$4835,Base!$B$2:$B$4835,$A27,Base!$F$2:$F$4835,$B27,Base!$A$2:$A$4835,F$4)</f>
        <v/>
      </c>
      <c r="G27" s="28">
        <f>SUMIFS(Base!$N$2:$N$4835,Base!$B$2:$B$4835,$A27,Base!$F$2:$F$4835,$B27,Base!$A$2:$A$4835,G$4)</f>
        <v/>
      </c>
      <c r="H27" s="28">
        <f>SUMIFS(Base!$N$2:$N$4835,Base!$B$2:$B$4835,$A27,Base!$F$2:$F$4835,$B27,Base!$A$2:$A$4835,H$4)</f>
        <v/>
      </c>
      <c r="I27" s="28">
        <f>SUMIFS(Base!$N$2:$N$4835,Base!$B$2:$B$4835,$A27,Base!$F$2:$F$4835,$B27,Base!$A$2:$A$4835,I$4)</f>
        <v/>
      </c>
      <c r="J27" s="28">
        <f>SUMIFS(Base!$N$2:$N$4835,Base!$B$2:$B$4835,$A27,Base!$F$2:$F$4835,$B27,Base!$A$2:$A$4835,J$4)</f>
        <v/>
      </c>
      <c r="K27" s="28">
        <f>SUMIFS(Base!$N$2:$N$4835,Base!$B$2:$B$4835,$A27,Base!$F$2:$F$4835,$B27,Base!$A$2:$A$4835,K$4)</f>
        <v/>
      </c>
      <c r="L27" s="28">
        <f>SUM(C27:K27)</f>
        <v/>
      </c>
      <c r="M27" s="26">
        <f>IFERROR(L27/L$41,"")</f>
        <v/>
      </c>
    </row>
    <row r="28">
      <c r="A28" t="inlineStr">
        <is>
          <t>Insumos e papel</t>
        </is>
      </c>
      <c r="B28" t="inlineStr">
        <is>
          <t>VIVACOR INDUSTRIA DE TINTAS E VERNIZES LTDA</t>
        </is>
      </c>
      <c r="C28" s="28">
        <f>SUMIFS(Base!$N$2:$N$4835,Base!$B$2:$B$4835,$A28,Base!$F$2:$F$4835,$B28,Base!$A$2:$A$4835,C$4)</f>
        <v/>
      </c>
      <c r="D28" s="28">
        <f>SUMIFS(Base!$N$2:$N$4835,Base!$B$2:$B$4835,$A28,Base!$F$2:$F$4835,$B28,Base!$A$2:$A$4835,D$4)</f>
        <v/>
      </c>
      <c r="E28" s="28">
        <f>SUMIFS(Base!$N$2:$N$4835,Base!$B$2:$B$4835,$A28,Base!$F$2:$F$4835,$B28,Base!$A$2:$A$4835,E$4)</f>
        <v/>
      </c>
      <c r="F28" s="28">
        <f>SUMIFS(Base!$N$2:$N$4835,Base!$B$2:$B$4835,$A28,Base!$F$2:$F$4835,$B28,Base!$A$2:$A$4835,F$4)</f>
        <v/>
      </c>
      <c r="G28" s="28">
        <f>SUMIFS(Base!$N$2:$N$4835,Base!$B$2:$B$4835,$A28,Base!$F$2:$F$4835,$B28,Base!$A$2:$A$4835,G$4)</f>
        <v/>
      </c>
      <c r="H28" s="28">
        <f>SUMIFS(Base!$N$2:$N$4835,Base!$B$2:$B$4835,$A28,Base!$F$2:$F$4835,$B28,Base!$A$2:$A$4835,H$4)</f>
        <v/>
      </c>
      <c r="I28" s="28">
        <f>SUMIFS(Base!$N$2:$N$4835,Base!$B$2:$B$4835,$A28,Base!$F$2:$F$4835,$B28,Base!$A$2:$A$4835,I$4)</f>
        <v/>
      </c>
      <c r="J28" s="28">
        <f>SUMIFS(Base!$N$2:$N$4835,Base!$B$2:$B$4835,$A28,Base!$F$2:$F$4835,$B28,Base!$A$2:$A$4835,J$4)</f>
        <v/>
      </c>
      <c r="K28" s="28">
        <f>SUMIFS(Base!$N$2:$N$4835,Base!$B$2:$B$4835,$A28,Base!$F$2:$F$4835,$B28,Base!$A$2:$A$4835,K$4)</f>
        <v/>
      </c>
      <c r="L28" s="28">
        <f>SUM(C28:K28)</f>
        <v/>
      </c>
      <c r="M28" s="26">
        <f>IFERROR(L28/L$41,"")</f>
        <v/>
      </c>
    </row>
    <row r="29">
      <c r="A29" t="inlineStr">
        <is>
          <t>Insumos e papel</t>
        </is>
      </c>
      <c r="B29" t="inlineStr">
        <is>
          <t>José Adriano da silva</t>
        </is>
      </c>
      <c r="C29" s="28">
        <f>SUMIFS(Base!$N$2:$N$4835,Base!$B$2:$B$4835,$A29,Base!$F$2:$F$4835,$B29,Base!$A$2:$A$4835,C$4)</f>
        <v/>
      </c>
      <c r="D29" s="28">
        <f>SUMIFS(Base!$N$2:$N$4835,Base!$B$2:$B$4835,$A29,Base!$F$2:$F$4835,$B29,Base!$A$2:$A$4835,D$4)</f>
        <v/>
      </c>
      <c r="E29" s="28">
        <f>SUMIFS(Base!$N$2:$N$4835,Base!$B$2:$B$4835,$A29,Base!$F$2:$F$4835,$B29,Base!$A$2:$A$4835,E$4)</f>
        <v/>
      </c>
      <c r="F29" s="28">
        <f>SUMIFS(Base!$N$2:$N$4835,Base!$B$2:$B$4835,$A29,Base!$F$2:$F$4835,$B29,Base!$A$2:$A$4835,F$4)</f>
        <v/>
      </c>
      <c r="G29" s="28">
        <f>SUMIFS(Base!$N$2:$N$4835,Base!$B$2:$B$4835,$A29,Base!$F$2:$F$4835,$B29,Base!$A$2:$A$4835,G$4)</f>
        <v/>
      </c>
      <c r="H29" s="28">
        <f>SUMIFS(Base!$N$2:$N$4835,Base!$B$2:$B$4835,$A29,Base!$F$2:$F$4835,$B29,Base!$A$2:$A$4835,H$4)</f>
        <v/>
      </c>
      <c r="I29" s="28">
        <f>SUMIFS(Base!$N$2:$N$4835,Base!$B$2:$B$4835,$A29,Base!$F$2:$F$4835,$B29,Base!$A$2:$A$4835,I$4)</f>
        <v/>
      </c>
      <c r="J29" s="28">
        <f>SUMIFS(Base!$N$2:$N$4835,Base!$B$2:$B$4835,$A29,Base!$F$2:$F$4835,$B29,Base!$A$2:$A$4835,J$4)</f>
        <v/>
      </c>
      <c r="K29" s="28">
        <f>SUMIFS(Base!$N$2:$N$4835,Base!$B$2:$B$4835,$A29,Base!$F$2:$F$4835,$B29,Base!$A$2:$A$4835,K$4)</f>
        <v/>
      </c>
      <c r="L29" s="28">
        <f>SUM(C29:K29)</f>
        <v/>
      </c>
      <c r="M29" s="26">
        <f>IFERROR(L29/L$41,"")</f>
        <v/>
      </c>
    </row>
    <row r="30">
      <c r="A30" t="inlineStr">
        <is>
          <t>Insumos e papel</t>
        </is>
      </c>
      <c r="B30" t="inlineStr">
        <is>
          <t>COMERCIAL CASA NOVA MATERIAL DE CONSTRUCAO PB LTDA</t>
        </is>
      </c>
      <c r="C30" s="28">
        <f>SUMIFS(Base!$N$2:$N$4835,Base!$B$2:$B$4835,$A30,Base!$F$2:$F$4835,$B30,Base!$A$2:$A$4835,C$4)</f>
        <v/>
      </c>
      <c r="D30" s="28">
        <f>SUMIFS(Base!$N$2:$N$4835,Base!$B$2:$B$4835,$A30,Base!$F$2:$F$4835,$B30,Base!$A$2:$A$4835,D$4)</f>
        <v/>
      </c>
      <c r="E30" s="28">
        <f>SUMIFS(Base!$N$2:$N$4835,Base!$B$2:$B$4835,$A30,Base!$F$2:$F$4835,$B30,Base!$A$2:$A$4835,E$4)</f>
        <v/>
      </c>
      <c r="F30" s="28">
        <f>SUMIFS(Base!$N$2:$N$4835,Base!$B$2:$B$4835,$A30,Base!$F$2:$F$4835,$B30,Base!$A$2:$A$4835,F$4)</f>
        <v/>
      </c>
      <c r="G30" s="28">
        <f>SUMIFS(Base!$N$2:$N$4835,Base!$B$2:$B$4835,$A30,Base!$F$2:$F$4835,$B30,Base!$A$2:$A$4835,G$4)</f>
        <v/>
      </c>
      <c r="H30" s="28">
        <f>SUMIFS(Base!$N$2:$N$4835,Base!$B$2:$B$4835,$A30,Base!$F$2:$F$4835,$B30,Base!$A$2:$A$4835,H$4)</f>
        <v/>
      </c>
      <c r="I30" s="28">
        <f>SUMIFS(Base!$N$2:$N$4835,Base!$B$2:$B$4835,$A30,Base!$F$2:$F$4835,$B30,Base!$A$2:$A$4835,I$4)</f>
        <v/>
      </c>
      <c r="J30" s="28">
        <f>SUMIFS(Base!$N$2:$N$4835,Base!$B$2:$B$4835,$A30,Base!$F$2:$F$4835,$B30,Base!$A$2:$A$4835,J$4)</f>
        <v/>
      </c>
      <c r="K30" s="28">
        <f>SUMIFS(Base!$N$2:$N$4835,Base!$B$2:$B$4835,$A30,Base!$F$2:$F$4835,$B30,Base!$A$2:$A$4835,K$4)</f>
        <v/>
      </c>
      <c r="L30" s="28">
        <f>SUM(C30:K30)</f>
        <v/>
      </c>
      <c r="M30" s="26">
        <f>IFERROR(L30/L$41,"")</f>
        <v/>
      </c>
    </row>
    <row r="31">
      <c r="A31" t="inlineStr">
        <is>
          <t>Insumos e papel</t>
        </is>
      </c>
      <c r="B31" t="inlineStr">
        <is>
          <t>ALSTEK SOLUCOES EM EMBALAGENS - LTDA</t>
        </is>
      </c>
      <c r="C31" s="28">
        <f>SUMIFS(Base!$N$2:$N$4835,Base!$B$2:$B$4835,$A31,Base!$F$2:$F$4835,$B31,Base!$A$2:$A$4835,C$4)</f>
        <v/>
      </c>
      <c r="D31" s="28">
        <f>SUMIFS(Base!$N$2:$N$4835,Base!$B$2:$B$4835,$A31,Base!$F$2:$F$4835,$B31,Base!$A$2:$A$4835,D$4)</f>
        <v/>
      </c>
      <c r="E31" s="28">
        <f>SUMIFS(Base!$N$2:$N$4835,Base!$B$2:$B$4835,$A31,Base!$F$2:$F$4835,$B31,Base!$A$2:$A$4835,E$4)</f>
        <v/>
      </c>
      <c r="F31" s="28">
        <f>SUMIFS(Base!$N$2:$N$4835,Base!$B$2:$B$4835,$A31,Base!$F$2:$F$4835,$B31,Base!$A$2:$A$4835,F$4)</f>
        <v/>
      </c>
      <c r="G31" s="28">
        <f>SUMIFS(Base!$N$2:$N$4835,Base!$B$2:$B$4835,$A31,Base!$F$2:$F$4835,$B31,Base!$A$2:$A$4835,G$4)</f>
        <v/>
      </c>
      <c r="H31" s="28">
        <f>SUMIFS(Base!$N$2:$N$4835,Base!$B$2:$B$4835,$A31,Base!$F$2:$F$4835,$B31,Base!$A$2:$A$4835,H$4)</f>
        <v/>
      </c>
      <c r="I31" s="28">
        <f>SUMIFS(Base!$N$2:$N$4835,Base!$B$2:$B$4835,$A31,Base!$F$2:$F$4835,$B31,Base!$A$2:$A$4835,I$4)</f>
        <v/>
      </c>
      <c r="J31" s="28">
        <f>SUMIFS(Base!$N$2:$N$4835,Base!$B$2:$B$4835,$A31,Base!$F$2:$F$4835,$B31,Base!$A$2:$A$4835,J$4)</f>
        <v/>
      </c>
      <c r="K31" s="28">
        <f>SUMIFS(Base!$N$2:$N$4835,Base!$B$2:$B$4835,$A31,Base!$F$2:$F$4835,$B31,Base!$A$2:$A$4835,K$4)</f>
        <v/>
      </c>
      <c r="L31" s="28">
        <f>SUM(C31:K31)</f>
        <v/>
      </c>
      <c r="M31" s="26">
        <f>IFERROR(L31/L$41,"")</f>
        <v/>
      </c>
    </row>
    <row r="32">
      <c r="A32" t="inlineStr">
        <is>
          <t>Insumos e papel</t>
        </is>
      </c>
      <c r="B32" t="inlineStr">
        <is>
          <t>ANA MARIA BRITO DE SOUZA LTDA</t>
        </is>
      </c>
      <c r="C32" s="28">
        <f>SUMIFS(Base!$N$2:$N$4835,Base!$B$2:$B$4835,$A32,Base!$F$2:$F$4835,$B32,Base!$A$2:$A$4835,C$4)</f>
        <v/>
      </c>
      <c r="D32" s="28">
        <f>SUMIFS(Base!$N$2:$N$4835,Base!$B$2:$B$4835,$A32,Base!$F$2:$F$4835,$B32,Base!$A$2:$A$4835,D$4)</f>
        <v/>
      </c>
      <c r="E32" s="28">
        <f>SUMIFS(Base!$N$2:$N$4835,Base!$B$2:$B$4835,$A32,Base!$F$2:$F$4835,$B32,Base!$A$2:$A$4835,E$4)</f>
        <v/>
      </c>
      <c r="F32" s="28">
        <f>SUMIFS(Base!$N$2:$N$4835,Base!$B$2:$B$4835,$A32,Base!$F$2:$F$4835,$B32,Base!$A$2:$A$4835,F$4)</f>
        <v/>
      </c>
      <c r="G32" s="28">
        <f>SUMIFS(Base!$N$2:$N$4835,Base!$B$2:$B$4835,$A32,Base!$F$2:$F$4835,$B32,Base!$A$2:$A$4835,G$4)</f>
        <v/>
      </c>
      <c r="H32" s="28">
        <f>SUMIFS(Base!$N$2:$N$4835,Base!$B$2:$B$4835,$A32,Base!$F$2:$F$4835,$B32,Base!$A$2:$A$4835,H$4)</f>
        <v/>
      </c>
      <c r="I32" s="28">
        <f>SUMIFS(Base!$N$2:$N$4835,Base!$B$2:$B$4835,$A32,Base!$F$2:$F$4835,$B32,Base!$A$2:$A$4835,I$4)</f>
        <v/>
      </c>
      <c r="J32" s="28">
        <f>SUMIFS(Base!$N$2:$N$4835,Base!$B$2:$B$4835,$A32,Base!$F$2:$F$4835,$B32,Base!$A$2:$A$4835,J$4)</f>
        <v/>
      </c>
      <c r="K32" s="28">
        <f>SUMIFS(Base!$N$2:$N$4835,Base!$B$2:$B$4835,$A32,Base!$F$2:$F$4835,$B32,Base!$A$2:$A$4835,K$4)</f>
        <v/>
      </c>
      <c r="L32" s="28">
        <f>SUM(C32:K32)</f>
        <v/>
      </c>
      <c r="M32" s="26">
        <f>IFERROR(L32/L$41,"")</f>
        <v/>
      </c>
    </row>
    <row r="33">
      <c r="A33" t="inlineStr">
        <is>
          <t>Insumos e papel</t>
        </is>
      </c>
      <c r="B33" t="inlineStr">
        <is>
          <t>B. B. A. INDUSTRIA E COMERCIO IMPORTACAO E EXPORTACAO LTDA</t>
        </is>
      </c>
      <c r="C33" s="28">
        <f>SUMIFS(Base!$N$2:$N$4835,Base!$B$2:$B$4835,$A33,Base!$F$2:$F$4835,$B33,Base!$A$2:$A$4835,C$4)</f>
        <v/>
      </c>
      <c r="D33" s="28">
        <f>SUMIFS(Base!$N$2:$N$4835,Base!$B$2:$B$4835,$A33,Base!$F$2:$F$4835,$B33,Base!$A$2:$A$4835,D$4)</f>
        <v/>
      </c>
      <c r="E33" s="28">
        <f>SUMIFS(Base!$N$2:$N$4835,Base!$B$2:$B$4835,$A33,Base!$F$2:$F$4835,$B33,Base!$A$2:$A$4835,E$4)</f>
        <v/>
      </c>
      <c r="F33" s="28">
        <f>SUMIFS(Base!$N$2:$N$4835,Base!$B$2:$B$4835,$A33,Base!$F$2:$F$4835,$B33,Base!$A$2:$A$4835,F$4)</f>
        <v/>
      </c>
      <c r="G33" s="28">
        <f>SUMIFS(Base!$N$2:$N$4835,Base!$B$2:$B$4835,$A33,Base!$F$2:$F$4835,$B33,Base!$A$2:$A$4835,G$4)</f>
        <v/>
      </c>
      <c r="H33" s="28">
        <f>SUMIFS(Base!$N$2:$N$4835,Base!$B$2:$B$4835,$A33,Base!$F$2:$F$4835,$B33,Base!$A$2:$A$4835,H$4)</f>
        <v/>
      </c>
      <c r="I33" s="28">
        <f>SUMIFS(Base!$N$2:$N$4835,Base!$B$2:$B$4835,$A33,Base!$F$2:$F$4835,$B33,Base!$A$2:$A$4835,I$4)</f>
        <v/>
      </c>
      <c r="J33" s="28">
        <f>SUMIFS(Base!$N$2:$N$4835,Base!$B$2:$B$4835,$A33,Base!$F$2:$F$4835,$B33,Base!$A$2:$A$4835,J$4)</f>
        <v/>
      </c>
      <c r="K33" s="28">
        <f>SUMIFS(Base!$N$2:$N$4835,Base!$B$2:$B$4835,$A33,Base!$F$2:$F$4835,$B33,Base!$A$2:$A$4835,K$4)</f>
        <v/>
      </c>
      <c r="L33" s="28">
        <f>SUM(C33:K33)</f>
        <v/>
      </c>
      <c r="M33" s="26">
        <f>IFERROR(L33/L$41,"")</f>
        <v/>
      </c>
    </row>
    <row r="34">
      <c r="A34" t="inlineStr">
        <is>
          <t>Insumos e papel</t>
        </is>
      </c>
      <c r="B34" t="inlineStr">
        <is>
          <t>FURNAX COMERCIAL E IMPORTADORA EIRELI</t>
        </is>
      </c>
      <c r="C34" s="28">
        <f>SUMIFS(Base!$N$2:$N$4835,Base!$B$2:$B$4835,$A34,Base!$F$2:$F$4835,$B34,Base!$A$2:$A$4835,C$4)</f>
        <v/>
      </c>
      <c r="D34" s="28">
        <f>SUMIFS(Base!$N$2:$N$4835,Base!$B$2:$B$4835,$A34,Base!$F$2:$F$4835,$B34,Base!$A$2:$A$4835,D$4)</f>
        <v/>
      </c>
      <c r="E34" s="28">
        <f>SUMIFS(Base!$N$2:$N$4835,Base!$B$2:$B$4835,$A34,Base!$F$2:$F$4835,$B34,Base!$A$2:$A$4835,E$4)</f>
        <v/>
      </c>
      <c r="F34" s="28">
        <f>SUMIFS(Base!$N$2:$N$4835,Base!$B$2:$B$4835,$A34,Base!$F$2:$F$4835,$B34,Base!$A$2:$A$4835,F$4)</f>
        <v/>
      </c>
      <c r="G34" s="28">
        <f>SUMIFS(Base!$N$2:$N$4835,Base!$B$2:$B$4835,$A34,Base!$F$2:$F$4835,$B34,Base!$A$2:$A$4835,G$4)</f>
        <v/>
      </c>
      <c r="H34" s="28">
        <f>SUMIFS(Base!$N$2:$N$4835,Base!$B$2:$B$4835,$A34,Base!$F$2:$F$4835,$B34,Base!$A$2:$A$4835,H$4)</f>
        <v/>
      </c>
      <c r="I34" s="28">
        <f>SUMIFS(Base!$N$2:$N$4835,Base!$B$2:$B$4835,$A34,Base!$F$2:$F$4835,$B34,Base!$A$2:$A$4835,I$4)</f>
        <v/>
      </c>
      <c r="J34" s="28">
        <f>SUMIFS(Base!$N$2:$N$4835,Base!$B$2:$B$4835,$A34,Base!$F$2:$F$4835,$B34,Base!$A$2:$A$4835,J$4)</f>
        <v/>
      </c>
      <c r="K34" s="28">
        <f>SUMIFS(Base!$N$2:$N$4835,Base!$B$2:$B$4835,$A34,Base!$F$2:$F$4835,$B34,Base!$A$2:$A$4835,K$4)</f>
        <v/>
      </c>
      <c r="L34" s="28">
        <f>SUM(C34:K34)</f>
        <v/>
      </c>
      <c r="M34" s="26">
        <f>IFERROR(L34/L$41,"")</f>
        <v/>
      </c>
    </row>
    <row r="35">
      <c r="A35" t="inlineStr">
        <is>
          <t>Insumos e papel</t>
        </is>
      </c>
      <c r="B35" t="inlineStr">
        <is>
          <t>Limptech Paper Comercio Ltda</t>
        </is>
      </c>
      <c r="C35" s="28">
        <f>SUMIFS(Base!$N$2:$N$4835,Base!$B$2:$B$4835,$A35,Base!$F$2:$F$4835,$B35,Base!$A$2:$A$4835,C$4)</f>
        <v/>
      </c>
      <c r="D35" s="28">
        <f>SUMIFS(Base!$N$2:$N$4835,Base!$B$2:$B$4835,$A35,Base!$F$2:$F$4835,$B35,Base!$A$2:$A$4835,D$4)</f>
        <v/>
      </c>
      <c r="E35" s="28">
        <f>SUMIFS(Base!$N$2:$N$4835,Base!$B$2:$B$4835,$A35,Base!$F$2:$F$4835,$B35,Base!$A$2:$A$4835,E$4)</f>
        <v/>
      </c>
      <c r="F35" s="28">
        <f>SUMIFS(Base!$N$2:$N$4835,Base!$B$2:$B$4835,$A35,Base!$F$2:$F$4835,$B35,Base!$A$2:$A$4835,F$4)</f>
        <v/>
      </c>
      <c r="G35" s="28">
        <f>SUMIFS(Base!$N$2:$N$4835,Base!$B$2:$B$4835,$A35,Base!$F$2:$F$4835,$B35,Base!$A$2:$A$4835,G$4)</f>
        <v/>
      </c>
      <c r="H35" s="28">
        <f>SUMIFS(Base!$N$2:$N$4835,Base!$B$2:$B$4835,$A35,Base!$F$2:$F$4835,$B35,Base!$A$2:$A$4835,H$4)</f>
        <v/>
      </c>
      <c r="I35" s="28">
        <f>SUMIFS(Base!$N$2:$N$4835,Base!$B$2:$B$4835,$A35,Base!$F$2:$F$4835,$B35,Base!$A$2:$A$4835,I$4)</f>
        <v/>
      </c>
      <c r="J35" s="28">
        <f>SUMIFS(Base!$N$2:$N$4835,Base!$B$2:$B$4835,$A35,Base!$F$2:$F$4835,$B35,Base!$A$2:$A$4835,J$4)</f>
        <v/>
      </c>
      <c r="K35" s="28">
        <f>SUMIFS(Base!$N$2:$N$4835,Base!$B$2:$B$4835,$A35,Base!$F$2:$F$4835,$B35,Base!$A$2:$A$4835,K$4)</f>
        <v/>
      </c>
      <c r="L35" s="28">
        <f>SUM(C35:K35)</f>
        <v/>
      </c>
      <c r="M35" s="26">
        <f>IFERROR(L35/L$41,"")</f>
        <v/>
      </c>
    </row>
    <row r="36">
      <c r="A36" t="inlineStr">
        <is>
          <t>Insumos e papel</t>
        </is>
      </c>
      <c r="B36" t="inlineStr">
        <is>
          <t>ASSISTENPACK COMERCIAL E INDUSTRIAL LTDA</t>
        </is>
      </c>
      <c r="C36" s="28">
        <f>SUMIFS(Base!$N$2:$N$4835,Base!$B$2:$B$4835,$A36,Base!$F$2:$F$4835,$B36,Base!$A$2:$A$4835,C$4)</f>
        <v/>
      </c>
      <c r="D36" s="28">
        <f>SUMIFS(Base!$N$2:$N$4835,Base!$B$2:$B$4835,$A36,Base!$F$2:$F$4835,$B36,Base!$A$2:$A$4835,D$4)</f>
        <v/>
      </c>
      <c r="E36" s="28">
        <f>SUMIFS(Base!$N$2:$N$4835,Base!$B$2:$B$4835,$A36,Base!$F$2:$F$4835,$B36,Base!$A$2:$A$4835,E$4)</f>
        <v/>
      </c>
      <c r="F36" s="28">
        <f>SUMIFS(Base!$N$2:$N$4835,Base!$B$2:$B$4835,$A36,Base!$F$2:$F$4835,$B36,Base!$A$2:$A$4835,F$4)</f>
        <v/>
      </c>
      <c r="G36" s="28">
        <f>SUMIFS(Base!$N$2:$N$4835,Base!$B$2:$B$4835,$A36,Base!$F$2:$F$4835,$B36,Base!$A$2:$A$4835,G$4)</f>
        <v/>
      </c>
      <c r="H36" s="28">
        <f>SUMIFS(Base!$N$2:$N$4835,Base!$B$2:$B$4835,$A36,Base!$F$2:$F$4835,$B36,Base!$A$2:$A$4835,H$4)</f>
        <v/>
      </c>
      <c r="I36" s="28">
        <f>SUMIFS(Base!$N$2:$N$4835,Base!$B$2:$B$4835,$A36,Base!$F$2:$F$4835,$B36,Base!$A$2:$A$4835,I$4)</f>
        <v/>
      </c>
      <c r="J36" s="28">
        <f>SUMIFS(Base!$N$2:$N$4835,Base!$B$2:$B$4835,$A36,Base!$F$2:$F$4835,$B36,Base!$A$2:$A$4835,J$4)</f>
        <v/>
      </c>
      <c r="K36" s="28">
        <f>SUMIFS(Base!$N$2:$N$4835,Base!$B$2:$B$4835,$A36,Base!$F$2:$F$4835,$B36,Base!$A$2:$A$4835,K$4)</f>
        <v/>
      </c>
      <c r="L36" s="28">
        <f>SUM(C36:K36)</f>
        <v/>
      </c>
      <c r="M36" s="26">
        <f>IFERROR(L36/L$41,"")</f>
        <v/>
      </c>
    </row>
    <row r="37">
      <c r="A37" t="inlineStr">
        <is>
          <t>Insumos e papel</t>
        </is>
      </c>
      <c r="B37" t="inlineStr">
        <is>
          <t>MULTIPEL COMERCIO LTDA</t>
        </is>
      </c>
      <c r="C37" s="28">
        <f>SUMIFS(Base!$N$2:$N$4835,Base!$B$2:$B$4835,$A37,Base!$F$2:$F$4835,$B37,Base!$A$2:$A$4835,C$4)</f>
        <v/>
      </c>
      <c r="D37" s="28">
        <f>SUMIFS(Base!$N$2:$N$4835,Base!$B$2:$B$4835,$A37,Base!$F$2:$F$4835,$B37,Base!$A$2:$A$4835,D$4)</f>
        <v/>
      </c>
      <c r="E37" s="28">
        <f>SUMIFS(Base!$N$2:$N$4835,Base!$B$2:$B$4835,$A37,Base!$F$2:$F$4835,$B37,Base!$A$2:$A$4835,E$4)</f>
        <v/>
      </c>
      <c r="F37" s="28">
        <f>SUMIFS(Base!$N$2:$N$4835,Base!$B$2:$B$4835,$A37,Base!$F$2:$F$4835,$B37,Base!$A$2:$A$4835,F$4)</f>
        <v/>
      </c>
      <c r="G37" s="28">
        <f>SUMIFS(Base!$N$2:$N$4835,Base!$B$2:$B$4835,$A37,Base!$F$2:$F$4835,$B37,Base!$A$2:$A$4835,G$4)</f>
        <v/>
      </c>
      <c r="H37" s="28">
        <f>SUMIFS(Base!$N$2:$N$4835,Base!$B$2:$B$4835,$A37,Base!$F$2:$F$4835,$B37,Base!$A$2:$A$4835,H$4)</f>
        <v/>
      </c>
      <c r="I37" s="28">
        <f>SUMIFS(Base!$N$2:$N$4835,Base!$B$2:$B$4835,$A37,Base!$F$2:$F$4835,$B37,Base!$A$2:$A$4835,I$4)</f>
        <v/>
      </c>
      <c r="J37" s="28">
        <f>SUMIFS(Base!$N$2:$N$4835,Base!$B$2:$B$4835,$A37,Base!$F$2:$F$4835,$B37,Base!$A$2:$A$4835,J$4)</f>
        <v/>
      </c>
      <c r="K37" s="28">
        <f>SUMIFS(Base!$N$2:$N$4835,Base!$B$2:$B$4835,$A37,Base!$F$2:$F$4835,$B37,Base!$A$2:$A$4835,K$4)</f>
        <v/>
      </c>
      <c r="L37" s="28">
        <f>SUM(C37:K37)</f>
        <v/>
      </c>
      <c r="M37" s="26">
        <f>IFERROR(L37/L$41,"")</f>
        <v/>
      </c>
    </row>
    <row r="38">
      <c r="A38" t="inlineStr">
        <is>
          <t>Insumos e papel</t>
        </is>
      </c>
      <c r="B38" t="inlineStr">
        <is>
          <t>PARAIBA PLAST COMERCIAL EIRELI</t>
        </is>
      </c>
      <c r="C38" s="28">
        <f>SUMIFS(Base!$N$2:$N$4835,Base!$B$2:$B$4835,$A38,Base!$F$2:$F$4835,$B38,Base!$A$2:$A$4835,C$4)</f>
        <v/>
      </c>
      <c r="D38" s="28">
        <f>SUMIFS(Base!$N$2:$N$4835,Base!$B$2:$B$4835,$A38,Base!$F$2:$F$4835,$B38,Base!$A$2:$A$4835,D$4)</f>
        <v/>
      </c>
      <c r="E38" s="28">
        <f>SUMIFS(Base!$N$2:$N$4835,Base!$B$2:$B$4835,$A38,Base!$F$2:$F$4835,$B38,Base!$A$2:$A$4835,E$4)</f>
        <v/>
      </c>
      <c r="F38" s="28">
        <f>SUMIFS(Base!$N$2:$N$4835,Base!$B$2:$B$4835,$A38,Base!$F$2:$F$4835,$B38,Base!$A$2:$A$4835,F$4)</f>
        <v/>
      </c>
      <c r="G38" s="28">
        <f>SUMIFS(Base!$N$2:$N$4835,Base!$B$2:$B$4835,$A38,Base!$F$2:$F$4835,$B38,Base!$A$2:$A$4835,G$4)</f>
        <v/>
      </c>
      <c r="H38" s="28">
        <f>SUMIFS(Base!$N$2:$N$4835,Base!$B$2:$B$4835,$A38,Base!$F$2:$F$4835,$B38,Base!$A$2:$A$4835,H$4)</f>
        <v/>
      </c>
      <c r="I38" s="28">
        <f>SUMIFS(Base!$N$2:$N$4835,Base!$B$2:$B$4835,$A38,Base!$F$2:$F$4835,$B38,Base!$A$2:$A$4835,I$4)</f>
        <v/>
      </c>
      <c r="J38" s="28">
        <f>SUMIFS(Base!$N$2:$N$4835,Base!$B$2:$B$4835,$A38,Base!$F$2:$F$4835,$B38,Base!$A$2:$A$4835,J$4)</f>
        <v/>
      </c>
      <c r="K38" s="28">
        <f>SUMIFS(Base!$N$2:$N$4835,Base!$B$2:$B$4835,$A38,Base!$F$2:$F$4835,$B38,Base!$A$2:$A$4835,K$4)</f>
        <v/>
      </c>
      <c r="L38" s="28">
        <f>SUM(C38:K38)</f>
        <v/>
      </c>
      <c r="M38" s="26">
        <f>IFERROR(L38/L$41,"")</f>
        <v/>
      </c>
    </row>
    <row r="39">
      <c r="A39" t="inlineStr">
        <is>
          <t>Insumos e papel</t>
        </is>
      </c>
      <c r="B39" t="inlineStr">
        <is>
          <t>EDNA DE ARAUJO PACHECO LTDA</t>
        </is>
      </c>
      <c r="C39" s="28">
        <f>SUMIFS(Base!$N$2:$N$4835,Base!$B$2:$B$4835,$A39,Base!$F$2:$F$4835,$B39,Base!$A$2:$A$4835,C$4)</f>
        <v/>
      </c>
      <c r="D39" s="28">
        <f>SUMIFS(Base!$N$2:$N$4835,Base!$B$2:$B$4835,$A39,Base!$F$2:$F$4835,$B39,Base!$A$2:$A$4835,D$4)</f>
        <v/>
      </c>
      <c r="E39" s="28">
        <f>SUMIFS(Base!$N$2:$N$4835,Base!$B$2:$B$4835,$A39,Base!$F$2:$F$4835,$B39,Base!$A$2:$A$4835,E$4)</f>
        <v/>
      </c>
      <c r="F39" s="28">
        <f>SUMIFS(Base!$N$2:$N$4835,Base!$B$2:$B$4835,$A39,Base!$F$2:$F$4835,$B39,Base!$A$2:$A$4835,F$4)</f>
        <v/>
      </c>
      <c r="G39" s="28">
        <f>SUMIFS(Base!$N$2:$N$4835,Base!$B$2:$B$4835,$A39,Base!$F$2:$F$4835,$B39,Base!$A$2:$A$4835,G$4)</f>
        <v/>
      </c>
      <c r="H39" s="28">
        <f>SUMIFS(Base!$N$2:$N$4835,Base!$B$2:$B$4835,$A39,Base!$F$2:$F$4835,$B39,Base!$A$2:$A$4835,H$4)</f>
        <v/>
      </c>
      <c r="I39" s="28">
        <f>SUMIFS(Base!$N$2:$N$4835,Base!$B$2:$B$4835,$A39,Base!$F$2:$F$4835,$B39,Base!$A$2:$A$4835,I$4)</f>
        <v/>
      </c>
      <c r="J39" s="28">
        <f>SUMIFS(Base!$N$2:$N$4835,Base!$B$2:$B$4835,$A39,Base!$F$2:$F$4835,$B39,Base!$A$2:$A$4835,J$4)</f>
        <v/>
      </c>
      <c r="K39" s="28">
        <f>SUMIFS(Base!$N$2:$N$4835,Base!$B$2:$B$4835,$A39,Base!$F$2:$F$4835,$B39,Base!$A$2:$A$4835,K$4)</f>
        <v/>
      </c>
      <c r="L39" s="28">
        <f>SUM(C39:K39)</f>
        <v/>
      </c>
      <c r="M39" s="26">
        <f>IFERROR(L39/L$41,"")</f>
        <v/>
      </c>
    </row>
    <row r="40">
      <c r="A40" t="inlineStr">
        <is>
          <t>Insumos e papel</t>
        </is>
      </c>
      <c r="B40" t="inlineStr">
        <is>
          <t>INFORPOINT SERVICOS E COMERCIO EM TECNOLOGIA LTDA</t>
        </is>
      </c>
      <c r="C40" s="28">
        <f>SUMIFS(Base!$N$2:$N$4835,Base!$B$2:$B$4835,$A40,Base!$F$2:$F$4835,$B40,Base!$A$2:$A$4835,C$4)</f>
        <v/>
      </c>
      <c r="D40" s="28">
        <f>SUMIFS(Base!$N$2:$N$4835,Base!$B$2:$B$4835,$A40,Base!$F$2:$F$4835,$B40,Base!$A$2:$A$4835,D$4)</f>
        <v/>
      </c>
      <c r="E40" s="28">
        <f>SUMIFS(Base!$N$2:$N$4835,Base!$B$2:$B$4835,$A40,Base!$F$2:$F$4835,$B40,Base!$A$2:$A$4835,E$4)</f>
        <v/>
      </c>
      <c r="F40" s="28">
        <f>SUMIFS(Base!$N$2:$N$4835,Base!$B$2:$B$4835,$A40,Base!$F$2:$F$4835,$B40,Base!$A$2:$A$4835,F$4)</f>
        <v/>
      </c>
      <c r="G40" s="28">
        <f>SUMIFS(Base!$N$2:$N$4835,Base!$B$2:$B$4835,$A40,Base!$F$2:$F$4835,$B40,Base!$A$2:$A$4835,G$4)</f>
        <v/>
      </c>
      <c r="H40" s="28">
        <f>SUMIFS(Base!$N$2:$N$4835,Base!$B$2:$B$4835,$A40,Base!$F$2:$F$4835,$B40,Base!$A$2:$A$4835,H$4)</f>
        <v/>
      </c>
      <c r="I40" s="28">
        <f>SUMIFS(Base!$N$2:$N$4835,Base!$B$2:$B$4835,$A40,Base!$F$2:$F$4835,$B40,Base!$A$2:$A$4835,I$4)</f>
        <v/>
      </c>
      <c r="J40" s="28">
        <f>SUMIFS(Base!$N$2:$N$4835,Base!$B$2:$B$4835,$A40,Base!$F$2:$F$4835,$B40,Base!$A$2:$A$4835,J$4)</f>
        <v/>
      </c>
      <c r="K40" s="28">
        <f>SUMIFS(Base!$N$2:$N$4835,Base!$B$2:$B$4835,$A40,Base!$F$2:$F$4835,$B40,Base!$A$2:$A$4835,K$4)</f>
        <v/>
      </c>
      <c r="L40" s="28">
        <f>SUM(C40:K40)</f>
        <v/>
      </c>
      <c r="M40" s="26">
        <f>IFERROR(L40/L$41,"")</f>
        <v/>
      </c>
    </row>
    <row r="41">
      <c r="A41" s="7" t="inlineStr">
        <is>
          <t>Insumos e papel</t>
        </is>
      </c>
      <c r="B41" s="7" t="inlineStr">
        <is>
          <t>TOTAL Insumos e papel</t>
        </is>
      </c>
      <c r="C41" s="21">
        <f>SUM(C5:C40)</f>
        <v/>
      </c>
      <c r="D41" s="21">
        <f>SUM(D5:D40)</f>
        <v/>
      </c>
      <c r="E41" s="21">
        <f>SUM(E5:E40)</f>
        <v/>
      </c>
      <c r="F41" s="21">
        <f>SUM(F5:F40)</f>
        <v/>
      </c>
      <c r="G41" s="21">
        <f>SUM(G5:G40)</f>
        <v/>
      </c>
      <c r="H41" s="21">
        <f>SUM(H5:H40)</f>
        <v/>
      </c>
      <c r="I41" s="21">
        <f>SUM(I5:I40)</f>
        <v/>
      </c>
      <c r="J41" s="21">
        <f>SUM(J5:J40)</f>
        <v/>
      </c>
      <c r="K41" s="21">
        <f>SUM(K5:K40)</f>
        <v/>
      </c>
      <c r="L41" s="21">
        <f>SUM(L5:L40)</f>
        <v/>
      </c>
      <c r="M41" s="7" t="n"/>
    </row>
    <row r="43">
      <c r="A43" t="inlineStr">
        <is>
          <t>Uso e consumo</t>
        </is>
      </c>
      <c r="B43" t="inlineStr">
        <is>
          <t>FURNAX COMERCIAL E IMPORTADORA EIRELI</t>
        </is>
      </c>
      <c r="C43" s="28">
        <f>SUMIFS(Base!$N$2:$N$4835,Base!$B$2:$B$4835,$A43,Base!$F$2:$F$4835,$B43,Base!$A$2:$A$4835,C$4)</f>
        <v/>
      </c>
      <c r="D43" s="28">
        <f>SUMIFS(Base!$N$2:$N$4835,Base!$B$2:$B$4835,$A43,Base!$F$2:$F$4835,$B43,Base!$A$2:$A$4835,D$4)</f>
        <v/>
      </c>
      <c r="E43" s="28">
        <f>SUMIFS(Base!$N$2:$N$4835,Base!$B$2:$B$4835,$A43,Base!$F$2:$F$4835,$B43,Base!$A$2:$A$4835,E$4)</f>
        <v/>
      </c>
      <c r="F43" s="28">
        <f>SUMIFS(Base!$N$2:$N$4835,Base!$B$2:$B$4835,$A43,Base!$F$2:$F$4835,$B43,Base!$A$2:$A$4835,F$4)</f>
        <v/>
      </c>
      <c r="G43" s="28">
        <f>SUMIFS(Base!$N$2:$N$4835,Base!$B$2:$B$4835,$A43,Base!$F$2:$F$4835,$B43,Base!$A$2:$A$4835,G$4)</f>
        <v/>
      </c>
      <c r="H43" s="28">
        <f>SUMIFS(Base!$N$2:$N$4835,Base!$B$2:$B$4835,$A43,Base!$F$2:$F$4835,$B43,Base!$A$2:$A$4835,H$4)</f>
        <v/>
      </c>
      <c r="I43" s="28">
        <f>SUMIFS(Base!$N$2:$N$4835,Base!$B$2:$B$4835,$A43,Base!$F$2:$F$4835,$B43,Base!$A$2:$A$4835,I$4)</f>
        <v/>
      </c>
      <c r="J43" s="28">
        <f>SUMIFS(Base!$N$2:$N$4835,Base!$B$2:$B$4835,$A43,Base!$F$2:$F$4835,$B43,Base!$A$2:$A$4835,J$4)</f>
        <v/>
      </c>
      <c r="K43" s="28">
        <f>SUMIFS(Base!$N$2:$N$4835,Base!$B$2:$B$4835,$A43,Base!$F$2:$F$4835,$B43,Base!$A$2:$A$4835,K$4)</f>
        <v/>
      </c>
      <c r="L43" s="28">
        <f>SUM(C43:K43)</f>
        <v/>
      </c>
      <c r="M43" s="26">
        <f>IFERROR(L43/L$123,"")</f>
        <v/>
      </c>
    </row>
    <row r="44">
      <c r="A44" t="inlineStr">
        <is>
          <t>Uso e consumo</t>
        </is>
      </c>
      <c r="B44" t="inlineStr">
        <is>
          <t>Limptech Paper Comercio Ltda</t>
        </is>
      </c>
      <c r="C44" s="28">
        <f>SUMIFS(Base!$N$2:$N$4835,Base!$B$2:$B$4835,$A44,Base!$F$2:$F$4835,$B44,Base!$A$2:$A$4835,C$4)</f>
        <v/>
      </c>
      <c r="D44" s="28">
        <f>SUMIFS(Base!$N$2:$N$4835,Base!$B$2:$B$4835,$A44,Base!$F$2:$F$4835,$B44,Base!$A$2:$A$4835,D$4)</f>
        <v/>
      </c>
      <c r="E44" s="28">
        <f>SUMIFS(Base!$N$2:$N$4835,Base!$B$2:$B$4835,$A44,Base!$F$2:$F$4835,$B44,Base!$A$2:$A$4835,E$4)</f>
        <v/>
      </c>
      <c r="F44" s="28">
        <f>SUMIFS(Base!$N$2:$N$4835,Base!$B$2:$B$4835,$A44,Base!$F$2:$F$4835,$B44,Base!$A$2:$A$4835,F$4)</f>
        <v/>
      </c>
      <c r="G44" s="28">
        <f>SUMIFS(Base!$N$2:$N$4835,Base!$B$2:$B$4835,$A44,Base!$F$2:$F$4835,$B44,Base!$A$2:$A$4835,G$4)</f>
        <v/>
      </c>
      <c r="H44" s="28">
        <f>SUMIFS(Base!$N$2:$N$4835,Base!$B$2:$B$4835,$A44,Base!$F$2:$F$4835,$B44,Base!$A$2:$A$4835,H$4)</f>
        <v/>
      </c>
      <c r="I44" s="28">
        <f>SUMIFS(Base!$N$2:$N$4835,Base!$B$2:$B$4835,$A44,Base!$F$2:$F$4835,$B44,Base!$A$2:$A$4835,I$4)</f>
        <v/>
      </c>
      <c r="J44" s="28">
        <f>SUMIFS(Base!$N$2:$N$4835,Base!$B$2:$B$4835,$A44,Base!$F$2:$F$4835,$B44,Base!$A$2:$A$4835,J$4)</f>
        <v/>
      </c>
      <c r="K44" s="28">
        <f>SUMIFS(Base!$N$2:$N$4835,Base!$B$2:$B$4835,$A44,Base!$F$2:$F$4835,$B44,Base!$A$2:$A$4835,K$4)</f>
        <v/>
      </c>
      <c r="L44" s="28">
        <f>SUM(C44:K44)</f>
        <v/>
      </c>
      <c r="M44" s="26">
        <f>IFERROR(L44/L$123,"")</f>
        <v/>
      </c>
    </row>
    <row r="45">
      <c r="A45" t="inlineStr">
        <is>
          <t>Uso e consumo</t>
        </is>
      </c>
      <c r="B45" t="inlineStr">
        <is>
          <t>R M FARDAMENTOS LTDA</t>
        </is>
      </c>
      <c r="C45" s="28">
        <f>SUMIFS(Base!$N$2:$N$4835,Base!$B$2:$B$4835,$A45,Base!$F$2:$F$4835,$B45,Base!$A$2:$A$4835,C$4)</f>
        <v/>
      </c>
      <c r="D45" s="28">
        <f>SUMIFS(Base!$N$2:$N$4835,Base!$B$2:$B$4835,$A45,Base!$F$2:$F$4835,$B45,Base!$A$2:$A$4835,D$4)</f>
        <v/>
      </c>
      <c r="E45" s="28">
        <f>SUMIFS(Base!$N$2:$N$4835,Base!$B$2:$B$4835,$A45,Base!$F$2:$F$4835,$B45,Base!$A$2:$A$4835,E$4)</f>
        <v/>
      </c>
      <c r="F45" s="28">
        <f>SUMIFS(Base!$N$2:$N$4835,Base!$B$2:$B$4835,$A45,Base!$F$2:$F$4835,$B45,Base!$A$2:$A$4835,F$4)</f>
        <v/>
      </c>
      <c r="G45" s="28">
        <f>SUMIFS(Base!$N$2:$N$4835,Base!$B$2:$B$4835,$A45,Base!$F$2:$F$4835,$B45,Base!$A$2:$A$4835,G$4)</f>
        <v/>
      </c>
      <c r="H45" s="28">
        <f>SUMIFS(Base!$N$2:$N$4835,Base!$B$2:$B$4835,$A45,Base!$F$2:$F$4835,$B45,Base!$A$2:$A$4835,H$4)</f>
        <v/>
      </c>
      <c r="I45" s="28">
        <f>SUMIFS(Base!$N$2:$N$4835,Base!$B$2:$B$4835,$A45,Base!$F$2:$F$4835,$B45,Base!$A$2:$A$4835,I$4)</f>
        <v/>
      </c>
      <c r="J45" s="28">
        <f>SUMIFS(Base!$N$2:$N$4835,Base!$B$2:$B$4835,$A45,Base!$F$2:$F$4835,$B45,Base!$A$2:$A$4835,J$4)</f>
        <v/>
      </c>
      <c r="K45" s="28">
        <f>SUMIFS(Base!$N$2:$N$4835,Base!$B$2:$B$4835,$A45,Base!$F$2:$F$4835,$B45,Base!$A$2:$A$4835,K$4)</f>
        <v/>
      </c>
      <c r="L45" s="28">
        <f>SUM(C45:K45)</f>
        <v/>
      </c>
      <c r="M45" s="26">
        <f>IFERROR(L45/L$123,"")</f>
        <v/>
      </c>
    </row>
    <row r="46">
      <c r="A46" t="inlineStr">
        <is>
          <t>Uso e consumo</t>
        </is>
      </c>
      <c r="B46" t="inlineStr">
        <is>
          <t>PERNAMBUCO DISTRIBUIDORA ATAC EPIS, INS IND e MRO LTDA</t>
        </is>
      </c>
      <c r="C46" s="28">
        <f>SUMIFS(Base!$N$2:$N$4835,Base!$B$2:$B$4835,$A46,Base!$F$2:$F$4835,$B46,Base!$A$2:$A$4835,C$4)</f>
        <v/>
      </c>
      <c r="D46" s="28">
        <f>SUMIFS(Base!$N$2:$N$4835,Base!$B$2:$B$4835,$A46,Base!$F$2:$F$4835,$B46,Base!$A$2:$A$4835,D$4)</f>
        <v/>
      </c>
      <c r="E46" s="28">
        <f>SUMIFS(Base!$N$2:$N$4835,Base!$B$2:$B$4835,$A46,Base!$F$2:$F$4835,$B46,Base!$A$2:$A$4835,E$4)</f>
        <v/>
      </c>
      <c r="F46" s="28">
        <f>SUMIFS(Base!$N$2:$N$4835,Base!$B$2:$B$4835,$A46,Base!$F$2:$F$4835,$B46,Base!$A$2:$A$4835,F$4)</f>
        <v/>
      </c>
      <c r="G46" s="28">
        <f>SUMIFS(Base!$N$2:$N$4835,Base!$B$2:$B$4835,$A46,Base!$F$2:$F$4835,$B46,Base!$A$2:$A$4835,G$4)</f>
        <v/>
      </c>
      <c r="H46" s="28">
        <f>SUMIFS(Base!$N$2:$N$4835,Base!$B$2:$B$4835,$A46,Base!$F$2:$F$4835,$B46,Base!$A$2:$A$4835,H$4)</f>
        <v/>
      </c>
      <c r="I46" s="28">
        <f>SUMIFS(Base!$N$2:$N$4835,Base!$B$2:$B$4835,$A46,Base!$F$2:$F$4835,$B46,Base!$A$2:$A$4835,I$4)</f>
        <v/>
      </c>
      <c r="J46" s="28">
        <f>SUMIFS(Base!$N$2:$N$4835,Base!$B$2:$B$4835,$A46,Base!$F$2:$F$4835,$B46,Base!$A$2:$A$4835,J$4)</f>
        <v/>
      </c>
      <c r="K46" s="28">
        <f>SUMIFS(Base!$N$2:$N$4835,Base!$B$2:$B$4835,$A46,Base!$F$2:$F$4835,$B46,Base!$A$2:$A$4835,K$4)</f>
        <v/>
      </c>
      <c r="L46" s="28">
        <f>SUM(C46:K46)</f>
        <v/>
      </c>
      <c r="M46" s="26">
        <f>IFERROR(L46/L$123,"")</f>
        <v/>
      </c>
    </row>
    <row r="47">
      <c r="A47" t="inlineStr">
        <is>
          <t>Uso e consumo</t>
        </is>
      </c>
      <c r="B47" t="inlineStr">
        <is>
          <t>ELETROPOLO ELETRICIDADE LTDA</t>
        </is>
      </c>
      <c r="C47" s="28">
        <f>SUMIFS(Base!$N$2:$N$4835,Base!$B$2:$B$4835,$A47,Base!$F$2:$F$4835,$B47,Base!$A$2:$A$4835,C$4)</f>
        <v/>
      </c>
      <c r="D47" s="28">
        <f>SUMIFS(Base!$N$2:$N$4835,Base!$B$2:$B$4835,$A47,Base!$F$2:$F$4835,$B47,Base!$A$2:$A$4835,D$4)</f>
        <v/>
      </c>
      <c r="E47" s="28">
        <f>SUMIFS(Base!$N$2:$N$4835,Base!$B$2:$B$4835,$A47,Base!$F$2:$F$4835,$B47,Base!$A$2:$A$4835,E$4)</f>
        <v/>
      </c>
      <c r="F47" s="28">
        <f>SUMIFS(Base!$N$2:$N$4835,Base!$B$2:$B$4835,$A47,Base!$F$2:$F$4835,$B47,Base!$A$2:$A$4835,F$4)</f>
        <v/>
      </c>
      <c r="G47" s="28">
        <f>SUMIFS(Base!$N$2:$N$4835,Base!$B$2:$B$4835,$A47,Base!$F$2:$F$4835,$B47,Base!$A$2:$A$4835,G$4)</f>
        <v/>
      </c>
      <c r="H47" s="28">
        <f>SUMIFS(Base!$N$2:$N$4835,Base!$B$2:$B$4835,$A47,Base!$F$2:$F$4835,$B47,Base!$A$2:$A$4835,H$4)</f>
        <v/>
      </c>
      <c r="I47" s="28">
        <f>SUMIFS(Base!$N$2:$N$4835,Base!$B$2:$B$4835,$A47,Base!$F$2:$F$4835,$B47,Base!$A$2:$A$4835,I$4)</f>
        <v/>
      </c>
      <c r="J47" s="28">
        <f>SUMIFS(Base!$N$2:$N$4835,Base!$B$2:$B$4835,$A47,Base!$F$2:$F$4835,$B47,Base!$A$2:$A$4835,J$4)</f>
        <v/>
      </c>
      <c r="K47" s="28">
        <f>SUMIFS(Base!$N$2:$N$4835,Base!$B$2:$B$4835,$A47,Base!$F$2:$F$4835,$B47,Base!$A$2:$A$4835,K$4)</f>
        <v/>
      </c>
      <c r="L47" s="28">
        <f>SUM(C47:K47)</f>
        <v/>
      </c>
      <c r="M47" s="26">
        <f>IFERROR(L47/L$123,"")</f>
        <v/>
      </c>
    </row>
    <row r="48">
      <c r="A48" t="inlineStr">
        <is>
          <t>Uso e consumo</t>
        </is>
      </c>
      <c r="B48" t="inlineStr">
        <is>
          <t>FERGE COMERCIO DE PRODUTOS INDUSTRIAIS LTDA</t>
        </is>
      </c>
      <c r="C48" s="28">
        <f>SUMIFS(Base!$N$2:$N$4835,Base!$B$2:$B$4835,$A48,Base!$F$2:$F$4835,$B48,Base!$A$2:$A$4835,C$4)</f>
        <v/>
      </c>
      <c r="D48" s="28">
        <f>SUMIFS(Base!$N$2:$N$4835,Base!$B$2:$B$4835,$A48,Base!$F$2:$F$4835,$B48,Base!$A$2:$A$4835,D$4)</f>
        <v/>
      </c>
      <c r="E48" s="28">
        <f>SUMIFS(Base!$N$2:$N$4835,Base!$B$2:$B$4835,$A48,Base!$F$2:$F$4835,$B48,Base!$A$2:$A$4835,E$4)</f>
        <v/>
      </c>
      <c r="F48" s="28">
        <f>SUMIFS(Base!$N$2:$N$4835,Base!$B$2:$B$4835,$A48,Base!$F$2:$F$4835,$B48,Base!$A$2:$A$4835,F$4)</f>
        <v/>
      </c>
      <c r="G48" s="28">
        <f>SUMIFS(Base!$N$2:$N$4835,Base!$B$2:$B$4835,$A48,Base!$F$2:$F$4835,$B48,Base!$A$2:$A$4835,G$4)</f>
        <v/>
      </c>
      <c r="H48" s="28">
        <f>SUMIFS(Base!$N$2:$N$4835,Base!$B$2:$B$4835,$A48,Base!$F$2:$F$4835,$B48,Base!$A$2:$A$4835,H$4)</f>
        <v/>
      </c>
      <c r="I48" s="28">
        <f>SUMIFS(Base!$N$2:$N$4835,Base!$B$2:$B$4835,$A48,Base!$F$2:$F$4835,$B48,Base!$A$2:$A$4835,I$4)</f>
        <v/>
      </c>
      <c r="J48" s="28">
        <f>SUMIFS(Base!$N$2:$N$4835,Base!$B$2:$B$4835,$A48,Base!$F$2:$F$4835,$B48,Base!$A$2:$A$4835,J$4)</f>
        <v/>
      </c>
      <c r="K48" s="28">
        <f>SUMIFS(Base!$N$2:$N$4835,Base!$B$2:$B$4835,$A48,Base!$F$2:$F$4835,$B48,Base!$A$2:$A$4835,K$4)</f>
        <v/>
      </c>
      <c r="L48" s="28">
        <f>SUM(C48:K48)</f>
        <v/>
      </c>
      <c r="M48" s="26">
        <f>IFERROR(L48/L$123,"")</f>
        <v/>
      </c>
    </row>
    <row r="49">
      <c r="A49" t="inlineStr">
        <is>
          <t>Uso e consumo</t>
        </is>
      </c>
      <c r="B49" t="inlineStr">
        <is>
          <t>GF COMERCIO DE PRODUTOS INDUSTRIAIS LTDA</t>
        </is>
      </c>
      <c r="C49" s="28">
        <f>SUMIFS(Base!$N$2:$N$4835,Base!$B$2:$B$4835,$A49,Base!$F$2:$F$4835,$B49,Base!$A$2:$A$4835,C$4)</f>
        <v/>
      </c>
      <c r="D49" s="28">
        <f>SUMIFS(Base!$N$2:$N$4835,Base!$B$2:$B$4835,$A49,Base!$F$2:$F$4835,$B49,Base!$A$2:$A$4835,D$4)</f>
        <v/>
      </c>
      <c r="E49" s="28">
        <f>SUMIFS(Base!$N$2:$N$4835,Base!$B$2:$B$4835,$A49,Base!$F$2:$F$4835,$B49,Base!$A$2:$A$4835,E$4)</f>
        <v/>
      </c>
      <c r="F49" s="28">
        <f>SUMIFS(Base!$N$2:$N$4835,Base!$B$2:$B$4835,$A49,Base!$F$2:$F$4835,$B49,Base!$A$2:$A$4835,F$4)</f>
        <v/>
      </c>
      <c r="G49" s="28">
        <f>SUMIFS(Base!$N$2:$N$4835,Base!$B$2:$B$4835,$A49,Base!$F$2:$F$4835,$B49,Base!$A$2:$A$4835,G$4)</f>
        <v/>
      </c>
      <c r="H49" s="28">
        <f>SUMIFS(Base!$N$2:$N$4835,Base!$B$2:$B$4835,$A49,Base!$F$2:$F$4835,$B49,Base!$A$2:$A$4835,H$4)</f>
        <v/>
      </c>
      <c r="I49" s="28">
        <f>SUMIFS(Base!$N$2:$N$4835,Base!$B$2:$B$4835,$A49,Base!$F$2:$F$4835,$B49,Base!$A$2:$A$4835,I$4)</f>
        <v/>
      </c>
      <c r="J49" s="28">
        <f>SUMIFS(Base!$N$2:$N$4835,Base!$B$2:$B$4835,$A49,Base!$F$2:$F$4835,$B49,Base!$A$2:$A$4835,J$4)</f>
        <v/>
      </c>
      <c r="K49" s="28">
        <f>SUMIFS(Base!$N$2:$N$4835,Base!$B$2:$B$4835,$A49,Base!$F$2:$F$4835,$B49,Base!$A$2:$A$4835,K$4)</f>
        <v/>
      </c>
      <c r="L49" s="28">
        <f>SUM(C49:K49)</f>
        <v/>
      </c>
      <c r="M49" s="26">
        <f>IFERROR(L49/L$123,"")</f>
        <v/>
      </c>
    </row>
    <row r="50">
      <c r="A50" t="inlineStr">
        <is>
          <t>Uso e consumo</t>
        </is>
      </c>
      <c r="B50" t="inlineStr">
        <is>
          <t>ATACADAO ECONOMICO - COMERCIO DE MATERIAL DE CONSTRUCAO LTDA</t>
        </is>
      </c>
      <c r="C50" s="28">
        <f>SUMIFS(Base!$N$2:$N$4835,Base!$B$2:$B$4835,$A50,Base!$F$2:$F$4835,$B50,Base!$A$2:$A$4835,C$4)</f>
        <v/>
      </c>
      <c r="D50" s="28">
        <f>SUMIFS(Base!$N$2:$N$4835,Base!$B$2:$B$4835,$A50,Base!$F$2:$F$4835,$B50,Base!$A$2:$A$4835,D$4)</f>
        <v/>
      </c>
      <c r="E50" s="28">
        <f>SUMIFS(Base!$N$2:$N$4835,Base!$B$2:$B$4835,$A50,Base!$F$2:$F$4835,$B50,Base!$A$2:$A$4835,E$4)</f>
        <v/>
      </c>
      <c r="F50" s="28">
        <f>SUMIFS(Base!$N$2:$N$4835,Base!$B$2:$B$4835,$A50,Base!$F$2:$F$4835,$B50,Base!$A$2:$A$4835,F$4)</f>
        <v/>
      </c>
      <c r="G50" s="28">
        <f>SUMIFS(Base!$N$2:$N$4835,Base!$B$2:$B$4835,$A50,Base!$F$2:$F$4835,$B50,Base!$A$2:$A$4835,G$4)</f>
        <v/>
      </c>
      <c r="H50" s="28">
        <f>SUMIFS(Base!$N$2:$N$4835,Base!$B$2:$B$4835,$A50,Base!$F$2:$F$4835,$B50,Base!$A$2:$A$4835,H$4)</f>
        <v/>
      </c>
      <c r="I50" s="28">
        <f>SUMIFS(Base!$N$2:$N$4835,Base!$B$2:$B$4835,$A50,Base!$F$2:$F$4835,$B50,Base!$A$2:$A$4835,I$4)</f>
        <v/>
      </c>
      <c r="J50" s="28">
        <f>SUMIFS(Base!$N$2:$N$4835,Base!$B$2:$B$4835,$A50,Base!$F$2:$F$4835,$B50,Base!$A$2:$A$4835,J$4)</f>
        <v/>
      </c>
      <c r="K50" s="28">
        <f>SUMIFS(Base!$N$2:$N$4835,Base!$B$2:$B$4835,$A50,Base!$F$2:$F$4835,$B50,Base!$A$2:$A$4835,K$4)</f>
        <v/>
      </c>
      <c r="L50" s="28">
        <f>SUM(C50:K50)</f>
        <v/>
      </c>
      <c r="M50" s="26">
        <f>IFERROR(L50/L$123,"")</f>
        <v/>
      </c>
    </row>
    <row r="51">
      <c r="A51" t="inlineStr">
        <is>
          <t>Uso e consumo</t>
        </is>
      </c>
      <c r="B51" t="inlineStr">
        <is>
          <t>TECHPRINT FACAS INDUSTRIAIS</t>
        </is>
      </c>
      <c r="C51" s="28">
        <f>SUMIFS(Base!$N$2:$N$4835,Base!$B$2:$B$4835,$A51,Base!$F$2:$F$4835,$B51,Base!$A$2:$A$4835,C$4)</f>
        <v/>
      </c>
      <c r="D51" s="28">
        <f>SUMIFS(Base!$N$2:$N$4835,Base!$B$2:$B$4835,$A51,Base!$F$2:$F$4835,$B51,Base!$A$2:$A$4835,D$4)</f>
        <v/>
      </c>
      <c r="E51" s="28">
        <f>SUMIFS(Base!$N$2:$N$4835,Base!$B$2:$B$4835,$A51,Base!$F$2:$F$4835,$B51,Base!$A$2:$A$4835,E$4)</f>
        <v/>
      </c>
      <c r="F51" s="28">
        <f>SUMIFS(Base!$N$2:$N$4835,Base!$B$2:$B$4835,$A51,Base!$F$2:$F$4835,$B51,Base!$A$2:$A$4835,F$4)</f>
        <v/>
      </c>
      <c r="G51" s="28">
        <f>SUMIFS(Base!$N$2:$N$4835,Base!$B$2:$B$4835,$A51,Base!$F$2:$F$4835,$B51,Base!$A$2:$A$4835,G$4)</f>
        <v/>
      </c>
      <c r="H51" s="28">
        <f>SUMIFS(Base!$N$2:$N$4835,Base!$B$2:$B$4835,$A51,Base!$F$2:$F$4835,$B51,Base!$A$2:$A$4835,H$4)</f>
        <v/>
      </c>
      <c r="I51" s="28">
        <f>SUMIFS(Base!$N$2:$N$4835,Base!$B$2:$B$4835,$A51,Base!$F$2:$F$4835,$B51,Base!$A$2:$A$4835,I$4)</f>
        <v/>
      </c>
      <c r="J51" s="28">
        <f>SUMIFS(Base!$N$2:$N$4835,Base!$B$2:$B$4835,$A51,Base!$F$2:$F$4835,$B51,Base!$A$2:$A$4835,J$4)</f>
        <v/>
      </c>
      <c r="K51" s="28">
        <f>SUMIFS(Base!$N$2:$N$4835,Base!$B$2:$B$4835,$A51,Base!$F$2:$F$4835,$B51,Base!$A$2:$A$4835,K$4)</f>
        <v/>
      </c>
      <c r="L51" s="28">
        <f>SUM(C51:K51)</f>
        <v/>
      </c>
      <c r="M51" s="26">
        <f>IFERROR(L51/L$123,"")</f>
        <v/>
      </c>
    </row>
    <row r="52">
      <c r="A52" t="inlineStr">
        <is>
          <t>Uso e consumo</t>
        </is>
      </c>
      <c r="B52" t="inlineStr">
        <is>
          <t>MARILENE CARVALHO LUCENA DE BRITO - ME</t>
        </is>
      </c>
      <c r="C52" s="28">
        <f>SUMIFS(Base!$N$2:$N$4835,Base!$B$2:$B$4835,$A52,Base!$F$2:$F$4835,$B52,Base!$A$2:$A$4835,C$4)</f>
        <v/>
      </c>
      <c r="D52" s="28">
        <f>SUMIFS(Base!$N$2:$N$4835,Base!$B$2:$B$4835,$A52,Base!$F$2:$F$4835,$B52,Base!$A$2:$A$4835,D$4)</f>
        <v/>
      </c>
      <c r="E52" s="28">
        <f>SUMIFS(Base!$N$2:$N$4835,Base!$B$2:$B$4835,$A52,Base!$F$2:$F$4835,$B52,Base!$A$2:$A$4835,E$4)</f>
        <v/>
      </c>
      <c r="F52" s="28">
        <f>SUMIFS(Base!$N$2:$N$4835,Base!$B$2:$B$4835,$A52,Base!$F$2:$F$4835,$B52,Base!$A$2:$A$4835,F$4)</f>
        <v/>
      </c>
      <c r="G52" s="28">
        <f>SUMIFS(Base!$N$2:$N$4835,Base!$B$2:$B$4835,$A52,Base!$F$2:$F$4835,$B52,Base!$A$2:$A$4835,G$4)</f>
        <v/>
      </c>
      <c r="H52" s="28">
        <f>SUMIFS(Base!$N$2:$N$4835,Base!$B$2:$B$4835,$A52,Base!$F$2:$F$4835,$B52,Base!$A$2:$A$4835,H$4)</f>
        <v/>
      </c>
      <c r="I52" s="28">
        <f>SUMIFS(Base!$N$2:$N$4835,Base!$B$2:$B$4835,$A52,Base!$F$2:$F$4835,$B52,Base!$A$2:$A$4835,I$4)</f>
        <v/>
      </c>
      <c r="J52" s="28">
        <f>SUMIFS(Base!$N$2:$N$4835,Base!$B$2:$B$4835,$A52,Base!$F$2:$F$4835,$B52,Base!$A$2:$A$4835,J$4)</f>
        <v/>
      </c>
      <c r="K52" s="28">
        <f>SUMIFS(Base!$N$2:$N$4835,Base!$B$2:$B$4835,$A52,Base!$F$2:$F$4835,$B52,Base!$A$2:$A$4835,K$4)</f>
        <v/>
      </c>
      <c r="L52" s="28">
        <f>SUM(C52:K52)</f>
        <v/>
      </c>
      <c r="M52" s="26">
        <f>IFERROR(L52/L$123,"")</f>
        <v/>
      </c>
    </row>
    <row r="53">
      <c r="A53" t="inlineStr">
        <is>
          <t>Uso e consumo</t>
        </is>
      </c>
      <c r="B53" t="inlineStr">
        <is>
          <t>EDNA DE ARAUJO PACHECO LTDA</t>
        </is>
      </c>
      <c r="C53" s="28">
        <f>SUMIFS(Base!$N$2:$N$4835,Base!$B$2:$B$4835,$A53,Base!$F$2:$F$4835,$B53,Base!$A$2:$A$4835,C$4)</f>
        <v/>
      </c>
      <c r="D53" s="28">
        <f>SUMIFS(Base!$N$2:$N$4835,Base!$B$2:$B$4835,$A53,Base!$F$2:$F$4835,$B53,Base!$A$2:$A$4835,D$4)</f>
        <v/>
      </c>
      <c r="E53" s="28">
        <f>SUMIFS(Base!$N$2:$N$4835,Base!$B$2:$B$4835,$A53,Base!$F$2:$F$4835,$B53,Base!$A$2:$A$4835,E$4)</f>
        <v/>
      </c>
      <c r="F53" s="28">
        <f>SUMIFS(Base!$N$2:$N$4835,Base!$B$2:$B$4835,$A53,Base!$F$2:$F$4835,$B53,Base!$A$2:$A$4835,F$4)</f>
        <v/>
      </c>
      <c r="G53" s="28">
        <f>SUMIFS(Base!$N$2:$N$4835,Base!$B$2:$B$4835,$A53,Base!$F$2:$F$4835,$B53,Base!$A$2:$A$4835,G$4)</f>
        <v/>
      </c>
      <c r="H53" s="28">
        <f>SUMIFS(Base!$N$2:$N$4835,Base!$B$2:$B$4835,$A53,Base!$F$2:$F$4835,$B53,Base!$A$2:$A$4835,H$4)</f>
        <v/>
      </c>
      <c r="I53" s="28">
        <f>SUMIFS(Base!$N$2:$N$4835,Base!$B$2:$B$4835,$A53,Base!$F$2:$F$4835,$B53,Base!$A$2:$A$4835,I$4)</f>
        <v/>
      </c>
      <c r="J53" s="28">
        <f>SUMIFS(Base!$N$2:$N$4835,Base!$B$2:$B$4835,$A53,Base!$F$2:$F$4835,$B53,Base!$A$2:$A$4835,J$4)</f>
        <v/>
      </c>
      <c r="K53" s="28">
        <f>SUMIFS(Base!$N$2:$N$4835,Base!$B$2:$B$4835,$A53,Base!$F$2:$F$4835,$B53,Base!$A$2:$A$4835,K$4)</f>
        <v/>
      </c>
      <c r="L53" s="28">
        <f>SUM(C53:K53)</f>
        <v/>
      </c>
      <c r="M53" s="26">
        <f>IFERROR(L53/L$123,"")</f>
        <v/>
      </c>
    </row>
    <row r="54">
      <c r="A54" t="inlineStr">
        <is>
          <t>Uso e consumo</t>
        </is>
      </c>
      <c r="B54" t="inlineStr">
        <is>
          <t>GDM INDUSTRIA E COMERCIO DE PLASTICOS LTDA.</t>
        </is>
      </c>
      <c r="C54" s="28">
        <f>SUMIFS(Base!$N$2:$N$4835,Base!$B$2:$B$4835,$A54,Base!$F$2:$F$4835,$B54,Base!$A$2:$A$4835,C$4)</f>
        <v/>
      </c>
      <c r="D54" s="28">
        <f>SUMIFS(Base!$N$2:$N$4835,Base!$B$2:$B$4835,$A54,Base!$F$2:$F$4835,$B54,Base!$A$2:$A$4835,D$4)</f>
        <v/>
      </c>
      <c r="E54" s="28">
        <f>SUMIFS(Base!$N$2:$N$4835,Base!$B$2:$B$4835,$A54,Base!$F$2:$F$4835,$B54,Base!$A$2:$A$4835,E$4)</f>
        <v/>
      </c>
      <c r="F54" s="28">
        <f>SUMIFS(Base!$N$2:$N$4835,Base!$B$2:$B$4835,$A54,Base!$F$2:$F$4835,$B54,Base!$A$2:$A$4835,F$4)</f>
        <v/>
      </c>
      <c r="G54" s="28">
        <f>SUMIFS(Base!$N$2:$N$4835,Base!$B$2:$B$4835,$A54,Base!$F$2:$F$4835,$B54,Base!$A$2:$A$4835,G$4)</f>
        <v/>
      </c>
      <c r="H54" s="28">
        <f>SUMIFS(Base!$N$2:$N$4835,Base!$B$2:$B$4835,$A54,Base!$F$2:$F$4835,$B54,Base!$A$2:$A$4835,H$4)</f>
        <v/>
      </c>
      <c r="I54" s="28">
        <f>SUMIFS(Base!$N$2:$N$4835,Base!$B$2:$B$4835,$A54,Base!$F$2:$F$4835,$B54,Base!$A$2:$A$4835,I$4)</f>
        <v/>
      </c>
      <c r="J54" s="28">
        <f>SUMIFS(Base!$N$2:$N$4835,Base!$B$2:$B$4835,$A54,Base!$F$2:$F$4835,$B54,Base!$A$2:$A$4835,J$4)</f>
        <v/>
      </c>
      <c r="K54" s="28">
        <f>SUMIFS(Base!$N$2:$N$4835,Base!$B$2:$B$4835,$A54,Base!$F$2:$F$4835,$B54,Base!$A$2:$A$4835,K$4)</f>
        <v/>
      </c>
      <c r="L54" s="28">
        <f>SUM(C54:K54)</f>
        <v/>
      </c>
      <c r="M54" s="26">
        <f>IFERROR(L54/L$123,"")</f>
        <v/>
      </c>
    </row>
    <row r="55">
      <c r="A55" t="inlineStr">
        <is>
          <t>Uso e consumo</t>
        </is>
      </c>
      <c r="B55" t="inlineStr">
        <is>
          <t>NH SHOP ECOMERCE LTDA</t>
        </is>
      </c>
      <c r="C55" s="28">
        <f>SUMIFS(Base!$N$2:$N$4835,Base!$B$2:$B$4835,$A55,Base!$F$2:$F$4835,$B55,Base!$A$2:$A$4835,C$4)</f>
        <v/>
      </c>
      <c r="D55" s="28">
        <f>SUMIFS(Base!$N$2:$N$4835,Base!$B$2:$B$4835,$A55,Base!$F$2:$F$4835,$B55,Base!$A$2:$A$4835,D$4)</f>
        <v/>
      </c>
      <c r="E55" s="28">
        <f>SUMIFS(Base!$N$2:$N$4835,Base!$B$2:$B$4835,$A55,Base!$F$2:$F$4835,$B55,Base!$A$2:$A$4835,E$4)</f>
        <v/>
      </c>
      <c r="F55" s="28">
        <f>SUMIFS(Base!$N$2:$N$4835,Base!$B$2:$B$4835,$A55,Base!$F$2:$F$4835,$B55,Base!$A$2:$A$4835,F$4)</f>
        <v/>
      </c>
      <c r="G55" s="28">
        <f>SUMIFS(Base!$N$2:$N$4835,Base!$B$2:$B$4835,$A55,Base!$F$2:$F$4835,$B55,Base!$A$2:$A$4835,G$4)</f>
        <v/>
      </c>
      <c r="H55" s="28">
        <f>SUMIFS(Base!$N$2:$N$4835,Base!$B$2:$B$4835,$A55,Base!$F$2:$F$4835,$B55,Base!$A$2:$A$4835,H$4)</f>
        <v/>
      </c>
      <c r="I55" s="28">
        <f>SUMIFS(Base!$N$2:$N$4835,Base!$B$2:$B$4835,$A55,Base!$F$2:$F$4835,$B55,Base!$A$2:$A$4835,I$4)</f>
        <v/>
      </c>
      <c r="J55" s="28">
        <f>SUMIFS(Base!$N$2:$N$4835,Base!$B$2:$B$4835,$A55,Base!$F$2:$F$4835,$B55,Base!$A$2:$A$4835,J$4)</f>
        <v/>
      </c>
      <c r="K55" s="28">
        <f>SUMIFS(Base!$N$2:$N$4835,Base!$B$2:$B$4835,$A55,Base!$F$2:$F$4835,$B55,Base!$A$2:$A$4835,K$4)</f>
        <v/>
      </c>
      <c r="L55" s="28">
        <f>SUM(C55:K55)</f>
        <v/>
      </c>
      <c r="M55" s="26">
        <f>IFERROR(L55/L$123,"")</f>
        <v/>
      </c>
    </row>
    <row r="56">
      <c r="A56" t="inlineStr">
        <is>
          <t>Uso e consumo</t>
        </is>
      </c>
      <c r="B56" t="inlineStr">
        <is>
          <t>SUPERGASBRAS ENERGIA LTDA</t>
        </is>
      </c>
      <c r="C56" s="28">
        <f>SUMIFS(Base!$N$2:$N$4835,Base!$B$2:$B$4835,$A56,Base!$F$2:$F$4835,$B56,Base!$A$2:$A$4835,C$4)</f>
        <v/>
      </c>
      <c r="D56" s="28">
        <f>SUMIFS(Base!$N$2:$N$4835,Base!$B$2:$B$4835,$A56,Base!$F$2:$F$4835,$B56,Base!$A$2:$A$4835,D$4)</f>
        <v/>
      </c>
      <c r="E56" s="28">
        <f>SUMIFS(Base!$N$2:$N$4835,Base!$B$2:$B$4835,$A56,Base!$F$2:$F$4835,$B56,Base!$A$2:$A$4835,E$4)</f>
        <v/>
      </c>
      <c r="F56" s="28">
        <f>SUMIFS(Base!$N$2:$N$4835,Base!$B$2:$B$4835,$A56,Base!$F$2:$F$4835,$B56,Base!$A$2:$A$4835,F$4)</f>
        <v/>
      </c>
      <c r="G56" s="28">
        <f>SUMIFS(Base!$N$2:$N$4835,Base!$B$2:$B$4835,$A56,Base!$F$2:$F$4835,$B56,Base!$A$2:$A$4835,G$4)</f>
        <v/>
      </c>
      <c r="H56" s="28">
        <f>SUMIFS(Base!$N$2:$N$4835,Base!$B$2:$B$4835,$A56,Base!$F$2:$F$4835,$B56,Base!$A$2:$A$4835,H$4)</f>
        <v/>
      </c>
      <c r="I56" s="28">
        <f>SUMIFS(Base!$N$2:$N$4835,Base!$B$2:$B$4835,$A56,Base!$F$2:$F$4835,$B56,Base!$A$2:$A$4835,I$4)</f>
        <v/>
      </c>
      <c r="J56" s="28">
        <f>SUMIFS(Base!$N$2:$N$4835,Base!$B$2:$B$4835,$A56,Base!$F$2:$F$4835,$B56,Base!$A$2:$A$4835,J$4)</f>
        <v/>
      </c>
      <c r="K56" s="28">
        <f>SUMIFS(Base!$N$2:$N$4835,Base!$B$2:$B$4835,$A56,Base!$F$2:$F$4835,$B56,Base!$A$2:$A$4835,K$4)</f>
        <v/>
      </c>
      <c r="L56" s="28">
        <f>SUM(C56:K56)</f>
        <v/>
      </c>
      <c r="M56" s="26">
        <f>IFERROR(L56/L$123,"")</f>
        <v/>
      </c>
    </row>
    <row r="57">
      <c r="A57" t="inlineStr">
        <is>
          <t>Uso e consumo</t>
        </is>
      </c>
      <c r="B57" t="inlineStr">
        <is>
          <t>MIRANTE IND. E COM. EIRELI - ME</t>
        </is>
      </c>
      <c r="C57" s="28">
        <f>SUMIFS(Base!$N$2:$N$4835,Base!$B$2:$B$4835,$A57,Base!$F$2:$F$4835,$B57,Base!$A$2:$A$4835,C$4)</f>
        <v/>
      </c>
      <c r="D57" s="28">
        <f>SUMIFS(Base!$N$2:$N$4835,Base!$B$2:$B$4835,$A57,Base!$F$2:$F$4835,$B57,Base!$A$2:$A$4835,D$4)</f>
        <v/>
      </c>
      <c r="E57" s="28">
        <f>SUMIFS(Base!$N$2:$N$4835,Base!$B$2:$B$4835,$A57,Base!$F$2:$F$4835,$B57,Base!$A$2:$A$4835,E$4)</f>
        <v/>
      </c>
      <c r="F57" s="28">
        <f>SUMIFS(Base!$N$2:$N$4835,Base!$B$2:$B$4835,$A57,Base!$F$2:$F$4835,$B57,Base!$A$2:$A$4835,F$4)</f>
        <v/>
      </c>
      <c r="G57" s="28">
        <f>SUMIFS(Base!$N$2:$N$4835,Base!$B$2:$B$4835,$A57,Base!$F$2:$F$4835,$B57,Base!$A$2:$A$4835,G$4)</f>
        <v/>
      </c>
      <c r="H57" s="28">
        <f>SUMIFS(Base!$N$2:$N$4835,Base!$B$2:$B$4835,$A57,Base!$F$2:$F$4835,$B57,Base!$A$2:$A$4835,H$4)</f>
        <v/>
      </c>
      <c r="I57" s="28">
        <f>SUMIFS(Base!$N$2:$N$4835,Base!$B$2:$B$4835,$A57,Base!$F$2:$F$4835,$B57,Base!$A$2:$A$4835,I$4)</f>
        <v/>
      </c>
      <c r="J57" s="28">
        <f>SUMIFS(Base!$N$2:$N$4835,Base!$B$2:$B$4835,$A57,Base!$F$2:$F$4835,$B57,Base!$A$2:$A$4835,J$4)</f>
        <v/>
      </c>
      <c r="K57" s="28">
        <f>SUMIFS(Base!$N$2:$N$4835,Base!$B$2:$B$4835,$A57,Base!$F$2:$F$4835,$B57,Base!$A$2:$A$4835,K$4)</f>
        <v/>
      </c>
      <c r="L57" s="28">
        <f>SUM(C57:K57)</f>
        <v/>
      </c>
      <c r="M57" s="26">
        <f>IFERROR(L57/L$123,"")</f>
        <v/>
      </c>
    </row>
    <row r="58">
      <c r="A58" t="inlineStr">
        <is>
          <t>Uso e consumo</t>
        </is>
      </c>
      <c r="B58" t="inlineStr">
        <is>
          <t>EKO BLOCOS FABRICACAO E COMERCIO DE ARTEFATOS DE CIMENTO LTD</t>
        </is>
      </c>
      <c r="C58" s="28">
        <f>SUMIFS(Base!$N$2:$N$4835,Base!$B$2:$B$4835,$A58,Base!$F$2:$F$4835,$B58,Base!$A$2:$A$4835,C$4)</f>
        <v/>
      </c>
      <c r="D58" s="28">
        <f>SUMIFS(Base!$N$2:$N$4835,Base!$B$2:$B$4835,$A58,Base!$F$2:$F$4835,$B58,Base!$A$2:$A$4835,D$4)</f>
        <v/>
      </c>
      <c r="E58" s="28">
        <f>SUMIFS(Base!$N$2:$N$4835,Base!$B$2:$B$4835,$A58,Base!$F$2:$F$4835,$B58,Base!$A$2:$A$4835,E$4)</f>
        <v/>
      </c>
      <c r="F58" s="28">
        <f>SUMIFS(Base!$N$2:$N$4835,Base!$B$2:$B$4835,$A58,Base!$F$2:$F$4835,$B58,Base!$A$2:$A$4835,F$4)</f>
        <v/>
      </c>
      <c r="G58" s="28">
        <f>SUMIFS(Base!$N$2:$N$4835,Base!$B$2:$B$4835,$A58,Base!$F$2:$F$4835,$B58,Base!$A$2:$A$4835,G$4)</f>
        <v/>
      </c>
      <c r="H58" s="28">
        <f>SUMIFS(Base!$N$2:$N$4835,Base!$B$2:$B$4835,$A58,Base!$F$2:$F$4835,$B58,Base!$A$2:$A$4835,H$4)</f>
        <v/>
      </c>
      <c r="I58" s="28">
        <f>SUMIFS(Base!$N$2:$N$4835,Base!$B$2:$B$4835,$A58,Base!$F$2:$F$4835,$B58,Base!$A$2:$A$4835,I$4)</f>
        <v/>
      </c>
      <c r="J58" s="28">
        <f>SUMIFS(Base!$N$2:$N$4835,Base!$B$2:$B$4835,$A58,Base!$F$2:$F$4835,$B58,Base!$A$2:$A$4835,J$4)</f>
        <v/>
      </c>
      <c r="K58" s="28">
        <f>SUMIFS(Base!$N$2:$N$4835,Base!$B$2:$B$4835,$A58,Base!$F$2:$F$4835,$B58,Base!$A$2:$A$4835,K$4)</f>
        <v/>
      </c>
      <c r="L58" s="28">
        <f>SUM(C58:K58)</f>
        <v/>
      </c>
      <c r="M58" s="26">
        <f>IFERROR(L58/L$123,"")</f>
        <v/>
      </c>
    </row>
    <row r="59">
      <c r="A59" t="inlineStr">
        <is>
          <t>Uso e consumo</t>
        </is>
      </c>
      <c r="B59" t="inlineStr">
        <is>
          <t>FUSIONX INDUSTRIA E COMERCIO DE SISTEMAS DE AUTOMACAO LTDA</t>
        </is>
      </c>
      <c r="C59" s="28">
        <f>SUMIFS(Base!$N$2:$N$4835,Base!$B$2:$B$4835,$A59,Base!$F$2:$F$4835,$B59,Base!$A$2:$A$4835,C$4)</f>
        <v/>
      </c>
      <c r="D59" s="28">
        <f>SUMIFS(Base!$N$2:$N$4835,Base!$B$2:$B$4835,$A59,Base!$F$2:$F$4835,$B59,Base!$A$2:$A$4835,D$4)</f>
        <v/>
      </c>
      <c r="E59" s="28">
        <f>SUMIFS(Base!$N$2:$N$4835,Base!$B$2:$B$4835,$A59,Base!$F$2:$F$4835,$B59,Base!$A$2:$A$4835,E$4)</f>
        <v/>
      </c>
      <c r="F59" s="28">
        <f>SUMIFS(Base!$N$2:$N$4835,Base!$B$2:$B$4835,$A59,Base!$F$2:$F$4835,$B59,Base!$A$2:$A$4835,F$4)</f>
        <v/>
      </c>
      <c r="G59" s="28">
        <f>SUMIFS(Base!$N$2:$N$4835,Base!$B$2:$B$4835,$A59,Base!$F$2:$F$4835,$B59,Base!$A$2:$A$4835,G$4)</f>
        <v/>
      </c>
      <c r="H59" s="28">
        <f>SUMIFS(Base!$N$2:$N$4835,Base!$B$2:$B$4835,$A59,Base!$F$2:$F$4835,$B59,Base!$A$2:$A$4835,H$4)</f>
        <v/>
      </c>
      <c r="I59" s="28">
        <f>SUMIFS(Base!$N$2:$N$4835,Base!$B$2:$B$4835,$A59,Base!$F$2:$F$4835,$B59,Base!$A$2:$A$4835,I$4)</f>
        <v/>
      </c>
      <c r="J59" s="28">
        <f>SUMIFS(Base!$N$2:$N$4835,Base!$B$2:$B$4835,$A59,Base!$F$2:$F$4835,$B59,Base!$A$2:$A$4835,J$4)</f>
        <v/>
      </c>
      <c r="K59" s="28">
        <f>SUMIFS(Base!$N$2:$N$4835,Base!$B$2:$B$4835,$A59,Base!$F$2:$F$4835,$B59,Base!$A$2:$A$4835,K$4)</f>
        <v/>
      </c>
      <c r="L59" s="28">
        <f>SUM(C59:K59)</f>
        <v/>
      </c>
      <c r="M59" s="26">
        <f>IFERROR(L59/L$123,"")</f>
        <v/>
      </c>
    </row>
    <row r="60">
      <c r="A60" t="inlineStr">
        <is>
          <t>Uso e consumo</t>
        </is>
      </c>
      <c r="B60" t="inlineStr">
        <is>
          <t>TRANSBELT - COMERCIO, IMPORTACAO E EXPORTACAO DE CORREIAS IN</t>
        </is>
      </c>
      <c r="C60" s="28">
        <f>SUMIFS(Base!$N$2:$N$4835,Base!$B$2:$B$4835,$A60,Base!$F$2:$F$4835,$B60,Base!$A$2:$A$4835,C$4)</f>
        <v/>
      </c>
      <c r="D60" s="28">
        <f>SUMIFS(Base!$N$2:$N$4835,Base!$B$2:$B$4835,$A60,Base!$F$2:$F$4835,$B60,Base!$A$2:$A$4835,D$4)</f>
        <v/>
      </c>
      <c r="E60" s="28">
        <f>SUMIFS(Base!$N$2:$N$4835,Base!$B$2:$B$4835,$A60,Base!$F$2:$F$4835,$B60,Base!$A$2:$A$4835,E$4)</f>
        <v/>
      </c>
      <c r="F60" s="28">
        <f>SUMIFS(Base!$N$2:$N$4835,Base!$B$2:$B$4835,$A60,Base!$F$2:$F$4835,$B60,Base!$A$2:$A$4835,F$4)</f>
        <v/>
      </c>
      <c r="G60" s="28">
        <f>SUMIFS(Base!$N$2:$N$4835,Base!$B$2:$B$4835,$A60,Base!$F$2:$F$4835,$B60,Base!$A$2:$A$4835,G$4)</f>
        <v/>
      </c>
      <c r="H60" s="28">
        <f>SUMIFS(Base!$N$2:$N$4835,Base!$B$2:$B$4835,$A60,Base!$F$2:$F$4835,$B60,Base!$A$2:$A$4835,H$4)</f>
        <v/>
      </c>
      <c r="I60" s="28">
        <f>SUMIFS(Base!$N$2:$N$4835,Base!$B$2:$B$4835,$A60,Base!$F$2:$F$4835,$B60,Base!$A$2:$A$4835,I$4)</f>
        <v/>
      </c>
      <c r="J60" s="28">
        <f>SUMIFS(Base!$N$2:$N$4835,Base!$B$2:$B$4835,$A60,Base!$F$2:$F$4835,$B60,Base!$A$2:$A$4835,J$4)</f>
        <v/>
      </c>
      <c r="K60" s="28">
        <f>SUMIFS(Base!$N$2:$N$4835,Base!$B$2:$B$4835,$A60,Base!$F$2:$F$4835,$B60,Base!$A$2:$A$4835,K$4)</f>
        <v/>
      </c>
      <c r="L60" s="28">
        <f>SUM(C60:K60)</f>
        <v/>
      </c>
      <c r="M60" s="26">
        <f>IFERROR(L60/L$123,"")</f>
        <v/>
      </c>
    </row>
    <row r="61">
      <c r="A61" t="inlineStr">
        <is>
          <t>Uso e consumo</t>
        </is>
      </c>
      <c r="B61" t="inlineStr">
        <is>
          <t>POLIMASSA ARGAMASSAS LTDA</t>
        </is>
      </c>
      <c r="C61" s="28">
        <f>SUMIFS(Base!$N$2:$N$4835,Base!$B$2:$B$4835,$A61,Base!$F$2:$F$4835,$B61,Base!$A$2:$A$4835,C$4)</f>
        <v/>
      </c>
      <c r="D61" s="28">
        <f>SUMIFS(Base!$N$2:$N$4835,Base!$B$2:$B$4835,$A61,Base!$F$2:$F$4835,$B61,Base!$A$2:$A$4835,D$4)</f>
        <v/>
      </c>
      <c r="E61" s="28">
        <f>SUMIFS(Base!$N$2:$N$4835,Base!$B$2:$B$4835,$A61,Base!$F$2:$F$4835,$B61,Base!$A$2:$A$4835,E$4)</f>
        <v/>
      </c>
      <c r="F61" s="28">
        <f>SUMIFS(Base!$N$2:$N$4835,Base!$B$2:$B$4835,$A61,Base!$F$2:$F$4835,$B61,Base!$A$2:$A$4835,F$4)</f>
        <v/>
      </c>
      <c r="G61" s="28">
        <f>SUMIFS(Base!$N$2:$N$4835,Base!$B$2:$B$4835,$A61,Base!$F$2:$F$4835,$B61,Base!$A$2:$A$4835,G$4)</f>
        <v/>
      </c>
      <c r="H61" s="28">
        <f>SUMIFS(Base!$N$2:$N$4835,Base!$B$2:$B$4835,$A61,Base!$F$2:$F$4835,$B61,Base!$A$2:$A$4835,H$4)</f>
        <v/>
      </c>
      <c r="I61" s="28">
        <f>SUMIFS(Base!$N$2:$N$4835,Base!$B$2:$B$4835,$A61,Base!$F$2:$F$4835,$B61,Base!$A$2:$A$4835,I$4)</f>
        <v/>
      </c>
      <c r="J61" s="28">
        <f>SUMIFS(Base!$N$2:$N$4835,Base!$B$2:$B$4835,$A61,Base!$F$2:$F$4835,$B61,Base!$A$2:$A$4835,J$4)</f>
        <v/>
      </c>
      <c r="K61" s="28">
        <f>SUMIFS(Base!$N$2:$N$4835,Base!$B$2:$B$4835,$A61,Base!$F$2:$F$4835,$B61,Base!$A$2:$A$4835,K$4)</f>
        <v/>
      </c>
      <c r="L61" s="28">
        <f>SUM(C61:K61)</f>
        <v/>
      </c>
      <c r="M61" s="26">
        <f>IFERROR(L61/L$123,"")</f>
        <v/>
      </c>
    </row>
    <row r="62">
      <c r="A62" t="inlineStr">
        <is>
          <t>Uso e consumo</t>
        </is>
      </c>
      <c r="B62" t="inlineStr">
        <is>
          <t>SEGURA COM DE EQUP. DE PROTECAO LTDA</t>
        </is>
      </c>
      <c r="C62" s="28">
        <f>SUMIFS(Base!$N$2:$N$4835,Base!$B$2:$B$4835,$A62,Base!$F$2:$F$4835,$B62,Base!$A$2:$A$4835,C$4)</f>
        <v/>
      </c>
      <c r="D62" s="28">
        <f>SUMIFS(Base!$N$2:$N$4835,Base!$B$2:$B$4835,$A62,Base!$F$2:$F$4835,$B62,Base!$A$2:$A$4835,D$4)</f>
        <v/>
      </c>
      <c r="E62" s="28">
        <f>SUMIFS(Base!$N$2:$N$4835,Base!$B$2:$B$4835,$A62,Base!$F$2:$F$4835,$B62,Base!$A$2:$A$4835,E$4)</f>
        <v/>
      </c>
      <c r="F62" s="28">
        <f>SUMIFS(Base!$N$2:$N$4835,Base!$B$2:$B$4835,$A62,Base!$F$2:$F$4835,$B62,Base!$A$2:$A$4835,F$4)</f>
        <v/>
      </c>
      <c r="G62" s="28">
        <f>SUMIFS(Base!$N$2:$N$4835,Base!$B$2:$B$4835,$A62,Base!$F$2:$F$4835,$B62,Base!$A$2:$A$4835,G$4)</f>
        <v/>
      </c>
      <c r="H62" s="28">
        <f>SUMIFS(Base!$N$2:$N$4835,Base!$B$2:$B$4835,$A62,Base!$F$2:$F$4835,$B62,Base!$A$2:$A$4835,H$4)</f>
        <v/>
      </c>
      <c r="I62" s="28">
        <f>SUMIFS(Base!$N$2:$N$4835,Base!$B$2:$B$4835,$A62,Base!$F$2:$F$4835,$B62,Base!$A$2:$A$4835,I$4)</f>
        <v/>
      </c>
      <c r="J62" s="28">
        <f>SUMIFS(Base!$N$2:$N$4835,Base!$B$2:$B$4835,$A62,Base!$F$2:$F$4835,$B62,Base!$A$2:$A$4835,J$4)</f>
        <v/>
      </c>
      <c r="K62" s="28">
        <f>SUMIFS(Base!$N$2:$N$4835,Base!$B$2:$B$4835,$A62,Base!$F$2:$F$4835,$B62,Base!$A$2:$A$4835,K$4)</f>
        <v/>
      </c>
      <c r="L62" s="28">
        <f>SUM(C62:K62)</f>
        <v/>
      </c>
      <c r="M62" s="26">
        <f>IFERROR(L62/L$123,"")</f>
        <v/>
      </c>
    </row>
    <row r="63">
      <c r="A63" t="inlineStr">
        <is>
          <t>Uso e consumo</t>
        </is>
      </c>
      <c r="B63" t="inlineStr">
        <is>
          <t>GEISONCLEY MONTEIRO RAMOS DA SILVA</t>
        </is>
      </c>
      <c r="C63" s="28">
        <f>SUMIFS(Base!$N$2:$N$4835,Base!$B$2:$B$4835,$A63,Base!$F$2:$F$4835,$B63,Base!$A$2:$A$4835,C$4)</f>
        <v/>
      </c>
      <c r="D63" s="28">
        <f>SUMIFS(Base!$N$2:$N$4835,Base!$B$2:$B$4835,$A63,Base!$F$2:$F$4835,$B63,Base!$A$2:$A$4835,D$4)</f>
        <v/>
      </c>
      <c r="E63" s="28">
        <f>SUMIFS(Base!$N$2:$N$4835,Base!$B$2:$B$4835,$A63,Base!$F$2:$F$4835,$B63,Base!$A$2:$A$4835,E$4)</f>
        <v/>
      </c>
      <c r="F63" s="28">
        <f>SUMIFS(Base!$N$2:$N$4835,Base!$B$2:$B$4835,$A63,Base!$F$2:$F$4835,$B63,Base!$A$2:$A$4835,F$4)</f>
        <v/>
      </c>
      <c r="G63" s="28">
        <f>SUMIFS(Base!$N$2:$N$4835,Base!$B$2:$B$4835,$A63,Base!$F$2:$F$4835,$B63,Base!$A$2:$A$4835,G$4)</f>
        <v/>
      </c>
      <c r="H63" s="28">
        <f>SUMIFS(Base!$N$2:$N$4835,Base!$B$2:$B$4835,$A63,Base!$F$2:$F$4835,$B63,Base!$A$2:$A$4835,H$4)</f>
        <v/>
      </c>
      <c r="I63" s="28">
        <f>SUMIFS(Base!$N$2:$N$4835,Base!$B$2:$B$4835,$A63,Base!$F$2:$F$4835,$B63,Base!$A$2:$A$4835,I$4)</f>
        <v/>
      </c>
      <c r="J63" s="28">
        <f>SUMIFS(Base!$N$2:$N$4835,Base!$B$2:$B$4835,$A63,Base!$F$2:$F$4835,$B63,Base!$A$2:$A$4835,J$4)</f>
        <v/>
      </c>
      <c r="K63" s="28">
        <f>SUMIFS(Base!$N$2:$N$4835,Base!$B$2:$B$4835,$A63,Base!$F$2:$F$4835,$B63,Base!$A$2:$A$4835,K$4)</f>
        <v/>
      </c>
      <c r="L63" s="28">
        <f>SUM(C63:K63)</f>
        <v/>
      </c>
      <c r="M63" s="26">
        <f>IFERROR(L63/L$123,"")</f>
        <v/>
      </c>
    </row>
    <row r="64">
      <c r="A64" t="inlineStr">
        <is>
          <t>Uso e consumo</t>
        </is>
      </c>
      <c r="B64" t="inlineStr">
        <is>
          <t>BA - LOJAO DA ECONOMICA MATERIAIS DE CONSTRUCAO LTDA - EPP</t>
        </is>
      </c>
      <c r="C64" s="28">
        <f>SUMIFS(Base!$N$2:$N$4835,Base!$B$2:$B$4835,$A64,Base!$F$2:$F$4835,$B64,Base!$A$2:$A$4835,C$4)</f>
        <v/>
      </c>
      <c r="D64" s="28">
        <f>SUMIFS(Base!$N$2:$N$4835,Base!$B$2:$B$4835,$A64,Base!$F$2:$F$4835,$B64,Base!$A$2:$A$4835,D$4)</f>
        <v/>
      </c>
      <c r="E64" s="28">
        <f>SUMIFS(Base!$N$2:$N$4835,Base!$B$2:$B$4835,$A64,Base!$F$2:$F$4835,$B64,Base!$A$2:$A$4835,E$4)</f>
        <v/>
      </c>
      <c r="F64" s="28">
        <f>SUMIFS(Base!$N$2:$N$4835,Base!$B$2:$B$4835,$A64,Base!$F$2:$F$4835,$B64,Base!$A$2:$A$4835,F$4)</f>
        <v/>
      </c>
      <c r="G64" s="28">
        <f>SUMIFS(Base!$N$2:$N$4835,Base!$B$2:$B$4835,$A64,Base!$F$2:$F$4835,$B64,Base!$A$2:$A$4835,G$4)</f>
        <v/>
      </c>
      <c r="H64" s="28">
        <f>SUMIFS(Base!$N$2:$N$4835,Base!$B$2:$B$4835,$A64,Base!$F$2:$F$4835,$B64,Base!$A$2:$A$4835,H$4)</f>
        <v/>
      </c>
      <c r="I64" s="28">
        <f>SUMIFS(Base!$N$2:$N$4835,Base!$B$2:$B$4835,$A64,Base!$F$2:$F$4835,$B64,Base!$A$2:$A$4835,I$4)</f>
        <v/>
      </c>
      <c r="J64" s="28">
        <f>SUMIFS(Base!$N$2:$N$4835,Base!$B$2:$B$4835,$A64,Base!$F$2:$F$4835,$B64,Base!$A$2:$A$4835,J$4)</f>
        <v/>
      </c>
      <c r="K64" s="28">
        <f>SUMIFS(Base!$N$2:$N$4835,Base!$B$2:$B$4835,$A64,Base!$F$2:$F$4835,$B64,Base!$A$2:$A$4835,K$4)</f>
        <v/>
      </c>
      <c r="L64" s="28">
        <f>SUM(C64:K64)</f>
        <v/>
      </c>
      <c r="M64" s="26">
        <f>IFERROR(L64/L$123,"")</f>
        <v/>
      </c>
    </row>
    <row r="65">
      <c r="A65" t="inlineStr">
        <is>
          <t>Uso e consumo</t>
        </is>
      </c>
      <c r="B65" t="inlineStr">
        <is>
          <t>INDUSTRIA E COMERCIO DE BOLAS E CHUTEIRAS CARREIRO LTDA</t>
        </is>
      </c>
      <c r="C65" s="28">
        <f>SUMIFS(Base!$N$2:$N$4835,Base!$B$2:$B$4835,$A65,Base!$F$2:$F$4835,$B65,Base!$A$2:$A$4835,C$4)</f>
        <v/>
      </c>
      <c r="D65" s="28">
        <f>SUMIFS(Base!$N$2:$N$4835,Base!$B$2:$B$4835,$A65,Base!$F$2:$F$4835,$B65,Base!$A$2:$A$4835,D$4)</f>
        <v/>
      </c>
      <c r="E65" s="28">
        <f>SUMIFS(Base!$N$2:$N$4835,Base!$B$2:$B$4835,$A65,Base!$F$2:$F$4835,$B65,Base!$A$2:$A$4835,E$4)</f>
        <v/>
      </c>
      <c r="F65" s="28">
        <f>SUMIFS(Base!$N$2:$N$4835,Base!$B$2:$B$4835,$A65,Base!$F$2:$F$4835,$B65,Base!$A$2:$A$4835,F$4)</f>
        <v/>
      </c>
      <c r="G65" s="28">
        <f>SUMIFS(Base!$N$2:$N$4835,Base!$B$2:$B$4835,$A65,Base!$F$2:$F$4835,$B65,Base!$A$2:$A$4835,G$4)</f>
        <v/>
      </c>
      <c r="H65" s="28">
        <f>SUMIFS(Base!$N$2:$N$4835,Base!$B$2:$B$4835,$A65,Base!$F$2:$F$4835,$B65,Base!$A$2:$A$4835,H$4)</f>
        <v/>
      </c>
      <c r="I65" s="28">
        <f>SUMIFS(Base!$N$2:$N$4835,Base!$B$2:$B$4835,$A65,Base!$F$2:$F$4835,$B65,Base!$A$2:$A$4835,I$4)</f>
        <v/>
      </c>
      <c r="J65" s="28">
        <f>SUMIFS(Base!$N$2:$N$4835,Base!$B$2:$B$4835,$A65,Base!$F$2:$F$4835,$B65,Base!$A$2:$A$4835,J$4)</f>
        <v/>
      </c>
      <c r="K65" s="28">
        <f>SUMIFS(Base!$N$2:$N$4835,Base!$B$2:$B$4835,$A65,Base!$F$2:$F$4835,$B65,Base!$A$2:$A$4835,K$4)</f>
        <v/>
      </c>
      <c r="L65" s="28">
        <f>SUM(C65:K65)</f>
        <v/>
      </c>
      <c r="M65" s="26">
        <f>IFERROR(L65/L$123,"")</f>
        <v/>
      </c>
    </row>
    <row r="66">
      <c r="A66" t="inlineStr">
        <is>
          <t>Uso e consumo</t>
        </is>
      </c>
      <c r="B66" t="inlineStr">
        <is>
          <t>INDUTECH EQUIPAMENTOS E SERVICOS LTDA</t>
        </is>
      </c>
      <c r="C66" s="28">
        <f>SUMIFS(Base!$N$2:$N$4835,Base!$B$2:$B$4835,$A66,Base!$F$2:$F$4835,$B66,Base!$A$2:$A$4835,C$4)</f>
        <v/>
      </c>
      <c r="D66" s="28">
        <f>SUMIFS(Base!$N$2:$N$4835,Base!$B$2:$B$4835,$A66,Base!$F$2:$F$4835,$B66,Base!$A$2:$A$4835,D$4)</f>
        <v/>
      </c>
      <c r="E66" s="28">
        <f>SUMIFS(Base!$N$2:$N$4835,Base!$B$2:$B$4835,$A66,Base!$F$2:$F$4835,$B66,Base!$A$2:$A$4835,E$4)</f>
        <v/>
      </c>
      <c r="F66" s="28">
        <f>SUMIFS(Base!$N$2:$N$4835,Base!$B$2:$B$4835,$A66,Base!$F$2:$F$4835,$B66,Base!$A$2:$A$4835,F$4)</f>
        <v/>
      </c>
      <c r="G66" s="28">
        <f>SUMIFS(Base!$N$2:$N$4835,Base!$B$2:$B$4835,$A66,Base!$F$2:$F$4835,$B66,Base!$A$2:$A$4835,G$4)</f>
        <v/>
      </c>
      <c r="H66" s="28">
        <f>SUMIFS(Base!$N$2:$N$4835,Base!$B$2:$B$4835,$A66,Base!$F$2:$F$4835,$B66,Base!$A$2:$A$4835,H$4)</f>
        <v/>
      </c>
      <c r="I66" s="28">
        <f>SUMIFS(Base!$N$2:$N$4835,Base!$B$2:$B$4835,$A66,Base!$F$2:$F$4835,$B66,Base!$A$2:$A$4835,I$4)</f>
        <v/>
      </c>
      <c r="J66" s="28">
        <f>SUMIFS(Base!$N$2:$N$4835,Base!$B$2:$B$4835,$A66,Base!$F$2:$F$4835,$B66,Base!$A$2:$A$4835,J$4)</f>
        <v/>
      </c>
      <c r="K66" s="28">
        <f>SUMIFS(Base!$N$2:$N$4835,Base!$B$2:$B$4835,$A66,Base!$F$2:$F$4835,$B66,Base!$A$2:$A$4835,K$4)</f>
        <v/>
      </c>
      <c r="L66" s="28">
        <f>SUM(C66:K66)</f>
        <v/>
      </c>
      <c r="M66" s="26">
        <f>IFERROR(L66/L$123,"")</f>
        <v/>
      </c>
    </row>
    <row r="67">
      <c r="A67" t="inlineStr">
        <is>
          <t>Uso e consumo</t>
        </is>
      </c>
      <c r="B67" t="inlineStr">
        <is>
          <t>ODAFLEXO COMERCIO DE PRODUTOS FLEXOGRAFICOS LTDA</t>
        </is>
      </c>
      <c r="C67" s="28">
        <f>SUMIFS(Base!$N$2:$N$4835,Base!$B$2:$B$4835,$A67,Base!$F$2:$F$4835,$B67,Base!$A$2:$A$4835,C$4)</f>
        <v/>
      </c>
      <c r="D67" s="28">
        <f>SUMIFS(Base!$N$2:$N$4835,Base!$B$2:$B$4835,$A67,Base!$F$2:$F$4835,$B67,Base!$A$2:$A$4835,D$4)</f>
        <v/>
      </c>
      <c r="E67" s="28">
        <f>SUMIFS(Base!$N$2:$N$4835,Base!$B$2:$B$4835,$A67,Base!$F$2:$F$4835,$B67,Base!$A$2:$A$4835,E$4)</f>
        <v/>
      </c>
      <c r="F67" s="28">
        <f>SUMIFS(Base!$N$2:$N$4835,Base!$B$2:$B$4835,$A67,Base!$F$2:$F$4835,$B67,Base!$A$2:$A$4835,F$4)</f>
        <v/>
      </c>
      <c r="G67" s="28">
        <f>SUMIFS(Base!$N$2:$N$4835,Base!$B$2:$B$4835,$A67,Base!$F$2:$F$4835,$B67,Base!$A$2:$A$4835,G$4)</f>
        <v/>
      </c>
      <c r="H67" s="28">
        <f>SUMIFS(Base!$N$2:$N$4835,Base!$B$2:$B$4835,$A67,Base!$F$2:$F$4835,$B67,Base!$A$2:$A$4835,H$4)</f>
        <v/>
      </c>
      <c r="I67" s="28">
        <f>SUMIFS(Base!$N$2:$N$4835,Base!$B$2:$B$4835,$A67,Base!$F$2:$F$4835,$B67,Base!$A$2:$A$4835,I$4)</f>
        <v/>
      </c>
      <c r="J67" s="28">
        <f>SUMIFS(Base!$N$2:$N$4835,Base!$B$2:$B$4835,$A67,Base!$F$2:$F$4835,$B67,Base!$A$2:$A$4835,J$4)</f>
        <v/>
      </c>
      <c r="K67" s="28">
        <f>SUMIFS(Base!$N$2:$N$4835,Base!$B$2:$B$4835,$A67,Base!$F$2:$F$4835,$B67,Base!$A$2:$A$4835,K$4)</f>
        <v/>
      </c>
      <c r="L67" s="28">
        <f>SUM(C67:K67)</f>
        <v/>
      </c>
      <c r="M67" s="26">
        <f>IFERROR(L67/L$123,"")</f>
        <v/>
      </c>
    </row>
    <row r="68">
      <c r="A68" t="inlineStr">
        <is>
          <t>Uso e consumo</t>
        </is>
      </c>
      <c r="B68" t="inlineStr">
        <is>
          <t>PRESENTES ESPECIAIS LTDA</t>
        </is>
      </c>
      <c r="C68" s="28">
        <f>SUMIFS(Base!$N$2:$N$4835,Base!$B$2:$B$4835,$A68,Base!$F$2:$F$4835,$B68,Base!$A$2:$A$4835,C$4)</f>
        <v/>
      </c>
      <c r="D68" s="28">
        <f>SUMIFS(Base!$N$2:$N$4835,Base!$B$2:$B$4835,$A68,Base!$F$2:$F$4835,$B68,Base!$A$2:$A$4835,D$4)</f>
        <v/>
      </c>
      <c r="E68" s="28">
        <f>SUMIFS(Base!$N$2:$N$4835,Base!$B$2:$B$4835,$A68,Base!$F$2:$F$4835,$B68,Base!$A$2:$A$4835,E$4)</f>
        <v/>
      </c>
      <c r="F68" s="28">
        <f>SUMIFS(Base!$N$2:$N$4835,Base!$B$2:$B$4835,$A68,Base!$F$2:$F$4835,$B68,Base!$A$2:$A$4835,F$4)</f>
        <v/>
      </c>
      <c r="G68" s="28">
        <f>SUMIFS(Base!$N$2:$N$4835,Base!$B$2:$B$4835,$A68,Base!$F$2:$F$4835,$B68,Base!$A$2:$A$4835,G$4)</f>
        <v/>
      </c>
      <c r="H68" s="28">
        <f>SUMIFS(Base!$N$2:$N$4835,Base!$B$2:$B$4835,$A68,Base!$F$2:$F$4835,$B68,Base!$A$2:$A$4835,H$4)</f>
        <v/>
      </c>
      <c r="I68" s="28">
        <f>SUMIFS(Base!$N$2:$N$4835,Base!$B$2:$B$4835,$A68,Base!$F$2:$F$4835,$B68,Base!$A$2:$A$4835,I$4)</f>
        <v/>
      </c>
      <c r="J68" s="28">
        <f>SUMIFS(Base!$N$2:$N$4835,Base!$B$2:$B$4835,$A68,Base!$F$2:$F$4835,$B68,Base!$A$2:$A$4835,J$4)</f>
        <v/>
      </c>
      <c r="K68" s="28">
        <f>SUMIFS(Base!$N$2:$N$4835,Base!$B$2:$B$4835,$A68,Base!$F$2:$F$4835,$B68,Base!$A$2:$A$4835,K$4)</f>
        <v/>
      </c>
      <c r="L68" s="28">
        <f>SUM(C68:K68)</f>
        <v/>
      </c>
      <c r="M68" s="26">
        <f>IFERROR(L68/L$123,"")</f>
        <v/>
      </c>
    </row>
    <row r="69">
      <c r="A69" t="inlineStr">
        <is>
          <t>Uso e consumo</t>
        </is>
      </c>
      <c r="B69" t="inlineStr">
        <is>
          <t>Beltex Ind. e Com. de Correias Ltda.</t>
        </is>
      </c>
      <c r="C69" s="28">
        <f>SUMIFS(Base!$N$2:$N$4835,Base!$B$2:$B$4835,$A69,Base!$F$2:$F$4835,$B69,Base!$A$2:$A$4835,C$4)</f>
        <v/>
      </c>
      <c r="D69" s="28">
        <f>SUMIFS(Base!$N$2:$N$4835,Base!$B$2:$B$4835,$A69,Base!$F$2:$F$4835,$B69,Base!$A$2:$A$4835,D$4)</f>
        <v/>
      </c>
      <c r="E69" s="28">
        <f>SUMIFS(Base!$N$2:$N$4835,Base!$B$2:$B$4835,$A69,Base!$F$2:$F$4835,$B69,Base!$A$2:$A$4835,E$4)</f>
        <v/>
      </c>
      <c r="F69" s="28">
        <f>SUMIFS(Base!$N$2:$N$4835,Base!$B$2:$B$4835,$A69,Base!$F$2:$F$4835,$B69,Base!$A$2:$A$4835,F$4)</f>
        <v/>
      </c>
      <c r="G69" s="28">
        <f>SUMIFS(Base!$N$2:$N$4835,Base!$B$2:$B$4835,$A69,Base!$F$2:$F$4835,$B69,Base!$A$2:$A$4835,G$4)</f>
        <v/>
      </c>
      <c r="H69" s="28">
        <f>SUMIFS(Base!$N$2:$N$4835,Base!$B$2:$B$4835,$A69,Base!$F$2:$F$4835,$B69,Base!$A$2:$A$4835,H$4)</f>
        <v/>
      </c>
      <c r="I69" s="28">
        <f>SUMIFS(Base!$N$2:$N$4835,Base!$B$2:$B$4835,$A69,Base!$F$2:$F$4835,$B69,Base!$A$2:$A$4835,I$4)</f>
        <v/>
      </c>
      <c r="J69" s="28">
        <f>SUMIFS(Base!$N$2:$N$4835,Base!$B$2:$B$4835,$A69,Base!$F$2:$F$4835,$B69,Base!$A$2:$A$4835,J$4)</f>
        <v/>
      </c>
      <c r="K69" s="28">
        <f>SUMIFS(Base!$N$2:$N$4835,Base!$B$2:$B$4835,$A69,Base!$F$2:$F$4835,$B69,Base!$A$2:$A$4835,K$4)</f>
        <v/>
      </c>
      <c r="L69" s="28">
        <f>SUM(C69:K69)</f>
        <v/>
      </c>
      <c r="M69" s="26">
        <f>IFERROR(L69/L$123,"")</f>
        <v/>
      </c>
    </row>
    <row r="70">
      <c r="A70" t="inlineStr">
        <is>
          <t>Uso e consumo</t>
        </is>
      </c>
      <c r="B70" t="inlineStr">
        <is>
          <t>GUIATEC COMERCIO E SERVICOS LTDA</t>
        </is>
      </c>
      <c r="C70" s="28">
        <f>SUMIFS(Base!$N$2:$N$4835,Base!$B$2:$B$4835,$A70,Base!$F$2:$F$4835,$B70,Base!$A$2:$A$4835,C$4)</f>
        <v/>
      </c>
      <c r="D70" s="28">
        <f>SUMIFS(Base!$N$2:$N$4835,Base!$B$2:$B$4835,$A70,Base!$F$2:$F$4835,$B70,Base!$A$2:$A$4835,D$4)</f>
        <v/>
      </c>
      <c r="E70" s="28">
        <f>SUMIFS(Base!$N$2:$N$4835,Base!$B$2:$B$4835,$A70,Base!$F$2:$F$4835,$B70,Base!$A$2:$A$4835,E$4)</f>
        <v/>
      </c>
      <c r="F70" s="28">
        <f>SUMIFS(Base!$N$2:$N$4835,Base!$B$2:$B$4835,$A70,Base!$F$2:$F$4835,$B70,Base!$A$2:$A$4835,F$4)</f>
        <v/>
      </c>
      <c r="G70" s="28">
        <f>SUMIFS(Base!$N$2:$N$4835,Base!$B$2:$B$4835,$A70,Base!$F$2:$F$4835,$B70,Base!$A$2:$A$4835,G$4)</f>
        <v/>
      </c>
      <c r="H70" s="28">
        <f>SUMIFS(Base!$N$2:$N$4835,Base!$B$2:$B$4835,$A70,Base!$F$2:$F$4835,$B70,Base!$A$2:$A$4835,H$4)</f>
        <v/>
      </c>
      <c r="I70" s="28">
        <f>SUMIFS(Base!$N$2:$N$4835,Base!$B$2:$B$4835,$A70,Base!$F$2:$F$4835,$B70,Base!$A$2:$A$4835,I$4)</f>
        <v/>
      </c>
      <c r="J70" s="28">
        <f>SUMIFS(Base!$N$2:$N$4835,Base!$B$2:$B$4835,$A70,Base!$F$2:$F$4835,$B70,Base!$A$2:$A$4835,J$4)</f>
        <v/>
      </c>
      <c r="K70" s="28">
        <f>SUMIFS(Base!$N$2:$N$4835,Base!$B$2:$B$4835,$A70,Base!$F$2:$F$4835,$B70,Base!$A$2:$A$4835,K$4)</f>
        <v/>
      </c>
      <c r="L70" s="28">
        <f>SUM(C70:K70)</f>
        <v/>
      </c>
      <c r="M70" s="26">
        <f>IFERROR(L70/L$123,"")</f>
        <v/>
      </c>
    </row>
    <row r="71">
      <c r="A71" t="inlineStr">
        <is>
          <t>Uso e consumo</t>
        </is>
      </c>
      <c r="B71" t="inlineStr">
        <is>
          <t>ALUMIFER ALUMINIO E FERRO LTDA.</t>
        </is>
      </c>
      <c r="C71" s="28">
        <f>SUMIFS(Base!$N$2:$N$4835,Base!$B$2:$B$4835,$A71,Base!$F$2:$F$4835,$B71,Base!$A$2:$A$4835,C$4)</f>
        <v/>
      </c>
      <c r="D71" s="28">
        <f>SUMIFS(Base!$N$2:$N$4835,Base!$B$2:$B$4835,$A71,Base!$F$2:$F$4835,$B71,Base!$A$2:$A$4835,D$4)</f>
        <v/>
      </c>
      <c r="E71" s="28">
        <f>SUMIFS(Base!$N$2:$N$4835,Base!$B$2:$B$4835,$A71,Base!$F$2:$F$4835,$B71,Base!$A$2:$A$4835,E$4)</f>
        <v/>
      </c>
      <c r="F71" s="28">
        <f>SUMIFS(Base!$N$2:$N$4835,Base!$B$2:$B$4835,$A71,Base!$F$2:$F$4835,$B71,Base!$A$2:$A$4835,F$4)</f>
        <v/>
      </c>
      <c r="G71" s="28">
        <f>SUMIFS(Base!$N$2:$N$4835,Base!$B$2:$B$4835,$A71,Base!$F$2:$F$4835,$B71,Base!$A$2:$A$4835,G$4)</f>
        <v/>
      </c>
      <c r="H71" s="28">
        <f>SUMIFS(Base!$N$2:$N$4835,Base!$B$2:$B$4835,$A71,Base!$F$2:$F$4835,$B71,Base!$A$2:$A$4835,H$4)</f>
        <v/>
      </c>
      <c r="I71" s="28">
        <f>SUMIFS(Base!$N$2:$N$4835,Base!$B$2:$B$4835,$A71,Base!$F$2:$F$4835,$B71,Base!$A$2:$A$4835,I$4)</f>
        <v/>
      </c>
      <c r="J71" s="28">
        <f>SUMIFS(Base!$N$2:$N$4835,Base!$B$2:$B$4835,$A71,Base!$F$2:$F$4835,$B71,Base!$A$2:$A$4835,J$4)</f>
        <v/>
      </c>
      <c r="K71" s="28">
        <f>SUMIFS(Base!$N$2:$N$4835,Base!$B$2:$B$4835,$A71,Base!$F$2:$F$4835,$B71,Base!$A$2:$A$4835,K$4)</f>
        <v/>
      </c>
      <c r="L71" s="28">
        <f>SUM(C71:K71)</f>
        <v/>
      </c>
      <c r="M71" s="26">
        <f>IFERROR(L71/L$123,"")</f>
        <v/>
      </c>
    </row>
    <row r="72">
      <c r="A72" t="inlineStr">
        <is>
          <t>Uso e consumo</t>
        </is>
      </c>
      <c r="B72" t="inlineStr">
        <is>
          <t>FERMEC FERRAGENS E MECANICA INDUSTRIAL LTDA</t>
        </is>
      </c>
      <c r="C72" s="28">
        <f>SUMIFS(Base!$N$2:$N$4835,Base!$B$2:$B$4835,$A72,Base!$F$2:$F$4835,$B72,Base!$A$2:$A$4835,C$4)</f>
        <v/>
      </c>
      <c r="D72" s="28">
        <f>SUMIFS(Base!$N$2:$N$4835,Base!$B$2:$B$4835,$A72,Base!$F$2:$F$4835,$B72,Base!$A$2:$A$4835,D$4)</f>
        <v/>
      </c>
      <c r="E72" s="28">
        <f>SUMIFS(Base!$N$2:$N$4835,Base!$B$2:$B$4835,$A72,Base!$F$2:$F$4835,$B72,Base!$A$2:$A$4835,E$4)</f>
        <v/>
      </c>
      <c r="F72" s="28">
        <f>SUMIFS(Base!$N$2:$N$4835,Base!$B$2:$B$4835,$A72,Base!$F$2:$F$4835,$B72,Base!$A$2:$A$4835,F$4)</f>
        <v/>
      </c>
      <c r="G72" s="28">
        <f>SUMIFS(Base!$N$2:$N$4835,Base!$B$2:$B$4835,$A72,Base!$F$2:$F$4835,$B72,Base!$A$2:$A$4835,G$4)</f>
        <v/>
      </c>
      <c r="H72" s="28">
        <f>SUMIFS(Base!$N$2:$N$4835,Base!$B$2:$B$4835,$A72,Base!$F$2:$F$4835,$B72,Base!$A$2:$A$4835,H$4)</f>
        <v/>
      </c>
      <c r="I72" s="28">
        <f>SUMIFS(Base!$N$2:$N$4835,Base!$B$2:$B$4835,$A72,Base!$F$2:$F$4835,$B72,Base!$A$2:$A$4835,I$4)</f>
        <v/>
      </c>
      <c r="J72" s="28">
        <f>SUMIFS(Base!$N$2:$N$4835,Base!$B$2:$B$4835,$A72,Base!$F$2:$F$4835,$B72,Base!$A$2:$A$4835,J$4)</f>
        <v/>
      </c>
      <c r="K72" s="28">
        <f>SUMIFS(Base!$N$2:$N$4835,Base!$B$2:$B$4835,$A72,Base!$F$2:$F$4835,$B72,Base!$A$2:$A$4835,K$4)</f>
        <v/>
      </c>
      <c r="L72" s="28">
        <f>SUM(C72:K72)</f>
        <v/>
      </c>
      <c r="M72" s="26">
        <f>IFERROR(L72/L$123,"")</f>
        <v/>
      </c>
    </row>
    <row r="73">
      <c r="A73" t="inlineStr">
        <is>
          <t>Uso e consumo</t>
        </is>
      </c>
      <c r="B73" t="inlineStr">
        <is>
          <t>KLK INDUSTRIA E COMERCIO DE CONFECCOES LTDA</t>
        </is>
      </c>
      <c r="C73" s="28">
        <f>SUMIFS(Base!$N$2:$N$4835,Base!$B$2:$B$4835,$A73,Base!$F$2:$F$4835,$B73,Base!$A$2:$A$4835,C$4)</f>
        <v/>
      </c>
      <c r="D73" s="28">
        <f>SUMIFS(Base!$N$2:$N$4835,Base!$B$2:$B$4835,$A73,Base!$F$2:$F$4835,$B73,Base!$A$2:$A$4835,D$4)</f>
        <v/>
      </c>
      <c r="E73" s="28">
        <f>SUMIFS(Base!$N$2:$N$4835,Base!$B$2:$B$4835,$A73,Base!$F$2:$F$4835,$B73,Base!$A$2:$A$4835,E$4)</f>
        <v/>
      </c>
      <c r="F73" s="28">
        <f>SUMIFS(Base!$N$2:$N$4835,Base!$B$2:$B$4835,$A73,Base!$F$2:$F$4835,$B73,Base!$A$2:$A$4835,F$4)</f>
        <v/>
      </c>
      <c r="G73" s="28">
        <f>SUMIFS(Base!$N$2:$N$4835,Base!$B$2:$B$4835,$A73,Base!$F$2:$F$4835,$B73,Base!$A$2:$A$4835,G$4)</f>
        <v/>
      </c>
      <c r="H73" s="28">
        <f>SUMIFS(Base!$N$2:$N$4835,Base!$B$2:$B$4835,$A73,Base!$F$2:$F$4835,$B73,Base!$A$2:$A$4835,H$4)</f>
        <v/>
      </c>
      <c r="I73" s="28">
        <f>SUMIFS(Base!$N$2:$N$4835,Base!$B$2:$B$4835,$A73,Base!$F$2:$F$4835,$B73,Base!$A$2:$A$4835,I$4)</f>
        <v/>
      </c>
      <c r="J73" s="28">
        <f>SUMIFS(Base!$N$2:$N$4835,Base!$B$2:$B$4835,$A73,Base!$F$2:$F$4835,$B73,Base!$A$2:$A$4835,J$4)</f>
        <v/>
      </c>
      <c r="K73" s="28">
        <f>SUMIFS(Base!$N$2:$N$4835,Base!$B$2:$B$4835,$A73,Base!$F$2:$F$4835,$B73,Base!$A$2:$A$4835,K$4)</f>
        <v/>
      </c>
      <c r="L73" s="28">
        <f>SUM(C73:K73)</f>
        <v/>
      </c>
      <c r="M73" s="26">
        <f>IFERROR(L73/L$123,"")</f>
        <v/>
      </c>
    </row>
    <row r="74">
      <c r="A74" t="inlineStr">
        <is>
          <t>Uso e consumo</t>
        </is>
      </c>
      <c r="B74" t="inlineStr">
        <is>
          <t>COSTA GONDIM e CIA LTDA</t>
        </is>
      </c>
      <c r="C74" s="28">
        <f>SUMIFS(Base!$N$2:$N$4835,Base!$B$2:$B$4835,$A74,Base!$F$2:$F$4835,$B74,Base!$A$2:$A$4835,C$4)</f>
        <v/>
      </c>
      <c r="D74" s="28">
        <f>SUMIFS(Base!$N$2:$N$4835,Base!$B$2:$B$4835,$A74,Base!$F$2:$F$4835,$B74,Base!$A$2:$A$4835,D$4)</f>
        <v/>
      </c>
      <c r="E74" s="28">
        <f>SUMIFS(Base!$N$2:$N$4835,Base!$B$2:$B$4835,$A74,Base!$F$2:$F$4835,$B74,Base!$A$2:$A$4835,E$4)</f>
        <v/>
      </c>
      <c r="F74" s="28">
        <f>SUMIFS(Base!$N$2:$N$4835,Base!$B$2:$B$4835,$A74,Base!$F$2:$F$4835,$B74,Base!$A$2:$A$4835,F$4)</f>
        <v/>
      </c>
      <c r="G74" s="28">
        <f>SUMIFS(Base!$N$2:$N$4835,Base!$B$2:$B$4835,$A74,Base!$F$2:$F$4835,$B74,Base!$A$2:$A$4835,G$4)</f>
        <v/>
      </c>
      <c r="H74" s="28">
        <f>SUMIFS(Base!$N$2:$N$4835,Base!$B$2:$B$4835,$A74,Base!$F$2:$F$4835,$B74,Base!$A$2:$A$4835,H$4)</f>
        <v/>
      </c>
      <c r="I74" s="28">
        <f>SUMIFS(Base!$N$2:$N$4835,Base!$B$2:$B$4835,$A74,Base!$F$2:$F$4835,$B74,Base!$A$2:$A$4835,I$4)</f>
        <v/>
      </c>
      <c r="J74" s="28">
        <f>SUMIFS(Base!$N$2:$N$4835,Base!$B$2:$B$4835,$A74,Base!$F$2:$F$4835,$B74,Base!$A$2:$A$4835,J$4)</f>
        <v/>
      </c>
      <c r="K74" s="28">
        <f>SUMIFS(Base!$N$2:$N$4835,Base!$B$2:$B$4835,$A74,Base!$F$2:$F$4835,$B74,Base!$A$2:$A$4835,K$4)</f>
        <v/>
      </c>
      <c r="L74" s="28">
        <f>SUM(C74:K74)</f>
        <v/>
      </c>
      <c r="M74" s="26">
        <f>IFERROR(L74/L$123,"")</f>
        <v/>
      </c>
    </row>
    <row r="75">
      <c r="A75" t="inlineStr">
        <is>
          <t>Uso e consumo</t>
        </is>
      </c>
      <c r="B75" t="inlineStr">
        <is>
          <t>L M ARAUJO</t>
        </is>
      </c>
      <c r="C75" s="28">
        <f>SUMIFS(Base!$N$2:$N$4835,Base!$B$2:$B$4835,$A75,Base!$F$2:$F$4835,$B75,Base!$A$2:$A$4835,C$4)</f>
        <v/>
      </c>
      <c r="D75" s="28">
        <f>SUMIFS(Base!$N$2:$N$4835,Base!$B$2:$B$4835,$A75,Base!$F$2:$F$4835,$B75,Base!$A$2:$A$4835,D$4)</f>
        <v/>
      </c>
      <c r="E75" s="28">
        <f>SUMIFS(Base!$N$2:$N$4835,Base!$B$2:$B$4835,$A75,Base!$F$2:$F$4835,$B75,Base!$A$2:$A$4835,E$4)</f>
        <v/>
      </c>
      <c r="F75" s="28">
        <f>SUMIFS(Base!$N$2:$N$4835,Base!$B$2:$B$4835,$A75,Base!$F$2:$F$4835,$B75,Base!$A$2:$A$4835,F$4)</f>
        <v/>
      </c>
      <c r="G75" s="28">
        <f>SUMIFS(Base!$N$2:$N$4835,Base!$B$2:$B$4835,$A75,Base!$F$2:$F$4835,$B75,Base!$A$2:$A$4835,G$4)</f>
        <v/>
      </c>
      <c r="H75" s="28">
        <f>SUMIFS(Base!$N$2:$N$4835,Base!$B$2:$B$4835,$A75,Base!$F$2:$F$4835,$B75,Base!$A$2:$A$4835,H$4)</f>
        <v/>
      </c>
      <c r="I75" s="28">
        <f>SUMIFS(Base!$N$2:$N$4835,Base!$B$2:$B$4835,$A75,Base!$F$2:$F$4835,$B75,Base!$A$2:$A$4835,I$4)</f>
        <v/>
      </c>
      <c r="J75" s="28">
        <f>SUMIFS(Base!$N$2:$N$4835,Base!$B$2:$B$4835,$A75,Base!$F$2:$F$4835,$B75,Base!$A$2:$A$4835,J$4)</f>
        <v/>
      </c>
      <c r="K75" s="28">
        <f>SUMIFS(Base!$N$2:$N$4835,Base!$B$2:$B$4835,$A75,Base!$F$2:$F$4835,$B75,Base!$A$2:$A$4835,K$4)</f>
        <v/>
      </c>
      <c r="L75" s="28">
        <f>SUM(C75:K75)</f>
        <v/>
      </c>
      <c r="M75" s="26">
        <f>IFERROR(L75/L$123,"")</f>
        <v/>
      </c>
    </row>
    <row r="76">
      <c r="A76" t="inlineStr">
        <is>
          <t>Uso e consumo</t>
        </is>
      </c>
      <c r="B76" t="inlineStr">
        <is>
          <t>BLEED S IND. E COM. DE PRODUTOS QUIMICOS E LUBRIF. LTDA</t>
        </is>
      </c>
      <c r="C76" s="28">
        <f>SUMIFS(Base!$N$2:$N$4835,Base!$B$2:$B$4835,$A76,Base!$F$2:$F$4835,$B76,Base!$A$2:$A$4835,C$4)</f>
        <v/>
      </c>
      <c r="D76" s="28">
        <f>SUMIFS(Base!$N$2:$N$4835,Base!$B$2:$B$4835,$A76,Base!$F$2:$F$4835,$B76,Base!$A$2:$A$4835,D$4)</f>
        <v/>
      </c>
      <c r="E76" s="28">
        <f>SUMIFS(Base!$N$2:$N$4835,Base!$B$2:$B$4835,$A76,Base!$F$2:$F$4835,$B76,Base!$A$2:$A$4835,E$4)</f>
        <v/>
      </c>
      <c r="F76" s="28">
        <f>SUMIFS(Base!$N$2:$N$4835,Base!$B$2:$B$4835,$A76,Base!$F$2:$F$4835,$B76,Base!$A$2:$A$4835,F$4)</f>
        <v/>
      </c>
      <c r="G76" s="28">
        <f>SUMIFS(Base!$N$2:$N$4835,Base!$B$2:$B$4835,$A76,Base!$F$2:$F$4835,$B76,Base!$A$2:$A$4835,G$4)</f>
        <v/>
      </c>
      <c r="H76" s="28">
        <f>SUMIFS(Base!$N$2:$N$4835,Base!$B$2:$B$4835,$A76,Base!$F$2:$F$4835,$B76,Base!$A$2:$A$4835,H$4)</f>
        <v/>
      </c>
      <c r="I76" s="28">
        <f>SUMIFS(Base!$N$2:$N$4835,Base!$B$2:$B$4835,$A76,Base!$F$2:$F$4835,$B76,Base!$A$2:$A$4835,I$4)</f>
        <v/>
      </c>
      <c r="J76" s="28">
        <f>SUMIFS(Base!$N$2:$N$4835,Base!$B$2:$B$4835,$A76,Base!$F$2:$F$4835,$B76,Base!$A$2:$A$4835,J$4)</f>
        <v/>
      </c>
      <c r="K76" s="28">
        <f>SUMIFS(Base!$N$2:$N$4835,Base!$B$2:$B$4835,$A76,Base!$F$2:$F$4835,$B76,Base!$A$2:$A$4835,K$4)</f>
        <v/>
      </c>
      <c r="L76" s="28">
        <f>SUM(C76:K76)</f>
        <v/>
      </c>
      <c r="M76" s="26">
        <f>IFERROR(L76/L$123,"")</f>
        <v/>
      </c>
    </row>
    <row r="77">
      <c r="A77" t="inlineStr">
        <is>
          <t>Uso e consumo</t>
        </is>
      </c>
      <c r="B77" t="inlineStr">
        <is>
          <t>DANIELLE CRISTINA GOMES ANTONACCI - TOKA BRASIL</t>
        </is>
      </c>
      <c r="C77" s="28">
        <f>SUMIFS(Base!$N$2:$N$4835,Base!$B$2:$B$4835,$A77,Base!$F$2:$F$4835,$B77,Base!$A$2:$A$4835,C$4)</f>
        <v/>
      </c>
      <c r="D77" s="28">
        <f>SUMIFS(Base!$N$2:$N$4835,Base!$B$2:$B$4835,$A77,Base!$F$2:$F$4835,$B77,Base!$A$2:$A$4835,D$4)</f>
        <v/>
      </c>
      <c r="E77" s="28">
        <f>SUMIFS(Base!$N$2:$N$4835,Base!$B$2:$B$4835,$A77,Base!$F$2:$F$4835,$B77,Base!$A$2:$A$4835,E$4)</f>
        <v/>
      </c>
      <c r="F77" s="28">
        <f>SUMIFS(Base!$N$2:$N$4835,Base!$B$2:$B$4835,$A77,Base!$F$2:$F$4835,$B77,Base!$A$2:$A$4835,F$4)</f>
        <v/>
      </c>
      <c r="G77" s="28">
        <f>SUMIFS(Base!$N$2:$N$4835,Base!$B$2:$B$4835,$A77,Base!$F$2:$F$4835,$B77,Base!$A$2:$A$4835,G$4)</f>
        <v/>
      </c>
      <c r="H77" s="28">
        <f>SUMIFS(Base!$N$2:$N$4835,Base!$B$2:$B$4835,$A77,Base!$F$2:$F$4835,$B77,Base!$A$2:$A$4835,H$4)</f>
        <v/>
      </c>
      <c r="I77" s="28">
        <f>SUMIFS(Base!$N$2:$N$4835,Base!$B$2:$B$4835,$A77,Base!$F$2:$F$4835,$B77,Base!$A$2:$A$4835,I$4)</f>
        <v/>
      </c>
      <c r="J77" s="28">
        <f>SUMIFS(Base!$N$2:$N$4835,Base!$B$2:$B$4835,$A77,Base!$F$2:$F$4835,$B77,Base!$A$2:$A$4835,J$4)</f>
        <v/>
      </c>
      <c r="K77" s="28">
        <f>SUMIFS(Base!$N$2:$N$4835,Base!$B$2:$B$4835,$A77,Base!$F$2:$F$4835,$B77,Base!$A$2:$A$4835,K$4)</f>
        <v/>
      </c>
      <c r="L77" s="28">
        <f>SUM(C77:K77)</f>
        <v/>
      </c>
      <c r="M77" s="26">
        <f>IFERROR(L77/L$123,"")</f>
        <v/>
      </c>
    </row>
    <row r="78">
      <c r="A78" t="inlineStr">
        <is>
          <t>Uso e consumo</t>
        </is>
      </c>
      <c r="B78" t="inlineStr">
        <is>
          <t>SHARING COMERCIO E SERVICOS LTDA</t>
        </is>
      </c>
      <c r="C78" s="28">
        <f>SUMIFS(Base!$N$2:$N$4835,Base!$B$2:$B$4835,$A78,Base!$F$2:$F$4835,$B78,Base!$A$2:$A$4835,C$4)</f>
        <v/>
      </c>
      <c r="D78" s="28">
        <f>SUMIFS(Base!$N$2:$N$4835,Base!$B$2:$B$4835,$A78,Base!$F$2:$F$4835,$B78,Base!$A$2:$A$4835,D$4)</f>
        <v/>
      </c>
      <c r="E78" s="28">
        <f>SUMIFS(Base!$N$2:$N$4835,Base!$B$2:$B$4835,$A78,Base!$F$2:$F$4835,$B78,Base!$A$2:$A$4835,E$4)</f>
        <v/>
      </c>
      <c r="F78" s="28">
        <f>SUMIFS(Base!$N$2:$N$4835,Base!$B$2:$B$4835,$A78,Base!$F$2:$F$4835,$B78,Base!$A$2:$A$4835,F$4)</f>
        <v/>
      </c>
      <c r="G78" s="28">
        <f>SUMIFS(Base!$N$2:$N$4835,Base!$B$2:$B$4835,$A78,Base!$F$2:$F$4835,$B78,Base!$A$2:$A$4835,G$4)</f>
        <v/>
      </c>
      <c r="H78" s="28">
        <f>SUMIFS(Base!$N$2:$N$4835,Base!$B$2:$B$4835,$A78,Base!$F$2:$F$4835,$B78,Base!$A$2:$A$4835,H$4)</f>
        <v/>
      </c>
      <c r="I78" s="28">
        <f>SUMIFS(Base!$N$2:$N$4835,Base!$B$2:$B$4835,$A78,Base!$F$2:$F$4835,$B78,Base!$A$2:$A$4835,I$4)</f>
        <v/>
      </c>
      <c r="J78" s="28">
        <f>SUMIFS(Base!$N$2:$N$4835,Base!$B$2:$B$4835,$A78,Base!$F$2:$F$4835,$B78,Base!$A$2:$A$4835,J$4)</f>
        <v/>
      </c>
      <c r="K78" s="28">
        <f>SUMIFS(Base!$N$2:$N$4835,Base!$B$2:$B$4835,$A78,Base!$F$2:$F$4835,$B78,Base!$A$2:$A$4835,K$4)</f>
        <v/>
      </c>
      <c r="L78" s="28">
        <f>SUM(C78:K78)</f>
        <v/>
      </c>
      <c r="M78" s="26">
        <f>IFERROR(L78/L$123,"")</f>
        <v/>
      </c>
    </row>
    <row r="79">
      <c r="A79" t="inlineStr">
        <is>
          <t>Uso e consumo</t>
        </is>
      </c>
      <c r="B79" t="inlineStr">
        <is>
          <t>MUNDO DAS TINTAS LTDA</t>
        </is>
      </c>
      <c r="C79" s="28">
        <f>SUMIFS(Base!$N$2:$N$4835,Base!$B$2:$B$4835,$A79,Base!$F$2:$F$4835,$B79,Base!$A$2:$A$4835,C$4)</f>
        <v/>
      </c>
      <c r="D79" s="28">
        <f>SUMIFS(Base!$N$2:$N$4835,Base!$B$2:$B$4835,$A79,Base!$F$2:$F$4835,$B79,Base!$A$2:$A$4835,D$4)</f>
        <v/>
      </c>
      <c r="E79" s="28">
        <f>SUMIFS(Base!$N$2:$N$4835,Base!$B$2:$B$4835,$A79,Base!$F$2:$F$4835,$B79,Base!$A$2:$A$4835,E$4)</f>
        <v/>
      </c>
      <c r="F79" s="28">
        <f>SUMIFS(Base!$N$2:$N$4835,Base!$B$2:$B$4835,$A79,Base!$F$2:$F$4835,$B79,Base!$A$2:$A$4835,F$4)</f>
        <v/>
      </c>
      <c r="G79" s="28">
        <f>SUMIFS(Base!$N$2:$N$4835,Base!$B$2:$B$4835,$A79,Base!$F$2:$F$4835,$B79,Base!$A$2:$A$4835,G$4)</f>
        <v/>
      </c>
      <c r="H79" s="28">
        <f>SUMIFS(Base!$N$2:$N$4835,Base!$B$2:$B$4835,$A79,Base!$F$2:$F$4835,$B79,Base!$A$2:$A$4835,H$4)</f>
        <v/>
      </c>
      <c r="I79" s="28">
        <f>SUMIFS(Base!$N$2:$N$4835,Base!$B$2:$B$4835,$A79,Base!$F$2:$F$4835,$B79,Base!$A$2:$A$4835,I$4)</f>
        <v/>
      </c>
      <c r="J79" s="28">
        <f>SUMIFS(Base!$N$2:$N$4835,Base!$B$2:$B$4835,$A79,Base!$F$2:$F$4835,$B79,Base!$A$2:$A$4835,J$4)</f>
        <v/>
      </c>
      <c r="K79" s="28">
        <f>SUMIFS(Base!$N$2:$N$4835,Base!$B$2:$B$4835,$A79,Base!$F$2:$F$4835,$B79,Base!$A$2:$A$4835,K$4)</f>
        <v/>
      </c>
      <c r="L79" s="28">
        <f>SUM(C79:K79)</f>
        <v/>
      </c>
      <c r="M79" s="26">
        <f>IFERROR(L79/L$123,"")</f>
        <v/>
      </c>
    </row>
    <row r="80">
      <c r="A80" t="inlineStr">
        <is>
          <t>Uso e consumo</t>
        </is>
      </c>
      <c r="B80" t="inlineStr">
        <is>
          <t>KADISA INDUSTRIA E COMERCIO LTDA - ME (FILIAL PB)</t>
        </is>
      </c>
      <c r="C80" s="28">
        <f>SUMIFS(Base!$N$2:$N$4835,Base!$B$2:$B$4835,$A80,Base!$F$2:$F$4835,$B80,Base!$A$2:$A$4835,C$4)</f>
        <v/>
      </c>
      <c r="D80" s="28">
        <f>SUMIFS(Base!$N$2:$N$4835,Base!$B$2:$B$4835,$A80,Base!$F$2:$F$4835,$B80,Base!$A$2:$A$4835,D$4)</f>
        <v/>
      </c>
      <c r="E80" s="28">
        <f>SUMIFS(Base!$N$2:$N$4835,Base!$B$2:$B$4835,$A80,Base!$F$2:$F$4835,$B80,Base!$A$2:$A$4835,E$4)</f>
        <v/>
      </c>
      <c r="F80" s="28">
        <f>SUMIFS(Base!$N$2:$N$4835,Base!$B$2:$B$4835,$A80,Base!$F$2:$F$4835,$B80,Base!$A$2:$A$4835,F$4)</f>
        <v/>
      </c>
      <c r="G80" s="28">
        <f>SUMIFS(Base!$N$2:$N$4835,Base!$B$2:$B$4835,$A80,Base!$F$2:$F$4835,$B80,Base!$A$2:$A$4835,G$4)</f>
        <v/>
      </c>
      <c r="H80" s="28">
        <f>SUMIFS(Base!$N$2:$N$4835,Base!$B$2:$B$4835,$A80,Base!$F$2:$F$4835,$B80,Base!$A$2:$A$4835,H$4)</f>
        <v/>
      </c>
      <c r="I80" s="28">
        <f>SUMIFS(Base!$N$2:$N$4835,Base!$B$2:$B$4835,$A80,Base!$F$2:$F$4835,$B80,Base!$A$2:$A$4835,I$4)</f>
        <v/>
      </c>
      <c r="J80" s="28">
        <f>SUMIFS(Base!$N$2:$N$4835,Base!$B$2:$B$4835,$A80,Base!$F$2:$F$4835,$B80,Base!$A$2:$A$4835,J$4)</f>
        <v/>
      </c>
      <c r="K80" s="28">
        <f>SUMIFS(Base!$N$2:$N$4835,Base!$B$2:$B$4835,$A80,Base!$F$2:$F$4835,$B80,Base!$A$2:$A$4835,K$4)</f>
        <v/>
      </c>
      <c r="L80" s="28">
        <f>SUM(C80:K80)</f>
        <v/>
      </c>
      <c r="M80" s="26">
        <f>IFERROR(L80/L$123,"")</f>
        <v/>
      </c>
    </row>
    <row r="81">
      <c r="A81" t="inlineStr">
        <is>
          <t>Uso e consumo</t>
        </is>
      </c>
      <c r="B81" t="inlineStr">
        <is>
          <t>SHOP DA ELETRICA COMERCIO ELETRONICO LTDA</t>
        </is>
      </c>
      <c r="C81" s="28">
        <f>SUMIFS(Base!$N$2:$N$4835,Base!$B$2:$B$4835,$A81,Base!$F$2:$F$4835,$B81,Base!$A$2:$A$4835,C$4)</f>
        <v/>
      </c>
      <c r="D81" s="28">
        <f>SUMIFS(Base!$N$2:$N$4835,Base!$B$2:$B$4835,$A81,Base!$F$2:$F$4835,$B81,Base!$A$2:$A$4835,D$4)</f>
        <v/>
      </c>
      <c r="E81" s="28">
        <f>SUMIFS(Base!$N$2:$N$4835,Base!$B$2:$B$4835,$A81,Base!$F$2:$F$4835,$B81,Base!$A$2:$A$4835,E$4)</f>
        <v/>
      </c>
      <c r="F81" s="28">
        <f>SUMIFS(Base!$N$2:$N$4835,Base!$B$2:$B$4835,$A81,Base!$F$2:$F$4835,$B81,Base!$A$2:$A$4835,F$4)</f>
        <v/>
      </c>
      <c r="G81" s="28">
        <f>SUMIFS(Base!$N$2:$N$4835,Base!$B$2:$B$4835,$A81,Base!$F$2:$F$4835,$B81,Base!$A$2:$A$4835,G$4)</f>
        <v/>
      </c>
      <c r="H81" s="28">
        <f>SUMIFS(Base!$N$2:$N$4835,Base!$B$2:$B$4835,$A81,Base!$F$2:$F$4835,$B81,Base!$A$2:$A$4835,H$4)</f>
        <v/>
      </c>
      <c r="I81" s="28">
        <f>SUMIFS(Base!$N$2:$N$4835,Base!$B$2:$B$4835,$A81,Base!$F$2:$F$4835,$B81,Base!$A$2:$A$4835,I$4)</f>
        <v/>
      </c>
      <c r="J81" s="28">
        <f>SUMIFS(Base!$N$2:$N$4835,Base!$B$2:$B$4835,$A81,Base!$F$2:$F$4835,$B81,Base!$A$2:$A$4835,J$4)</f>
        <v/>
      </c>
      <c r="K81" s="28">
        <f>SUMIFS(Base!$N$2:$N$4835,Base!$B$2:$B$4835,$A81,Base!$F$2:$F$4835,$B81,Base!$A$2:$A$4835,K$4)</f>
        <v/>
      </c>
      <c r="L81" s="28">
        <f>SUM(C81:K81)</f>
        <v/>
      </c>
      <c r="M81" s="26">
        <f>IFERROR(L81/L$123,"")</f>
        <v/>
      </c>
    </row>
    <row r="82">
      <c r="A82" t="inlineStr">
        <is>
          <t>Uso e consumo</t>
        </is>
      </c>
      <c r="B82" t="inlineStr">
        <is>
          <t>G5 Comercio de Madeiras Ltda ME</t>
        </is>
      </c>
      <c r="C82" s="28">
        <f>SUMIFS(Base!$N$2:$N$4835,Base!$B$2:$B$4835,$A82,Base!$F$2:$F$4835,$B82,Base!$A$2:$A$4835,C$4)</f>
        <v/>
      </c>
      <c r="D82" s="28">
        <f>SUMIFS(Base!$N$2:$N$4835,Base!$B$2:$B$4835,$A82,Base!$F$2:$F$4835,$B82,Base!$A$2:$A$4835,D$4)</f>
        <v/>
      </c>
      <c r="E82" s="28">
        <f>SUMIFS(Base!$N$2:$N$4835,Base!$B$2:$B$4835,$A82,Base!$F$2:$F$4835,$B82,Base!$A$2:$A$4835,E$4)</f>
        <v/>
      </c>
      <c r="F82" s="28">
        <f>SUMIFS(Base!$N$2:$N$4835,Base!$B$2:$B$4835,$A82,Base!$F$2:$F$4835,$B82,Base!$A$2:$A$4835,F$4)</f>
        <v/>
      </c>
      <c r="G82" s="28">
        <f>SUMIFS(Base!$N$2:$N$4835,Base!$B$2:$B$4835,$A82,Base!$F$2:$F$4835,$B82,Base!$A$2:$A$4835,G$4)</f>
        <v/>
      </c>
      <c r="H82" s="28">
        <f>SUMIFS(Base!$N$2:$N$4835,Base!$B$2:$B$4835,$A82,Base!$F$2:$F$4835,$B82,Base!$A$2:$A$4835,H$4)</f>
        <v/>
      </c>
      <c r="I82" s="28">
        <f>SUMIFS(Base!$N$2:$N$4835,Base!$B$2:$B$4835,$A82,Base!$F$2:$F$4835,$B82,Base!$A$2:$A$4835,I$4)</f>
        <v/>
      </c>
      <c r="J82" s="28">
        <f>SUMIFS(Base!$N$2:$N$4835,Base!$B$2:$B$4835,$A82,Base!$F$2:$F$4835,$B82,Base!$A$2:$A$4835,J$4)</f>
        <v/>
      </c>
      <c r="K82" s="28">
        <f>SUMIFS(Base!$N$2:$N$4835,Base!$B$2:$B$4835,$A82,Base!$F$2:$F$4835,$B82,Base!$A$2:$A$4835,K$4)</f>
        <v/>
      </c>
      <c r="L82" s="28">
        <f>SUM(C82:K82)</f>
        <v/>
      </c>
      <c r="M82" s="26">
        <f>IFERROR(L82/L$123,"")</f>
        <v/>
      </c>
    </row>
    <row r="83">
      <c r="A83" t="inlineStr">
        <is>
          <t>Uso e consumo</t>
        </is>
      </c>
      <c r="B83" t="inlineStr">
        <is>
          <t>MARCUS VINICIUS CORDEIRO DE MEDEIROS 19449826803</t>
        </is>
      </c>
      <c r="C83" s="28">
        <f>SUMIFS(Base!$N$2:$N$4835,Base!$B$2:$B$4835,$A83,Base!$F$2:$F$4835,$B83,Base!$A$2:$A$4835,C$4)</f>
        <v/>
      </c>
      <c r="D83" s="28">
        <f>SUMIFS(Base!$N$2:$N$4835,Base!$B$2:$B$4835,$A83,Base!$F$2:$F$4835,$B83,Base!$A$2:$A$4835,D$4)</f>
        <v/>
      </c>
      <c r="E83" s="28">
        <f>SUMIFS(Base!$N$2:$N$4835,Base!$B$2:$B$4835,$A83,Base!$F$2:$F$4835,$B83,Base!$A$2:$A$4835,E$4)</f>
        <v/>
      </c>
      <c r="F83" s="28">
        <f>SUMIFS(Base!$N$2:$N$4835,Base!$B$2:$B$4835,$A83,Base!$F$2:$F$4835,$B83,Base!$A$2:$A$4835,F$4)</f>
        <v/>
      </c>
      <c r="G83" s="28">
        <f>SUMIFS(Base!$N$2:$N$4835,Base!$B$2:$B$4835,$A83,Base!$F$2:$F$4835,$B83,Base!$A$2:$A$4835,G$4)</f>
        <v/>
      </c>
      <c r="H83" s="28">
        <f>SUMIFS(Base!$N$2:$N$4835,Base!$B$2:$B$4835,$A83,Base!$F$2:$F$4835,$B83,Base!$A$2:$A$4835,H$4)</f>
        <v/>
      </c>
      <c r="I83" s="28">
        <f>SUMIFS(Base!$N$2:$N$4835,Base!$B$2:$B$4835,$A83,Base!$F$2:$F$4835,$B83,Base!$A$2:$A$4835,I$4)</f>
        <v/>
      </c>
      <c r="J83" s="28">
        <f>SUMIFS(Base!$N$2:$N$4835,Base!$B$2:$B$4835,$A83,Base!$F$2:$F$4835,$B83,Base!$A$2:$A$4835,J$4)</f>
        <v/>
      </c>
      <c r="K83" s="28">
        <f>SUMIFS(Base!$N$2:$N$4835,Base!$B$2:$B$4835,$A83,Base!$F$2:$F$4835,$B83,Base!$A$2:$A$4835,K$4)</f>
        <v/>
      </c>
      <c r="L83" s="28">
        <f>SUM(C83:K83)</f>
        <v/>
      </c>
      <c r="M83" s="26">
        <f>IFERROR(L83/L$123,"")</f>
        <v/>
      </c>
    </row>
    <row r="84">
      <c r="A84" t="inlineStr">
        <is>
          <t>Uso e consumo</t>
        </is>
      </c>
      <c r="B84" t="inlineStr">
        <is>
          <t>ABSHOP COMERCIO LTDA</t>
        </is>
      </c>
      <c r="C84" s="28">
        <f>SUMIFS(Base!$N$2:$N$4835,Base!$B$2:$B$4835,$A84,Base!$F$2:$F$4835,$B84,Base!$A$2:$A$4835,C$4)</f>
        <v/>
      </c>
      <c r="D84" s="28">
        <f>SUMIFS(Base!$N$2:$N$4835,Base!$B$2:$B$4835,$A84,Base!$F$2:$F$4835,$B84,Base!$A$2:$A$4835,D$4)</f>
        <v/>
      </c>
      <c r="E84" s="28">
        <f>SUMIFS(Base!$N$2:$N$4835,Base!$B$2:$B$4835,$A84,Base!$F$2:$F$4835,$B84,Base!$A$2:$A$4835,E$4)</f>
        <v/>
      </c>
      <c r="F84" s="28">
        <f>SUMIFS(Base!$N$2:$N$4835,Base!$B$2:$B$4835,$A84,Base!$F$2:$F$4835,$B84,Base!$A$2:$A$4835,F$4)</f>
        <v/>
      </c>
      <c r="G84" s="28">
        <f>SUMIFS(Base!$N$2:$N$4835,Base!$B$2:$B$4835,$A84,Base!$F$2:$F$4835,$B84,Base!$A$2:$A$4835,G$4)</f>
        <v/>
      </c>
      <c r="H84" s="28">
        <f>SUMIFS(Base!$N$2:$N$4835,Base!$B$2:$B$4835,$A84,Base!$F$2:$F$4835,$B84,Base!$A$2:$A$4835,H$4)</f>
        <v/>
      </c>
      <c r="I84" s="28">
        <f>SUMIFS(Base!$N$2:$N$4835,Base!$B$2:$B$4835,$A84,Base!$F$2:$F$4835,$B84,Base!$A$2:$A$4835,I$4)</f>
        <v/>
      </c>
      <c r="J84" s="28">
        <f>SUMIFS(Base!$N$2:$N$4835,Base!$B$2:$B$4835,$A84,Base!$F$2:$F$4835,$B84,Base!$A$2:$A$4835,J$4)</f>
        <v/>
      </c>
      <c r="K84" s="28">
        <f>SUMIFS(Base!$N$2:$N$4835,Base!$B$2:$B$4835,$A84,Base!$F$2:$F$4835,$B84,Base!$A$2:$A$4835,K$4)</f>
        <v/>
      </c>
      <c r="L84" s="28">
        <f>SUM(C84:K84)</f>
        <v/>
      </c>
      <c r="M84" s="26">
        <f>IFERROR(L84/L$123,"")</f>
        <v/>
      </c>
    </row>
    <row r="85">
      <c r="A85" t="inlineStr">
        <is>
          <t>Uso e consumo</t>
        </is>
      </c>
      <c r="B85" t="inlineStr">
        <is>
          <t>INFORPOINT SERVICOS E COMERCIO EM TECNOLOGIA LTDA</t>
        </is>
      </c>
      <c r="C85" s="28">
        <f>SUMIFS(Base!$N$2:$N$4835,Base!$B$2:$B$4835,$A85,Base!$F$2:$F$4835,$B85,Base!$A$2:$A$4835,C$4)</f>
        <v/>
      </c>
      <c r="D85" s="28">
        <f>SUMIFS(Base!$N$2:$N$4835,Base!$B$2:$B$4835,$A85,Base!$F$2:$F$4835,$B85,Base!$A$2:$A$4835,D$4)</f>
        <v/>
      </c>
      <c r="E85" s="28">
        <f>SUMIFS(Base!$N$2:$N$4835,Base!$B$2:$B$4835,$A85,Base!$F$2:$F$4835,$B85,Base!$A$2:$A$4835,E$4)</f>
        <v/>
      </c>
      <c r="F85" s="28">
        <f>SUMIFS(Base!$N$2:$N$4835,Base!$B$2:$B$4835,$A85,Base!$F$2:$F$4835,$B85,Base!$A$2:$A$4835,F$4)</f>
        <v/>
      </c>
      <c r="G85" s="28">
        <f>SUMIFS(Base!$N$2:$N$4835,Base!$B$2:$B$4835,$A85,Base!$F$2:$F$4835,$B85,Base!$A$2:$A$4835,G$4)</f>
        <v/>
      </c>
      <c r="H85" s="28">
        <f>SUMIFS(Base!$N$2:$N$4835,Base!$B$2:$B$4835,$A85,Base!$F$2:$F$4835,$B85,Base!$A$2:$A$4835,H$4)</f>
        <v/>
      </c>
      <c r="I85" s="28">
        <f>SUMIFS(Base!$N$2:$N$4835,Base!$B$2:$B$4835,$A85,Base!$F$2:$F$4835,$B85,Base!$A$2:$A$4835,I$4)</f>
        <v/>
      </c>
      <c r="J85" s="28">
        <f>SUMIFS(Base!$N$2:$N$4835,Base!$B$2:$B$4835,$A85,Base!$F$2:$F$4835,$B85,Base!$A$2:$A$4835,J$4)</f>
        <v/>
      </c>
      <c r="K85" s="28">
        <f>SUMIFS(Base!$N$2:$N$4835,Base!$B$2:$B$4835,$A85,Base!$F$2:$F$4835,$B85,Base!$A$2:$A$4835,K$4)</f>
        <v/>
      </c>
      <c r="L85" s="28">
        <f>SUM(C85:K85)</f>
        <v/>
      </c>
      <c r="M85" s="26">
        <f>IFERROR(L85/L$123,"")</f>
        <v/>
      </c>
    </row>
    <row r="86">
      <c r="A86" t="inlineStr">
        <is>
          <t>Uso e consumo</t>
        </is>
      </c>
      <c r="B86" t="inlineStr">
        <is>
          <t>NORDIFE MATERIAIS ELETRICOS LTDA</t>
        </is>
      </c>
      <c r="C86" s="28">
        <f>SUMIFS(Base!$N$2:$N$4835,Base!$B$2:$B$4835,$A86,Base!$F$2:$F$4835,$B86,Base!$A$2:$A$4835,C$4)</f>
        <v/>
      </c>
      <c r="D86" s="28">
        <f>SUMIFS(Base!$N$2:$N$4835,Base!$B$2:$B$4835,$A86,Base!$F$2:$F$4835,$B86,Base!$A$2:$A$4835,D$4)</f>
        <v/>
      </c>
      <c r="E86" s="28">
        <f>SUMIFS(Base!$N$2:$N$4835,Base!$B$2:$B$4835,$A86,Base!$F$2:$F$4835,$B86,Base!$A$2:$A$4835,E$4)</f>
        <v/>
      </c>
      <c r="F86" s="28">
        <f>SUMIFS(Base!$N$2:$N$4835,Base!$B$2:$B$4835,$A86,Base!$F$2:$F$4835,$B86,Base!$A$2:$A$4835,F$4)</f>
        <v/>
      </c>
      <c r="G86" s="28">
        <f>SUMIFS(Base!$N$2:$N$4835,Base!$B$2:$B$4835,$A86,Base!$F$2:$F$4835,$B86,Base!$A$2:$A$4835,G$4)</f>
        <v/>
      </c>
      <c r="H86" s="28">
        <f>SUMIFS(Base!$N$2:$N$4835,Base!$B$2:$B$4835,$A86,Base!$F$2:$F$4835,$B86,Base!$A$2:$A$4835,H$4)</f>
        <v/>
      </c>
      <c r="I86" s="28">
        <f>SUMIFS(Base!$N$2:$N$4835,Base!$B$2:$B$4835,$A86,Base!$F$2:$F$4835,$B86,Base!$A$2:$A$4835,I$4)</f>
        <v/>
      </c>
      <c r="J86" s="28">
        <f>SUMIFS(Base!$N$2:$N$4835,Base!$B$2:$B$4835,$A86,Base!$F$2:$F$4835,$B86,Base!$A$2:$A$4835,J$4)</f>
        <v/>
      </c>
      <c r="K86" s="28">
        <f>SUMIFS(Base!$N$2:$N$4835,Base!$B$2:$B$4835,$A86,Base!$F$2:$F$4835,$B86,Base!$A$2:$A$4835,K$4)</f>
        <v/>
      </c>
      <c r="L86" s="28">
        <f>SUM(C86:K86)</f>
        <v/>
      </c>
      <c r="M86" s="26">
        <f>IFERROR(L86/L$123,"")</f>
        <v/>
      </c>
    </row>
    <row r="87">
      <c r="A87" t="inlineStr">
        <is>
          <t>Uso e consumo</t>
        </is>
      </c>
      <c r="B87" t="inlineStr">
        <is>
          <t>REI DOS RELES DISTRIBUIDORA LTDA</t>
        </is>
      </c>
      <c r="C87" s="28">
        <f>SUMIFS(Base!$N$2:$N$4835,Base!$B$2:$B$4835,$A87,Base!$F$2:$F$4835,$B87,Base!$A$2:$A$4835,C$4)</f>
        <v/>
      </c>
      <c r="D87" s="28">
        <f>SUMIFS(Base!$N$2:$N$4835,Base!$B$2:$B$4835,$A87,Base!$F$2:$F$4835,$B87,Base!$A$2:$A$4835,D$4)</f>
        <v/>
      </c>
      <c r="E87" s="28">
        <f>SUMIFS(Base!$N$2:$N$4835,Base!$B$2:$B$4835,$A87,Base!$F$2:$F$4835,$B87,Base!$A$2:$A$4835,E$4)</f>
        <v/>
      </c>
      <c r="F87" s="28">
        <f>SUMIFS(Base!$N$2:$N$4835,Base!$B$2:$B$4835,$A87,Base!$F$2:$F$4835,$B87,Base!$A$2:$A$4835,F$4)</f>
        <v/>
      </c>
      <c r="G87" s="28">
        <f>SUMIFS(Base!$N$2:$N$4835,Base!$B$2:$B$4835,$A87,Base!$F$2:$F$4835,$B87,Base!$A$2:$A$4835,G$4)</f>
        <v/>
      </c>
      <c r="H87" s="28">
        <f>SUMIFS(Base!$N$2:$N$4835,Base!$B$2:$B$4835,$A87,Base!$F$2:$F$4835,$B87,Base!$A$2:$A$4835,H$4)</f>
        <v/>
      </c>
      <c r="I87" s="28">
        <f>SUMIFS(Base!$N$2:$N$4835,Base!$B$2:$B$4835,$A87,Base!$F$2:$F$4835,$B87,Base!$A$2:$A$4835,I$4)</f>
        <v/>
      </c>
      <c r="J87" s="28">
        <f>SUMIFS(Base!$N$2:$N$4835,Base!$B$2:$B$4835,$A87,Base!$F$2:$F$4835,$B87,Base!$A$2:$A$4835,J$4)</f>
        <v/>
      </c>
      <c r="K87" s="28">
        <f>SUMIFS(Base!$N$2:$N$4835,Base!$B$2:$B$4835,$A87,Base!$F$2:$F$4835,$B87,Base!$A$2:$A$4835,K$4)</f>
        <v/>
      </c>
      <c r="L87" s="28">
        <f>SUM(C87:K87)</f>
        <v/>
      </c>
      <c r="M87" s="26">
        <f>IFERROR(L87/L$123,"")</f>
        <v/>
      </c>
    </row>
    <row r="88">
      <c r="A88" t="inlineStr">
        <is>
          <t>Uso e consumo</t>
        </is>
      </c>
      <c r="B88" t="inlineStr">
        <is>
          <t>GOLDEN FIX PECAS E SERVICOS LTDA</t>
        </is>
      </c>
      <c r="C88" s="28">
        <f>SUMIFS(Base!$N$2:$N$4835,Base!$B$2:$B$4835,$A88,Base!$F$2:$F$4835,$B88,Base!$A$2:$A$4835,C$4)</f>
        <v/>
      </c>
      <c r="D88" s="28">
        <f>SUMIFS(Base!$N$2:$N$4835,Base!$B$2:$B$4835,$A88,Base!$F$2:$F$4835,$B88,Base!$A$2:$A$4835,D$4)</f>
        <v/>
      </c>
      <c r="E88" s="28">
        <f>SUMIFS(Base!$N$2:$N$4835,Base!$B$2:$B$4835,$A88,Base!$F$2:$F$4835,$B88,Base!$A$2:$A$4835,E$4)</f>
        <v/>
      </c>
      <c r="F88" s="28">
        <f>SUMIFS(Base!$N$2:$N$4835,Base!$B$2:$B$4835,$A88,Base!$F$2:$F$4835,$B88,Base!$A$2:$A$4835,F$4)</f>
        <v/>
      </c>
      <c r="G88" s="28">
        <f>SUMIFS(Base!$N$2:$N$4835,Base!$B$2:$B$4835,$A88,Base!$F$2:$F$4835,$B88,Base!$A$2:$A$4835,G$4)</f>
        <v/>
      </c>
      <c r="H88" s="28">
        <f>SUMIFS(Base!$N$2:$N$4835,Base!$B$2:$B$4835,$A88,Base!$F$2:$F$4835,$B88,Base!$A$2:$A$4835,H$4)</f>
        <v/>
      </c>
      <c r="I88" s="28">
        <f>SUMIFS(Base!$N$2:$N$4835,Base!$B$2:$B$4835,$A88,Base!$F$2:$F$4835,$B88,Base!$A$2:$A$4835,I$4)</f>
        <v/>
      </c>
      <c r="J88" s="28">
        <f>SUMIFS(Base!$N$2:$N$4835,Base!$B$2:$B$4835,$A88,Base!$F$2:$F$4835,$B88,Base!$A$2:$A$4835,J$4)</f>
        <v/>
      </c>
      <c r="K88" s="28">
        <f>SUMIFS(Base!$N$2:$N$4835,Base!$B$2:$B$4835,$A88,Base!$F$2:$F$4835,$B88,Base!$A$2:$A$4835,K$4)</f>
        <v/>
      </c>
      <c r="L88" s="28">
        <f>SUM(C88:K88)</f>
        <v/>
      </c>
      <c r="M88" s="26">
        <f>IFERROR(L88/L$123,"")</f>
        <v/>
      </c>
    </row>
    <row r="89">
      <c r="A89" t="inlineStr">
        <is>
          <t>Uso e consumo</t>
        </is>
      </c>
      <c r="B89" t="inlineStr">
        <is>
          <t>WILLAMS SALES DOS SANTOS</t>
        </is>
      </c>
      <c r="C89" s="28">
        <f>SUMIFS(Base!$N$2:$N$4835,Base!$B$2:$B$4835,$A89,Base!$F$2:$F$4835,$B89,Base!$A$2:$A$4835,C$4)</f>
        <v/>
      </c>
      <c r="D89" s="28">
        <f>SUMIFS(Base!$N$2:$N$4835,Base!$B$2:$B$4835,$A89,Base!$F$2:$F$4835,$B89,Base!$A$2:$A$4835,D$4)</f>
        <v/>
      </c>
      <c r="E89" s="28">
        <f>SUMIFS(Base!$N$2:$N$4835,Base!$B$2:$B$4835,$A89,Base!$F$2:$F$4835,$B89,Base!$A$2:$A$4835,E$4)</f>
        <v/>
      </c>
      <c r="F89" s="28">
        <f>SUMIFS(Base!$N$2:$N$4835,Base!$B$2:$B$4835,$A89,Base!$F$2:$F$4835,$B89,Base!$A$2:$A$4835,F$4)</f>
        <v/>
      </c>
      <c r="G89" s="28">
        <f>SUMIFS(Base!$N$2:$N$4835,Base!$B$2:$B$4835,$A89,Base!$F$2:$F$4835,$B89,Base!$A$2:$A$4835,G$4)</f>
        <v/>
      </c>
      <c r="H89" s="28">
        <f>SUMIFS(Base!$N$2:$N$4835,Base!$B$2:$B$4835,$A89,Base!$F$2:$F$4835,$B89,Base!$A$2:$A$4835,H$4)</f>
        <v/>
      </c>
      <c r="I89" s="28">
        <f>SUMIFS(Base!$N$2:$N$4835,Base!$B$2:$B$4835,$A89,Base!$F$2:$F$4835,$B89,Base!$A$2:$A$4835,I$4)</f>
        <v/>
      </c>
      <c r="J89" s="28">
        <f>SUMIFS(Base!$N$2:$N$4835,Base!$B$2:$B$4835,$A89,Base!$F$2:$F$4835,$B89,Base!$A$2:$A$4835,J$4)</f>
        <v/>
      </c>
      <c r="K89" s="28">
        <f>SUMIFS(Base!$N$2:$N$4835,Base!$B$2:$B$4835,$A89,Base!$F$2:$F$4835,$B89,Base!$A$2:$A$4835,K$4)</f>
        <v/>
      </c>
      <c r="L89" s="28">
        <f>SUM(C89:K89)</f>
        <v/>
      </c>
      <c r="M89" s="26">
        <f>IFERROR(L89/L$123,"")</f>
        <v/>
      </c>
    </row>
    <row r="90">
      <c r="A90" t="inlineStr">
        <is>
          <t>Uso e consumo</t>
        </is>
      </c>
      <c r="B90" t="inlineStr">
        <is>
          <t>COSMETICOS ALLIM LTDA</t>
        </is>
      </c>
      <c r="C90" s="28">
        <f>SUMIFS(Base!$N$2:$N$4835,Base!$B$2:$B$4835,$A90,Base!$F$2:$F$4835,$B90,Base!$A$2:$A$4835,C$4)</f>
        <v/>
      </c>
      <c r="D90" s="28">
        <f>SUMIFS(Base!$N$2:$N$4835,Base!$B$2:$B$4835,$A90,Base!$F$2:$F$4835,$B90,Base!$A$2:$A$4835,D$4)</f>
        <v/>
      </c>
      <c r="E90" s="28">
        <f>SUMIFS(Base!$N$2:$N$4835,Base!$B$2:$B$4835,$A90,Base!$F$2:$F$4835,$B90,Base!$A$2:$A$4835,E$4)</f>
        <v/>
      </c>
      <c r="F90" s="28">
        <f>SUMIFS(Base!$N$2:$N$4835,Base!$B$2:$B$4835,$A90,Base!$F$2:$F$4835,$B90,Base!$A$2:$A$4835,F$4)</f>
        <v/>
      </c>
      <c r="G90" s="28">
        <f>SUMIFS(Base!$N$2:$N$4835,Base!$B$2:$B$4835,$A90,Base!$F$2:$F$4835,$B90,Base!$A$2:$A$4835,G$4)</f>
        <v/>
      </c>
      <c r="H90" s="28">
        <f>SUMIFS(Base!$N$2:$N$4835,Base!$B$2:$B$4835,$A90,Base!$F$2:$F$4835,$B90,Base!$A$2:$A$4835,H$4)</f>
        <v/>
      </c>
      <c r="I90" s="28">
        <f>SUMIFS(Base!$N$2:$N$4835,Base!$B$2:$B$4835,$A90,Base!$F$2:$F$4835,$B90,Base!$A$2:$A$4835,I$4)</f>
        <v/>
      </c>
      <c r="J90" s="28">
        <f>SUMIFS(Base!$N$2:$N$4835,Base!$B$2:$B$4835,$A90,Base!$F$2:$F$4835,$B90,Base!$A$2:$A$4835,J$4)</f>
        <v/>
      </c>
      <c r="K90" s="28">
        <f>SUMIFS(Base!$N$2:$N$4835,Base!$B$2:$B$4835,$A90,Base!$F$2:$F$4835,$B90,Base!$A$2:$A$4835,K$4)</f>
        <v/>
      </c>
      <c r="L90" s="28">
        <f>SUM(C90:K90)</f>
        <v/>
      </c>
      <c r="M90" s="26">
        <f>IFERROR(L90/L$123,"")</f>
        <v/>
      </c>
    </row>
    <row r="91">
      <c r="A91" t="inlineStr">
        <is>
          <t>Uso e consumo</t>
        </is>
      </c>
      <c r="B91" t="inlineStr">
        <is>
          <t>KALUNGA SA</t>
        </is>
      </c>
      <c r="C91" s="28">
        <f>SUMIFS(Base!$N$2:$N$4835,Base!$B$2:$B$4835,$A91,Base!$F$2:$F$4835,$B91,Base!$A$2:$A$4835,C$4)</f>
        <v/>
      </c>
      <c r="D91" s="28">
        <f>SUMIFS(Base!$N$2:$N$4835,Base!$B$2:$B$4835,$A91,Base!$F$2:$F$4835,$B91,Base!$A$2:$A$4835,D$4)</f>
        <v/>
      </c>
      <c r="E91" s="28">
        <f>SUMIFS(Base!$N$2:$N$4835,Base!$B$2:$B$4835,$A91,Base!$F$2:$F$4835,$B91,Base!$A$2:$A$4835,E$4)</f>
        <v/>
      </c>
      <c r="F91" s="28">
        <f>SUMIFS(Base!$N$2:$N$4835,Base!$B$2:$B$4835,$A91,Base!$F$2:$F$4835,$B91,Base!$A$2:$A$4835,F$4)</f>
        <v/>
      </c>
      <c r="G91" s="28">
        <f>SUMIFS(Base!$N$2:$N$4835,Base!$B$2:$B$4835,$A91,Base!$F$2:$F$4835,$B91,Base!$A$2:$A$4835,G$4)</f>
        <v/>
      </c>
      <c r="H91" s="28">
        <f>SUMIFS(Base!$N$2:$N$4835,Base!$B$2:$B$4835,$A91,Base!$F$2:$F$4835,$B91,Base!$A$2:$A$4835,H$4)</f>
        <v/>
      </c>
      <c r="I91" s="28">
        <f>SUMIFS(Base!$N$2:$N$4835,Base!$B$2:$B$4835,$A91,Base!$F$2:$F$4835,$B91,Base!$A$2:$A$4835,I$4)</f>
        <v/>
      </c>
      <c r="J91" s="28">
        <f>SUMIFS(Base!$N$2:$N$4835,Base!$B$2:$B$4835,$A91,Base!$F$2:$F$4835,$B91,Base!$A$2:$A$4835,J$4)</f>
        <v/>
      </c>
      <c r="K91" s="28">
        <f>SUMIFS(Base!$N$2:$N$4835,Base!$B$2:$B$4835,$A91,Base!$F$2:$F$4835,$B91,Base!$A$2:$A$4835,K$4)</f>
        <v/>
      </c>
      <c r="L91" s="28">
        <f>SUM(C91:K91)</f>
        <v/>
      </c>
      <c r="M91" s="26">
        <f>IFERROR(L91/L$123,"")</f>
        <v/>
      </c>
    </row>
    <row r="92">
      <c r="A92" t="inlineStr">
        <is>
          <t>Uso e consumo</t>
        </is>
      </c>
      <c r="B92" t="inlineStr">
        <is>
          <t>SUZANNY SILVINO LEMOS</t>
        </is>
      </c>
      <c r="C92" s="28">
        <f>SUMIFS(Base!$N$2:$N$4835,Base!$B$2:$B$4835,$A92,Base!$F$2:$F$4835,$B92,Base!$A$2:$A$4835,C$4)</f>
        <v/>
      </c>
      <c r="D92" s="28">
        <f>SUMIFS(Base!$N$2:$N$4835,Base!$B$2:$B$4835,$A92,Base!$F$2:$F$4835,$B92,Base!$A$2:$A$4835,D$4)</f>
        <v/>
      </c>
      <c r="E92" s="28">
        <f>SUMIFS(Base!$N$2:$N$4835,Base!$B$2:$B$4835,$A92,Base!$F$2:$F$4835,$B92,Base!$A$2:$A$4835,E$4)</f>
        <v/>
      </c>
      <c r="F92" s="28">
        <f>SUMIFS(Base!$N$2:$N$4835,Base!$B$2:$B$4835,$A92,Base!$F$2:$F$4835,$B92,Base!$A$2:$A$4835,F$4)</f>
        <v/>
      </c>
      <c r="G92" s="28">
        <f>SUMIFS(Base!$N$2:$N$4835,Base!$B$2:$B$4835,$A92,Base!$F$2:$F$4835,$B92,Base!$A$2:$A$4835,G$4)</f>
        <v/>
      </c>
      <c r="H92" s="28">
        <f>SUMIFS(Base!$N$2:$N$4835,Base!$B$2:$B$4835,$A92,Base!$F$2:$F$4835,$B92,Base!$A$2:$A$4835,H$4)</f>
        <v/>
      </c>
      <c r="I92" s="28">
        <f>SUMIFS(Base!$N$2:$N$4835,Base!$B$2:$B$4835,$A92,Base!$F$2:$F$4835,$B92,Base!$A$2:$A$4835,I$4)</f>
        <v/>
      </c>
      <c r="J92" s="28">
        <f>SUMIFS(Base!$N$2:$N$4835,Base!$B$2:$B$4835,$A92,Base!$F$2:$F$4835,$B92,Base!$A$2:$A$4835,J$4)</f>
        <v/>
      </c>
      <c r="K92" s="28">
        <f>SUMIFS(Base!$N$2:$N$4835,Base!$B$2:$B$4835,$A92,Base!$F$2:$F$4835,$B92,Base!$A$2:$A$4835,K$4)</f>
        <v/>
      </c>
      <c r="L92" s="28">
        <f>SUM(C92:K92)</f>
        <v/>
      </c>
      <c r="M92" s="26">
        <f>IFERROR(L92/L$123,"")</f>
        <v/>
      </c>
    </row>
    <row r="93">
      <c r="A93" t="inlineStr">
        <is>
          <t>Uso e consumo</t>
        </is>
      </c>
      <c r="B93" t="inlineStr">
        <is>
          <t>GLOBAL DISTRIBUICAO DE BENS DE CONS LTDA.</t>
        </is>
      </c>
      <c r="C93" s="28">
        <f>SUMIFS(Base!$N$2:$N$4835,Base!$B$2:$B$4835,$A93,Base!$F$2:$F$4835,$B93,Base!$A$2:$A$4835,C$4)</f>
        <v/>
      </c>
      <c r="D93" s="28">
        <f>SUMIFS(Base!$N$2:$N$4835,Base!$B$2:$B$4835,$A93,Base!$F$2:$F$4835,$B93,Base!$A$2:$A$4835,D$4)</f>
        <v/>
      </c>
      <c r="E93" s="28">
        <f>SUMIFS(Base!$N$2:$N$4835,Base!$B$2:$B$4835,$A93,Base!$F$2:$F$4835,$B93,Base!$A$2:$A$4835,E$4)</f>
        <v/>
      </c>
      <c r="F93" s="28">
        <f>SUMIFS(Base!$N$2:$N$4835,Base!$B$2:$B$4835,$A93,Base!$F$2:$F$4835,$B93,Base!$A$2:$A$4835,F$4)</f>
        <v/>
      </c>
      <c r="G93" s="28">
        <f>SUMIFS(Base!$N$2:$N$4835,Base!$B$2:$B$4835,$A93,Base!$F$2:$F$4835,$B93,Base!$A$2:$A$4835,G$4)</f>
        <v/>
      </c>
      <c r="H93" s="28">
        <f>SUMIFS(Base!$N$2:$N$4835,Base!$B$2:$B$4835,$A93,Base!$F$2:$F$4835,$B93,Base!$A$2:$A$4835,H$4)</f>
        <v/>
      </c>
      <c r="I93" s="28">
        <f>SUMIFS(Base!$N$2:$N$4835,Base!$B$2:$B$4835,$A93,Base!$F$2:$F$4835,$B93,Base!$A$2:$A$4835,I$4)</f>
        <v/>
      </c>
      <c r="J93" s="28">
        <f>SUMIFS(Base!$N$2:$N$4835,Base!$B$2:$B$4835,$A93,Base!$F$2:$F$4835,$B93,Base!$A$2:$A$4835,J$4)</f>
        <v/>
      </c>
      <c r="K93" s="28">
        <f>SUMIFS(Base!$N$2:$N$4835,Base!$B$2:$B$4835,$A93,Base!$F$2:$F$4835,$B93,Base!$A$2:$A$4835,K$4)</f>
        <v/>
      </c>
      <c r="L93" s="28">
        <f>SUM(C93:K93)</f>
        <v/>
      </c>
      <c r="M93" s="26">
        <f>IFERROR(L93/L$123,"")</f>
        <v/>
      </c>
    </row>
    <row r="94">
      <c r="A94" t="inlineStr">
        <is>
          <t>Uso e consumo</t>
        </is>
      </c>
      <c r="B94" t="inlineStr">
        <is>
          <t>DISTRIBUIDORA DE ALIMENTOS GALDINO</t>
        </is>
      </c>
      <c r="C94" s="28">
        <f>SUMIFS(Base!$N$2:$N$4835,Base!$B$2:$B$4835,$A94,Base!$F$2:$F$4835,$B94,Base!$A$2:$A$4835,C$4)</f>
        <v/>
      </c>
      <c r="D94" s="28">
        <f>SUMIFS(Base!$N$2:$N$4835,Base!$B$2:$B$4835,$A94,Base!$F$2:$F$4835,$B94,Base!$A$2:$A$4835,D$4)</f>
        <v/>
      </c>
      <c r="E94" s="28">
        <f>SUMIFS(Base!$N$2:$N$4835,Base!$B$2:$B$4835,$A94,Base!$F$2:$F$4835,$B94,Base!$A$2:$A$4835,E$4)</f>
        <v/>
      </c>
      <c r="F94" s="28">
        <f>SUMIFS(Base!$N$2:$N$4835,Base!$B$2:$B$4835,$A94,Base!$F$2:$F$4835,$B94,Base!$A$2:$A$4835,F$4)</f>
        <v/>
      </c>
      <c r="G94" s="28">
        <f>SUMIFS(Base!$N$2:$N$4835,Base!$B$2:$B$4835,$A94,Base!$F$2:$F$4835,$B94,Base!$A$2:$A$4835,G$4)</f>
        <v/>
      </c>
      <c r="H94" s="28">
        <f>SUMIFS(Base!$N$2:$N$4835,Base!$B$2:$B$4835,$A94,Base!$F$2:$F$4835,$B94,Base!$A$2:$A$4835,H$4)</f>
        <v/>
      </c>
      <c r="I94" s="28">
        <f>SUMIFS(Base!$N$2:$N$4835,Base!$B$2:$B$4835,$A94,Base!$F$2:$F$4835,$B94,Base!$A$2:$A$4835,I$4)</f>
        <v/>
      </c>
      <c r="J94" s="28">
        <f>SUMIFS(Base!$N$2:$N$4835,Base!$B$2:$B$4835,$A94,Base!$F$2:$F$4835,$B94,Base!$A$2:$A$4835,J$4)</f>
        <v/>
      </c>
      <c r="K94" s="28">
        <f>SUMIFS(Base!$N$2:$N$4835,Base!$B$2:$B$4835,$A94,Base!$F$2:$F$4835,$B94,Base!$A$2:$A$4835,K$4)</f>
        <v/>
      </c>
      <c r="L94" s="28">
        <f>SUM(C94:K94)</f>
        <v/>
      </c>
      <c r="M94" s="26">
        <f>IFERROR(L94/L$123,"")</f>
        <v/>
      </c>
    </row>
    <row r="95">
      <c r="A95" t="inlineStr">
        <is>
          <t>Uso e consumo</t>
        </is>
      </c>
      <c r="B95" t="inlineStr">
        <is>
          <t>Ebazar.com.br. ltda</t>
        </is>
      </c>
      <c r="C95" s="28">
        <f>SUMIFS(Base!$N$2:$N$4835,Base!$B$2:$B$4835,$A95,Base!$F$2:$F$4835,$B95,Base!$A$2:$A$4835,C$4)</f>
        <v/>
      </c>
      <c r="D95" s="28">
        <f>SUMIFS(Base!$N$2:$N$4835,Base!$B$2:$B$4835,$A95,Base!$F$2:$F$4835,$B95,Base!$A$2:$A$4835,D$4)</f>
        <v/>
      </c>
      <c r="E95" s="28">
        <f>SUMIFS(Base!$N$2:$N$4835,Base!$B$2:$B$4835,$A95,Base!$F$2:$F$4835,$B95,Base!$A$2:$A$4835,E$4)</f>
        <v/>
      </c>
      <c r="F95" s="28">
        <f>SUMIFS(Base!$N$2:$N$4835,Base!$B$2:$B$4835,$A95,Base!$F$2:$F$4835,$B95,Base!$A$2:$A$4835,F$4)</f>
        <v/>
      </c>
      <c r="G95" s="28">
        <f>SUMIFS(Base!$N$2:$N$4835,Base!$B$2:$B$4835,$A95,Base!$F$2:$F$4835,$B95,Base!$A$2:$A$4835,G$4)</f>
        <v/>
      </c>
      <c r="H95" s="28">
        <f>SUMIFS(Base!$N$2:$N$4835,Base!$B$2:$B$4835,$A95,Base!$F$2:$F$4835,$B95,Base!$A$2:$A$4835,H$4)</f>
        <v/>
      </c>
      <c r="I95" s="28">
        <f>SUMIFS(Base!$N$2:$N$4835,Base!$B$2:$B$4835,$A95,Base!$F$2:$F$4835,$B95,Base!$A$2:$A$4835,I$4)</f>
        <v/>
      </c>
      <c r="J95" s="28">
        <f>SUMIFS(Base!$N$2:$N$4835,Base!$B$2:$B$4835,$A95,Base!$F$2:$F$4835,$B95,Base!$A$2:$A$4835,J$4)</f>
        <v/>
      </c>
      <c r="K95" s="28">
        <f>SUMIFS(Base!$N$2:$N$4835,Base!$B$2:$B$4835,$A95,Base!$F$2:$F$4835,$B95,Base!$A$2:$A$4835,K$4)</f>
        <v/>
      </c>
      <c r="L95" s="28">
        <f>SUM(C95:K95)</f>
        <v/>
      </c>
      <c r="M95" s="26">
        <f>IFERROR(L95/L$123,"")</f>
        <v/>
      </c>
    </row>
    <row r="96">
      <c r="A96" t="inlineStr">
        <is>
          <t>Uso e consumo</t>
        </is>
      </c>
      <c r="B96" t="inlineStr">
        <is>
          <t>COMPANHIA BRASILEIRA DE DISTRIBUICAO</t>
        </is>
      </c>
      <c r="C96" s="28">
        <f>SUMIFS(Base!$N$2:$N$4835,Base!$B$2:$B$4835,$A96,Base!$F$2:$F$4835,$B96,Base!$A$2:$A$4835,C$4)</f>
        <v/>
      </c>
      <c r="D96" s="28">
        <f>SUMIFS(Base!$N$2:$N$4835,Base!$B$2:$B$4835,$A96,Base!$F$2:$F$4835,$B96,Base!$A$2:$A$4835,D$4)</f>
        <v/>
      </c>
      <c r="E96" s="28">
        <f>SUMIFS(Base!$N$2:$N$4835,Base!$B$2:$B$4835,$A96,Base!$F$2:$F$4835,$B96,Base!$A$2:$A$4835,E$4)</f>
        <v/>
      </c>
      <c r="F96" s="28">
        <f>SUMIFS(Base!$N$2:$N$4835,Base!$B$2:$B$4835,$A96,Base!$F$2:$F$4835,$B96,Base!$A$2:$A$4835,F$4)</f>
        <v/>
      </c>
      <c r="G96" s="28">
        <f>SUMIFS(Base!$N$2:$N$4835,Base!$B$2:$B$4835,$A96,Base!$F$2:$F$4835,$B96,Base!$A$2:$A$4835,G$4)</f>
        <v/>
      </c>
      <c r="H96" s="28">
        <f>SUMIFS(Base!$N$2:$N$4835,Base!$B$2:$B$4835,$A96,Base!$F$2:$F$4835,$B96,Base!$A$2:$A$4835,H$4)</f>
        <v/>
      </c>
      <c r="I96" s="28">
        <f>SUMIFS(Base!$N$2:$N$4835,Base!$B$2:$B$4835,$A96,Base!$F$2:$F$4835,$B96,Base!$A$2:$A$4835,I$4)</f>
        <v/>
      </c>
      <c r="J96" s="28">
        <f>SUMIFS(Base!$N$2:$N$4835,Base!$B$2:$B$4835,$A96,Base!$F$2:$F$4835,$B96,Base!$A$2:$A$4835,J$4)</f>
        <v/>
      </c>
      <c r="K96" s="28">
        <f>SUMIFS(Base!$N$2:$N$4835,Base!$B$2:$B$4835,$A96,Base!$F$2:$F$4835,$B96,Base!$A$2:$A$4835,K$4)</f>
        <v/>
      </c>
      <c r="L96" s="28">
        <f>SUM(C96:K96)</f>
        <v/>
      </c>
      <c r="M96" s="26">
        <f>IFERROR(L96/L$123,"")</f>
        <v/>
      </c>
    </row>
    <row r="97">
      <c r="A97" t="inlineStr">
        <is>
          <t>Uso e consumo</t>
        </is>
      </c>
      <c r="B97" t="inlineStr">
        <is>
          <t>L ANTONIO DA SILVA</t>
        </is>
      </c>
      <c r="C97" s="28">
        <f>SUMIFS(Base!$N$2:$N$4835,Base!$B$2:$B$4835,$A97,Base!$F$2:$F$4835,$B97,Base!$A$2:$A$4835,C$4)</f>
        <v/>
      </c>
      <c r="D97" s="28">
        <f>SUMIFS(Base!$N$2:$N$4835,Base!$B$2:$B$4835,$A97,Base!$F$2:$F$4835,$B97,Base!$A$2:$A$4835,D$4)</f>
        <v/>
      </c>
      <c r="E97" s="28">
        <f>SUMIFS(Base!$N$2:$N$4835,Base!$B$2:$B$4835,$A97,Base!$F$2:$F$4835,$B97,Base!$A$2:$A$4835,E$4)</f>
        <v/>
      </c>
      <c r="F97" s="28">
        <f>SUMIFS(Base!$N$2:$N$4835,Base!$B$2:$B$4835,$A97,Base!$F$2:$F$4835,$B97,Base!$A$2:$A$4835,F$4)</f>
        <v/>
      </c>
      <c r="G97" s="28">
        <f>SUMIFS(Base!$N$2:$N$4835,Base!$B$2:$B$4835,$A97,Base!$F$2:$F$4835,$B97,Base!$A$2:$A$4835,G$4)</f>
        <v/>
      </c>
      <c r="H97" s="28">
        <f>SUMIFS(Base!$N$2:$N$4835,Base!$B$2:$B$4835,$A97,Base!$F$2:$F$4835,$B97,Base!$A$2:$A$4835,H$4)</f>
        <v/>
      </c>
      <c r="I97" s="28">
        <f>SUMIFS(Base!$N$2:$N$4835,Base!$B$2:$B$4835,$A97,Base!$F$2:$F$4835,$B97,Base!$A$2:$A$4835,I$4)</f>
        <v/>
      </c>
      <c r="J97" s="28">
        <f>SUMIFS(Base!$N$2:$N$4835,Base!$B$2:$B$4835,$A97,Base!$F$2:$F$4835,$B97,Base!$A$2:$A$4835,J$4)</f>
        <v/>
      </c>
      <c r="K97" s="28">
        <f>SUMIFS(Base!$N$2:$N$4835,Base!$B$2:$B$4835,$A97,Base!$F$2:$F$4835,$B97,Base!$A$2:$A$4835,K$4)</f>
        <v/>
      </c>
      <c r="L97" s="28">
        <f>SUM(C97:K97)</f>
        <v/>
      </c>
      <c r="M97" s="26">
        <f>IFERROR(L97/L$123,"")</f>
        <v/>
      </c>
    </row>
    <row r="98">
      <c r="A98" t="inlineStr">
        <is>
          <t>Uso e consumo</t>
        </is>
      </c>
      <c r="B98" t="inlineStr">
        <is>
          <t>PRIME STORE - ECOMMERCE LTDA</t>
        </is>
      </c>
      <c r="C98" s="28">
        <f>SUMIFS(Base!$N$2:$N$4835,Base!$B$2:$B$4835,$A98,Base!$F$2:$F$4835,$B98,Base!$A$2:$A$4835,C$4)</f>
        <v/>
      </c>
      <c r="D98" s="28">
        <f>SUMIFS(Base!$N$2:$N$4835,Base!$B$2:$B$4835,$A98,Base!$F$2:$F$4835,$B98,Base!$A$2:$A$4835,D$4)</f>
        <v/>
      </c>
      <c r="E98" s="28">
        <f>SUMIFS(Base!$N$2:$N$4835,Base!$B$2:$B$4835,$A98,Base!$F$2:$F$4835,$B98,Base!$A$2:$A$4835,E$4)</f>
        <v/>
      </c>
      <c r="F98" s="28">
        <f>SUMIFS(Base!$N$2:$N$4835,Base!$B$2:$B$4835,$A98,Base!$F$2:$F$4835,$B98,Base!$A$2:$A$4835,F$4)</f>
        <v/>
      </c>
      <c r="G98" s="28">
        <f>SUMIFS(Base!$N$2:$N$4835,Base!$B$2:$B$4835,$A98,Base!$F$2:$F$4835,$B98,Base!$A$2:$A$4835,G$4)</f>
        <v/>
      </c>
      <c r="H98" s="28">
        <f>SUMIFS(Base!$N$2:$N$4835,Base!$B$2:$B$4835,$A98,Base!$F$2:$F$4835,$B98,Base!$A$2:$A$4835,H$4)</f>
        <v/>
      </c>
      <c r="I98" s="28">
        <f>SUMIFS(Base!$N$2:$N$4835,Base!$B$2:$B$4835,$A98,Base!$F$2:$F$4835,$B98,Base!$A$2:$A$4835,I$4)</f>
        <v/>
      </c>
      <c r="J98" s="28">
        <f>SUMIFS(Base!$N$2:$N$4835,Base!$B$2:$B$4835,$A98,Base!$F$2:$F$4835,$B98,Base!$A$2:$A$4835,J$4)</f>
        <v/>
      </c>
      <c r="K98" s="28">
        <f>SUMIFS(Base!$N$2:$N$4835,Base!$B$2:$B$4835,$A98,Base!$F$2:$F$4835,$B98,Base!$A$2:$A$4835,K$4)</f>
        <v/>
      </c>
      <c r="L98" s="28">
        <f>SUM(C98:K98)</f>
        <v/>
      </c>
      <c r="M98" s="26">
        <f>IFERROR(L98/L$123,"")</f>
        <v/>
      </c>
    </row>
    <row r="99">
      <c r="A99" t="inlineStr">
        <is>
          <t>Uso e consumo</t>
        </is>
      </c>
      <c r="B99" t="inlineStr">
        <is>
          <t>EBAZAR.COM.BR. LTDA</t>
        </is>
      </c>
      <c r="C99" s="28">
        <f>SUMIFS(Base!$N$2:$N$4835,Base!$B$2:$B$4835,$A99,Base!$F$2:$F$4835,$B99,Base!$A$2:$A$4835,C$4)</f>
        <v/>
      </c>
      <c r="D99" s="28">
        <f>SUMIFS(Base!$N$2:$N$4835,Base!$B$2:$B$4835,$A99,Base!$F$2:$F$4835,$B99,Base!$A$2:$A$4835,D$4)</f>
        <v/>
      </c>
      <c r="E99" s="28">
        <f>SUMIFS(Base!$N$2:$N$4835,Base!$B$2:$B$4835,$A99,Base!$F$2:$F$4835,$B99,Base!$A$2:$A$4835,E$4)</f>
        <v/>
      </c>
      <c r="F99" s="28">
        <f>SUMIFS(Base!$N$2:$N$4835,Base!$B$2:$B$4835,$A99,Base!$F$2:$F$4835,$B99,Base!$A$2:$A$4835,F$4)</f>
        <v/>
      </c>
      <c r="G99" s="28">
        <f>SUMIFS(Base!$N$2:$N$4835,Base!$B$2:$B$4835,$A99,Base!$F$2:$F$4835,$B99,Base!$A$2:$A$4835,G$4)</f>
        <v/>
      </c>
      <c r="H99" s="28">
        <f>SUMIFS(Base!$N$2:$N$4835,Base!$B$2:$B$4835,$A99,Base!$F$2:$F$4835,$B99,Base!$A$2:$A$4835,H$4)</f>
        <v/>
      </c>
      <c r="I99" s="28">
        <f>SUMIFS(Base!$N$2:$N$4835,Base!$B$2:$B$4835,$A99,Base!$F$2:$F$4835,$B99,Base!$A$2:$A$4835,I$4)</f>
        <v/>
      </c>
      <c r="J99" s="28">
        <f>SUMIFS(Base!$N$2:$N$4835,Base!$B$2:$B$4835,$A99,Base!$F$2:$F$4835,$B99,Base!$A$2:$A$4835,J$4)</f>
        <v/>
      </c>
      <c r="K99" s="28">
        <f>SUMIFS(Base!$N$2:$N$4835,Base!$B$2:$B$4835,$A99,Base!$F$2:$F$4835,$B99,Base!$A$2:$A$4835,K$4)</f>
        <v/>
      </c>
      <c r="L99" s="28">
        <f>SUM(C99:K99)</f>
        <v/>
      </c>
      <c r="M99" s="26">
        <f>IFERROR(L99/L$123,"")</f>
        <v/>
      </c>
    </row>
    <row r="100">
      <c r="A100" t="inlineStr">
        <is>
          <t>Uso e consumo</t>
        </is>
      </c>
      <c r="B100" t="inlineStr">
        <is>
          <t>MAIN COMERCIO DE DESCARTAVEIS EIRELI</t>
        </is>
      </c>
      <c r="C100" s="28">
        <f>SUMIFS(Base!$N$2:$N$4835,Base!$B$2:$B$4835,$A100,Base!$F$2:$F$4835,$B100,Base!$A$2:$A$4835,C$4)</f>
        <v/>
      </c>
      <c r="D100" s="28">
        <f>SUMIFS(Base!$N$2:$N$4835,Base!$B$2:$B$4835,$A100,Base!$F$2:$F$4835,$B100,Base!$A$2:$A$4835,D$4)</f>
        <v/>
      </c>
      <c r="E100" s="28">
        <f>SUMIFS(Base!$N$2:$N$4835,Base!$B$2:$B$4835,$A100,Base!$F$2:$F$4835,$B100,Base!$A$2:$A$4835,E$4)</f>
        <v/>
      </c>
      <c r="F100" s="28">
        <f>SUMIFS(Base!$N$2:$N$4835,Base!$B$2:$B$4835,$A100,Base!$F$2:$F$4835,$B100,Base!$A$2:$A$4835,F$4)</f>
        <v/>
      </c>
      <c r="G100" s="28">
        <f>SUMIFS(Base!$N$2:$N$4835,Base!$B$2:$B$4835,$A100,Base!$F$2:$F$4835,$B100,Base!$A$2:$A$4835,G$4)</f>
        <v/>
      </c>
      <c r="H100" s="28">
        <f>SUMIFS(Base!$N$2:$N$4835,Base!$B$2:$B$4835,$A100,Base!$F$2:$F$4835,$B100,Base!$A$2:$A$4835,H$4)</f>
        <v/>
      </c>
      <c r="I100" s="28">
        <f>SUMIFS(Base!$N$2:$N$4835,Base!$B$2:$B$4835,$A100,Base!$F$2:$F$4835,$B100,Base!$A$2:$A$4835,I$4)</f>
        <v/>
      </c>
      <c r="J100" s="28">
        <f>SUMIFS(Base!$N$2:$N$4835,Base!$B$2:$B$4835,$A100,Base!$F$2:$F$4835,$B100,Base!$A$2:$A$4835,J$4)</f>
        <v/>
      </c>
      <c r="K100" s="28">
        <f>SUMIFS(Base!$N$2:$N$4835,Base!$B$2:$B$4835,$A100,Base!$F$2:$F$4835,$B100,Base!$A$2:$A$4835,K$4)</f>
        <v/>
      </c>
      <c r="L100" s="28">
        <f>SUM(C100:K100)</f>
        <v/>
      </c>
      <c r="M100" s="26">
        <f>IFERROR(L100/L$123,"")</f>
        <v/>
      </c>
    </row>
    <row r="101">
      <c r="A101" t="inlineStr">
        <is>
          <t>Uso e consumo</t>
        </is>
      </c>
      <c r="B101" t="inlineStr">
        <is>
          <t>OCUBO PAPEIS DESCARTAVEIS E SOLUCOES DE HIGIENE E LIMPEZA LT</t>
        </is>
      </c>
      <c r="C101" s="28">
        <f>SUMIFS(Base!$N$2:$N$4835,Base!$B$2:$B$4835,$A101,Base!$F$2:$F$4835,$B101,Base!$A$2:$A$4835,C$4)</f>
        <v/>
      </c>
      <c r="D101" s="28">
        <f>SUMIFS(Base!$N$2:$N$4835,Base!$B$2:$B$4835,$A101,Base!$F$2:$F$4835,$B101,Base!$A$2:$A$4835,D$4)</f>
        <v/>
      </c>
      <c r="E101" s="28">
        <f>SUMIFS(Base!$N$2:$N$4835,Base!$B$2:$B$4835,$A101,Base!$F$2:$F$4835,$B101,Base!$A$2:$A$4835,E$4)</f>
        <v/>
      </c>
      <c r="F101" s="28">
        <f>SUMIFS(Base!$N$2:$N$4835,Base!$B$2:$B$4835,$A101,Base!$F$2:$F$4835,$B101,Base!$A$2:$A$4835,F$4)</f>
        <v/>
      </c>
      <c r="G101" s="28">
        <f>SUMIFS(Base!$N$2:$N$4835,Base!$B$2:$B$4835,$A101,Base!$F$2:$F$4835,$B101,Base!$A$2:$A$4835,G$4)</f>
        <v/>
      </c>
      <c r="H101" s="28">
        <f>SUMIFS(Base!$N$2:$N$4835,Base!$B$2:$B$4835,$A101,Base!$F$2:$F$4835,$B101,Base!$A$2:$A$4835,H$4)</f>
        <v/>
      </c>
      <c r="I101" s="28">
        <f>SUMIFS(Base!$N$2:$N$4835,Base!$B$2:$B$4835,$A101,Base!$F$2:$F$4835,$B101,Base!$A$2:$A$4835,I$4)</f>
        <v/>
      </c>
      <c r="J101" s="28">
        <f>SUMIFS(Base!$N$2:$N$4835,Base!$B$2:$B$4835,$A101,Base!$F$2:$F$4835,$B101,Base!$A$2:$A$4835,J$4)</f>
        <v/>
      </c>
      <c r="K101" s="28">
        <f>SUMIFS(Base!$N$2:$N$4835,Base!$B$2:$B$4835,$A101,Base!$F$2:$F$4835,$B101,Base!$A$2:$A$4835,K$4)</f>
        <v/>
      </c>
      <c r="L101" s="28">
        <f>SUM(C101:K101)</f>
        <v/>
      </c>
      <c r="M101" s="26">
        <f>IFERROR(L101/L$123,"")</f>
        <v/>
      </c>
    </row>
    <row r="102">
      <c r="A102" t="inlineStr">
        <is>
          <t>Uso e consumo</t>
        </is>
      </c>
      <c r="B102" t="inlineStr">
        <is>
          <t>RAMAO RENATO SZORTYKA</t>
        </is>
      </c>
      <c r="C102" s="28">
        <f>SUMIFS(Base!$N$2:$N$4835,Base!$B$2:$B$4835,$A102,Base!$F$2:$F$4835,$B102,Base!$A$2:$A$4835,C$4)</f>
        <v/>
      </c>
      <c r="D102" s="28">
        <f>SUMIFS(Base!$N$2:$N$4835,Base!$B$2:$B$4835,$A102,Base!$F$2:$F$4835,$B102,Base!$A$2:$A$4835,D$4)</f>
        <v/>
      </c>
      <c r="E102" s="28">
        <f>SUMIFS(Base!$N$2:$N$4835,Base!$B$2:$B$4835,$A102,Base!$F$2:$F$4835,$B102,Base!$A$2:$A$4835,E$4)</f>
        <v/>
      </c>
      <c r="F102" s="28">
        <f>SUMIFS(Base!$N$2:$N$4835,Base!$B$2:$B$4835,$A102,Base!$F$2:$F$4835,$B102,Base!$A$2:$A$4835,F$4)</f>
        <v/>
      </c>
      <c r="G102" s="28">
        <f>SUMIFS(Base!$N$2:$N$4835,Base!$B$2:$B$4835,$A102,Base!$F$2:$F$4835,$B102,Base!$A$2:$A$4835,G$4)</f>
        <v/>
      </c>
      <c r="H102" s="28">
        <f>SUMIFS(Base!$N$2:$N$4835,Base!$B$2:$B$4835,$A102,Base!$F$2:$F$4835,$B102,Base!$A$2:$A$4835,H$4)</f>
        <v/>
      </c>
      <c r="I102" s="28">
        <f>SUMIFS(Base!$N$2:$N$4835,Base!$B$2:$B$4835,$A102,Base!$F$2:$F$4835,$B102,Base!$A$2:$A$4835,I$4)</f>
        <v/>
      </c>
      <c r="J102" s="28">
        <f>SUMIFS(Base!$N$2:$N$4835,Base!$B$2:$B$4835,$A102,Base!$F$2:$F$4835,$B102,Base!$A$2:$A$4835,J$4)</f>
        <v/>
      </c>
      <c r="K102" s="28">
        <f>SUMIFS(Base!$N$2:$N$4835,Base!$B$2:$B$4835,$A102,Base!$F$2:$F$4835,$B102,Base!$A$2:$A$4835,K$4)</f>
        <v/>
      </c>
      <c r="L102" s="28">
        <f>SUM(C102:K102)</f>
        <v/>
      </c>
      <c r="M102" s="26">
        <f>IFERROR(L102/L$123,"")</f>
        <v/>
      </c>
    </row>
    <row r="103">
      <c r="A103" t="inlineStr">
        <is>
          <t>Uso e consumo</t>
        </is>
      </c>
      <c r="B103" t="inlineStr">
        <is>
          <t>COMERCIAL CASA NOVA MATERIAL DE CONSTRUCAO PB LTDA</t>
        </is>
      </c>
      <c r="C103" s="28">
        <f>SUMIFS(Base!$N$2:$N$4835,Base!$B$2:$B$4835,$A103,Base!$F$2:$F$4835,$B103,Base!$A$2:$A$4835,C$4)</f>
        <v/>
      </c>
      <c r="D103" s="28">
        <f>SUMIFS(Base!$N$2:$N$4835,Base!$B$2:$B$4835,$A103,Base!$F$2:$F$4835,$B103,Base!$A$2:$A$4835,D$4)</f>
        <v/>
      </c>
      <c r="E103" s="28">
        <f>SUMIFS(Base!$N$2:$N$4835,Base!$B$2:$B$4835,$A103,Base!$F$2:$F$4835,$B103,Base!$A$2:$A$4835,E$4)</f>
        <v/>
      </c>
      <c r="F103" s="28">
        <f>SUMIFS(Base!$N$2:$N$4835,Base!$B$2:$B$4835,$A103,Base!$F$2:$F$4835,$B103,Base!$A$2:$A$4835,F$4)</f>
        <v/>
      </c>
      <c r="G103" s="28">
        <f>SUMIFS(Base!$N$2:$N$4835,Base!$B$2:$B$4835,$A103,Base!$F$2:$F$4835,$B103,Base!$A$2:$A$4835,G$4)</f>
        <v/>
      </c>
      <c r="H103" s="28">
        <f>SUMIFS(Base!$N$2:$N$4835,Base!$B$2:$B$4835,$A103,Base!$F$2:$F$4835,$B103,Base!$A$2:$A$4835,H$4)</f>
        <v/>
      </c>
      <c r="I103" s="28">
        <f>SUMIFS(Base!$N$2:$N$4835,Base!$B$2:$B$4835,$A103,Base!$F$2:$F$4835,$B103,Base!$A$2:$A$4835,I$4)</f>
        <v/>
      </c>
      <c r="J103" s="28">
        <f>SUMIFS(Base!$N$2:$N$4835,Base!$B$2:$B$4835,$A103,Base!$F$2:$F$4835,$B103,Base!$A$2:$A$4835,J$4)</f>
        <v/>
      </c>
      <c r="K103" s="28">
        <f>SUMIFS(Base!$N$2:$N$4835,Base!$B$2:$B$4835,$A103,Base!$F$2:$F$4835,$B103,Base!$A$2:$A$4835,K$4)</f>
        <v/>
      </c>
      <c r="L103" s="28">
        <f>SUM(C103:K103)</f>
        <v/>
      </c>
      <c r="M103" s="26">
        <f>IFERROR(L103/L$123,"")</f>
        <v/>
      </c>
    </row>
    <row r="104">
      <c r="A104" t="inlineStr">
        <is>
          <t>Uso e consumo</t>
        </is>
      </c>
      <c r="B104" t="inlineStr">
        <is>
          <t>MEGA FORCE COMERCIO DE ELETRO ELETRONICOS LTDA ME</t>
        </is>
      </c>
      <c r="C104" s="28">
        <f>SUMIFS(Base!$N$2:$N$4835,Base!$B$2:$B$4835,$A104,Base!$F$2:$F$4835,$B104,Base!$A$2:$A$4835,C$4)</f>
        <v/>
      </c>
      <c r="D104" s="28">
        <f>SUMIFS(Base!$N$2:$N$4835,Base!$B$2:$B$4835,$A104,Base!$F$2:$F$4835,$B104,Base!$A$2:$A$4835,D$4)</f>
        <v/>
      </c>
      <c r="E104" s="28">
        <f>SUMIFS(Base!$N$2:$N$4835,Base!$B$2:$B$4835,$A104,Base!$F$2:$F$4835,$B104,Base!$A$2:$A$4835,E$4)</f>
        <v/>
      </c>
      <c r="F104" s="28">
        <f>SUMIFS(Base!$N$2:$N$4835,Base!$B$2:$B$4835,$A104,Base!$F$2:$F$4835,$B104,Base!$A$2:$A$4835,F$4)</f>
        <v/>
      </c>
      <c r="G104" s="28">
        <f>SUMIFS(Base!$N$2:$N$4835,Base!$B$2:$B$4835,$A104,Base!$F$2:$F$4835,$B104,Base!$A$2:$A$4835,G$4)</f>
        <v/>
      </c>
      <c r="H104" s="28">
        <f>SUMIFS(Base!$N$2:$N$4835,Base!$B$2:$B$4835,$A104,Base!$F$2:$F$4835,$B104,Base!$A$2:$A$4835,H$4)</f>
        <v/>
      </c>
      <c r="I104" s="28">
        <f>SUMIFS(Base!$N$2:$N$4835,Base!$B$2:$B$4835,$A104,Base!$F$2:$F$4835,$B104,Base!$A$2:$A$4835,I$4)</f>
        <v/>
      </c>
      <c r="J104" s="28">
        <f>SUMIFS(Base!$N$2:$N$4835,Base!$B$2:$B$4835,$A104,Base!$F$2:$F$4835,$B104,Base!$A$2:$A$4835,J$4)</f>
        <v/>
      </c>
      <c r="K104" s="28">
        <f>SUMIFS(Base!$N$2:$N$4835,Base!$B$2:$B$4835,$A104,Base!$F$2:$F$4835,$B104,Base!$A$2:$A$4835,K$4)</f>
        <v/>
      </c>
      <c r="L104" s="28">
        <f>SUM(C104:K104)</f>
        <v/>
      </c>
      <c r="M104" s="26">
        <f>IFERROR(L104/L$123,"")</f>
        <v/>
      </c>
    </row>
    <row r="105">
      <c r="A105" t="inlineStr">
        <is>
          <t>Uso e consumo</t>
        </is>
      </c>
      <c r="B105" t="inlineStr">
        <is>
          <t>1000 MARCAS SAFETY BRASIL LTDA</t>
        </is>
      </c>
      <c r="C105" s="28">
        <f>SUMIFS(Base!$N$2:$N$4835,Base!$B$2:$B$4835,$A105,Base!$F$2:$F$4835,$B105,Base!$A$2:$A$4835,C$4)</f>
        <v/>
      </c>
      <c r="D105" s="28">
        <f>SUMIFS(Base!$N$2:$N$4835,Base!$B$2:$B$4835,$A105,Base!$F$2:$F$4835,$B105,Base!$A$2:$A$4835,D$4)</f>
        <v/>
      </c>
      <c r="E105" s="28">
        <f>SUMIFS(Base!$N$2:$N$4835,Base!$B$2:$B$4835,$A105,Base!$F$2:$F$4835,$B105,Base!$A$2:$A$4835,E$4)</f>
        <v/>
      </c>
      <c r="F105" s="28">
        <f>SUMIFS(Base!$N$2:$N$4835,Base!$B$2:$B$4835,$A105,Base!$F$2:$F$4835,$B105,Base!$A$2:$A$4835,F$4)</f>
        <v/>
      </c>
      <c r="G105" s="28">
        <f>SUMIFS(Base!$N$2:$N$4835,Base!$B$2:$B$4835,$A105,Base!$F$2:$F$4835,$B105,Base!$A$2:$A$4835,G$4)</f>
        <v/>
      </c>
      <c r="H105" s="28">
        <f>SUMIFS(Base!$N$2:$N$4835,Base!$B$2:$B$4835,$A105,Base!$F$2:$F$4835,$B105,Base!$A$2:$A$4835,H$4)</f>
        <v/>
      </c>
      <c r="I105" s="28">
        <f>SUMIFS(Base!$N$2:$N$4835,Base!$B$2:$B$4835,$A105,Base!$F$2:$F$4835,$B105,Base!$A$2:$A$4835,I$4)</f>
        <v/>
      </c>
      <c r="J105" s="28">
        <f>SUMIFS(Base!$N$2:$N$4835,Base!$B$2:$B$4835,$A105,Base!$F$2:$F$4835,$B105,Base!$A$2:$A$4835,J$4)</f>
        <v/>
      </c>
      <c r="K105" s="28">
        <f>SUMIFS(Base!$N$2:$N$4835,Base!$B$2:$B$4835,$A105,Base!$F$2:$F$4835,$B105,Base!$A$2:$A$4835,K$4)</f>
        <v/>
      </c>
      <c r="L105" s="28">
        <f>SUM(C105:K105)</f>
        <v/>
      </c>
      <c r="M105" s="26">
        <f>IFERROR(L105/L$123,"")</f>
        <v/>
      </c>
    </row>
    <row r="106">
      <c r="A106" t="inlineStr">
        <is>
          <t>Uso e consumo</t>
        </is>
      </c>
      <c r="B106" t="inlineStr">
        <is>
          <t>GMC COMPONENTES ELETRICOS E AUTOMACAO LTDA</t>
        </is>
      </c>
      <c r="C106" s="28">
        <f>SUMIFS(Base!$N$2:$N$4835,Base!$B$2:$B$4835,$A106,Base!$F$2:$F$4835,$B106,Base!$A$2:$A$4835,C$4)</f>
        <v/>
      </c>
      <c r="D106" s="28">
        <f>SUMIFS(Base!$N$2:$N$4835,Base!$B$2:$B$4835,$A106,Base!$F$2:$F$4835,$B106,Base!$A$2:$A$4835,D$4)</f>
        <v/>
      </c>
      <c r="E106" s="28">
        <f>SUMIFS(Base!$N$2:$N$4835,Base!$B$2:$B$4835,$A106,Base!$F$2:$F$4835,$B106,Base!$A$2:$A$4835,E$4)</f>
        <v/>
      </c>
      <c r="F106" s="28">
        <f>SUMIFS(Base!$N$2:$N$4835,Base!$B$2:$B$4835,$A106,Base!$F$2:$F$4835,$B106,Base!$A$2:$A$4835,F$4)</f>
        <v/>
      </c>
      <c r="G106" s="28">
        <f>SUMIFS(Base!$N$2:$N$4835,Base!$B$2:$B$4835,$A106,Base!$F$2:$F$4835,$B106,Base!$A$2:$A$4835,G$4)</f>
        <v/>
      </c>
      <c r="H106" s="28">
        <f>SUMIFS(Base!$N$2:$N$4835,Base!$B$2:$B$4835,$A106,Base!$F$2:$F$4835,$B106,Base!$A$2:$A$4835,H$4)</f>
        <v/>
      </c>
      <c r="I106" s="28">
        <f>SUMIFS(Base!$N$2:$N$4835,Base!$B$2:$B$4835,$A106,Base!$F$2:$F$4835,$B106,Base!$A$2:$A$4835,I$4)</f>
        <v/>
      </c>
      <c r="J106" s="28">
        <f>SUMIFS(Base!$N$2:$N$4835,Base!$B$2:$B$4835,$A106,Base!$F$2:$F$4835,$B106,Base!$A$2:$A$4835,J$4)</f>
        <v/>
      </c>
      <c r="K106" s="28">
        <f>SUMIFS(Base!$N$2:$N$4835,Base!$B$2:$B$4835,$A106,Base!$F$2:$F$4835,$B106,Base!$A$2:$A$4835,K$4)</f>
        <v/>
      </c>
      <c r="L106" s="28">
        <f>SUM(C106:K106)</f>
        <v/>
      </c>
      <c r="M106" s="26">
        <f>IFERROR(L106/L$123,"")</f>
        <v/>
      </c>
    </row>
    <row r="107">
      <c r="A107" t="inlineStr">
        <is>
          <t>Uso e consumo</t>
        </is>
      </c>
      <c r="B107" t="inlineStr">
        <is>
          <t>PARAIBA PLAST COMERCIAL EIRELI</t>
        </is>
      </c>
      <c r="C107" s="28">
        <f>SUMIFS(Base!$N$2:$N$4835,Base!$B$2:$B$4835,$A107,Base!$F$2:$F$4835,$B107,Base!$A$2:$A$4835,C$4)</f>
        <v/>
      </c>
      <c r="D107" s="28">
        <f>SUMIFS(Base!$N$2:$N$4835,Base!$B$2:$B$4835,$A107,Base!$F$2:$F$4835,$B107,Base!$A$2:$A$4835,D$4)</f>
        <v/>
      </c>
      <c r="E107" s="28">
        <f>SUMIFS(Base!$N$2:$N$4835,Base!$B$2:$B$4835,$A107,Base!$F$2:$F$4835,$B107,Base!$A$2:$A$4835,E$4)</f>
        <v/>
      </c>
      <c r="F107" s="28">
        <f>SUMIFS(Base!$N$2:$N$4835,Base!$B$2:$B$4835,$A107,Base!$F$2:$F$4835,$B107,Base!$A$2:$A$4835,F$4)</f>
        <v/>
      </c>
      <c r="G107" s="28">
        <f>SUMIFS(Base!$N$2:$N$4835,Base!$B$2:$B$4835,$A107,Base!$F$2:$F$4835,$B107,Base!$A$2:$A$4835,G$4)</f>
        <v/>
      </c>
      <c r="H107" s="28">
        <f>SUMIFS(Base!$N$2:$N$4835,Base!$B$2:$B$4835,$A107,Base!$F$2:$F$4835,$B107,Base!$A$2:$A$4835,H$4)</f>
        <v/>
      </c>
      <c r="I107" s="28">
        <f>SUMIFS(Base!$N$2:$N$4835,Base!$B$2:$B$4835,$A107,Base!$F$2:$F$4835,$B107,Base!$A$2:$A$4835,I$4)</f>
        <v/>
      </c>
      <c r="J107" s="28">
        <f>SUMIFS(Base!$N$2:$N$4835,Base!$B$2:$B$4835,$A107,Base!$F$2:$F$4835,$B107,Base!$A$2:$A$4835,J$4)</f>
        <v/>
      </c>
      <c r="K107" s="28">
        <f>SUMIFS(Base!$N$2:$N$4835,Base!$B$2:$B$4835,$A107,Base!$F$2:$F$4835,$B107,Base!$A$2:$A$4835,K$4)</f>
        <v/>
      </c>
      <c r="L107" s="28">
        <f>SUM(C107:K107)</f>
        <v/>
      </c>
      <c r="M107" s="26">
        <f>IFERROR(L107/L$123,"")</f>
        <v/>
      </c>
    </row>
    <row r="108">
      <c r="A108" t="inlineStr">
        <is>
          <t>Uso e consumo</t>
        </is>
      </c>
      <c r="B108" t="inlineStr">
        <is>
          <t>PAULO V. M. DO NASCIMENTO</t>
        </is>
      </c>
      <c r="C108" s="28">
        <f>SUMIFS(Base!$N$2:$N$4835,Base!$B$2:$B$4835,$A108,Base!$F$2:$F$4835,$B108,Base!$A$2:$A$4835,C$4)</f>
        <v/>
      </c>
      <c r="D108" s="28">
        <f>SUMIFS(Base!$N$2:$N$4835,Base!$B$2:$B$4835,$A108,Base!$F$2:$F$4835,$B108,Base!$A$2:$A$4835,D$4)</f>
        <v/>
      </c>
      <c r="E108" s="28">
        <f>SUMIFS(Base!$N$2:$N$4835,Base!$B$2:$B$4835,$A108,Base!$F$2:$F$4835,$B108,Base!$A$2:$A$4835,E$4)</f>
        <v/>
      </c>
      <c r="F108" s="28">
        <f>SUMIFS(Base!$N$2:$N$4835,Base!$B$2:$B$4835,$A108,Base!$F$2:$F$4835,$B108,Base!$A$2:$A$4835,F$4)</f>
        <v/>
      </c>
      <c r="G108" s="28">
        <f>SUMIFS(Base!$N$2:$N$4835,Base!$B$2:$B$4835,$A108,Base!$F$2:$F$4835,$B108,Base!$A$2:$A$4835,G$4)</f>
        <v/>
      </c>
      <c r="H108" s="28">
        <f>SUMIFS(Base!$N$2:$N$4835,Base!$B$2:$B$4835,$A108,Base!$F$2:$F$4835,$B108,Base!$A$2:$A$4835,H$4)</f>
        <v/>
      </c>
      <c r="I108" s="28">
        <f>SUMIFS(Base!$N$2:$N$4835,Base!$B$2:$B$4835,$A108,Base!$F$2:$F$4835,$B108,Base!$A$2:$A$4835,I$4)</f>
        <v/>
      </c>
      <c r="J108" s="28">
        <f>SUMIFS(Base!$N$2:$N$4835,Base!$B$2:$B$4835,$A108,Base!$F$2:$F$4835,$B108,Base!$A$2:$A$4835,J$4)</f>
        <v/>
      </c>
      <c r="K108" s="28">
        <f>SUMIFS(Base!$N$2:$N$4835,Base!$B$2:$B$4835,$A108,Base!$F$2:$F$4835,$B108,Base!$A$2:$A$4835,K$4)</f>
        <v/>
      </c>
      <c r="L108" s="28">
        <f>SUM(C108:K108)</f>
        <v/>
      </c>
      <c r="M108" s="26">
        <f>IFERROR(L108/L$123,"")</f>
        <v/>
      </c>
    </row>
    <row r="109">
      <c r="A109" t="inlineStr">
        <is>
          <t>Uso e consumo</t>
        </is>
      </c>
      <c r="B109" t="inlineStr">
        <is>
          <t>CASA DOS PARAFUSOS COMERCIO DE FERRAGENS E FERRAMENTAS LTDA</t>
        </is>
      </c>
      <c r="C109" s="28">
        <f>SUMIFS(Base!$N$2:$N$4835,Base!$B$2:$B$4835,$A109,Base!$F$2:$F$4835,$B109,Base!$A$2:$A$4835,C$4)</f>
        <v/>
      </c>
      <c r="D109" s="28">
        <f>SUMIFS(Base!$N$2:$N$4835,Base!$B$2:$B$4835,$A109,Base!$F$2:$F$4835,$B109,Base!$A$2:$A$4835,D$4)</f>
        <v/>
      </c>
      <c r="E109" s="28">
        <f>SUMIFS(Base!$N$2:$N$4835,Base!$B$2:$B$4835,$A109,Base!$F$2:$F$4835,$B109,Base!$A$2:$A$4835,E$4)</f>
        <v/>
      </c>
      <c r="F109" s="28">
        <f>SUMIFS(Base!$N$2:$N$4835,Base!$B$2:$B$4835,$A109,Base!$F$2:$F$4835,$B109,Base!$A$2:$A$4835,F$4)</f>
        <v/>
      </c>
      <c r="G109" s="28">
        <f>SUMIFS(Base!$N$2:$N$4835,Base!$B$2:$B$4835,$A109,Base!$F$2:$F$4835,$B109,Base!$A$2:$A$4835,G$4)</f>
        <v/>
      </c>
      <c r="H109" s="28">
        <f>SUMIFS(Base!$N$2:$N$4835,Base!$B$2:$B$4835,$A109,Base!$F$2:$F$4835,$B109,Base!$A$2:$A$4835,H$4)</f>
        <v/>
      </c>
      <c r="I109" s="28">
        <f>SUMIFS(Base!$N$2:$N$4835,Base!$B$2:$B$4835,$A109,Base!$F$2:$F$4835,$B109,Base!$A$2:$A$4835,I$4)</f>
        <v/>
      </c>
      <c r="J109" s="28">
        <f>SUMIFS(Base!$N$2:$N$4835,Base!$B$2:$B$4835,$A109,Base!$F$2:$F$4835,$B109,Base!$A$2:$A$4835,J$4)</f>
        <v/>
      </c>
      <c r="K109" s="28">
        <f>SUMIFS(Base!$N$2:$N$4835,Base!$B$2:$B$4835,$A109,Base!$F$2:$F$4835,$B109,Base!$A$2:$A$4835,K$4)</f>
        <v/>
      </c>
      <c r="L109" s="28">
        <f>SUM(C109:K109)</f>
        <v/>
      </c>
      <c r="M109" s="26">
        <f>IFERROR(L109/L$123,"")</f>
        <v/>
      </c>
    </row>
    <row r="110">
      <c r="A110" t="inlineStr">
        <is>
          <t>Uso e consumo</t>
        </is>
      </c>
      <c r="B110" t="inlineStr">
        <is>
          <t>B. B. A. INDUSTRIA E COMERCIO IMPORTACAO E EXPORTACAO LTDA</t>
        </is>
      </c>
      <c r="C110" s="28">
        <f>SUMIFS(Base!$N$2:$N$4835,Base!$B$2:$B$4835,$A110,Base!$F$2:$F$4835,$B110,Base!$A$2:$A$4835,C$4)</f>
        <v/>
      </c>
      <c r="D110" s="28">
        <f>SUMIFS(Base!$N$2:$N$4835,Base!$B$2:$B$4835,$A110,Base!$F$2:$F$4835,$B110,Base!$A$2:$A$4835,D$4)</f>
        <v/>
      </c>
      <c r="E110" s="28">
        <f>SUMIFS(Base!$N$2:$N$4835,Base!$B$2:$B$4835,$A110,Base!$F$2:$F$4835,$B110,Base!$A$2:$A$4835,E$4)</f>
        <v/>
      </c>
      <c r="F110" s="28">
        <f>SUMIFS(Base!$N$2:$N$4835,Base!$B$2:$B$4835,$A110,Base!$F$2:$F$4835,$B110,Base!$A$2:$A$4835,F$4)</f>
        <v/>
      </c>
      <c r="G110" s="28">
        <f>SUMIFS(Base!$N$2:$N$4835,Base!$B$2:$B$4835,$A110,Base!$F$2:$F$4835,$B110,Base!$A$2:$A$4835,G$4)</f>
        <v/>
      </c>
      <c r="H110" s="28">
        <f>SUMIFS(Base!$N$2:$N$4835,Base!$B$2:$B$4835,$A110,Base!$F$2:$F$4835,$B110,Base!$A$2:$A$4835,H$4)</f>
        <v/>
      </c>
      <c r="I110" s="28">
        <f>SUMIFS(Base!$N$2:$N$4835,Base!$B$2:$B$4835,$A110,Base!$F$2:$F$4835,$B110,Base!$A$2:$A$4835,I$4)</f>
        <v/>
      </c>
      <c r="J110" s="28">
        <f>SUMIFS(Base!$N$2:$N$4835,Base!$B$2:$B$4835,$A110,Base!$F$2:$F$4835,$B110,Base!$A$2:$A$4835,J$4)</f>
        <v/>
      </c>
      <c r="K110" s="28">
        <f>SUMIFS(Base!$N$2:$N$4835,Base!$B$2:$B$4835,$A110,Base!$F$2:$F$4835,$B110,Base!$A$2:$A$4835,K$4)</f>
        <v/>
      </c>
      <c r="L110" s="28">
        <f>SUM(C110:K110)</f>
        <v/>
      </c>
      <c r="M110" s="26">
        <f>IFERROR(L110/L$123,"")</f>
        <v/>
      </c>
    </row>
    <row r="111">
      <c r="A111" t="inlineStr">
        <is>
          <t>Uso e consumo</t>
        </is>
      </c>
      <c r="B111" t="inlineStr">
        <is>
          <t>PQVIRK IND E COM DE PROD QUIMICOS LTDA</t>
        </is>
      </c>
      <c r="C111" s="28">
        <f>SUMIFS(Base!$N$2:$N$4835,Base!$B$2:$B$4835,$A111,Base!$F$2:$F$4835,$B111,Base!$A$2:$A$4835,C$4)</f>
        <v/>
      </c>
      <c r="D111" s="28">
        <f>SUMIFS(Base!$N$2:$N$4835,Base!$B$2:$B$4835,$A111,Base!$F$2:$F$4835,$B111,Base!$A$2:$A$4835,D$4)</f>
        <v/>
      </c>
      <c r="E111" s="28">
        <f>SUMIFS(Base!$N$2:$N$4835,Base!$B$2:$B$4835,$A111,Base!$F$2:$F$4835,$B111,Base!$A$2:$A$4835,E$4)</f>
        <v/>
      </c>
      <c r="F111" s="28">
        <f>SUMIFS(Base!$N$2:$N$4835,Base!$B$2:$B$4835,$A111,Base!$F$2:$F$4835,$B111,Base!$A$2:$A$4835,F$4)</f>
        <v/>
      </c>
      <c r="G111" s="28">
        <f>SUMIFS(Base!$N$2:$N$4835,Base!$B$2:$B$4835,$A111,Base!$F$2:$F$4835,$B111,Base!$A$2:$A$4835,G$4)</f>
        <v/>
      </c>
      <c r="H111" s="28">
        <f>SUMIFS(Base!$N$2:$N$4835,Base!$B$2:$B$4835,$A111,Base!$F$2:$F$4835,$B111,Base!$A$2:$A$4835,H$4)</f>
        <v/>
      </c>
      <c r="I111" s="28">
        <f>SUMIFS(Base!$N$2:$N$4835,Base!$B$2:$B$4835,$A111,Base!$F$2:$F$4835,$B111,Base!$A$2:$A$4835,I$4)</f>
        <v/>
      </c>
      <c r="J111" s="28">
        <f>SUMIFS(Base!$N$2:$N$4835,Base!$B$2:$B$4835,$A111,Base!$F$2:$F$4835,$B111,Base!$A$2:$A$4835,J$4)</f>
        <v/>
      </c>
      <c r="K111" s="28">
        <f>SUMIFS(Base!$N$2:$N$4835,Base!$B$2:$B$4835,$A111,Base!$F$2:$F$4835,$B111,Base!$A$2:$A$4835,K$4)</f>
        <v/>
      </c>
      <c r="L111" s="28">
        <f>SUM(C111:K111)</f>
        <v/>
      </c>
      <c r="M111" s="26">
        <f>IFERROR(L111/L$123,"")</f>
        <v/>
      </c>
    </row>
    <row r="112">
      <c r="A112" t="inlineStr">
        <is>
          <t>Uso e consumo</t>
        </is>
      </c>
      <c r="B112" t="inlineStr">
        <is>
          <t>MISTER TEM COMERCIO DE ACOS E METAIS LTDA</t>
        </is>
      </c>
      <c r="C112" s="28">
        <f>SUMIFS(Base!$N$2:$N$4835,Base!$B$2:$B$4835,$A112,Base!$F$2:$F$4835,$B112,Base!$A$2:$A$4835,C$4)</f>
        <v/>
      </c>
      <c r="D112" s="28">
        <f>SUMIFS(Base!$N$2:$N$4835,Base!$B$2:$B$4835,$A112,Base!$F$2:$F$4835,$B112,Base!$A$2:$A$4835,D$4)</f>
        <v/>
      </c>
      <c r="E112" s="28">
        <f>SUMIFS(Base!$N$2:$N$4835,Base!$B$2:$B$4835,$A112,Base!$F$2:$F$4835,$B112,Base!$A$2:$A$4835,E$4)</f>
        <v/>
      </c>
      <c r="F112" s="28">
        <f>SUMIFS(Base!$N$2:$N$4835,Base!$B$2:$B$4835,$A112,Base!$F$2:$F$4835,$B112,Base!$A$2:$A$4835,F$4)</f>
        <v/>
      </c>
      <c r="G112" s="28">
        <f>SUMIFS(Base!$N$2:$N$4835,Base!$B$2:$B$4835,$A112,Base!$F$2:$F$4835,$B112,Base!$A$2:$A$4835,G$4)</f>
        <v/>
      </c>
      <c r="H112" s="28">
        <f>SUMIFS(Base!$N$2:$N$4835,Base!$B$2:$B$4835,$A112,Base!$F$2:$F$4835,$B112,Base!$A$2:$A$4835,H$4)</f>
        <v/>
      </c>
      <c r="I112" s="28">
        <f>SUMIFS(Base!$N$2:$N$4835,Base!$B$2:$B$4835,$A112,Base!$F$2:$F$4835,$B112,Base!$A$2:$A$4835,I$4)</f>
        <v/>
      </c>
      <c r="J112" s="28">
        <f>SUMIFS(Base!$N$2:$N$4835,Base!$B$2:$B$4835,$A112,Base!$F$2:$F$4835,$B112,Base!$A$2:$A$4835,J$4)</f>
        <v/>
      </c>
      <c r="K112" s="28">
        <f>SUMIFS(Base!$N$2:$N$4835,Base!$B$2:$B$4835,$A112,Base!$F$2:$F$4835,$B112,Base!$A$2:$A$4835,K$4)</f>
        <v/>
      </c>
      <c r="L112" s="28">
        <f>SUM(C112:K112)</f>
        <v/>
      </c>
      <c r="M112" s="26">
        <f>IFERROR(L112/L$123,"")</f>
        <v/>
      </c>
    </row>
    <row r="113">
      <c r="A113" t="inlineStr">
        <is>
          <t>Uso e consumo</t>
        </is>
      </c>
      <c r="B113" t="inlineStr">
        <is>
          <t>SOTECA SOCIEDADE TECNICO CIENTIFICA LTDA</t>
        </is>
      </c>
      <c r="C113" s="28">
        <f>SUMIFS(Base!$N$2:$N$4835,Base!$B$2:$B$4835,$A113,Base!$F$2:$F$4835,$B113,Base!$A$2:$A$4835,C$4)</f>
        <v/>
      </c>
      <c r="D113" s="28">
        <f>SUMIFS(Base!$N$2:$N$4835,Base!$B$2:$B$4835,$A113,Base!$F$2:$F$4835,$B113,Base!$A$2:$A$4835,D$4)</f>
        <v/>
      </c>
      <c r="E113" s="28">
        <f>SUMIFS(Base!$N$2:$N$4835,Base!$B$2:$B$4835,$A113,Base!$F$2:$F$4835,$B113,Base!$A$2:$A$4835,E$4)</f>
        <v/>
      </c>
      <c r="F113" s="28">
        <f>SUMIFS(Base!$N$2:$N$4835,Base!$B$2:$B$4835,$A113,Base!$F$2:$F$4835,$B113,Base!$A$2:$A$4835,F$4)</f>
        <v/>
      </c>
      <c r="G113" s="28">
        <f>SUMIFS(Base!$N$2:$N$4835,Base!$B$2:$B$4835,$A113,Base!$F$2:$F$4835,$B113,Base!$A$2:$A$4835,G$4)</f>
        <v/>
      </c>
      <c r="H113" s="28">
        <f>SUMIFS(Base!$N$2:$N$4835,Base!$B$2:$B$4835,$A113,Base!$F$2:$F$4835,$B113,Base!$A$2:$A$4835,H$4)</f>
        <v/>
      </c>
      <c r="I113" s="28">
        <f>SUMIFS(Base!$N$2:$N$4835,Base!$B$2:$B$4835,$A113,Base!$F$2:$F$4835,$B113,Base!$A$2:$A$4835,I$4)</f>
        <v/>
      </c>
      <c r="J113" s="28">
        <f>SUMIFS(Base!$N$2:$N$4835,Base!$B$2:$B$4835,$A113,Base!$F$2:$F$4835,$B113,Base!$A$2:$A$4835,J$4)</f>
        <v/>
      </c>
      <c r="K113" s="28">
        <f>SUMIFS(Base!$N$2:$N$4835,Base!$B$2:$B$4835,$A113,Base!$F$2:$F$4835,$B113,Base!$A$2:$A$4835,K$4)</f>
        <v/>
      </c>
      <c r="L113" s="28">
        <f>SUM(C113:K113)</f>
        <v/>
      </c>
      <c r="M113" s="26">
        <f>IFERROR(L113/L$123,"")</f>
        <v/>
      </c>
    </row>
    <row r="114">
      <c r="A114" t="inlineStr">
        <is>
          <t>Uso e consumo</t>
        </is>
      </c>
      <c r="B114" t="inlineStr">
        <is>
          <t>ELETRICA UNIAO MATERIAIS ELETRICOS E HIDRAULICOS LTDA</t>
        </is>
      </c>
      <c r="C114" s="28">
        <f>SUMIFS(Base!$N$2:$N$4835,Base!$B$2:$B$4835,$A114,Base!$F$2:$F$4835,$B114,Base!$A$2:$A$4835,C$4)</f>
        <v/>
      </c>
      <c r="D114" s="28">
        <f>SUMIFS(Base!$N$2:$N$4835,Base!$B$2:$B$4835,$A114,Base!$F$2:$F$4835,$B114,Base!$A$2:$A$4835,D$4)</f>
        <v/>
      </c>
      <c r="E114" s="28">
        <f>SUMIFS(Base!$N$2:$N$4835,Base!$B$2:$B$4835,$A114,Base!$F$2:$F$4835,$B114,Base!$A$2:$A$4835,E$4)</f>
        <v/>
      </c>
      <c r="F114" s="28">
        <f>SUMIFS(Base!$N$2:$N$4835,Base!$B$2:$B$4835,$A114,Base!$F$2:$F$4835,$B114,Base!$A$2:$A$4835,F$4)</f>
        <v/>
      </c>
      <c r="G114" s="28">
        <f>SUMIFS(Base!$N$2:$N$4835,Base!$B$2:$B$4835,$A114,Base!$F$2:$F$4835,$B114,Base!$A$2:$A$4835,G$4)</f>
        <v/>
      </c>
      <c r="H114" s="28">
        <f>SUMIFS(Base!$N$2:$N$4835,Base!$B$2:$B$4835,$A114,Base!$F$2:$F$4835,$B114,Base!$A$2:$A$4835,H$4)</f>
        <v/>
      </c>
      <c r="I114" s="28">
        <f>SUMIFS(Base!$N$2:$N$4835,Base!$B$2:$B$4835,$A114,Base!$F$2:$F$4835,$B114,Base!$A$2:$A$4835,I$4)</f>
        <v/>
      </c>
      <c r="J114" s="28">
        <f>SUMIFS(Base!$N$2:$N$4835,Base!$B$2:$B$4835,$A114,Base!$F$2:$F$4835,$B114,Base!$A$2:$A$4835,J$4)</f>
        <v/>
      </c>
      <c r="K114" s="28">
        <f>SUMIFS(Base!$N$2:$N$4835,Base!$B$2:$B$4835,$A114,Base!$F$2:$F$4835,$B114,Base!$A$2:$A$4835,K$4)</f>
        <v/>
      </c>
      <c r="L114" s="28">
        <f>SUM(C114:K114)</f>
        <v/>
      </c>
      <c r="M114" s="26">
        <f>IFERROR(L114/L$123,"")</f>
        <v/>
      </c>
    </row>
    <row r="115">
      <c r="A115" t="inlineStr">
        <is>
          <t>Uso e consumo</t>
        </is>
      </c>
      <c r="B115" t="inlineStr">
        <is>
          <t>CRISTAL COMERCIO DE PRODUTOS QUIMICOS LTDA</t>
        </is>
      </c>
      <c r="C115" s="28">
        <f>SUMIFS(Base!$N$2:$N$4835,Base!$B$2:$B$4835,$A115,Base!$F$2:$F$4835,$B115,Base!$A$2:$A$4835,C$4)</f>
        <v/>
      </c>
      <c r="D115" s="28">
        <f>SUMIFS(Base!$N$2:$N$4835,Base!$B$2:$B$4835,$A115,Base!$F$2:$F$4835,$B115,Base!$A$2:$A$4835,D$4)</f>
        <v/>
      </c>
      <c r="E115" s="28">
        <f>SUMIFS(Base!$N$2:$N$4835,Base!$B$2:$B$4835,$A115,Base!$F$2:$F$4835,$B115,Base!$A$2:$A$4835,E$4)</f>
        <v/>
      </c>
      <c r="F115" s="28">
        <f>SUMIFS(Base!$N$2:$N$4835,Base!$B$2:$B$4835,$A115,Base!$F$2:$F$4835,$B115,Base!$A$2:$A$4835,F$4)</f>
        <v/>
      </c>
      <c r="G115" s="28">
        <f>SUMIFS(Base!$N$2:$N$4835,Base!$B$2:$B$4835,$A115,Base!$F$2:$F$4835,$B115,Base!$A$2:$A$4835,G$4)</f>
        <v/>
      </c>
      <c r="H115" s="28">
        <f>SUMIFS(Base!$N$2:$N$4835,Base!$B$2:$B$4835,$A115,Base!$F$2:$F$4835,$B115,Base!$A$2:$A$4835,H$4)</f>
        <v/>
      </c>
      <c r="I115" s="28">
        <f>SUMIFS(Base!$N$2:$N$4835,Base!$B$2:$B$4835,$A115,Base!$F$2:$F$4835,$B115,Base!$A$2:$A$4835,I$4)</f>
        <v/>
      </c>
      <c r="J115" s="28">
        <f>SUMIFS(Base!$N$2:$N$4835,Base!$B$2:$B$4835,$A115,Base!$F$2:$F$4835,$B115,Base!$A$2:$A$4835,J$4)</f>
        <v/>
      </c>
      <c r="K115" s="28">
        <f>SUMIFS(Base!$N$2:$N$4835,Base!$B$2:$B$4835,$A115,Base!$F$2:$F$4835,$B115,Base!$A$2:$A$4835,K$4)</f>
        <v/>
      </c>
      <c r="L115" s="28">
        <f>SUM(C115:K115)</f>
        <v/>
      </c>
      <c r="M115" s="26">
        <f>IFERROR(L115/L$123,"")</f>
        <v/>
      </c>
    </row>
    <row r="116">
      <c r="A116" t="inlineStr">
        <is>
          <t>Uso e consumo</t>
        </is>
      </c>
      <c r="B116" t="inlineStr">
        <is>
          <t>CLAUDIA FERREIRA GODOI</t>
        </is>
      </c>
      <c r="C116" s="28">
        <f>SUMIFS(Base!$N$2:$N$4835,Base!$B$2:$B$4835,$A116,Base!$F$2:$F$4835,$B116,Base!$A$2:$A$4835,C$4)</f>
        <v/>
      </c>
      <c r="D116" s="28">
        <f>SUMIFS(Base!$N$2:$N$4835,Base!$B$2:$B$4835,$A116,Base!$F$2:$F$4835,$B116,Base!$A$2:$A$4835,D$4)</f>
        <v/>
      </c>
      <c r="E116" s="28">
        <f>SUMIFS(Base!$N$2:$N$4835,Base!$B$2:$B$4835,$A116,Base!$F$2:$F$4835,$B116,Base!$A$2:$A$4835,E$4)</f>
        <v/>
      </c>
      <c r="F116" s="28">
        <f>SUMIFS(Base!$N$2:$N$4835,Base!$B$2:$B$4835,$A116,Base!$F$2:$F$4835,$B116,Base!$A$2:$A$4835,F$4)</f>
        <v/>
      </c>
      <c r="G116" s="28">
        <f>SUMIFS(Base!$N$2:$N$4835,Base!$B$2:$B$4835,$A116,Base!$F$2:$F$4835,$B116,Base!$A$2:$A$4835,G$4)</f>
        <v/>
      </c>
      <c r="H116" s="28">
        <f>SUMIFS(Base!$N$2:$N$4835,Base!$B$2:$B$4835,$A116,Base!$F$2:$F$4835,$B116,Base!$A$2:$A$4835,H$4)</f>
        <v/>
      </c>
      <c r="I116" s="28">
        <f>SUMIFS(Base!$N$2:$N$4835,Base!$B$2:$B$4835,$A116,Base!$F$2:$F$4835,$B116,Base!$A$2:$A$4835,I$4)</f>
        <v/>
      </c>
      <c r="J116" s="28">
        <f>SUMIFS(Base!$N$2:$N$4835,Base!$B$2:$B$4835,$A116,Base!$F$2:$F$4835,$B116,Base!$A$2:$A$4835,J$4)</f>
        <v/>
      </c>
      <c r="K116" s="28">
        <f>SUMIFS(Base!$N$2:$N$4835,Base!$B$2:$B$4835,$A116,Base!$F$2:$F$4835,$B116,Base!$A$2:$A$4835,K$4)</f>
        <v/>
      </c>
      <c r="L116" s="28">
        <f>SUM(C116:K116)</f>
        <v/>
      </c>
      <c r="M116" s="26">
        <f>IFERROR(L116/L$123,"")</f>
        <v/>
      </c>
    </row>
    <row r="117">
      <c r="A117" t="inlineStr">
        <is>
          <t>Uso e consumo</t>
        </is>
      </c>
      <c r="B117" t="inlineStr">
        <is>
          <t>VEMDECLICK ECOMMERCE LTDA</t>
        </is>
      </c>
      <c r="C117" s="28">
        <f>SUMIFS(Base!$N$2:$N$4835,Base!$B$2:$B$4835,$A117,Base!$F$2:$F$4835,$B117,Base!$A$2:$A$4835,C$4)</f>
        <v/>
      </c>
      <c r="D117" s="28">
        <f>SUMIFS(Base!$N$2:$N$4835,Base!$B$2:$B$4835,$A117,Base!$F$2:$F$4835,$B117,Base!$A$2:$A$4835,D$4)</f>
        <v/>
      </c>
      <c r="E117" s="28">
        <f>SUMIFS(Base!$N$2:$N$4835,Base!$B$2:$B$4835,$A117,Base!$F$2:$F$4835,$B117,Base!$A$2:$A$4835,E$4)</f>
        <v/>
      </c>
      <c r="F117" s="28">
        <f>SUMIFS(Base!$N$2:$N$4835,Base!$B$2:$B$4835,$A117,Base!$F$2:$F$4835,$B117,Base!$A$2:$A$4835,F$4)</f>
        <v/>
      </c>
      <c r="G117" s="28">
        <f>SUMIFS(Base!$N$2:$N$4835,Base!$B$2:$B$4835,$A117,Base!$F$2:$F$4835,$B117,Base!$A$2:$A$4835,G$4)</f>
        <v/>
      </c>
      <c r="H117" s="28">
        <f>SUMIFS(Base!$N$2:$N$4835,Base!$B$2:$B$4835,$A117,Base!$F$2:$F$4835,$B117,Base!$A$2:$A$4835,H$4)</f>
        <v/>
      </c>
      <c r="I117" s="28">
        <f>SUMIFS(Base!$N$2:$N$4835,Base!$B$2:$B$4835,$A117,Base!$F$2:$F$4835,$B117,Base!$A$2:$A$4835,I$4)</f>
        <v/>
      </c>
      <c r="J117" s="28">
        <f>SUMIFS(Base!$N$2:$N$4835,Base!$B$2:$B$4835,$A117,Base!$F$2:$F$4835,$B117,Base!$A$2:$A$4835,J$4)</f>
        <v/>
      </c>
      <c r="K117" s="28">
        <f>SUMIFS(Base!$N$2:$N$4835,Base!$B$2:$B$4835,$A117,Base!$F$2:$F$4835,$B117,Base!$A$2:$A$4835,K$4)</f>
        <v/>
      </c>
      <c r="L117" s="28">
        <f>SUM(C117:K117)</f>
        <v/>
      </c>
      <c r="M117" s="26">
        <f>IFERROR(L117/L$123,"")</f>
        <v/>
      </c>
    </row>
    <row r="118">
      <c r="A118" t="inlineStr">
        <is>
          <t>Uso e consumo</t>
        </is>
      </c>
      <c r="B118" t="inlineStr">
        <is>
          <t>ELETROCELO COMERCIO DE MATERIAIS ELETRICOS LTDA</t>
        </is>
      </c>
      <c r="C118" s="28">
        <f>SUMIFS(Base!$N$2:$N$4835,Base!$B$2:$B$4835,$A118,Base!$F$2:$F$4835,$B118,Base!$A$2:$A$4835,C$4)</f>
        <v/>
      </c>
      <c r="D118" s="28">
        <f>SUMIFS(Base!$N$2:$N$4835,Base!$B$2:$B$4835,$A118,Base!$F$2:$F$4835,$B118,Base!$A$2:$A$4835,D$4)</f>
        <v/>
      </c>
      <c r="E118" s="28">
        <f>SUMIFS(Base!$N$2:$N$4835,Base!$B$2:$B$4835,$A118,Base!$F$2:$F$4835,$B118,Base!$A$2:$A$4835,E$4)</f>
        <v/>
      </c>
      <c r="F118" s="28">
        <f>SUMIFS(Base!$N$2:$N$4835,Base!$B$2:$B$4835,$A118,Base!$F$2:$F$4835,$B118,Base!$A$2:$A$4835,F$4)</f>
        <v/>
      </c>
      <c r="G118" s="28">
        <f>SUMIFS(Base!$N$2:$N$4835,Base!$B$2:$B$4835,$A118,Base!$F$2:$F$4835,$B118,Base!$A$2:$A$4835,G$4)</f>
        <v/>
      </c>
      <c r="H118" s="28">
        <f>SUMIFS(Base!$N$2:$N$4835,Base!$B$2:$B$4835,$A118,Base!$F$2:$F$4835,$B118,Base!$A$2:$A$4835,H$4)</f>
        <v/>
      </c>
      <c r="I118" s="28">
        <f>SUMIFS(Base!$N$2:$N$4835,Base!$B$2:$B$4835,$A118,Base!$F$2:$F$4835,$B118,Base!$A$2:$A$4835,I$4)</f>
        <v/>
      </c>
      <c r="J118" s="28">
        <f>SUMIFS(Base!$N$2:$N$4835,Base!$B$2:$B$4835,$A118,Base!$F$2:$F$4835,$B118,Base!$A$2:$A$4835,J$4)</f>
        <v/>
      </c>
      <c r="K118" s="28">
        <f>SUMIFS(Base!$N$2:$N$4835,Base!$B$2:$B$4835,$A118,Base!$F$2:$F$4835,$B118,Base!$A$2:$A$4835,K$4)</f>
        <v/>
      </c>
      <c r="L118" s="28">
        <f>SUM(C118:K118)</f>
        <v/>
      </c>
      <c r="M118" s="26">
        <f>IFERROR(L118/L$123,"")</f>
        <v/>
      </c>
    </row>
    <row r="119">
      <c r="A119" t="inlineStr">
        <is>
          <t>Uso e consumo</t>
        </is>
      </c>
      <c r="B119" t="inlineStr">
        <is>
          <t>AI TEM - COMERCIO VAREJISTA DE PRODUTOS EM ACO INOX LTDA.</t>
        </is>
      </c>
      <c r="C119" s="28">
        <f>SUMIFS(Base!$N$2:$N$4835,Base!$B$2:$B$4835,$A119,Base!$F$2:$F$4835,$B119,Base!$A$2:$A$4835,C$4)</f>
        <v/>
      </c>
      <c r="D119" s="28">
        <f>SUMIFS(Base!$N$2:$N$4835,Base!$B$2:$B$4835,$A119,Base!$F$2:$F$4835,$B119,Base!$A$2:$A$4835,D$4)</f>
        <v/>
      </c>
      <c r="E119" s="28">
        <f>SUMIFS(Base!$N$2:$N$4835,Base!$B$2:$B$4835,$A119,Base!$F$2:$F$4835,$B119,Base!$A$2:$A$4835,E$4)</f>
        <v/>
      </c>
      <c r="F119" s="28">
        <f>SUMIFS(Base!$N$2:$N$4835,Base!$B$2:$B$4835,$A119,Base!$F$2:$F$4835,$B119,Base!$A$2:$A$4835,F$4)</f>
        <v/>
      </c>
      <c r="G119" s="28">
        <f>SUMIFS(Base!$N$2:$N$4835,Base!$B$2:$B$4835,$A119,Base!$F$2:$F$4835,$B119,Base!$A$2:$A$4835,G$4)</f>
        <v/>
      </c>
      <c r="H119" s="28">
        <f>SUMIFS(Base!$N$2:$N$4835,Base!$B$2:$B$4835,$A119,Base!$F$2:$F$4835,$B119,Base!$A$2:$A$4835,H$4)</f>
        <v/>
      </c>
      <c r="I119" s="28">
        <f>SUMIFS(Base!$N$2:$N$4835,Base!$B$2:$B$4835,$A119,Base!$F$2:$F$4835,$B119,Base!$A$2:$A$4835,I$4)</f>
        <v/>
      </c>
      <c r="J119" s="28">
        <f>SUMIFS(Base!$N$2:$N$4835,Base!$B$2:$B$4835,$A119,Base!$F$2:$F$4835,$B119,Base!$A$2:$A$4835,J$4)</f>
        <v/>
      </c>
      <c r="K119" s="28">
        <f>SUMIFS(Base!$N$2:$N$4835,Base!$B$2:$B$4835,$A119,Base!$F$2:$F$4835,$B119,Base!$A$2:$A$4835,K$4)</f>
        <v/>
      </c>
      <c r="L119" s="28">
        <f>SUM(C119:K119)</f>
        <v/>
      </c>
      <c r="M119" s="26">
        <f>IFERROR(L119/L$123,"")</f>
        <v/>
      </c>
    </row>
    <row r="120">
      <c r="A120" t="inlineStr">
        <is>
          <t>Uso e consumo</t>
        </is>
      </c>
      <c r="B120" t="inlineStr">
        <is>
          <t>Kalunga SA</t>
        </is>
      </c>
      <c r="C120" s="28">
        <f>SUMIFS(Base!$N$2:$N$4835,Base!$B$2:$B$4835,$A120,Base!$F$2:$F$4835,$B120,Base!$A$2:$A$4835,C$4)</f>
        <v/>
      </c>
      <c r="D120" s="28">
        <f>SUMIFS(Base!$N$2:$N$4835,Base!$B$2:$B$4835,$A120,Base!$F$2:$F$4835,$B120,Base!$A$2:$A$4835,D$4)</f>
        <v/>
      </c>
      <c r="E120" s="28">
        <f>SUMIFS(Base!$N$2:$N$4835,Base!$B$2:$B$4835,$A120,Base!$F$2:$F$4835,$B120,Base!$A$2:$A$4835,E$4)</f>
        <v/>
      </c>
      <c r="F120" s="28">
        <f>SUMIFS(Base!$N$2:$N$4835,Base!$B$2:$B$4835,$A120,Base!$F$2:$F$4835,$B120,Base!$A$2:$A$4835,F$4)</f>
        <v/>
      </c>
      <c r="G120" s="28">
        <f>SUMIFS(Base!$N$2:$N$4835,Base!$B$2:$B$4835,$A120,Base!$F$2:$F$4835,$B120,Base!$A$2:$A$4835,G$4)</f>
        <v/>
      </c>
      <c r="H120" s="28">
        <f>SUMIFS(Base!$N$2:$N$4835,Base!$B$2:$B$4835,$A120,Base!$F$2:$F$4835,$B120,Base!$A$2:$A$4835,H$4)</f>
        <v/>
      </c>
      <c r="I120" s="28">
        <f>SUMIFS(Base!$N$2:$N$4835,Base!$B$2:$B$4835,$A120,Base!$F$2:$F$4835,$B120,Base!$A$2:$A$4835,I$4)</f>
        <v/>
      </c>
      <c r="J120" s="28">
        <f>SUMIFS(Base!$N$2:$N$4835,Base!$B$2:$B$4835,$A120,Base!$F$2:$F$4835,$B120,Base!$A$2:$A$4835,J$4)</f>
        <v/>
      </c>
      <c r="K120" s="28">
        <f>SUMIFS(Base!$N$2:$N$4835,Base!$B$2:$B$4835,$A120,Base!$F$2:$F$4835,$B120,Base!$A$2:$A$4835,K$4)</f>
        <v/>
      </c>
      <c r="L120" s="28">
        <f>SUM(C120:K120)</f>
        <v/>
      </c>
      <c r="M120" s="26">
        <f>IFERROR(L120/L$123,"")</f>
        <v/>
      </c>
    </row>
    <row r="121">
      <c r="A121" t="inlineStr">
        <is>
          <t>Uso e consumo</t>
        </is>
      </c>
      <c r="B121" t="inlineStr">
        <is>
          <t>EMPORIO DE FATIMA INDUSTRIA E COMERCIO DE PANIFICACAO LTDA</t>
        </is>
      </c>
      <c r="C121" s="28">
        <f>SUMIFS(Base!$N$2:$N$4835,Base!$B$2:$B$4835,$A121,Base!$F$2:$F$4835,$B121,Base!$A$2:$A$4835,C$4)</f>
        <v/>
      </c>
      <c r="D121" s="28">
        <f>SUMIFS(Base!$N$2:$N$4835,Base!$B$2:$B$4835,$A121,Base!$F$2:$F$4835,$B121,Base!$A$2:$A$4835,D$4)</f>
        <v/>
      </c>
      <c r="E121" s="28">
        <f>SUMIFS(Base!$N$2:$N$4835,Base!$B$2:$B$4835,$A121,Base!$F$2:$F$4835,$B121,Base!$A$2:$A$4835,E$4)</f>
        <v/>
      </c>
      <c r="F121" s="28">
        <f>SUMIFS(Base!$N$2:$N$4835,Base!$B$2:$B$4835,$A121,Base!$F$2:$F$4835,$B121,Base!$A$2:$A$4835,F$4)</f>
        <v/>
      </c>
      <c r="G121" s="28">
        <f>SUMIFS(Base!$N$2:$N$4835,Base!$B$2:$B$4835,$A121,Base!$F$2:$F$4835,$B121,Base!$A$2:$A$4835,G$4)</f>
        <v/>
      </c>
      <c r="H121" s="28">
        <f>SUMIFS(Base!$N$2:$N$4835,Base!$B$2:$B$4835,$A121,Base!$F$2:$F$4835,$B121,Base!$A$2:$A$4835,H$4)</f>
        <v/>
      </c>
      <c r="I121" s="28">
        <f>SUMIFS(Base!$N$2:$N$4835,Base!$B$2:$B$4835,$A121,Base!$F$2:$F$4835,$B121,Base!$A$2:$A$4835,I$4)</f>
        <v/>
      </c>
      <c r="J121" s="28">
        <f>SUMIFS(Base!$N$2:$N$4835,Base!$B$2:$B$4835,$A121,Base!$F$2:$F$4835,$B121,Base!$A$2:$A$4835,J$4)</f>
        <v/>
      </c>
      <c r="K121" s="28">
        <f>SUMIFS(Base!$N$2:$N$4835,Base!$B$2:$B$4835,$A121,Base!$F$2:$F$4835,$B121,Base!$A$2:$A$4835,K$4)</f>
        <v/>
      </c>
      <c r="L121" s="28">
        <f>SUM(C121:K121)</f>
        <v/>
      </c>
      <c r="M121" s="26">
        <f>IFERROR(L121/L$123,"")</f>
        <v/>
      </c>
    </row>
    <row r="122">
      <c r="A122" t="inlineStr">
        <is>
          <t>Uso e consumo</t>
        </is>
      </c>
      <c r="B122" t="inlineStr">
        <is>
          <t>BRICOZE CELL ELETRONICOS LTDA</t>
        </is>
      </c>
      <c r="C122" s="28">
        <f>SUMIFS(Base!$N$2:$N$4835,Base!$B$2:$B$4835,$A122,Base!$F$2:$F$4835,$B122,Base!$A$2:$A$4835,C$4)</f>
        <v/>
      </c>
      <c r="D122" s="28">
        <f>SUMIFS(Base!$N$2:$N$4835,Base!$B$2:$B$4835,$A122,Base!$F$2:$F$4835,$B122,Base!$A$2:$A$4835,D$4)</f>
        <v/>
      </c>
      <c r="E122" s="28">
        <f>SUMIFS(Base!$N$2:$N$4835,Base!$B$2:$B$4835,$A122,Base!$F$2:$F$4835,$B122,Base!$A$2:$A$4835,E$4)</f>
        <v/>
      </c>
      <c r="F122" s="28">
        <f>SUMIFS(Base!$N$2:$N$4835,Base!$B$2:$B$4835,$A122,Base!$F$2:$F$4835,$B122,Base!$A$2:$A$4835,F$4)</f>
        <v/>
      </c>
      <c r="G122" s="28">
        <f>SUMIFS(Base!$N$2:$N$4835,Base!$B$2:$B$4835,$A122,Base!$F$2:$F$4835,$B122,Base!$A$2:$A$4835,G$4)</f>
        <v/>
      </c>
      <c r="H122" s="28">
        <f>SUMIFS(Base!$N$2:$N$4835,Base!$B$2:$B$4835,$A122,Base!$F$2:$F$4835,$B122,Base!$A$2:$A$4835,H$4)</f>
        <v/>
      </c>
      <c r="I122" s="28">
        <f>SUMIFS(Base!$N$2:$N$4835,Base!$B$2:$B$4835,$A122,Base!$F$2:$F$4835,$B122,Base!$A$2:$A$4835,I$4)</f>
        <v/>
      </c>
      <c r="J122" s="28">
        <f>SUMIFS(Base!$N$2:$N$4835,Base!$B$2:$B$4835,$A122,Base!$F$2:$F$4835,$B122,Base!$A$2:$A$4835,J$4)</f>
        <v/>
      </c>
      <c r="K122" s="28">
        <f>SUMIFS(Base!$N$2:$N$4835,Base!$B$2:$B$4835,$A122,Base!$F$2:$F$4835,$B122,Base!$A$2:$A$4835,K$4)</f>
        <v/>
      </c>
      <c r="L122" s="28">
        <f>SUM(C122:K122)</f>
        <v/>
      </c>
      <c r="M122" s="26">
        <f>IFERROR(L122/L$123,"")</f>
        <v/>
      </c>
    </row>
    <row r="123">
      <c r="A123" s="7" t="inlineStr">
        <is>
          <t>Uso e consumo</t>
        </is>
      </c>
      <c r="B123" s="7" t="inlineStr">
        <is>
          <t>TOTAL Uso e consumo</t>
        </is>
      </c>
      <c r="C123" s="21">
        <f>SUM(C43:C122)</f>
        <v/>
      </c>
      <c r="D123" s="21">
        <f>SUM(D43:D122)</f>
        <v/>
      </c>
      <c r="E123" s="21">
        <f>SUM(E43:E122)</f>
        <v/>
      </c>
      <c r="F123" s="21">
        <f>SUM(F43:F122)</f>
        <v/>
      </c>
      <c r="G123" s="21">
        <f>SUM(G43:G122)</f>
        <v/>
      </c>
      <c r="H123" s="21">
        <f>SUM(H43:H122)</f>
        <v/>
      </c>
      <c r="I123" s="21">
        <f>SUM(I43:I122)</f>
        <v/>
      </c>
      <c r="J123" s="21">
        <f>SUM(J43:J122)</f>
        <v/>
      </c>
      <c r="K123" s="21">
        <f>SUM(K43:K122)</f>
        <v/>
      </c>
      <c r="L123" s="21">
        <f>SUM(L43:L122)</f>
        <v/>
      </c>
      <c r="M123" s="7" t="n"/>
    </row>
    <row r="125">
      <c r="A125" t="inlineStr">
        <is>
          <t>Frete de compra</t>
        </is>
      </c>
      <c r="B125" t="inlineStr">
        <is>
          <t>ALIANCA NAVEGACAO E LOGISTICA LTDA</t>
        </is>
      </c>
      <c r="C125" s="28">
        <f>SUMIFS(Base!$N$2:$N$4835,Base!$B$2:$B$4835,$A125,Base!$F$2:$F$4835,$B125,Base!$A$2:$A$4835,C$4)</f>
        <v/>
      </c>
      <c r="D125" s="28">
        <f>SUMIFS(Base!$N$2:$N$4835,Base!$B$2:$B$4835,$A125,Base!$F$2:$F$4835,$B125,Base!$A$2:$A$4835,D$4)</f>
        <v/>
      </c>
      <c r="E125" s="28">
        <f>SUMIFS(Base!$N$2:$N$4835,Base!$B$2:$B$4835,$A125,Base!$F$2:$F$4835,$B125,Base!$A$2:$A$4835,E$4)</f>
        <v/>
      </c>
      <c r="F125" s="28">
        <f>SUMIFS(Base!$N$2:$N$4835,Base!$B$2:$B$4835,$A125,Base!$F$2:$F$4835,$B125,Base!$A$2:$A$4835,F$4)</f>
        <v/>
      </c>
      <c r="G125" s="28">
        <f>SUMIFS(Base!$N$2:$N$4835,Base!$B$2:$B$4835,$A125,Base!$F$2:$F$4835,$B125,Base!$A$2:$A$4835,G$4)</f>
        <v/>
      </c>
      <c r="H125" s="28">
        <f>SUMIFS(Base!$N$2:$N$4835,Base!$B$2:$B$4835,$A125,Base!$F$2:$F$4835,$B125,Base!$A$2:$A$4835,H$4)</f>
        <v/>
      </c>
      <c r="I125" s="28">
        <f>SUMIFS(Base!$N$2:$N$4835,Base!$B$2:$B$4835,$A125,Base!$F$2:$F$4835,$B125,Base!$A$2:$A$4835,I$4)</f>
        <v/>
      </c>
      <c r="J125" s="28">
        <f>SUMIFS(Base!$N$2:$N$4835,Base!$B$2:$B$4835,$A125,Base!$F$2:$F$4835,$B125,Base!$A$2:$A$4835,J$4)</f>
        <v/>
      </c>
      <c r="K125" s="28">
        <f>SUMIFS(Base!$N$2:$N$4835,Base!$B$2:$B$4835,$A125,Base!$F$2:$F$4835,$B125,Base!$A$2:$A$4835,K$4)</f>
        <v/>
      </c>
      <c r="L125" s="28">
        <f>SUM(C125:K125)</f>
        <v/>
      </c>
      <c r="M125" s="26">
        <f>IFERROR(L125/L$129,"")</f>
        <v/>
      </c>
    </row>
    <row r="126">
      <c r="A126" t="inlineStr">
        <is>
          <t>Frete de compra</t>
        </is>
      </c>
      <c r="B126" t="inlineStr">
        <is>
          <t>TRANSPORTES DE MAQUINAS PLANETA AZUL LTDA</t>
        </is>
      </c>
      <c r="C126" s="28">
        <f>SUMIFS(Base!$N$2:$N$4835,Base!$B$2:$B$4835,$A126,Base!$F$2:$F$4835,$B126,Base!$A$2:$A$4835,C$4)</f>
        <v/>
      </c>
      <c r="D126" s="28">
        <f>SUMIFS(Base!$N$2:$N$4835,Base!$B$2:$B$4835,$A126,Base!$F$2:$F$4835,$B126,Base!$A$2:$A$4835,D$4)</f>
        <v/>
      </c>
      <c r="E126" s="28">
        <f>SUMIFS(Base!$N$2:$N$4835,Base!$B$2:$B$4835,$A126,Base!$F$2:$F$4835,$B126,Base!$A$2:$A$4835,E$4)</f>
        <v/>
      </c>
      <c r="F126" s="28">
        <f>SUMIFS(Base!$N$2:$N$4835,Base!$B$2:$B$4835,$A126,Base!$F$2:$F$4835,$B126,Base!$A$2:$A$4835,F$4)</f>
        <v/>
      </c>
      <c r="G126" s="28">
        <f>SUMIFS(Base!$N$2:$N$4835,Base!$B$2:$B$4835,$A126,Base!$F$2:$F$4835,$B126,Base!$A$2:$A$4835,G$4)</f>
        <v/>
      </c>
      <c r="H126" s="28">
        <f>SUMIFS(Base!$N$2:$N$4835,Base!$B$2:$B$4835,$A126,Base!$F$2:$F$4835,$B126,Base!$A$2:$A$4835,H$4)</f>
        <v/>
      </c>
      <c r="I126" s="28">
        <f>SUMIFS(Base!$N$2:$N$4835,Base!$B$2:$B$4835,$A126,Base!$F$2:$F$4835,$B126,Base!$A$2:$A$4835,I$4)</f>
        <v/>
      </c>
      <c r="J126" s="28">
        <f>SUMIFS(Base!$N$2:$N$4835,Base!$B$2:$B$4835,$A126,Base!$F$2:$F$4835,$B126,Base!$A$2:$A$4835,J$4)</f>
        <v/>
      </c>
      <c r="K126" s="28">
        <f>SUMIFS(Base!$N$2:$N$4835,Base!$B$2:$B$4835,$A126,Base!$F$2:$F$4835,$B126,Base!$A$2:$A$4835,K$4)</f>
        <v/>
      </c>
      <c r="L126" s="28">
        <f>SUM(C126:K126)</f>
        <v/>
      </c>
      <c r="M126" s="26">
        <f>IFERROR(L126/L$129,"")</f>
        <v/>
      </c>
    </row>
    <row r="127">
      <c r="A127" t="inlineStr">
        <is>
          <t>Frete de compra</t>
        </is>
      </c>
      <c r="B127" t="inlineStr">
        <is>
          <t>ALIANCA NAVEGACAO E LOGISTICA LTDA.</t>
        </is>
      </c>
      <c r="C127" s="28">
        <f>SUMIFS(Base!$N$2:$N$4835,Base!$B$2:$B$4835,$A127,Base!$F$2:$F$4835,$B127,Base!$A$2:$A$4835,C$4)</f>
        <v/>
      </c>
      <c r="D127" s="28">
        <f>SUMIFS(Base!$N$2:$N$4835,Base!$B$2:$B$4835,$A127,Base!$F$2:$F$4835,$B127,Base!$A$2:$A$4835,D$4)</f>
        <v/>
      </c>
      <c r="E127" s="28">
        <f>SUMIFS(Base!$N$2:$N$4835,Base!$B$2:$B$4835,$A127,Base!$F$2:$F$4835,$B127,Base!$A$2:$A$4835,E$4)</f>
        <v/>
      </c>
      <c r="F127" s="28">
        <f>SUMIFS(Base!$N$2:$N$4835,Base!$B$2:$B$4835,$A127,Base!$F$2:$F$4835,$B127,Base!$A$2:$A$4835,F$4)</f>
        <v/>
      </c>
      <c r="G127" s="28">
        <f>SUMIFS(Base!$N$2:$N$4835,Base!$B$2:$B$4835,$A127,Base!$F$2:$F$4835,$B127,Base!$A$2:$A$4835,G$4)</f>
        <v/>
      </c>
      <c r="H127" s="28">
        <f>SUMIFS(Base!$N$2:$N$4835,Base!$B$2:$B$4835,$A127,Base!$F$2:$F$4835,$B127,Base!$A$2:$A$4835,H$4)</f>
        <v/>
      </c>
      <c r="I127" s="28">
        <f>SUMIFS(Base!$N$2:$N$4835,Base!$B$2:$B$4835,$A127,Base!$F$2:$F$4835,$B127,Base!$A$2:$A$4835,I$4)</f>
        <v/>
      </c>
      <c r="J127" s="28">
        <f>SUMIFS(Base!$N$2:$N$4835,Base!$B$2:$B$4835,$A127,Base!$F$2:$F$4835,$B127,Base!$A$2:$A$4835,J$4)</f>
        <v/>
      </c>
      <c r="K127" s="28">
        <f>SUMIFS(Base!$N$2:$N$4835,Base!$B$2:$B$4835,$A127,Base!$F$2:$F$4835,$B127,Base!$A$2:$A$4835,K$4)</f>
        <v/>
      </c>
      <c r="L127" s="28">
        <f>SUM(C127:K127)</f>
        <v/>
      </c>
      <c r="M127" s="26">
        <f>IFERROR(L127/L$129,"")</f>
        <v/>
      </c>
    </row>
    <row r="128">
      <c r="A128" t="inlineStr">
        <is>
          <t>Frete de compra</t>
        </is>
      </c>
      <c r="B128" t="inlineStr">
        <is>
          <t>GOL LINHAS AEREAS S.A.</t>
        </is>
      </c>
      <c r="C128" s="28">
        <f>SUMIFS(Base!$N$2:$N$4835,Base!$B$2:$B$4835,$A128,Base!$F$2:$F$4835,$B128,Base!$A$2:$A$4835,C$4)</f>
        <v/>
      </c>
      <c r="D128" s="28">
        <f>SUMIFS(Base!$N$2:$N$4835,Base!$B$2:$B$4835,$A128,Base!$F$2:$F$4835,$B128,Base!$A$2:$A$4835,D$4)</f>
        <v/>
      </c>
      <c r="E128" s="28">
        <f>SUMIFS(Base!$N$2:$N$4835,Base!$B$2:$B$4835,$A128,Base!$F$2:$F$4835,$B128,Base!$A$2:$A$4835,E$4)</f>
        <v/>
      </c>
      <c r="F128" s="28">
        <f>SUMIFS(Base!$N$2:$N$4835,Base!$B$2:$B$4835,$A128,Base!$F$2:$F$4835,$B128,Base!$A$2:$A$4835,F$4)</f>
        <v/>
      </c>
      <c r="G128" s="28">
        <f>SUMIFS(Base!$N$2:$N$4835,Base!$B$2:$B$4835,$A128,Base!$F$2:$F$4835,$B128,Base!$A$2:$A$4835,G$4)</f>
        <v/>
      </c>
      <c r="H128" s="28">
        <f>SUMIFS(Base!$N$2:$N$4835,Base!$B$2:$B$4835,$A128,Base!$F$2:$F$4835,$B128,Base!$A$2:$A$4835,H$4)</f>
        <v/>
      </c>
      <c r="I128" s="28">
        <f>SUMIFS(Base!$N$2:$N$4835,Base!$B$2:$B$4835,$A128,Base!$F$2:$F$4835,$B128,Base!$A$2:$A$4835,I$4)</f>
        <v/>
      </c>
      <c r="J128" s="28">
        <f>SUMIFS(Base!$N$2:$N$4835,Base!$B$2:$B$4835,$A128,Base!$F$2:$F$4835,$B128,Base!$A$2:$A$4835,J$4)</f>
        <v/>
      </c>
      <c r="K128" s="28">
        <f>SUMIFS(Base!$N$2:$N$4835,Base!$B$2:$B$4835,$A128,Base!$F$2:$F$4835,$B128,Base!$A$2:$A$4835,K$4)</f>
        <v/>
      </c>
      <c r="L128" s="28">
        <f>SUM(C128:K128)</f>
        <v/>
      </c>
      <c r="M128" s="26">
        <f>IFERROR(L128/L$129,"")</f>
        <v/>
      </c>
    </row>
    <row r="129">
      <c r="A129" s="7" t="inlineStr">
        <is>
          <t>Frete de compra</t>
        </is>
      </c>
      <c r="B129" s="7" t="inlineStr">
        <is>
          <t>TOTAL Frete de compra</t>
        </is>
      </c>
      <c r="C129" s="21">
        <f>SUM(C125:C128)</f>
        <v/>
      </c>
      <c r="D129" s="21">
        <f>SUM(D125:D128)</f>
        <v/>
      </c>
      <c r="E129" s="21">
        <f>SUM(E125:E128)</f>
        <v/>
      </c>
      <c r="F129" s="21">
        <f>SUM(F125:F128)</f>
        <v/>
      </c>
      <c r="G129" s="21">
        <f>SUM(G125:G128)</f>
        <v/>
      </c>
      <c r="H129" s="21">
        <f>SUM(H125:H128)</f>
        <v/>
      </c>
      <c r="I129" s="21">
        <f>SUM(I125:I128)</f>
        <v/>
      </c>
      <c r="J129" s="21">
        <f>SUM(J125:J128)</f>
        <v/>
      </c>
      <c r="K129" s="21">
        <f>SUM(K125:K128)</f>
        <v/>
      </c>
      <c r="L129" s="21">
        <f>SUM(L125:L128)</f>
        <v/>
      </c>
      <c r="M129" s="7" t="n"/>
    </row>
    <row r="131">
      <c r="A131" t="inlineStr">
        <is>
          <t>Frete de venda</t>
        </is>
      </c>
      <c r="B131" t="inlineStr">
        <is>
          <t>DURA MAIS TRANSPORTES LTDA</t>
        </is>
      </c>
      <c r="C131" s="28">
        <f>SUMIFS(Base!$N$2:$N$4835,Base!$B$2:$B$4835,$A131,Base!$F$2:$F$4835,$B131,Base!$A$2:$A$4835,C$4)</f>
        <v/>
      </c>
      <c r="D131" s="28">
        <f>SUMIFS(Base!$N$2:$N$4835,Base!$B$2:$B$4835,$A131,Base!$F$2:$F$4835,$B131,Base!$A$2:$A$4835,D$4)</f>
        <v/>
      </c>
      <c r="E131" s="28">
        <f>SUMIFS(Base!$N$2:$N$4835,Base!$B$2:$B$4835,$A131,Base!$F$2:$F$4835,$B131,Base!$A$2:$A$4835,E$4)</f>
        <v/>
      </c>
      <c r="F131" s="28">
        <f>SUMIFS(Base!$N$2:$N$4835,Base!$B$2:$B$4835,$A131,Base!$F$2:$F$4835,$B131,Base!$A$2:$A$4835,F$4)</f>
        <v/>
      </c>
      <c r="G131" s="28">
        <f>SUMIFS(Base!$N$2:$N$4835,Base!$B$2:$B$4835,$A131,Base!$F$2:$F$4835,$B131,Base!$A$2:$A$4835,G$4)</f>
        <v/>
      </c>
      <c r="H131" s="28">
        <f>SUMIFS(Base!$N$2:$N$4835,Base!$B$2:$B$4835,$A131,Base!$F$2:$F$4835,$B131,Base!$A$2:$A$4835,H$4)</f>
        <v/>
      </c>
      <c r="I131" s="28">
        <f>SUMIFS(Base!$N$2:$N$4835,Base!$B$2:$B$4835,$A131,Base!$F$2:$F$4835,$B131,Base!$A$2:$A$4835,I$4)</f>
        <v/>
      </c>
      <c r="J131" s="28">
        <f>SUMIFS(Base!$N$2:$N$4835,Base!$B$2:$B$4835,$A131,Base!$F$2:$F$4835,$B131,Base!$A$2:$A$4835,J$4)</f>
        <v/>
      </c>
      <c r="K131" s="28">
        <f>SUMIFS(Base!$N$2:$N$4835,Base!$B$2:$B$4835,$A131,Base!$F$2:$F$4835,$B131,Base!$A$2:$A$4835,K$4)</f>
        <v/>
      </c>
      <c r="L131" s="28">
        <f>SUM(C131:K131)</f>
        <v/>
      </c>
      <c r="M131" s="26">
        <f>IFERROR(L131/L$155,"")</f>
        <v/>
      </c>
    </row>
    <row r="132">
      <c r="A132" t="inlineStr">
        <is>
          <t>Frete de venda</t>
        </is>
      </c>
      <c r="B132" t="inlineStr">
        <is>
          <t>R&amp;R TRANSPORTE E LOGISTICA</t>
        </is>
      </c>
      <c r="C132" s="28">
        <f>SUMIFS(Base!$N$2:$N$4835,Base!$B$2:$B$4835,$A132,Base!$F$2:$F$4835,$B132,Base!$A$2:$A$4835,C$4)</f>
        <v/>
      </c>
      <c r="D132" s="28">
        <f>SUMIFS(Base!$N$2:$N$4835,Base!$B$2:$B$4835,$A132,Base!$F$2:$F$4835,$B132,Base!$A$2:$A$4835,D$4)</f>
        <v/>
      </c>
      <c r="E132" s="28">
        <f>SUMIFS(Base!$N$2:$N$4835,Base!$B$2:$B$4835,$A132,Base!$F$2:$F$4835,$B132,Base!$A$2:$A$4835,E$4)</f>
        <v/>
      </c>
      <c r="F132" s="28">
        <f>SUMIFS(Base!$N$2:$N$4835,Base!$B$2:$B$4835,$A132,Base!$F$2:$F$4835,$B132,Base!$A$2:$A$4835,F$4)</f>
        <v/>
      </c>
      <c r="G132" s="28">
        <f>SUMIFS(Base!$N$2:$N$4835,Base!$B$2:$B$4835,$A132,Base!$F$2:$F$4835,$B132,Base!$A$2:$A$4835,G$4)</f>
        <v/>
      </c>
      <c r="H132" s="28">
        <f>SUMIFS(Base!$N$2:$N$4835,Base!$B$2:$B$4835,$A132,Base!$F$2:$F$4835,$B132,Base!$A$2:$A$4835,H$4)</f>
        <v/>
      </c>
      <c r="I132" s="28">
        <f>SUMIFS(Base!$N$2:$N$4835,Base!$B$2:$B$4835,$A132,Base!$F$2:$F$4835,$B132,Base!$A$2:$A$4835,I$4)</f>
        <v/>
      </c>
      <c r="J132" s="28">
        <f>SUMIFS(Base!$N$2:$N$4835,Base!$B$2:$B$4835,$A132,Base!$F$2:$F$4835,$B132,Base!$A$2:$A$4835,J$4)</f>
        <v/>
      </c>
      <c r="K132" s="28">
        <f>SUMIFS(Base!$N$2:$N$4835,Base!$B$2:$B$4835,$A132,Base!$F$2:$F$4835,$B132,Base!$A$2:$A$4835,K$4)</f>
        <v/>
      </c>
      <c r="L132" s="28">
        <f>SUM(C132:K132)</f>
        <v/>
      </c>
      <c r="M132" s="26">
        <f>IFERROR(L132/L$155,"")</f>
        <v/>
      </c>
    </row>
    <row r="133">
      <c r="A133" t="inlineStr">
        <is>
          <t>Frete de venda</t>
        </is>
      </c>
      <c r="B133" t="inlineStr">
        <is>
          <t>RAPIDO XAPURI TRANSPORTES E LOGISTICA LTDA</t>
        </is>
      </c>
      <c r="C133" s="28">
        <f>SUMIFS(Base!$N$2:$N$4835,Base!$B$2:$B$4835,$A133,Base!$F$2:$F$4835,$B133,Base!$A$2:$A$4835,C$4)</f>
        <v/>
      </c>
      <c r="D133" s="28">
        <f>SUMIFS(Base!$N$2:$N$4835,Base!$B$2:$B$4835,$A133,Base!$F$2:$F$4835,$B133,Base!$A$2:$A$4835,D$4)</f>
        <v/>
      </c>
      <c r="E133" s="28">
        <f>SUMIFS(Base!$N$2:$N$4835,Base!$B$2:$B$4835,$A133,Base!$F$2:$F$4835,$B133,Base!$A$2:$A$4835,E$4)</f>
        <v/>
      </c>
      <c r="F133" s="28">
        <f>SUMIFS(Base!$N$2:$N$4835,Base!$B$2:$B$4835,$A133,Base!$F$2:$F$4835,$B133,Base!$A$2:$A$4835,F$4)</f>
        <v/>
      </c>
      <c r="G133" s="28">
        <f>SUMIFS(Base!$N$2:$N$4835,Base!$B$2:$B$4835,$A133,Base!$F$2:$F$4835,$B133,Base!$A$2:$A$4835,G$4)</f>
        <v/>
      </c>
      <c r="H133" s="28">
        <f>SUMIFS(Base!$N$2:$N$4835,Base!$B$2:$B$4835,$A133,Base!$F$2:$F$4835,$B133,Base!$A$2:$A$4835,H$4)</f>
        <v/>
      </c>
      <c r="I133" s="28">
        <f>SUMIFS(Base!$N$2:$N$4835,Base!$B$2:$B$4835,$A133,Base!$F$2:$F$4835,$B133,Base!$A$2:$A$4835,I$4)</f>
        <v/>
      </c>
      <c r="J133" s="28">
        <f>SUMIFS(Base!$N$2:$N$4835,Base!$B$2:$B$4835,$A133,Base!$F$2:$F$4835,$B133,Base!$A$2:$A$4835,J$4)</f>
        <v/>
      </c>
      <c r="K133" s="28">
        <f>SUMIFS(Base!$N$2:$N$4835,Base!$B$2:$B$4835,$A133,Base!$F$2:$F$4835,$B133,Base!$A$2:$A$4835,K$4)</f>
        <v/>
      </c>
      <c r="L133" s="28">
        <f>SUM(C133:K133)</f>
        <v/>
      </c>
      <c r="M133" s="26">
        <f>IFERROR(L133/L$155,"")</f>
        <v/>
      </c>
    </row>
    <row r="134">
      <c r="A134" t="inlineStr">
        <is>
          <t>Frete de venda</t>
        </is>
      </c>
      <c r="B134" t="inlineStr">
        <is>
          <t>TRANSPORTE OLIVEIRA E MELLOI - IDEALIZA TRANSPORTES</t>
        </is>
      </c>
      <c r="C134" s="28">
        <f>SUMIFS(Base!$N$2:$N$4835,Base!$B$2:$B$4835,$A134,Base!$F$2:$F$4835,$B134,Base!$A$2:$A$4835,C$4)</f>
        <v/>
      </c>
      <c r="D134" s="28">
        <f>SUMIFS(Base!$N$2:$N$4835,Base!$B$2:$B$4835,$A134,Base!$F$2:$F$4835,$B134,Base!$A$2:$A$4835,D$4)</f>
        <v/>
      </c>
      <c r="E134" s="28">
        <f>SUMIFS(Base!$N$2:$N$4835,Base!$B$2:$B$4835,$A134,Base!$F$2:$F$4835,$B134,Base!$A$2:$A$4835,E$4)</f>
        <v/>
      </c>
      <c r="F134" s="28">
        <f>SUMIFS(Base!$N$2:$N$4835,Base!$B$2:$B$4835,$A134,Base!$F$2:$F$4835,$B134,Base!$A$2:$A$4835,F$4)</f>
        <v/>
      </c>
      <c r="G134" s="28">
        <f>SUMIFS(Base!$N$2:$N$4835,Base!$B$2:$B$4835,$A134,Base!$F$2:$F$4835,$B134,Base!$A$2:$A$4835,G$4)</f>
        <v/>
      </c>
      <c r="H134" s="28">
        <f>SUMIFS(Base!$N$2:$N$4835,Base!$B$2:$B$4835,$A134,Base!$F$2:$F$4835,$B134,Base!$A$2:$A$4835,H$4)</f>
        <v/>
      </c>
      <c r="I134" s="28">
        <f>SUMIFS(Base!$N$2:$N$4835,Base!$B$2:$B$4835,$A134,Base!$F$2:$F$4835,$B134,Base!$A$2:$A$4835,I$4)</f>
        <v/>
      </c>
      <c r="J134" s="28">
        <f>SUMIFS(Base!$N$2:$N$4835,Base!$B$2:$B$4835,$A134,Base!$F$2:$F$4835,$B134,Base!$A$2:$A$4835,J$4)</f>
        <v/>
      </c>
      <c r="K134" s="28">
        <f>SUMIFS(Base!$N$2:$N$4835,Base!$B$2:$B$4835,$A134,Base!$F$2:$F$4835,$B134,Base!$A$2:$A$4835,K$4)</f>
        <v/>
      </c>
      <c r="L134" s="28">
        <f>SUM(C134:K134)</f>
        <v/>
      </c>
      <c r="M134" s="26">
        <f>IFERROR(L134/L$155,"")</f>
        <v/>
      </c>
    </row>
    <row r="135">
      <c r="A135" t="inlineStr">
        <is>
          <t>Frete de venda</t>
        </is>
      </c>
      <c r="B135" t="inlineStr">
        <is>
          <t>PICCOLI TRANSPORTES LTDA</t>
        </is>
      </c>
      <c r="C135" s="28">
        <f>SUMIFS(Base!$N$2:$N$4835,Base!$B$2:$B$4835,$A135,Base!$F$2:$F$4835,$B135,Base!$A$2:$A$4835,C$4)</f>
        <v/>
      </c>
      <c r="D135" s="28">
        <f>SUMIFS(Base!$N$2:$N$4835,Base!$B$2:$B$4835,$A135,Base!$F$2:$F$4835,$B135,Base!$A$2:$A$4835,D$4)</f>
        <v/>
      </c>
      <c r="E135" s="28">
        <f>SUMIFS(Base!$N$2:$N$4835,Base!$B$2:$B$4835,$A135,Base!$F$2:$F$4835,$B135,Base!$A$2:$A$4835,E$4)</f>
        <v/>
      </c>
      <c r="F135" s="28">
        <f>SUMIFS(Base!$N$2:$N$4835,Base!$B$2:$B$4835,$A135,Base!$F$2:$F$4835,$B135,Base!$A$2:$A$4835,F$4)</f>
        <v/>
      </c>
      <c r="G135" s="28">
        <f>SUMIFS(Base!$N$2:$N$4835,Base!$B$2:$B$4835,$A135,Base!$F$2:$F$4835,$B135,Base!$A$2:$A$4835,G$4)</f>
        <v/>
      </c>
      <c r="H135" s="28">
        <f>SUMIFS(Base!$N$2:$N$4835,Base!$B$2:$B$4835,$A135,Base!$F$2:$F$4835,$B135,Base!$A$2:$A$4835,H$4)</f>
        <v/>
      </c>
      <c r="I135" s="28">
        <f>SUMIFS(Base!$N$2:$N$4835,Base!$B$2:$B$4835,$A135,Base!$F$2:$F$4835,$B135,Base!$A$2:$A$4835,I$4)</f>
        <v/>
      </c>
      <c r="J135" s="28">
        <f>SUMIFS(Base!$N$2:$N$4835,Base!$B$2:$B$4835,$A135,Base!$F$2:$F$4835,$B135,Base!$A$2:$A$4835,J$4)</f>
        <v/>
      </c>
      <c r="K135" s="28">
        <f>SUMIFS(Base!$N$2:$N$4835,Base!$B$2:$B$4835,$A135,Base!$F$2:$F$4835,$B135,Base!$A$2:$A$4835,K$4)</f>
        <v/>
      </c>
      <c r="L135" s="28">
        <f>SUM(C135:K135)</f>
        <v/>
      </c>
      <c r="M135" s="26">
        <f>IFERROR(L135/L$155,"")</f>
        <v/>
      </c>
    </row>
    <row r="136">
      <c r="A136" t="inlineStr">
        <is>
          <t>Frete de venda</t>
        </is>
      </c>
      <c r="B136" t="inlineStr">
        <is>
          <t>ADIL CARLOS DA SILVA</t>
        </is>
      </c>
      <c r="C136" s="28">
        <f>SUMIFS(Base!$N$2:$N$4835,Base!$B$2:$B$4835,$A136,Base!$F$2:$F$4835,$B136,Base!$A$2:$A$4835,C$4)</f>
        <v/>
      </c>
      <c r="D136" s="28">
        <f>SUMIFS(Base!$N$2:$N$4835,Base!$B$2:$B$4835,$A136,Base!$F$2:$F$4835,$B136,Base!$A$2:$A$4835,D$4)</f>
        <v/>
      </c>
      <c r="E136" s="28">
        <f>SUMIFS(Base!$N$2:$N$4835,Base!$B$2:$B$4835,$A136,Base!$F$2:$F$4835,$B136,Base!$A$2:$A$4835,E$4)</f>
        <v/>
      </c>
      <c r="F136" s="28">
        <f>SUMIFS(Base!$N$2:$N$4835,Base!$B$2:$B$4835,$A136,Base!$F$2:$F$4835,$B136,Base!$A$2:$A$4835,F$4)</f>
        <v/>
      </c>
      <c r="G136" s="28">
        <f>SUMIFS(Base!$N$2:$N$4835,Base!$B$2:$B$4835,$A136,Base!$F$2:$F$4835,$B136,Base!$A$2:$A$4835,G$4)</f>
        <v/>
      </c>
      <c r="H136" s="28">
        <f>SUMIFS(Base!$N$2:$N$4835,Base!$B$2:$B$4835,$A136,Base!$F$2:$F$4835,$B136,Base!$A$2:$A$4835,H$4)</f>
        <v/>
      </c>
      <c r="I136" s="28">
        <f>SUMIFS(Base!$N$2:$N$4835,Base!$B$2:$B$4835,$A136,Base!$F$2:$F$4835,$B136,Base!$A$2:$A$4835,I$4)</f>
        <v/>
      </c>
      <c r="J136" s="28">
        <f>SUMIFS(Base!$N$2:$N$4835,Base!$B$2:$B$4835,$A136,Base!$F$2:$F$4835,$B136,Base!$A$2:$A$4835,J$4)</f>
        <v/>
      </c>
      <c r="K136" s="28">
        <f>SUMIFS(Base!$N$2:$N$4835,Base!$B$2:$B$4835,$A136,Base!$F$2:$F$4835,$B136,Base!$A$2:$A$4835,K$4)</f>
        <v/>
      </c>
      <c r="L136" s="28">
        <f>SUM(C136:K136)</f>
        <v/>
      </c>
      <c r="M136" s="26">
        <f>IFERROR(L136/L$155,"")</f>
        <v/>
      </c>
    </row>
    <row r="137">
      <c r="A137" t="inlineStr">
        <is>
          <t>Frete de venda</t>
        </is>
      </c>
      <c r="B137" t="inlineStr">
        <is>
          <t>TRANSFORRECHI TRANSPORTES LTDA</t>
        </is>
      </c>
      <c r="C137" s="28">
        <f>SUMIFS(Base!$N$2:$N$4835,Base!$B$2:$B$4835,$A137,Base!$F$2:$F$4835,$B137,Base!$A$2:$A$4835,C$4)</f>
        <v/>
      </c>
      <c r="D137" s="28">
        <f>SUMIFS(Base!$N$2:$N$4835,Base!$B$2:$B$4835,$A137,Base!$F$2:$F$4835,$B137,Base!$A$2:$A$4835,D$4)</f>
        <v/>
      </c>
      <c r="E137" s="28">
        <f>SUMIFS(Base!$N$2:$N$4835,Base!$B$2:$B$4835,$A137,Base!$F$2:$F$4835,$B137,Base!$A$2:$A$4835,E$4)</f>
        <v/>
      </c>
      <c r="F137" s="28">
        <f>SUMIFS(Base!$N$2:$N$4835,Base!$B$2:$B$4835,$A137,Base!$F$2:$F$4835,$B137,Base!$A$2:$A$4835,F$4)</f>
        <v/>
      </c>
      <c r="G137" s="28">
        <f>SUMIFS(Base!$N$2:$N$4835,Base!$B$2:$B$4835,$A137,Base!$F$2:$F$4835,$B137,Base!$A$2:$A$4835,G$4)</f>
        <v/>
      </c>
      <c r="H137" s="28">
        <f>SUMIFS(Base!$N$2:$N$4835,Base!$B$2:$B$4835,$A137,Base!$F$2:$F$4835,$B137,Base!$A$2:$A$4835,H$4)</f>
        <v/>
      </c>
      <c r="I137" s="28">
        <f>SUMIFS(Base!$N$2:$N$4835,Base!$B$2:$B$4835,$A137,Base!$F$2:$F$4835,$B137,Base!$A$2:$A$4835,I$4)</f>
        <v/>
      </c>
      <c r="J137" s="28">
        <f>SUMIFS(Base!$N$2:$N$4835,Base!$B$2:$B$4835,$A137,Base!$F$2:$F$4835,$B137,Base!$A$2:$A$4835,J$4)</f>
        <v/>
      </c>
      <c r="K137" s="28">
        <f>SUMIFS(Base!$N$2:$N$4835,Base!$B$2:$B$4835,$A137,Base!$F$2:$F$4835,$B137,Base!$A$2:$A$4835,K$4)</f>
        <v/>
      </c>
      <c r="L137" s="28">
        <f>SUM(C137:K137)</f>
        <v/>
      </c>
      <c r="M137" s="26">
        <f>IFERROR(L137/L$155,"")</f>
        <v/>
      </c>
    </row>
    <row r="138">
      <c r="A138" t="inlineStr">
        <is>
          <t>Frete de venda</t>
        </is>
      </c>
      <c r="B138" t="inlineStr">
        <is>
          <t>BEM TRANSPORTES E LOGISTICA</t>
        </is>
      </c>
      <c r="C138" s="28">
        <f>SUMIFS(Base!$N$2:$N$4835,Base!$B$2:$B$4835,$A138,Base!$F$2:$F$4835,$B138,Base!$A$2:$A$4835,C$4)</f>
        <v/>
      </c>
      <c r="D138" s="28">
        <f>SUMIFS(Base!$N$2:$N$4835,Base!$B$2:$B$4835,$A138,Base!$F$2:$F$4835,$B138,Base!$A$2:$A$4835,D$4)</f>
        <v/>
      </c>
      <c r="E138" s="28">
        <f>SUMIFS(Base!$N$2:$N$4835,Base!$B$2:$B$4835,$A138,Base!$F$2:$F$4835,$B138,Base!$A$2:$A$4835,E$4)</f>
        <v/>
      </c>
      <c r="F138" s="28">
        <f>SUMIFS(Base!$N$2:$N$4835,Base!$B$2:$B$4835,$A138,Base!$F$2:$F$4835,$B138,Base!$A$2:$A$4835,F$4)</f>
        <v/>
      </c>
      <c r="G138" s="28">
        <f>SUMIFS(Base!$N$2:$N$4835,Base!$B$2:$B$4835,$A138,Base!$F$2:$F$4835,$B138,Base!$A$2:$A$4835,G$4)</f>
        <v/>
      </c>
      <c r="H138" s="28">
        <f>SUMIFS(Base!$N$2:$N$4835,Base!$B$2:$B$4835,$A138,Base!$F$2:$F$4835,$B138,Base!$A$2:$A$4835,H$4)</f>
        <v/>
      </c>
      <c r="I138" s="28">
        <f>SUMIFS(Base!$N$2:$N$4835,Base!$B$2:$B$4835,$A138,Base!$F$2:$F$4835,$B138,Base!$A$2:$A$4835,I$4)</f>
        <v/>
      </c>
      <c r="J138" s="28">
        <f>SUMIFS(Base!$N$2:$N$4835,Base!$B$2:$B$4835,$A138,Base!$F$2:$F$4835,$B138,Base!$A$2:$A$4835,J$4)</f>
        <v/>
      </c>
      <c r="K138" s="28">
        <f>SUMIFS(Base!$N$2:$N$4835,Base!$B$2:$B$4835,$A138,Base!$F$2:$F$4835,$B138,Base!$A$2:$A$4835,K$4)</f>
        <v/>
      </c>
      <c r="L138" s="28">
        <f>SUM(C138:K138)</f>
        <v/>
      </c>
      <c r="M138" s="26">
        <f>IFERROR(L138/L$155,"")</f>
        <v/>
      </c>
    </row>
    <row r="139">
      <c r="A139" t="inlineStr">
        <is>
          <t>Frete de venda</t>
        </is>
      </c>
      <c r="B139" t="inlineStr">
        <is>
          <t>REIMAG - REINALDO DOMINGUES BARROS DA SILVA</t>
        </is>
      </c>
      <c r="C139" s="28">
        <f>SUMIFS(Base!$N$2:$N$4835,Base!$B$2:$B$4835,$A139,Base!$F$2:$F$4835,$B139,Base!$A$2:$A$4835,C$4)</f>
        <v/>
      </c>
      <c r="D139" s="28">
        <f>SUMIFS(Base!$N$2:$N$4835,Base!$B$2:$B$4835,$A139,Base!$F$2:$F$4835,$B139,Base!$A$2:$A$4835,D$4)</f>
        <v/>
      </c>
      <c r="E139" s="28">
        <f>SUMIFS(Base!$N$2:$N$4835,Base!$B$2:$B$4835,$A139,Base!$F$2:$F$4835,$B139,Base!$A$2:$A$4835,E$4)</f>
        <v/>
      </c>
      <c r="F139" s="28">
        <f>SUMIFS(Base!$N$2:$N$4835,Base!$B$2:$B$4835,$A139,Base!$F$2:$F$4835,$B139,Base!$A$2:$A$4835,F$4)</f>
        <v/>
      </c>
      <c r="G139" s="28">
        <f>SUMIFS(Base!$N$2:$N$4835,Base!$B$2:$B$4835,$A139,Base!$F$2:$F$4835,$B139,Base!$A$2:$A$4835,G$4)</f>
        <v/>
      </c>
      <c r="H139" s="28">
        <f>SUMIFS(Base!$N$2:$N$4835,Base!$B$2:$B$4835,$A139,Base!$F$2:$F$4835,$B139,Base!$A$2:$A$4835,H$4)</f>
        <v/>
      </c>
      <c r="I139" s="28">
        <f>SUMIFS(Base!$N$2:$N$4835,Base!$B$2:$B$4835,$A139,Base!$F$2:$F$4835,$B139,Base!$A$2:$A$4835,I$4)</f>
        <v/>
      </c>
      <c r="J139" s="28">
        <f>SUMIFS(Base!$N$2:$N$4835,Base!$B$2:$B$4835,$A139,Base!$F$2:$F$4835,$B139,Base!$A$2:$A$4835,J$4)</f>
        <v/>
      </c>
      <c r="K139" s="28">
        <f>SUMIFS(Base!$N$2:$N$4835,Base!$B$2:$B$4835,$A139,Base!$F$2:$F$4835,$B139,Base!$A$2:$A$4835,K$4)</f>
        <v/>
      </c>
      <c r="L139" s="28">
        <f>SUM(C139:K139)</f>
        <v/>
      </c>
      <c r="M139" s="26">
        <f>IFERROR(L139/L$155,"")</f>
        <v/>
      </c>
    </row>
    <row r="140">
      <c r="A140" t="inlineStr">
        <is>
          <t>Frete de venda</t>
        </is>
      </c>
      <c r="B140" t="inlineStr">
        <is>
          <t>CAZAN TRANSPORTES LTDA</t>
        </is>
      </c>
      <c r="C140" s="28">
        <f>SUMIFS(Base!$N$2:$N$4835,Base!$B$2:$B$4835,$A140,Base!$F$2:$F$4835,$B140,Base!$A$2:$A$4835,C$4)</f>
        <v/>
      </c>
      <c r="D140" s="28">
        <f>SUMIFS(Base!$N$2:$N$4835,Base!$B$2:$B$4835,$A140,Base!$F$2:$F$4835,$B140,Base!$A$2:$A$4835,D$4)</f>
        <v/>
      </c>
      <c r="E140" s="28">
        <f>SUMIFS(Base!$N$2:$N$4835,Base!$B$2:$B$4835,$A140,Base!$F$2:$F$4835,$B140,Base!$A$2:$A$4835,E$4)</f>
        <v/>
      </c>
      <c r="F140" s="28">
        <f>SUMIFS(Base!$N$2:$N$4835,Base!$B$2:$B$4835,$A140,Base!$F$2:$F$4835,$B140,Base!$A$2:$A$4835,F$4)</f>
        <v/>
      </c>
      <c r="G140" s="28">
        <f>SUMIFS(Base!$N$2:$N$4835,Base!$B$2:$B$4835,$A140,Base!$F$2:$F$4835,$B140,Base!$A$2:$A$4835,G$4)</f>
        <v/>
      </c>
      <c r="H140" s="28">
        <f>SUMIFS(Base!$N$2:$N$4835,Base!$B$2:$B$4835,$A140,Base!$F$2:$F$4835,$B140,Base!$A$2:$A$4835,H$4)</f>
        <v/>
      </c>
      <c r="I140" s="28">
        <f>SUMIFS(Base!$N$2:$N$4835,Base!$B$2:$B$4835,$A140,Base!$F$2:$F$4835,$B140,Base!$A$2:$A$4835,I$4)</f>
        <v/>
      </c>
      <c r="J140" s="28">
        <f>SUMIFS(Base!$N$2:$N$4835,Base!$B$2:$B$4835,$A140,Base!$F$2:$F$4835,$B140,Base!$A$2:$A$4835,J$4)</f>
        <v/>
      </c>
      <c r="K140" s="28">
        <f>SUMIFS(Base!$N$2:$N$4835,Base!$B$2:$B$4835,$A140,Base!$F$2:$F$4835,$B140,Base!$A$2:$A$4835,K$4)</f>
        <v/>
      </c>
      <c r="L140" s="28">
        <f>SUM(C140:K140)</f>
        <v/>
      </c>
      <c r="M140" s="26">
        <f>IFERROR(L140/L$155,"")</f>
        <v/>
      </c>
    </row>
    <row r="141">
      <c r="A141" t="inlineStr">
        <is>
          <t>Frete de venda</t>
        </is>
      </c>
      <c r="B141" t="inlineStr">
        <is>
          <t>26.221.654 ROGERIO DA CUNHA FERREIRA</t>
        </is>
      </c>
      <c r="C141" s="28">
        <f>SUMIFS(Base!$N$2:$N$4835,Base!$B$2:$B$4835,$A141,Base!$F$2:$F$4835,$B141,Base!$A$2:$A$4835,C$4)</f>
        <v/>
      </c>
      <c r="D141" s="28">
        <f>SUMIFS(Base!$N$2:$N$4835,Base!$B$2:$B$4835,$A141,Base!$F$2:$F$4835,$B141,Base!$A$2:$A$4835,D$4)</f>
        <v/>
      </c>
      <c r="E141" s="28">
        <f>SUMIFS(Base!$N$2:$N$4835,Base!$B$2:$B$4835,$A141,Base!$F$2:$F$4835,$B141,Base!$A$2:$A$4835,E$4)</f>
        <v/>
      </c>
      <c r="F141" s="28">
        <f>SUMIFS(Base!$N$2:$N$4835,Base!$B$2:$B$4835,$A141,Base!$F$2:$F$4835,$B141,Base!$A$2:$A$4835,F$4)</f>
        <v/>
      </c>
      <c r="G141" s="28">
        <f>SUMIFS(Base!$N$2:$N$4835,Base!$B$2:$B$4835,$A141,Base!$F$2:$F$4835,$B141,Base!$A$2:$A$4835,G$4)</f>
        <v/>
      </c>
      <c r="H141" s="28">
        <f>SUMIFS(Base!$N$2:$N$4835,Base!$B$2:$B$4835,$A141,Base!$F$2:$F$4835,$B141,Base!$A$2:$A$4835,H$4)</f>
        <v/>
      </c>
      <c r="I141" s="28">
        <f>SUMIFS(Base!$N$2:$N$4835,Base!$B$2:$B$4835,$A141,Base!$F$2:$F$4835,$B141,Base!$A$2:$A$4835,I$4)</f>
        <v/>
      </c>
      <c r="J141" s="28">
        <f>SUMIFS(Base!$N$2:$N$4835,Base!$B$2:$B$4835,$A141,Base!$F$2:$F$4835,$B141,Base!$A$2:$A$4835,J$4)</f>
        <v/>
      </c>
      <c r="K141" s="28">
        <f>SUMIFS(Base!$N$2:$N$4835,Base!$B$2:$B$4835,$A141,Base!$F$2:$F$4835,$B141,Base!$A$2:$A$4835,K$4)</f>
        <v/>
      </c>
      <c r="L141" s="28">
        <f>SUM(C141:K141)</f>
        <v/>
      </c>
      <c r="M141" s="26">
        <f>IFERROR(L141/L$155,"")</f>
        <v/>
      </c>
    </row>
    <row r="142">
      <c r="A142" t="inlineStr">
        <is>
          <t>Frete de venda</t>
        </is>
      </c>
      <c r="B142" t="inlineStr">
        <is>
          <t>DR CARGO TRANSPORTE DE CARGAS LTDA</t>
        </is>
      </c>
      <c r="C142" s="28">
        <f>SUMIFS(Base!$N$2:$N$4835,Base!$B$2:$B$4835,$A142,Base!$F$2:$F$4835,$B142,Base!$A$2:$A$4835,C$4)</f>
        <v/>
      </c>
      <c r="D142" s="28">
        <f>SUMIFS(Base!$N$2:$N$4835,Base!$B$2:$B$4835,$A142,Base!$F$2:$F$4835,$B142,Base!$A$2:$A$4835,D$4)</f>
        <v/>
      </c>
      <c r="E142" s="28">
        <f>SUMIFS(Base!$N$2:$N$4835,Base!$B$2:$B$4835,$A142,Base!$F$2:$F$4835,$B142,Base!$A$2:$A$4835,E$4)</f>
        <v/>
      </c>
      <c r="F142" s="28">
        <f>SUMIFS(Base!$N$2:$N$4835,Base!$B$2:$B$4835,$A142,Base!$F$2:$F$4835,$B142,Base!$A$2:$A$4835,F$4)</f>
        <v/>
      </c>
      <c r="G142" s="28">
        <f>SUMIFS(Base!$N$2:$N$4835,Base!$B$2:$B$4835,$A142,Base!$F$2:$F$4835,$B142,Base!$A$2:$A$4835,G$4)</f>
        <v/>
      </c>
      <c r="H142" s="28">
        <f>SUMIFS(Base!$N$2:$N$4835,Base!$B$2:$B$4835,$A142,Base!$F$2:$F$4835,$B142,Base!$A$2:$A$4835,H$4)</f>
        <v/>
      </c>
      <c r="I142" s="28">
        <f>SUMIFS(Base!$N$2:$N$4835,Base!$B$2:$B$4835,$A142,Base!$F$2:$F$4835,$B142,Base!$A$2:$A$4835,I$4)</f>
        <v/>
      </c>
      <c r="J142" s="28">
        <f>SUMIFS(Base!$N$2:$N$4835,Base!$B$2:$B$4835,$A142,Base!$F$2:$F$4835,$B142,Base!$A$2:$A$4835,J$4)</f>
        <v/>
      </c>
      <c r="K142" s="28">
        <f>SUMIFS(Base!$N$2:$N$4835,Base!$B$2:$B$4835,$A142,Base!$F$2:$F$4835,$B142,Base!$A$2:$A$4835,K$4)</f>
        <v/>
      </c>
      <c r="L142" s="28">
        <f>SUM(C142:K142)</f>
        <v/>
      </c>
      <c r="M142" s="26">
        <f>IFERROR(L142/L$155,"")</f>
        <v/>
      </c>
    </row>
    <row r="143">
      <c r="A143" t="inlineStr">
        <is>
          <t>Frete de venda</t>
        </is>
      </c>
      <c r="B143" t="inlineStr">
        <is>
          <t>MARCOS RIBEIRO DE MELO</t>
        </is>
      </c>
      <c r="C143" s="28">
        <f>SUMIFS(Base!$N$2:$N$4835,Base!$B$2:$B$4835,$A143,Base!$F$2:$F$4835,$B143,Base!$A$2:$A$4835,C$4)</f>
        <v/>
      </c>
      <c r="D143" s="28">
        <f>SUMIFS(Base!$N$2:$N$4835,Base!$B$2:$B$4835,$A143,Base!$F$2:$F$4835,$B143,Base!$A$2:$A$4835,D$4)</f>
        <v/>
      </c>
      <c r="E143" s="28">
        <f>SUMIFS(Base!$N$2:$N$4835,Base!$B$2:$B$4835,$A143,Base!$F$2:$F$4835,$B143,Base!$A$2:$A$4835,E$4)</f>
        <v/>
      </c>
      <c r="F143" s="28">
        <f>SUMIFS(Base!$N$2:$N$4835,Base!$B$2:$B$4835,$A143,Base!$F$2:$F$4835,$B143,Base!$A$2:$A$4835,F$4)</f>
        <v/>
      </c>
      <c r="G143" s="28">
        <f>SUMIFS(Base!$N$2:$N$4835,Base!$B$2:$B$4835,$A143,Base!$F$2:$F$4835,$B143,Base!$A$2:$A$4835,G$4)</f>
        <v/>
      </c>
      <c r="H143" s="28">
        <f>SUMIFS(Base!$N$2:$N$4835,Base!$B$2:$B$4835,$A143,Base!$F$2:$F$4835,$B143,Base!$A$2:$A$4835,H$4)</f>
        <v/>
      </c>
      <c r="I143" s="28">
        <f>SUMIFS(Base!$N$2:$N$4835,Base!$B$2:$B$4835,$A143,Base!$F$2:$F$4835,$B143,Base!$A$2:$A$4835,I$4)</f>
        <v/>
      </c>
      <c r="J143" s="28">
        <f>SUMIFS(Base!$N$2:$N$4835,Base!$B$2:$B$4835,$A143,Base!$F$2:$F$4835,$B143,Base!$A$2:$A$4835,J$4)</f>
        <v/>
      </c>
      <c r="K143" s="28">
        <f>SUMIFS(Base!$N$2:$N$4835,Base!$B$2:$B$4835,$A143,Base!$F$2:$F$4835,$B143,Base!$A$2:$A$4835,K$4)</f>
        <v/>
      </c>
      <c r="L143" s="28">
        <f>SUM(C143:K143)</f>
        <v/>
      </c>
      <c r="M143" s="26">
        <f>IFERROR(L143/L$155,"")</f>
        <v/>
      </c>
    </row>
    <row r="144">
      <c r="A144" t="inlineStr">
        <is>
          <t>Frete de venda</t>
        </is>
      </c>
      <c r="B144" t="inlineStr">
        <is>
          <t>RF BRA TRANSPORTES LTDA</t>
        </is>
      </c>
      <c r="C144" s="28">
        <f>SUMIFS(Base!$N$2:$N$4835,Base!$B$2:$B$4835,$A144,Base!$F$2:$F$4835,$B144,Base!$A$2:$A$4835,C$4)</f>
        <v/>
      </c>
      <c r="D144" s="28">
        <f>SUMIFS(Base!$N$2:$N$4835,Base!$B$2:$B$4835,$A144,Base!$F$2:$F$4835,$B144,Base!$A$2:$A$4835,D$4)</f>
        <v/>
      </c>
      <c r="E144" s="28">
        <f>SUMIFS(Base!$N$2:$N$4835,Base!$B$2:$B$4835,$A144,Base!$F$2:$F$4835,$B144,Base!$A$2:$A$4835,E$4)</f>
        <v/>
      </c>
      <c r="F144" s="28">
        <f>SUMIFS(Base!$N$2:$N$4835,Base!$B$2:$B$4835,$A144,Base!$F$2:$F$4835,$B144,Base!$A$2:$A$4835,F$4)</f>
        <v/>
      </c>
      <c r="G144" s="28">
        <f>SUMIFS(Base!$N$2:$N$4835,Base!$B$2:$B$4835,$A144,Base!$F$2:$F$4835,$B144,Base!$A$2:$A$4835,G$4)</f>
        <v/>
      </c>
      <c r="H144" s="28">
        <f>SUMIFS(Base!$N$2:$N$4835,Base!$B$2:$B$4835,$A144,Base!$F$2:$F$4835,$B144,Base!$A$2:$A$4835,H$4)</f>
        <v/>
      </c>
      <c r="I144" s="28">
        <f>SUMIFS(Base!$N$2:$N$4835,Base!$B$2:$B$4835,$A144,Base!$F$2:$F$4835,$B144,Base!$A$2:$A$4835,I$4)</f>
        <v/>
      </c>
      <c r="J144" s="28">
        <f>SUMIFS(Base!$N$2:$N$4835,Base!$B$2:$B$4835,$A144,Base!$F$2:$F$4835,$B144,Base!$A$2:$A$4835,J$4)</f>
        <v/>
      </c>
      <c r="K144" s="28">
        <f>SUMIFS(Base!$N$2:$N$4835,Base!$B$2:$B$4835,$A144,Base!$F$2:$F$4835,$B144,Base!$A$2:$A$4835,K$4)</f>
        <v/>
      </c>
      <c r="L144" s="28">
        <f>SUM(C144:K144)</f>
        <v/>
      </c>
      <c r="M144" s="26">
        <f>IFERROR(L144/L$155,"")</f>
        <v/>
      </c>
    </row>
    <row r="145">
      <c r="A145" t="inlineStr">
        <is>
          <t>Frete de venda</t>
        </is>
      </c>
      <c r="B145" t="inlineStr">
        <is>
          <t>UNIVERSAL CARGAS EXPRESS</t>
        </is>
      </c>
      <c r="C145" s="28">
        <f>SUMIFS(Base!$N$2:$N$4835,Base!$B$2:$B$4835,$A145,Base!$F$2:$F$4835,$B145,Base!$A$2:$A$4835,C$4)</f>
        <v/>
      </c>
      <c r="D145" s="28">
        <f>SUMIFS(Base!$N$2:$N$4835,Base!$B$2:$B$4835,$A145,Base!$F$2:$F$4835,$B145,Base!$A$2:$A$4835,D$4)</f>
        <v/>
      </c>
      <c r="E145" s="28">
        <f>SUMIFS(Base!$N$2:$N$4835,Base!$B$2:$B$4835,$A145,Base!$F$2:$F$4835,$B145,Base!$A$2:$A$4835,E$4)</f>
        <v/>
      </c>
      <c r="F145" s="28">
        <f>SUMIFS(Base!$N$2:$N$4835,Base!$B$2:$B$4835,$A145,Base!$F$2:$F$4835,$B145,Base!$A$2:$A$4835,F$4)</f>
        <v/>
      </c>
      <c r="G145" s="28">
        <f>SUMIFS(Base!$N$2:$N$4835,Base!$B$2:$B$4835,$A145,Base!$F$2:$F$4835,$B145,Base!$A$2:$A$4835,G$4)</f>
        <v/>
      </c>
      <c r="H145" s="28">
        <f>SUMIFS(Base!$N$2:$N$4835,Base!$B$2:$B$4835,$A145,Base!$F$2:$F$4835,$B145,Base!$A$2:$A$4835,H$4)</f>
        <v/>
      </c>
      <c r="I145" s="28">
        <f>SUMIFS(Base!$N$2:$N$4835,Base!$B$2:$B$4835,$A145,Base!$F$2:$F$4835,$B145,Base!$A$2:$A$4835,I$4)</f>
        <v/>
      </c>
      <c r="J145" s="28">
        <f>SUMIFS(Base!$N$2:$N$4835,Base!$B$2:$B$4835,$A145,Base!$F$2:$F$4835,$B145,Base!$A$2:$A$4835,J$4)</f>
        <v/>
      </c>
      <c r="K145" s="28">
        <f>SUMIFS(Base!$N$2:$N$4835,Base!$B$2:$B$4835,$A145,Base!$F$2:$F$4835,$B145,Base!$A$2:$A$4835,K$4)</f>
        <v/>
      </c>
      <c r="L145" s="28">
        <f>SUM(C145:K145)</f>
        <v/>
      </c>
      <c r="M145" s="26">
        <f>IFERROR(L145/L$155,"")</f>
        <v/>
      </c>
    </row>
    <row r="146">
      <c r="A146" t="inlineStr">
        <is>
          <t>Frete de venda</t>
        </is>
      </c>
      <c r="B146" t="inlineStr">
        <is>
          <t>PICCOLI LOGISTICA E TRANSPORTES LTDA</t>
        </is>
      </c>
      <c r="C146" s="28">
        <f>SUMIFS(Base!$N$2:$N$4835,Base!$B$2:$B$4835,$A146,Base!$F$2:$F$4835,$B146,Base!$A$2:$A$4835,C$4)</f>
        <v/>
      </c>
      <c r="D146" s="28">
        <f>SUMIFS(Base!$N$2:$N$4835,Base!$B$2:$B$4835,$A146,Base!$F$2:$F$4835,$B146,Base!$A$2:$A$4835,D$4)</f>
        <v/>
      </c>
      <c r="E146" s="28">
        <f>SUMIFS(Base!$N$2:$N$4835,Base!$B$2:$B$4835,$A146,Base!$F$2:$F$4835,$B146,Base!$A$2:$A$4835,E$4)</f>
        <v/>
      </c>
      <c r="F146" s="28">
        <f>SUMIFS(Base!$N$2:$N$4835,Base!$B$2:$B$4835,$A146,Base!$F$2:$F$4835,$B146,Base!$A$2:$A$4835,F$4)</f>
        <v/>
      </c>
      <c r="G146" s="28">
        <f>SUMIFS(Base!$N$2:$N$4835,Base!$B$2:$B$4835,$A146,Base!$F$2:$F$4835,$B146,Base!$A$2:$A$4835,G$4)</f>
        <v/>
      </c>
      <c r="H146" s="28">
        <f>SUMIFS(Base!$N$2:$N$4835,Base!$B$2:$B$4835,$A146,Base!$F$2:$F$4835,$B146,Base!$A$2:$A$4835,H$4)</f>
        <v/>
      </c>
      <c r="I146" s="28">
        <f>SUMIFS(Base!$N$2:$N$4835,Base!$B$2:$B$4835,$A146,Base!$F$2:$F$4835,$B146,Base!$A$2:$A$4835,I$4)</f>
        <v/>
      </c>
      <c r="J146" s="28">
        <f>SUMIFS(Base!$N$2:$N$4835,Base!$B$2:$B$4835,$A146,Base!$F$2:$F$4835,$B146,Base!$A$2:$A$4835,J$4)</f>
        <v/>
      </c>
      <c r="K146" s="28">
        <f>SUMIFS(Base!$N$2:$N$4835,Base!$B$2:$B$4835,$A146,Base!$F$2:$F$4835,$B146,Base!$A$2:$A$4835,K$4)</f>
        <v/>
      </c>
      <c r="L146" s="28">
        <f>SUM(C146:K146)</f>
        <v/>
      </c>
      <c r="M146" s="26">
        <f>IFERROR(L146/L$155,"")</f>
        <v/>
      </c>
    </row>
    <row r="147">
      <c r="A147" t="inlineStr">
        <is>
          <t>Frete de venda</t>
        </is>
      </c>
      <c r="B147" t="inlineStr">
        <is>
          <t>ANGELA PAULA MASSARUT ME</t>
        </is>
      </c>
      <c r="C147" s="28">
        <f>SUMIFS(Base!$N$2:$N$4835,Base!$B$2:$B$4835,$A147,Base!$F$2:$F$4835,$B147,Base!$A$2:$A$4835,C$4)</f>
        <v/>
      </c>
      <c r="D147" s="28">
        <f>SUMIFS(Base!$N$2:$N$4835,Base!$B$2:$B$4835,$A147,Base!$F$2:$F$4835,$B147,Base!$A$2:$A$4835,D$4)</f>
        <v/>
      </c>
      <c r="E147" s="28">
        <f>SUMIFS(Base!$N$2:$N$4835,Base!$B$2:$B$4835,$A147,Base!$F$2:$F$4835,$B147,Base!$A$2:$A$4835,E$4)</f>
        <v/>
      </c>
      <c r="F147" s="28">
        <f>SUMIFS(Base!$N$2:$N$4835,Base!$B$2:$B$4835,$A147,Base!$F$2:$F$4835,$B147,Base!$A$2:$A$4835,F$4)</f>
        <v/>
      </c>
      <c r="G147" s="28">
        <f>SUMIFS(Base!$N$2:$N$4835,Base!$B$2:$B$4835,$A147,Base!$F$2:$F$4835,$B147,Base!$A$2:$A$4835,G$4)</f>
        <v/>
      </c>
      <c r="H147" s="28">
        <f>SUMIFS(Base!$N$2:$N$4835,Base!$B$2:$B$4835,$A147,Base!$F$2:$F$4835,$B147,Base!$A$2:$A$4835,H$4)</f>
        <v/>
      </c>
      <c r="I147" s="28">
        <f>SUMIFS(Base!$N$2:$N$4835,Base!$B$2:$B$4835,$A147,Base!$F$2:$F$4835,$B147,Base!$A$2:$A$4835,I$4)</f>
        <v/>
      </c>
      <c r="J147" s="28">
        <f>SUMIFS(Base!$N$2:$N$4835,Base!$B$2:$B$4835,$A147,Base!$F$2:$F$4835,$B147,Base!$A$2:$A$4835,J$4)</f>
        <v/>
      </c>
      <c r="K147" s="28">
        <f>SUMIFS(Base!$N$2:$N$4835,Base!$B$2:$B$4835,$A147,Base!$F$2:$F$4835,$B147,Base!$A$2:$A$4835,K$4)</f>
        <v/>
      </c>
      <c r="L147" s="28">
        <f>SUM(C147:K147)</f>
        <v/>
      </c>
      <c r="M147" s="26">
        <f>IFERROR(L147/L$155,"")</f>
        <v/>
      </c>
    </row>
    <row r="148">
      <c r="A148" t="inlineStr">
        <is>
          <t>Frete de venda</t>
        </is>
      </c>
      <c r="B148" t="inlineStr">
        <is>
          <t>GLOBAL AIR CARGO LTDA</t>
        </is>
      </c>
      <c r="C148" s="28">
        <f>SUMIFS(Base!$N$2:$N$4835,Base!$B$2:$B$4835,$A148,Base!$F$2:$F$4835,$B148,Base!$A$2:$A$4835,C$4)</f>
        <v/>
      </c>
      <c r="D148" s="28">
        <f>SUMIFS(Base!$N$2:$N$4835,Base!$B$2:$B$4835,$A148,Base!$F$2:$F$4835,$B148,Base!$A$2:$A$4835,D$4)</f>
        <v/>
      </c>
      <c r="E148" s="28">
        <f>SUMIFS(Base!$N$2:$N$4835,Base!$B$2:$B$4835,$A148,Base!$F$2:$F$4835,$B148,Base!$A$2:$A$4835,E$4)</f>
        <v/>
      </c>
      <c r="F148" s="28">
        <f>SUMIFS(Base!$N$2:$N$4835,Base!$B$2:$B$4835,$A148,Base!$F$2:$F$4835,$B148,Base!$A$2:$A$4835,F$4)</f>
        <v/>
      </c>
      <c r="G148" s="28">
        <f>SUMIFS(Base!$N$2:$N$4835,Base!$B$2:$B$4835,$A148,Base!$F$2:$F$4835,$B148,Base!$A$2:$A$4835,G$4)</f>
        <v/>
      </c>
      <c r="H148" s="28">
        <f>SUMIFS(Base!$N$2:$N$4835,Base!$B$2:$B$4835,$A148,Base!$F$2:$F$4835,$B148,Base!$A$2:$A$4835,H$4)</f>
        <v/>
      </c>
      <c r="I148" s="28">
        <f>SUMIFS(Base!$N$2:$N$4835,Base!$B$2:$B$4835,$A148,Base!$F$2:$F$4835,$B148,Base!$A$2:$A$4835,I$4)</f>
        <v/>
      </c>
      <c r="J148" s="28">
        <f>SUMIFS(Base!$N$2:$N$4835,Base!$B$2:$B$4835,$A148,Base!$F$2:$F$4835,$B148,Base!$A$2:$A$4835,J$4)</f>
        <v/>
      </c>
      <c r="K148" s="28">
        <f>SUMIFS(Base!$N$2:$N$4835,Base!$B$2:$B$4835,$A148,Base!$F$2:$F$4835,$B148,Base!$A$2:$A$4835,K$4)</f>
        <v/>
      </c>
      <c r="L148" s="28">
        <f>SUM(C148:K148)</f>
        <v/>
      </c>
      <c r="M148" s="26">
        <f>IFERROR(L148/L$155,"")</f>
        <v/>
      </c>
    </row>
    <row r="149">
      <c r="A149" t="inlineStr">
        <is>
          <t>Frete de venda</t>
        </is>
      </c>
      <c r="B149" t="inlineStr">
        <is>
          <t>JSP TRANSPORTE E LOGISTICA LTDA</t>
        </is>
      </c>
      <c r="C149" s="28">
        <f>SUMIFS(Base!$N$2:$N$4835,Base!$B$2:$B$4835,$A149,Base!$F$2:$F$4835,$B149,Base!$A$2:$A$4835,C$4)</f>
        <v/>
      </c>
      <c r="D149" s="28">
        <f>SUMIFS(Base!$N$2:$N$4835,Base!$B$2:$B$4835,$A149,Base!$F$2:$F$4835,$B149,Base!$A$2:$A$4835,D$4)</f>
        <v/>
      </c>
      <c r="E149" s="28">
        <f>SUMIFS(Base!$N$2:$N$4835,Base!$B$2:$B$4835,$A149,Base!$F$2:$F$4835,$B149,Base!$A$2:$A$4835,E$4)</f>
        <v/>
      </c>
      <c r="F149" s="28">
        <f>SUMIFS(Base!$N$2:$N$4835,Base!$B$2:$B$4835,$A149,Base!$F$2:$F$4835,$B149,Base!$A$2:$A$4835,F$4)</f>
        <v/>
      </c>
      <c r="G149" s="28">
        <f>SUMIFS(Base!$N$2:$N$4835,Base!$B$2:$B$4835,$A149,Base!$F$2:$F$4835,$B149,Base!$A$2:$A$4835,G$4)</f>
        <v/>
      </c>
      <c r="H149" s="28">
        <f>SUMIFS(Base!$N$2:$N$4835,Base!$B$2:$B$4835,$A149,Base!$F$2:$F$4835,$B149,Base!$A$2:$A$4835,H$4)</f>
        <v/>
      </c>
      <c r="I149" s="28">
        <f>SUMIFS(Base!$N$2:$N$4835,Base!$B$2:$B$4835,$A149,Base!$F$2:$F$4835,$B149,Base!$A$2:$A$4835,I$4)</f>
        <v/>
      </c>
      <c r="J149" s="28">
        <f>SUMIFS(Base!$N$2:$N$4835,Base!$B$2:$B$4835,$A149,Base!$F$2:$F$4835,$B149,Base!$A$2:$A$4835,J$4)</f>
        <v/>
      </c>
      <c r="K149" s="28">
        <f>SUMIFS(Base!$N$2:$N$4835,Base!$B$2:$B$4835,$A149,Base!$F$2:$F$4835,$B149,Base!$A$2:$A$4835,K$4)</f>
        <v/>
      </c>
      <c r="L149" s="28">
        <f>SUM(C149:K149)</f>
        <v/>
      </c>
      <c r="M149" s="26">
        <f>IFERROR(L149/L$155,"")</f>
        <v/>
      </c>
    </row>
    <row r="150">
      <c r="A150" t="inlineStr">
        <is>
          <t>Frete de venda</t>
        </is>
      </c>
      <c r="B150" t="inlineStr">
        <is>
          <t>ADEMIR DA SILVA LTDA</t>
        </is>
      </c>
      <c r="C150" s="28">
        <f>SUMIFS(Base!$N$2:$N$4835,Base!$B$2:$B$4835,$A150,Base!$F$2:$F$4835,$B150,Base!$A$2:$A$4835,C$4)</f>
        <v/>
      </c>
      <c r="D150" s="28">
        <f>SUMIFS(Base!$N$2:$N$4835,Base!$B$2:$B$4835,$A150,Base!$F$2:$F$4835,$B150,Base!$A$2:$A$4835,D$4)</f>
        <v/>
      </c>
      <c r="E150" s="28">
        <f>SUMIFS(Base!$N$2:$N$4835,Base!$B$2:$B$4835,$A150,Base!$F$2:$F$4835,$B150,Base!$A$2:$A$4835,E$4)</f>
        <v/>
      </c>
      <c r="F150" s="28">
        <f>SUMIFS(Base!$N$2:$N$4835,Base!$B$2:$B$4835,$A150,Base!$F$2:$F$4835,$B150,Base!$A$2:$A$4835,F$4)</f>
        <v/>
      </c>
      <c r="G150" s="28">
        <f>SUMIFS(Base!$N$2:$N$4835,Base!$B$2:$B$4835,$A150,Base!$F$2:$F$4835,$B150,Base!$A$2:$A$4835,G$4)</f>
        <v/>
      </c>
      <c r="H150" s="28">
        <f>SUMIFS(Base!$N$2:$N$4835,Base!$B$2:$B$4835,$A150,Base!$F$2:$F$4835,$B150,Base!$A$2:$A$4835,H$4)</f>
        <v/>
      </c>
      <c r="I150" s="28">
        <f>SUMIFS(Base!$N$2:$N$4835,Base!$B$2:$B$4835,$A150,Base!$F$2:$F$4835,$B150,Base!$A$2:$A$4835,I$4)</f>
        <v/>
      </c>
      <c r="J150" s="28">
        <f>SUMIFS(Base!$N$2:$N$4835,Base!$B$2:$B$4835,$A150,Base!$F$2:$F$4835,$B150,Base!$A$2:$A$4835,J$4)</f>
        <v/>
      </c>
      <c r="K150" s="28">
        <f>SUMIFS(Base!$N$2:$N$4835,Base!$B$2:$B$4835,$A150,Base!$F$2:$F$4835,$B150,Base!$A$2:$A$4835,K$4)</f>
        <v/>
      </c>
      <c r="L150" s="28">
        <f>SUM(C150:K150)</f>
        <v/>
      </c>
      <c r="M150" s="26">
        <f>IFERROR(L150/L$155,"")</f>
        <v/>
      </c>
    </row>
    <row r="151">
      <c r="A151" t="inlineStr">
        <is>
          <t>Frete de venda</t>
        </is>
      </c>
      <c r="B151" t="inlineStr">
        <is>
          <t>CRUZ DE MALTA TRANSPORTES LTDA</t>
        </is>
      </c>
      <c r="C151" s="28">
        <f>SUMIFS(Base!$N$2:$N$4835,Base!$B$2:$B$4835,$A151,Base!$F$2:$F$4835,$B151,Base!$A$2:$A$4835,C$4)</f>
        <v/>
      </c>
      <c r="D151" s="28">
        <f>SUMIFS(Base!$N$2:$N$4835,Base!$B$2:$B$4835,$A151,Base!$F$2:$F$4835,$B151,Base!$A$2:$A$4835,D$4)</f>
        <v/>
      </c>
      <c r="E151" s="28">
        <f>SUMIFS(Base!$N$2:$N$4835,Base!$B$2:$B$4835,$A151,Base!$F$2:$F$4835,$B151,Base!$A$2:$A$4835,E$4)</f>
        <v/>
      </c>
      <c r="F151" s="28">
        <f>SUMIFS(Base!$N$2:$N$4835,Base!$B$2:$B$4835,$A151,Base!$F$2:$F$4835,$B151,Base!$A$2:$A$4835,F$4)</f>
        <v/>
      </c>
      <c r="G151" s="28">
        <f>SUMIFS(Base!$N$2:$N$4835,Base!$B$2:$B$4835,$A151,Base!$F$2:$F$4835,$B151,Base!$A$2:$A$4835,G$4)</f>
        <v/>
      </c>
      <c r="H151" s="28">
        <f>SUMIFS(Base!$N$2:$N$4835,Base!$B$2:$B$4835,$A151,Base!$F$2:$F$4835,$B151,Base!$A$2:$A$4835,H$4)</f>
        <v/>
      </c>
      <c r="I151" s="28">
        <f>SUMIFS(Base!$N$2:$N$4835,Base!$B$2:$B$4835,$A151,Base!$F$2:$F$4835,$B151,Base!$A$2:$A$4835,I$4)</f>
        <v/>
      </c>
      <c r="J151" s="28">
        <f>SUMIFS(Base!$N$2:$N$4835,Base!$B$2:$B$4835,$A151,Base!$F$2:$F$4835,$B151,Base!$A$2:$A$4835,J$4)</f>
        <v/>
      </c>
      <c r="K151" s="28">
        <f>SUMIFS(Base!$N$2:$N$4835,Base!$B$2:$B$4835,$A151,Base!$F$2:$F$4835,$B151,Base!$A$2:$A$4835,K$4)</f>
        <v/>
      </c>
      <c r="L151" s="28">
        <f>SUM(C151:K151)</f>
        <v/>
      </c>
      <c r="M151" s="26">
        <f>IFERROR(L151/L$155,"")</f>
        <v/>
      </c>
    </row>
    <row r="152">
      <c r="A152" t="inlineStr">
        <is>
          <t>Frete de venda</t>
        </is>
      </c>
      <c r="B152" t="inlineStr">
        <is>
          <t>CAMPINENSE TRANSPORTE DE CARGAS E LOCACOES LT</t>
        </is>
      </c>
      <c r="C152" s="28">
        <f>SUMIFS(Base!$N$2:$N$4835,Base!$B$2:$B$4835,$A152,Base!$F$2:$F$4835,$B152,Base!$A$2:$A$4835,C$4)</f>
        <v/>
      </c>
      <c r="D152" s="28">
        <f>SUMIFS(Base!$N$2:$N$4835,Base!$B$2:$B$4835,$A152,Base!$F$2:$F$4835,$B152,Base!$A$2:$A$4835,D$4)</f>
        <v/>
      </c>
      <c r="E152" s="28">
        <f>SUMIFS(Base!$N$2:$N$4835,Base!$B$2:$B$4835,$A152,Base!$F$2:$F$4835,$B152,Base!$A$2:$A$4835,E$4)</f>
        <v/>
      </c>
      <c r="F152" s="28">
        <f>SUMIFS(Base!$N$2:$N$4835,Base!$B$2:$B$4835,$A152,Base!$F$2:$F$4835,$B152,Base!$A$2:$A$4835,F$4)</f>
        <v/>
      </c>
      <c r="G152" s="28">
        <f>SUMIFS(Base!$N$2:$N$4835,Base!$B$2:$B$4835,$A152,Base!$F$2:$F$4835,$B152,Base!$A$2:$A$4835,G$4)</f>
        <v/>
      </c>
      <c r="H152" s="28">
        <f>SUMIFS(Base!$N$2:$N$4835,Base!$B$2:$B$4835,$A152,Base!$F$2:$F$4835,$B152,Base!$A$2:$A$4835,H$4)</f>
        <v/>
      </c>
      <c r="I152" s="28">
        <f>SUMIFS(Base!$N$2:$N$4835,Base!$B$2:$B$4835,$A152,Base!$F$2:$F$4835,$B152,Base!$A$2:$A$4835,I$4)</f>
        <v/>
      </c>
      <c r="J152" s="28">
        <f>SUMIFS(Base!$N$2:$N$4835,Base!$B$2:$B$4835,$A152,Base!$F$2:$F$4835,$B152,Base!$A$2:$A$4835,J$4)</f>
        <v/>
      </c>
      <c r="K152" s="28">
        <f>SUMIFS(Base!$N$2:$N$4835,Base!$B$2:$B$4835,$A152,Base!$F$2:$F$4835,$B152,Base!$A$2:$A$4835,K$4)</f>
        <v/>
      </c>
      <c r="L152" s="28">
        <f>SUM(C152:K152)</f>
        <v/>
      </c>
      <c r="M152" s="26">
        <f>IFERROR(L152/L$155,"")</f>
        <v/>
      </c>
    </row>
    <row r="153">
      <c r="A153" t="inlineStr">
        <is>
          <t>Frete de venda</t>
        </is>
      </c>
      <c r="B153" t="inlineStr">
        <is>
          <t>PEDRO HENRIQUE MODESTO DE QUEIROZ SILVEIRA</t>
        </is>
      </c>
      <c r="C153" s="28">
        <f>SUMIFS(Base!$N$2:$N$4835,Base!$B$2:$B$4835,$A153,Base!$F$2:$F$4835,$B153,Base!$A$2:$A$4835,C$4)</f>
        <v/>
      </c>
      <c r="D153" s="28">
        <f>SUMIFS(Base!$N$2:$N$4835,Base!$B$2:$B$4835,$A153,Base!$F$2:$F$4835,$B153,Base!$A$2:$A$4835,D$4)</f>
        <v/>
      </c>
      <c r="E153" s="28">
        <f>SUMIFS(Base!$N$2:$N$4835,Base!$B$2:$B$4835,$A153,Base!$F$2:$F$4835,$B153,Base!$A$2:$A$4835,E$4)</f>
        <v/>
      </c>
      <c r="F153" s="28">
        <f>SUMIFS(Base!$N$2:$N$4835,Base!$B$2:$B$4835,$A153,Base!$F$2:$F$4835,$B153,Base!$A$2:$A$4835,F$4)</f>
        <v/>
      </c>
      <c r="G153" s="28">
        <f>SUMIFS(Base!$N$2:$N$4835,Base!$B$2:$B$4835,$A153,Base!$F$2:$F$4835,$B153,Base!$A$2:$A$4835,G$4)</f>
        <v/>
      </c>
      <c r="H153" s="28">
        <f>SUMIFS(Base!$N$2:$N$4835,Base!$B$2:$B$4835,$A153,Base!$F$2:$F$4835,$B153,Base!$A$2:$A$4835,H$4)</f>
        <v/>
      </c>
      <c r="I153" s="28">
        <f>SUMIFS(Base!$N$2:$N$4835,Base!$B$2:$B$4835,$A153,Base!$F$2:$F$4835,$B153,Base!$A$2:$A$4835,I$4)</f>
        <v/>
      </c>
      <c r="J153" s="28">
        <f>SUMIFS(Base!$N$2:$N$4835,Base!$B$2:$B$4835,$A153,Base!$F$2:$F$4835,$B153,Base!$A$2:$A$4835,J$4)</f>
        <v/>
      </c>
      <c r="K153" s="28">
        <f>SUMIFS(Base!$N$2:$N$4835,Base!$B$2:$B$4835,$A153,Base!$F$2:$F$4835,$B153,Base!$A$2:$A$4835,K$4)</f>
        <v/>
      </c>
      <c r="L153" s="28">
        <f>SUM(C153:K153)</f>
        <v/>
      </c>
      <c r="M153" s="26">
        <f>IFERROR(L153/L$155,"")</f>
        <v/>
      </c>
    </row>
    <row r="154">
      <c r="A154" t="inlineStr">
        <is>
          <t>Frete de venda</t>
        </is>
      </c>
      <c r="B154" t="inlineStr">
        <is>
          <t>JAGUARE TRANSPORTES E ARMAZENAGENS LTDA</t>
        </is>
      </c>
      <c r="C154" s="28">
        <f>SUMIFS(Base!$N$2:$N$4835,Base!$B$2:$B$4835,$A154,Base!$F$2:$F$4835,$B154,Base!$A$2:$A$4835,C$4)</f>
        <v/>
      </c>
      <c r="D154" s="28">
        <f>SUMIFS(Base!$N$2:$N$4835,Base!$B$2:$B$4835,$A154,Base!$F$2:$F$4835,$B154,Base!$A$2:$A$4835,D$4)</f>
        <v/>
      </c>
      <c r="E154" s="28">
        <f>SUMIFS(Base!$N$2:$N$4835,Base!$B$2:$B$4835,$A154,Base!$F$2:$F$4835,$B154,Base!$A$2:$A$4835,E$4)</f>
        <v/>
      </c>
      <c r="F154" s="28">
        <f>SUMIFS(Base!$N$2:$N$4835,Base!$B$2:$B$4835,$A154,Base!$F$2:$F$4835,$B154,Base!$A$2:$A$4835,F$4)</f>
        <v/>
      </c>
      <c r="G154" s="28">
        <f>SUMIFS(Base!$N$2:$N$4835,Base!$B$2:$B$4835,$A154,Base!$F$2:$F$4835,$B154,Base!$A$2:$A$4835,G$4)</f>
        <v/>
      </c>
      <c r="H154" s="28">
        <f>SUMIFS(Base!$N$2:$N$4835,Base!$B$2:$B$4835,$A154,Base!$F$2:$F$4835,$B154,Base!$A$2:$A$4835,H$4)</f>
        <v/>
      </c>
      <c r="I154" s="28">
        <f>SUMIFS(Base!$N$2:$N$4835,Base!$B$2:$B$4835,$A154,Base!$F$2:$F$4835,$B154,Base!$A$2:$A$4835,I$4)</f>
        <v/>
      </c>
      <c r="J154" s="28">
        <f>SUMIFS(Base!$N$2:$N$4835,Base!$B$2:$B$4835,$A154,Base!$F$2:$F$4835,$B154,Base!$A$2:$A$4835,J$4)</f>
        <v/>
      </c>
      <c r="K154" s="28">
        <f>SUMIFS(Base!$N$2:$N$4835,Base!$B$2:$B$4835,$A154,Base!$F$2:$F$4835,$B154,Base!$A$2:$A$4835,K$4)</f>
        <v/>
      </c>
      <c r="L154" s="28">
        <f>SUM(C154:K154)</f>
        <v/>
      </c>
      <c r="M154" s="26">
        <f>IFERROR(L154/L$155,"")</f>
        <v/>
      </c>
    </row>
    <row r="155">
      <c r="A155" s="7" t="inlineStr">
        <is>
          <t>Frete de venda</t>
        </is>
      </c>
      <c r="B155" s="7" t="inlineStr">
        <is>
          <t>TOTAL Frete de venda</t>
        </is>
      </c>
      <c r="C155" s="21">
        <f>SUM(C131:C154)</f>
        <v/>
      </c>
      <c r="D155" s="21">
        <f>SUM(D131:D154)</f>
        <v/>
      </c>
      <c r="E155" s="21">
        <f>SUM(E131:E154)</f>
        <v/>
      </c>
      <c r="F155" s="21">
        <f>SUM(F131:F154)</f>
        <v/>
      </c>
      <c r="G155" s="21">
        <f>SUM(G131:G154)</f>
        <v/>
      </c>
      <c r="H155" s="21">
        <f>SUM(H131:H154)</f>
        <v/>
      </c>
      <c r="I155" s="21">
        <f>SUM(I131:I154)</f>
        <v/>
      </c>
      <c r="J155" s="21">
        <f>SUM(J131:J154)</f>
        <v/>
      </c>
      <c r="K155" s="21">
        <f>SUM(K131:K154)</f>
        <v/>
      </c>
      <c r="L155" s="21">
        <f>SUM(L131:L154)</f>
        <v/>
      </c>
      <c r="M155" s="7" t="n"/>
    </row>
  </sheetData>
  <autoFilter ref="A4:M1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7" customWidth="1" min="4" max="4"/>
    <col width="11" customWidth="1" min="5" max="5"/>
    <col width="40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15" customWidth="1" min="14" max="14"/>
    <col width="10" customWidth="1" min="15" max="15"/>
    <col width="16" customWidth="1" min="16" max="16"/>
  </cols>
  <sheetData>
    <row r="1">
      <c r="A1" s="12" t="inlineStr">
        <is>
          <t>Mês (emissão)</t>
        </is>
      </c>
      <c r="B1" s="12" t="inlineStr">
        <is>
          <t>Destino</t>
        </is>
      </c>
      <c r="C1" s="12" t="inlineStr">
        <is>
          <t>Categoria do Omie</t>
        </is>
      </c>
      <c r="D1" s="12" t="inlineStr">
        <is>
          <t>Tipo</t>
        </is>
      </c>
      <c r="E1" s="12" t="inlineStr">
        <is>
          <t>Número</t>
        </is>
      </c>
      <c r="F1" s="12" t="inlineStr">
        <is>
          <t>Parte / Transportadora</t>
        </is>
      </c>
      <c r="G1" s="12" t="inlineStr">
        <is>
          <t>Emissão</t>
        </is>
      </c>
      <c r="H1" s="12" t="inlineStr">
        <is>
          <t>Valor bruto (R$)</t>
        </is>
      </c>
      <c r="I1" s="12" t="inlineStr">
        <is>
          <t>IPI</t>
        </is>
      </c>
      <c r="J1" s="12" t="inlineStr">
        <is>
          <t>ICMS</t>
        </is>
      </c>
      <c r="K1" s="12" t="inlineStr">
        <is>
          <t>PIS</t>
        </is>
      </c>
      <c r="L1" s="12" t="inlineStr">
        <is>
          <t>COFINS</t>
        </is>
      </c>
      <c r="M1" s="12" t="inlineStr">
        <is>
          <t>Crédito abatido</t>
        </is>
      </c>
      <c r="N1" s="12" t="inlineStr">
        <is>
          <t>Custo líquido (R$)</t>
        </is>
      </c>
      <c r="O1" s="12" t="inlineStr">
        <is>
          <t>Gerou título</t>
        </is>
      </c>
      <c r="P1" s="12" t="inlineStr">
        <is>
          <t>CFOPs entrada</t>
        </is>
      </c>
    </row>
    <row r="2">
      <c r="A2" t="inlineStr">
        <is>
          <t>Antes de 2026</t>
        </is>
      </c>
      <c r="B2" t="inlineStr">
        <is>
          <t>Frete de compra</t>
        </is>
      </c>
      <c r="C2" t="inlineStr">
        <is>
          <t>Frete de compra</t>
        </is>
      </c>
      <c r="D2" t="inlineStr">
        <is>
          <t>CT-e</t>
        </is>
      </c>
      <c r="E2" t="inlineStr">
        <is>
          <t>000058287</t>
        </is>
      </c>
      <c r="F2" t="inlineStr">
        <is>
          <t>GOL LINHAS AEREAS S.A.</t>
        </is>
      </c>
      <c r="G2" s="27" t="n">
        <v>45618</v>
      </c>
      <c r="H2" s="14" t="n">
        <v>100.64</v>
      </c>
      <c r="I2" s="14" t="n">
        <v>0</v>
      </c>
      <c r="J2" s="14" t="n">
        <v>4.03</v>
      </c>
      <c r="K2" s="14" t="n">
        <v>0</v>
      </c>
      <c r="L2" s="14" t="n">
        <v>0</v>
      </c>
      <c r="M2" s="14">
        <f>IF(B2="Frete de venda",0,(1-ISNUMBER(SEARCH("556",P2)))*(I2*VLOOKUP($B2,Premissas!$A$4:$E$7,2,0)+J2*VLOOKUP($B2,Premissas!$A$4:$E$7,3,0))+K2*VLOOKUP($B2,Premissas!$A$4:$E$7,4,0)+L2*VLOOKUP($B2,Premissas!$A$4:$E$7,5,0))</f>
        <v/>
      </c>
      <c r="N2" s="14">
        <f>H2-M2</f>
        <v/>
      </c>
      <c r="O2" t="inlineStr">
        <is>
          <t>Não</t>
        </is>
      </c>
      <c r="P2" t="inlineStr">
        <is>
          <t>1.350</t>
        </is>
      </c>
    </row>
    <row r="3">
      <c r="A3" t="inlineStr">
        <is>
          <t>Antes de 2026</t>
        </is>
      </c>
      <c r="B3" t="inlineStr">
        <is>
          <t>Frete de compra</t>
        </is>
      </c>
      <c r="C3" t="inlineStr">
        <is>
          <t>Frete de compra</t>
        </is>
      </c>
      <c r="D3" t="inlineStr">
        <is>
          <t>CT-e</t>
        </is>
      </c>
      <c r="E3" t="inlineStr">
        <is>
          <t>000058286</t>
        </is>
      </c>
      <c r="F3" t="inlineStr">
        <is>
          <t>GOL LINHAS AEREAS S.A.</t>
        </is>
      </c>
      <c r="G3" s="27" t="n">
        <v>45618</v>
      </c>
      <c r="H3" s="14" t="n">
        <v>191.66</v>
      </c>
      <c r="I3" s="14" t="n">
        <v>0</v>
      </c>
      <c r="J3" s="14" t="n">
        <v>7.67</v>
      </c>
      <c r="K3" s="14" t="n">
        <v>0</v>
      </c>
      <c r="L3" s="14" t="n">
        <v>0</v>
      </c>
      <c r="M3" s="14">
        <f>IF(B3="Frete de venda",0,(1-ISNUMBER(SEARCH("556",P3)))*(I3*VLOOKUP($B3,Premissas!$A$4:$E$7,2,0)+J3*VLOOKUP($B3,Premissas!$A$4:$E$7,3,0))+K3*VLOOKUP($B3,Premissas!$A$4:$E$7,4,0)+L3*VLOOKUP($B3,Premissas!$A$4:$E$7,5,0))</f>
        <v/>
      </c>
      <c r="N3" s="14">
        <f>H3-M3</f>
        <v/>
      </c>
      <c r="O3" t="inlineStr">
        <is>
          <t>Não</t>
        </is>
      </c>
      <c r="P3" t="inlineStr">
        <is>
          <t>1.350</t>
        </is>
      </c>
    </row>
    <row r="4">
      <c r="A4" t="inlineStr">
        <is>
          <t>Antes de 2026</t>
        </is>
      </c>
      <c r="B4" t="inlineStr">
        <is>
          <t>Frete de compra</t>
        </is>
      </c>
      <c r="C4" t="inlineStr">
        <is>
          <t>Frete de compra</t>
        </is>
      </c>
      <c r="D4" t="inlineStr">
        <is>
          <t>CT-e</t>
        </is>
      </c>
      <c r="E4" t="inlineStr">
        <is>
          <t>000059052</t>
        </is>
      </c>
      <c r="F4" t="inlineStr">
        <is>
          <t>GOL LINHAS AEREAS S.A.</t>
        </is>
      </c>
      <c r="G4" s="27" t="n">
        <v>45638</v>
      </c>
      <c r="H4" s="14" t="n">
        <v>70.98999999999999</v>
      </c>
      <c r="I4" s="14" t="n">
        <v>0</v>
      </c>
      <c r="J4" s="14" t="n">
        <v>2.84</v>
      </c>
      <c r="K4" s="14" t="n">
        <v>0</v>
      </c>
      <c r="L4" s="14" t="n">
        <v>0</v>
      </c>
      <c r="M4" s="14">
        <f>IF(B4="Frete de venda",0,(1-ISNUMBER(SEARCH("556",P4)))*(I4*VLOOKUP($B4,Premissas!$A$4:$E$7,2,0)+J4*VLOOKUP($B4,Premissas!$A$4:$E$7,3,0))+K4*VLOOKUP($B4,Premissas!$A$4:$E$7,4,0)+L4*VLOOKUP($B4,Premissas!$A$4:$E$7,5,0))</f>
        <v/>
      </c>
      <c r="N4" s="14">
        <f>H4-M4</f>
        <v/>
      </c>
      <c r="O4" t="inlineStr">
        <is>
          <t>Não</t>
        </is>
      </c>
      <c r="P4" t="inlineStr">
        <is>
          <t>1.350</t>
        </is>
      </c>
    </row>
    <row r="5">
      <c r="A5" t="inlineStr">
        <is>
          <t>Antes de 2026</t>
        </is>
      </c>
      <c r="B5" t="inlineStr">
        <is>
          <t>Frete de compra</t>
        </is>
      </c>
      <c r="C5" t="inlineStr">
        <is>
          <t>Frete de compra</t>
        </is>
      </c>
      <c r="D5" t="inlineStr">
        <is>
          <t>CT-e</t>
        </is>
      </c>
      <c r="E5" t="inlineStr">
        <is>
          <t>000059047</t>
        </is>
      </c>
      <c r="F5" t="inlineStr">
        <is>
          <t>GOL LINHAS AEREAS S.A.</t>
        </is>
      </c>
      <c r="G5" s="27" t="n">
        <v>45638</v>
      </c>
      <c r="H5" s="14" t="n">
        <v>111.99</v>
      </c>
      <c r="I5" s="14" t="n">
        <v>0</v>
      </c>
      <c r="J5" s="14" t="n">
        <v>4.48</v>
      </c>
      <c r="K5" s="14" t="n">
        <v>0</v>
      </c>
      <c r="L5" s="14" t="n">
        <v>0</v>
      </c>
      <c r="M5" s="14">
        <f>IF(B5="Frete de venda",0,(1-ISNUMBER(SEARCH("556",P5)))*(I5*VLOOKUP($B5,Premissas!$A$4:$E$7,2,0)+J5*VLOOKUP($B5,Premissas!$A$4:$E$7,3,0))+K5*VLOOKUP($B5,Premissas!$A$4:$E$7,4,0)+L5*VLOOKUP($B5,Premissas!$A$4:$E$7,5,0))</f>
        <v/>
      </c>
      <c r="N5" s="14">
        <f>H5-M5</f>
        <v/>
      </c>
      <c r="O5" t="inlineStr">
        <is>
          <t>Não</t>
        </is>
      </c>
      <c r="P5" t="inlineStr">
        <is>
          <t>1.350</t>
        </is>
      </c>
    </row>
    <row r="6">
      <c r="A6" t="inlineStr">
        <is>
          <t>Antes de 2026</t>
        </is>
      </c>
      <c r="B6" t="inlineStr">
        <is>
          <t>Frete de compra</t>
        </is>
      </c>
      <c r="C6" t="inlineStr">
        <is>
          <t>Frete de compra</t>
        </is>
      </c>
      <c r="D6" t="inlineStr">
        <is>
          <t>CT-e</t>
        </is>
      </c>
      <c r="E6" t="inlineStr">
        <is>
          <t>000058716</t>
        </is>
      </c>
      <c r="F6" t="inlineStr">
        <is>
          <t>GOL LINHAS AEREAS S.A.</t>
        </is>
      </c>
      <c r="G6" s="27" t="n">
        <v>45630</v>
      </c>
      <c r="H6" s="14" t="n">
        <v>162.04</v>
      </c>
      <c r="I6" s="14" t="n">
        <v>0</v>
      </c>
      <c r="J6" s="14" t="n">
        <v>6.48</v>
      </c>
      <c r="K6" s="14" t="n">
        <v>0</v>
      </c>
      <c r="L6" s="14" t="n">
        <v>0</v>
      </c>
      <c r="M6" s="14">
        <f>IF(B6="Frete de venda",0,(1-ISNUMBER(SEARCH("556",P6)))*(I6*VLOOKUP($B6,Premissas!$A$4:$E$7,2,0)+J6*VLOOKUP($B6,Premissas!$A$4:$E$7,3,0))+K6*VLOOKUP($B6,Premissas!$A$4:$E$7,4,0)+L6*VLOOKUP($B6,Premissas!$A$4:$E$7,5,0))</f>
        <v/>
      </c>
      <c r="N6" s="14">
        <f>H6-M6</f>
        <v/>
      </c>
      <c r="O6" t="inlineStr">
        <is>
          <t>Não</t>
        </is>
      </c>
      <c r="P6" t="inlineStr">
        <is>
          <t>1.350</t>
        </is>
      </c>
    </row>
    <row r="7">
      <c r="A7" t="inlineStr">
        <is>
          <t>Antes de 2026</t>
        </is>
      </c>
      <c r="B7" t="inlineStr">
        <is>
          <t>Frete de compra</t>
        </is>
      </c>
      <c r="C7" t="inlineStr">
        <is>
          <t>Frete de compra</t>
        </is>
      </c>
      <c r="D7" t="inlineStr">
        <is>
          <t>CT-e</t>
        </is>
      </c>
      <c r="E7" t="inlineStr">
        <is>
          <t>000059446</t>
        </is>
      </c>
      <c r="F7" t="inlineStr">
        <is>
          <t>GOL LINHAS AEREAS S.A.</t>
        </is>
      </c>
      <c r="G7" s="27" t="n">
        <v>45653</v>
      </c>
      <c r="H7" s="14" t="n">
        <v>44.99</v>
      </c>
      <c r="I7" s="14" t="n">
        <v>0</v>
      </c>
      <c r="J7" s="14" t="n">
        <v>1.8</v>
      </c>
      <c r="K7" s="14" t="n">
        <v>0</v>
      </c>
      <c r="L7" s="14" t="n">
        <v>0</v>
      </c>
      <c r="M7" s="14">
        <f>IF(B7="Frete de venda",0,(1-ISNUMBER(SEARCH("556",P7)))*(I7*VLOOKUP($B7,Premissas!$A$4:$E$7,2,0)+J7*VLOOKUP($B7,Premissas!$A$4:$E$7,3,0))+K7*VLOOKUP($B7,Premissas!$A$4:$E$7,4,0)+L7*VLOOKUP($B7,Premissas!$A$4:$E$7,5,0))</f>
        <v/>
      </c>
      <c r="N7" s="14">
        <f>H7-M7</f>
        <v/>
      </c>
      <c r="O7" t="inlineStr">
        <is>
          <t>Não</t>
        </is>
      </c>
      <c r="P7" t="inlineStr">
        <is>
          <t>1.350</t>
        </is>
      </c>
    </row>
    <row r="8">
      <c r="A8" t="inlineStr">
        <is>
          <t>Antes de 2026</t>
        </is>
      </c>
      <c r="B8" t="inlineStr">
        <is>
          <t>Frete de compra</t>
        </is>
      </c>
      <c r="C8" t="inlineStr">
        <is>
          <t>Frete de compra</t>
        </is>
      </c>
      <c r="D8" t="inlineStr">
        <is>
          <t>CT-e</t>
        </is>
      </c>
      <c r="E8" t="inlineStr">
        <is>
          <t>000058282</t>
        </is>
      </c>
      <c r="F8" t="inlineStr">
        <is>
          <t>GOL LINHAS AEREAS S.A.</t>
        </is>
      </c>
      <c r="G8" s="27" t="n">
        <v>45618</v>
      </c>
      <c r="H8" s="14" t="n">
        <v>173.39</v>
      </c>
      <c r="I8" s="14" t="n">
        <v>0</v>
      </c>
      <c r="J8" s="14" t="n">
        <v>6.94</v>
      </c>
      <c r="K8" s="14" t="n">
        <v>0</v>
      </c>
      <c r="L8" s="14" t="n">
        <v>0</v>
      </c>
      <c r="M8" s="14">
        <f>IF(B8="Frete de venda",0,(1-ISNUMBER(SEARCH("556",P8)))*(I8*VLOOKUP($B8,Premissas!$A$4:$E$7,2,0)+J8*VLOOKUP($B8,Premissas!$A$4:$E$7,3,0))+K8*VLOOKUP($B8,Premissas!$A$4:$E$7,4,0)+L8*VLOOKUP($B8,Premissas!$A$4:$E$7,5,0))</f>
        <v/>
      </c>
      <c r="N8" s="14">
        <f>H8-M8</f>
        <v/>
      </c>
      <c r="O8" t="inlineStr">
        <is>
          <t>Não</t>
        </is>
      </c>
      <c r="P8" t="inlineStr">
        <is>
          <t>1.350</t>
        </is>
      </c>
    </row>
    <row r="9">
      <c r="A9" t="inlineStr">
        <is>
          <t>Antes de 2026</t>
        </is>
      </c>
      <c r="B9" t="inlineStr">
        <is>
          <t>Frete de compra</t>
        </is>
      </c>
      <c r="C9" t="inlineStr">
        <is>
          <t>Frete de compra</t>
        </is>
      </c>
      <c r="D9" t="inlineStr">
        <is>
          <t>CT-e</t>
        </is>
      </c>
      <c r="E9" t="inlineStr">
        <is>
          <t>000059051</t>
        </is>
      </c>
      <c r="F9" t="inlineStr">
        <is>
          <t>GOL LINHAS AEREAS S.A.</t>
        </is>
      </c>
      <c r="G9" s="27" t="n">
        <v>45638</v>
      </c>
      <c r="H9" s="14" t="n">
        <v>128.54</v>
      </c>
      <c r="I9" s="14" t="n">
        <v>0</v>
      </c>
      <c r="J9" s="14" t="n">
        <v>5.14</v>
      </c>
      <c r="K9" s="14" t="n">
        <v>0</v>
      </c>
      <c r="L9" s="14" t="n">
        <v>0</v>
      </c>
      <c r="M9" s="14">
        <f>IF(B9="Frete de venda",0,(1-ISNUMBER(SEARCH("556",P9)))*(I9*VLOOKUP($B9,Premissas!$A$4:$E$7,2,0)+J9*VLOOKUP($B9,Premissas!$A$4:$E$7,3,0))+K9*VLOOKUP($B9,Premissas!$A$4:$E$7,4,0)+L9*VLOOKUP($B9,Premissas!$A$4:$E$7,5,0))</f>
        <v/>
      </c>
      <c r="N9" s="14">
        <f>H9-M9</f>
        <v/>
      </c>
      <c r="O9" t="inlineStr">
        <is>
          <t>Não</t>
        </is>
      </c>
      <c r="P9" t="inlineStr">
        <is>
          <t>1.350</t>
        </is>
      </c>
    </row>
    <row r="10">
      <c r="A10" t="inlineStr">
        <is>
          <t>Antes de 2026</t>
        </is>
      </c>
      <c r="B10" t="inlineStr">
        <is>
          <t>Frete de compra</t>
        </is>
      </c>
      <c r="C10" t="inlineStr">
        <is>
          <t>Frete de compra</t>
        </is>
      </c>
      <c r="D10" t="inlineStr">
        <is>
          <t>CT-e</t>
        </is>
      </c>
      <c r="E10" t="inlineStr">
        <is>
          <t>000059055</t>
        </is>
      </c>
      <c r="F10" t="inlineStr">
        <is>
          <t>GOL LINHAS AEREAS S.A.</t>
        </is>
      </c>
      <c r="G10" s="27" t="n">
        <v>45638</v>
      </c>
      <c r="H10" s="14" t="n">
        <v>132.4</v>
      </c>
      <c r="I10" s="14" t="n">
        <v>0</v>
      </c>
      <c r="J10" s="14" t="n">
        <v>5.3</v>
      </c>
      <c r="K10" s="14" t="n">
        <v>0</v>
      </c>
      <c r="L10" s="14" t="n">
        <v>0</v>
      </c>
      <c r="M10" s="14">
        <f>IF(B10="Frete de venda",0,(1-ISNUMBER(SEARCH("556",P10)))*(I10*VLOOKUP($B10,Premissas!$A$4:$E$7,2,0)+J10*VLOOKUP($B10,Premissas!$A$4:$E$7,3,0))+K10*VLOOKUP($B10,Premissas!$A$4:$E$7,4,0)+L10*VLOOKUP($B10,Premissas!$A$4:$E$7,5,0))</f>
        <v/>
      </c>
      <c r="N10" s="14">
        <f>H10-M10</f>
        <v/>
      </c>
      <c r="O10" t="inlineStr">
        <is>
          <t>Não</t>
        </is>
      </c>
      <c r="P10" t="inlineStr">
        <is>
          <t>1.350</t>
        </is>
      </c>
    </row>
    <row r="11">
      <c r="A11" t="inlineStr">
        <is>
          <t>Antes de 2026</t>
        </is>
      </c>
      <c r="B11" t="inlineStr">
        <is>
          <t>Frete de compra</t>
        </is>
      </c>
      <c r="C11" t="inlineStr">
        <is>
          <t>Frete de compra</t>
        </is>
      </c>
      <c r="D11" t="inlineStr">
        <is>
          <t>CT-e</t>
        </is>
      </c>
      <c r="E11" t="inlineStr">
        <is>
          <t>000058724</t>
        </is>
      </c>
      <c r="F11" t="inlineStr">
        <is>
          <t>GOL LINHAS AEREAS S.A.</t>
        </is>
      </c>
      <c r="G11" s="27" t="n">
        <v>45630</v>
      </c>
      <c r="H11" s="14" t="n">
        <v>207.45</v>
      </c>
      <c r="I11" s="14" t="n">
        <v>0</v>
      </c>
      <c r="J11" s="14" t="n">
        <v>8.300000000000001</v>
      </c>
      <c r="K11" s="14" t="n">
        <v>0</v>
      </c>
      <c r="L11" s="14" t="n">
        <v>0</v>
      </c>
      <c r="M11" s="14">
        <f>IF(B11="Frete de venda",0,(1-ISNUMBER(SEARCH("556",P11)))*(I11*VLOOKUP($B11,Premissas!$A$4:$E$7,2,0)+J11*VLOOKUP($B11,Premissas!$A$4:$E$7,3,0))+K11*VLOOKUP($B11,Premissas!$A$4:$E$7,4,0)+L11*VLOOKUP($B11,Premissas!$A$4:$E$7,5,0))</f>
        <v/>
      </c>
      <c r="N11" s="14">
        <f>H11-M11</f>
        <v/>
      </c>
      <c r="O11" t="inlineStr">
        <is>
          <t>Não</t>
        </is>
      </c>
      <c r="P11" t="inlineStr">
        <is>
          <t>1.350</t>
        </is>
      </c>
    </row>
    <row r="12">
      <c r="A12" t="inlineStr">
        <is>
          <t>Antes de 2026</t>
        </is>
      </c>
      <c r="B12" t="inlineStr">
        <is>
          <t>Frete de compra</t>
        </is>
      </c>
      <c r="C12" t="inlineStr">
        <is>
          <t>Frete de compra</t>
        </is>
      </c>
      <c r="D12" t="inlineStr">
        <is>
          <t>CT-e</t>
        </is>
      </c>
      <c r="E12" t="inlineStr">
        <is>
          <t>000059048</t>
        </is>
      </c>
      <c r="F12" t="inlineStr">
        <is>
          <t>GOL LINHAS AEREAS S.A.</t>
        </is>
      </c>
      <c r="G12" s="27" t="n">
        <v>45638</v>
      </c>
      <c r="H12" s="14" t="n">
        <v>136.99</v>
      </c>
      <c r="I12" s="14" t="n">
        <v>0</v>
      </c>
      <c r="J12" s="14" t="n">
        <v>5.48</v>
      </c>
      <c r="K12" s="14" t="n">
        <v>0</v>
      </c>
      <c r="L12" s="14" t="n">
        <v>0</v>
      </c>
      <c r="M12" s="14">
        <f>IF(B12="Frete de venda",0,(1-ISNUMBER(SEARCH("556",P12)))*(I12*VLOOKUP($B12,Premissas!$A$4:$E$7,2,0)+J12*VLOOKUP($B12,Premissas!$A$4:$E$7,3,0))+K12*VLOOKUP($B12,Premissas!$A$4:$E$7,4,0)+L12*VLOOKUP($B12,Premissas!$A$4:$E$7,5,0))</f>
        <v/>
      </c>
      <c r="N12" s="14">
        <f>H12-M12</f>
        <v/>
      </c>
      <c r="O12" t="inlineStr">
        <is>
          <t>Não</t>
        </is>
      </c>
      <c r="P12" t="inlineStr">
        <is>
          <t>1.350</t>
        </is>
      </c>
    </row>
    <row r="13">
      <c r="A13" t="inlineStr">
        <is>
          <t>Antes de 2026</t>
        </is>
      </c>
      <c r="B13" t="inlineStr">
        <is>
          <t>Frete de compra</t>
        </is>
      </c>
      <c r="C13" t="inlineStr">
        <is>
          <t>Frete de compra</t>
        </is>
      </c>
      <c r="D13" t="inlineStr">
        <is>
          <t>CT-e</t>
        </is>
      </c>
      <c r="E13" t="inlineStr">
        <is>
          <t>000058713</t>
        </is>
      </c>
      <c r="F13" t="inlineStr">
        <is>
          <t>GOL LINHAS AEREAS S.A.</t>
        </is>
      </c>
      <c r="G13" s="27" t="n">
        <v>45630</v>
      </c>
      <c r="H13" s="14" t="n">
        <v>162.04</v>
      </c>
      <c r="I13" s="14" t="n">
        <v>0</v>
      </c>
      <c r="J13" s="14" t="n">
        <v>6.48</v>
      </c>
      <c r="K13" s="14" t="n">
        <v>0</v>
      </c>
      <c r="L13" s="14" t="n">
        <v>0</v>
      </c>
      <c r="M13" s="14">
        <f>IF(B13="Frete de venda",0,(1-ISNUMBER(SEARCH("556",P13)))*(I13*VLOOKUP($B13,Premissas!$A$4:$E$7,2,0)+J13*VLOOKUP($B13,Premissas!$A$4:$E$7,3,0))+K13*VLOOKUP($B13,Premissas!$A$4:$E$7,4,0)+L13*VLOOKUP($B13,Premissas!$A$4:$E$7,5,0))</f>
        <v/>
      </c>
      <c r="N13" s="14">
        <f>H13-M13</f>
        <v/>
      </c>
      <c r="O13" t="inlineStr">
        <is>
          <t>Não</t>
        </is>
      </c>
      <c r="P13" t="inlineStr">
        <is>
          <t>1.350</t>
        </is>
      </c>
    </row>
    <row r="14">
      <c r="A14" t="inlineStr">
        <is>
          <t>Antes de 2026</t>
        </is>
      </c>
      <c r="B14" t="inlineStr">
        <is>
          <t>Frete de compra</t>
        </is>
      </c>
      <c r="C14" t="inlineStr">
        <is>
          <t>Frete de compra</t>
        </is>
      </c>
      <c r="D14" t="inlineStr">
        <is>
          <t>CT-e</t>
        </is>
      </c>
      <c r="E14" t="inlineStr">
        <is>
          <t>000057135</t>
        </is>
      </c>
      <c r="F14" t="inlineStr">
        <is>
          <t>GOL LINHAS AEREAS S.A.</t>
        </is>
      </c>
      <c r="G14" s="27" t="n">
        <v>45582</v>
      </c>
      <c r="H14" s="14" t="n">
        <v>123.12</v>
      </c>
      <c r="I14" s="14" t="n">
        <v>0</v>
      </c>
      <c r="J14" s="14" t="n">
        <v>4.92</v>
      </c>
      <c r="K14" s="14" t="n">
        <v>0</v>
      </c>
      <c r="L14" s="14" t="n">
        <v>0</v>
      </c>
      <c r="M14" s="14">
        <f>IF(B14="Frete de venda",0,(1-ISNUMBER(SEARCH("556",P14)))*(I14*VLOOKUP($B14,Premissas!$A$4:$E$7,2,0)+J14*VLOOKUP($B14,Premissas!$A$4:$E$7,3,0))+K14*VLOOKUP($B14,Premissas!$A$4:$E$7,4,0)+L14*VLOOKUP($B14,Premissas!$A$4:$E$7,5,0))</f>
        <v/>
      </c>
      <c r="N14" s="14">
        <f>H14-M14</f>
        <v/>
      </c>
      <c r="O14" t="inlineStr">
        <is>
          <t>Não</t>
        </is>
      </c>
      <c r="P14" t="inlineStr">
        <is>
          <t>1.350</t>
        </is>
      </c>
    </row>
    <row r="15">
      <c r="A15" t="inlineStr">
        <is>
          <t>Antes de 2026</t>
        </is>
      </c>
      <c r="B15" t="inlineStr">
        <is>
          <t>Frete de compra</t>
        </is>
      </c>
      <c r="C15" t="inlineStr">
        <is>
          <t>Frete de compra</t>
        </is>
      </c>
      <c r="D15" t="inlineStr">
        <is>
          <t>CT-e</t>
        </is>
      </c>
      <c r="E15" t="inlineStr">
        <is>
          <t>000059049</t>
        </is>
      </c>
      <c r="F15" t="inlineStr">
        <is>
          <t>GOL LINHAS AEREAS S.A.</t>
        </is>
      </c>
      <c r="G15" s="27" t="n">
        <v>45638</v>
      </c>
      <c r="H15" s="14" t="n">
        <v>111.99</v>
      </c>
      <c r="I15" s="14" t="n">
        <v>0</v>
      </c>
      <c r="J15" s="14" t="n">
        <v>4.48</v>
      </c>
      <c r="K15" s="14" t="n">
        <v>0</v>
      </c>
      <c r="L15" s="14" t="n">
        <v>0</v>
      </c>
      <c r="M15" s="14">
        <f>IF(B15="Frete de venda",0,(1-ISNUMBER(SEARCH("556",P15)))*(I15*VLOOKUP($B15,Premissas!$A$4:$E$7,2,0)+J15*VLOOKUP($B15,Premissas!$A$4:$E$7,3,0))+K15*VLOOKUP($B15,Premissas!$A$4:$E$7,4,0)+L15*VLOOKUP($B15,Premissas!$A$4:$E$7,5,0))</f>
        <v/>
      </c>
      <c r="N15" s="14">
        <f>H15-M15</f>
        <v/>
      </c>
      <c r="O15" t="inlineStr">
        <is>
          <t>Não</t>
        </is>
      </c>
      <c r="P15" t="inlineStr">
        <is>
          <t>1.350</t>
        </is>
      </c>
    </row>
    <row r="16">
      <c r="A16" t="inlineStr">
        <is>
          <t>Antes de 2026</t>
        </is>
      </c>
      <c r="B16" t="inlineStr">
        <is>
          <t>Frete de compra</t>
        </is>
      </c>
      <c r="C16" t="inlineStr">
        <is>
          <t>Frete de compra</t>
        </is>
      </c>
      <c r="D16" t="inlineStr">
        <is>
          <t>CT-e</t>
        </is>
      </c>
      <c r="E16" t="inlineStr">
        <is>
          <t>000059046</t>
        </is>
      </c>
      <c r="F16" t="inlineStr">
        <is>
          <t>GOL LINHAS AEREAS S.A.</t>
        </is>
      </c>
      <c r="G16" s="27" t="n">
        <v>45638</v>
      </c>
      <c r="H16" s="14" t="n">
        <v>111.99</v>
      </c>
      <c r="I16" s="14" t="n">
        <v>0</v>
      </c>
      <c r="J16" s="14" t="n">
        <v>4.48</v>
      </c>
      <c r="K16" s="14" t="n">
        <v>0</v>
      </c>
      <c r="L16" s="14" t="n">
        <v>0</v>
      </c>
      <c r="M16" s="14">
        <f>IF(B16="Frete de venda",0,(1-ISNUMBER(SEARCH("556",P16)))*(I16*VLOOKUP($B16,Premissas!$A$4:$E$7,2,0)+J16*VLOOKUP($B16,Premissas!$A$4:$E$7,3,0))+K16*VLOOKUP($B16,Premissas!$A$4:$E$7,4,0)+L16*VLOOKUP($B16,Premissas!$A$4:$E$7,5,0))</f>
        <v/>
      </c>
      <c r="N16" s="14">
        <f>H16-M16</f>
        <v/>
      </c>
      <c r="O16" t="inlineStr">
        <is>
          <t>Não</t>
        </is>
      </c>
      <c r="P16" t="inlineStr">
        <is>
          <t>1.350</t>
        </is>
      </c>
    </row>
    <row r="17">
      <c r="A17" t="inlineStr">
        <is>
          <t>Antes de 2026</t>
        </is>
      </c>
      <c r="B17" t="inlineStr">
        <is>
          <t>Frete de venda</t>
        </is>
      </c>
      <c r="C17" t="inlineStr">
        <is>
          <t>Frete de venda (para clientes)</t>
        </is>
      </c>
      <c r="D17" t="inlineStr">
        <is>
          <t>CT-e</t>
        </is>
      </c>
      <c r="E17" t="inlineStr">
        <is>
          <t>000025156</t>
        </is>
      </c>
      <c r="F17" t="inlineStr">
        <is>
          <t>GLOBAL AIR CARGO LTDA</t>
        </is>
      </c>
      <c r="G17" s="27" t="n">
        <v>45587</v>
      </c>
      <c r="H17" s="14" t="n">
        <v>241.7</v>
      </c>
      <c r="I17" s="14" t="n">
        <v>0</v>
      </c>
      <c r="J17" s="14" t="n">
        <v>16.92</v>
      </c>
      <c r="K17" s="14" t="n">
        <v>0</v>
      </c>
      <c r="L17" s="14" t="n">
        <v>0</v>
      </c>
      <c r="M17" s="14">
        <f>IF(B17="Frete de venda",0,(1-ISNUMBER(SEARCH("556",P17)))*(I17*VLOOKUP($B17,Premissas!$A$4:$E$7,2,0)+J17*VLOOKUP($B17,Premissas!$A$4:$E$7,3,0))+K17*VLOOKUP($B17,Premissas!$A$4:$E$7,4,0)+L17*VLOOKUP($B17,Premissas!$A$4:$E$7,5,0))</f>
        <v/>
      </c>
      <c r="N17" s="14">
        <f>H17-M17</f>
        <v/>
      </c>
      <c r="O17" t="inlineStr">
        <is>
          <t>Não</t>
        </is>
      </c>
      <c r="P17" t="inlineStr">
        <is>
          <t>2.350</t>
        </is>
      </c>
    </row>
    <row r="18">
      <c r="A18" t="inlineStr">
        <is>
          <t>Antes de 2026</t>
        </is>
      </c>
      <c r="B18" t="inlineStr">
        <is>
          <t>Frete de venda</t>
        </is>
      </c>
      <c r="C18" t="inlineStr">
        <is>
          <t>Frete de venda (para clientes)</t>
        </is>
      </c>
      <c r="D18" t="inlineStr">
        <is>
          <t>CT-e</t>
        </is>
      </c>
      <c r="E18" t="inlineStr">
        <is>
          <t>000028691</t>
        </is>
      </c>
      <c r="F18" t="inlineStr">
        <is>
          <t>GLOBAL AIR CARGO LTDA</t>
        </is>
      </c>
      <c r="G18" s="27" t="n">
        <v>45637</v>
      </c>
      <c r="H18" s="14" t="n">
        <v>236.91</v>
      </c>
      <c r="I18" s="14" t="n">
        <v>0</v>
      </c>
      <c r="J18" s="14" t="n">
        <v>16.58</v>
      </c>
      <c r="K18" s="14" t="n">
        <v>0</v>
      </c>
      <c r="L18" s="14" t="n">
        <v>0</v>
      </c>
      <c r="M18" s="14">
        <f>IF(B18="Frete de venda",0,(1-ISNUMBER(SEARCH("556",P18)))*(I18*VLOOKUP($B18,Premissas!$A$4:$E$7,2,0)+J18*VLOOKUP($B18,Premissas!$A$4:$E$7,3,0))+K18*VLOOKUP($B18,Premissas!$A$4:$E$7,4,0)+L18*VLOOKUP($B18,Premissas!$A$4:$E$7,5,0))</f>
        <v/>
      </c>
      <c r="N18" s="14">
        <f>H18-M18</f>
        <v/>
      </c>
      <c r="O18" t="inlineStr">
        <is>
          <t>Não</t>
        </is>
      </c>
      <c r="P18" t="inlineStr">
        <is>
          <t>2.350</t>
        </is>
      </c>
    </row>
    <row r="19">
      <c r="A19" t="inlineStr">
        <is>
          <t>Antes de 2026</t>
        </is>
      </c>
      <c r="B19" t="inlineStr">
        <is>
          <t>Frete de compra</t>
        </is>
      </c>
      <c r="C19" t="inlineStr">
        <is>
          <t>Frete de compra</t>
        </is>
      </c>
      <c r="D19" t="inlineStr">
        <is>
          <t>CT-e</t>
        </is>
      </c>
      <c r="E19" t="inlineStr">
        <is>
          <t>000058719</t>
        </is>
      </c>
      <c r="F19" t="inlineStr">
        <is>
          <t>GOL LINHAS AEREAS S.A.</t>
        </is>
      </c>
      <c r="G19" s="27" t="n">
        <v>45630</v>
      </c>
      <c r="H19" s="14" t="n">
        <v>207.45</v>
      </c>
      <c r="I19" s="14" t="n">
        <v>0</v>
      </c>
      <c r="J19" s="14" t="n">
        <v>8.300000000000001</v>
      </c>
      <c r="K19" s="14" t="n">
        <v>0</v>
      </c>
      <c r="L19" s="14" t="n">
        <v>0</v>
      </c>
      <c r="M19" s="14">
        <f>IF(B19="Frete de venda",0,(1-ISNUMBER(SEARCH("556",P19)))*(I19*VLOOKUP($B19,Premissas!$A$4:$E$7,2,0)+J19*VLOOKUP($B19,Premissas!$A$4:$E$7,3,0))+K19*VLOOKUP($B19,Premissas!$A$4:$E$7,4,0)+L19*VLOOKUP($B19,Premissas!$A$4:$E$7,5,0))</f>
        <v/>
      </c>
      <c r="N19" s="14">
        <f>H19-M19</f>
        <v/>
      </c>
      <c r="O19" t="inlineStr">
        <is>
          <t>Não</t>
        </is>
      </c>
      <c r="P19" t="inlineStr">
        <is>
          <t>1.350</t>
        </is>
      </c>
    </row>
    <row r="20">
      <c r="A20" t="inlineStr">
        <is>
          <t>Antes de 2026</t>
        </is>
      </c>
      <c r="B20" t="inlineStr">
        <is>
          <t>Frete de venda</t>
        </is>
      </c>
      <c r="C20" t="inlineStr">
        <is>
          <t>Frete de venda (para clientes)</t>
        </is>
      </c>
      <c r="D20" t="inlineStr">
        <is>
          <t>CT-e</t>
        </is>
      </c>
      <c r="E20" t="inlineStr">
        <is>
          <t>000001376</t>
        </is>
      </c>
      <c r="F20" t="inlineStr">
        <is>
          <t>REBECA EMÍLIA DA SILVA</t>
        </is>
      </c>
      <c r="G20" s="27" t="n">
        <v>45738</v>
      </c>
      <c r="H20" s="14" t="n">
        <v>1800</v>
      </c>
      <c r="I20" s="14" t="n">
        <v>0</v>
      </c>
      <c r="J20" s="14" t="n">
        <v>0</v>
      </c>
      <c r="K20" s="14" t="n">
        <v>0</v>
      </c>
      <c r="L20" s="14" t="n">
        <v>0</v>
      </c>
      <c r="M20" s="14">
        <f>IF(B20="Frete de venda",0,(1-ISNUMBER(SEARCH("556",P20)))*(I20*VLOOKUP($B20,Premissas!$A$4:$E$7,2,0)+J20*VLOOKUP($B20,Premissas!$A$4:$E$7,3,0))+K20*VLOOKUP($B20,Premissas!$A$4:$E$7,4,0)+L20*VLOOKUP($B20,Premissas!$A$4:$E$7,5,0))</f>
        <v/>
      </c>
      <c r="N20" s="14">
        <f>H20-M20</f>
        <v/>
      </c>
      <c r="O20" t="inlineStr">
        <is>
          <t>Não</t>
        </is>
      </c>
      <c r="P20" t="inlineStr">
        <is>
          <t>1.556</t>
        </is>
      </c>
    </row>
    <row r="21">
      <c r="A21" t="inlineStr">
        <is>
          <t>Antes de 2026</t>
        </is>
      </c>
      <c r="B21" t="inlineStr">
        <is>
          <t>Frete de venda</t>
        </is>
      </c>
      <c r="C21" t="inlineStr">
        <is>
          <t>Frete de venda (para clientes)</t>
        </is>
      </c>
      <c r="D21" t="inlineStr">
        <is>
          <t>CT-e</t>
        </is>
      </c>
      <c r="E21" t="inlineStr">
        <is>
          <t>000106092</t>
        </is>
      </c>
      <c r="F21" t="inlineStr">
        <is>
          <t>BOMFIM CARGAS E ENCOMENDAS LTDA</t>
        </is>
      </c>
      <c r="G21" s="27" t="n">
        <v>45685</v>
      </c>
      <c r="H21" s="14" t="n">
        <v>553.45</v>
      </c>
      <c r="I21" s="14" t="n">
        <v>0</v>
      </c>
      <c r="J21" s="14" t="n">
        <v>66.41</v>
      </c>
      <c r="K21" s="14" t="n">
        <v>0</v>
      </c>
      <c r="L21" s="14" t="n">
        <v>0</v>
      </c>
      <c r="M21" s="14">
        <f>IF(B21="Frete de venda",0,(1-ISNUMBER(SEARCH("556",P21)))*(I21*VLOOKUP($B21,Premissas!$A$4:$E$7,2,0)+J21*VLOOKUP($B21,Premissas!$A$4:$E$7,3,0))+K21*VLOOKUP($B21,Premissas!$A$4:$E$7,4,0)+L21*VLOOKUP($B21,Premissas!$A$4:$E$7,5,0))</f>
        <v/>
      </c>
      <c r="N21" s="14">
        <f>H21-M21</f>
        <v/>
      </c>
      <c r="O21" t="inlineStr">
        <is>
          <t>Não</t>
        </is>
      </c>
      <c r="P21" t="inlineStr">
        <is>
          <t>1.556</t>
        </is>
      </c>
    </row>
    <row r="22">
      <c r="A22" t="inlineStr">
        <is>
          <t>Antes de 2026</t>
        </is>
      </c>
      <c r="B22" t="inlineStr">
        <is>
          <t>Frete de compra</t>
        </is>
      </c>
      <c r="C22" t="inlineStr">
        <is>
          <t>Frete de compra</t>
        </is>
      </c>
      <c r="D22" t="inlineStr">
        <is>
          <t>CT-e</t>
        </is>
      </c>
      <c r="E22" t="inlineStr">
        <is>
          <t>000061827</t>
        </is>
      </c>
      <c r="F22" t="inlineStr">
        <is>
          <t>GOL LINHAS AEREAS S.A.</t>
        </is>
      </c>
      <c r="G22" s="27" t="n">
        <v>45728</v>
      </c>
      <c r="H22" s="14" t="n">
        <v>267.13</v>
      </c>
      <c r="I22" s="14" t="n">
        <v>0</v>
      </c>
      <c r="J22" s="14" t="n">
        <v>10.69</v>
      </c>
      <c r="K22" s="14" t="n">
        <v>0</v>
      </c>
      <c r="L22" s="14" t="n">
        <v>0</v>
      </c>
      <c r="M22" s="14">
        <f>IF(B22="Frete de venda",0,(1-ISNUMBER(SEARCH("556",P22)))*(I22*VLOOKUP($B22,Premissas!$A$4:$E$7,2,0)+J22*VLOOKUP($B22,Premissas!$A$4:$E$7,3,0))+K22*VLOOKUP($B22,Premissas!$A$4:$E$7,4,0)+L22*VLOOKUP($B22,Premissas!$A$4:$E$7,5,0))</f>
        <v/>
      </c>
      <c r="N22" s="14">
        <f>H22-M22</f>
        <v/>
      </c>
      <c r="O22" t="inlineStr">
        <is>
          <t>Não</t>
        </is>
      </c>
      <c r="P22" t="inlineStr">
        <is>
          <t>1.350</t>
        </is>
      </c>
    </row>
    <row r="23">
      <c r="A23" t="inlineStr">
        <is>
          <t>Antes de 2026</t>
        </is>
      </c>
      <c r="B23" t="inlineStr">
        <is>
          <t>Frete de venda</t>
        </is>
      </c>
      <c r="C23" t="inlineStr">
        <is>
          <t>Frete de venda (para clientes)</t>
        </is>
      </c>
      <c r="D23" t="inlineStr">
        <is>
          <t>CT-e</t>
        </is>
      </c>
      <c r="E23" t="inlineStr">
        <is>
          <t>000001377</t>
        </is>
      </c>
      <c r="F23" t="inlineStr">
        <is>
          <t>REBECA EMÍLIA DA SILVA</t>
        </is>
      </c>
      <c r="G23" s="27" t="n">
        <v>45738</v>
      </c>
      <c r="H23" s="14" t="n">
        <v>3000</v>
      </c>
      <c r="I23" s="14" t="n">
        <v>0</v>
      </c>
      <c r="J23" s="14" t="n">
        <v>0</v>
      </c>
      <c r="K23" s="14" t="n">
        <v>0</v>
      </c>
      <c r="L23" s="14" t="n">
        <v>0</v>
      </c>
      <c r="M23" s="14">
        <f>IF(B23="Frete de venda",0,(1-ISNUMBER(SEARCH("556",P23)))*(I23*VLOOKUP($B23,Premissas!$A$4:$E$7,2,0)+J23*VLOOKUP($B23,Premissas!$A$4:$E$7,3,0))+K23*VLOOKUP($B23,Premissas!$A$4:$E$7,4,0)+L23*VLOOKUP($B23,Premissas!$A$4:$E$7,5,0))</f>
        <v/>
      </c>
      <c r="N23" s="14">
        <f>H23-M23</f>
        <v/>
      </c>
      <c r="O23" t="inlineStr">
        <is>
          <t>Não</t>
        </is>
      </c>
      <c r="P23" t="inlineStr">
        <is>
          <t>1.556</t>
        </is>
      </c>
    </row>
    <row r="24">
      <c r="A24" t="inlineStr">
        <is>
          <t>Antes de 2026</t>
        </is>
      </c>
      <c r="B24" t="inlineStr">
        <is>
          <t>Frete de compra</t>
        </is>
      </c>
      <c r="C24" t="inlineStr">
        <is>
          <t>Frete de compra</t>
        </is>
      </c>
      <c r="D24" t="inlineStr">
        <is>
          <t>CT-e</t>
        </is>
      </c>
      <c r="E24" t="inlineStr">
        <is>
          <t>000061826</t>
        </is>
      </c>
      <c r="F24" t="inlineStr">
        <is>
          <t>GOL LINHAS AEREAS S.A.</t>
        </is>
      </c>
      <c r="G24" s="27" t="n">
        <v>45728</v>
      </c>
      <c r="H24" s="14" t="n">
        <v>174.99</v>
      </c>
      <c r="I24" s="14" t="n">
        <v>0</v>
      </c>
      <c r="J24" s="14" t="n">
        <v>7</v>
      </c>
      <c r="K24" s="14" t="n">
        <v>0</v>
      </c>
      <c r="L24" s="14" t="n">
        <v>0</v>
      </c>
      <c r="M24" s="14">
        <f>IF(B24="Frete de venda",0,(1-ISNUMBER(SEARCH("556",P24)))*(I24*VLOOKUP($B24,Premissas!$A$4:$E$7,2,0)+J24*VLOOKUP($B24,Premissas!$A$4:$E$7,3,0))+K24*VLOOKUP($B24,Premissas!$A$4:$E$7,4,0)+L24*VLOOKUP($B24,Premissas!$A$4:$E$7,5,0))</f>
        <v/>
      </c>
      <c r="N24" s="14">
        <f>H24-M24</f>
        <v/>
      </c>
      <c r="O24" t="inlineStr">
        <is>
          <t>Não</t>
        </is>
      </c>
      <c r="P24" t="inlineStr">
        <is>
          <t>1.350</t>
        </is>
      </c>
    </row>
    <row r="25">
      <c r="A25" t="inlineStr">
        <is>
          <t>Antes de 2026</t>
        </is>
      </c>
      <c r="B25" t="inlineStr">
        <is>
          <t>Frete de venda</t>
        </is>
      </c>
      <c r="C25" t="inlineStr">
        <is>
          <t>Frete de venda (para clientes)</t>
        </is>
      </c>
      <c r="D25" t="inlineStr">
        <is>
          <t>CT-e</t>
        </is>
      </c>
      <c r="E25" t="inlineStr">
        <is>
          <t>000106093</t>
        </is>
      </c>
      <c r="F25" t="inlineStr">
        <is>
          <t>BOMFIM CARGAS E ENCOMENDAS LTDA</t>
        </is>
      </c>
      <c r="G25" s="27" t="n">
        <v>45685</v>
      </c>
      <c r="H25" s="14" t="n">
        <v>597.1799999999999</v>
      </c>
      <c r="I25" s="14" t="n">
        <v>0</v>
      </c>
      <c r="J25" s="14" t="n">
        <v>71.66</v>
      </c>
      <c r="K25" s="14" t="n">
        <v>0</v>
      </c>
      <c r="L25" s="14" t="n">
        <v>0</v>
      </c>
      <c r="M25" s="14">
        <f>IF(B25="Frete de venda",0,(1-ISNUMBER(SEARCH("556",P25)))*(I25*VLOOKUP($B25,Premissas!$A$4:$E$7,2,0)+J25*VLOOKUP($B25,Premissas!$A$4:$E$7,3,0))+K25*VLOOKUP($B25,Premissas!$A$4:$E$7,4,0)+L25*VLOOKUP($B25,Premissas!$A$4:$E$7,5,0))</f>
        <v/>
      </c>
      <c r="N25" s="14">
        <f>H25-M25</f>
        <v/>
      </c>
      <c r="O25" t="inlineStr">
        <is>
          <t>Não</t>
        </is>
      </c>
      <c r="P25" t="inlineStr">
        <is>
          <t>1.556</t>
        </is>
      </c>
    </row>
    <row r="26">
      <c r="A26" t="inlineStr">
        <is>
          <t>Antes de 2026</t>
        </is>
      </c>
      <c r="B26" t="inlineStr">
        <is>
          <t>Frete de venda</t>
        </is>
      </c>
      <c r="C26" t="inlineStr">
        <is>
          <t>Frete de venda (para clientes)</t>
        </is>
      </c>
      <c r="D26" t="inlineStr">
        <is>
          <t>CT-e</t>
        </is>
      </c>
      <c r="E26" t="inlineStr">
        <is>
          <t>000002560</t>
        </is>
      </c>
      <c r="F26" t="inlineStr">
        <is>
          <t>C L TRANSPORTES LTDA - IDEALIZA TRANSP</t>
        </is>
      </c>
      <c r="G26" s="27" t="n">
        <v>45784</v>
      </c>
      <c r="H26" s="14" t="n">
        <v>302.4</v>
      </c>
      <c r="I26" s="14" t="n">
        <v>0</v>
      </c>
      <c r="J26" s="14" t="n">
        <v>0</v>
      </c>
      <c r="K26" s="14" t="n">
        <v>0</v>
      </c>
      <c r="L26" s="14" t="n">
        <v>0</v>
      </c>
      <c r="M26" s="14">
        <f>IF(B26="Frete de venda",0,(1-ISNUMBER(SEARCH("556",P26)))*(I26*VLOOKUP($B26,Premissas!$A$4:$E$7,2,0)+J26*VLOOKUP($B26,Premissas!$A$4:$E$7,3,0))+K26*VLOOKUP($B26,Premissas!$A$4:$E$7,4,0)+L26*VLOOKUP($B26,Premissas!$A$4:$E$7,5,0))</f>
        <v/>
      </c>
      <c r="N26" s="14">
        <f>H26-M26</f>
        <v/>
      </c>
      <c r="O26" t="inlineStr">
        <is>
          <t>Não</t>
        </is>
      </c>
      <c r="P26" t="inlineStr">
        <is>
          <t>1.556</t>
        </is>
      </c>
    </row>
    <row r="27">
      <c r="A27" t="inlineStr">
        <is>
          <t>Antes de 2026</t>
        </is>
      </c>
      <c r="B27" t="inlineStr">
        <is>
          <t>Frete de venda</t>
        </is>
      </c>
      <c r="C27" t="inlineStr">
        <is>
          <t>Frete de venda (para clientes)</t>
        </is>
      </c>
      <c r="D27" t="inlineStr">
        <is>
          <t>CT-e</t>
        </is>
      </c>
      <c r="E27" t="inlineStr">
        <is>
          <t>000082933</t>
        </is>
      </c>
      <c r="F27" t="inlineStr">
        <is>
          <t>CRUZ DE MALTA TRANSPORTES LTDA</t>
        </is>
      </c>
      <c r="G27" s="27" t="n">
        <v>46017</v>
      </c>
      <c r="H27" s="14" t="n">
        <v>350</v>
      </c>
      <c r="I27" s="14" t="n">
        <v>0</v>
      </c>
      <c r="J27" s="14" t="n">
        <v>66.5</v>
      </c>
      <c r="K27" s="14" t="n">
        <v>0</v>
      </c>
      <c r="L27" s="14" t="n">
        <v>0</v>
      </c>
      <c r="M27" s="14">
        <f>IF(B27="Frete de venda",0,(1-ISNUMBER(SEARCH("556",P27)))*(I27*VLOOKUP($B27,Premissas!$A$4:$E$7,2,0)+J27*VLOOKUP($B27,Premissas!$A$4:$E$7,3,0))+K27*VLOOKUP($B27,Premissas!$A$4:$E$7,4,0)+L27*VLOOKUP($B27,Premissas!$A$4:$E$7,5,0))</f>
        <v/>
      </c>
      <c r="N27" s="14">
        <f>H27-M27</f>
        <v/>
      </c>
      <c r="O27" t="inlineStr">
        <is>
          <t>Sim</t>
        </is>
      </c>
      <c r="P27" t="inlineStr">
        <is>
          <t>1.350</t>
        </is>
      </c>
    </row>
    <row r="28">
      <c r="A28" t="inlineStr">
        <is>
          <t>Antes de 2026</t>
        </is>
      </c>
      <c r="B28" t="inlineStr">
        <is>
          <t>Frete de venda</t>
        </is>
      </c>
      <c r="C28" t="inlineStr">
        <is>
          <t>Frete de venda (para clientes)</t>
        </is>
      </c>
      <c r="D28" t="inlineStr">
        <is>
          <t>CT-e</t>
        </is>
      </c>
      <c r="E28" t="inlineStr">
        <is>
          <t>000082937</t>
        </is>
      </c>
      <c r="F28" t="inlineStr">
        <is>
          <t>CRUZ DE MALTA TRANSPORTES LTDA</t>
        </is>
      </c>
      <c r="G28" s="27" t="n">
        <v>46017</v>
      </c>
      <c r="H28" s="14" t="n">
        <v>600</v>
      </c>
      <c r="I28" s="14" t="n">
        <v>0</v>
      </c>
      <c r="J28" s="14" t="n">
        <v>114</v>
      </c>
      <c r="K28" s="14" t="n">
        <v>0</v>
      </c>
      <c r="L28" s="14" t="n">
        <v>0</v>
      </c>
      <c r="M28" s="14">
        <f>IF(B28="Frete de venda",0,(1-ISNUMBER(SEARCH("556",P28)))*(I28*VLOOKUP($B28,Premissas!$A$4:$E$7,2,0)+J28*VLOOKUP($B28,Premissas!$A$4:$E$7,3,0))+K28*VLOOKUP($B28,Premissas!$A$4:$E$7,4,0)+L28*VLOOKUP($B28,Premissas!$A$4:$E$7,5,0))</f>
        <v/>
      </c>
      <c r="N28" s="14">
        <f>H28-M28</f>
        <v/>
      </c>
      <c r="O28" t="inlineStr">
        <is>
          <t>Sim</t>
        </is>
      </c>
      <c r="P28" t="inlineStr">
        <is>
          <t>1.350</t>
        </is>
      </c>
    </row>
    <row r="29">
      <c r="A29" t="inlineStr">
        <is>
          <t>Antes de 2026</t>
        </is>
      </c>
      <c r="B29" t="inlineStr">
        <is>
          <t>Frete de compra</t>
        </is>
      </c>
      <c r="C29" t="inlineStr">
        <is>
          <t>Frete de compra</t>
        </is>
      </c>
      <c r="D29" t="inlineStr">
        <is>
          <t>CT-e</t>
        </is>
      </c>
      <c r="E29" t="inlineStr">
        <is>
          <t>000073219</t>
        </is>
      </c>
      <c r="F29" t="inlineStr">
        <is>
          <t>GOL LINHAS AEREAS S.A.</t>
        </is>
      </c>
      <c r="G29" s="27" t="n">
        <v>45987</v>
      </c>
      <c r="H29" s="14" t="n">
        <v>168.27</v>
      </c>
      <c r="I29" s="14" t="n">
        <v>0</v>
      </c>
      <c r="J29" s="14" t="n">
        <v>6.73</v>
      </c>
      <c r="K29" s="14" t="n">
        <v>0</v>
      </c>
      <c r="L29" s="14" t="n">
        <v>0</v>
      </c>
      <c r="M29" s="14">
        <f>IF(B29="Frete de venda",0,(1-ISNUMBER(SEARCH("556",P29)))*(I29*VLOOKUP($B29,Premissas!$A$4:$E$7,2,0)+J29*VLOOKUP($B29,Premissas!$A$4:$E$7,3,0))+K29*VLOOKUP($B29,Premissas!$A$4:$E$7,4,0)+L29*VLOOKUP($B29,Premissas!$A$4:$E$7,5,0))</f>
        <v/>
      </c>
      <c r="N29" s="14">
        <f>H29-M29</f>
        <v/>
      </c>
      <c r="O29" t="inlineStr">
        <is>
          <t>Não</t>
        </is>
      </c>
      <c r="P29" t="inlineStr">
        <is>
          <t>1.350</t>
        </is>
      </c>
    </row>
    <row r="30">
      <c r="A30" t="inlineStr">
        <is>
          <t>Antes de 2026</t>
        </is>
      </c>
      <c r="B30" t="inlineStr">
        <is>
          <t>Frete de venda</t>
        </is>
      </c>
      <c r="C30" t="inlineStr">
        <is>
          <t>Frete de venda (para clientes)</t>
        </is>
      </c>
      <c r="D30" t="inlineStr">
        <is>
          <t>CT-e</t>
        </is>
      </c>
      <c r="E30" t="inlineStr">
        <is>
          <t>000002666</t>
        </is>
      </c>
      <c r="F30" t="inlineStr">
        <is>
          <t>C L TRANSPORTES LTDA - IDEALIZA TRANSP</t>
        </is>
      </c>
      <c r="G30" s="27" t="n">
        <v>45791</v>
      </c>
      <c r="H30" s="14" t="n">
        <v>420</v>
      </c>
      <c r="I30" s="14" t="n">
        <v>0</v>
      </c>
      <c r="J30" s="14" t="n">
        <v>0</v>
      </c>
      <c r="K30" s="14" t="n">
        <v>0</v>
      </c>
      <c r="L30" s="14" t="n">
        <v>0</v>
      </c>
      <c r="M30" s="14">
        <f>IF(B30="Frete de venda",0,(1-ISNUMBER(SEARCH("556",P30)))*(I30*VLOOKUP($B30,Premissas!$A$4:$E$7,2,0)+J30*VLOOKUP($B30,Premissas!$A$4:$E$7,3,0))+K30*VLOOKUP($B30,Premissas!$A$4:$E$7,4,0)+L30*VLOOKUP($B30,Premissas!$A$4:$E$7,5,0))</f>
        <v/>
      </c>
      <c r="N30" s="14">
        <f>H30-M30</f>
        <v/>
      </c>
      <c r="O30" t="inlineStr">
        <is>
          <t>Não</t>
        </is>
      </c>
      <c r="P30" t="inlineStr">
        <is>
          <t>1.556</t>
        </is>
      </c>
    </row>
    <row r="31">
      <c r="A31" t="inlineStr">
        <is>
          <t>Antes de 2026</t>
        </is>
      </c>
      <c r="B31" t="inlineStr">
        <is>
          <t>Frete de venda</t>
        </is>
      </c>
      <c r="C31" t="inlineStr">
        <is>
          <t>Frete de venda (para clientes)</t>
        </is>
      </c>
      <c r="D31" t="inlineStr">
        <is>
          <t>CT-e</t>
        </is>
      </c>
      <c r="E31" t="inlineStr">
        <is>
          <t>000325834</t>
        </is>
      </c>
      <c r="F31" t="inlineStr">
        <is>
          <t>GO TRANSPORTES E ENCOMENDAS LTDA</t>
        </is>
      </c>
      <c r="G31" s="27" t="n">
        <v>45926</v>
      </c>
      <c r="H31" s="14" t="n">
        <v>240.64</v>
      </c>
      <c r="I31" s="14" t="n">
        <v>0</v>
      </c>
      <c r="J31" s="14" t="n">
        <v>45.72</v>
      </c>
      <c r="K31" s="14" t="n">
        <v>0</v>
      </c>
      <c r="L31" s="14" t="n">
        <v>0</v>
      </c>
      <c r="M31" s="14">
        <f>IF(B31="Frete de venda",0,(1-ISNUMBER(SEARCH("556",P31)))*(I31*VLOOKUP($B31,Premissas!$A$4:$E$7,2,0)+J31*VLOOKUP($B31,Premissas!$A$4:$E$7,3,0))+K31*VLOOKUP($B31,Premissas!$A$4:$E$7,4,0)+L31*VLOOKUP($B31,Premissas!$A$4:$E$7,5,0))</f>
        <v/>
      </c>
      <c r="N31" s="14">
        <f>H31-M31</f>
        <v/>
      </c>
      <c r="O31" t="inlineStr">
        <is>
          <t>Não</t>
        </is>
      </c>
      <c r="P31" t="inlineStr">
        <is>
          <t>1.556</t>
        </is>
      </c>
    </row>
    <row r="32">
      <c r="A32" t="inlineStr">
        <is>
          <t>Antes de 2026</t>
        </is>
      </c>
      <c r="B32" t="inlineStr">
        <is>
          <t>Frete de venda</t>
        </is>
      </c>
      <c r="C32" t="inlineStr">
        <is>
          <t>Frete de venda (para clientes)</t>
        </is>
      </c>
      <c r="D32" t="inlineStr">
        <is>
          <t>CT-e</t>
        </is>
      </c>
      <c r="E32" t="inlineStr">
        <is>
          <t>000003250</t>
        </is>
      </c>
      <c r="F32" t="inlineStr">
        <is>
          <t>C L TRANSPORTES LTDA - IDEALIZA TRANSP</t>
        </is>
      </c>
      <c r="G32" s="27" t="n">
        <v>45828</v>
      </c>
      <c r="H32" s="14" t="n">
        <v>855.34</v>
      </c>
      <c r="I32" s="14" t="n">
        <v>0</v>
      </c>
      <c r="J32" s="14" t="n">
        <v>0</v>
      </c>
      <c r="K32" s="14" t="n">
        <v>0</v>
      </c>
      <c r="L32" s="14" t="n">
        <v>0</v>
      </c>
      <c r="M32" s="14">
        <f>IF(B32="Frete de venda",0,(1-ISNUMBER(SEARCH("556",P32)))*(I32*VLOOKUP($B32,Premissas!$A$4:$E$7,2,0)+J32*VLOOKUP($B32,Premissas!$A$4:$E$7,3,0))+K32*VLOOKUP($B32,Premissas!$A$4:$E$7,4,0)+L32*VLOOKUP($B32,Premissas!$A$4:$E$7,5,0))</f>
        <v/>
      </c>
      <c r="N32" s="14">
        <f>H32-M32</f>
        <v/>
      </c>
      <c r="O32" t="inlineStr">
        <is>
          <t>Não</t>
        </is>
      </c>
      <c r="P32" t="inlineStr">
        <is>
          <t>1.556</t>
        </is>
      </c>
    </row>
    <row r="33">
      <c r="A33" t="inlineStr">
        <is>
          <t>Antes de 2026</t>
        </is>
      </c>
      <c r="B33" t="inlineStr">
        <is>
          <t>Frete de venda</t>
        </is>
      </c>
      <c r="C33" t="inlineStr">
        <is>
          <t>Frete de venda (para clientes)</t>
        </is>
      </c>
      <c r="D33" t="inlineStr">
        <is>
          <t>CT-e</t>
        </is>
      </c>
      <c r="E33" t="inlineStr">
        <is>
          <t>000714800</t>
        </is>
      </c>
      <c r="F33" t="inlineStr">
        <is>
          <t>RODAR TRANSPORTES LTDA</t>
        </is>
      </c>
      <c r="G33" s="27" t="n">
        <v>45926</v>
      </c>
      <c r="H33" s="14" t="n">
        <v>804.3200000000001</v>
      </c>
      <c r="I33" s="14" t="n">
        <v>0</v>
      </c>
      <c r="J33" s="14" t="n">
        <v>0</v>
      </c>
      <c r="K33" s="14" t="n">
        <v>0</v>
      </c>
      <c r="L33" s="14" t="n">
        <v>0</v>
      </c>
      <c r="M33" s="14">
        <f>IF(B33="Frete de venda",0,(1-ISNUMBER(SEARCH("556",P33)))*(I33*VLOOKUP($B33,Premissas!$A$4:$E$7,2,0)+J33*VLOOKUP($B33,Premissas!$A$4:$E$7,3,0))+K33*VLOOKUP($B33,Premissas!$A$4:$E$7,4,0)+L33*VLOOKUP($B33,Premissas!$A$4:$E$7,5,0))</f>
        <v/>
      </c>
      <c r="N33" s="14">
        <f>H33-M33</f>
        <v/>
      </c>
      <c r="O33" t="inlineStr">
        <is>
          <t>Não</t>
        </is>
      </c>
      <c r="P33" t="inlineStr">
        <is>
          <t>1.556</t>
        </is>
      </c>
    </row>
    <row r="34">
      <c r="A34" t="inlineStr">
        <is>
          <t>Antes de 2026</t>
        </is>
      </c>
      <c r="B34" t="inlineStr">
        <is>
          <t>Frete de venda</t>
        </is>
      </c>
      <c r="C34" t="inlineStr">
        <is>
          <t>Frete de venda (para clientes)</t>
        </is>
      </c>
      <c r="D34" t="inlineStr">
        <is>
          <t>CT-e</t>
        </is>
      </c>
      <c r="E34" t="inlineStr">
        <is>
          <t>000018329</t>
        </is>
      </c>
      <c r="F34" t="inlineStr">
        <is>
          <t>A D A CARVALHO - TRANSPORTES FILIAL CE</t>
        </is>
      </c>
      <c r="G34" s="27" t="n">
        <v>45790</v>
      </c>
      <c r="H34" s="14" t="n">
        <v>50</v>
      </c>
      <c r="I34" s="14" t="n">
        <v>0</v>
      </c>
      <c r="J34" s="14" t="n">
        <v>0</v>
      </c>
      <c r="K34" s="14" t="n">
        <v>0</v>
      </c>
      <c r="L34" s="14" t="n">
        <v>0</v>
      </c>
      <c r="M34" s="14">
        <f>IF(B34="Frete de venda",0,(1-ISNUMBER(SEARCH("556",P34)))*(I34*VLOOKUP($B34,Premissas!$A$4:$E$7,2,0)+J34*VLOOKUP($B34,Premissas!$A$4:$E$7,3,0))+K34*VLOOKUP($B34,Premissas!$A$4:$E$7,4,0)+L34*VLOOKUP($B34,Premissas!$A$4:$E$7,5,0))</f>
        <v/>
      </c>
      <c r="N34" s="14">
        <f>H34-M34</f>
        <v/>
      </c>
      <c r="O34" t="inlineStr">
        <is>
          <t>Não</t>
        </is>
      </c>
      <c r="P34" t="inlineStr">
        <is>
          <t>1.556</t>
        </is>
      </c>
    </row>
    <row r="35">
      <c r="A35" t="inlineStr">
        <is>
          <t>Antes de 2026</t>
        </is>
      </c>
      <c r="B35" t="inlineStr">
        <is>
          <t>Frete de compra</t>
        </is>
      </c>
      <c r="C35" t="inlineStr">
        <is>
          <t>Frete de compra</t>
        </is>
      </c>
      <c r="D35" t="inlineStr">
        <is>
          <t>CT-e</t>
        </is>
      </c>
      <c r="E35" t="inlineStr">
        <is>
          <t>000282868</t>
        </is>
      </c>
      <c r="F35" t="inlineStr">
        <is>
          <t>STANCANELLI TRANSPORTES E LOGISTICA LTDA</t>
        </is>
      </c>
      <c r="G35" s="27" t="n">
        <v>46000</v>
      </c>
      <c r="H35" s="14" t="n">
        <v>5180.3</v>
      </c>
      <c r="I35" s="14" t="n">
        <v>0</v>
      </c>
      <c r="J35" s="14" t="n">
        <v>362.62</v>
      </c>
      <c r="K35" s="14" t="n">
        <v>0</v>
      </c>
      <c r="L35" s="14" t="n">
        <v>0</v>
      </c>
      <c r="M35" s="14">
        <f>IF(B35="Frete de venda",0,(1-ISNUMBER(SEARCH("556",P35)))*(I35*VLOOKUP($B35,Premissas!$A$4:$E$7,2,0)+J35*VLOOKUP($B35,Premissas!$A$4:$E$7,3,0))+K35*VLOOKUP($B35,Premissas!$A$4:$E$7,4,0)+L35*VLOOKUP($B35,Premissas!$A$4:$E$7,5,0))</f>
        <v/>
      </c>
      <c r="N35" s="14">
        <f>H35-M35</f>
        <v/>
      </c>
      <c r="O35" t="inlineStr">
        <is>
          <t>Não</t>
        </is>
      </c>
      <c r="P35" t="inlineStr">
        <is>
          <t>1.556</t>
        </is>
      </c>
    </row>
    <row r="36">
      <c r="A36" t="inlineStr">
        <is>
          <t>Antes de 2026</t>
        </is>
      </c>
      <c r="B36" t="inlineStr">
        <is>
          <t>Frete de venda</t>
        </is>
      </c>
      <c r="C36" t="inlineStr">
        <is>
          <t>Frete de venda (para clientes)</t>
        </is>
      </c>
      <c r="D36" t="inlineStr">
        <is>
          <t>CT-e</t>
        </is>
      </c>
      <c r="E36" t="inlineStr">
        <is>
          <t>000000005</t>
        </is>
      </c>
      <c r="F36" t="inlineStr">
        <is>
          <t>FF TRANSPORTES</t>
        </is>
      </c>
      <c r="G36" s="27" t="n">
        <v>45942</v>
      </c>
      <c r="H36" s="14" t="n">
        <v>700</v>
      </c>
      <c r="I36" s="14" t="n">
        <v>0</v>
      </c>
      <c r="J36" s="14" t="n">
        <v>0</v>
      </c>
      <c r="K36" s="14" t="n">
        <v>0</v>
      </c>
      <c r="L36" s="14" t="n">
        <v>0</v>
      </c>
      <c r="M36" s="14">
        <f>IF(B36="Frete de venda",0,(1-ISNUMBER(SEARCH("556",P36)))*(I36*VLOOKUP($B36,Premissas!$A$4:$E$7,2,0)+J36*VLOOKUP($B36,Premissas!$A$4:$E$7,3,0))+K36*VLOOKUP($B36,Premissas!$A$4:$E$7,4,0)+L36*VLOOKUP($B36,Premissas!$A$4:$E$7,5,0))</f>
        <v/>
      </c>
      <c r="N36" s="14">
        <f>H36-M36</f>
        <v/>
      </c>
      <c r="O36" t="inlineStr">
        <is>
          <t>Não</t>
        </is>
      </c>
      <c r="P36" t="inlineStr">
        <is>
          <t>1.556</t>
        </is>
      </c>
    </row>
    <row r="37">
      <c r="A37" t="inlineStr">
        <is>
          <t>Antes de 2026</t>
        </is>
      </c>
      <c r="B37" t="inlineStr">
        <is>
          <t>Frete de venda</t>
        </is>
      </c>
      <c r="C37" t="inlineStr">
        <is>
          <t>Frete de venda (para clientes)</t>
        </is>
      </c>
      <c r="D37" t="inlineStr">
        <is>
          <t>CT-e</t>
        </is>
      </c>
      <c r="E37" t="inlineStr">
        <is>
          <t>000000004</t>
        </is>
      </c>
      <c r="F37" t="inlineStr">
        <is>
          <t>FF TRANSPORTES</t>
        </is>
      </c>
      <c r="G37" s="27" t="n">
        <v>45942</v>
      </c>
      <c r="H37" s="14" t="n">
        <v>250</v>
      </c>
      <c r="I37" s="14" t="n">
        <v>0</v>
      </c>
      <c r="J37" s="14" t="n">
        <v>0</v>
      </c>
      <c r="K37" s="14" t="n">
        <v>0</v>
      </c>
      <c r="L37" s="14" t="n">
        <v>0</v>
      </c>
      <c r="M37" s="14">
        <f>IF(B37="Frete de venda",0,(1-ISNUMBER(SEARCH("556",P37)))*(I37*VLOOKUP($B37,Premissas!$A$4:$E$7,2,0)+J37*VLOOKUP($B37,Premissas!$A$4:$E$7,3,0))+K37*VLOOKUP($B37,Premissas!$A$4:$E$7,4,0)+L37*VLOOKUP($B37,Premissas!$A$4:$E$7,5,0))</f>
        <v/>
      </c>
      <c r="N37" s="14">
        <f>H37-M37</f>
        <v/>
      </c>
      <c r="O37" t="inlineStr">
        <is>
          <t>Não</t>
        </is>
      </c>
      <c r="P37" t="inlineStr">
        <is>
          <t>1.556</t>
        </is>
      </c>
    </row>
    <row r="38">
      <c r="A38" t="inlineStr">
        <is>
          <t>Antes de 2026</t>
        </is>
      </c>
      <c r="B38" t="inlineStr">
        <is>
          <t>Frete de venda</t>
        </is>
      </c>
      <c r="C38" t="inlineStr">
        <is>
          <t>Frete de venda (para clientes)</t>
        </is>
      </c>
      <c r="D38" t="inlineStr">
        <is>
          <t>CT-e</t>
        </is>
      </c>
      <c r="E38" t="inlineStr">
        <is>
          <t>000002670</t>
        </is>
      </c>
      <c r="F38" t="inlineStr">
        <is>
          <t>C L TRANSPORTES LTDA - IDEALIZA TRANSP</t>
        </is>
      </c>
      <c r="G38" s="27" t="n">
        <v>45791</v>
      </c>
      <c r="H38" s="14" t="n">
        <v>205.53</v>
      </c>
      <c r="I38" s="14" t="n">
        <v>0</v>
      </c>
      <c r="J38" s="14" t="n">
        <v>0</v>
      </c>
      <c r="K38" s="14" t="n">
        <v>0</v>
      </c>
      <c r="L38" s="14" t="n">
        <v>0</v>
      </c>
      <c r="M38" s="14">
        <f>IF(B38="Frete de venda",0,(1-ISNUMBER(SEARCH("556",P38)))*(I38*VLOOKUP($B38,Premissas!$A$4:$E$7,2,0)+J38*VLOOKUP($B38,Premissas!$A$4:$E$7,3,0))+K38*VLOOKUP($B38,Premissas!$A$4:$E$7,4,0)+L38*VLOOKUP($B38,Premissas!$A$4:$E$7,5,0))</f>
        <v/>
      </c>
      <c r="N38" s="14">
        <f>H38-M38</f>
        <v/>
      </c>
      <c r="O38" t="inlineStr">
        <is>
          <t>Não</t>
        </is>
      </c>
      <c r="P38" t="inlineStr">
        <is>
          <t>1.556</t>
        </is>
      </c>
    </row>
    <row r="39">
      <c r="A39" t="inlineStr">
        <is>
          <t>Antes de 2026</t>
        </is>
      </c>
      <c r="B39" t="inlineStr">
        <is>
          <t>Frete de venda</t>
        </is>
      </c>
      <c r="C39" t="inlineStr">
        <is>
          <t>Frete de venda (para clientes)</t>
        </is>
      </c>
      <c r="D39" t="inlineStr">
        <is>
          <t>CT-e</t>
        </is>
      </c>
      <c r="E39" t="inlineStr">
        <is>
          <t>000082939</t>
        </is>
      </c>
      <c r="F39" t="inlineStr">
        <is>
          <t>CRUZ DE MALTA TRANSPORTES LTDA</t>
        </is>
      </c>
      <c r="G39" s="27" t="n">
        <v>46017</v>
      </c>
      <c r="H39" s="14" t="n">
        <v>250</v>
      </c>
      <c r="I39" s="14" t="n">
        <v>0</v>
      </c>
      <c r="J39" s="14" t="n">
        <v>47.5</v>
      </c>
      <c r="K39" s="14" t="n">
        <v>0</v>
      </c>
      <c r="L39" s="14" t="n">
        <v>0</v>
      </c>
      <c r="M39" s="14">
        <f>IF(B39="Frete de venda",0,(1-ISNUMBER(SEARCH("556",P39)))*(I39*VLOOKUP($B39,Premissas!$A$4:$E$7,2,0)+J39*VLOOKUP($B39,Premissas!$A$4:$E$7,3,0))+K39*VLOOKUP($B39,Premissas!$A$4:$E$7,4,0)+L39*VLOOKUP($B39,Premissas!$A$4:$E$7,5,0))</f>
        <v/>
      </c>
      <c r="N39" s="14">
        <f>H39-M39</f>
        <v/>
      </c>
      <c r="O39" t="inlineStr">
        <is>
          <t>Sim</t>
        </is>
      </c>
      <c r="P39" t="inlineStr">
        <is>
          <t>1.350</t>
        </is>
      </c>
    </row>
    <row r="40">
      <c r="A40" t="inlineStr">
        <is>
          <t>Antes de 2026</t>
        </is>
      </c>
      <c r="B40" t="inlineStr">
        <is>
          <t>Frete de venda</t>
        </is>
      </c>
      <c r="C40" t="inlineStr">
        <is>
          <t>Frete de venda (para clientes)</t>
        </is>
      </c>
      <c r="D40" t="inlineStr">
        <is>
          <t>CT-e</t>
        </is>
      </c>
      <c r="E40" t="inlineStr">
        <is>
          <t>000082934</t>
        </is>
      </c>
      <c r="F40" t="inlineStr">
        <is>
          <t>CRUZ DE MALTA TRANSPORTES LTDA</t>
        </is>
      </c>
      <c r="G40" s="27" t="n">
        <v>46017</v>
      </c>
      <c r="H40" s="14" t="n">
        <v>1200</v>
      </c>
      <c r="I40" s="14" t="n">
        <v>0</v>
      </c>
      <c r="J40" s="14" t="n">
        <v>228</v>
      </c>
      <c r="K40" s="14" t="n">
        <v>0</v>
      </c>
      <c r="L40" s="14" t="n">
        <v>0</v>
      </c>
      <c r="M40" s="14">
        <f>IF(B40="Frete de venda",0,(1-ISNUMBER(SEARCH("556",P40)))*(I40*VLOOKUP($B40,Premissas!$A$4:$E$7,2,0)+J40*VLOOKUP($B40,Premissas!$A$4:$E$7,3,0))+K40*VLOOKUP($B40,Premissas!$A$4:$E$7,4,0)+L40*VLOOKUP($B40,Premissas!$A$4:$E$7,5,0))</f>
        <v/>
      </c>
      <c r="N40" s="14">
        <f>H40-M40</f>
        <v/>
      </c>
      <c r="O40" t="inlineStr">
        <is>
          <t>Sim</t>
        </is>
      </c>
      <c r="P40" t="inlineStr">
        <is>
          <t>1.350</t>
        </is>
      </c>
    </row>
    <row r="41">
      <c r="A41" t="inlineStr">
        <is>
          <t>Antes de 2026</t>
        </is>
      </c>
      <c r="B41" t="inlineStr">
        <is>
          <t>Frete de venda</t>
        </is>
      </c>
      <c r="C41" t="inlineStr">
        <is>
          <t>Frete de venda (para clientes)</t>
        </is>
      </c>
      <c r="D41" t="inlineStr">
        <is>
          <t>CT-e</t>
        </is>
      </c>
      <c r="E41" t="inlineStr">
        <is>
          <t>000003262</t>
        </is>
      </c>
      <c r="F41" t="inlineStr">
        <is>
          <t>C L TRANSPORTES LTDA - IDEALIZA TRANSP</t>
        </is>
      </c>
      <c r="G41" s="27" t="n">
        <v>45828</v>
      </c>
      <c r="H41" s="14" t="n">
        <v>158.2</v>
      </c>
      <c r="I41" s="14" t="n">
        <v>0</v>
      </c>
      <c r="J41" s="14" t="n">
        <v>0</v>
      </c>
      <c r="K41" s="14" t="n">
        <v>0</v>
      </c>
      <c r="L41" s="14" t="n">
        <v>0</v>
      </c>
      <c r="M41" s="14">
        <f>IF(B41="Frete de venda",0,(1-ISNUMBER(SEARCH("556",P41)))*(I41*VLOOKUP($B41,Premissas!$A$4:$E$7,2,0)+J41*VLOOKUP($B41,Premissas!$A$4:$E$7,3,0))+K41*VLOOKUP($B41,Premissas!$A$4:$E$7,4,0)+L41*VLOOKUP($B41,Premissas!$A$4:$E$7,5,0))</f>
        <v/>
      </c>
      <c r="N41" s="14">
        <f>H41-M41</f>
        <v/>
      </c>
      <c r="O41" t="inlineStr">
        <is>
          <t>Não</t>
        </is>
      </c>
      <c r="P41" t="inlineStr">
        <is>
          <t>1.556</t>
        </is>
      </c>
    </row>
    <row r="42">
      <c r="A42" t="inlineStr">
        <is>
          <t>Antes de 2026</t>
        </is>
      </c>
      <c r="B42" t="inlineStr">
        <is>
          <t>Frete de venda</t>
        </is>
      </c>
      <c r="C42" t="inlineStr">
        <is>
          <t>Frete de venda (para clientes)</t>
        </is>
      </c>
      <c r="D42" t="inlineStr">
        <is>
          <t>CT-e</t>
        </is>
      </c>
      <c r="E42" t="inlineStr">
        <is>
          <t>000002558</t>
        </is>
      </c>
      <c r="F42" t="inlineStr">
        <is>
          <t>C L TRANSPORTES LTDA - IDEALIZA TRANSP</t>
        </is>
      </c>
      <c r="G42" s="27" t="n">
        <v>45784</v>
      </c>
      <c r="H42" s="14" t="n">
        <v>213.85</v>
      </c>
      <c r="I42" s="14" t="n">
        <v>0</v>
      </c>
      <c r="J42" s="14" t="n">
        <v>0</v>
      </c>
      <c r="K42" s="14" t="n">
        <v>0</v>
      </c>
      <c r="L42" s="14" t="n">
        <v>0</v>
      </c>
      <c r="M42" s="14">
        <f>IF(B42="Frete de venda",0,(1-ISNUMBER(SEARCH("556",P42)))*(I42*VLOOKUP($B42,Premissas!$A$4:$E$7,2,0)+J42*VLOOKUP($B42,Premissas!$A$4:$E$7,3,0))+K42*VLOOKUP($B42,Premissas!$A$4:$E$7,4,0)+L42*VLOOKUP($B42,Premissas!$A$4:$E$7,5,0))</f>
        <v/>
      </c>
      <c r="N42" s="14">
        <f>H42-M42</f>
        <v/>
      </c>
      <c r="O42" t="inlineStr">
        <is>
          <t>Não</t>
        </is>
      </c>
      <c r="P42" t="inlineStr">
        <is>
          <t>1.556</t>
        </is>
      </c>
    </row>
    <row r="43">
      <c r="A43" t="inlineStr">
        <is>
          <t>Antes de 2026</t>
        </is>
      </c>
      <c r="B43" t="inlineStr">
        <is>
          <t>Frete de venda</t>
        </is>
      </c>
      <c r="C43" t="inlineStr">
        <is>
          <t>Frete de venda (para clientes)</t>
        </is>
      </c>
      <c r="D43" t="inlineStr">
        <is>
          <t>CT-e</t>
        </is>
      </c>
      <c r="E43" t="inlineStr">
        <is>
          <t>000002559</t>
        </is>
      </c>
      <c r="F43" t="inlineStr">
        <is>
          <t>C L TRANSPORTES LTDA - IDEALIZA TRANSP</t>
        </is>
      </c>
      <c r="G43" s="27" t="n">
        <v>45784</v>
      </c>
      <c r="H43" s="14" t="n">
        <v>422.45</v>
      </c>
      <c r="I43" s="14" t="n">
        <v>0</v>
      </c>
      <c r="J43" s="14" t="n">
        <v>0</v>
      </c>
      <c r="K43" s="14" t="n">
        <v>0</v>
      </c>
      <c r="L43" s="14" t="n">
        <v>0</v>
      </c>
      <c r="M43" s="14">
        <f>IF(B43="Frete de venda",0,(1-ISNUMBER(SEARCH("556",P43)))*(I43*VLOOKUP($B43,Premissas!$A$4:$E$7,2,0)+J43*VLOOKUP($B43,Premissas!$A$4:$E$7,3,0))+K43*VLOOKUP($B43,Premissas!$A$4:$E$7,4,0)+L43*VLOOKUP($B43,Premissas!$A$4:$E$7,5,0))</f>
        <v/>
      </c>
      <c r="N43" s="14">
        <f>H43-M43</f>
        <v/>
      </c>
      <c r="O43" t="inlineStr">
        <is>
          <t>Não</t>
        </is>
      </c>
      <c r="P43" t="inlineStr">
        <is>
          <t>1.556</t>
        </is>
      </c>
    </row>
    <row r="44">
      <c r="A44" t="inlineStr">
        <is>
          <t>Antes de 2026</t>
        </is>
      </c>
      <c r="B44" t="inlineStr">
        <is>
          <t>Frete de venda</t>
        </is>
      </c>
      <c r="C44" t="inlineStr">
        <is>
          <t>Frete de venda (para clientes)</t>
        </is>
      </c>
      <c r="D44" t="inlineStr">
        <is>
          <t>CT-e</t>
        </is>
      </c>
      <c r="E44" t="inlineStr">
        <is>
          <t>000003263</t>
        </is>
      </c>
      <c r="F44" t="inlineStr">
        <is>
          <t>C L TRANSPORTES LTDA - IDEALIZA TRANSP</t>
        </is>
      </c>
      <c r="G44" s="27" t="n">
        <v>45828</v>
      </c>
      <c r="H44" s="14" t="n">
        <v>479.5</v>
      </c>
      <c r="I44" s="14" t="n">
        <v>0</v>
      </c>
      <c r="J44" s="14" t="n">
        <v>0</v>
      </c>
      <c r="K44" s="14" t="n">
        <v>0</v>
      </c>
      <c r="L44" s="14" t="n">
        <v>0</v>
      </c>
      <c r="M44" s="14">
        <f>IF(B44="Frete de venda",0,(1-ISNUMBER(SEARCH("556",P44)))*(I44*VLOOKUP($B44,Premissas!$A$4:$E$7,2,0)+J44*VLOOKUP($B44,Premissas!$A$4:$E$7,3,0))+K44*VLOOKUP($B44,Premissas!$A$4:$E$7,4,0)+L44*VLOOKUP($B44,Premissas!$A$4:$E$7,5,0))</f>
        <v/>
      </c>
      <c r="N44" s="14">
        <f>H44-M44</f>
        <v/>
      </c>
      <c r="O44" t="inlineStr">
        <is>
          <t>Não</t>
        </is>
      </c>
      <c r="P44" t="inlineStr">
        <is>
          <t>1.556</t>
        </is>
      </c>
    </row>
    <row r="45">
      <c r="A45" t="inlineStr">
        <is>
          <t>Antes de 2026</t>
        </is>
      </c>
      <c r="B45" t="inlineStr">
        <is>
          <t>Frete de venda</t>
        </is>
      </c>
      <c r="C45" t="inlineStr">
        <is>
          <t>Frete de venda (para clientes)</t>
        </is>
      </c>
      <c r="D45" t="inlineStr">
        <is>
          <t>CT-e</t>
        </is>
      </c>
      <c r="E45" t="inlineStr">
        <is>
          <t>000003265</t>
        </is>
      </c>
      <c r="F45" t="inlineStr">
        <is>
          <t>C L TRANSPORTES LTDA - IDEALIZA TRANSP</t>
        </is>
      </c>
      <c r="G45" s="27" t="n">
        <v>45828</v>
      </c>
      <c r="H45" s="14" t="n">
        <v>442.05</v>
      </c>
      <c r="I45" s="14" t="n">
        <v>0</v>
      </c>
      <c r="J45" s="14" t="n">
        <v>0</v>
      </c>
      <c r="K45" s="14" t="n">
        <v>0</v>
      </c>
      <c r="L45" s="14" t="n">
        <v>0</v>
      </c>
      <c r="M45" s="14">
        <f>IF(B45="Frete de venda",0,(1-ISNUMBER(SEARCH("556",P45)))*(I45*VLOOKUP($B45,Premissas!$A$4:$E$7,2,0)+J45*VLOOKUP($B45,Premissas!$A$4:$E$7,3,0))+K45*VLOOKUP($B45,Premissas!$A$4:$E$7,4,0)+L45*VLOOKUP($B45,Premissas!$A$4:$E$7,5,0))</f>
        <v/>
      </c>
      <c r="N45" s="14">
        <f>H45-M45</f>
        <v/>
      </c>
      <c r="O45" t="inlineStr">
        <is>
          <t>Não</t>
        </is>
      </c>
      <c r="P45" t="inlineStr">
        <is>
          <t>1.556</t>
        </is>
      </c>
    </row>
    <row r="46">
      <c r="A46" t="inlineStr">
        <is>
          <t>Antes de 2026</t>
        </is>
      </c>
      <c r="B46" t="inlineStr">
        <is>
          <t>Frete de venda</t>
        </is>
      </c>
      <c r="C46" t="inlineStr">
        <is>
          <t>Frete de venda (para clientes)</t>
        </is>
      </c>
      <c r="D46" t="inlineStr">
        <is>
          <t>CT-e</t>
        </is>
      </c>
      <c r="E46" t="inlineStr">
        <is>
          <t>000003264</t>
        </is>
      </c>
      <c r="F46" t="inlineStr">
        <is>
          <t>C L TRANSPORTES LTDA - IDEALIZA TRANSP</t>
        </is>
      </c>
      <c r="G46" s="27" t="n">
        <v>45828</v>
      </c>
      <c r="H46" s="14" t="n">
        <v>521.15</v>
      </c>
      <c r="I46" s="14" t="n">
        <v>0</v>
      </c>
      <c r="J46" s="14" t="n">
        <v>0</v>
      </c>
      <c r="K46" s="14" t="n">
        <v>0</v>
      </c>
      <c r="L46" s="14" t="n">
        <v>0</v>
      </c>
      <c r="M46" s="14">
        <f>IF(B46="Frete de venda",0,(1-ISNUMBER(SEARCH("556",P46)))*(I46*VLOOKUP($B46,Premissas!$A$4:$E$7,2,0)+J46*VLOOKUP($B46,Premissas!$A$4:$E$7,3,0))+K46*VLOOKUP($B46,Premissas!$A$4:$E$7,4,0)+L46*VLOOKUP($B46,Premissas!$A$4:$E$7,5,0))</f>
        <v/>
      </c>
      <c r="N46" s="14">
        <f>H46-M46</f>
        <v/>
      </c>
      <c r="O46" t="inlineStr">
        <is>
          <t>Não</t>
        </is>
      </c>
      <c r="P46" t="inlineStr">
        <is>
          <t>1.556</t>
        </is>
      </c>
    </row>
    <row r="47">
      <c r="A47" t="inlineStr">
        <is>
          <t>Antes de 2026</t>
        </is>
      </c>
      <c r="B47" t="inlineStr">
        <is>
          <t>Frete de compra</t>
        </is>
      </c>
      <c r="C47" t="inlineStr">
        <is>
          <t>Frete de compra</t>
        </is>
      </c>
      <c r="D47" t="inlineStr">
        <is>
          <t>CT-e</t>
        </is>
      </c>
      <c r="E47" t="inlineStr">
        <is>
          <t>000069474</t>
        </is>
      </c>
      <c r="F47" t="inlineStr">
        <is>
          <t>GOL LINHAS AEREAS S.A.</t>
        </is>
      </c>
      <c r="G47" s="27" t="n">
        <v>45898</v>
      </c>
      <c r="H47" s="14" t="n">
        <v>39.52</v>
      </c>
      <c r="I47" s="14" t="n">
        <v>0</v>
      </c>
      <c r="J47" s="14" t="n">
        <v>1.58</v>
      </c>
      <c r="K47" s="14" t="n">
        <v>0</v>
      </c>
      <c r="L47" s="14" t="n">
        <v>0</v>
      </c>
      <c r="M47" s="14">
        <f>IF(B47="Frete de venda",0,(1-ISNUMBER(SEARCH("556",P47)))*(I47*VLOOKUP($B47,Premissas!$A$4:$E$7,2,0)+J47*VLOOKUP($B47,Premissas!$A$4:$E$7,3,0))+K47*VLOOKUP($B47,Premissas!$A$4:$E$7,4,0)+L47*VLOOKUP($B47,Premissas!$A$4:$E$7,5,0))</f>
        <v/>
      </c>
      <c r="N47" s="14">
        <f>H47-M47</f>
        <v/>
      </c>
      <c r="O47" t="inlineStr">
        <is>
          <t>Não</t>
        </is>
      </c>
      <c r="P47" t="inlineStr">
        <is>
          <t>1.350</t>
        </is>
      </c>
    </row>
    <row r="48">
      <c r="A48" t="inlineStr">
        <is>
          <t>Antes de 2026</t>
        </is>
      </c>
      <c r="B48" t="inlineStr">
        <is>
          <t>Frete de compra</t>
        </is>
      </c>
      <c r="C48" t="inlineStr">
        <is>
          <t>Frete de compra</t>
        </is>
      </c>
      <c r="D48" t="inlineStr">
        <is>
          <t>CT-e</t>
        </is>
      </c>
      <c r="E48" t="inlineStr">
        <is>
          <t>000073220</t>
        </is>
      </c>
      <c r="F48" t="inlineStr">
        <is>
          <t>GOL LINHAS AEREAS S.A.</t>
        </is>
      </c>
      <c r="G48" s="27" t="n">
        <v>45987</v>
      </c>
      <c r="H48" s="14" t="n">
        <v>189.82</v>
      </c>
      <c r="I48" s="14" t="n">
        <v>0</v>
      </c>
      <c r="J48" s="14" t="n">
        <v>7.59</v>
      </c>
      <c r="K48" s="14" t="n">
        <v>0</v>
      </c>
      <c r="L48" s="14" t="n">
        <v>0</v>
      </c>
      <c r="M48" s="14">
        <f>IF(B48="Frete de venda",0,(1-ISNUMBER(SEARCH("556",P48)))*(I48*VLOOKUP($B48,Premissas!$A$4:$E$7,2,0)+J48*VLOOKUP($B48,Premissas!$A$4:$E$7,3,0))+K48*VLOOKUP($B48,Premissas!$A$4:$E$7,4,0)+L48*VLOOKUP($B48,Premissas!$A$4:$E$7,5,0))</f>
        <v/>
      </c>
      <c r="N48" s="14">
        <f>H48-M48</f>
        <v/>
      </c>
      <c r="O48" t="inlineStr">
        <is>
          <t>Não</t>
        </is>
      </c>
      <c r="P48" t="inlineStr">
        <is>
          <t>1.350</t>
        </is>
      </c>
    </row>
    <row r="49">
      <c r="A49" t="inlineStr">
        <is>
          <t>Antes de 2026</t>
        </is>
      </c>
      <c r="B49" t="inlineStr">
        <is>
          <t>Frete de venda</t>
        </is>
      </c>
      <c r="C49" t="inlineStr">
        <is>
          <t>Frete de venda (para clientes)</t>
        </is>
      </c>
      <c r="D49" t="inlineStr">
        <is>
          <t>CT-e</t>
        </is>
      </c>
      <c r="E49" t="inlineStr">
        <is>
          <t>000002665</t>
        </is>
      </c>
      <c r="F49" t="inlineStr">
        <is>
          <t>C L TRANSPORTES LTDA - IDEALIZA TRANSP</t>
        </is>
      </c>
      <c r="G49" s="27" t="n">
        <v>45791</v>
      </c>
      <c r="H49" s="14" t="n">
        <v>169.05</v>
      </c>
      <c r="I49" s="14" t="n">
        <v>0</v>
      </c>
      <c r="J49" s="14" t="n">
        <v>0</v>
      </c>
      <c r="K49" s="14" t="n">
        <v>0</v>
      </c>
      <c r="L49" s="14" t="n">
        <v>0</v>
      </c>
      <c r="M49" s="14">
        <f>IF(B49="Frete de venda",0,(1-ISNUMBER(SEARCH("556",P49)))*(I49*VLOOKUP($B49,Premissas!$A$4:$E$7,2,0)+J49*VLOOKUP($B49,Premissas!$A$4:$E$7,3,0))+K49*VLOOKUP($B49,Premissas!$A$4:$E$7,4,0)+L49*VLOOKUP($B49,Premissas!$A$4:$E$7,5,0))</f>
        <v/>
      </c>
      <c r="N49" s="14">
        <f>H49-M49</f>
        <v/>
      </c>
      <c r="O49" t="inlineStr">
        <is>
          <t>Não</t>
        </is>
      </c>
      <c r="P49" t="inlineStr">
        <is>
          <t>1.556</t>
        </is>
      </c>
    </row>
    <row r="50">
      <c r="A50" t="inlineStr">
        <is>
          <t>Antes de 2026</t>
        </is>
      </c>
      <c r="B50" t="inlineStr">
        <is>
          <t>Frete de venda</t>
        </is>
      </c>
      <c r="C50" t="inlineStr">
        <is>
          <t>Frete de venda (para clientes)</t>
        </is>
      </c>
      <c r="D50" t="inlineStr">
        <is>
          <t>CT-e</t>
        </is>
      </c>
      <c r="E50" t="inlineStr">
        <is>
          <t>000082932</t>
        </is>
      </c>
      <c r="F50" t="inlineStr">
        <is>
          <t>CRUZ DE MALTA TRANSPORTES LTDA</t>
        </is>
      </c>
      <c r="G50" s="27" t="n">
        <v>46017</v>
      </c>
      <c r="H50" s="14" t="n">
        <v>350</v>
      </c>
      <c r="I50" s="14" t="n">
        <v>0</v>
      </c>
      <c r="J50" s="14" t="n">
        <v>66.5</v>
      </c>
      <c r="K50" s="14" t="n">
        <v>0</v>
      </c>
      <c r="L50" s="14" t="n">
        <v>0</v>
      </c>
      <c r="M50" s="14">
        <f>IF(B50="Frete de venda",0,(1-ISNUMBER(SEARCH("556",P50)))*(I50*VLOOKUP($B50,Premissas!$A$4:$E$7,2,0)+J50*VLOOKUP($B50,Premissas!$A$4:$E$7,3,0))+K50*VLOOKUP($B50,Premissas!$A$4:$E$7,4,0)+L50*VLOOKUP($B50,Premissas!$A$4:$E$7,5,0))</f>
        <v/>
      </c>
      <c r="N50" s="14">
        <f>H50-M50</f>
        <v/>
      </c>
      <c r="O50" t="inlineStr">
        <is>
          <t>Sim</t>
        </is>
      </c>
      <c r="P50" t="inlineStr">
        <is>
          <t>1.350</t>
        </is>
      </c>
    </row>
    <row r="51">
      <c r="A51" t="inlineStr">
        <is>
          <t>Antes de 2026</t>
        </is>
      </c>
      <c r="B51" t="inlineStr">
        <is>
          <t>Frete de venda</t>
        </is>
      </c>
      <c r="C51" t="inlineStr">
        <is>
          <t>Frete de venda (para clientes)</t>
        </is>
      </c>
      <c r="D51" t="inlineStr">
        <is>
          <t>CT-e</t>
        </is>
      </c>
      <c r="E51" t="inlineStr">
        <is>
          <t>000002669</t>
        </is>
      </c>
      <c r="F51" t="inlineStr">
        <is>
          <t>C L TRANSPORTES LTDA - IDEALIZA TRANSP</t>
        </is>
      </c>
      <c r="G51" s="27" t="n">
        <v>45791</v>
      </c>
      <c r="H51" s="14" t="n">
        <v>286.65</v>
      </c>
      <c r="I51" s="14" t="n">
        <v>0</v>
      </c>
      <c r="J51" s="14" t="n">
        <v>0</v>
      </c>
      <c r="K51" s="14" t="n">
        <v>0</v>
      </c>
      <c r="L51" s="14" t="n">
        <v>0</v>
      </c>
      <c r="M51" s="14">
        <f>IF(B51="Frete de venda",0,(1-ISNUMBER(SEARCH("556",P51)))*(I51*VLOOKUP($B51,Premissas!$A$4:$E$7,2,0)+J51*VLOOKUP($B51,Premissas!$A$4:$E$7,3,0))+K51*VLOOKUP($B51,Premissas!$A$4:$E$7,4,0)+L51*VLOOKUP($B51,Premissas!$A$4:$E$7,5,0))</f>
        <v/>
      </c>
      <c r="N51" s="14">
        <f>H51-M51</f>
        <v/>
      </c>
      <c r="O51" t="inlineStr">
        <is>
          <t>Não</t>
        </is>
      </c>
      <c r="P51" t="inlineStr">
        <is>
          <t>1.556</t>
        </is>
      </c>
    </row>
    <row r="52">
      <c r="A52" t="inlineStr">
        <is>
          <t>Antes de 2026</t>
        </is>
      </c>
      <c r="B52" t="inlineStr">
        <is>
          <t>Frete de venda</t>
        </is>
      </c>
      <c r="C52" t="inlineStr">
        <is>
          <t>Frete de venda (para clientes)</t>
        </is>
      </c>
      <c r="D52" t="inlineStr">
        <is>
          <t>CT-e</t>
        </is>
      </c>
      <c r="E52" t="inlineStr">
        <is>
          <t>000082942</t>
        </is>
      </c>
      <c r="F52" t="inlineStr">
        <is>
          <t>CRUZ DE MALTA TRANSPORTES LTDA</t>
        </is>
      </c>
      <c r="G52" s="27" t="n">
        <v>46017</v>
      </c>
      <c r="H52" s="14" t="n">
        <v>500</v>
      </c>
      <c r="I52" s="14" t="n">
        <v>0</v>
      </c>
      <c r="J52" s="14" t="n">
        <v>95</v>
      </c>
      <c r="K52" s="14" t="n">
        <v>0</v>
      </c>
      <c r="L52" s="14" t="n">
        <v>0</v>
      </c>
      <c r="M52" s="14">
        <f>IF(B52="Frete de venda",0,(1-ISNUMBER(SEARCH("556",P52)))*(I52*VLOOKUP($B52,Premissas!$A$4:$E$7,2,0)+J52*VLOOKUP($B52,Premissas!$A$4:$E$7,3,0))+K52*VLOOKUP($B52,Premissas!$A$4:$E$7,4,0)+L52*VLOOKUP($B52,Premissas!$A$4:$E$7,5,0))</f>
        <v/>
      </c>
      <c r="N52" s="14">
        <f>H52-M52</f>
        <v/>
      </c>
      <c r="O52" t="inlineStr">
        <is>
          <t>Sim</t>
        </is>
      </c>
      <c r="P52" t="inlineStr">
        <is>
          <t>1.350</t>
        </is>
      </c>
    </row>
    <row r="53">
      <c r="A53" t="inlineStr">
        <is>
          <t>Antes de 2026</t>
        </is>
      </c>
      <c r="B53" t="inlineStr">
        <is>
          <t>Frete de venda</t>
        </is>
      </c>
      <c r="C53" t="inlineStr">
        <is>
          <t>Frete de venda (para clientes)</t>
        </is>
      </c>
      <c r="D53" t="inlineStr">
        <is>
          <t>CT-e</t>
        </is>
      </c>
      <c r="E53" t="inlineStr">
        <is>
          <t>000082938</t>
        </is>
      </c>
      <c r="F53" t="inlineStr">
        <is>
          <t>CRUZ DE MALTA TRANSPORTES LTDA</t>
        </is>
      </c>
      <c r="G53" s="27" t="n">
        <v>46017</v>
      </c>
      <c r="H53" s="14" t="n">
        <v>1600</v>
      </c>
      <c r="I53" s="14" t="n">
        <v>0</v>
      </c>
      <c r="J53" s="14" t="n">
        <v>304</v>
      </c>
      <c r="K53" s="14" t="n">
        <v>0</v>
      </c>
      <c r="L53" s="14" t="n">
        <v>0</v>
      </c>
      <c r="M53" s="14">
        <f>IF(B53="Frete de venda",0,(1-ISNUMBER(SEARCH("556",P53)))*(I53*VLOOKUP($B53,Premissas!$A$4:$E$7,2,0)+J53*VLOOKUP($B53,Premissas!$A$4:$E$7,3,0))+K53*VLOOKUP($B53,Premissas!$A$4:$E$7,4,0)+L53*VLOOKUP($B53,Premissas!$A$4:$E$7,5,0))</f>
        <v/>
      </c>
      <c r="N53" s="14">
        <f>H53-M53</f>
        <v/>
      </c>
      <c r="O53" t="inlineStr">
        <is>
          <t>Sim</t>
        </is>
      </c>
      <c r="P53" t="inlineStr">
        <is>
          <t>1.350</t>
        </is>
      </c>
    </row>
    <row r="54">
      <c r="A54" t="inlineStr">
        <is>
          <t>Antes de 2026</t>
        </is>
      </c>
      <c r="B54" t="inlineStr">
        <is>
          <t>Frete de venda</t>
        </is>
      </c>
      <c r="C54" t="inlineStr">
        <is>
          <t>Frete de venda (para clientes)</t>
        </is>
      </c>
      <c r="D54" t="inlineStr">
        <is>
          <t>CT-e</t>
        </is>
      </c>
      <c r="E54" t="inlineStr">
        <is>
          <t>000318598</t>
        </is>
      </c>
      <c r="F54" t="inlineStr">
        <is>
          <t>GO TRANSPORTES E ENCOMENDAS LTDA</t>
        </is>
      </c>
      <c r="G54" s="27" t="n">
        <v>45877</v>
      </c>
      <c r="H54" s="14" t="n">
        <v>258.69</v>
      </c>
      <c r="I54" s="14" t="n">
        <v>0</v>
      </c>
      <c r="J54" s="14" t="n">
        <v>49.15</v>
      </c>
      <c r="K54" s="14" t="n">
        <v>0</v>
      </c>
      <c r="L54" s="14" t="n">
        <v>0</v>
      </c>
      <c r="M54" s="14">
        <f>IF(B54="Frete de venda",0,(1-ISNUMBER(SEARCH("556",P54)))*(I54*VLOOKUP($B54,Premissas!$A$4:$E$7,2,0)+J54*VLOOKUP($B54,Premissas!$A$4:$E$7,3,0))+K54*VLOOKUP($B54,Premissas!$A$4:$E$7,4,0)+L54*VLOOKUP($B54,Premissas!$A$4:$E$7,5,0))</f>
        <v/>
      </c>
      <c r="N54" s="14">
        <f>H54-M54</f>
        <v/>
      </c>
      <c r="O54" t="inlineStr">
        <is>
          <t>Não</t>
        </is>
      </c>
      <c r="P54" t="inlineStr">
        <is>
          <t>1.556</t>
        </is>
      </c>
    </row>
    <row r="55">
      <c r="A55" t="inlineStr">
        <is>
          <t>Antes de 2026</t>
        </is>
      </c>
      <c r="B55" t="inlineStr">
        <is>
          <t>Frete de venda</t>
        </is>
      </c>
      <c r="C55" t="inlineStr">
        <is>
          <t>Frete de venda (para clientes)</t>
        </is>
      </c>
      <c r="D55" t="inlineStr">
        <is>
          <t>CT-e</t>
        </is>
      </c>
      <c r="E55" t="inlineStr">
        <is>
          <t>000325833</t>
        </is>
      </c>
      <c r="F55" t="inlineStr">
        <is>
          <t>GO TRANSPORTES E ENCOMENDAS LTDA</t>
        </is>
      </c>
      <c r="G55" s="27" t="n">
        <v>45926</v>
      </c>
      <c r="H55" s="14" t="n">
        <v>282.76</v>
      </c>
      <c r="I55" s="14" t="n">
        <v>0</v>
      </c>
      <c r="J55" s="14" t="n">
        <v>53.72</v>
      </c>
      <c r="K55" s="14" t="n">
        <v>0</v>
      </c>
      <c r="L55" s="14" t="n">
        <v>0</v>
      </c>
      <c r="M55" s="14">
        <f>IF(B55="Frete de venda",0,(1-ISNUMBER(SEARCH("556",P55)))*(I55*VLOOKUP($B55,Premissas!$A$4:$E$7,2,0)+J55*VLOOKUP($B55,Premissas!$A$4:$E$7,3,0))+K55*VLOOKUP($B55,Premissas!$A$4:$E$7,4,0)+L55*VLOOKUP($B55,Premissas!$A$4:$E$7,5,0))</f>
        <v/>
      </c>
      <c r="N55" s="14">
        <f>H55-M55</f>
        <v/>
      </c>
      <c r="O55" t="inlineStr">
        <is>
          <t>Não</t>
        </is>
      </c>
      <c r="P55" t="inlineStr">
        <is>
          <t>1.556</t>
        </is>
      </c>
    </row>
    <row r="56">
      <c r="A56" t="inlineStr">
        <is>
          <t>Antes de 2026</t>
        </is>
      </c>
      <c r="B56" t="inlineStr">
        <is>
          <t>Frete de venda</t>
        </is>
      </c>
      <c r="C56" t="inlineStr">
        <is>
          <t>Frete de venda (para clientes)</t>
        </is>
      </c>
      <c r="D56" t="inlineStr">
        <is>
          <t>CT-e</t>
        </is>
      </c>
      <c r="E56" t="inlineStr">
        <is>
          <t>000002663</t>
        </is>
      </c>
      <c r="F56" t="inlineStr">
        <is>
          <t>C L TRANSPORTES LTDA - IDEALIZA TRANSP</t>
        </is>
      </c>
      <c r="G56" s="27" t="n">
        <v>45791</v>
      </c>
      <c r="H56" s="14" t="n">
        <v>267.05</v>
      </c>
      <c r="I56" s="14" t="n">
        <v>0</v>
      </c>
      <c r="J56" s="14" t="n">
        <v>0</v>
      </c>
      <c r="K56" s="14" t="n">
        <v>0</v>
      </c>
      <c r="L56" s="14" t="n">
        <v>0</v>
      </c>
      <c r="M56" s="14">
        <f>IF(B56="Frete de venda",0,(1-ISNUMBER(SEARCH("556",P56)))*(I56*VLOOKUP($B56,Premissas!$A$4:$E$7,2,0)+J56*VLOOKUP($B56,Premissas!$A$4:$E$7,3,0))+K56*VLOOKUP($B56,Premissas!$A$4:$E$7,4,0)+L56*VLOOKUP($B56,Premissas!$A$4:$E$7,5,0))</f>
        <v/>
      </c>
      <c r="N56" s="14">
        <f>H56-M56</f>
        <v/>
      </c>
      <c r="O56" t="inlineStr">
        <is>
          <t>Não</t>
        </is>
      </c>
      <c r="P56" t="inlineStr">
        <is>
          <t>1.556</t>
        </is>
      </c>
    </row>
    <row r="57">
      <c r="A57" t="inlineStr">
        <is>
          <t>Antes de 2026</t>
        </is>
      </c>
      <c r="B57" t="inlineStr">
        <is>
          <t>Frete de venda</t>
        </is>
      </c>
      <c r="C57" t="inlineStr">
        <is>
          <t>Frete de venda (para clientes)</t>
        </is>
      </c>
      <c r="D57" t="inlineStr">
        <is>
          <t>CT-e</t>
        </is>
      </c>
      <c r="E57" t="inlineStr">
        <is>
          <t>000002667</t>
        </is>
      </c>
      <c r="F57" t="inlineStr">
        <is>
          <t>C L TRANSPORTES LTDA - IDEALIZA TRANSP</t>
        </is>
      </c>
      <c r="G57" s="27" t="n">
        <v>45791</v>
      </c>
      <c r="H57" s="14" t="n">
        <v>165.55</v>
      </c>
      <c r="I57" s="14" t="n">
        <v>0</v>
      </c>
      <c r="J57" s="14" t="n">
        <v>0</v>
      </c>
      <c r="K57" s="14" t="n">
        <v>0</v>
      </c>
      <c r="L57" s="14" t="n">
        <v>0</v>
      </c>
      <c r="M57" s="14">
        <f>IF(B57="Frete de venda",0,(1-ISNUMBER(SEARCH("556",P57)))*(I57*VLOOKUP($B57,Premissas!$A$4:$E$7,2,0)+J57*VLOOKUP($B57,Premissas!$A$4:$E$7,3,0))+K57*VLOOKUP($B57,Premissas!$A$4:$E$7,4,0)+L57*VLOOKUP($B57,Premissas!$A$4:$E$7,5,0))</f>
        <v/>
      </c>
      <c r="N57" s="14">
        <f>H57-M57</f>
        <v/>
      </c>
      <c r="O57" t="inlineStr">
        <is>
          <t>Não</t>
        </is>
      </c>
      <c r="P57" t="inlineStr">
        <is>
          <t>1.556</t>
        </is>
      </c>
    </row>
    <row r="58">
      <c r="A58" t="inlineStr">
        <is>
          <t>Antes de 2026</t>
        </is>
      </c>
      <c r="B58" t="inlineStr">
        <is>
          <t>Frete de venda</t>
        </is>
      </c>
      <c r="C58" t="inlineStr">
        <is>
          <t>Frete de venda (para clientes)</t>
        </is>
      </c>
      <c r="D58" t="inlineStr">
        <is>
          <t>CT-e</t>
        </is>
      </c>
      <c r="E58" t="inlineStr">
        <is>
          <t>000002668</t>
        </is>
      </c>
      <c r="F58" t="inlineStr">
        <is>
          <t>C L TRANSPORTES LTDA - IDEALIZA TRANSP</t>
        </is>
      </c>
      <c r="G58" s="27" t="n">
        <v>45791</v>
      </c>
      <c r="H58" s="14" t="n">
        <v>208.95</v>
      </c>
      <c r="I58" s="14" t="n">
        <v>0</v>
      </c>
      <c r="J58" s="14" t="n">
        <v>0</v>
      </c>
      <c r="K58" s="14" t="n">
        <v>0</v>
      </c>
      <c r="L58" s="14" t="n">
        <v>0</v>
      </c>
      <c r="M58" s="14">
        <f>IF(B58="Frete de venda",0,(1-ISNUMBER(SEARCH("556",P58)))*(I58*VLOOKUP($B58,Premissas!$A$4:$E$7,2,0)+J58*VLOOKUP($B58,Premissas!$A$4:$E$7,3,0))+K58*VLOOKUP($B58,Premissas!$A$4:$E$7,4,0)+L58*VLOOKUP($B58,Premissas!$A$4:$E$7,5,0))</f>
        <v/>
      </c>
      <c r="N58" s="14">
        <f>H58-M58</f>
        <v/>
      </c>
      <c r="O58" t="inlineStr">
        <is>
          <t>Não</t>
        </is>
      </c>
      <c r="P58" t="inlineStr">
        <is>
          <t>1.556</t>
        </is>
      </c>
    </row>
    <row r="59">
      <c r="A59" t="inlineStr">
        <is>
          <t>Antes de 2026</t>
        </is>
      </c>
      <c r="B59" t="inlineStr">
        <is>
          <t>Frete de venda</t>
        </is>
      </c>
      <c r="C59" t="inlineStr">
        <is>
          <t>Frete de venda (para clientes)</t>
        </is>
      </c>
      <c r="D59" t="inlineStr">
        <is>
          <t>CT-e</t>
        </is>
      </c>
      <c r="E59" t="inlineStr">
        <is>
          <t>000003261</t>
        </is>
      </c>
      <c r="F59" t="inlineStr">
        <is>
          <t>C L TRANSPORTES LTDA - IDEALIZA TRANSP</t>
        </is>
      </c>
      <c r="G59" s="27" t="n">
        <v>45828</v>
      </c>
      <c r="H59" s="14" t="n">
        <v>240.31</v>
      </c>
      <c r="I59" s="14" t="n">
        <v>0</v>
      </c>
      <c r="J59" s="14" t="n">
        <v>0</v>
      </c>
      <c r="K59" s="14" t="n">
        <v>0</v>
      </c>
      <c r="L59" s="14" t="n">
        <v>0</v>
      </c>
      <c r="M59" s="14">
        <f>IF(B59="Frete de venda",0,(1-ISNUMBER(SEARCH("556",P59)))*(I59*VLOOKUP($B59,Premissas!$A$4:$E$7,2,0)+J59*VLOOKUP($B59,Premissas!$A$4:$E$7,3,0))+K59*VLOOKUP($B59,Premissas!$A$4:$E$7,4,0)+L59*VLOOKUP($B59,Premissas!$A$4:$E$7,5,0))</f>
        <v/>
      </c>
      <c r="N59" s="14">
        <f>H59-M59</f>
        <v/>
      </c>
      <c r="O59" t="inlineStr">
        <is>
          <t>Não</t>
        </is>
      </c>
      <c r="P59" t="inlineStr">
        <is>
          <t>1.556</t>
        </is>
      </c>
    </row>
    <row r="60">
      <c r="A60" t="inlineStr">
        <is>
          <t>Antes de 2026</t>
        </is>
      </c>
      <c r="B60" t="inlineStr">
        <is>
          <t>Frete de venda</t>
        </is>
      </c>
      <c r="C60" t="inlineStr">
        <is>
          <t>Frete de venda (para clientes)</t>
        </is>
      </c>
      <c r="D60" t="inlineStr">
        <is>
          <t>CT-e</t>
        </is>
      </c>
      <c r="E60" t="inlineStr">
        <is>
          <t>000082943</t>
        </is>
      </c>
      <c r="F60" t="inlineStr">
        <is>
          <t>CRUZ DE MALTA TRANSPORTES LTDA</t>
        </is>
      </c>
      <c r="G60" s="27" t="n">
        <v>46017</v>
      </c>
      <c r="H60" s="14" t="n">
        <v>700</v>
      </c>
      <c r="I60" s="14" t="n">
        <v>0</v>
      </c>
      <c r="J60" s="14" t="n">
        <v>133</v>
      </c>
      <c r="K60" s="14" t="n">
        <v>0</v>
      </c>
      <c r="L60" s="14" t="n">
        <v>0</v>
      </c>
      <c r="M60" s="14">
        <f>IF(B60="Frete de venda",0,(1-ISNUMBER(SEARCH("556",P60)))*(I60*VLOOKUP($B60,Premissas!$A$4:$E$7,2,0)+J60*VLOOKUP($B60,Premissas!$A$4:$E$7,3,0))+K60*VLOOKUP($B60,Premissas!$A$4:$E$7,4,0)+L60*VLOOKUP($B60,Premissas!$A$4:$E$7,5,0))</f>
        <v/>
      </c>
      <c r="N60" s="14">
        <f>H60-M60</f>
        <v/>
      </c>
      <c r="O60" t="inlineStr">
        <is>
          <t>Sim</t>
        </is>
      </c>
      <c r="P60" t="inlineStr">
        <is>
          <t>1.350</t>
        </is>
      </c>
    </row>
    <row r="61">
      <c r="A61" t="inlineStr">
        <is>
          <t>Antes de 2026</t>
        </is>
      </c>
      <c r="B61" t="inlineStr">
        <is>
          <t>Frete de venda</t>
        </is>
      </c>
      <c r="C61" t="inlineStr">
        <is>
          <t>Frete de venda (para clientes)</t>
        </is>
      </c>
      <c r="D61" t="inlineStr">
        <is>
          <t>CT-e</t>
        </is>
      </c>
      <c r="E61" t="inlineStr">
        <is>
          <t>000082941</t>
        </is>
      </c>
      <c r="F61" t="inlineStr">
        <is>
          <t>CRUZ DE MALTA TRANSPORTES LTDA</t>
        </is>
      </c>
      <c r="G61" s="27" t="n">
        <v>46017</v>
      </c>
      <c r="H61" s="14" t="n">
        <v>700</v>
      </c>
      <c r="I61" s="14" t="n">
        <v>0</v>
      </c>
      <c r="J61" s="14" t="n">
        <v>133</v>
      </c>
      <c r="K61" s="14" t="n">
        <v>0</v>
      </c>
      <c r="L61" s="14" t="n">
        <v>0</v>
      </c>
      <c r="M61" s="14">
        <f>IF(B61="Frete de venda",0,(1-ISNUMBER(SEARCH("556",P61)))*(I61*VLOOKUP($B61,Premissas!$A$4:$E$7,2,0)+J61*VLOOKUP($B61,Premissas!$A$4:$E$7,3,0))+K61*VLOOKUP($B61,Premissas!$A$4:$E$7,4,0)+L61*VLOOKUP($B61,Premissas!$A$4:$E$7,5,0))</f>
        <v/>
      </c>
      <c r="N61" s="14">
        <f>H61-M61</f>
        <v/>
      </c>
      <c r="O61" t="inlineStr">
        <is>
          <t>Sim</t>
        </is>
      </c>
      <c r="P61" t="inlineStr">
        <is>
          <t>1.350</t>
        </is>
      </c>
    </row>
    <row r="62">
      <c r="A62" t="inlineStr">
        <is>
          <t>Antes de 2026</t>
        </is>
      </c>
      <c r="B62" t="inlineStr">
        <is>
          <t>Frete de venda</t>
        </is>
      </c>
      <c r="C62" t="inlineStr">
        <is>
          <t>Frete de venda (para clientes)</t>
        </is>
      </c>
      <c r="D62" t="inlineStr">
        <is>
          <t>CT-e</t>
        </is>
      </c>
      <c r="E62" t="inlineStr">
        <is>
          <t>000002664</t>
        </is>
      </c>
      <c r="F62" t="inlineStr">
        <is>
          <t>C L TRANSPORTES LTDA - IDEALIZA TRANSP</t>
        </is>
      </c>
      <c r="G62" s="27" t="n">
        <v>45791</v>
      </c>
      <c r="H62" s="14" t="n">
        <v>308.35</v>
      </c>
      <c r="I62" s="14" t="n">
        <v>0</v>
      </c>
      <c r="J62" s="14" t="n">
        <v>0</v>
      </c>
      <c r="K62" s="14" t="n">
        <v>0</v>
      </c>
      <c r="L62" s="14" t="n">
        <v>0</v>
      </c>
      <c r="M62" s="14">
        <f>IF(B62="Frete de venda",0,(1-ISNUMBER(SEARCH("556",P62)))*(I62*VLOOKUP($B62,Premissas!$A$4:$E$7,2,0)+J62*VLOOKUP($B62,Premissas!$A$4:$E$7,3,0))+K62*VLOOKUP($B62,Premissas!$A$4:$E$7,4,0)+L62*VLOOKUP($B62,Premissas!$A$4:$E$7,5,0))</f>
        <v/>
      </c>
      <c r="N62" s="14">
        <f>H62-M62</f>
        <v/>
      </c>
      <c r="O62" t="inlineStr">
        <is>
          <t>Não</t>
        </is>
      </c>
      <c r="P62" t="inlineStr">
        <is>
          <t>1.556</t>
        </is>
      </c>
    </row>
    <row r="63">
      <c r="A63" t="inlineStr">
        <is>
          <t>Antes de 2026</t>
        </is>
      </c>
      <c r="B63" t="inlineStr">
        <is>
          <t>Frete de venda</t>
        </is>
      </c>
      <c r="C63" t="inlineStr">
        <is>
          <t>Frete de venda (para clientes)</t>
        </is>
      </c>
      <c r="D63" t="inlineStr">
        <is>
          <t>CT-e</t>
        </is>
      </c>
      <c r="E63" t="inlineStr">
        <is>
          <t>000082940</t>
        </is>
      </c>
      <c r="F63" t="inlineStr">
        <is>
          <t>CRUZ DE MALTA TRANSPORTES LTDA</t>
        </is>
      </c>
      <c r="G63" s="27" t="n">
        <v>46017</v>
      </c>
      <c r="H63" s="14" t="n">
        <v>1100</v>
      </c>
      <c r="I63" s="14" t="n">
        <v>0</v>
      </c>
      <c r="J63" s="14" t="n">
        <v>209</v>
      </c>
      <c r="K63" s="14" t="n">
        <v>0</v>
      </c>
      <c r="L63" s="14" t="n">
        <v>0</v>
      </c>
      <c r="M63" s="14">
        <f>IF(B63="Frete de venda",0,(1-ISNUMBER(SEARCH("556",P63)))*(I63*VLOOKUP($B63,Premissas!$A$4:$E$7,2,0)+J63*VLOOKUP($B63,Premissas!$A$4:$E$7,3,0))+K63*VLOOKUP($B63,Premissas!$A$4:$E$7,4,0)+L63*VLOOKUP($B63,Premissas!$A$4:$E$7,5,0))</f>
        <v/>
      </c>
      <c r="N63" s="14">
        <f>H63-M63</f>
        <v/>
      </c>
      <c r="O63" t="inlineStr">
        <is>
          <t>Sim</t>
        </is>
      </c>
      <c r="P63" t="inlineStr">
        <is>
          <t>1.350</t>
        </is>
      </c>
    </row>
    <row r="64">
      <c r="A64" t="inlineStr">
        <is>
          <t>Antes de 2026</t>
        </is>
      </c>
      <c r="B64" t="inlineStr">
        <is>
          <t>Frete de venda</t>
        </is>
      </c>
      <c r="C64" t="inlineStr">
        <is>
          <t>Frete de venda (para clientes)</t>
        </is>
      </c>
      <c r="D64" t="inlineStr">
        <is>
          <t>CT-e</t>
        </is>
      </c>
      <c r="E64" t="inlineStr">
        <is>
          <t>000714799</t>
        </is>
      </c>
      <c r="F64" t="inlineStr">
        <is>
          <t>RODAR TRANSPORTES LTDA</t>
        </is>
      </c>
      <c r="G64" s="27" t="n">
        <v>45926</v>
      </c>
      <c r="H64" s="14" t="n">
        <v>351.98</v>
      </c>
      <c r="I64" s="14" t="n">
        <v>0</v>
      </c>
      <c r="J64" s="14" t="n">
        <v>0</v>
      </c>
      <c r="K64" s="14" t="n">
        <v>0</v>
      </c>
      <c r="L64" s="14" t="n">
        <v>0</v>
      </c>
      <c r="M64" s="14">
        <f>IF(B64="Frete de venda",0,(1-ISNUMBER(SEARCH("556",P64)))*(I64*VLOOKUP($B64,Premissas!$A$4:$E$7,2,0)+J64*VLOOKUP($B64,Premissas!$A$4:$E$7,3,0))+K64*VLOOKUP($B64,Premissas!$A$4:$E$7,4,0)+L64*VLOOKUP($B64,Premissas!$A$4:$E$7,5,0))</f>
        <v/>
      </c>
      <c r="N64" s="14">
        <f>H64-M64</f>
        <v/>
      </c>
      <c r="O64" t="inlineStr">
        <is>
          <t>Não</t>
        </is>
      </c>
      <c r="P64" t="inlineStr">
        <is>
          <t>1.556</t>
        </is>
      </c>
    </row>
    <row r="65">
      <c r="A65" t="inlineStr">
        <is>
          <t>Antes de 2026</t>
        </is>
      </c>
      <c r="B65" t="inlineStr">
        <is>
          <t>Frete de venda</t>
        </is>
      </c>
      <c r="C65" t="inlineStr">
        <is>
          <t>Frete de venda (para clientes)</t>
        </is>
      </c>
      <c r="D65" t="inlineStr">
        <is>
          <t>CT-e</t>
        </is>
      </c>
      <c r="E65" t="inlineStr">
        <is>
          <t>000005858</t>
        </is>
      </c>
      <c r="F65" t="inlineStr">
        <is>
          <t>CARGO WAY TRANSPORTE E ARMAZENAGEM LTDA</t>
        </is>
      </c>
      <c r="G65" s="27" t="n">
        <v>45820</v>
      </c>
      <c r="H65" s="14" t="n">
        <v>568.17</v>
      </c>
      <c r="I65" s="14" t="n">
        <v>0</v>
      </c>
      <c r="J65" s="14" t="n">
        <v>68.17</v>
      </c>
      <c r="K65" s="14" t="n">
        <v>0</v>
      </c>
      <c r="L65" s="14" t="n">
        <v>0</v>
      </c>
      <c r="M65" s="14">
        <f>IF(B65="Frete de venda",0,(1-ISNUMBER(SEARCH("556",P65)))*(I65*VLOOKUP($B65,Premissas!$A$4:$E$7,2,0)+J65*VLOOKUP($B65,Premissas!$A$4:$E$7,3,0))+K65*VLOOKUP($B65,Premissas!$A$4:$E$7,4,0)+L65*VLOOKUP($B65,Premissas!$A$4:$E$7,5,0))</f>
        <v/>
      </c>
      <c r="N65" s="14">
        <f>H65-M65</f>
        <v/>
      </c>
      <c r="O65" t="inlineStr">
        <is>
          <t>Não</t>
        </is>
      </c>
      <c r="P65" t="inlineStr">
        <is>
          <t>1.556</t>
        </is>
      </c>
    </row>
    <row r="66">
      <c r="A66" t="inlineStr">
        <is>
          <t>Antes de 2026</t>
        </is>
      </c>
      <c r="B66" t="inlineStr">
        <is>
          <t>Frete de venda</t>
        </is>
      </c>
      <c r="C66" t="inlineStr">
        <is>
          <t>Frete de venda (para clientes)</t>
        </is>
      </c>
      <c r="D66" t="inlineStr">
        <is>
          <t>CT-e</t>
        </is>
      </c>
      <c r="E66" t="inlineStr">
        <is>
          <t>000000057</t>
        </is>
      </c>
      <c r="F66" t="inlineStr">
        <is>
          <t>CARGO WAY TRANSPORTE E ARMAZENAGEM LTDA</t>
        </is>
      </c>
      <c r="G66" s="27" t="n">
        <v>45820</v>
      </c>
      <c r="H66" s="14" t="n">
        <v>5805.61</v>
      </c>
      <c r="I66" s="14" t="n">
        <v>0</v>
      </c>
      <c r="J66" s="14" t="n">
        <v>696.67</v>
      </c>
      <c r="K66" s="14" t="n">
        <v>0</v>
      </c>
      <c r="L66" s="14" t="n">
        <v>0</v>
      </c>
      <c r="M66" s="14">
        <f>IF(B66="Frete de venda",0,(1-ISNUMBER(SEARCH("556",P66)))*(I66*VLOOKUP($B66,Premissas!$A$4:$E$7,2,0)+J66*VLOOKUP($B66,Premissas!$A$4:$E$7,3,0))+K66*VLOOKUP($B66,Premissas!$A$4:$E$7,4,0)+L66*VLOOKUP($B66,Premissas!$A$4:$E$7,5,0))</f>
        <v/>
      </c>
      <c r="N66" s="14">
        <f>H66-M66</f>
        <v/>
      </c>
      <c r="O66" t="inlineStr">
        <is>
          <t>Não</t>
        </is>
      </c>
      <c r="P66" t="inlineStr">
        <is>
          <t>1.556</t>
        </is>
      </c>
    </row>
    <row r="67">
      <c r="A67" t="inlineStr">
        <is>
          <t>Antes de 2026</t>
        </is>
      </c>
      <c r="B67" t="inlineStr">
        <is>
          <t>Frete de venda</t>
        </is>
      </c>
      <c r="C67" t="inlineStr">
        <is>
          <t>Frete de venda (para clientes)</t>
        </is>
      </c>
      <c r="D67" t="inlineStr">
        <is>
          <t>CT-e</t>
        </is>
      </c>
      <c r="E67" t="inlineStr">
        <is>
          <t>000321671</t>
        </is>
      </c>
      <c r="F67" t="inlineStr">
        <is>
          <t>GO TRANSPORTES E ENCOMENDAS LTDA</t>
        </is>
      </c>
      <c r="G67" s="27" t="n">
        <v>45896</v>
      </c>
      <c r="H67" s="14" t="n">
        <v>218.65</v>
      </c>
      <c r="I67" s="14" t="n">
        <v>0</v>
      </c>
      <c r="J67" s="14" t="n">
        <v>41.54</v>
      </c>
      <c r="K67" s="14" t="n">
        <v>0</v>
      </c>
      <c r="L67" s="14" t="n">
        <v>0</v>
      </c>
      <c r="M67" s="14">
        <f>IF(B67="Frete de venda",0,(1-ISNUMBER(SEARCH("556",P67)))*(I67*VLOOKUP($B67,Premissas!$A$4:$E$7,2,0)+J67*VLOOKUP($B67,Premissas!$A$4:$E$7,3,0))+K67*VLOOKUP($B67,Premissas!$A$4:$E$7,4,0)+L67*VLOOKUP($B67,Premissas!$A$4:$E$7,5,0))</f>
        <v/>
      </c>
      <c r="N67" s="14">
        <f>H67-M67</f>
        <v/>
      </c>
      <c r="O67" t="inlineStr">
        <is>
          <t>Não</t>
        </is>
      </c>
      <c r="P67" t="inlineStr">
        <is>
          <t>1.556</t>
        </is>
      </c>
    </row>
    <row r="68">
      <c r="A68" t="inlineStr">
        <is>
          <t>Antes de 2026</t>
        </is>
      </c>
      <c r="B68" t="inlineStr">
        <is>
          <t>Frete de venda</t>
        </is>
      </c>
      <c r="C68" t="inlineStr">
        <is>
          <t>Frete de venda (para clientes)</t>
        </is>
      </c>
      <c r="D68" t="inlineStr">
        <is>
          <t>CT-e</t>
        </is>
      </c>
      <c r="E68" t="inlineStr">
        <is>
          <t>000321676</t>
        </is>
      </c>
      <c r="F68" t="inlineStr">
        <is>
          <t>GO TRANSPORTES E ENCOMENDAS LTDA</t>
        </is>
      </c>
      <c r="G68" s="27" t="n">
        <v>45896</v>
      </c>
      <c r="H68" s="14" t="n">
        <v>383.7</v>
      </c>
      <c r="I68" s="14" t="n">
        <v>0</v>
      </c>
      <c r="J68" s="14" t="n">
        <v>72.90000000000001</v>
      </c>
      <c r="K68" s="14" t="n">
        <v>0</v>
      </c>
      <c r="L68" s="14" t="n">
        <v>0</v>
      </c>
      <c r="M68" s="14">
        <f>IF(B68="Frete de venda",0,(1-ISNUMBER(SEARCH("556",P68)))*(I68*VLOOKUP($B68,Premissas!$A$4:$E$7,2,0)+J68*VLOOKUP($B68,Premissas!$A$4:$E$7,3,0))+K68*VLOOKUP($B68,Premissas!$A$4:$E$7,4,0)+L68*VLOOKUP($B68,Premissas!$A$4:$E$7,5,0))</f>
        <v/>
      </c>
      <c r="N68" s="14">
        <f>H68-M68</f>
        <v/>
      </c>
      <c r="O68" t="inlineStr">
        <is>
          <t>Não</t>
        </is>
      </c>
      <c r="P68" t="inlineStr">
        <is>
          <t>1.556</t>
        </is>
      </c>
    </row>
    <row r="69">
      <c r="A69" t="inlineStr">
        <is>
          <t>Antes de 2026</t>
        </is>
      </c>
      <c r="B69" t="inlineStr">
        <is>
          <t>Frete de compra</t>
        </is>
      </c>
      <c r="C69" t="inlineStr">
        <is>
          <t>Frete de compra</t>
        </is>
      </c>
      <c r="D69" t="inlineStr">
        <is>
          <t>CT-e</t>
        </is>
      </c>
      <c r="E69" t="inlineStr">
        <is>
          <t>000073221</t>
        </is>
      </c>
      <c r="F69" t="inlineStr">
        <is>
          <t>GOL LINHAS AEREAS S.A.</t>
        </is>
      </c>
      <c r="G69" s="27" t="n">
        <v>45987</v>
      </c>
      <c r="H69" s="14" t="n">
        <v>189.82</v>
      </c>
      <c r="I69" s="14" t="n">
        <v>0</v>
      </c>
      <c r="J69" s="14" t="n">
        <v>7.59</v>
      </c>
      <c r="K69" s="14" t="n">
        <v>0</v>
      </c>
      <c r="L69" s="14" t="n">
        <v>0</v>
      </c>
      <c r="M69" s="14">
        <f>IF(B69="Frete de venda",0,(1-ISNUMBER(SEARCH("556",P69)))*(I69*VLOOKUP($B69,Premissas!$A$4:$E$7,2,0)+J69*VLOOKUP($B69,Premissas!$A$4:$E$7,3,0))+K69*VLOOKUP($B69,Premissas!$A$4:$E$7,4,0)+L69*VLOOKUP($B69,Premissas!$A$4:$E$7,5,0))</f>
        <v/>
      </c>
      <c r="N69" s="14">
        <f>H69-M69</f>
        <v/>
      </c>
      <c r="O69" t="inlineStr">
        <is>
          <t>Não</t>
        </is>
      </c>
      <c r="P69" t="inlineStr">
        <is>
          <t>1.350</t>
        </is>
      </c>
    </row>
    <row r="70">
      <c r="A70" t="inlineStr">
        <is>
          <t>Antes de 2026</t>
        </is>
      </c>
      <c r="B70" t="inlineStr">
        <is>
          <t>Frete de venda</t>
        </is>
      </c>
      <c r="C70" t="inlineStr">
        <is>
          <t>Frete de venda (para clientes)</t>
        </is>
      </c>
      <c r="D70" t="inlineStr">
        <is>
          <t>CT-e</t>
        </is>
      </c>
      <c r="E70" t="inlineStr">
        <is>
          <t>000004566</t>
        </is>
      </c>
      <c r="F70" t="inlineStr">
        <is>
          <t>PAJEU TRANSPORTES RODOVIARIOS DE CARGAS LTDA</t>
        </is>
      </c>
      <c r="G70" s="27" t="n">
        <v>46021</v>
      </c>
      <c r="H70" s="14" t="n">
        <v>996.2</v>
      </c>
      <c r="I70" s="14" t="n">
        <v>0</v>
      </c>
      <c r="J70" s="14" t="n">
        <v>0</v>
      </c>
      <c r="K70" s="14" t="n">
        <v>0</v>
      </c>
      <c r="L70" s="14" t="n">
        <v>0</v>
      </c>
      <c r="M70" s="14">
        <f>IF(B70="Frete de venda",0,(1-ISNUMBER(SEARCH("556",P70)))*(I70*VLOOKUP($B70,Premissas!$A$4:$E$7,2,0)+J70*VLOOKUP($B70,Premissas!$A$4:$E$7,3,0))+K70*VLOOKUP($B70,Premissas!$A$4:$E$7,4,0)+L70*VLOOKUP($B70,Premissas!$A$4:$E$7,5,0))</f>
        <v/>
      </c>
      <c r="N70" s="14">
        <f>H70-M70</f>
        <v/>
      </c>
      <c r="O70" t="inlineStr">
        <is>
          <t>Sim</t>
        </is>
      </c>
      <c r="P70" t="inlineStr">
        <is>
          <t>1.350</t>
        </is>
      </c>
    </row>
    <row r="71">
      <c r="A71" t="inlineStr">
        <is>
          <t>Antes de 2026</t>
        </is>
      </c>
      <c r="B71" t="inlineStr">
        <is>
          <t>Frete de venda</t>
        </is>
      </c>
      <c r="C71" t="inlineStr">
        <is>
          <t>Frete de venda (para clientes)</t>
        </is>
      </c>
      <c r="D71" t="inlineStr">
        <is>
          <t>CT-e</t>
        </is>
      </c>
      <c r="E71" t="inlineStr">
        <is>
          <t>000011905</t>
        </is>
      </c>
      <c r="F71" t="inlineStr">
        <is>
          <t>TRANSFARRAPOS TRANSPS RODOVS DE CARGAS LTDA</t>
        </is>
      </c>
      <c r="G71" s="27" t="n">
        <v>45602</v>
      </c>
      <c r="H71" s="14" t="n">
        <v>959.72</v>
      </c>
      <c r="I71" s="14" t="n">
        <v>0</v>
      </c>
      <c r="J71" s="14" t="n">
        <v>115.17</v>
      </c>
      <c r="K71" s="14" t="n">
        <v>0</v>
      </c>
      <c r="L71" s="14" t="n">
        <v>0</v>
      </c>
      <c r="M71" s="14">
        <f>IF(B71="Frete de venda",0,(1-ISNUMBER(SEARCH("556",P71)))*(I71*VLOOKUP($B71,Premissas!$A$4:$E$7,2,0)+J71*VLOOKUP($B71,Premissas!$A$4:$E$7,3,0))+K71*VLOOKUP($B71,Premissas!$A$4:$E$7,4,0)+L71*VLOOKUP($B71,Premissas!$A$4:$E$7,5,0))</f>
        <v/>
      </c>
      <c r="N71" s="14">
        <f>H71-M71</f>
        <v/>
      </c>
      <c r="O71" t="inlineStr">
        <is>
          <t>Não</t>
        </is>
      </c>
      <c r="P71" t="inlineStr">
        <is>
          <t>1.556</t>
        </is>
      </c>
    </row>
    <row r="72">
      <c r="A72" t="inlineStr">
        <is>
          <t>Antes de 2026</t>
        </is>
      </c>
      <c r="B72" t="inlineStr">
        <is>
          <t>Frete de venda</t>
        </is>
      </c>
      <c r="C72" t="inlineStr">
        <is>
          <t>Frete de venda (para clientes)</t>
        </is>
      </c>
      <c r="D72" t="inlineStr">
        <is>
          <t>CT-e</t>
        </is>
      </c>
      <c r="E72" t="inlineStr">
        <is>
          <t>000087543</t>
        </is>
      </c>
      <c r="F72" t="inlineStr">
        <is>
          <t>BOMFIM CARGAS E ENCOMENDAS LTDA</t>
        </is>
      </c>
      <c r="G72" s="27" t="n">
        <v>45561</v>
      </c>
      <c r="H72" s="14" t="n">
        <v>111.85</v>
      </c>
      <c r="I72" s="14" t="n">
        <v>0</v>
      </c>
      <c r="J72" s="14" t="n">
        <v>13.42</v>
      </c>
      <c r="K72" s="14" t="n">
        <v>0</v>
      </c>
      <c r="L72" s="14" t="n">
        <v>0</v>
      </c>
      <c r="M72" s="14">
        <f>IF(B72="Frete de venda",0,(1-ISNUMBER(SEARCH("556",P72)))*(I72*VLOOKUP($B72,Premissas!$A$4:$E$7,2,0)+J72*VLOOKUP($B72,Premissas!$A$4:$E$7,3,0))+K72*VLOOKUP($B72,Premissas!$A$4:$E$7,4,0)+L72*VLOOKUP($B72,Premissas!$A$4:$E$7,5,0))</f>
        <v/>
      </c>
      <c r="N72" s="14">
        <f>H72-M72</f>
        <v/>
      </c>
      <c r="O72" t="inlineStr">
        <is>
          <t>Não</t>
        </is>
      </c>
      <c r="P72" t="inlineStr">
        <is>
          <t>1.556</t>
        </is>
      </c>
    </row>
    <row r="73">
      <c r="A73" t="inlineStr">
        <is>
          <t>Antes de 2026</t>
        </is>
      </c>
      <c r="B73" t="inlineStr">
        <is>
          <t>Frete de venda</t>
        </is>
      </c>
      <c r="C73" t="inlineStr">
        <is>
          <t>Frete de venda (para clientes)</t>
        </is>
      </c>
      <c r="D73" t="inlineStr">
        <is>
          <t>CT-e</t>
        </is>
      </c>
      <c r="E73" t="inlineStr">
        <is>
          <t>000104478</t>
        </is>
      </c>
      <c r="F73" t="inlineStr">
        <is>
          <t>BOMFIM CARGAS E ENCOMENDAS LTDA</t>
        </is>
      </c>
      <c r="G73" s="27" t="n">
        <v>45674</v>
      </c>
      <c r="H73" s="14" t="n">
        <v>1383.02</v>
      </c>
      <c r="I73" s="14" t="n">
        <v>0</v>
      </c>
      <c r="J73" s="14" t="n">
        <v>165.96</v>
      </c>
      <c r="K73" s="14" t="n">
        <v>0</v>
      </c>
      <c r="L73" s="14" t="n">
        <v>0</v>
      </c>
      <c r="M73" s="14">
        <f>IF(B73="Frete de venda",0,(1-ISNUMBER(SEARCH("556",P73)))*(I73*VLOOKUP($B73,Premissas!$A$4:$E$7,2,0)+J73*VLOOKUP($B73,Premissas!$A$4:$E$7,3,0))+K73*VLOOKUP($B73,Premissas!$A$4:$E$7,4,0)+L73*VLOOKUP($B73,Premissas!$A$4:$E$7,5,0))</f>
        <v/>
      </c>
      <c r="N73" s="14">
        <f>H73-M73</f>
        <v/>
      </c>
      <c r="O73" t="inlineStr">
        <is>
          <t>Não</t>
        </is>
      </c>
      <c r="P73" t="inlineStr">
        <is>
          <t>1.556</t>
        </is>
      </c>
    </row>
    <row r="74">
      <c r="A74" t="inlineStr">
        <is>
          <t>Antes de 2026</t>
        </is>
      </c>
      <c r="B74" t="inlineStr">
        <is>
          <t>Frete de venda</t>
        </is>
      </c>
      <c r="C74" t="inlineStr">
        <is>
          <t>Frete de venda (para clientes)</t>
        </is>
      </c>
      <c r="D74" t="inlineStr">
        <is>
          <t>CT-e</t>
        </is>
      </c>
      <c r="E74" t="inlineStr">
        <is>
          <t>000087541</t>
        </is>
      </c>
      <c r="F74" t="inlineStr">
        <is>
          <t>BOMFIM CARGAS E ENCOMENDAS LTDA</t>
        </is>
      </c>
      <c r="G74" s="27" t="n">
        <v>45561</v>
      </c>
      <c r="H74" s="14" t="n">
        <v>1523.68</v>
      </c>
      <c r="I74" s="14" t="n">
        <v>0</v>
      </c>
      <c r="J74" s="14" t="n">
        <v>182.84</v>
      </c>
      <c r="K74" s="14" t="n">
        <v>0</v>
      </c>
      <c r="L74" s="14" t="n">
        <v>0</v>
      </c>
      <c r="M74" s="14">
        <f>IF(B74="Frete de venda",0,(1-ISNUMBER(SEARCH("556",P74)))*(I74*VLOOKUP($B74,Premissas!$A$4:$E$7,2,0)+J74*VLOOKUP($B74,Premissas!$A$4:$E$7,3,0))+K74*VLOOKUP($B74,Premissas!$A$4:$E$7,4,0)+L74*VLOOKUP($B74,Premissas!$A$4:$E$7,5,0))</f>
        <v/>
      </c>
      <c r="N74" s="14">
        <f>H74-M74</f>
        <v/>
      </c>
      <c r="O74" t="inlineStr">
        <is>
          <t>Não</t>
        </is>
      </c>
      <c r="P74" t="inlineStr">
        <is>
          <t>1.556</t>
        </is>
      </c>
    </row>
    <row r="75">
      <c r="A75" t="inlineStr">
        <is>
          <t>Antes de 2026</t>
        </is>
      </c>
      <c r="B75" t="inlineStr">
        <is>
          <t>Frete de venda</t>
        </is>
      </c>
      <c r="C75" t="inlineStr">
        <is>
          <t>Frete de venda (para clientes)</t>
        </is>
      </c>
      <c r="D75" t="inlineStr">
        <is>
          <t>CT-e</t>
        </is>
      </c>
      <c r="E75" t="inlineStr">
        <is>
          <t>000087758</t>
        </is>
      </c>
      <c r="F75" t="inlineStr">
        <is>
          <t>BOMFIM CARGAS E ENCOMENDAS LTDA</t>
        </is>
      </c>
      <c r="G75" s="27" t="n">
        <v>45565</v>
      </c>
      <c r="H75" s="14" t="n">
        <v>12.45</v>
      </c>
      <c r="I75" s="14" t="n">
        <v>0</v>
      </c>
      <c r="J75" s="14" t="n">
        <v>1.49</v>
      </c>
      <c r="K75" s="14" t="n">
        <v>0</v>
      </c>
      <c r="L75" s="14" t="n">
        <v>0</v>
      </c>
      <c r="M75" s="14">
        <f>IF(B75="Frete de venda",0,(1-ISNUMBER(SEARCH("556",P75)))*(I75*VLOOKUP($B75,Premissas!$A$4:$E$7,2,0)+J75*VLOOKUP($B75,Premissas!$A$4:$E$7,3,0))+K75*VLOOKUP($B75,Premissas!$A$4:$E$7,4,0)+L75*VLOOKUP($B75,Premissas!$A$4:$E$7,5,0))</f>
        <v/>
      </c>
      <c r="N75" s="14">
        <f>H75-M75</f>
        <v/>
      </c>
      <c r="O75" t="inlineStr">
        <is>
          <t>Não</t>
        </is>
      </c>
      <c r="P75" t="inlineStr">
        <is>
          <t>1.556</t>
        </is>
      </c>
    </row>
    <row r="76">
      <c r="A76" t="inlineStr">
        <is>
          <t>Antes de 2026</t>
        </is>
      </c>
      <c r="B76" t="inlineStr">
        <is>
          <t>Frete de venda</t>
        </is>
      </c>
      <c r="C76" t="inlineStr">
        <is>
          <t>Frete de venda (para clientes)</t>
        </is>
      </c>
      <c r="D76" t="inlineStr">
        <is>
          <t>CT-e</t>
        </is>
      </c>
      <c r="E76" t="inlineStr">
        <is>
          <t>000088346</t>
        </is>
      </c>
      <c r="F76" t="inlineStr">
        <is>
          <t>BOMFIM CARGAS E ENCOMENDAS LTDA</t>
        </is>
      </c>
      <c r="G76" s="27" t="n">
        <v>45568</v>
      </c>
      <c r="H76" s="14" t="n">
        <v>77.27</v>
      </c>
      <c r="I76" s="14" t="n">
        <v>0</v>
      </c>
      <c r="J76" s="14" t="n">
        <v>9.27</v>
      </c>
      <c r="K76" s="14" t="n">
        <v>0</v>
      </c>
      <c r="L76" s="14" t="n">
        <v>0</v>
      </c>
      <c r="M76" s="14">
        <f>IF(B76="Frete de venda",0,(1-ISNUMBER(SEARCH("556",P76)))*(I76*VLOOKUP($B76,Premissas!$A$4:$E$7,2,0)+J76*VLOOKUP($B76,Premissas!$A$4:$E$7,3,0))+K76*VLOOKUP($B76,Premissas!$A$4:$E$7,4,0)+L76*VLOOKUP($B76,Premissas!$A$4:$E$7,5,0))</f>
        <v/>
      </c>
      <c r="N76" s="14">
        <f>H76-M76</f>
        <v/>
      </c>
      <c r="O76" t="inlineStr">
        <is>
          <t>Não</t>
        </is>
      </c>
      <c r="P76" t="inlineStr">
        <is>
          <t>1.556</t>
        </is>
      </c>
    </row>
    <row r="77">
      <c r="A77" t="inlineStr">
        <is>
          <t>Antes de 2026</t>
        </is>
      </c>
      <c r="B77" t="inlineStr">
        <is>
          <t>Frete de venda</t>
        </is>
      </c>
      <c r="C77" t="inlineStr">
        <is>
          <t>Frete de venda (para clientes)</t>
        </is>
      </c>
      <c r="D77" t="inlineStr">
        <is>
          <t>CT-e</t>
        </is>
      </c>
      <c r="E77" t="inlineStr">
        <is>
          <t>000088347</t>
        </is>
      </c>
      <c r="F77" t="inlineStr">
        <is>
          <t>BOMFIM CARGAS E ENCOMENDAS LTDA</t>
        </is>
      </c>
      <c r="G77" s="27" t="n">
        <v>45568</v>
      </c>
      <c r="H77" s="14" t="n">
        <v>630.8099999999999</v>
      </c>
      <c r="I77" s="14" t="n">
        <v>0</v>
      </c>
      <c r="J77" s="14" t="n">
        <v>75.7</v>
      </c>
      <c r="K77" s="14" t="n">
        <v>0</v>
      </c>
      <c r="L77" s="14" t="n">
        <v>0</v>
      </c>
      <c r="M77" s="14">
        <f>IF(B77="Frete de venda",0,(1-ISNUMBER(SEARCH("556",P77)))*(I77*VLOOKUP($B77,Premissas!$A$4:$E$7,2,0)+J77*VLOOKUP($B77,Premissas!$A$4:$E$7,3,0))+K77*VLOOKUP($B77,Premissas!$A$4:$E$7,4,0)+L77*VLOOKUP($B77,Premissas!$A$4:$E$7,5,0))</f>
        <v/>
      </c>
      <c r="N77" s="14">
        <f>H77-M77</f>
        <v/>
      </c>
      <c r="O77" t="inlineStr">
        <is>
          <t>Não</t>
        </is>
      </c>
      <c r="P77" t="inlineStr">
        <is>
          <t>1.556</t>
        </is>
      </c>
    </row>
    <row r="78">
      <c r="A78" t="inlineStr">
        <is>
          <t>Antes de 2026</t>
        </is>
      </c>
      <c r="B78" t="inlineStr">
        <is>
          <t>Frete de venda</t>
        </is>
      </c>
      <c r="C78" t="inlineStr">
        <is>
          <t>Frete de venda (para clientes)</t>
        </is>
      </c>
      <c r="D78" t="inlineStr">
        <is>
          <t>CT-e</t>
        </is>
      </c>
      <c r="E78" t="inlineStr">
        <is>
          <t>000099758</t>
        </is>
      </c>
      <c r="F78" t="inlineStr">
        <is>
          <t>BOMFIM CARGAS E ENCOMENDAS LTDA</t>
        </is>
      </c>
      <c r="G78" s="27" t="n">
        <v>45649</v>
      </c>
      <c r="H78" s="14" t="n">
        <v>1649.51</v>
      </c>
      <c r="I78" s="14" t="n">
        <v>0</v>
      </c>
      <c r="J78" s="14" t="n">
        <v>197.94</v>
      </c>
      <c r="K78" s="14" t="n">
        <v>0</v>
      </c>
      <c r="L78" s="14" t="n">
        <v>0</v>
      </c>
      <c r="M78" s="14">
        <f>IF(B78="Frete de venda",0,(1-ISNUMBER(SEARCH("556",P78)))*(I78*VLOOKUP($B78,Premissas!$A$4:$E$7,2,0)+J78*VLOOKUP($B78,Premissas!$A$4:$E$7,3,0))+K78*VLOOKUP($B78,Premissas!$A$4:$E$7,4,0)+L78*VLOOKUP($B78,Premissas!$A$4:$E$7,5,0))</f>
        <v/>
      </c>
      <c r="N78" s="14">
        <f>H78-M78</f>
        <v/>
      </c>
      <c r="O78" t="inlineStr">
        <is>
          <t>Não</t>
        </is>
      </c>
      <c r="P78" t="inlineStr">
        <is>
          <t>1.556</t>
        </is>
      </c>
    </row>
    <row r="79">
      <c r="A79" t="inlineStr">
        <is>
          <t>Antes de 2026</t>
        </is>
      </c>
      <c r="B79" t="inlineStr">
        <is>
          <t>Frete de venda</t>
        </is>
      </c>
      <c r="C79" t="inlineStr">
        <is>
          <t>Frete de venda (para clientes)</t>
        </is>
      </c>
      <c r="D79" t="inlineStr">
        <is>
          <t>CT-e</t>
        </is>
      </c>
      <c r="E79" t="inlineStr">
        <is>
          <t>000000560</t>
        </is>
      </c>
      <c r="F79" t="inlineStr">
        <is>
          <t>C L TRANSPORTES LTDA - IDEALIZA TRANSP</t>
        </is>
      </c>
      <c r="G79" s="27" t="n">
        <v>45643</v>
      </c>
      <c r="H79" s="14" t="n">
        <v>365.37</v>
      </c>
      <c r="I79" s="14" t="n">
        <v>0</v>
      </c>
      <c r="J79" s="14" t="n">
        <v>0</v>
      </c>
      <c r="K79" s="14" t="n">
        <v>0</v>
      </c>
      <c r="L79" s="14" t="n">
        <v>0</v>
      </c>
      <c r="M79" s="14">
        <f>IF(B79="Frete de venda",0,(1-ISNUMBER(SEARCH("556",P79)))*(I79*VLOOKUP($B79,Premissas!$A$4:$E$7,2,0)+J79*VLOOKUP($B79,Premissas!$A$4:$E$7,3,0))+K79*VLOOKUP($B79,Premissas!$A$4:$E$7,4,0)+L79*VLOOKUP($B79,Premissas!$A$4:$E$7,5,0))</f>
        <v/>
      </c>
      <c r="N79" s="14">
        <f>H79-M79</f>
        <v/>
      </c>
      <c r="O79" t="inlineStr">
        <is>
          <t>Não</t>
        </is>
      </c>
      <c r="P79" t="inlineStr">
        <is>
          <t>1.556</t>
        </is>
      </c>
    </row>
    <row r="80">
      <c r="A80" t="inlineStr">
        <is>
          <t>Antes de 2026</t>
        </is>
      </c>
      <c r="B80" t="inlineStr">
        <is>
          <t>Frete de venda</t>
        </is>
      </c>
      <c r="C80" t="inlineStr">
        <is>
          <t>Frete de venda (para clientes)</t>
        </is>
      </c>
      <c r="D80" t="inlineStr">
        <is>
          <t>CT-e</t>
        </is>
      </c>
      <c r="E80" t="inlineStr">
        <is>
          <t>000000561</t>
        </is>
      </c>
      <c r="F80" t="inlineStr">
        <is>
          <t>C L TRANSPORTES LTDA - IDEALIZA TRANSP</t>
        </is>
      </c>
      <c r="G80" s="27" t="n">
        <v>45643</v>
      </c>
      <c r="H80" s="14" t="n">
        <v>762.5700000000001</v>
      </c>
      <c r="I80" s="14" t="n">
        <v>0</v>
      </c>
      <c r="J80" s="14" t="n">
        <v>0</v>
      </c>
      <c r="K80" s="14" t="n">
        <v>0</v>
      </c>
      <c r="L80" s="14" t="n">
        <v>0</v>
      </c>
      <c r="M80" s="14">
        <f>IF(B80="Frete de venda",0,(1-ISNUMBER(SEARCH("556",P80)))*(I80*VLOOKUP($B80,Premissas!$A$4:$E$7,2,0)+J80*VLOOKUP($B80,Premissas!$A$4:$E$7,3,0))+K80*VLOOKUP($B80,Premissas!$A$4:$E$7,4,0)+L80*VLOOKUP($B80,Premissas!$A$4:$E$7,5,0))</f>
        <v/>
      </c>
      <c r="N80" s="14">
        <f>H80-M80</f>
        <v/>
      </c>
      <c r="O80" t="inlineStr">
        <is>
          <t>Não</t>
        </is>
      </c>
      <c r="P80" t="inlineStr">
        <is>
          <t>1.556</t>
        </is>
      </c>
    </row>
    <row r="81">
      <c r="A81" t="inlineStr">
        <is>
          <t>Antes de 2026</t>
        </is>
      </c>
      <c r="B81" t="inlineStr">
        <is>
          <t>Frete de venda</t>
        </is>
      </c>
      <c r="C81" t="inlineStr">
        <is>
          <t>Frete de venda (para clientes)</t>
        </is>
      </c>
      <c r="D81" t="inlineStr">
        <is>
          <t>CT-e</t>
        </is>
      </c>
      <c r="E81" t="inlineStr">
        <is>
          <t>000022365</t>
        </is>
      </c>
      <c r="F81" t="inlineStr">
        <is>
          <t>DR LOG TRANSPORTE DE CARGAS LTDA</t>
        </is>
      </c>
      <c r="G81" s="27" t="n">
        <v>45520</v>
      </c>
      <c r="H81" s="14" t="n">
        <v>230</v>
      </c>
      <c r="I81" s="14" t="n">
        <v>0</v>
      </c>
      <c r="J81" s="14" t="n">
        <v>27.6</v>
      </c>
      <c r="K81" s="14" t="n">
        <v>0</v>
      </c>
      <c r="L81" s="14" t="n">
        <v>0</v>
      </c>
      <c r="M81" s="14">
        <f>IF(B81="Frete de venda",0,(1-ISNUMBER(SEARCH("556",P81)))*(I81*VLOOKUP($B81,Premissas!$A$4:$E$7,2,0)+J81*VLOOKUP($B81,Premissas!$A$4:$E$7,3,0))+K81*VLOOKUP($B81,Premissas!$A$4:$E$7,4,0)+L81*VLOOKUP($B81,Premissas!$A$4:$E$7,5,0))</f>
        <v/>
      </c>
      <c r="N81" s="14">
        <f>H81-M81</f>
        <v/>
      </c>
      <c r="O81" t="inlineStr">
        <is>
          <t>Não</t>
        </is>
      </c>
      <c r="P81" t="inlineStr">
        <is>
          <t>1.556</t>
        </is>
      </c>
    </row>
    <row r="82">
      <c r="A82" t="inlineStr">
        <is>
          <t>Antes de 2026</t>
        </is>
      </c>
      <c r="B82" t="inlineStr">
        <is>
          <t>Frete de venda</t>
        </is>
      </c>
      <c r="C82" t="inlineStr">
        <is>
          <t>Frete de venda (para clientes)</t>
        </is>
      </c>
      <c r="D82" t="inlineStr">
        <is>
          <t>CT-e</t>
        </is>
      </c>
      <c r="E82" t="inlineStr">
        <is>
          <t>000000563</t>
        </is>
      </c>
      <c r="F82" t="inlineStr">
        <is>
          <t>C L TRANSPORTES LTDA - IDEALIZA TRANSP</t>
        </is>
      </c>
      <c r="G82" s="27" t="n">
        <v>45643</v>
      </c>
      <c r="H82" s="14" t="n">
        <v>339.5</v>
      </c>
      <c r="I82" s="14" t="n">
        <v>0</v>
      </c>
      <c r="J82" s="14" t="n">
        <v>0</v>
      </c>
      <c r="K82" s="14" t="n">
        <v>0</v>
      </c>
      <c r="L82" s="14" t="n">
        <v>0</v>
      </c>
      <c r="M82" s="14">
        <f>IF(B82="Frete de venda",0,(1-ISNUMBER(SEARCH("556",P82)))*(I82*VLOOKUP($B82,Premissas!$A$4:$E$7,2,0)+J82*VLOOKUP($B82,Premissas!$A$4:$E$7,3,0))+K82*VLOOKUP($B82,Premissas!$A$4:$E$7,4,0)+L82*VLOOKUP($B82,Premissas!$A$4:$E$7,5,0))</f>
        <v/>
      </c>
      <c r="N82" s="14">
        <f>H82-M82</f>
        <v/>
      </c>
      <c r="O82" t="inlineStr">
        <is>
          <t>Não</t>
        </is>
      </c>
      <c r="P82" t="inlineStr">
        <is>
          <t>1.556</t>
        </is>
      </c>
    </row>
    <row r="83">
      <c r="A83" t="inlineStr">
        <is>
          <t>Antes de 2026</t>
        </is>
      </c>
      <c r="B83" t="inlineStr">
        <is>
          <t>Frete de venda</t>
        </is>
      </c>
      <c r="C83" t="inlineStr">
        <is>
          <t>Frete de venda (para clientes)</t>
        </is>
      </c>
      <c r="D83" t="inlineStr">
        <is>
          <t>CT-e</t>
        </is>
      </c>
      <c r="E83" t="inlineStr">
        <is>
          <t>000000564</t>
        </is>
      </c>
      <c r="F83" t="inlineStr">
        <is>
          <t>C L TRANSPORTES LTDA - IDEALIZA TRANSP</t>
        </is>
      </c>
      <c r="G83" s="27" t="n">
        <v>45643</v>
      </c>
      <c r="H83" s="14" t="n">
        <v>368.55</v>
      </c>
      <c r="I83" s="14" t="n">
        <v>0</v>
      </c>
      <c r="J83" s="14" t="n">
        <v>0</v>
      </c>
      <c r="K83" s="14" t="n">
        <v>0</v>
      </c>
      <c r="L83" s="14" t="n">
        <v>0</v>
      </c>
      <c r="M83" s="14">
        <f>IF(B83="Frete de venda",0,(1-ISNUMBER(SEARCH("556",P83)))*(I83*VLOOKUP($B83,Premissas!$A$4:$E$7,2,0)+J83*VLOOKUP($B83,Premissas!$A$4:$E$7,3,0))+K83*VLOOKUP($B83,Premissas!$A$4:$E$7,4,0)+L83*VLOOKUP($B83,Premissas!$A$4:$E$7,5,0))</f>
        <v/>
      </c>
      <c r="N83" s="14">
        <f>H83-M83</f>
        <v/>
      </c>
      <c r="O83" t="inlineStr">
        <is>
          <t>Não</t>
        </is>
      </c>
      <c r="P83" t="inlineStr">
        <is>
          <t>1.556</t>
        </is>
      </c>
    </row>
    <row r="84">
      <c r="A84" t="inlineStr">
        <is>
          <t>Antes de 2026</t>
        </is>
      </c>
      <c r="B84" t="inlineStr">
        <is>
          <t>Frete de venda</t>
        </is>
      </c>
      <c r="C84" t="inlineStr">
        <is>
          <t>Frete de venda (para clientes)</t>
        </is>
      </c>
      <c r="D84" t="inlineStr">
        <is>
          <t>CT-e</t>
        </is>
      </c>
      <c r="E84" t="inlineStr">
        <is>
          <t>000000566</t>
        </is>
      </c>
      <c r="F84" t="inlineStr">
        <is>
          <t>C L TRANSPORTES LTDA - IDEALIZA TRANSP</t>
        </is>
      </c>
      <c r="G84" s="27" t="n">
        <v>45643</v>
      </c>
      <c r="H84" s="14" t="n">
        <v>334.25</v>
      </c>
      <c r="I84" s="14" t="n">
        <v>0</v>
      </c>
      <c r="J84" s="14" t="n">
        <v>0</v>
      </c>
      <c r="K84" s="14" t="n">
        <v>0</v>
      </c>
      <c r="L84" s="14" t="n">
        <v>0</v>
      </c>
      <c r="M84" s="14">
        <f>IF(B84="Frete de venda",0,(1-ISNUMBER(SEARCH("556",P84)))*(I84*VLOOKUP($B84,Premissas!$A$4:$E$7,2,0)+J84*VLOOKUP($B84,Premissas!$A$4:$E$7,3,0))+K84*VLOOKUP($B84,Premissas!$A$4:$E$7,4,0)+L84*VLOOKUP($B84,Premissas!$A$4:$E$7,5,0))</f>
        <v/>
      </c>
      <c r="N84" s="14">
        <f>H84-M84</f>
        <v/>
      </c>
      <c r="O84" t="inlineStr">
        <is>
          <t>Não</t>
        </is>
      </c>
      <c r="P84" t="inlineStr">
        <is>
          <t>1.556</t>
        </is>
      </c>
    </row>
    <row r="85">
      <c r="A85" t="inlineStr">
        <is>
          <t>Antes de 2026</t>
        </is>
      </c>
      <c r="B85" t="inlineStr">
        <is>
          <t>Frete de venda</t>
        </is>
      </c>
      <c r="C85" t="inlineStr">
        <is>
          <t>Frete de venda (para clientes)</t>
        </is>
      </c>
      <c r="D85" t="inlineStr">
        <is>
          <t>CT-e</t>
        </is>
      </c>
      <c r="E85" t="inlineStr">
        <is>
          <t>000000565</t>
        </is>
      </c>
      <c r="F85" t="inlineStr">
        <is>
          <t>C L TRANSPORTES LTDA - IDEALIZA TRANSP</t>
        </is>
      </c>
      <c r="G85" s="27" t="n">
        <v>45643</v>
      </c>
      <c r="H85" s="14" t="n">
        <v>249.2</v>
      </c>
      <c r="I85" s="14" t="n">
        <v>0</v>
      </c>
      <c r="J85" s="14" t="n">
        <v>0</v>
      </c>
      <c r="K85" s="14" t="n">
        <v>0</v>
      </c>
      <c r="L85" s="14" t="n">
        <v>0</v>
      </c>
      <c r="M85" s="14">
        <f>IF(B85="Frete de venda",0,(1-ISNUMBER(SEARCH("556",P85)))*(I85*VLOOKUP($B85,Premissas!$A$4:$E$7,2,0)+J85*VLOOKUP($B85,Premissas!$A$4:$E$7,3,0))+K85*VLOOKUP($B85,Premissas!$A$4:$E$7,4,0)+L85*VLOOKUP($B85,Premissas!$A$4:$E$7,5,0))</f>
        <v/>
      </c>
      <c r="N85" s="14">
        <f>H85-M85</f>
        <v/>
      </c>
      <c r="O85" t="inlineStr">
        <is>
          <t>Não</t>
        </is>
      </c>
      <c r="P85" t="inlineStr">
        <is>
          <t>1.556</t>
        </is>
      </c>
    </row>
    <row r="86">
      <c r="A86" t="inlineStr">
        <is>
          <t>Antes de 2026</t>
        </is>
      </c>
      <c r="B86" t="inlineStr">
        <is>
          <t>Frete de venda</t>
        </is>
      </c>
      <c r="C86" t="inlineStr">
        <is>
          <t>Frete de venda (para clientes)</t>
        </is>
      </c>
      <c r="D86" t="inlineStr">
        <is>
          <t>CT-e</t>
        </is>
      </c>
      <c r="E86" t="inlineStr">
        <is>
          <t>000011904</t>
        </is>
      </c>
      <c r="F86" t="inlineStr">
        <is>
          <t>TRANSFARRAPOS TRANSPS RODOVS DE CARGAS LTDA</t>
        </is>
      </c>
      <c r="G86" s="27" t="n">
        <v>45602</v>
      </c>
      <c r="H86" s="14" t="n">
        <v>864.98</v>
      </c>
      <c r="I86" s="14" t="n">
        <v>0</v>
      </c>
      <c r="J86" s="14" t="n">
        <v>103.8</v>
      </c>
      <c r="K86" s="14" t="n">
        <v>0</v>
      </c>
      <c r="L86" s="14" t="n">
        <v>0</v>
      </c>
      <c r="M86" s="14">
        <f>IF(B86="Frete de venda",0,(1-ISNUMBER(SEARCH("556",P86)))*(I86*VLOOKUP($B86,Premissas!$A$4:$E$7,2,0)+J86*VLOOKUP($B86,Premissas!$A$4:$E$7,3,0))+K86*VLOOKUP($B86,Premissas!$A$4:$E$7,4,0)+L86*VLOOKUP($B86,Premissas!$A$4:$E$7,5,0))</f>
        <v/>
      </c>
      <c r="N86" s="14">
        <f>H86-M86</f>
        <v/>
      </c>
      <c r="O86" t="inlineStr">
        <is>
          <t>Não</t>
        </is>
      </c>
      <c r="P86" t="inlineStr">
        <is>
          <t>1.556</t>
        </is>
      </c>
    </row>
    <row r="87">
      <c r="A87" t="inlineStr">
        <is>
          <t>Antes de 2026</t>
        </is>
      </c>
      <c r="B87" t="inlineStr">
        <is>
          <t>Frete de venda</t>
        </is>
      </c>
      <c r="C87" t="inlineStr">
        <is>
          <t>Frete de venda (para clientes)</t>
        </is>
      </c>
      <c r="D87" t="inlineStr">
        <is>
          <t>CT-e</t>
        </is>
      </c>
      <c r="E87" t="inlineStr">
        <is>
          <t>000000557</t>
        </is>
      </c>
      <c r="F87" t="inlineStr">
        <is>
          <t>C L TRANSPORTES LTDA - IDEALIZA TRANSP</t>
        </is>
      </c>
      <c r="G87" s="27" t="n">
        <v>45643</v>
      </c>
      <c r="H87" s="14" t="n">
        <v>455.18</v>
      </c>
      <c r="I87" s="14" t="n">
        <v>0</v>
      </c>
      <c r="J87" s="14" t="n">
        <v>0</v>
      </c>
      <c r="K87" s="14" t="n">
        <v>0</v>
      </c>
      <c r="L87" s="14" t="n">
        <v>0</v>
      </c>
      <c r="M87" s="14">
        <f>IF(B87="Frete de venda",0,(1-ISNUMBER(SEARCH("556",P87)))*(I87*VLOOKUP($B87,Premissas!$A$4:$E$7,2,0)+J87*VLOOKUP($B87,Premissas!$A$4:$E$7,3,0))+K87*VLOOKUP($B87,Premissas!$A$4:$E$7,4,0)+L87*VLOOKUP($B87,Premissas!$A$4:$E$7,5,0))</f>
        <v/>
      </c>
      <c r="N87" s="14">
        <f>H87-M87</f>
        <v/>
      </c>
      <c r="O87" t="inlineStr">
        <is>
          <t>Não</t>
        </is>
      </c>
      <c r="P87" t="inlineStr">
        <is>
          <t>1.556</t>
        </is>
      </c>
    </row>
    <row r="88">
      <c r="A88" t="inlineStr">
        <is>
          <t>Antes de 2026</t>
        </is>
      </c>
      <c r="B88" t="inlineStr">
        <is>
          <t>Frete de venda</t>
        </is>
      </c>
      <c r="C88" t="inlineStr">
        <is>
          <t>Frete de venda (para clientes)</t>
        </is>
      </c>
      <c r="D88" t="inlineStr">
        <is>
          <t>CT-e</t>
        </is>
      </c>
      <c r="E88" t="inlineStr">
        <is>
          <t>000087558</t>
        </is>
      </c>
      <c r="F88" t="inlineStr">
        <is>
          <t>BOMFIM CARGAS E ENCOMENDAS LTDA</t>
        </is>
      </c>
      <c r="G88" s="27" t="n">
        <v>45561</v>
      </c>
      <c r="H88" s="14" t="n">
        <v>416.72</v>
      </c>
      <c r="I88" s="14" t="n">
        <v>0</v>
      </c>
      <c r="J88" s="14" t="n">
        <v>50.01</v>
      </c>
      <c r="K88" s="14" t="n">
        <v>0</v>
      </c>
      <c r="L88" s="14" t="n">
        <v>0</v>
      </c>
      <c r="M88" s="14">
        <f>IF(B88="Frete de venda",0,(1-ISNUMBER(SEARCH("556",P88)))*(I88*VLOOKUP($B88,Premissas!$A$4:$E$7,2,0)+J88*VLOOKUP($B88,Premissas!$A$4:$E$7,3,0))+K88*VLOOKUP($B88,Premissas!$A$4:$E$7,4,0)+L88*VLOOKUP($B88,Premissas!$A$4:$E$7,5,0))</f>
        <v/>
      </c>
      <c r="N88" s="14">
        <f>H88-M88</f>
        <v/>
      </c>
      <c r="O88" t="inlineStr">
        <is>
          <t>Não</t>
        </is>
      </c>
      <c r="P88" t="inlineStr">
        <is>
          <t>1.556</t>
        </is>
      </c>
    </row>
    <row r="89">
      <c r="A89" t="inlineStr">
        <is>
          <t>Antes de 2026</t>
        </is>
      </c>
      <c r="B89" t="inlineStr">
        <is>
          <t>Frete de venda</t>
        </is>
      </c>
      <c r="C89" t="inlineStr">
        <is>
          <t>Frete de venda (para clientes)</t>
        </is>
      </c>
      <c r="D89" t="inlineStr">
        <is>
          <t>CT-e</t>
        </is>
      </c>
      <c r="E89" t="inlineStr">
        <is>
          <t>000001283</t>
        </is>
      </c>
      <c r="F89" t="inlineStr">
        <is>
          <t>REBECA EMÍLIA DA SILVA</t>
        </is>
      </c>
      <c r="G89" s="27" t="n">
        <v>45674</v>
      </c>
      <c r="H89" s="14" t="n">
        <v>4200</v>
      </c>
      <c r="I89" s="14" t="n">
        <v>0</v>
      </c>
      <c r="J89" s="14" t="n">
        <v>0</v>
      </c>
      <c r="K89" s="14" t="n">
        <v>0</v>
      </c>
      <c r="L89" s="14" t="n">
        <v>0</v>
      </c>
      <c r="M89" s="14">
        <f>IF(B89="Frete de venda",0,(1-ISNUMBER(SEARCH("556",P89)))*(I89*VLOOKUP($B89,Premissas!$A$4:$E$7,2,0)+J89*VLOOKUP($B89,Premissas!$A$4:$E$7,3,0))+K89*VLOOKUP($B89,Premissas!$A$4:$E$7,4,0)+L89*VLOOKUP($B89,Premissas!$A$4:$E$7,5,0))</f>
        <v/>
      </c>
      <c r="N89" s="14">
        <f>H89-M89</f>
        <v/>
      </c>
      <c r="O89" t="inlineStr">
        <is>
          <t>Não</t>
        </is>
      </c>
      <c r="P89" t="inlineStr">
        <is>
          <t>1.556</t>
        </is>
      </c>
    </row>
    <row r="90">
      <c r="A90" t="inlineStr">
        <is>
          <t>Antes de 2026</t>
        </is>
      </c>
      <c r="B90" t="inlineStr">
        <is>
          <t>Frete de venda</t>
        </is>
      </c>
      <c r="C90" t="inlineStr">
        <is>
          <t>Frete de venda (para clientes)</t>
        </is>
      </c>
      <c r="D90" t="inlineStr">
        <is>
          <t>CT-e</t>
        </is>
      </c>
      <c r="E90" t="inlineStr">
        <is>
          <t>000000558</t>
        </is>
      </c>
      <c r="F90" t="inlineStr">
        <is>
          <t>C L TRANSPORTES LTDA - IDEALIZA TRANSP</t>
        </is>
      </c>
      <c r="G90" s="27" t="n">
        <v>45643</v>
      </c>
      <c r="H90" s="14" t="n">
        <v>1207.48</v>
      </c>
      <c r="I90" s="14" t="n">
        <v>0</v>
      </c>
      <c r="J90" s="14" t="n">
        <v>0</v>
      </c>
      <c r="K90" s="14" t="n">
        <v>0</v>
      </c>
      <c r="L90" s="14" t="n">
        <v>0</v>
      </c>
      <c r="M90" s="14">
        <f>IF(B90="Frete de venda",0,(1-ISNUMBER(SEARCH("556",P90)))*(I90*VLOOKUP($B90,Premissas!$A$4:$E$7,2,0)+J90*VLOOKUP($B90,Premissas!$A$4:$E$7,3,0))+K90*VLOOKUP($B90,Premissas!$A$4:$E$7,4,0)+L90*VLOOKUP($B90,Premissas!$A$4:$E$7,5,0))</f>
        <v/>
      </c>
      <c r="N90" s="14">
        <f>H90-M90</f>
        <v/>
      </c>
      <c r="O90" t="inlineStr">
        <is>
          <t>Não</t>
        </is>
      </c>
      <c r="P90" t="inlineStr">
        <is>
          <t>1.556</t>
        </is>
      </c>
    </row>
    <row r="91">
      <c r="A91" t="inlineStr">
        <is>
          <t>Antes de 2026</t>
        </is>
      </c>
      <c r="B91" t="inlineStr">
        <is>
          <t>Frete de venda</t>
        </is>
      </c>
      <c r="C91" t="inlineStr">
        <is>
          <t>Frete de venda (para clientes)</t>
        </is>
      </c>
      <c r="D91" t="inlineStr">
        <is>
          <t>CT-e</t>
        </is>
      </c>
      <c r="E91" t="inlineStr">
        <is>
          <t>000022383</t>
        </is>
      </c>
      <c r="F91" t="inlineStr">
        <is>
          <t>DR LOG TRANSPORTE DE CARGAS LTDA</t>
        </is>
      </c>
      <c r="G91" s="27" t="n">
        <v>45523</v>
      </c>
      <c r="H91" s="14" t="n">
        <v>130</v>
      </c>
      <c r="I91" s="14" t="n">
        <v>0</v>
      </c>
      <c r="J91" s="14" t="n">
        <v>15.6</v>
      </c>
      <c r="K91" s="14" t="n">
        <v>0</v>
      </c>
      <c r="L91" s="14" t="n">
        <v>0</v>
      </c>
      <c r="M91" s="14">
        <f>IF(B91="Frete de venda",0,(1-ISNUMBER(SEARCH("556",P91)))*(I91*VLOOKUP($B91,Premissas!$A$4:$E$7,2,0)+J91*VLOOKUP($B91,Premissas!$A$4:$E$7,3,0))+K91*VLOOKUP($B91,Premissas!$A$4:$E$7,4,0)+L91*VLOOKUP($B91,Premissas!$A$4:$E$7,5,0))</f>
        <v/>
      </c>
      <c r="N91" s="14">
        <f>H91-M91</f>
        <v/>
      </c>
      <c r="O91" t="inlineStr">
        <is>
          <t>Não</t>
        </is>
      </c>
      <c r="P91" t="inlineStr">
        <is>
          <t>1.556</t>
        </is>
      </c>
    </row>
    <row r="92">
      <c r="A92" t="inlineStr">
        <is>
          <t>Antes de 2026</t>
        </is>
      </c>
      <c r="B92" t="inlineStr">
        <is>
          <t>Frete de venda</t>
        </is>
      </c>
      <c r="C92" t="inlineStr">
        <is>
          <t>Frete de venda (para clientes)</t>
        </is>
      </c>
      <c r="D92" t="inlineStr">
        <is>
          <t>CT-e</t>
        </is>
      </c>
      <c r="E92" t="inlineStr">
        <is>
          <t>000000562</t>
        </is>
      </c>
      <c r="F92" t="inlineStr">
        <is>
          <t>C L TRANSPORTES LTDA - IDEALIZA TRANSP</t>
        </is>
      </c>
      <c r="G92" s="27" t="n">
        <v>45643</v>
      </c>
      <c r="H92" s="14" t="n">
        <v>516.65</v>
      </c>
      <c r="I92" s="14" t="n">
        <v>0</v>
      </c>
      <c r="J92" s="14" t="n">
        <v>0</v>
      </c>
      <c r="K92" s="14" t="n">
        <v>0</v>
      </c>
      <c r="L92" s="14" t="n">
        <v>0</v>
      </c>
      <c r="M92" s="14">
        <f>IF(B92="Frete de venda",0,(1-ISNUMBER(SEARCH("556",P92)))*(I92*VLOOKUP($B92,Premissas!$A$4:$E$7,2,0)+J92*VLOOKUP($B92,Premissas!$A$4:$E$7,3,0))+K92*VLOOKUP($B92,Premissas!$A$4:$E$7,4,0)+L92*VLOOKUP($B92,Premissas!$A$4:$E$7,5,0))</f>
        <v/>
      </c>
      <c r="N92" s="14">
        <f>H92-M92</f>
        <v/>
      </c>
      <c r="O92" t="inlineStr">
        <is>
          <t>Não</t>
        </is>
      </c>
      <c r="P92" t="inlineStr">
        <is>
          <t>1.556</t>
        </is>
      </c>
    </row>
    <row r="93">
      <c r="A93" t="inlineStr">
        <is>
          <t>Antes de 2026</t>
        </is>
      </c>
      <c r="B93" t="inlineStr">
        <is>
          <t>Frete de venda</t>
        </is>
      </c>
      <c r="C93" t="inlineStr">
        <is>
          <t>Frete de venda (para clientes)</t>
        </is>
      </c>
      <c r="D93" t="inlineStr">
        <is>
          <t>CT-e</t>
        </is>
      </c>
      <c r="E93" t="inlineStr">
        <is>
          <t>000000559</t>
        </is>
      </c>
      <c r="F93" t="inlineStr">
        <is>
          <t>C L TRANSPORTES LTDA - IDEALIZA TRANSP</t>
        </is>
      </c>
      <c r="G93" s="27" t="n">
        <v>45643</v>
      </c>
      <c r="H93" s="14" t="n">
        <v>976.92</v>
      </c>
      <c r="I93" s="14" t="n">
        <v>0</v>
      </c>
      <c r="J93" s="14" t="n">
        <v>0</v>
      </c>
      <c r="K93" s="14" t="n">
        <v>0</v>
      </c>
      <c r="L93" s="14" t="n">
        <v>0</v>
      </c>
      <c r="M93" s="14">
        <f>IF(B93="Frete de venda",0,(1-ISNUMBER(SEARCH("556",P93)))*(I93*VLOOKUP($B93,Premissas!$A$4:$E$7,2,0)+J93*VLOOKUP($B93,Premissas!$A$4:$E$7,3,0))+K93*VLOOKUP($B93,Premissas!$A$4:$E$7,4,0)+L93*VLOOKUP($B93,Premissas!$A$4:$E$7,5,0))</f>
        <v/>
      </c>
      <c r="N93" s="14">
        <f>H93-M93</f>
        <v/>
      </c>
      <c r="O93" t="inlineStr">
        <is>
          <t>Não</t>
        </is>
      </c>
      <c r="P93" t="inlineStr">
        <is>
          <t>1.556</t>
        </is>
      </c>
    </row>
    <row r="94">
      <c r="A94" t="inlineStr">
        <is>
          <t>Antes de 2026</t>
        </is>
      </c>
      <c r="B94" t="inlineStr">
        <is>
          <t>Frete de venda</t>
        </is>
      </c>
      <c r="C94" t="inlineStr">
        <is>
          <t>Frete de venda (para clientes)</t>
        </is>
      </c>
      <c r="D94" t="inlineStr">
        <is>
          <t>CT-e</t>
        </is>
      </c>
      <c r="E94" t="inlineStr">
        <is>
          <t>000087542</t>
        </is>
      </c>
      <c r="F94" t="inlineStr">
        <is>
          <t>BOMFIM CARGAS E ENCOMENDAS LTDA</t>
        </is>
      </c>
      <c r="G94" s="27" t="n">
        <v>45561</v>
      </c>
      <c r="H94" s="14" t="n">
        <v>326.75</v>
      </c>
      <c r="I94" s="14" t="n">
        <v>0</v>
      </c>
      <c r="J94" s="14" t="n">
        <v>39.21</v>
      </c>
      <c r="K94" s="14" t="n">
        <v>0</v>
      </c>
      <c r="L94" s="14" t="n">
        <v>0</v>
      </c>
      <c r="M94" s="14">
        <f>IF(B94="Frete de venda",0,(1-ISNUMBER(SEARCH("556",P94)))*(I94*VLOOKUP($B94,Premissas!$A$4:$E$7,2,0)+J94*VLOOKUP($B94,Premissas!$A$4:$E$7,3,0))+K94*VLOOKUP($B94,Premissas!$A$4:$E$7,4,0)+L94*VLOOKUP($B94,Premissas!$A$4:$E$7,5,0))</f>
        <v/>
      </c>
      <c r="N94" s="14">
        <f>H94-M94</f>
        <v/>
      </c>
      <c r="O94" t="inlineStr">
        <is>
          <t>Não</t>
        </is>
      </c>
      <c r="P94" t="inlineStr">
        <is>
          <t>1.556</t>
        </is>
      </c>
    </row>
    <row r="95">
      <c r="A95" t="inlineStr">
        <is>
          <t>Antes de 2026</t>
        </is>
      </c>
      <c r="B95" t="inlineStr">
        <is>
          <t>Frete de venda</t>
        </is>
      </c>
      <c r="C95" t="inlineStr">
        <is>
          <t>Frete de venda (para clientes)</t>
        </is>
      </c>
      <c r="D95" t="inlineStr">
        <is>
          <t>CT-e</t>
        </is>
      </c>
      <c r="E95" t="inlineStr">
        <is>
          <t>000087757</t>
        </is>
      </c>
      <c r="F95" t="inlineStr">
        <is>
          <t>BOMFIM CARGAS E ENCOMENDAS LTDA</t>
        </is>
      </c>
      <c r="G95" s="27" t="n">
        <v>45565</v>
      </c>
      <c r="H95" s="14" t="n">
        <v>12.45</v>
      </c>
      <c r="I95" s="14" t="n">
        <v>0</v>
      </c>
      <c r="J95" s="14" t="n">
        <v>1.49</v>
      </c>
      <c r="K95" s="14" t="n">
        <v>0</v>
      </c>
      <c r="L95" s="14" t="n">
        <v>0</v>
      </c>
      <c r="M95" s="14">
        <f>IF(B95="Frete de venda",0,(1-ISNUMBER(SEARCH("556",P95)))*(I95*VLOOKUP($B95,Premissas!$A$4:$E$7,2,0)+J95*VLOOKUP($B95,Premissas!$A$4:$E$7,3,0))+K95*VLOOKUP($B95,Premissas!$A$4:$E$7,4,0)+L95*VLOOKUP($B95,Premissas!$A$4:$E$7,5,0))</f>
        <v/>
      </c>
      <c r="N95" s="14">
        <f>H95-M95</f>
        <v/>
      </c>
      <c r="O95" t="inlineStr">
        <is>
          <t>Não</t>
        </is>
      </c>
      <c r="P95" t="inlineStr">
        <is>
          <t>1.556</t>
        </is>
      </c>
    </row>
    <row r="96">
      <c r="A96" t="inlineStr">
        <is>
          <t>Antes de 2026</t>
        </is>
      </c>
      <c r="B96" t="inlineStr">
        <is>
          <t>Frete de venda</t>
        </is>
      </c>
      <c r="C96" t="inlineStr">
        <is>
          <t>Frete de venda (para clientes)</t>
        </is>
      </c>
      <c r="D96" t="inlineStr">
        <is>
          <t>CT-e</t>
        </is>
      </c>
      <c r="E96" t="inlineStr">
        <is>
          <t>000000567</t>
        </is>
      </c>
      <c r="F96" t="inlineStr">
        <is>
          <t>C L TRANSPORTES LTDA - IDEALIZA TRANSP</t>
        </is>
      </c>
      <c r="G96" s="27" t="n">
        <v>45643</v>
      </c>
      <c r="H96" s="14" t="n">
        <v>383.6</v>
      </c>
      <c r="I96" s="14" t="n">
        <v>0</v>
      </c>
      <c r="J96" s="14" t="n">
        <v>0</v>
      </c>
      <c r="K96" s="14" t="n">
        <v>0</v>
      </c>
      <c r="L96" s="14" t="n">
        <v>0</v>
      </c>
      <c r="M96" s="14">
        <f>IF(B96="Frete de venda",0,(1-ISNUMBER(SEARCH("556",P96)))*(I96*VLOOKUP($B96,Premissas!$A$4:$E$7,2,0)+J96*VLOOKUP($B96,Premissas!$A$4:$E$7,3,0))+K96*VLOOKUP($B96,Premissas!$A$4:$E$7,4,0)+L96*VLOOKUP($B96,Premissas!$A$4:$E$7,5,0))</f>
        <v/>
      </c>
      <c r="N96" s="14">
        <f>H96-M96</f>
        <v/>
      </c>
      <c r="O96" t="inlineStr">
        <is>
          <t>Não</t>
        </is>
      </c>
      <c r="P96" t="inlineStr">
        <is>
          <t>1.556</t>
        </is>
      </c>
    </row>
    <row r="97">
      <c r="A97" t="inlineStr">
        <is>
          <t>Antes de 2026</t>
        </is>
      </c>
      <c r="B97" t="inlineStr">
        <is>
          <t>Frete de venda</t>
        </is>
      </c>
      <c r="C97" t="inlineStr">
        <is>
          <t>Frete de venda (para clientes)</t>
        </is>
      </c>
      <c r="D97" t="inlineStr">
        <is>
          <t>CT-e</t>
        </is>
      </c>
      <c r="E97" t="inlineStr">
        <is>
          <t>000104479</t>
        </is>
      </c>
      <c r="F97" t="inlineStr">
        <is>
          <t>BOMFIM CARGAS E ENCOMENDAS LTDA</t>
        </is>
      </c>
      <c r="G97" s="27" t="n">
        <v>45674</v>
      </c>
      <c r="H97" s="14" t="n">
        <v>776.27</v>
      </c>
      <c r="I97" s="14" t="n">
        <v>0</v>
      </c>
      <c r="J97" s="14" t="n">
        <v>93.15000000000001</v>
      </c>
      <c r="K97" s="14" t="n">
        <v>0</v>
      </c>
      <c r="L97" s="14" t="n">
        <v>0</v>
      </c>
      <c r="M97" s="14">
        <f>IF(B97="Frete de venda",0,(1-ISNUMBER(SEARCH("556",P97)))*(I97*VLOOKUP($B97,Premissas!$A$4:$E$7,2,0)+J97*VLOOKUP($B97,Premissas!$A$4:$E$7,3,0))+K97*VLOOKUP($B97,Premissas!$A$4:$E$7,4,0)+L97*VLOOKUP($B97,Premissas!$A$4:$E$7,5,0))</f>
        <v/>
      </c>
      <c r="N97" s="14">
        <f>H97-M97</f>
        <v/>
      </c>
      <c r="O97" t="inlineStr">
        <is>
          <t>Não</t>
        </is>
      </c>
      <c r="P97" t="inlineStr">
        <is>
          <t>1.556</t>
        </is>
      </c>
    </row>
    <row r="98">
      <c r="A98" t="inlineStr">
        <is>
          <t>Antes de 2026</t>
        </is>
      </c>
      <c r="B98" t="inlineStr">
        <is>
          <t>Frete de venda</t>
        </is>
      </c>
      <c r="C98" t="inlineStr">
        <is>
          <t>Frete de venda (para clientes)</t>
        </is>
      </c>
      <c r="D98" t="inlineStr">
        <is>
          <t>CT-e</t>
        </is>
      </c>
      <c r="E98" t="inlineStr">
        <is>
          <t>000087557</t>
        </is>
      </c>
      <c r="F98" t="inlineStr">
        <is>
          <t>BOMFIM CARGAS E ENCOMENDAS LTDA</t>
        </is>
      </c>
      <c r="G98" s="27" t="n">
        <v>45561</v>
      </c>
      <c r="H98" s="14" t="n">
        <v>244.35</v>
      </c>
      <c r="I98" s="14" t="n">
        <v>0</v>
      </c>
      <c r="J98" s="14" t="n">
        <v>29.32</v>
      </c>
      <c r="K98" s="14" t="n">
        <v>0</v>
      </c>
      <c r="L98" s="14" t="n">
        <v>0</v>
      </c>
      <c r="M98" s="14">
        <f>IF(B98="Frete de venda",0,(1-ISNUMBER(SEARCH("556",P98)))*(I98*VLOOKUP($B98,Premissas!$A$4:$E$7,2,0)+J98*VLOOKUP($B98,Premissas!$A$4:$E$7,3,0))+K98*VLOOKUP($B98,Premissas!$A$4:$E$7,4,0)+L98*VLOOKUP($B98,Premissas!$A$4:$E$7,5,0))</f>
        <v/>
      </c>
      <c r="N98" s="14">
        <f>H98-M98</f>
        <v/>
      </c>
      <c r="O98" t="inlineStr">
        <is>
          <t>Não</t>
        </is>
      </c>
      <c r="P98" t="inlineStr">
        <is>
          <t>1.556</t>
        </is>
      </c>
    </row>
    <row r="99">
      <c r="A99" t="inlineStr">
        <is>
          <t>Antes de 2026</t>
        </is>
      </c>
      <c r="B99" t="inlineStr">
        <is>
          <t>Frete de venda</t>
        </is>
      </c>
      <c r="C99" t="inlineStr">
        <is>
          <t>Frete de venda (para clientes)</t>
        </is>
      </c>
      <c r="D99" t="inlineStr">
        <is>
          <t>CT-e</t>
        </is>
      </c>
      <c r="E99" t="inlineStr">
        <is>
          <t>000014040</t>
        </is>
      </c>
      <c r="F99" t="inlineStr">
        <is>
          <t>CAMPINENSE TRANSPORTE DE CARGAS LTDA</t>
        </is>
      </c>
      <c r="G99" s="27" t="n">
        <v>45520</v>
      </c>
      <c r="H99" s="14" t="n">
        <v>381</v>
      </c>
      <c r="I99" s="14" t="n">
        <v>0</v>
      </c>
      <c r="J99" s="14" t="n">
        <v>45.72</v>
      </c>
      <c r="K99" s="14" t="n">
        <v>0</v>
      </c>
      <c r="L99" s="14" t="n">
        <v>0</v>
      </c>
      <c r="M99" s="14">
        <f>IF(B99="Frete de venda",0,(1-ISNUMBER(SEARCH("556",P99)))*(I99*VLOOKUP($B99,Premissas!$A$4:$E$7,2,0)+J99*VLOOKUP($B99,Premissas!$A$4:$E$7,3,0))+K99*VLOOKUP($B99,Premissas!$A$4:$E$7,4,0)+L99*VLOOKUP($B99,Premissas!$A$4:$E$7,5,0))</f>
        <v/>
      </c>
      <c r="N99" s="14">
        <f>H99-M99</f>
        <v/>
      </c>
      <c r="O99" t="inlineStr">
        <is>
          <t>Não</t>
        </is>
      </c>
      <c r="P99" t="inlineStr">
        <is>
          <t>1.556</t>
        </is>
      </c>
    </row>
    <row r="100">
      <c r="A100" t="inlineStr">
        <is>
          <t>Antes de 2026</t>
        </is>
      </c>
      <c r="B100" t="inlineStr">
        <is>
          <t>Frete de venda</t>
        </is>
      </c>
      <c r="C100" t="inlineStr">
        <is>
          <t>Frete de venda (para clientes)</t>
        </is>
      </c>
      <c r="D100" t="inlineStr">
        <is>
          <t>CT-e</t>
        </is>
      </c>
      <c r="E100" t="inlineStr">
        <is>
          <t>000099759</t>
        </is>
      </c>
      <c r="F100" t="inlineStr">
        <is>
          <t>BOMFIM CARGAS E ENCOMENDAS LTDA</t>
        </is>
      </c>
      <c r="G100" s="27" t="n">
        <v>45649</v>
      </c>
      <c r="H100" s="14" t="n">
        <v>1570.65</v>
      </c>
      <c r="I100" s="14" t="n">
        <v>0</v>
      </c>
      <c r="J100" s="14" t="n">
        <v>188.48</v>
      </c>
      <c r="K100" s="14" t="n">
        <v>0</v>
      </c>
      <c r="L100" s="14" t="n">
        <v>0</v>
      </c>
      <c r="M100" s="14">
        <f>IF(B100="Frete de venda",0,(1-ISNUMBER(SEARCH("556",P100)))*(I100*VLOOKUP($B100,Premissas!$A$4:$E$7,2,0)+J100*VLOOKUP($B100,Premissas!$A$4:$E$7,3,0))+K100*VLOOKUP($B100,Premissas!$A$4:$E$7,4,0)+L100*VLOOKUP($B100,Premissas!$A$4:$E$7,5,0))</f>
        <v/>
      </c>
      <c r="N100" s="14">
        <f>H100-M100</f>
        <v/>
      </c>
      <c r="O100" t="inlineStr">
        <is>
          <t>Não</t>
        </is>
      </c>
      <c r="P100" t="inlineStr">
        <is>
          <t>1.556</t>
        </is>
      </c>
    </row>
    <row r="101">
      <c r="A101" t="inlineStr">
        <is>
          <t>Antes de 2026</t>
        </is>
      </c>
      <c r="B101" t="inlineStr">
        <is>
          <t>Frete de venda</t>
        </is>
      </c>
      <c r="C101" t="inlineStr">
        <is>
          <t>Frete de venda (para clientes)</t>
        </is>
      </c>
      <c r="D101" t="inlineStr">
        <is>
          <t>CT-e</t>
        </is>
      </c>
      <c r="E101" t="inlineStr">
        <is>
          <t>000012221</t>
        </is>
      </c>
      <c r="F101" t="inlineStr">
        <is>
          <t>TRANSFARRAPOS TRANSPS RODOVS DE CARGAS LTDA</t>
        </is>
      </c>
      <c r="G101" s="27" t="n">
        <v>45617</v>
      </c>
      <c r="H101" s="14" t="n">
        <v>1790</v>
      </c>
      <c r="I101" s="14" t="n">
        <v>0</v>
      </c>
      <c r="J101" s="14" t="n">
        <v>214.8</v>
      </c>
      <c r="K101" s="14" t="n">
        <v>0</v>
      </c>
      <c r="L101" s="14" t="n">
        <v>0</v>
      </c>
      <c r="M101" s="14">
        <f>IF(B101="Frete de venda",0,(1-ISNUMBER(SEARCH("556",P101)))*(I101*VLOOKUP($B101,Premissas!$A$4:$E$7,2,0)+J101*VLOOKUP($B101,Premissas!$A$4:$E$7,3,0))+K101*VLOOKUP($B101,Premissas!$A$4:$E$7,4,0)+L101*VLOOKUP($B101,Premissas!$A$4:$E$7,5,0))</f>
        <v/>
      </c>
      <c r="N101" s="14">
        <f>H101-M101</f>
        <v/>
      </c>
      <c r="O101" t="inlineStr">
        <is>
          <t>Não</t>
        </is>
      </c>
      <c r="P101" t="inlineStr">
        <is>
          <t>1.556</t>
        </is>
      </c>
    </row>
    <row r="102">
      <c r="A102" t="inlineStr">
        <is>
          <t>Antes de 2026</t>
        </is>
      </c>
      <c r="B102" t="inlineStr">
        <is>
          <t>Frete de compra</t>
        </is>
      </c>
      <c r="C102" t="inlineStr">
        <is>
          <t>Frete de compra</t>
        </is>
      </c>
      <c r="D102" t="inlineStr">
        <is>
          <t>CT-e</t>
        </is>
      </c>
      <c r="E102" t="inlineStr">
        <is>
          <t>000055316</t>
        </is>
      </c>
      <c r="F102" t="inlineStr">
        <is>
          <t>GOL LINHAS AEREAS S.A.</t>
        </is>
      </c>
      <c r="G102" s="27" t="n">
        <v>45533</v>
      </c>
      <c r="H102" s="14" t="n">
        <v>285.47</v>
      </c>
      <c r="I102" s="14" t="n">
        <v>0</v>
      </c>
      <c r="J102" s="14" t="n">
        <v>11.42</v>
      </c>
      <c r="K102" s="14" t="n">
        <v>0</v>
      </c>
      <c r="L102" s="14" t="n">
        <v>0</v>
      </c>
      <c r="M102" s="14">
        <f>IF(B102="Frete de venda",0,(1-ISNUMBER(SEARCH("556",P102)))*(I102*VLOOKUP($B102,Premissas!$A$4:$E$7,2,0)+J102*VLOOKUP($B102,Premissas!$A$4:$E$7,3,0))+K102*VLOOKUP($B102,Premissas!$A$4:$E$7,4,0)+L102*VLOOKUP($B102,Premissas!$A$4:$E$7,5,0))</f>
        <v/>
      </c>
      <c r="N102" s="14">
        <f>H102-M102</f>
        <v/>
      </c>
      <c r="O102" t="inlineStr">
        <is>
          <t>Não</t>
        </is>
      </c>
      <c r="P102" t="inlineStr">
        <is>
          <t>1.350</t>
        </is>
      </c>
    </row>
    <row r="103">
      <c r="A103" t="inlineStr">
        <is>
          <t>Antes de 2026</t>
        </is>
      </c>
      <c r="B103" t="inlineStr">
        <is>
          <t>Frete de compra</t>
        </is>
      </c>
      <c r="C103" t="inlineStr">
        <is>
          <t>Frete de compra</t>
        </is>
      </c>
      <c r="D103" t="inlineStr">
        <is>
          <t>CT-e</t>
        </is>
      </c>
      <c r="E103" t="inlineStr">
        <is>
          <t>000056737</t>
        </is>
      </c>
      <c r="F103" t="inlineStr">
        <is>
          <t>GOL LINHAS AEREAS S.A.</t>
        </is>
      </c>
      <c r="G103" s="27" t="n">
        <v>45573</v>
      </c>
      <c r="H103" s="14" t="n">
        <v>102.39</v>
      </c>
      <c r="I103" s="14" t="n">
        <v>0</v>
      </c>
      <c r="J103" s="14" t="n">
        <v>4.1</v>
      </c>
      <c r="K103" s="14" t="n">
        <v>0</v>
      </c>
      <c r="L103" s="14" t="n">
        <v>0</v>
      </c>
      <c r="M103" s="14">
        <f>IF(B103="Frete de venda",0,(1-ISNUMBER(SEARCH("556",P103)))*(I103*VLOOKUP($B103,Premissas!$A$4:$E$7,2,0)+J103*VLOOKUP($B103,Premissas!$A$4:$E$7,3,0))+K103*VLOOKUP($B103,Premissas!$A$4:$E$7,4,0)+L103*VLOOKUP($B103,Premissas!$A$4:$E$7,5,0))</f>
        <v/>
      </c>
      <c r="N103" s="14">
        <f>H103-M103</f>
        <v/>
      </c>
      <c r="O103" t="inlineStr">
        <is>
          <t>Não</t>
        </is>
      </c>
      <c r="P103" t="inlineStr">
        <is>
          <t>1.350</t>
        </is>
      </c>
    </row>
    <row r="104">
      <c r="A104" t="inlineStr">
        <is>
          <t>Antes de 2026</t>
        </is>
      </c>
      <c r="B104" t="inlineStr">
        <is>
          <t>Frete de compra</t>
        </is>
      </c>
      <c r="C104" t="inlineStr">
        <is>
          <t>Frete de compra</t>
        </is>
      </c>
      <c r="D104" t="inlineStr">
        <is>
          <t>CT-e</t>
        </is>
      </c>
      <c r="E104" t="inlineStr">
        <is>
          <t>000056795</t>
        </is>
      </c>
      <c r="F104" t="inlineStr">
        <is>
          <t>GOL LINHAS AEREAS S.A.</t>
        </is>
      </c>
      <c r="G104" s="27" t="n">
        <v>45574</v>
      </c>
      <c r="H104" s="14" t="n">
        <v>84.75</v>
      </c>
      <c r="I104" s="14" t="n">
        <v>0</v>
      </c>
      <c r="J104" s="14" t="n">
        <v>3.39</v>
      </c>
      <c r="K104" s="14" t="n">
        <v>0</v>
      </c>
      <c r="L104" s="14" t="n">
        <v>0</v>
      </c>
      <c r="M104" s="14">
        <f>IF(B104="Frete de venda",0,(1-ISNUMBER(SEARCH("556",P104)))*(I104*VLOOKUP($B104,Premissas!$A$4:$E$7,2,0)+J104*VLOOKUP($B104,Premissas!$A$4:$E$7,3,0))+K104*VLOOKUP($B104,Premissas!$A$4:$E$7,4,0)+L104*VLOOKUP($B104,Premissas!$A$4:$E$7,5,0))</f>
        <v/>
      </c>
      <c r="N104" s="14">
        <f>H104-M104</f>
        <v/>
      </c>
      <c r="O104" t="inlineStr">
        <is>
          <t>Não</t>
        </is>
      </c>
      <c r="P104" t="inlineStr">
        <is>
          <t>1.350</t>
        </is>
      </c>
    </row>
    <row r="105">
      <c r="A105" t="inlineStr">
        <is>
          <t>Antes de 2026</t>
        </is>
      </c>
      <c r="B105" t="inlineStr">
        <is>
          <t>Frete de compra</t>
        </is>
      </c>
      <c r="C105" t="inlineStr">
        <is>
          <t>Frete de compra</t>
        </is>
      </c>
      <c r="D105" t="inlineStr">
        <is>
          <t>CT-e</t>
        </is>
      </c>
      <c r="E105" t="inlineStr">
        <is>
          <t>000056792</t>
        </is>
      </c>
      <c r="F105" t="inlineStr">
        <is>
          <t>GOL LINHAS AEREAS S.A.</t>
        </is>
      </c>
      <c r="G105" s="27" t="n">
        <v>45574</v>
      </c>
      <c r="H105" s="14" t="n">
        <v>63.06</v>
      </c>
      <c r="I105" s="14" t="n">
        <v>0</v>
      </c>
      <c r="J105" s="14" t="n">
        <v>2.52</v>
      </c>
      <c r="K105" s="14" t="n">
        <v>0</v>
      </c>
      <c r="L105" s="14" t="n">
        <v>0</v>
      </c>
      <c r="M105" s="14">
        <f>IF(B105="Frete de venda",0,(1-ISNUMBER(SEARCH("556",P105)))*(I105*VLOOKUP($B105,Premissas!$A$4:$E$7,2,0)+J105*VLOOKUP($B105,Premissas!$A$4:$E$7,3,0))+K105*VLOOKUP($B105,Premissas!$A$4:$E$7,4,0)+L105*VLOOKUP($B105,Premissas!$A$4:$E$7,5,0))</f>
        <v/>
      </c>
      <c r="N105" s="14">
        <f>H105-M105</f>
        <v/>
      </c>
      <c r="O105" t="inlineStr">
        <is>
          <t>Não</t>
        </is>
      </c>
      <c r="P105" t="inlineStr">
        <is>
          <t>1.350</t>
        </is>
      </c>
    </row>
    <row r="106">
      <c r="A106" t="inlineStr">
        <is>
          <t>Antes de 2026</t>
        </is>
      </c>
      <c r="B106" t="inlineStr">
        <is>
          <t>Frete de compra</t>
        </is>
      </c>
      <c r="C106" t="inlineStr">
        <is>
          <t>Frete de compra</t>
        </is>
      </c>
      <c r="D106" t="inlineStr">
        <is>
          <t>CT-e</t>
        </is>
      </c>
      <c r="E106" t="inlineStr">
        <is>
          <t>000056695</t>
        </is>
      </c>
      <c r="F106" t="inlineStr">
        <is>
          <t>GOL LINHAS AEREAS S.A.</t>
        </is>
      </c>
      <c r="G106" s="27" t="n">
        <v>45572</v>
      </c>
      <c r="H106" s="14" t="n">
        <v>102.69</v>
      </c>
      <c r="I106" s="14" t="n">
        <v>0</v>
      </c>
      <c r="J106" s="14" t="n">
        <v>4.11</v>
      </c>
      <c r="K106" s="14" t="n">
        <v>0</v>
      </c>
      <c r="L106" s="14" t="n">
        <v>0</v>
      </c>
      <c r="M106" s="14">
        <f>IF(B106="Frete de venda",0,(1-ISNUMBER(SEARCH("556",P106)))*(I106*VLOOKUP($B106,Premissas!$A$4:$E$7,2,0)+J106*VLOOKUP($B106,Premissas!$A$4:$E$7,3,0))+K106*VLOOKUP($B106,Premissas!$A$4:$E$7,4,0)+L106*VLOOKUP($B106,Premissas!$A$4:$E$7,5,0))</f>
        <v/>
      </c>
      <c r="N106" s="14">
        <f>H106-M106</f>
        <v/>
      </c>
      <c r="O106" t="inlineStr">
        <is>
          <t>Não</t>
        </is>
      </c>
      <c r="P106" t="inlineStr">
        <is>
          <t>1.350</t>
        </is>
      </c>
    </row>
    <row r="107">
      <c r="A107" t="inlineStr">
        <is>
          <t>Antes de 2026</t>
        </is>
      </c>
      <c r="B107" t="inlineStr">
        <is>
          <t>Frete de compra</t>
        </is>
      </c>
      <c r="C107" t="inlineStr">
        <is>
          <t>Frete de compra</t>
        </is>
      </c>
      <c r="D107" t="inlineStr">
        <is>
          <t>CT-e</t>
        </is>
      </c>
      <c r="E107" t="inlineStr">
        <is>
          <t>000056740</t>
        </is>
      </c>
      <c r="F107" t="inlineStr">
        <is>
          <t>GOL LINHAS AEREAS S.A.</t>
        </is>
      </c>
      <c r="G107" s="27" t="n">
        <v>45573</v>
      </c>
      <c r="H107" s="14" t="n">
        <v>102.62</v>
      </c>
      <c r="I107" s="14" t="n">
        <v>0</v>
      </c>
      <c r="J107" s="14" t="n">
        <v>4.1</v>
      </c>
      <c r="K107" s="14" t="n">
        <v>0</v>
      </c>
      <c r="L107" s="14" t="n">
        <v>0</v>
      </c>
      <c r="M107" s="14">
        <f>IF(B107="Frete de venda",0,(1-ISNUMBER(SEARCH("556",P107)))*(I107*VLOOKUP($B107,Premissas!$A$4:$E$7,2,0)+J107*VLOOKUP($B107,Premissas!$A$4:$E$7,3,0))+K107*VLOOKUP($B107,Premissas!$A$4:$E$7,4,0)+L107*VLOOKUP($B107,Premissas!$A$4:$E$7,5,0))</f>
        <v/>
      </c>
      <c r="N107" s="14">
        <f>H107-M107</f>
        <v/>
      </c>
      <c r="O107" t="inlineStr">
        <is>
          <t>Não</t>
        </is>
      </c>
      <c r="P107" t="inlineStr">
        <is>
          <t>1.350</t>
        </is>
      </c>
    </row>
    <row r="108">
      <c r="A108" t="inlineStr">
        <is>
          <t>Antes de 2026</t>
        </is>
      </c>
      <c r="B108" t="inlineStr">
        <is>
          <t>Frete de compra</t>
        </is>
      </c>
      <c r="C108" t="inlineStr">
        <is>
          <t>Frete de compra</t>
        </is>
      </c>
      <c r="D108" t="inlineStr">
        <is>
          <t>CT-e</t>
        </is>
      </c>
      <c r="E108" t="inlineStr">
        <is>
          <t>000056793</t>
        </is>
      </c>
      <c r="F108" t="inlineStr">
        <is>
          <t>GOL LINHAS AEREAS S.A.</t>
        </is>
      </c>
      <c r="G108" s="27" t="n">
        <v>45574</v>
      </c>
      <c r="H108" s="14" t="n">
        <v>63.06</v>
      </c>
      <c r="I108" s="14" t="n">
        <v>0</v>
      </c>
      <c r="J108" s="14" t="n">
        <v>2.52</v>
      </c>
      <c r="K108" s="14" t="n">
        <v>0</v>
      </c>
      <c r="L108" s="14" t="n">
        <v>0</v>
      </c>
      <c r="M108" s="14">
        <f>IF(B108="Frete de venda",0,(1-ISNUMBER(SEARCH("556",P108)))*(I108*VLOOKUP($B108,Premissas!$A$4:$E$7,2,0)+J108*VLOOKUP($B108,Premissas!$A$4:$E$7,3,0))+K108*VLOOKUP($B108,Premissas!$A$4:$E$7,4,0)+L108*VLOOKUP($B108,Premissas!$A$4:$E$7,5,0))</f>
        <v/>
      </c>
      <c r="N108" s="14">
        <f>H108-M108</f>
        <v/>
      </c>
      <c r="O108" t="inlineStr">
        <is>
          <t>Não</t>
        </is>
      </c>
      <c r="P108" t="inlineStr">
        <is>
          <t>1.350</t>
        </is>
      </c>
    </row>
    <row r="109">
      <c r="A109" t="inlineStr">
        <is>
          <t>Antes de 2026</t>
        </is>
      </c>
      <c r="B109" t="inlineStr">
        <is>
          <t>Frete de compra</t>
        </is>
      </c>
      <c r="C109" t="inlineStr">
        <is>
          <t>Frete de compra</t>
        </is>
      </c>
      <c r="D109" t="inlineStr">
        <is>
          <t>CT-e</t>
        </is>
      </c>
      <c r="E109" t="inlineStr">
        <is>
          <t>000056739</t>
        </is>
      </c>
      <c r="F109" t="inlineStr">
        <is>
          <t>GOL LINHAS AEREAS S.A.</t>
        </is>
      </c>
      <c r="G109" s="27" t="n">
        <v>45573</v>
      </c>
      <c r="H109" s="14" t="n">
        <v>138.59</v>
      </c>
      <c r="I109" s="14" t="n">
        <v>0</v>
      </c>
      <c r="J109" s="14" t="n">
        <v>5.54</v>
      </c>
      <c r="K109" s="14" t="n">
        <v>0</v>
      </c>
      <c r="L109" s="14" t="n">
        <v>0</v>
      </c>
      <c r="M109" s="14">
        <f>IF(B109="Frete de venda",0,(1-ISNUMBER(SEARCH("556",P109)))*(I109*VLOOKUP($B109,Premissas!$A$4:$E$7,2,0)+J109*VLOOKUP($B109,Premissas!$A$4:$E$7,3,0))+K109*VLOOKUP($B109,Premissas!$A$4:$E$7,4,0)+L109*VLOOKUP($B109,Premissas!$A$4:$E$7,5,0))</f>
        <v/>
      </c>
      <c r="N109" s="14">
        <f>H109-M109</f>
        <v/>
      </c>
      <c r="O109" t="inlineStr">
        <is>
          <t>Não</t>
        </is>
      </c>
      <c r="P109" t="inlineStr">
        <is>
          <t>1.350</t>
        </is>
      </c>
    </row>
    <row r="110">
      <c r="A110" t="inlineStr">
        <is>
          <t>Antes de 2026</t>
        </is>
      </c>
      <c r="B110" t="inlineStr">
        <is>
          <t>Frete de compra</t>
        </is>
      </c>
      <c r="C110" t="inlineStr">
        <is>
          <t>Frete de compra</t>
        </is>
      </c>
      <c r="D110" t="inlineStr">
        <is>
          <t>CT-e</t>
        </is>
      </c>
      <c r="E110" t="inlineStr">
        <is>
          <t>000056738</t>
        </is>
      </c>
      <c r="F110" t="inlineStr">
        <is>
          <t>GOL LINHAS AEREAS S.A.</t>
        </is>
      </c>
      <c r="G110" s="27" t="n">
        <v>45573</v>
      </c>
      <c r="H110" s="14" t="n">
        <v>102.39</v>
      </c>
      <c r="I110" s="14" t="n">
        <v>0</v>
      </c>
      <c r="J110" s="14" t="n">
        <v>4.1</v>
      </c>
      <c r="K110" s="14" t="n">
        <v>0</v>
      </c>
      <c r="L110" s="14" t="n">
        <v>0</v>
      </c>
      <c r="M110" s="14">
        <f>IF(B110="Frete de venda",0,(1-ISNUMBER(SEARCH("556",P110)))*(I110*VLOOKUP($B110,Premissas!$A$4:$E$7,2,0)+J110*VLOOKUP($B110,Premissas!$A$4:$E$7,3,0))+K110*VLOOKUP($B110,Premissas!$A$4:$E$7,4,0)+L110*VLOOKUP($B110,Premissas!$A$4:$E$7,5,0))</f>
        <v/>
      </c>
      <c r="N110" s="14">
        <f>H110-M110</f>
        <v/>
      </c>
      <c r="O110" t="inlineStr">
        <is>
          <t>Não</t>
        </is>
      </c>
      <c r="P110" t="inlineStr">
        <is>
          <t>1.350</t>
        </is>
      </c>
    </row>
    <row r="111">
      <c r="A111" t="inlineStr">
        <is>
          <t>Antes de 2026</t>
        </is>
      </c>
      <c r="B111" t="inlineStr">
        <is>
          <t>Frete de compra</t>
        </is>
      </c>
      <c r="C111" t="inlineStr">
        <is>
          <t>Frete de compra</t>
        </is>
      </c>
      <c r="D111" t="inlineStr">
        <is>
          <t>CT-e</t>
        </is>
      </c>
      <c r="E111" t="inlineStr">
        <is>
          <t>000056791</t>
        </is>
      </c>
      <c r="F111" t="inlineStr">
        <is>
          <t>GOL LINHAS AEREAS S.A.</t>
        </is>
      </c>
      <c r="G111" s="27" t="n">
        <v>45574</v>
      </c>
      <c r="H111" s="14" t="n">
        <v>93.95999999999999</v>
      </c>
      <c r="I111" s="14" t="n">
        <v>0</v>
      </c>
      <c r="J111" s="14" t="n">
        <v>3.76</v>
      </c>
      <c r="K111" s="14" t="n">
        <v>0</v>
      </c>
      <c r="L111" s="14" t="n">
        <v>0</v>
      </c>
      <c r="M111" s="14">
        <f>IF(B111="Frete de venda",0,(1-ISNUMBER(SEARCH("556",P111)))*(I111*VLOOKUP($B111,Premissas!$A$4:$E$7,2,0)+J111*VLOOKUP($B111,Premissas!$A$4:$E$7,3,0))+K111*VLOOKUP($B111,Premissas!$A$4:$E$7,4,0)+L111*VLOOKUP($B111,Premissas!$A$4:$E$7,5,0))</f>
        <v/>
      </c>
      <c r="N111" s="14">
        <f>H111-M111</f>
        <v/>
      </c>
      <c r="O111" t="inlineStr">
        <is>
          <t>Não</t>
        </is>
      </c>
      <c r="P111" t="inlineStr">
        <is>
          <t>1.350</t>
        </is>
      </c>
    </row>
    <row r="112">
      <c r="A112" t="inlineStr">
        <is>
          <t>Antes de 2026</t>
        </is>
      </c>
      <c r="B112" t="inlineStr">
        <is>
          <t>Frete de compra</t>
        </is>
      </c>
      <c r="C112" t="inlineStr">
        <is>
          <t>Frete de compra</t>
        </is>
      </c>
      <c r="D112" t="inlineStr">
        <is>
          <t>CT-e</t>
        </is>
      </c>
      <c r="E112" t="inlineStr">
        <is>
          <t>000056790</t>
        </is>
      </c>
      <c r="F112" t="inlineStr">
        <is>
          <t>GOL LINHAS AEREAS S.A.</t>
        </is>
      </c>
      <c r="G112" s="27" t="n">
        <v>45574</v>
      </c>
      <c r="H112" s="14" t="n">
        <v>90.89</v>
      </c>
      <c r="I112" s="14" t="n">
        <v>0</v>
      </c>
      <c r="J112" s="14" t="n">
        <v>3.64</v>
      </c>
      <c r="K112" s="14" t="n">
        <v>0</v>
      </c>
      <c r="L112" s="14" t="n">
        <v>0</v>
      </c>
      <c r="M112" s="14">
        <f>IF(B112="Frete de venda",0,(1-ISNUMBER(SEARCH("556",P112)))*(I112*VLOOKUP($B112,Premissas!$A$4:$E$7,2,0)+J112*VLOOKUP($B112,Premissas!$A$4:$E$7,3,0))+K112*VLOOKUP($B112,Premissas!$A$4:$E$7,4,0)+L112*VLOOKUP($B112,Premissas!$A$4:$E$7,5,0))</f>
        <v/>
      </c>
      <c r="N112" s="14">
        <f>H112-M112</f>
        <v/>
      </c>
      <c r="O112" t="inlineStr">
        <is>
          <t>Não</t>
        </is>
      </c>
      <c r="P112" t="inlineStr">
        <is>
          <t>1.350</t>
        </is>
      </c>
    </row>
    <row r="113">
      <c r="A113" t="inlineStr">
        <is>
          <t>Antes de 2026</t>
        </is>
      </c>
      <c r="B113" t="inlineStr">
        <is>
          <t>Frete de compra</t>
        </is>
      </c>
      <c r="C113" t="inlineStr">
        <is>
          <t>Frete de compra</t>
        </is>
      </c>
      <c r="D113" t="inlineStr">
        <is>
          <t>CT-e</t>
        </is>
      </c>
      <c r="E113" t="inlineStr">
        <is>
          <t>000056797</t>
        </is>
      </c>
      <c r="F113" t="inlineStr">
        <is>
          <t>GOL LINHAS AEREAS S.A.</t>
        </is>
      </c>
      <c r="G113" s="27" t="n">
        <v>45574</v>
      </c>
      <c r="H113" s="14" t="n">
        <v>63.06</v>
      </c>
      <c r="I113" s="14" t="n">
        <v>0</v>
      </c>
      <c r="J113" s="14" t="n">
        <v>2.52</v>
      </c>
      <c r="K113" s="14" t="n">
        <v>0</v>
      </c>
      <c r="L113" s="14" t="n">
        <v>0</v>
      </c>
      <c r="M113" s="14">
        <f>IF(B113="Frete de venda",0,(1-ISNUMBER(SEARCH("556",P113)))*(I113*VLOOKUP($B113,Premissas!$A$4:$E$7,2,0)+J113*VLOOKUP($B113,Premissas!$A$4:$E$7,3,0))+K113*VLOOKUP($B113,Premissas!$A$4:$E$7,4,0)+L113*VLOOKUP($B113,Premissas!$A$4:$E$7,5,0))</f>
        <v/>
      </c>
      <c r="N113" s="14">
        <f>H113-M113</f>
        <v/>
      </c>
      <c r="O113" t="inlineStr">
        <is>
          <t>Não</t>
        </is>
      </c>
      <c r="P113" t="inlineStr">
        <is>
          <t>1.350</t>
        </is>
      </c>
    </row>
    <row r="114">
      <c r="A114" t="inlineStr">
        <is>
          <t>Antes de 2026</t>
        </is>
      </c>
      <c r="B114" t="inlineStr">
        <is>
          <t>Frete de compra</t>
        </is>
      </c>
      <c r="C114" t="inlineStr">
        <is>
          <t>Frete de compra</t>
        </is>
      </c>
      <c r="D114" t="inlineStr">
        <is>
          <t>CT-e</t>
        </is>
      </c>
      <c r="E114" t="inlineStr">
        <is>
          <t>000053999</t>
        </is>
      </c>
      <c r="F114" t="inlineStr">
        <is>
          <t>GOL LINHAS AEREAS S.A.</t>
        </is>
      </c>
      <c r="G114" s="27" t="n">
        <v>45496</v>
      </c>
      <c r="H114" s="14" t="n">
        <v>44</v>
      </c>
      <c r="I114" s="14" t="n">
        <v>0</v>
      </c>
      <c r="J114" s="14" t="n">
        <v>1.76</v>
      </c>
      <c r="K114" s="14" t="n">
        <v>0</v>
      </c>
      <c r="L114" s="14" t="n">
        <v>0</v>
      </c>
      <c r="M114" s="14">
        <f>IF(B114="Frete de venda",0,(1-ISNUMBER(SEARCH("556",P114)))*(I114*VLOOKUP($B114,Premissas!$A$4:$E$7,2,0)+J114*VLOOKUP($B114,Premissas!$A$4:$E$7,3,0))+K114*VLOOKUP($B114,Premissas!$A$4:$E$7,4,0)+L114*VLOOKUP($B114,Premissas!$A$4:$E$7,5,0))</f>
        <v/>
      </c>
      <c r="N114" s="14">
        <f>H114-M114</f>
        <v/>
      </c>
      <c r="O114" t="inlineStr">
        <is>
          <t>Não</t>
        </is>
      </c>
      <c r="P114" t="inlineStr">
        <is>
          <t>1.350</t>
        </is>
      </c>
    </row>
    <row r="115">
      <c r="A115" t="inlineStr">
        <is>
          <t>Antes de 2026</t>
        </is>
      </c>
      <c r="B115" t="inlineStr">
        <is>
          <t>Frete de compra</t>
        </is>
      </c>
      <c r="C115" t="inlineStr">
        <is>
          <t>Frete de compra</t>
        </is>
      </c>
      <c r="D115" t="inlineStr">
        <is>
          <t>CT-e</t>
        </is>
      </c>
      <c r="E115" t="inlineStr">
        <is>
          <t>000053997</t>
        </is>
      </c>
      <c r="F115" t="inlineStr">
        <is>
          <t>GOL LINHAS AEREAS S.A.</t>
        </is>
      </c>
      <c r="G115" s="27" t="n">
        <v>45496</v>
      </c>
      <c r="H115" s="14" t="n">
        <v>52.21</v>
      </c>
      <c r="I115" s="14" t="n">
        <v>0</v>
      </c>
      <c r="J115" s="14" t="n">
        <v>2.09</v>
      </c>
      <c r="K115" s="14" t="n">
        <v>0</v>
      </c>
      <c r="L115" s="14" t="n">
        <v>0</v>
      </c>
      <c r="M115" s="14">
        <f>IF(B115="Frete de venda",0,(1-ISNUMBER(SEARCH("556",P115)))*(I115*VLOOKUP($B115,Premissas!$A$4:$E$7,2,0)+J115*VLOOKUP($B115,Premissas!$A$4:$E$7,3,0))+K115*VLOOKUP($B115,Premissas!$A$4:$E$7,4,0)+L115*VLOOKUP($B115,Premissas!$A$4:$E$7,5,0))</f>
        <v/>
      </c>
      <c r="N115" s="14">
        <f>H115-M115</f>
        <v/>
      </c>
      <c r="O115" t="inlineStr">
        <is>
          <t>Não</t>
        </is>
      </c>
      <c r="P115" t="inlineStr">
        <is>
          <t>1.350</t>
        </is>
      </c>
    </row>
    <row r="116">
      <c r="A116" t="inlineStr">
        <is>
          <t>Antes de 2026</t>
        </is>
      </c>
      <c r="B116" t="inlineStr">
        <is>
          <t>Frete de compra</t>
        </is>
      </c>
      <c r="C116" t="inlineStr">
        <is>
          <t>Frete de compra</t>
        </is>
      </c>
      <c r="D116" t="inlineStr">
        <is>
          <t>CT-e</t>
        </is>
      </c>
      <c r="E116" t="inlineStr">
        <is>
          <t>000053998</t>
        </is>
      </c>
      <c r="F116" t="inlineStr">
        <is>
          <t>GOL LINHAS AEREAS S.A.</t>
        </is>
      </c>
      <c r="G116" s="27" t="n">
        <v>45496</v>
      </c>
      <c r="H116" s="14" t="n">
        <v>77.98999999999999</v>
      </c>
      <c r="I116" s="14" t="n">
        <v>0</v>
      </c>
      <c r="J116" s="14" t="n">
        <v>3.12</v>
      </c>
      <c r="K116" s="14" t="n">
        <v>0</v>
      </c>
      <c r="L116" s="14" t="n">
        <v>0</v>
      </c>
      <c r="M116" s="14">
        <f>IF(B116="Frete de venda",0,(1-ISNUMBER(SEARCH("556",P116)))*(I116*VLOOKUP($B116,Premissas!$A$4:$E$7,2,0)+J116*VLOOKUP($B116,Premissas!$A$4:$E$7,3,0))+K116*VLOOKUP($B116,Premissas!$A$4:$E$7,4,0)+L116*VLOOKUP($B116,Premissas!$A$4:$E$7,5,0))</f>
        <v/>
      </c>
      <c r="N116" s="14">
        <f>H116-M116</f>
        <v/>
      </c>
      <c r="O116" t="inlineStr">
        <is>
          <t>Não</t>
        </is>
      </c>
      <c r="P116" t="inlineStr">
        <is>
          <t>1.350</t>
        </is>
      </c>
    </row>
    <row r="117">
      <c r="A117" t="inlineStr">
        <is>
          <t>Antes de 2026</t>
        </is>
      </c>
      <c r="B117" t="inlineStr">
        <is>
          <t>Frete de compra</t>
        </is>
      </c>
      <c r="C117" t="inlineStr">
        <is>
          <t>Frete de compra</t>
        </is>
      </c>
      <c r="D117" t="inlineStr">
        <is>
          <t>CT-e</t>
        </is>
      </c>
      <c r="E117" t="inlineStr">
        <is>
          <t>000054001</t>
        </is>
      </c>
      <c r="F117" t="inlineStr">
        <is>
          <t>GOL LINHAS AEREAS S.A.</t>
        </is>
      </c>
      <c r="G117" s="27" t="n">
        <v>45496</v>
      </c>
      <c r="H117" s="14" t="n">
        <v>44</v>
      </c>
      <c r="I117" s="14" t="n">
        <v>0</v>
      </c>
      <c r="J117" s="14" t="n">
        <v>1.76</v>
      </c>
      <c r="K117" s="14" t="n">
        <v>0</v>
      </c>
      <c r="L117" s="14" t="n">
        <v>0</v>
      </c>
      <c r="M117" s="14">
        <f>IF(B117="Frete de venda",0,(1-ISNUMBER(SEARCH("556",P117)))*(I117*VLOOKUP($B117,Premissas!$A$4:$E$7,2,0)+J117*VLOOKUP($B117,Premissas!$A$4:$E$7,3,0))+K117*VLOOKUP($B117,Premissas!$A$4:$E$7,4,0)+L117*VLOOKUP($B117,Premissas!$A$4:$E$7,5,0))</f>
        <v/>
      </c>
      <c r="N117" s="14">
        <f>H117-M117</f>
        <v/>
      </c>
      <c r="O117" t="inlineStr">
        <is>
          <t>Não</t>
        </is>
      </c>
      <c r="P117" t="inlineStr">
        <is>
          <t>1.350</t>
        </is>
      </c>
    </row>
    <row r="118">
      <c r="A118" t="inlineStr">
        <is>
          <t>Antes de 2026</t>
        </is>
      </c>
      <c r="B118" t="inlineStr">
        <is>
          <t>Frete de compra</t>
        </is>
      </c>
      <c r="C118" t="inlineStr">
        <is>
          <t>Frete de compra</t>
        </is>
      </c>
      <c r="D118" t="inlineStr">
        <is>
          <t>CT-e</t>
        </is>
      </c>
      <c r="E118" t="inlineStr">
        <is>
          <t>000053996</t>
        </is>
      </c>
      <c r="F118" t="inlineStr">
        <is>
          <t>GOL LINHAS AEREAS S.A.</t>
        </is>
      </c>
      <c r="G118" s="27" t="n">
        <v>45496</v>
      </c>
      <c r="H118" s="14" t="n">
        <v>77.98999999999999</v>
      </c>
      <c r="I118" s="14" t="n">
        <v>0</v>
      </c>
      <c r="J118" s="14" t="n">
        <v>3.12</v>
      </c>
      <c r="K118" s="14" t="n">
        <v>0</v>
      </c>
      <c r="L118" s="14" t="n">
        <v>0</v>
      </c>
      <c r="M118" s="14">
        <f>IF(B118="Frete de venda",0,(1-ISNUMBER(SEARCH("556",P118)))*(I118*VLOOKUP($B118,Premissas!$A$4:$E$7,2,0)+J118*VLOOKUP($B118,Premissas!$A$4:$E$7,3,0))+K118*VLOOKUP($B118,Premissas!$A$4:$E$7,4,0)+L118*VLOOKUP($B118,Premissas!$A$4:$E$7,5,0))</f>
        <v/>
      </c>
      <c r="N118" s="14">
        <f>H118-M118</f>
        <v/>
      </c>
      <c r="O118" t="inlineStr">
        <is>
          <t>Não</t>
        </is>
      </c>
      <c r="P118" t="inlineStr">
        <is>
          <t>1.350</t>
        </is>
      </c>
    </row>
    <row r="119">
      <c r="A119" t="inlineStr">
        <is>
          <t>Antes de 2026</t>
        </is>
      </c>
      <c r="B119" t="inlineStr">
        <is>
          <t>Frete de compra</t>
        </is>
      </c>
      <c r="C119" t="inlineStr">
        <is>
          <t>Frete de compra</t>
        </is>
      </c>
      <c r="D119" t="inlineStr">
        <is>
          <t>CT-e</t>
        </is>
      </c>
      <c r="E119" t="inlineStr">
        <is>
          <t>000053994</t>
        </is>
      </c>
      <c r="F119" t="inlineStr">
        <is>
          <t>GOL LINHAS AEREAS S.A.</t>
        </is>
      </c>
      <c r="G119" s="27" t="n">
        <v>45496</v>
      </c>
      <c r="H119" s="14" t="n">
        <v>64.08</v>
      </c>
      <c r="I119" s="14" t="n">
        <v>0</v>
      </c>
      <c r="J119" s="14" t="n">
        <v>2.56</v>
      </c>
      <c r="K119" s="14" t="n">
        <v>0</v>
      </c>
      <c r="L119" s="14" t="n">
        <v>0</v>
      </c>
      <c r="M119" s="14">
        <f>IF(B119="Frete de venda",0,(1-ISNUMBER(SEARCH("556",P119)))*(I119*VLOOKUP($B119,Premissas!$A$4:$E$7,2,0)+J119*VLOOKUP($B119,Premissas!$A$4:$E$7,3,0))+K119*VLOOKUP($B119,Premissas!$A$4:$E$7,4,0)+L119*VLOOKUP($B119,Premissas!$A$4:$E$7,5,0))</f>
        <v/>
      </c>
      <c r="N119" s="14">
        <f>H119-M119</f>
        <v/>
      </c>
      <c r="O119" t="inlineStr">
        <is>
          <t>Não</t>
        </is>
      </c>
      <c r="P119" t="inlineStr">
        <is>
          <t>1.350</t>
        </is>
      </c>
    </row>
    <row r="120">
      <c r="A120" t="inlineStr">
        <is>
          <t>Antes de 2026</t>
        </is>
      </c>
      <c r="B120" t="inlineStr">
        <is>
          <t>Frete de compra</t>
        </is>
      </c>
      <c r="C120" t="inlineStr">
        <is>
          <t>Frete de compra</t>
        </is>
      </c>
      <c r="D120" t="inlineStr">
        <is>
          <t>CT-e</t>
        </is>
      </c>
      <c r="E120" t="inlineStr">
        <is>
          <t>000054000</t>
        </is>
      </c>
      <c r="F120" t="inlineStr">
        <is>
          <t>GOL LINHAS AEREAS S.A.</t>
        </is>
      </c>
      <c r="G120" s="27" t="n">
        <v>45496</v>
      </c>
      <c r="H120" s="14" t="n">
        <v>52.21</v>
      </c>
      <c r="I120" s="14" t="n">
        <v>0</v>
      </c>
      <c r="J120" s="14" t="n">
        <v>2.09</v>
      </c>
      <c r="K120" s="14" t="n">
        <v>0</v>
      </c>
      <c r="L120" s="14" t="n">
        <v>0</v>
      </c>
      <c r="M120" s="14">
        <f>IF(B120="Frete de venda",0,(1-ISNUMBER(SEARCH("556",P120)))*(I120*VLOOKUP($B120,Premissas!$A$4:$E$7,2,0)+J120*VLOOKUP($B120,Premissas!$A$4:$E$7,3,0))+K120*VLOOKUP($B120,Premissas!$A$4:$E$7,4,0)+L120*VLOOKUP($B120,Premissas!$A$4:$E$7,5,0))</f>
        <v/>
      </c>
      <c r="N120" s="14">
        <f>H120-M120</f>
        <v/>
      </c>
      <c r="O120" t="inlineStr">
        <is>
          <t>Não</t>
        </is>
      </c>
      <c r="P120" t="inlineStr">
        <is>
          <t>1.350</t>
        </is>
      </c>
    </row>
    <row r="121">
      <c r="A121" t="inlineStr">
        <is>
          <t>Antes de 2026</t>
        </is>
      </c>
      <c r="B121" t="inlineStr">
        <is>
          <t>Frete de compra</t>
        </is>
      </c>
      <c r="C121" t="inlineStr">
        <is>
          <t>Frete de compra</t>
        </is>
      </c>
      <c r="D121" t="inlineStr">
        <is>
          <t>CT-e</t>
        </is>
      </c>
      <c r="E121" t="inlineStr">
        <is>
          <t>000054119</t>
        </is>
      </c>
      <c r="F121" t="inlineStr">
        <is>
          <t>GOL LINHAS AEREAS S.A.</t>
        </is>
      </c>
      <c r="G121" s="27" t="n">
        <v>45498</v>
      </c>
      <c r="H121" s="14" t="n">
        <v>110.39</v>
      </c>
      <c r="I121" s="14" t="n">
        <v>0</v>
      </c>
      <c r="J121" s="14" t="n">
        <v>4.42</v>
      </c>
      <c r="K121" s="14" t="n">
        <v>0</v>
      </c>
      <c r="L121" s="14" t="n">
        <v>0</v>
      </c>
      <c r="M121" s="14">
        <f>IF(B121="Frete de venda",0,(1-ISNUMBER(SEARCH("556",P121)))*(I121*VLOOKUP($B121,Premissas!$A$4:$E$7,2,0)+J121*VLOOKUP($B121,Premissas!$A$4:$E$7,3,0))+K121*VLOOKUP($B121,Premissas!$A$4:$E$7,4,0)+L121*VLOOKUP($B121,Premissas!$A$4:$E$7,5,0))</f>
        <v/>
      </c>
      <c r="N121" s="14">
        <f>H121-M121</f>
        <v/>
      </c>
      <c r="O121" t="inlineStr">
        <is>
          <t>Não</t>
        </is>
      </c>
      <c r="P121" t="inlineStr">
        <is>
          <t>1.350</t>
        </is>
      </c>
    </row>
    <row r="122">
      <c r="A122" t="inlineStr">
        <is>
          <t>Antes de 2026</t>
        </is>
      </c>
      <c r="B122" t="inlineStr">
        <is>
          <t>Frete de compra</t>
        </is>
      </c>
      <c r="C122" t="inlineStr">
        <is>
          <t>Frete de compra</t>
        </is>
      </c>
      <c r="D122" t="inlineStr">
        <is>
          <t>CT-e</t>
        </is>
      </c>
      <c r="E122" t="inlineStr">
        <is>
          <t>000054121</t>
        </is>
      </c>
      <c r="F122" t="inlineStr">
        <is>
          <t>GOL LINHAS AEREAS S.A.</t>
        </is>
      </c>
      <c r="G122" s="27" t="n">
        <v>45498</v>
      </c>
      <c r="H122" s="14" t="n">
        <v>59.99</v>
      </c>
      <c r="I122" s="14" t="n">
        <v>0</v>
      </c>
      <c r="J122" s="14" t="n">
        <v>2.4</v>
      </c>
      <c r="K122" s="14" t="n">
        <v>0</v>
      </c>
      <c r="L122" s="14" t="n">
        <v>0</v>
      </c>
      <c r="M122" s="14">
        <f>IF(B122="Frete de venda",0,(1-ISNUMBER(SEARCH("556",P122)))*(I122*VLOOKUP($B122,Premissas!$A$4:$E$7,2,0)+J122*VLOOKUP($B122,Premissas!$A$4:$E$7,3,0))+K122*VLOOKUP($B122,Premissas!$A$4:$E$7,4,0)+L122*VLOOKUP($B122,Premissas!$A$4:$E$7,5,0))</f>
        <v/>
      </c>
      <c r="N122" s="14">
        <f>H122-M122</f>
        <v/>
      </c>
      <c r="O122" t="inlineStr">
        <is>
          <t>Não</t>
        </is>
      </c>
      <c r="P122" t="inlineStr">
        <is>
          <t>1.350</t>
        </is>
      </c>
    </row>
    <row r="123">
      <c r="A123" t="inlineStr">
        <is>
          <t>Antes de 2026</t>
        </is>
      </c>
      <c r="B123" t="inlineStr">
        <is>
          <t>Frete de compra</t>
        </is>
      </c>
      <c r="C123" t="inlineStr">
        <is>
          <t>Frete de compra</t>
        </is>
      </c>
      <c r="D123" t="inlineStr">
        <is>
          <t>CT-e</t>
        </is>
      </c>
      <c r="E123" t="inlineStr">
        <is>
          <t>000160068</t>
        </is>
      </c>
      <c r="F123" t="inlineStr">
        <is>
          <t>ALIANCA NAVEGACAO E LOGISTICA LTDA</t>
        </is>
      </c>
      <c r="G123" s="27" t="n">
        <v>45635</v>
      </c>
      <c r="H123" s="14" t="n">
        <v>20220.59</v>
      </c>
      <c r="I123" s="14" t="n">
        <v>0</v>
      </c>
      <c r="J123" s="14" t="n">
        <v>1415.44</v>
      </c>
      <c r="K123" s="14" t="n">
        <v>0</v>
      </c>
      <c r="L123" s="14" t="n">
        <v>0</v>
      </c>
      <c r="M123" s="14">
        <f>IF(B123="Frete de venda",0,(1-ISNUMBER(SEARCH("556",P123)))*(I123*VLOOKUP($B123,Premissas!$A$4:$E$7,2,0)+J123*VLOOKUP($B123,Premissas!$A$4:$E$7,3,0))+K123*VLOOKUP($B123,Premissas!$A$4:$E$7,4,0)+L123*VLOOKUP($B123,Premissas!$A$4:$E$7,5,0))</f>
        <v/>
      </c>
      <c r="N123" s="14">
        <f>H123-M123</f>
        <v/>
      </c>
      <c r="O123" t="inlineStr">
        <is>
          <t>Não</t>
        </is>
      </c>
      <c r="P123" t="inlineStr">
        <is>
          <t>2.350</t>
        </is>
      </c>
    </row>
    <row r="124">
      <c r="A124" t="inlineStr">
        <is>
          <t>Antes de 2026</t>
        </is>
      </c>
      <c r="B124" t="inlineStr">
        <is>
          <t>Frete de compra</t>
        </is>
      </c>
      <c r="C124" t="inlineStr">
        <is>
          <t>Frete de compra</t>
        </is>
      </c>
      <c r="D124" t="inlineStr">
        <is>
          <t>CT-e</t>
        </is>
      </c>
      <c r="E124" t="inlineStr">
        <is>
          <t>000160107</t>
        </is>
      </c>
      <c r="F124" t="inlineStr">
        <is>
          <t>ALIANCA NAVEGACAO E LOGISTICA LTDA</t>
        </is>
      </c>
      <c r="G124" s="27" t="n">
        <v>45636</v>
      </c>
      <c r="H124" s="14" t="n">
        <v>20157.9</v>
      </c>
      <c r="I124" s="14" t="n">
        <v>0</v>
      </c>
      <c r="J124" s="14" t="n">
        <v>1411.05</v>
      </c>
      <c r="K124" s="14" t="n">
        <v>0</v>
      </c>
      <c r="L124" s="14" t="n">
        <v>0</v>
      </c>
      <c r="M124" s="14">
        <f>IF(B124="Frete de venda",0,(1-ISNUMBER(SEARCH("556",P124)))*(I124*VLOOKUP($B124,Premissas!$A$4:$E$7,2,0)+J124*VLOOKUP($B124,Premissas!$A$4:$E$7,3,0))+K124*VLOOKUP($B124,Premissas!$A$4:$E$7,4,0)+L124*VLOOKUP($B124,Premissas!$A$4:$E$7,5,0))</f>
        <v/>
      </c>
      <c r="N124" s="14">
        <f>H124-M124</f>
        <v/>
      </c>
      <c r="O124" t="inlineStr">
        <is>
          <t>Não</t>
        </is>
      </c>
      <c r="P124" t="inlineStr">
        <is>
          <t>2.350</t>
        </is>
      </c>
    </row>
    <row r="125">
      <c r="A125" t="inlineStr">
        <is>
          <t>Antes de 2026</t>
        </is>
      </c>
      <c r="B125" t="inlineStr">
        <is>
          <t>Frete de compra</t>
        </is>
      </c>
      <c r="C125" t="inlineStr">
        <is>
          <t>Frete de compra</t>
        </is>
      </c>
      <c r="D125" t="inlineStr">
        <is>
          <t>CT-e</t>
        </is>
      </c>
      <c r="E125" t="inlineStr">
        <is>
          <t>000160109</t>
        </is>
      </c>
      <c r="F125" t="inlineStr">
        <is>
          <t>ALIANCA NAVEGACAO E LOGISTICA LTDA</t>
        </is>
      </c>
      <c r="G125" s="27" t="n">
        <v>45636</v>
      </c>
      <c r="H125" s="14" t="n">
        <v>20216.45</v>
      </c>
      <c r="I125" s="14" t="n">
        <v>0</v>
      </c>
      <c r="J125" s="14" t="n">
        <v>1415.15</v>
      </c>
      <c r="K125" s="14" t="n">
        <v>0</v>
      </c>
      <c r="L125" s="14" t="n">
        <v>0</v>
      </c>
      <c r="M125" s="14">
        <f>IF(B125="Frete de venda",0,(1-ISNUMBER(SEARCH("556",P125)))*(I125*VLOOKUP($B125,Premissas!$A$4:$E$7,2,0)+J125*VLOOKUP($B125,Premissas!$A$4:$E$7,3,0))+K125*VLOOKUP($B125,Premissas!$A$4:$E$7,4,0)+L125*VLOOKUP($B125,Premissas!$A$4:$E$7,5,0))</f>
        <v/>
      </c>
      <c r="N125" s="14">
        <f>H125-M125</f>
        <v/>
      </c>
      <c r="O125" t="inlineStr">
        <is>
          <t>Não</t>
        </is>
      </c>
      <c r="P125" t="inlineStr">
        <is>
          <t>2.350</t>
        </is>
      </c>
    </row>
    <row r="126">
      <c r="A126" t="inlineStr">
        <is>
          <t>Antes de 2026</t>
        </is>
      </c>
      <c r="B126" t="inlineStr">
        <is>
          <t>Frete de compra</t>
        </is>
      </c>
      <c r="C126" t="inlineStr">
        <is>
          <t>Frete de compra</t>
        </is>
      </c>
      <c r="D126" t="inlineStr">
        <is>
          <t>CT-e</t>
        </is>
      </c>
      <c r="E126" t="inlineStr">
        <is>
          <t>000160110</t>
        </is>
      </c>
      <c r="F126" t="inlineStr">
        <is>
          <t>ALIANCA NAVEGACAO E LOGISTICA LTDA</t>
        </is>
      </c>
      <c r="G126" s="27" t="n">
        <v>45636</v>
      </c>
      <c r="H126" s="14" t="n">
        <v>20205.24</v>
      </c>
      <c r="I126" s="14" t="n">
        <v>0</v>
      </c>
      <c r="J126" s="14" t="n">
        <v>1414.37</v>
      </c>
      <c r="K126" s="14" t="n">
        <v>0</v>
      </c>
      <c r="L126" s="14" t="n">
        <v>0</v>
      </c>
      <c r="M126" s="14">
        <f>IF(B126="Frete de venda",0,(1-ISNUMBER(SEARCH("556",P126)))*(I126*VLOOKUP($B126,Premissas!$A$4:$E$7,2,0)+J126*VLOOKUP($B126,Premissas!$A$4:$E$7,3,0))+K126*VLOOKUP($B126,Premissas!$A$4:$E$7,4,0)+L126*VLOOKUP($B126,Premissas!$A$4:$E$7,5,0))</f>
        <v/>
      </c>
      <c r="N126" s="14">
        <f>H126-M126</f>
        <v/>
      </c>
      <c r="O126" t="inlineStr">
        <is>
          <t>Não</t>
        </is>
      </c>
      <c r="P126" t="inlineStr">
        <is>
          <t>2.350</t>
        </is>
      </c>
    </row>
    <row r="127">
      <c r="A127" t="inlineStr">
        <is>
          <t>Antes de 2026</t>
        </is>
      </c>
      <c r="B127" t="inlineStr">
        <is>
          <t>Frete de compra</t>
        </is>
      </c>
      <c r="C127" t="inlineStr">
        <is>
          <t>Frete de compra</t>
        </is>
      </c>
      <c r="D127" t="inlineStr">
        <is>
          <t>CT-e</t>
        </is>
      </c>
      <c r="E127" t="inlineStr">
        <is>
          <t>000160108</t>
        </is>
      </c>
      <c r="F127" t="inlineStr">
        <is>
          <t>ALIANCA NAVEGACAO E LOGISTICA LTDA</t>
        </is>
      </c>
      <c r="G127" s="27" t="n">
        <v>45636</v>
      </c>
      <c r="H127" s="14" t="n">
        <v>20212.69</v>
      </c>
      <c r="I127" s="14" t="n">
        <v>0</v>
      </c>
      <c r="J127" s="14" t="n">
        <v>1414.89</v>
      </c>
      <c r="K127" s="14" t="n">
        <v>0</v>
      </c>
      <c r="L127" s="14" t="n">
        <v>0</v>
      </c>
      <c r="M127" s="14">
        <f>IF(B127="Frete de venda",0,(1-ISNUMBER(SEARCH("556",P127)))*(I127*VLOOKUP($B127,Premissas!$A$4:$E$7,2,0)+J127*VLOOKUP($B127,Premissas!$A$4:$E$7,3,0))+K127*VLOOKUP($B127,Premissas!$A$4:$E$7,4,0)+L127*VLOOKUP($B127,Premissas!$A$4:$E$7,5,0))</f>
        <v/>
      </c>
      <c r="N127" s="14">
        <f>H127-M127</f>
        <v/>
      </c>
      <c r="O127" t="inlineStr">
        <is>
          <t>Não</t>
        </is>
      </c>
      <c r="P127" t="inlineStr">
        <is>
          <t>2.350</t>
        </is>
      </c>
    </row>
    <row r="128">
      <c r="A128" t="inlineStr">
        <is>
          <t>Antes de 2026</t>
        </is>
      </c>
      <c r="B128" t="inlineStr">
        <is>
          <t>Frete de compra</t>
        </is>
      </c>
      <c r="C128" t="inlineStr">
        <is>
          <t>Frete de compra</t>
        </is>
      </c>
      <c r="D128" t="inlineStr">
        <is>
          <t>CT-e</t>
        </is>
      </c>
      <c r="E128" t="inlineStr">
        <is>
          <t>000185999</t>
        </is>
      </c>
      <c r="F128" t="inlineStr">
        <is>
          <t>ALIANCA NAVEGACAO E LOGISTICA LTDA</t>
        </is>
      </c>
      <c r="G128" s="27" t="n">
        <v>46007</v>
      </c>
      <c r="H128" s="14" t="n">
        <v>20061.74</v>
      </c>
      <c r="I128" s="14" t="n">
        <v>0</v>
      </c>
      <c r="J128" s="14" t="n">
        <v>1404.32</v>
      </c>
      <c r="K128" s="14" t="n">
        <v>0</v>
      </c>
      <c r="L128" s="14" t="n">
        <v>0</v>
      </c>
      <c r="M128" s="14">
        <f>IF(B128="Frete de venda",0,(1-ISNUMBER(SEARCH("556",P128)))*(I128*VLOOKUP($B128,Premissas!$A$4:$E$7,2,0)+J128*VLOOKUP($B128,Premissas!$A$4:$E$7,3,0))+K128*VLOOKUP($B128,Premissas!$A$4:$E$7,4,0)+L128*VLOOKUP($B128,Premissas!$A$4:$E$7,5,0))</f>
        <v/>
      </c>
      <c r="N128" s="14">
        <f>H128-M128</f>
        <v/>
      </c>
      <c r="O128" t="inlineStr">
        <is>
          <t>Sim</t>
        </is>
      </c>
      <c r="P128" t="inlineStr">
        <is>
          <t>1.350</t>
        </is>
      </c>
    </row>
    <row r="129">
      <c r="A129" t="inlineStr">
        <is>
          <t>Antes de 2026</t>
        </is>
      </c>
      <c r="B129" t="inlineStr">
        <is>
          <t>Frete de compra</t>
        </is>
      </c>
      <c r="C129" t="inlineStr">
        <is>
          <t>Frete de compra</t>
        </is>
      </c>
      <c r="D129" t="inlineStr">
        <is>
          <t>CT-e</t>
        </is>
      </c>
      <c r="E129" t="inlineStr">
        <is>
          <t>000186314</t>
        </is>
      </c>
      <c r="F129" t="inlineStr">
        <is>
          <t>ALIANCA NAVEGACAO E LOGISTICA LTDA</t>
        </is>
      </c>
      <c r="G129" s="27" t="n">
        <v>46010</v>
      </c>
      <c r="H129" s="14" t="n">
        <v>17258.72</v>
      </c>
      <c r="I129" s="14" t="n">
        <v>0</v>
      </c>
      <c r="J129" s="14" t="n">
        <v>1208.11</v>
      </c>
      <c r="K129" s="14" t="n">
        <v>0</v>
      </c>
      <c r="L129" s="14" t="n">
        <v>0</v>
      </c>
      <c r="M129" s="14">
        <f>IF(B129="Frete de venda",0,(1-ISNUMBER(SEARCH("556",P129)))*(I129*VLOOKUP($B129,Premissas!$A$4:$E$7,2,0)+J129*VLOOKUP($B129,Premissas!$A$4:$E$7,3,0))+K129*VLOOKUP($B129,Premissas!$A$4:$E$7,4,0)+L129*VLOOKUP($B129,Premissas!$A$4:$E$7,5,0))</f>
        <v/>
      </c>
      <c r="N129" s="14">
        <f>H129-M129</f>
        <v/>
      </c>
      <c r="O129" t="inlineStr">
        <is>
          <t>Sim</t>
        </is>
      </c>
      <c r="P129" t="inlineStr">
        <is>
          <t>1.350</t>
        </is>
      </c>
    </row>
    <row r="130">
      <c r="A130" t="inlineStr">
        <is>
          <t>Antes de 2026</t>
        </is>
      </c>
      <c r="B130" t="inlineStr">
        <is>
          <t>Frete de compra</t>
        </is>
      </c>
      <c r="C130" t="inlineStr">
        <is>
          <t>Frete de compra</t>
        </is>
      </c>
      <c r="D130" t="inlineStr">
        <is>
          <t>CT-e</t>
        </is>
      </c>
      <c r="E130" t="inlineStr">
        <is>
          <t>000186325</t>
        </is>
      </c>
      <c r="F130" t="inlineStr">
        <is>
          <t>ALIANCA NAVEGACAO E LOGISTICA LTDA</t>
        </is>
      </c>
      <c r="G130" s="27" t="n">
        <v>46010</v>
      </c>
      <c r="H130" s="14" t="n">
        <v>17260.99</v>
      </c>
      <c r="I130" s="14" t="n">
        <v>0</v>
      </c>
      <c r="J130" s="14" t="n">
        <v>1208.27</v>
      </c>
      <c r="K130" s="14" t="n">
        <v>0</v>
      </c>
      <c r="L130" s="14" t="n">
        <v>0</v>
      </c>
      <c r="M130" s="14">
        <f>IF(B130="Frete de venda",0,(1-ISNUMBER(SEARCH("556",P130)))*(I130*VLOOKUP($B130,Premissas!$A$4:$E$7,2,0)+J130*VLOOKUP($B130,Premissas!$A$4:$E$7,3,0))+K130*VLOOKUP($B130,Premissas!$A$4:$E$7,4,0)+L130*VLOOKUP($B130,Premissas!$A$4:$E$7,5,0))</f>
        <v/>
      </c>
      <c r="N130" s="14">
        <f>H130-M130</f>
        <v/>
      </c>
      <c r="O130" t="inlineStr">
        <is>
          <t>Sim</t>
        </is>
      </c>
      <c r="P130" t="inlineStr">
        <is>
          <t>1.350</t>
        </is>
      </c>
    </row>
    <row r="131">
      <c r="A131" t="inlineStr">
        <is>
          <t>Antes de 2026</t>
        </is>
      </c>
      <c r="B131" t="inlineStr">
        <is>
          <t>Frete de compra</t>
        </is>
      </c>
      <c r="C131" t="inlineStr">
        <is>
          <t>Frete de compra</t>
        </is>
      </c>
      <c r="D131" t="inlineStr">
        <is>
          <t>CT-e</t>
        </is>
      </c>
      <c r="E131" t="inlineStr">
        <is>
          <t>000186374</t>
        </is>
      </c>
      <c r="F131" t="inlineStr">
        <is>
          <t>ALIANCA NAVEGACAO E LOGISTICA LTDA</t>
        </is>
      </c>
      <c r="G131" s="27" t="n">
        <v>46013</v>
      </c>
      <c r="H131" s="14" t="n">
        <v>17321.25</v>
      </c>
      <c r="I131" s="14" t="n">
        <v>0</v>
      </c>
      <c r="J131" s="14" t="n">
        <v>1212.49</v>
      </c>
      <c r="K131" s="14" t="n">
        <v>0</v>
      </c>
      <c r="L131" s="14" t="n">
        <v>0</v>
      </c>
      <c r="M131" s="14">
        <f>IF(B131="Frete de venda",0,(1-ISNUMBER(SEARCH("556",P131)))*(I131*VLOOKUP($B131,Premissas!$A$4:$E$7,2,0)+J131*VLOOKUP($B131,Premissas!$A$4:$E$7,3,0))+K131*VLOOKUP($B131,Premissas!$A$4:$E$7,4,0)+L131*VLOOKUP($B131,Premissas!$A$4:$E$7,5,0))</f>
        <v/>
      </c>
      <c r="N131" s="14">
        <f>H131-M131</f>
        <v/>
      </c>
      <c r="O131" t="inlineStr">
        <is>
          <t>Sim</t>
        </is>
      </c>
      <c r="P131" t="inlineStr">
        <is>
          <t>1.350</t>
        </is>
      </c>
    </row>
    <row r="132">
      <c r="A132" t="inlineStr">
        <is>
          <t>Antes de 2026</t>
        </is>
      </c>
      <c r="B132" t="inlineStr">
        <is>
          <t>Frete de compra</t>
        </is>
      </c>
      <c r="C132" t="inlineStr">
        <is>
          <t>Frete de compra</t>
        </is>
      </c>
      <c r="D132" t="inlineStr">
        <is>
          <t>CT-e</t>
        </is>
      </c>
      <c r="E132" t="inlineStr">
        <is>
          <t>000186373</t>
        </is>
      </c>
      <c r="F132" t="inlineStr">
        <is>
          <t>ALIANCA NAVEGACAO E LOGISTICA LTDA</t>
        </is>
      </c>
      <c r="G132" s="27" t="n">
        <v>46013</v>
      </c>
      <c r="H132" s="14" t="n">
        <v>17316.5</v>
      </c>
      <c r="I132" s="14" t="n">
        <v>0</v>
      </c>
      <c r="J132" s="14" t="n">
        <v>1212.16</v>
      </c>
      <c r="K132" s="14" t="n">
        <v>0</v>
      </c>
      <c r="L132" s="14" t="n">
        <v>0</v>
      </c>
      <c r="M132" s="14">
        <f>IF(B132="Frete de venda",0,(1-ISNUMBER(SEARCH("556",P132)))*(I132*VLOOKUP($B132,Premissas!$A$4:$E$7,2,0)+J132*VLOOKUP($B132,Premissas!$A$4:$E$7,3,0))+K132*VLOOKUP($B132,Premissas!$A$4:$E$7,4,0)+L132*VLOOKUP($B132,Premissas!$A$4:$E$7,5,0))</f>
        <v/>
      </c>
      <c r="N132" s="14">
        <f>H132-M132</f>
        <v/>
      </c>
      <c r="O132" t="inlineStr">
        <is>
          <t>Sim</t>
        </is>
      </c>
      <c r="P132" t="inlineStr">
        <is>
          <t>1.350</t>
        </is>
      </c>
    </row>
    <row r="133">
      <c r="A133" t="inlineStr">
        <is>
          <t>Antes de 2026</t>
        </is>
      </c>
      <c r="B133" t="inlineStr">
        <is>
          <t>Frete de compra</t>
        </is>
      </c>
      <c r="C133" t="inlineStr">
        <is>
          <t>Frete de compra</t>
        </is>
      </c>
      <c r="D133" t="inlineStr">
        <is>
          <t>CT-e</t>
        </is>
      </c>
      <c r="E133" t="inlineStr">
        <is>
          <t>000186439</t>
        </is>
      </c>
      <c r="F133" t="inlineStr">
        <is>
          <t>ALIANCA NAVEGACAO E LOGISTICA LTDA</t>
        </is>
      </c>
      <c r="G133" s="27" t="n">
        <v>46013</v>
      </c>
      <c r="H133" s="14" t="n">
        <v>17329.25</v>
      </c>
      <c r="I133" s="14" t="n">
        <v>0</v>
      </c>
      <c r="J133" s="14" t="n">
        <v>1213.05</v>
      </c>
      <c r="K133" s="14" t="n">
        <v>0</v>
      </c>
      <c r="L133" s="14" t="n">
        <v>0</v>
      </c>
      <c r="M133" s="14">
        <f>IF(B133="Frete de venda",0,(1-ISNUMBER(SEARCH("556",P133)))*(I133*VLOOKUP($B133,Premissas!$A$4:$E$7,2,0)+J133*VLOOKUP($B133,Premissas!$A$4:$E$7,3,0))+K133*VLOOKUP($B133,Premissas!$A$4:$E$7,4,0)+L133*VLOOKUP($B133,Premissas!$A$4:$E$7,5,0))</f>
        <v/>
      </c>
      <c r="N133" s="14">
        <f>H133-M133</f>
        <v/>
      </c>
      <c r="O133" t="inlineStr">
        <is>
          <t>Sim</t>
        </is>
      </c>
      <c r="P133" t="inlineStr">
        <is>
          <t>1.350</t>
        </is>
      </c>
    </row>
    <row r="134">
      <c r="A134" t="inlineStr">
        <is>
          <t>Antes de 2026</t>
        </is>
      </c>
      <c r="B134" t="inlineStr">
        <is>
          <t>Frete de compra</t>
        </is>
      </c>
      <c r="C134" t="inlineStr">
        <is>
          <t>Frete de compra</t>
        </is>
      </c>
      <c r="D134" t="inlineStr">
        <is>
          <t>CT-e</t>
        </is>
      </c>
      <c r="E134" t="inlineStr">
        <is>
          <t>000186448</t>
        </is>
      </c>
      <c r="F134" t="inlineStr">
        <is>
          <t>ALIANCA NAVEGACAO E LOGISTICA LTDA</t>
        </is>
      </c>
      <c r="G134" s="27" t="n">
        <v>46013</v>
      </c>
      <c r="H134" s="14" t="n">
        <v>17267.15</v>
      </c>
      <c r="I134" s="14" t="n">
        <v>0</v>
      </c>
      <c r="J134" s="14" t="n">
        <v>1208.7</v>
      </c>
      <c r="K134" s="14" t="n">
        <v>0</v>
      </c>
      <c r="L134" s="14" t="n">
        <v>0</v>
      </c>
      <c r="M134" s="14">
        <f>IF(B134="Frete de venda",0,(1-ISNUMBER(SEARCH("556",P134)))*(I134*VLOOKUP($B134,Premissas!$A$4:$E$7,2,0)+J134*VLOOKUP($B134,Premissas!$A$4:$E$7,3,0))+K134*VLOOKUP($B134,Premissas!$A$4:$E$7,4,0)+L134*VLOOKUP($B134,Premissas!$A$4:$E$7,5,0))</f>
        <v/>
      </c>
      <c r="N134" s="14">
        <f>H134-M134</f>
        <v/>
      </c>
      <c r="O134" t="inlineStr">
        <is>
          <t>Sim</t>
        </is>
      </c>
      <c r="P134" t="inlineStr">
        <is>
          <t>1.350</t>
        </is>
      </c>
    </row>
    <row r="135">
      <c r="A135" t="inlineStr">
        <is>
          <t>Antes de 2026</t>
        </is>
      </c>
      <c r="B135" t="inlineStr">
        <is>
          <t>Frete de compra</t>
        </is>
      </c>
      <c r="C135" t="inlineStr">
        <is>
          <t>Frete de compra</t>
        </is>
      </c>
      <c r="D135" t="inlineStr">
        <is>
          <t>CT-e</t>
        </is>
      </c>
      <c r="E135" t="inlineStr">
        <is>
          <t>000186446</t>
        </is>
      </c>
      <c r="F135" t="inlineStr">
        <is>
          <t>ALIANCA NAVEGACAO E LOGISTICA LTDA</t>
        </is>
      </c>
      <c r="G135" s="27" t="n">
        <v>46013</v>
      </c>
      <c r="H135" s="14" t="n">
        <v>17272.84</v>
      </c>
      <c r="I135" s="14" t="n">
        <v>0</v>
      </c>
      <c r="J135" s="14" t="n">
        <v>1209.1</v>
      </c>
      <c r="K135" s="14" t="n">
        <v>0</v>
      </c>
      <c r="L135" s="14" t="n">
        <v>0</v>
      </c>
      <c r="M135" s="14">
        <f>IF(B135="Frete de venda",0,(1-ISNUMBER(SEARCH("556",P135)))*(I135*VLOOKUP($B135,Premissas!$A$4:$E$7,2,0)+J135*VLOOKUP($B135,Premissas!$A$4:$E$7,3,0))+K135*VLOOKUP($B135,Premissas!$A$4:$E$7,4,0)+L135*VLOOKUP($B135,Premissas!$A$4:$E$7,5,0))</f>
        <v/>
      </c>
      <c r="N135" s="14">
        <f>H135-M135</f>
        <v/>
      </c>
      <c r="O135" t="inlineStr">
        <is>
          <t>Sim</t>
        </is>
      </c>
      <c r="P135" t="inlineStr">
        <is>
          <t>1.350</t>
        </is>
      </c>
    </row>
    <row r="136">
      <c r="A136" t="inlineStr">
        <is>
          <t>Antes de 2026</t>
        </is>
      </c>
      <c r="B136" t="inlineStr">
        <is>
          <t>Frete de compra</t>
        </is>
      </c>
      <c r="C136" t="inlineStr">
        <is>
          <t>Frete de compra</t>
        </is>
      </c>
      <c r="D136" t="inlineStr">
        <is>
          <t>CT-e</t>
        </is>
      </c>
      <c r="E136" t="inlineStr">
        <is>
          <t>000186445</t>
        </is>
      </c>
      <c r="F136" t="inlineStr">
        <is>
          <t>ALIANCA NAVEGACAO E LOGISTICA LTDA</t>
        </is>
      </c>
      <c r="G136" s="27" t="n">
        <v>46013</v>
      </c>
      <c r="H136" s="14" t="n">
        <v>17269.42</v>
      </c>
      <c r="I136" s="14" t="n">
        <v>0</v>
      </c>
      <c r="J136" s="14" t="n">
        <v>1208.86</v>
      </c>
      <c r="K136" s="14" t="n">
        <v>0</v>
      </c>
      <c r="L136" s="14" t="n">
        <v>0</v>
      </c>
      <c r="M136" s="14">
        <f>IF(B136="Frete de venda",0,(1-ISNUMBER(SEARCH("556",P136)))*(I136*VLOOKUP($B136,Premissas!$A$4:$E$7,2,0)+J136*VLOOKUP($B136,Premissas!$A$4:$E$7,3,0))+K136*VLOOKUP($B136,Premissas!$A$4:$E$7,4,0)+L136*VLOOKUP($B136,Premissas!$A$4:$E$7,5,0))</f>
        <v/>
      </c>
      <c r="N136" s="14">
        <f>H136-M136</f>
        <v/>
      </c>
      <c r="O136" t="inlineStr">
        <is>
          <t>Sim</t>
        </is>
      </c>
      <c r="P136" t="inlineStr">
        <is>
          <t>1.350</t>
        </is>
      </c>
    </row>
    <row r="137">
      <c r="A137" t="inlineStr">
        <is>
          <t>Antes de 2026</t>
        </is>
      </c>
      <c r="B137" t="inlineStr">
        <is>
          <t>Frete de compra</t>
        </is>
      </c>
      <c r="C137" t="inlineStr">
        <is>
          <t>Frete de compra</t>
        </is>
      </c>
      <c r="D137" t="inlineStr">
        <is>
          <t>CT-e</t>
        </is>
      </c>
      <c r="E137" t="inlineStr">
        <is>
          <t>000186874</t>
        </is>
      </c>
      <c r="F137" t="inlineStr">
        <is>
          <t>ALIANCA NAVEGACAO E LOGISTICA LTDA</t>
        </is>
      </c>
      <c r="G137" s="27" t="n">
        <v>46021</v>
      </c>
      <c r="H137" s="14" t="n">
        <v>17194.05</v>
      </c>
      <c r="I137" s="14" t="n">
        <v>0</v>
      </c>
      <c r="J137" s="14" t="n">
        <v>1203.58</v>
      </c>
      <c r="K137" s="14" t="n">
        <v>0</v>
      </c>
      <c r="L137" s="14" t="n">
        <v>0</v>
      </c>
      <c r="M137" s="14">
        <f>IF(B137="Frete de venda",0,(1-ISNUMBER(SEARCH("556",P137)))*(I137*VLOOKUP($B137,Premissas!$A$4:$E$7,2,0)+J137*VLOOKUP($B137,Premissas!$A$4:$E$7,3,0))+K137*VLOOKUP($B137,Premissas!$A$4:$E$7,4,0)+L137*VLOOKUP($B137,Premissas!$A$4:$E$7,5,0))</f>
        <v/>
      </c>
      <c r="N137" s="14">
        <f>H137-M137</f>
        <v/>
      </c>
      <c r="O137" t="inlineStr">
        <is>
          <t>Sim</t>
        </is>
      </c>
      <c r="P137" t="inlineStr">
        <is>
          <t>1.350</t>
        </is>
      </c>
    </row>
    <row r="138">
      <c r="A138" t="inlineStr">
        <is>
          <t>Antes de 2026</t>
        </is>
      </c>
      <c r="B138" t="inlineStr">
        <is>
          <t>Frete de compra</t>
        </is>
      </c>
      <c r="C138" t="inlineStr">
        <is>
          <t>Frete de compra</t>
        </is>
      </c>
      <c r="D138" t="inlineStr">
        <is>
          <t>CT-e</t>
        </is>
      </c>
      <c r="E138" t="inlineStr">
        <is>
          <t>000186875</t>
        </is>
      </c>
      <c r="F138" t="inlineStr">
        <is>
          <t>ALIANCA NAVEGACAO E LOGISTICA LTDA</t>
        </is>
      </c>
      <c r="G138" s="27" t="n">
        <v>46021</v>
      </c>
      <c r="H138" s="14" t="n">
        <v>17269.83</v>
      </c>
      <c r="I138" s="14" t="n">
        <v>0</v>
      </c>
      <c r="J138" s="14" t="n">
        <v>1208.89</v>
      </c>
      <c r="K138" s="14" t="n">
        <v>0</v>
      </c>
      <c r="L138" s="14" t="n">
        <v>0</v>
      </c>
      <c r="M138" s="14">
        <f>IF(B138="Frete de venda",0,(1-ISNUMBER(SEARCH("556",P138)))*(I138*VLOOKUP($B138,Premissas!$A$4:$E$7,2,0)+J138*VLOOKUP($B138,Premissas!$A$4:$E$7,3,0))+K138*VLOOKUP($B138,Premissas!$A$4:$E$7,4,0)+L138*VLOOKUP($B138,Premissas!$A$4:$E$7,5,0))</f>
        <v/>
      </c>
      <c r="N138" s="14">
        <f>H138-M138</f>
        <v/>
      </c>
      <c r="O138" t="inlineStr">
        <is>
          <t>Sim</t>
        </is>
      </c>
      <c r="P138" t="inlineStr">
        <is>
          <t>1.350</t>
        </is>
      </c>
    </row>
    <row r="139">
      <c r="A139" t="inlineStr">
        <is>
          <t>Antes de 2026</t>
        </is>
      </c>
      <c r="B139" t="inlineStr">
        <is>
          <t>Frete de compra</t>
        </is>
      </c>
      <c r="C139" t="inlineStr">
        <is>
          <t>Frete de compra</t>
        </is>
      </c>
      <c r="D139" t="inlineStr">
        <is>
          <t>CT-e</t>
        </is>
      </c>
      <c r="E139" t="inlineStr">
        <is>
          <t>000186876</t>
        </is>
      </c>
      <c r="F139" t="inlineStr">
        <is>
          <t>ALIANCA NAVEGACAO E LOGISTICA LTDA</t>
        </is>
      </c>
      <c r="G139" s="27" t="n">
        <v>46021</v>
      </c>
      <c r="H139" s="14" t="n">
        <v>17258.83</v>
      </c>
      <c r="I139" s="14" t="n">
        <v>0</v>
      </c>
      <c r="J139" s="14" t="n">
        <v>1208.12</v>
      </c>
      <c r="K139" s="14" t="n">
        <v>0</v>
      </c>
      <c r="L139" s="14" t="n">
        <v>0</v>
      </c>
      <c r="M139" s="14">
        <f>IF(B139="Frete de venda",0,(1-ISNUMBER(SEARCH("556",P139)))*(I139*VLOOKUP($B139,Premissas!$A$4:$E$7,2,0)+J139*VLOOKUP($B139,Premissas!$A$4:$E$7,3,0))+K139*VLOOKUP($B139,Premissas!$A$4:$E$7,4,0)+L139*VLOOKUP($B139,Premissas!$A$4:$E$7,5,0))</f>
        <v/>
      </c>
      <c r="N139" s="14">
        <f>H139-M139</f>
        <v/>
      </c>
      <c r="O139" t="inlineStr">
        <is>
          <t>Sim</t>
        </is>
      </c>
      <c r="P139" t="inlineStr">
        <is>
          <t>1.350</t>
        </is>
      </c>
    </row>
    <row r="140">
      <c r="A140" t="inlineStr">
        <is>
          <t>Antes de 2026</t>
        </is>
      </c>
      <c r="B140" t="inlineStr">
        <is>
          <t>Frete de compra</t>
        </is>
      </c>
      <c r="C140" t="inlineStr">
        <is>
          <t>Frete de compra</t>
        </is>
      </c>
      <c r="D140" t="inlineStr">
        <is>
          <t>CT-e</t>
        </is>
      </c>
      <c r="E140" t="inlineStr">
        <is>
          <t>000186877</t>
        </is>
      </c>
      <c r="F140" t="inlineStr">
        <is>
          <t>ALIANCA NAVEGACAO E LOGISTICA LTDA</t>
        </is>
      </c>
      <c r="G140" s="27" t="n">
        <v>46021</v>
      </c>
      <c r="H140" s="14" t="n">
        <v>17264.23</v>
      </c>
      <c r="I140" s="14" t="n">
        <v>0</v>
      </c>
      <c r="J140" s="14" t="n">
        <v>1208.5</v>
      </c>
      <c r="K140" s="14" t="n">
        <v>0</v>
      </c>
      <c r="L140" s="14" t="n">
        <v>0</v>
      </c>
      <c r="M140" s="14">
        <f>IF(B140="Frete de venda",0,(1-ISNUMBER(SEARCH("556",P140)))*(I140*VLOOKUP($B140,Premissas!$A$4:$E$7,2,0)+J140*VLOOKUP($B140,Premissas!$A$4:$E$7,3,0))+K140*VLOOKUP($B140,Premissas!$A$4:$E$7,4,0)+L140*VLOOKUP($B140,Premissas!$A$4:$E$7,5,0))</f>
        <v/>
      </c>
      <c r="N140" s="14">
        <f>H140-M140</f>
        <v/>
      </c>
      <c r="O140" t="inlineStr">
        <is>
          <t>Sim</t>
        </is>
      </c>
      <c r="P140" t="inlineStr">
        <is>
          <t>1.350</t>
        </is>
      </c>
    </row>
    <row r="141">
      <c r="A141" t="inlineStr">
        <is>
          <t>Antes de 2026</t>
        </is>
      </c>
      <c r="B141" t="inlineStr">
        <is>
          <t>Frete de compra</t>
        </is>
      </c>
      <c r="C141" t="inlineStr">
        <is>
          <t>Frete de compra</t>
        </is>
      </c>
      <c r="D141" t="inlineStr">
        <is>
          <t>CT-e</t>
        </is>
      </c>
      <c r="E141" t="inlineStr">
        <is>
          <t>000033709</t>
        </is>
      </c>
      <c r="F141" t="inlineStr">
        <is>
          <t>ALIANCA NAVEGACAO E LOGISTICA LTDA.</t>
        </is>
      </c>
      <c r="G141" s="27" t="n">
        <v>45547</v>
      </c>
      <c r="H141" s="14" t="n">
        <v>15382.48</v>
      </c>
      <c r="I141" s="14" t="n">
        <v>0</v>
      </c>
      <c r="J141" s="14" t="n">
        <v>1076.77</v>
      </c>
      <c r="K141" s="14" t="n">
        <v>0</v>
      </c>
      <c r="L141" s="14" t="n">
        <v>0</v>
      </c>
      <c r="M141" s="14">
        <f>IF(B141="Frete de venda",0,(1-ISNUMBER(SEARCH("556",P141)))*(I141*VLOOKUP($B141,Premissas!$A$4:$E$7,2,0)+J141*VLOOKUP($B141,Premissas!$A$4:$E$7,3,0))+K141*VLOOKUP($B141,Premissas!$A$4:$E$7,4,0)+L141*VLOOKUP($B141,Premissas!$A$4:$E$7,5,0))</f>
        <v/>
      </c>
      <c r="N141" s="14">
        <f>H141-M141</f>
        <v/>
      </c>
      <c r="O141" t="inlineStr">
        <is>
          <t>Não</t>
        </is>
      </c>
      <c r="P141" t="inlineStr">
        <is>
          <t>2.350</t>
        </is>
      </c>
    </row>
    <row r="142">
      <c r="A142" t="inlineStr">
        <is>
          <t>Antes de 2026</t>
        </is>
      </c>
      <c r="B142" t="inlineStr">
        <is>
          <t>Frete de compra</t>
        </is>
      </c>
      <c r="C142" t="inlineStr">
        <is>
          <t>Frete de compra</t>
        </is>
      </c>
      <c r="D142" t="inlineStr">
        <is>
          <t>CT-e</t>
        </is>
      </c>
      <c r="E142" t="inlineStr">
        <is>
          <t>000033722</t>
        </is>
      </c>
      <c r="F142" t="inlineStr">
        <is>
          <t>ALIANCA NAVEGACAO E LOGISTICA LTDA.</t>
        </is>
      </c>
      <c r="G142" s="27" t="n">
        <v>45547</v>
      </c>
      <c r="H142" s="14" t="n">
        <v>15387.11</v>
      </c>
      <c r="I142" s="14" t="n">
        <v>0</v>
      </c>
      <c r="J142" s="14" t="n">
        <v>1077.1</v>
      </c>
      <c r="K142" s="14" t="n">
        <v>0</v>
      </c>
      <c r="L142" s="14" t="n">
        <v>0</v>
      </c>
      <c r="M142" s="14">
        <f>IF(B142="Frete de venda",0,(1-ISNUMBER(SEARCH("556",P142)))*(I142*VLOOKUP($B142,Premissas!$A$4:$E$7,2,0)+J142*VLOOKUP($B142,Premissas!$A$4:$E$7,3,0))+K142*VLOOKUP($B142,Premissas!$A$4:$E$7,4,0)+L142*VLOOKUP($B142,Premissas!$A$4:$E$7,5,0))</f>
        <v/>
      </c>
      <c r="N142" s="14">
        <f>H142-M142</f>
        <v/>
      </c>
      <c r="O142" t="inlineStr">
        <is>
          <t>Não</t>
        </is>
      </c>
      <c r="P142" t="inlineStr">
        <is>
          <t>2.350</t>
        </is>
      </c>
    </row>
    <row r="143">
      <c r="A143" t="inlineStr">
        <is>
          <t>Antes de 2026</t>
        </is>
      </c>
      <c r="B143" t="inlineStr">
        <is>
          <t>Frete de compra</t>
        </is>
      </c>
      <c r="C143" t="inlineStr">
        <is>
          <t>Frete de compra</t>
        </is>
      </c>
      <c r="D143" t="inlineStr">
        <is>
          <t>CT-e</t>
        </is>
      </c>
      <c r="E143" t="inlineStr">
        <is>
          <t>000033727</t>
        </is>
      </c>
      <c r="F143" t="inlineStr">
        <is>
          <t>ALIANCA NAVEGACAO E LOGISTICA LTDA.</t>
        </is>
      </c>
      <c r="G143" s="27" t="n">
        <v>45547</v>
      </c>
      <c r="H143" s="14" t="n">
        <v>15385.23</v>
      </c>
      <c r="I143" s="14" t="n">
        <v>0</v>
      </c>
      <c r="J143" s="14" t="n">
        <v>1076.97</v>
      </c>
      <c r="K143" s="14" t="n">
        <v>0</v>
      </c>
      <c r="L143" s="14" t="n">
        <v>0</v>
      </c>
      <c r="M143" s="14">
        <f>IF(B143="Frete de venda",0,(1-ISNUMBER(SEARCH("556",P143)))*(I143*VLOOKUP($B143,Premissas!$A$4:$E$7,2,0)+J143*VLOOKUP($B143,Premissas!$A$4:$E$7,3,0))+K143*VLOOKUP($B143,Premissas!$A$4:$E$7,4,0)+L143*VLOOKUP($B143,Premissas!$A$4:$E$7,5,0))</f>
        <v/>
      </c>
      <c r="N143" s="14">
        <f>H143-M143</f>
        <v/>
      </c>
      <c r="O143" t="inlineStr">
        <is>
          <t>Não</t>
        </is>
      </c>
      <c r="P143" t="inlineStr">
        <is>
          <t>2.350</t>
        </is>
      </c>
    </row>
    <row r="144">
      <c r="A144" t="inlineStr">
        <is>
          <t>Antes de 2026</t>
        </is>
      </c>
      <c r="B144" t="inlineStr">
        <is>
          <t>Frete de compra</t>
        </is>
      </c>
      <c r="C144" t="inlineStr">
        <is>
          <t>Frete de compra</t>
        </is>
      </c>
      <c r="D144" t="inlineStr">
        <is>
          <t>CT-e</t>
        </is>
      </c>
      <c r="E144" t="inlineStr">
        <is>
          <t>000033844</t>
        </is>
      </c>
      <c r="F144" t="inlineStr">
        <is>
          <t>ALIANCA NAVEGACAO E LOGISTICA LTDA.</t>
        </is>
      </c>
      <c r="G144" s="27" t="n">
        <v>45555</v>
      </c>
      <c r="H144" s="14" t="n">
        <v>86.13</v>
      </c>
      <c r="I144" s="14" t="n">
        <v>0</v>
      </c>
      <c r="J144" s="14" t="n">
        <v>6.03</v>
      </c>
      <c r="K144" s="14" t="n">
        <v>0</v>
      </c>
      <c r="L144" s="14" t="n">
        <v>0</v>
      </c>
      <c r="M144" s="14">
        <f>IF(B144="Frete de venda",0,(1-ISNUMBER(SEARCH("556",P144)))*(I144*VLOOKUP($B144,Premissas!$A$4:$E$7,2,0)+J144*VLOOKUP($B144,Premissas!$A$4:$E$7,3,0))+K144*VLOOKUP($B144,Premissas!$A$4:$E$7,4,0)+L144*VLOOKUP($B144,Premissas!$A$4:$E$7,5,0))</f>
        <v/>
      </c>
      <c r="N144" s="14">
        <f>H144-M144</f>
        <v/>
      </c>
      <c r="O144" t="inlineStr">
        <is>
          <t>Não</t>
        </is>
      </c>
      <c r="P144" t="inlineStr">
        <is>
          <t>2.350</t>
        </is>
      </c>
    </row>
    <row r="145">
      <c r="A145" t="inlineStr">
        <is>
          <t>Antes de 2026</t>
        </is>
      </c>
      <c r="B145" t="inlineStr">
        <is>
          <t>Frete de compra</t>
        </is>
      </c>
      <c r="C145" t="inlineStr">
        <is>
          <t>Frete de compra</t>
        </is>
      </c>
      <c r="D145" t="inlineStr">
        <is>
          <t>CT-e</t>
        </is>
      </c>
      <c r="E145" t="inlineStr">
        <is>
          <t>000034186</t>
        </is>
      </c>
      <c r="F145" t="inlineStr">
        <is>
          <t>ALIANCA NAVEGACAO E LOGISTICA LTDA.</t>
        </is>
      </c>
      <c r="G145" s="27" t="n">
        <v>45575</v>
      </c>
      <c r="H145" s="14" t="n">
        <v>15378.66</v>
      </c>
      <c r="I145" s="14" t="n">
        <v>0</v>
      </c>
      <c r="J145" s="14" t="n">
        <v>1076.51</v>
      </c>
      <c r="K145" s="14" t="n">
        <v>0</v>
      </c>
      <c r="L145" s="14" t="n">
        <v>0</v>
      </c>
      <c r="M145" s="14">
        <f>IF(B145="Frete de venda",0,(1-ISNUMBER(SEARCH("556",P145)))*(I145*VLOOKUP($B145,Premissas!$A$4:$E$7,2,0)+J145*VLOOKUP($B145,Premissas!$A$4:$E$7,3,0))+K145*VLOOKUP($B145,Premissas!$A$4:$E$7,4,0)+L145*VLOOKUP($B145,Premissas!$A$4:$E$7,5,0))</f>
        <v/>
      </c>
      <c r="N145" s="14">
        <f>H145-M145</f>
        <v/>
      </c>
      <c r="O145" t="inlineStr">
        <is>
          <t>Não</t>
        </is>
      </c>
      <c r="P145" t="inlineStr">
        <is>
          <t>2.350</t>
        </is>
      </c>
    </row>
    <row r="146">
      <c r="A146" t="inlineStr">
        <is>
          <t>Antes de 2026</t>
        </is>
      </c>
      <c r="B146" t="inlineStr">
        <is>
          <t>Frete de compra</t>
        </is>
      </c>
      <c r="C146" t="inlineStr">
        <is>
          <t>Frete de compra</t>
        </is>
      </c>
      <c r="D146" t="inlineStr">
        <is>
          <t>CT-e</t>
        </is>
      </c>
      <c r="E146" t="inlineStr">
        <is>
          <t>000034189</t>
        </is>
      </c>
      <c r="F146" t="inlineStr">
        <is>
          <t>ALIANCA NAVEGACAO E LOGISTICA LTDA.</t>
        </is>
      </c>
      <c r="G146" s="27" t="n">
        <v>45575</v>
      </c>
      <c r="H146" s="14" t="n">
        <v>15424.84</v>
      </c>
      <c r="I146" s="14" t="n">
        <v>0</v>
      </c>
      <c r="J146" s="14" t="n">
        <v>1079.74</v>
      </c>
      <c r="K146" s="14" t="n">
        <v>0</v>
      </c>
      <c r="L146" s="14" t="n">
        <v>0</v>
      </c>
      <c r="M146" s="14">
        <f>IF(B146="Frete de venda",0,(1-ISNUMBER(SEARCH("556",P146)))*(I146*VLOOKUP($B146,Premissas!$A$4:$E$7,2,0)+J146*VLOOKUP($B146,Premissas!$A$4:$E$7,3,0))+K146*VLOOKUP($B146,Premissas!$A$4:$E$7,4,0)+L146*VLOOKUP($B146,Premissas!$A$4:$E$7,5,0))</f>
        <v/>
      </c>
      <c r="N146" s="14">
        <f>H146-M146</f>
        <v/>
      </c>
      <c r="O146" t="inlineStr">
        <is>
          <t>Não</t>
        </is>
      </c>
      <c r="P146" t="inlineStr">
        <is>
          <t>2.350</t>
        </is>
      </c>
    </row>
    <row r="147">
      <c r="A147" t="inlineStr">
        <is>
          <t>Antes de 2026</t>
        </is>
      </c>
      <c r="B147" t="inlineStr">
        <is>
          <t>Frete de compra</t>
        </is>
      </c>
      <c r="C147" t="inlineStr">
        <is>
          <t>Frete de compra</t>
        </is>
      </c>
      <c r="D147" t="inlineStr">
        <is>
          <t>CT-e</t>
        </is>
      </c>
      <c r="E147" t="inlineStr">
        <is>
          <t>000034188</t>
        </is>
      </c>
      <c r="F147" t="inlineStr">
        <is>
          <t>ALIANCA NAVEGACAO E LOGISTICA LTDA.</t>
        </is>
      </c>
      <c r="G147" s="27" t="n">
        <v>45575</v>
      </c>
      <c r="H147" s="14" t="n">
        <v>15400.46</v>
      </c>
      <c r="I147" s="14" t="n">
        <v>0</v>
      </c>
      <c r="J147" s="14" t="n">
        <v>1078.03</v>
      </c>
      <c r="K147" s="14" t="n">
        <v>0</v>
      </c>
      <c r="L147" s="14" t="n">
        <v>0</v>
      </c>
      <c r="M147" s="14">
        <f>IF(B147="Frete de venda",0,(1-ISNUMBER(SEARCH("556",P147)))*(I147*VLOOKUP($B147,Premissas!$A$4:$E$7,2,0)+J147*VLOOKUP($B147,Premissas!$A$4:$E$7,3,0))+K147*VLOOKUP($B147,Premissas!$A$4:$E$7,4,0)+L147*VLOOKUP($B147,Premissas!$A$4:$E$7,5,0))</f>
        <v/>
      </c>
      <c r="N147" s="14">
        <f>H147-M147</f>
        <v/>
      </c>
      <c r="O147" t="inlineStr">
        <is>
          <t>Não</t>
        </is>
      </c>
      <c r="P147" t="inlineStr">
        <is>
          <t>2.350</t>
        </is>
      </c>
    </row>
    <row r="148">
      <c r="A148" t="inlineStr">
        <is>
          <t>Antes de 2026</t>
        </is>
      </c>
      <c r="B148" t="inlineStr">
        <is>
          <t>Frete de compra</t>
        </is>
      </c>
      <c r="C148" t="inlineStr">
        <is>
          <t>Frete de compra</t>
        </is>
      </c>
      <c r="D148" t="inlineStr">
        <is>
          <t>CT-e</t>
        </is>
      </c>
      <c r="E148" t="inlineStr">
        <is>
          <t>000034191</t>
        </is>
      </c>
      <c r="F148" t="inlineStr">
        <is>
          <t>ALIANCA NAVEGACAO E LOGISTICA LTDA.</t>
        </is>
      </c>
      <c r="G148" s="27" t="n">
        <v>45575</v>
      </c>
      <c r="H148" s="14" t="n">
        <v>15426.06</v>
      </c>
      <c r="I148" s="14" t="n">
        <v>0</v>
      </c>
      <c r="J148" s="14" t="n">
        <v>1079.82</v>
      </c>
      <c r="K148" s="14" t="n">
        <v>0</v>
      </c>
      <c r="L148" s="14" t="n">
        <v>0</v>
      </c>
      <c r="M148" s="14">
        <f>IF(B148="Frete de venda",0,(1-ISNUMBER(SEARCH("556",P148)))*(I148*VLOOKUP($B148,Premissas!$A$4:$E$7,2,0)+J148*VLOOKUP($B148,Premissas!$A$4:$E$7,3,0))+K148*VLOOKUP($B148,Premissas!$A$4:$E$7,4,0)+L148*VLOOKUP($B148,Premissas!$A$4:$E$7,5,0))</f>
        <v/>
      </c>
      <c r="N148" s="14">
        <f>H148-M148</f>
        <v/>
      </c>
      <c r="O148" t="inlineStr">
        <is>
          <t>Não</t>
        </is>
      </c>
      <c r="P148" t="inlineStr">
        <is>
          <t>2.350</t>
        </is>
      </c>
    </row>
    <row r="149">
      <c r="A149" t="inlineStr">
        <is>
          <t>Antes de 2026</t>
        </is>
      </c>
      <c r="B149" t="inlineStr">
        <is>
          <t>Frete de compra</t>
        </is>
      </c>
      <c r="C149" t="inlineStr">
        <is>
          <t>Frete de compra</t>
        </is>
      </c>
      <c r="D149" t="inlineStr">
        <is>
          <t>CT-e</t>
        </is>
      </c>
      <c r="E149" t="inlineStr">
        <is>
          <t>000034190</t>
        </is>
      </c>
      <c r="F149" t="inlineStr">
        <is>
          <t>ALIANCA NAVEGACAO E LOGISTICA LTDA.</t>
        </is>
      </c>
      <c r="G149" s="27" t="n">
        <v>45575</v>
      </c>
      <c r="H149" s="14" t="n">
        <v>15428.48</v>
      </c>
      <c r="I149" s="14" t="n">
        <v>0</v>
      </c>
      <c r="J149" s="14" t="n">
        <v>1079.99</v>
      </c>
      <c r="K149" s="14" t="n">
        <v>0</v>
      </c>
      <c r="L149" s="14" t="n">
        <v>0</v>
      </c>
      <c r="M149" s="14">
        <f>IF(B149="Frete de venda",0,(1-ISNUMBER(SEARCH("556",P149)))*(I149*VLOOKUP($B149,Premissas!$A$4:$E$7,2,0)+J149*VLOOKUP($B149,Premissas!$A$4:$E$7,3,0))+K149*VLOOKUP($B149,Premissas!$A$4:$E$7,4,0)+L149*VLOOKUP($B149,Premissas!$A$4:$E$7,5,0))</f>
        <v/>
      </c>
      <c r="N149" s="14">
        <f>H149-M149</f>
        <v/>
      </c>
      <c r="O149" t="inlineStr">
        <is>
          <t>Não</t>
        </is>
      </c>
      <c r="P149" t="inlineStr">
        <is>
          <t>2.350</t>
        </is>
      </c>
    </row>
    <row r="150">
      <c r="A150" t="inlineStr">
        <is>
          <t>Antes de 2026</t>
        </is>
      </c>
      <c r="B150" t="inlineStr">
        <is>
          <t>Frete de compra</t>
        </is>
      </c>
      <c r="C150" t="inlineStr">
        <is>
          <t>Frete de compra</t>
        </is>
      </c>
      <c r="D150" t="inlineStr">
        <is>
          <t>CT-e</t>
        </is>
      </c>
      <c r="E150" t="inlineStr">
        <is>
          <t>000034187</t>
        </is>
      </c>
      <c r="F150" t="inlineStr">
        <is>
          <t>ALIANCA NAVEGACAO E LOGISTICA LTDA.</t>
        </is>
      </c>
      <c r="G150" s="27" t="n">
        <v>45575</v>
      </c>
      <c r="H150" s="14" t="n">
        <v>15423.9</v>
      </c>
      <c r="I150" s="14" t="n">
        <v>0</v>
      </c>
      <c r="J150" s="14" t="n">
        <v>1079.67</v>
      </c>
      <c r="K150" s="14" t="n">
        <v>0</v>
      </c>
      <c r="L150" s="14" t="n">
        <v>0</v>
      </c>
      <c r="M150" s="14">
        <f>IF(B150="Frete de venda",0,(1-ISNUMBER(SEARCH("556",P150)))*(I150*VLOOKUP($B150,Premissas!$A$4:$E$7,2,0)+J150*VLOOKUP($B150,Premissas!$A$4:$E$7,3,0))+K150*VLOOKUP($B150,Premissas!$A$4:$E$7,4,0)+L150*VLOOKUP($B150,Premissas!$A$4:$E$7,5,0))</f>
        <v/>
      </c>
      <c r="N150" s="14">
        <f>H150-M150</f>
        <v/>
      </c>
      <c r="O150" t="inlineStr">
        <is>
          <t>Não</t>
        </is>
      </c>
      <c r="P150" t="inlineStr">
        <is>
          <t>2.350</t>
        </is>
      </c>
    </row>
    <row r="151">
      <c r="A151" t="inlineStr">
        <is>
          <t>Antes de 2026</t>
        </is>
      </c>
      <c r="B151" t="inlineStr">
        <is>
          <t>Frete de compra</t>
        </is>
      </c>
      <c r="C151" t="inlineStr">
        <is>
          <t>Frete de compra</t>
        </is>
      </c>
      <c r="D151" t="inlineStr">
        <is>
          <t>CT-e</t>
        </is>
      </c>
      <c r="E151" t="inlineStr">
        <is>
          <t>000035096</t>
        </is>
      </c>
      <c r="F151" t="inlineStr">
        <is>
          <t>ALIANCA NAVEGACAO E LOGISTICA LTDA.</t>
        </is>
      </c>
      <c r="G151" s="27" t="n">
        <v>45645</v>
      </c>
      <c r="H151" s="14" t="n">
        <v>258.06</v>
      </c>
      <c r="I151" s="14" t="n">
        <v>0</v>
      </c>
      <c r="J151" s="14" t="n">
        <v>18.06</v>
      </c>
      <c r="K151" s="14" t="n">
        <v>0</v>
      </c>
      <c r="L151" s="14" t="n">
        <v>0</v>
      </c>
      <c r="M151" s="14">
        <f>IF(B151="Frete de venda",0,(1-ISNUMBER(SEARCH("556",P151)))*(I151*VLOOKUP($B151,Premissas!$A$4:$E$7,2,0)+J151*VLOOKUP($B151,Premissas!$A$4:$E$7,3,0))+K151*VLOOKUP($B151,Premissas!$A$4:$E$7,4,0)+L151*VLOOKUP($B151,Premissas!$A$4:$E$7,5,0))</f>
        <v/>
      </c>
      <c r="N151" s="14">
        <f>H151-M151</f>
        <v/>
      </c>
      <c r="O151" t="inlineStr">
        <is>
          <t>Não</t>
        </is>
      </c>
      <c r="P151" t="inlineStr">
        <is>
          <t>2.350</t>
        </is>
      </c>
    </row>
    <row r="152">
      <c r="A152" t="inlineStr">
        <is>
          <t>Antes de 2026</t>
        </is>
      </c>
      <c r="B152" t="inlineStr">
        <is>
          <t>Frete de venda</t>
        </is>
      </c>
      <c r="C152" t="inlineStr">
        <is>
          <t>Frete de venda (para clientes)</t>
        </is>
      </c>
      <c r="D152" t="inlineStr">
        <is>
          <t>CT-e</t>
        </is>
      </c>
      <c r="E152" t="inlineStr">
        <is>
          <t>000087121</t>
        </is>
      </c>
      <c r="F152" t="inlineStr">
        <is>
          <t>CAMPINENSE TRANSPORTE DE CARGAS E LOCACOES LT</t>
        </is>
      </c>
      <c r="G152" s="27" t="n">
        <v>46007</v>
      </c>
      <c r="H152" s="14" t="n">
        <v>116.34</v>
      </c>
      <c r="I152" s="14" t="n">
        <v>0</v>
      </c>
      <c r="J152" s="14" t="n">
        <v>8.140000000000001</v>
      </c>
      <c r="K152" s="14" t="n">
        <v>0</v>
      </c>
      <c r="L152" s="14" t="n">
        <v>0</v>
      </c>
      <c r="M152" s="14">
        <f>IF(B152="Frete de venda",0,(1-ISNUMBER(SEARCH("556",P152)))*(I152*VLOOKUP($B152,Premissas!$A$4:$E$7,2,0)+J152*VLOOKUP($B152,Premissas!$A$4:$E$7,3,0))+K152*VLOOKUP($B152,Premissas!$A$4:$E$7,4,0)+L152*VLOOKUP($B152,Premissas!$A$4:$E$7,5,0))</f>
        <v/>
      </c>
      <c r="N152" s="14">
        <f>H152-M152</f>
        <v/>
      </c>
      <c r="O152" t="inlineStr">
        <is>
          <t>Sim</t>
        </is>
      </c>
      <c r="P152" t="inlineStr">
        <is>
          <t>1.350</t>
        </is>
      </c>
    </row>
    <row r="153">
      <c r="A153" t="inlineStr">
        <is>
          <t>Antes de 2026</t>
        </is>
      </c>
      <c r="B153" t="inlineStr">
        <is>
          <t>Frete de compra</t>
        </is>
      </c>
      <c r="C153" t="inlineStr">
        <is>
          <t>Frete de compra</t>
        </is>
      </c>
      <c r="D153" t="inlineStr">
        <is>
          <t>CT-e</t>
        </is>
      </c>
      <c r="E153" t="inlineStr">
        <is>
          <t>000185852</t>
        </is>
      </c>
      <c r="F153" t="inlineStr">
        <is>
          <t>ALIANCA NAVEGACAO E LOGISTICA LTDA</t>
        </is>
      </c>
      <c r="G153" s="27" t="n">
        <v>46003</v>
      </c>
      <c r="H153" s="14" t="n">
        <v>18042.37</v>
      </c>
      <c r="I153" s="14" t="n">
        <v>0</v>
      </c>
      <c r="J153" s="14" t="n">
        <v>1262.97</v>
      </c>
      <c r="K153" s="14" t="n">
        <v>0</v>
      </c>
      <c r="L153" s="14" t="n">
        <v>0</v>
      </c>
      <c r="M153" s="14">
        <f>IF(B153="Frete de venda",0,(1-ISNUMBER(SEARCH("556",P153)))*(I153*VLOOKUP($B153,Premissas!$A$4:$E$7,2,0)+J153*VLOOKUP($B153,Premissas!$A$4:$E$7,3,0))+K153*VLOOKUP($B153,Premissas!$A$4:$E$7,4,0)+L153*VLOOKUP($B153,Premissas!$A$4:$E$7,5,0))</f>
        <v/>
      </c>
      <c r="N153" s="14">
        <f>H153-M153</f>
        <v/>
      </c>
      <c r="O153" t="inlineStr">
        <is>
          <t>Sim</t>
        </is>
      </c>
      <c r="P153" t="inlineStr">
        <is>
          <t>1.350</t>
        </is>
      </c>
    </row>
    <row r="154">
      <c r="A154" t="inlineStr">
        <is>
          <t>Antes de 2026</t>
        </is>
      </c>
      <c r="B154" t="inlineStr">
        <is>
          <t>Frete de compra</t>
        </is>
      </c>
      <c r="C154" t="inlineStr">
        <is>
          <t>Frete de compra</t>
        </is>
      </c>
      <c r="D154" t="inlineStr">
        <is>
          <t>CT-e</t>
        </is>
      </c>
      <c r="E154" t="inlineStr">
        <is>
          <t>000186121</t>
        </is>
      </c>
      <c r="F154" t="inlineStr">
        <is>
          <t>ALIANCA NAVEGACAO E LOGISTICA LTDA</t>
        </is>
      </c>
      <c r="G154" s="27" t="n">
        <v>46008</v>
      </c>
      <c r="H154" s="14" t="n">
        <v>18013.12</v>
      </c>
      <c r="I154" s="14" t="n">
        <v>0</v>
      </c>
      <c r="J154" s="14" t="n">
        <v>1260.92</v>
      </c>
      <c r="K154" s="14" t="n">
        <v>0</v>
      </c>
      <c r="L154" s="14" t="n">
        <v>0</v>
      </c>
      <c r="M154" s="14">
        <f>IF(B154="Frete de venda",0,(1-ISNUMBER(SEARCH("556",P154)))*(I154*VLOOKUP($B154,Premissas!$A$4:$E$7,2,0)+J154*VLOOKUP($B154,Premissas!$A$4:$E$7,3,0))+K154*VLOOKUP($B154,Premissas!$A$4:$E$7,4,0)+L154*VLOOKUP($B154,Premissas!$A$4:$E$7,5,0))</f>
        <v/>
      </c>
      <c r="N154" s="14">
        <f>H154-M154</f>
        <v/>
      </c>
      <c r="O154" t="inlineStr">
        <is>
          <t>Sim</t>
        </is>
      </c>
      <c r="P154" t="inlineStr">
        <is>
          <t>1.350</t>
        </is>
      </c>
    </row>
    <row r="155">
      <c r="A155" t="inlineStr">
        <is>
          <t>Antes de 2026</t>
        </is>
      </c>
      <c r="B155" t="inlineStr">
        <is>
          <t>Frete de compra</t>
        </is>
      </c>
      <c r="C155" t="inlineStr">
        <is>
          <t>Frete de compra</t>
        </is>
      </c>
      <c r="D155" t="inlineStr">
        <is>
          <t>CT-e</t>
        </is>
      </c>
      <c r="E155" t="inlineStr">
        <is>
          <t>000000606</t>
        </is>
      </c>
      <c r="F155" t="inlineStr">
        <is>
          <t>ALIANCA NAVEGACAO E LOGISTICA LTDA.</t>
        </is>
      </c>
      <c r="G155" s="27" t="n">
        <v>45631</v>
      </c>
      <c r="H155" s="14" t="n">
        <v>1250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>
        <f>IF(B155="Frete de venda",0,(1-ISNUMBER(SEARCH("556",P155)))*(I155*VLOOKUP($B155,Premissas!$A$4:$E$7,2,0)+J155*VLOOKUP($B155,Premissas!$A$4:$E$7,3,0))+K155*VLOOKUP($B155,Premissas!$A$4:$E$7,4,0)+L155*VLOOKUP($B155,Premissas!$A$4:$E$7,5,0))</f>
        <v/>
      </c>
      <c r="N155" s="14">
        <f>H155-M155</f>
        <v/>
      </c>
      <c r="O155" t="inlineStr">
        <is>
          <t>Não</t>
        </is>
      </c>
      <c r="P155" t="inlineStr">
        <is>
          <t>2.350</t>
        </is>
      </c>
    </row>
    <row r="156">
      <c r="A156" t="inlineStr">
        <is>
          <t>Antes de 2026</t>
        </is>
      </c>
      <c r="B156" t="inlineStr">
        <is>
          <t>Frete de venda</t>
        </is>
      </c>
      <c r="C156" t="inlineStr">
        <is>
          <t>Frete de venda (para clientes)</t>
        </is>
      </c>
      <c r="D156" t="inlineStr">
        <is>
          <t>CT-e</t>
        </is>
      </c>
      <c r="E156" t="inlineStr">
        <is>
          <t>000003061</t>
        </is>
      </c>
      <c r="F156" t="inlineStr">
        <is>
          <t>R&amp;R TRANSPORTE E LOGISTICA</t>
        </is>
      </c>
      <c r="G156" s="27" t="n">
        <v>45596</v>
      </c>
      <c r="H156" s="14" t="n">
        <v>18</v>
      </c>
      <c r="I156" s="14" t="n">
        <v>0</v>
      </c>
      <c r="J156" s="14" t="n">
        <v>0</v>
      </c>
      <c r="K156" s="14" t="n">
        <v>0</v>
      </c>
      <c r="L156" s="14" t="n">
        <v>0</v>
      </c>
      <c r="M156" s="14">
        <f>IF(B156="Frete de venda",0,(1-ISNUMBER(SEARCH("556",P156)))*(I156*VLOOKUP($B156,Premissas!$A$4:$E$7,2,0)+J156*VLOOKUP($B156,Premissas!$A$4:$E$7,3,0))+K156*VLOOKUP($B156,Premissas!$A$4:$E$7,4,0)+L156*VLOOKUP($B156,Premissas!$A$4:$E$7,5,0))</f>
        <v/>
      </c>
      <c r="N156" s="14">
        <f>H156-M156</f>
        <v/>
      </c>
      <c r="O156" t="inlineStr">
        <is>
          <t>Não</t>
        </is>
      </c>
      <c r="P156" t="inlineStr">
        <is>
          <t>1.350</t>
        </is>
      </c>
    </row>
    <row r="157">
      <c r="A157" t="inlineStr">
        <is>
          <t>Antes de 2026</t>
        </is>
      </c>
      <c r="B157" t="inlineStr">
        <is>
          <t>Frete de venda</t>
        </is>
      </c>
      <c r="C157" t="inlineStr">
        <is>
          <t>Frete de venda (para clientes)</t>
        </is>
      </c>
      <c r="D157" t="inlineStr">
        <is>
          <t>CT-e</t>
        </is>
      </c>
      <c r="E157" t="inlineStr">
        <is>
          <t>000003149</t>
        </is>
      </c>
      <c r="F157" t="inlineStr">
        <is>
          <t>R&amp;R TRANSPORTE E LOGISTICA</t>
        </is>
      </c>
      <c r="G157" s="27" t="n">
        <v>45608</v>
      </c>
      <c r="H157" s="14" t="n">
        <v>287.5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>
        <f>IF(B157="Frete de venda",0,(1-ISNUMBER(SEARCH("556",P157)))*(I157*VLOOKUP($B157,Premissas!$A$4:$E$7,2,0)+J157*VLOOKUP($B157,Premissas!$A$4:$E$7,3,0))+K157*VLOOKUP($B157,Premissas!$A$4:$E$7,4,0)+L157*VLOOKUP($B157,Premissas!$A$4:$E$7,5,0))</f>
        <v/>
      </c>
      <c r="N157" s="14">
        <f>H157-M157</f>
        <v/>
      </c>
      <c r="O157" t="inlineStr">
        <is>
          <t>Não</t>
        </is>
      </c>
      <c r="P157" t="inlineStr">
        <is>
          <t>1.350</t>
        </is>
      </c>
    </row>
    <row r="158">
      <c r="A158" t="inlineStr">
        <is>
          <t>Antes de 2026</t>
        </is>
      </c>
      <c r="B158" t="inlineStr">
        <is>
          <t>Frete de venda</t>
        </is>
      </c>
      <c r="C158" t="inlineStr">
        <is>
          <t>Frete de venda (para clientes)</t>
        </is>
      </c>
      <c r="D158" t="inlineStr">
        <is>
          <t>CT-e</t>
        </is>
      </c>
      <c r="E158" t="inlineStr">
        <is>
          <t>000003308</t>
        </is>
      </c>
      <c r="F158" t="inlineStr">
        <is>
          <t>R&amp;R TRANSPORTE E LOGISTICA</t>
        </is>
      </c>
      <c r="G158" s="27" t="n">
        <v>45618</v>
      </c>
      <c r="H158" s="14" t="n">
        <v>44</v>
      </c>
      <c r="I158" s="14" t="n">
        <v>0</v>
      </c>
      <c r="J158" s="14" t="n">
        <v>0</v>
      </c>
      <c r="K158" s="14" t="n">
        <v>0</v>
      </c>
      <c r="L158" s="14" t="n">
        <v>0</v>
      </c>
      <c r="M158" s="14">
        <f>IF(B158="Frete de venda",0,(1-ISNUMBER(SEARCH("556",P158)))*(I158*VLOOKUP($B158,Premissas!$A$4:$E$7,2,0)+J158*VLOOKUP($B158,Premissas!$A$4:$E$7,3,0))+K158*VLOOKUP($B158,Premissas!$A$4:$E$7,4,0)+L158*VLOOKUP($B158,Premissas!$A$4:$E$7,5,0))</f>
        <v/>
      </c>
      <c r="N158" s="14">
        <f>H158-M158</f>
        <v/>
      </c>
      <c r="O158" t="inlineStr">
        <is>
          <t>Não</t>
        </is>
      </c>
      <c r="P158" t="inlineStr">
        <is>
          <t>1.350</t>
        </is>
      </c>
    </row>
    <row r="159">
      <c r="A159" t="inlineStr">
        <is>
          <t>Antes de 2026</t>
        </is>
      </c>
      <c r="B159" t="inlineStr">
        <is>
          <t>Frete de venda</t>
        </is>
      </c>
      <c r="C159" t="inlineStr">
        <is>
          <t>Frete de venda (para clientes)</t>
        </is>
      </c>
      <c r="D159" t="inlineStr">
        <is>
          <t>CT-e</t>
        </is>
      </c>
      <c r="E159" t="inlineStr">
        <is>
          <t>000003053</t>
        </is>
      </c>
      <c r="F159" t="inlineStr">
        <is>
          <t>R&amp;R TRANSPORTE E LOGISTICA</t>
        </is>
      </c>
      <c r="G159" s="27" t="n">
        <v>45595</v>
      </c>
      <c r="H159" s="14" t="n">
        <v>85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>
        <f>IF(B159="Frete de venda",0,(1-ISNUMBER(SEARCH("556",P159)))*(I159*VLOOKUP($B159,Premissas!$A$4:$E$7,2,0)+J159*VLOOKUP($B159,Premissas!$A$4:$E$7,3,0))+K159*VLOOKUP($B159,Premissas!$A$4:$E$7,4,0)+L159*VLOOKUP($B159,Premissas!$A$4:$E$7,5,0))</f>
        <v/>
      </c>
      <c r="N159" s="14">
        <f>H159-M159</f>
        <v/>
      </c>
      <c r="O159" t="inlineStr">
        <is>
          <t>Não</t>
        </is>
      </c>
      <c r="P159" t="inlineStr">
        <is>
          <t>1.350</t>
        </is>
      </c>
    </row>
    <row r="160">
      <c r="A160" t="inlineStr">
        <is>
          <t>Antes de 2026</t>
        </is>
      </c>
      <c r="B160" t="inlineStr">
        <is>
          <t>Frete de venda</t>
        </is>
      </c>
      <c r="C160" t="inlineStr">
        <is>
          <t>Frete de venda (para clientes)</t>
        </is>
      </c>
      <c r="D160" t="inlineStr">
        <is>
          <t>CT-e</t>
        </is>
      </c>
      <c r="E160" t="inlineStr">
        <is>
          <t>000003002</t>
        </is>
      </c>
      <c r="F160" t="inlineStr">
        <is>
          <t>R&amp;R TRANSPORTE E LOGISTICA</t>
        </is>
      </c>
      <c r="G160" s="27" t="n">
        <v>45594</v>
      </c>
      <c r="H160" s="14" t="n">
        <v>33</v>
      </c>
      <c r="I160" s="14" t="n">
        <v>0</v>
      </c>
      <c r="J160" s="14" t="n">
        <v>0</v>
      </c>
      <c r="K160" s="14" t="n">
        <v>0</v>
      </c>
      <c r="L160" s="14" t="n">
        <v>0</v>
      </c>
      <c r="M160" s="14">
        <f>IF(B160="Frete de venda",0,(1-ISNUMBER(SEARCH("556",P160)))*(I160*VLOOKUP($B160,Premissas!$A$4:$E$7,2,0)+J160*VLOOKUP($B160,Premissas!$A$4:$E$7,3,0))+K160*VLOOKUP($B160,Premissas!$A$4:$E$7,4,0)+L160*VLOOKUP($B160,Premissas!$A$4:$E$7,5,0))</f>
        <v/>
      </c>
      <c r="N160" s="14">
        <f>H160-M160</f>
        <v/>
      </c>
      <c r="O160" t="inlineStr">
        <is>
          <t>Não</t>
        </is>
      </c>
      <c r="P160" t="inlineStr">
        <is>
          <t>1.350</t>
        </is>
      </c>
    </row>
    <row r="161">
      <c r="A161" t="inlineStr">
        <is>
          <t>Antes de 2026</t>
        </is>
      </c>
      <c r="B161" t="inlineStr">
        <is>
          <t>Frete de venda</t>
        </is>
      </c>
      <c r="C161" t="inlineStr">
        <is>
          <t>Frete de venda (para clientes)</t>
        </is>
      </c>
      <c r="D161" t="inlineStr">
        <is>
          <t>CT-e</t>
        </is>
      </c>
      <c r="E161" t="inlineStr">
        <is>
          <t>000003006</t>
        </is>
      </c>
      <c r="F161" t="inlineStr">
        <is>
          <t>R&amp;R TRANSPORTE E LOGISTICA</t>
        </is>
      </c>
      <c r="G161" s="27" t="n">
        <v>45594</v>
      </c>
      <c r="H161" s="14" t="n">
        <v>20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>
        <f>IF(B161="Frete de venda",0,(1-ISNUMBER(SEARCH("556",P161)))*(I161*VLOOKUP($B161,Premissas!$A$4:$E$7,2,0)+J161*VLOOKUP($B161,Premissas!$A$4:$E$7,3,0))+K161*VLOOKUP($B161,Premissas!$A$4:$E$7,4,0)+L161*VLOOKUP($B161,Premissas!$A$4:$E$7,5,0))</f>
        <v/>
      </c>
      <c r="N161" s="14">
        <f>H161-M161</f>
        <v/>
      </c>
      <c r="O161" t="inlineStr">
        <is>
          <t>Não</t>
        </is>
      </c>
      <c r="P161" t="inlineStr">
        <is>
          <t>1.350</t>
        </is>
      </c>
    </row>
    <row r="162">
      <c r="A162" t="inlineStr">
        <is>
          <t>Antes de 2026</t>
        </is>
      </c>
      <c r="B162" t="inlineStr">
        <is>
          <t>Frete de venda</t>
        </is>
      </c>
      <c r="C162" t="inlineStr">
        <is>
          <t>Frete de venda (para clientes)</t>
        </is>
      </c>
      <c r="D162" t="inlineStr">
        <is>
          <t>CT-e</t>
        </is>
      </c>
      <c r="E162" t="inlineStr">
        <is>
          <t>000003316</t>
        </is>
      </c>
      <c r="F162" t="inlineStr">
        <is>
          <t>R&amp;R TRANSPORTE E LOGISTICA</t>
        </is>
      </c>
      <c r="G162" s="27" t="n">
        <v>45622</v>
      </c>
      <c r="H162" s="14" t="n">
        <v>87</v>
      </c>
      <c r="I162" s="14" t="n">
        <v>0</v>
      </c>
      <c r="J162" s="14" t="n">
        <v>0</v>
      </c>
      <c r="K162" s="14" t="n">
        <v>0</v>
      </c>
      <c r="L162" s="14" t="n">
        <v>0</v>
      </c>
      <c r="M162" s="14">
        <f>IF(B162="Frete de venda",0,(1-ISNUMBER(SEARCH("556",P162)))*(I162*VLOOKUP($B162,Premissas!$A$4:$E$7,2,0)+J162*VLOOKUP($B162,Premissas!$A$4:$E$7,3,0))+K162*VLOOKUP($B162,Premissas!$A$4:$E$7,4,0)+L162*VLOOKUP($B162,Premissas!$A$4:$E$7,5,0))</f>
        <v/>
      </c>
      <c r="N162" s="14">
        <f>H162-M162</f>
        <v/>
      </c>
      <c r="O162" t="inlineStr">
        <is>
          <t>Não</t>
        </is>
      </c>
      <c r="P162" t="inlineStr">
        <is>
          <t>1.350</t>
        </is>
      </c>
    </row>
    <row r="163">
      <c r="A163" t="inlineStr">
        <is>
          <t>Antes de 2026</t>
        </is>
      </c>
      <c r="B163" t="inlineStr">
        <is>
          <t>Frete de venda</t>
        </is>
      </c>
      <c r="C163" t="inlineStr">
        <is>
          <t>Frete de venda (para clientes)</t>
        </is>
      </c>
      <c r="D163" t="inlineStr">
        <is>
          <t>CT-e</t>
        </is>
      </c>
      <c r="E163" t="inlineStr">
        <is>
          <t>000003440</t>
        </is>
      </c>
      <c r="F163" t="inlineStr">
        <is>
          <t>R&amp;R TRANSPORTE E LOGISTICA</t>
        </is>
      </c>
      <c r="G163" s="27" t="n">
        <v>45646</v>
      </c>
      <c r="H163" s="14" t="n">
        <v>56.74</v>
      </c>
      <c r="I163" s="14" t="n">
        <v>0</v>
      </c>
      <c r="J163" s="14" t="n">
        <v>0</v>
      </c>
      <c r="K163" s="14" t="n">
        <v>0</v>
      </c>
      <c r="L163" s="14" t="n">
        <v>0</v>
      </c>
      <c r="M163" s="14">
        <f>IF(B163="Frete de venda",0,(1-ISNUMBER(SEARCH("556",P163)))*(I163*VLOOKUP($B163,Premissas!$A$4:$E$7,2,0)+J163*VLOOKUP($B163,Premissas!$A$4:$E$7,3,0))+K163*VLOOKUP($B163,Premissas!$A$4:$E$7,4,0)+L163*VLOOKUP($B163,Premissas!$A$4:$E$7,5,0))</f>
        <v/>
      </c>
      <c r="N163" s="14">
        <f>H163-M163</f>
        <v/>
      </c>
      <c r="O163" t="inlineStr">
        <is>
          <t>Não</t>
        </is>
      </c>
      <c r="P163" t="inlineStr">
        <is>
          <t>1.350</t>
        </is>
      </c>
    </row>
    <row r="164">
      <c r="A164" t="inlineStr">
        <is>
          <t>Antes de 2026</t>
        </is>
      </c>
      <c r="B164" t="inlineStr">
        <is>
          <t>Frete de venda</t>
        </is>
      </c>
      <c r="C164" t="inlineStr">
        <is>
          <t>Frete de venda (para clientes)</t>
        </is>
      </c>
      <c r="D164" t="inlineStr">
        <is>
          <t>CT-e</t>
        </is>
      </c>
      <c r="E164" t="inlineStr">
        <is>
          <t>000003063</t>
        </is>
      </c>
      <c r="F164" t="inlineStr">
        <is>
          <t>R&amp;R TRANSPORTE E LOGISTICA</t>
        </is>
      </c>
      <c r="G164" s="27" t="n">
        <v>45596</v>
      </c>
      <c r="H164" s="14" t="n">
        <v>20</v>
      </c>
      <c r="I164" s="14" t="n">
        <v>0</v>
      </c>
      <c r="J164" s="14" t="n">
        <v>0</v>
      </c>
      <c r="K164" s="14" t="n">
        <v>0</v>
      </c>
      <c r="L164" s="14" t="n">
        <v>0</v>
      </c>
      <c r="M164" s="14">
        <f>IF(B164="Frete de venda",0,(1-ISNUMBER(SEARCH("556",P164)))*(I164*VLOOKUP($B164,Premissas!$A$4:$E$7,2,0)+J164*VLOOKUP($B164,Premissas!$A$4:$E$7,3,0))+K164*VLOOKUP($B164,Premissas!$A$4:$E$7,4,0)+L164*VLOOKUP($B164,Premissas!$A$4:$E$7,5,0))</f>
        <v/>
      </c>
      <c r="N164" s="14">
        <f>H164-M164</f>
        <v/>
      </c>
      <c r="O164" t="inlineStr">
        <is>
          <t>Não</t>
        </is>
      </c>
      <c r="P164" t="inlineStr">
        <is>
          <t>1.350</t>
        </is>
      </c>
    </row>
    <row r="165">
      <c r="A165" t="inlineStr">
        <is>
          <t>Antes de 2026</t>
        </is>
      </c>
      <c r="B165" t="inlineStr">
        <is>
          <t>Frete de venda</t>
        </is>
      </c>
      <c r="C165" t="inlineStr">
        <is>
          <t>Frete de venda (para clientes)</t>
        </is>
      </c>
      <c r="D165" t="inlineStr">
        <is>
          <t>CT-e</t>
        </is>
      </c>
      <c r="E165" t="inlineStr">
        <is>
          <t>000003309</t>
        </is>
      </c>
      <c r="F165" t="inlineStr">
        <is>
          <t>R&amp;R TRANSPORTE E LOGISTICA</t>
        </is>
      </c>
      <c r="G165" s="27" t="n">
        <v>45618</v>
      </c>
      <c r="H165" s="14" t="n">
        <v>56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>
        <f>IF(B165="Frete de venda",0,(1-ISNUMBER(SEARCH("556",P165)))*(I165*VLOOKUP($B165,Premissas!$A$4:$E$7,2,0)+J165*VLOOKUP($B165,Premissas!$A$4:$E$7,3,0))+K165*VLOOKUP($B165,Premissas!$A$4:$E$7,4,0)+L165*VLOOKUP($B165,Premissas!$A$4:$E$7,5,0))</f>
        <v/>
      </c>
      <c r="N165" s="14">
        <f>H165-M165</f>
        <v/>
      </c>
      <c r="O165" t="inlineStr">
        <is>
          <t>Não</t>
        </is>
      </c>
      <c r="P165" t="inlineStr">
        <is>
          <t>1.350</t>
        </is>
      </c>
    </row>
    <row r="166">
      <c r="A166" t="inlineStr">
        <is>
          <t>Antes de 2026</t>
        </is>
      </c>
      <c r="B166" t="inlineStr">
        <is>
          <t>Frete de venda</t>
        </is>
      </c>
      <c r="C166" t="inlineStr">
        <is>
          <t>Frete de venda (para clientes)</t>
        </is>
      </c>
      <c r="D166" t="inlineStr">
        <is>
          <t>CT-e</t>
        </is>
      </c>
      <c r="E166" t="inlineStr">
        <is>
          <t>000003457</t>
        </is>
      </c>
      <c r="F166" t="inlineStr">
        <is>
          <t>R&amp;R TRANSPORTE E LOGISTICA</t>
        </is>
      </c>
      <c r="G166" s="27" t="n">
        <v>45647</v>
      </c>
      <c r="H166" s="14" t="n">
        <v>38</v>
      </c>
      <c r="I166" s="14" t="n">
        <v>0</v>
      </c>
      <c r="J166" s="14" t="n">
        <v>0</v>
      </c>
      <c r="K166" s="14" t="n">
        <v>0</v>
      </c>
      <c r="L166" s="14" t="n">
        <v>0</v>
      </c>
      <c r="M166" s="14">
        <f>IF(B166="Frete de venda",0,(1-ISNUMBER(SEARCH("556",P166)))*(I166*VLOOKUP($B166,Premissas!$A$4:$E$7,2,0)+J166*VLOOKUP($B166,Premissas!$A$4:$E$7,3,0))+K166*VLOOKUP($B166,Premissas!$A$4:$E$7,4,0)+L166*VLOOKUP($B166,Premissas!$A$4:$E$7,5,0))</f>
        <v/>
      </c>
      <c r="N166" s="14">
        <f>H166-M166</f>
        <v/>
      </c>
      <c r="O166" t="inlineStr">
        <is>
          <t>Não</t>
        </is>
      </c>
      <c r="P166" t="inlineStr">
        <is>
          <t>1.350</t>
        </is>
      </c>
    </row>
    <row r="167">
      <c r="A167" t="inlineStr">
        <is>
          <t>Antes de 2026</t>
        </is>
      </c>
      <c r="B167" t="inlineStr">
        <is>
          <t>Frete de venda</t>
        </is>
      </c>
      <c r="C167" t="inlineStr">
        <is>
          <t>Frete de venda (para clientes)</t>
        </is>
      </c>
      <c r="D167" t="inlineStr">
        <is>
          <t>CT-e</t>
        </is>
      </c>
      <c r="E167" t="inlineStr">
        <is>
          <t>000003362</t>
        </is>
      </c>
      <c r="F167" t="inlineStr">
        <is>
          <t>R&amp;R TRANSPORTE E LOGISTICA</t>
        </is>
      </c>
      <c r="G167" s="27" t="n">
        <v>45631</v>
      </c>
      <c r="H167" s="14" t="n">
        <v>46</v>
      </c>
      <c r="I167" s="14" t="n">
        <v>0</v>
      </c>
      <c r="J167" s="14" t="n">
        <v>0</v>
      </c>
      <c r="K167" s="14" t="n">
        <v>0</v>
      </c>
      <c r="L167" s="14" t="n">
        <v>0</v>
      </c>
      <c r="M167" s="14">
        <f>IF(B167="Frete de venda",0,(1-ISNUMBER(SEARCH("556",P167)))*(I167*VLOOKUP($B167,Premissas!$A$4:$E$7,2,0)+J167*VLOOKUP($B167,Premissas!$A$4:$E$7,3,0))+K167*VLOOKUP($B167,Premissas!$A$4:$E$7,4,0)+L167*VLOOKUP($B167,Premissas!$A$4:$E$7,5,0))</f>
        <v/>
      </c>
      <c r="N167" s="14">
        <f>H167-M167</f>
        <v/>
      </c>
      <c r="O167" t="inlineStr">
        <is>
          <t>Não</t>
        </is>
      </c>
      <c r="P167" t="inlineStr">
        <is>
          <t>1.350</t>
        </is>
      </c>
    </row>
    <row r="168">
      <c r="A168" t="inlineStr">
        <is>
          <t>Antes de 2026</t>
        </is>
      </c>
      <c r="B168" t="inlineStr">
        <is>
          <t>Frete de venda</t>
        </is>
      </c>
      <c r="C168" t="inlineStr">
        <is>
          <t>Frete de venda (para clientes)</t>
        </is>
      </c>
      <c r="D168" t="inlineStr">
        <is>
          <t>CT-e</t>
        </is>
      </c>
      <c r="E168" t="inlineStr">
        <is>
          <t>000003459</t>
        </is>
      </c>
      <c r="F168" t="inlineStr">
        <is>
          <t>R&amp;R TRANSPORTE E LOGISTICA</t>
        </is>
      </c>
      <c r="G168" s="27" t="n">
        <v>45647</v>
      </c>
      <c r="H168" s="14" t="n">
        <v>30</v>
      </c>
      <c r="I168" s="14" t="n">
        <v>0</v>
      </c>
      <c r="J168" s="14" t="n">
        <v>0</v>
      </c>
      <c r="K168" s="14" t="n">
        <v>0</v>
      </c>
      <c r="L168" s="14" t="n">
        <v>0</v>
      </c>
      <c r="M168" s="14">
        <f>IF(B168="Frete de venda",0,(1-ISNUMBER(SEARCH("556",P168)))*(I168*VLOOKUP($B168,Premissas!$A$4:$E$7,2,0)+J168*VLOOKUP($B168,Premissas!$A$4:$E$7,3,0))+K168*VLOOKUP($B168,Premissas!$A$4:$E$7,4,0)+L168*VLOOKUP($B168,Premissas!$A$4:$E$7,5,0))</f>
        <v/>
      </c>
      <c r="N168" s="14">
        <f>H168-M168</f>
        <v/>
      </c>
      <c r="O168" t="inlineStr">
        <is>
          <t>Não</t>
        </is>
      </c>
      <c r="P168" t="inlineStr">
        <is>
          <t>1.350</t>
        </is>
      </c>
    </row>
    <row r="169">
      <c r="A169" t="inlineStr">
        <is>
          <t>Antes de 2026</t>
        </is>
      </c>
      <c r="B169" t="inlineStr">
        <is>
          <t>Frete de venda</t>
        </is>
      </c>
      <c r="C169" t="inlineStr">
        <is>
          <t>Frete de venda (para clientes)</t>
        </is>
      </c>
      <c r="D169" t="inlineStr">
        <is>
          <t>CT-e</t>
        </is>
      </c>
      <c r="E169" t="inlineStr">
        <is>
          <t>000002889</t>
        </is>
      </c>
      <c r="F169" t="inlineStr">
        <is>
          <t>R&amp;R TRANSPORTE E LOGISTICA</t>
        </is>
      </c>
      <c r="G169" s="27" t="n">
        <v>45583</v>
      </c>
      <c r="H169" s="14" t="n">
        <v>102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>
        <f>IF(B169="Frete de venda",0,(1-ISNUMBER(SEARCH("556",P169)))*(I169*VLOOKUP($B169,Premissas!$A$4:$E$7,2,0)+J169*VLOOKUP($B169,Premissas!$A$4:$E$7,3,0))+K169*VLOOKUP($B169,Premissas!$A$4:$E$7,4,0)+L169*VLOOKUP($B169,Premissas!$A$4:$E$7,5,0))</f>
        <v/>
      </c>
      <c r="N169" s="14">
        <f>H169-M169</f>
        <v/>
      </c>
      <c r="O169" t="inlineStr">
        <is>
          <t>Não</t>
        </is>
      </c>
      <c r="P169" t="inlineStr">
        <is>
          <t>1.350</t>
        </is>
      </c>
    </row>
    <row r="170">
      <c r="A170" t="inlineStr">
        <is>
          <t>Antes de 2026</t>
        </is>
      </c>
      <c r="B170" t="inlineStr">
        <is>
          <t>Frete de venda</t>
        </is>
      </c>
      <c r="C170" t="inlineStr">
        <is>
          <t>Frete de venda (para clientes)</t>
        </is>
      </c>
      <c r="D170" t="inlineStr">
        <is>
          <t>CT-e</t>
        </is>
      </c>
      <c r="E170" t="inlineStr">
        <is>
          <t>000003425</t>
        </is>
      </c>
      <c r="F170" t="inlineStr">
        <is>
          <t>R&amp;R TRANSPORTE E LOGISTICA</t>
        </is>
      </c>
      <c r="G170" s="27" t="n">
        <v>45644</v>
      </c>
      <c r="H170" s="14" t="n">
        <v>177.96</v>
      </c>
      <c r="I170" s="14" t="n">
        <v>0</v>
      </c>
      <c r="J170" s="14" t="n">
        <v>0</v>
      </c>
      <c r="K170" s="14" t="n">
        <v>0</v>
      </c>
      <c r="L170" s="14" t="n">
        <v>0</v>
      </c>
      <c r="M170" s="14">
        <f>IF(B170="Frete de venda",0,(1-ISNUMBER(SEARCH("556",P170)))*(I170*VLOOKUP($B170,Premissas!$A$4:$E$7,2,0)+J170*VLOOKUP($B170,Premissas!$A$4:$E$7,3,0))+K170*VLOOKUP($B170,Premissas!$A$4:$E$7,4,0)+L170*VLOOKUP($B170,Premissas!$A$4:$E$7,5,0))</f>
        <v/>
      </c>
      <c r="N170" s="14">
        <f>H170-M170</f>
        <v/>
      </c>
      <c r="O170" t="inlineStr">
        <is>
          <t>Não</t>
        </is>
      </c>
      <c r="P170" t="inlineStr">
        <is>
          <t>1.350</t>
        </is>
      </c>
    </row>
    <row r="171">
      <c r="A171" t="inlineStr">
        <is>
          <t>Antes de 2026</t>
        </is>
      </c>
      <c r="B171" t="inlineStr">
        <is>
          <t>Frete de venda</t>
        </is>
      </c>
      <c r="C171" t="inlineStr">
        <is>
          <t>Frete de venda (para clientes)</t>
        </is>
      </c>
      <c r="D171" t="inlineStr">
        <is>
          <t>CT-e</t>
        </is>
      </c>
      <c r="E171" t="inlineStr">
        <is>
          <t>000003011</t>
        </is>
      </c>
      <c r="F171" t="inlineStr">
        <is>
          <t>R&amp;R TRANSPORTE E LOGISTICA</t>
        </is>
      </c>
      <c r="G171" s="27" t="n">
        <v>45594</v>
      </c>
      <c r="H171" s="14" t="n">
        <v>40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>
        <f>IF(B171="Frete de venda",0,(1-ISNUMBER(SEARCH("556",P171)))*(I171*VLOOKUP($B171,Premissas!$A$4:$E$7,2,0)+J171*VLOOKUP($B171,Premissas!$A$4:$E$7,3,0))+K171*VLOOKUP($B171,Premissas!$A$4:$E$7,4,0)+L171*VLOOKUP($B171,Premissas!$A$4:$E$7,5,0))</f>
        <v/>
      </c>
      <c r="N171" s="14">
        <f>H171-M171</f>
        <v/>
      </c>
      <c r="O171" t="inlineStr">
        <is>
          <t>Não</t>
        </is>
      </c>
      <c r="P171" t="inlineStr">
        <is>
          <t>1.350</t>
        </is>
      </c>
    </row>
    <row r="172">
      <c r="A172" t="inlineStr">
        <is>
          <t>Antes de 2026</t>
        </is>
      </c>
      <c r="B172" t="inlineStr">
        <is>
          <t>Frete de venda</t>
        </is>
      </c>
      <c r="C172" t="inlineStr">
        <is>
          <t>Frete de venda (para clientes)</t>
        </is>
      </c>
      <c r="D172" t="inlineStr">
        <is>
          <t>CT-e</t>
        </is>
      </c>
      <c r="E172" t="inlineStr">
        <is>
          <t>000003317</t>
        </is>
      </c>
      <c r="F172" t="inlineStr">
        <is>
          <t>R&amp;R TRANSPORTE E LOGISTICA</t>
        </is>
      </c>
      <c r="G172" s="27" t="n">
        <v>45622</v>
      </c>
      <c r="H172" s="14" t="n">
        <v>96</v>
      </c>
      <c r="I172" s="14" t="n">
        <v>0</v>
      </c>
      <c r="J172" s="14" t="n">
        <v>0</v>
      </c>
      <c r="K172" s="14" t="n">
        <v>0</v>
      </c>
      <c r="L172" s="14" t="n">
        <v>0</v>
      </c>
      <c r="M172" s="14">
        <f>IF(B172="Frete de venda",0,(1-ISNUMBER(SEARCH("556",P172)))*(I172*VLOOKUP($B172,Premissas!$A$4:$E$7,2,0)+J172*VLOOKUP($B172,Premissas!$A$4:$E$7,3,0))+K172*VLOOKUP($B172,Premissas!$A$4:$E$7,4,0)+L172*VLOOKUP($B172,Premissas!$A$4:$E$7,5,0))</f>
        <v/>
      </c>
      <c r="N172" s="14">
        <f>H172-M172</f>
        <v/>
      </c>
      <c r="O172" t="inlineStr">
        <is>
          <t>Não</t>
        </is>
      </c>
      <c r="P172" t="inlineStr">
        <is>
          <t>1.350</t>
        </is>
      </c>
    </row>
    <row r="173">
      <c r="A173" t="inlineStr">
        <is>
          <t>Antes de 2026</t>
        </is>
      </c>
      <c r="B173" t="inlineStr">
        <is>
          <t>Frete de venda</t>
        </is>
      </c>
      <c r="C173" t="inlineStr">
        <is>
          <t>Frete de venda (para clientes)</t>
        </is>
      </c>
      <c r="D173" t="inlineStr">
        <is>
          <t>CT-e</t>
        </is>
      </c>
      <c r="E173" t="inlineStr">
        <is>
          <t>000003001</t>
        </is>
      </c>
      <c r="F173" t="inlineStr">
        <is>
          <t>R&amp;R TRANSPORTE E LOGISTICA</t>
        </is>
      </c>
      <c r="G173" s="27" t="n">
        <v>45594</v>
      </c>
      <c r="H173" s="14" t="n">
        <v>35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>
        <f>IF(B173="Frete de venda",0,(1-ISNUMBER(SEARCH("556",P173)))*(I173*VLOOKUP($B173,Premissas!$A$4:$E$7,2,0)+J173*VLOOKUP($B173,Premissas!$A$4:$E$7,3,0))+K173*VLOOKUP($B173,Premissas!$A$4:$E$7,4,0)+L173*VLOOKUP($B173,Premissas!$A$4:$E$7,5,0))</f>
        <v/>
      </c>
      <c r="N173" s="14">
        <f>H173-M173</f>
        <v/>
      </c>
      <c r="O173" t="inlineStr">
        <is>
          <t>Não</t>
        </is>
      </c>
      <c r="P173" t="inlineStr">
        <is>
          <t>1.350</t>
        </is>
      </c>
    </row>
    <row r="174">
      <c r="A174" t="inlineStr">
        <is>
          <t>Antes de 2026</t>
        </is>
      </c>
      <c r="B174" t="inlineStr">
        <is>
          <t>Frete de venda</t>
        </is>
      </c>
      <c r="C174" t="inlineStr">
        <is>
          <t>Frete de venda (para clientes)</t>
        </is>
      </c>
      <c r="D174" t="inlineStr">
        <is>
          <t>CT-e</t>
        </is>
      </c>
      <c r="E174" t="inlineStr">
        <is>
          <t>000003059</t>
        </is>
      </c>
      <c r="F174" t="inlineStr">
        <is>
          <t>R&amp;R TRANSPORTE E LOGISTICA</t>
        </is>
      </c>
      <c r="G174" s="27" t="n">
        <v>45596</v>
      </c>
      <c r="H174" s="14" t="n">
        <v>20</v>
      </c>
      <c r="I174" s="14" t="n">
        <v>0</v>
      </c>
      <c r="J174" s="14" t="n">
        <v>0</v>
      </c>
      <c r="K174" s="14" t="n">
        <v>0</v>
      </c>
      <c r="L174" s="14" t="n">
        <v>0</v>
      </c>
      <c r="M174" s="14">
        <f>IF(B174="Frete de venda",0,(1-ISNUMBER(SEARCH("556",P174)))*(I174*VLOOKUP($B174,Premissas!$A$4:$E$7,2,0)+J174*VLOOKUP($B174,Premissas!$A$4:$E$7,3,0))+K174*VLOOKUP($B174,Premissas!$A$4:$E$7,4,0)+L174*VLOOKUP($B174,Premissas!$A$4:$E$7,5,0))</f>
        <v/>
      </c>
      <c r="N174" s="14">
        <f>H174-M174</f>
        <v/>
      </c>
      <c r="O174" t="inlineStr">
        <is>
          <t>Não</t>
        </is>
      </c>
      <c r="P174" t="inlineStr">
        <is>
          <t>1.350</t>
        </is>
      </c>
    </row>
    <row r="175">
      <c r="A175" t="inlineStr">
        <is>
          <t>Antes de 2026</t>
        </is>
      </c>
      <c r="B175" t="inlineStr">
        <is>
          <t>Frete de venda</t>
        </is>
      </c>
      <c r="C175" t="inlineStr">
        <is>
          <t>Frete de venda (para clientes)</t>
        </is>
      </c>
      <c r="D175" t="inlineStr">
        <is>
          <t>CT-e</t>
        </is>
      </c>
      <c r="E175" t="inlineStr">
        <is>
          <t>000003370</t>
        </is>
      </c>
      <c r="F175" t="inlineStr">
        <is>
          <t>R&amp;R TRANSPORTE E LOGISTICA</t>
        </is>
      </c>
      <c r="G175" s="27" t="n">
        <v>45632</v>
      </c>
      <c r="H175" s="14" t="n">
        <v>68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>
        <f>IF(B175="Frete de venda",0,(1-ISNUMBER(SEARCH("556",P175)))*(I175*VLOOKUP($B175,Premissas!$A$4:$E$7,2,0)+J175*VLOOKUP($B175,Premissas!$A$4:$E$7,3,0))+K175*VLOOKUP($B175,Premissas!$A$4:$E$7,4,0)+L175*VLOOKUP($B175,Premissas!$A$4:$E$7,5,0))</f>
        <v/>
      </c>
      <c r="N175" s="14">
        <f>H175-M175</f>
        <v/>
      </c>
      <c r="O175" t="inlineStr">
        <is>
          <t>Não</t>
        </is>
      </c>
      <c r="P175" t="inlineStr">
        <is>
          <t>1.350</t>
        </is>
      </c>
    </row>
    <row r="176">
      <c r="A176" t="inlineStr">
        <is>
          <t>Antes de 2026</t>
        </is>
      </c>
      <c r="B176" t="inlineStr">
        <is>
          <t>Frete de venda</t>
        </is>
      </c>
      <c r="C176" t="inlineStr">
        <is>
          <t>Frete de venda (para clientes)</t>
        </is>
      </c>
      <c r="D176" t="inlineStr">
        <is>
          <t>CT-e</t>
        </is>
      </c>
      <c r="E176" t="inlineStr">
        <is>
          <t>000003148</t>
        </is>
      </c>
      <c r="F176" t="inlineStr">
        <is>
          <t>R&amp;R TRANSPORTE E LOGISTICA</t>
        </is>
      </c>
      <c r="G176" s="27" t="n">
        <v>45608</v>
      </c>
      <c r="H176" s="14" t="n">
        <v>287.5</v>
      </c>
      <c r="I176" s="14" t="n">
        <v>0</v>
      </c>
      <c r="J176" s="14" t="n">
        <v>0</v>
      </c>
      <c r="K176" s="14" t="n">
        <v>0</v>
      </c>
      <c r="L176" s="14" t="n">
        <v>0</v>
      </c>
      <c r="M176" s="14">
        <f>IF(B176="Frete de venda",0,(1-ISNUMBER(SEARCH("556",P176)))*(I176*VLOOKUP($B176,Premissas!$A$4:$E$7,2,0)+J176*VLOOKUP($B176,Premissas!$A$4:$E$7,3,0))+K176*VLOOKUP($B176,Premissas!$A$4:$E$7,4,0)+L176*VLOOKUP($B176,Premissas!$A$4:$E$7,5,0))</f>
        <v/>
      </c>
      <c r="N176" s="14">
        <f>H176-M176</f>
        <v/>
      </c>
      <c r="O176" t="inlineStr">
        <is>
          <t>Não</t>
        </is>
      </c>
      <c r="P176" t="inlineStr">
        <is>
          <t>1.350</t>
        </is>
      </c>
    </row>
    <row r="177">
      <c r="A177" t="inlineStr">
        <is>
          <t>Antes de 2026</t>
        </is>
      </c>
      <c r="B177" t="inlineStr">
        <is>
          <t>Frete de venda</t>
        </is>
      </c>
      <c r="C177" t="inlineStr">
        <is>
          <t>Frete de venda (para clientes)</t>
        </is>
      </c>
      <c r="D177" t="inlineStr">
        <is>
          <t>CT-e</t>
        </is>
      </c>
      <c r="E177" t="inlineStr">
        <is>
          <t>000003403</t>
        </is>
      </c>
      <c r="F177" t="inlineStr">
        <is>
          <t>R&amp;R TRANSPORTE E LOGISTICA</t>
        </is>
      </c>
      <c r="G177" s="27" t="n">
        <v>45639</v>
      </c>
      <c r="H177" s="14" t="n">
        <v>54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>
        <f>IF(B177="Frete de venda",0,(1-ISNUMBER(SEARCH("556",P177)))*(I177*VLOOKUP($B177,Premissas!$A$4:$E$7,2,0)+J177*VLOOKUP($B177,Premissas!$A$4:$E$7,3,0))+K177*VLOOKUP($B177,Premissas!$A$4:$E$7,4,0)+L177*VLOOKUP($B177,Premissas!$A$4:$E$7,5,0))</f>
        <v/>
      </c>
      <c r="N177" s="14">
        <f>H177-M177</f>
        <v/>
      </c>
      <c r="O177" t="inlineStr">
        <is>
          <t>Não</t>
        </is>
      </c>
      <c r="P177" t="inlineStr">
        <is>
          <t>1.350</t>
        </is>
      </c>
    </row>
    <row r="178">
      <c r="A178" t="inlineStr">
        <is>
          <t>Antes de 2026</t>
        </is>
      </c>
      <c r="B178" t="inlineStr">
        <is>
          <t>Frete de venda</t>
        </is>
      </c>
      <c r="C178" t="inlineStr">
        <is>
          <t>Frete de venda (para clientes)</t>
        </is>
      </c>
      <c r="D178" t="inlineStr">
        <is>
          <t>CT-e</t>
        </is>
      </c>
      <c r="E178" t="inlineStr">
        <is>
          <t>001288478</t>
        </is>
      </c>
      <c r="F178" t="inlineStr">
        <is>
          <t>PICCOLI TRANSPORTES LTDA</t>
        </is>
      </c>
      <c r="G178" s="27" t="n">
        <v>45644</v>
      </c>
      <c r="H178" s="14" t="n">
        <v>892.17</v>
      </c>
      <c r="I178" s="14" t="n">
        <v>0</v>
      </c>
      <c r="J178" s="14" t="n">
        <v>62.45</v>
      </c>
      <c r="K178" s="14" t="n">
        <v>0</v>
      </c>
      <c r="L178" s="14" t="n">
        <v>0</v>
      </c>
      <c r="M178" s="14">
        <f>IF(B178="Frete de venda",0,(1-ISNUMBER(SEARCH("556",P178)))*(I178*VLOOKUP($B178,Premissas!$A$4:$E$7,2,0)+J178*VLOOKUP($B178,Premissas!$A$4:$E$7,3,0))+K178*VLOOKUP($B178,Premissas!$A$4:$E$7,4,0)+L178*VLOOKUP($B178,Premissas!$A$4:$E$7,5,0))</f>
        <v/>
      </c>
      <c r="N178" s="14">
        <f>H178-M178</f>
        <v/>
      </c>
      <c r="O178" t="inlineStr">
        <is>
          <t>Não</t>
        </is>
      </c>
      <c r="P178" t="inlineStr">
        <is>
          <t>2.350</t>
        </is>
      </c>
    </row>
    <row r="179">
      <c r="A179" t="inlineStr">
        <is>
          <t>Antes de 2026</t>
        </is>
      </c>
      <c r="B179" t="inlineStr">
        <is>
          <t>Frete de venda</t>
        </is>
      </c>
      <c r="C179" t="inlineStr">
        <is>
          <t>Frete de venda (para clientes)</t>
        </is>
      </c>
      <c r="D179" t="inlineStr">
        <is>
          <t>CT-e</t>
        </is>
      </c>
      <c r="E179" t="inlineStr">
        <is>
          <t>000003495</t>
        </is>
      </c>
      <c r="F179" t="inlineStr">
        <is>
          <t>R&amp;R TRANSPORTE E LOGISTICA</t>
        </is>
      </c>
      <c r="G179" s="27" t="n">
        <v>45661</v>
      </c>
      <c r="H179" s="14" t="n">
        <v>97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>
        <f>IF(B179="Frete de venda",0,(1-ISNUMBER(SEARCH("556",P179)))*(I179*VLOOKUP($B179,Premissas!$A$4:$E$7,2,0)+J179*VLOOKUP($B179,Premissas!$A$4:$E$7,3,0))+K179*VLOOKUP($B179,Premissas!$A$4:$E$7,4,0)+L179*VLOOKUP($B179,Premissas!$A$4:$E$7,5,0))</f>
        <v/>
      </c>
      <c r="N179" s="14">
        <f>H179-M179</f>
        <v/>
      </c>
      <c r="O179" t="inlineStr">
        <is>
          <t>Não</t>
        </is>
      </c>
      <c r="P179" t="inlineStr">
        <is>
          <t>1.350</t>
        </is>
      </c>
    </row>
    <row r="180">
      <c r="A180" t="inlineStr">
        <is>
          <t>Antes de 2026</t>
        </is>
      </c>
      <c r="B180" t="inlineStr">
        <is>
          <t>Frete de venda</t>
        </is>
      </c>
      <c r="C180" t="inlineStr">
        <is>
          <t>Frete de venda (para clientes)</t>
        </is>
      </c>
      <c r="D180" t="inlineStr">
        <is>
          <t>CT-e</t>
        </is>
      </c>
      <c r="E180" t="inlineStr">
        <is>
          <t>000003494</t>
        </is>
      </c>
      <c r="F180" t="inlineStr">
        <is>
          <t>R&amp;R TRANSPORTE E LOGISTICA</t>
        </is>
      </c>
      <c r="G180" s="27" t="n">
        <v>45661</v>
      </c>
      <c r="H180" s="14" t="n">
        <v>109</v>
      </c>
      <c r="I180" s="14" t="n">
        <v>0</v>
      </c>
      <c r="J180" s="14" t="n">
        <v>0</v>
      </c>
      <c r="K180" s="14" t="n">
        <v>0</v>
      </c>
      <c r="L180" s="14" t="n">
        <v>0</v>
      </c>
      <c r="M180" s="14">
        <f>IF(B180="Frete de venda",0,(1-ISNUMBER(SEARCH("556",P180)))*(I180*VLOOKUP($B180,Premissas!$A$4:$E$7,2,0)+J180*VLOOKUP($B180,Premissas!$A$4:$E$7,3,0))+K180*VLOOKUP($B180,Premissas!$A$4:$E$7,4,0)+L180*VLOOKUP($B180,Premissas!$A$4:$E$7,5,0))</f>
        <v/>
      </c>
      <c r="N180" s="14">
        <f>H180-M180</f>
        <v/>
      </c>
      <c r="O180" t="inlineStr">
        <is>
          <t>Não</t>
        </is>
      </c>
      <c r="P180" t="inlineStr">
        <is>
          <t>1.350</t>
        </is>
      </c>
    </row>
    <row r="181">
      <c r="A181" t="inlineStr">
        <is>
          <t>Antes de 2026</t>
        </is>
      </c>
      <c r="B181" t="inlineStr">
        <is>
          <t>Frete de venda</t>
        </is>
      </c>
      <c r="C181" t="inlineStr">
        <is>
          <t>Frete de venda (para clientes)</t>
        </is>
      </c>
      <c r="D181" t="inlineStr">
        <is>
          <t>CT-e</t>
        </is>
      </c>
      <c r="E181" t="inlineStr">
        <is>
          <t>000003174</t>
        </is>
      </c>
      <c r="F181" t="inlineStr">
        <is>
          <t>R&amp;R TRANSPORTE E LOGISTICA</t>
        </is>
      </c>
      <c r="G181" s="27" t="n">
        <v>45614</v>
      </c>
      <c r="H181" s="14" t="n">
        <v>165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>
        <f>IF(B181="Frete de venda",0,(1-ISNUMBER(SEARCH("556",P181)))*(I181*VLOOKUP($B181,Premissas!$A$4:$E$7,2,0)+J181*VLOOKUP($B181,Premissas!$A$4:$E$7,3,0))+K181*VLOOKUP($B181,Premissas!$A$4:$E$7,4,0)+L181*VLOOKUP($B181,Premissas!$A$4:$E$7,5,0))</f>
        <v/>
      </c>
      <c r="N181" s="14">
        <f>H181-M181</f>
        <v/>
      </c>
      <c r="O181" t="inlineStr">
        <is>
          <t>Não</t>
        </is>
      </c>
      <c r="P181" t="inlineStr">
        <is>
          <t>1.350</t>
        </is>
      </c>
    </row>
    <row r="182">
      <c r="A182" t="inlineStr">
        <is>
          <t>Antes de 2026</t>
        </is>
      </c>
      <c r="B182" t="inlineStr">
        <is>
          <t>Frete de venda</t>
        </is>
      </c>
      <c r="C182" t="inlineStr">
        <is>
          <t>Frete de venda (para clientes)</t>
        </is>
      </c>
      <c r="D182" t="inlineStr">
        <is>
          <t>CT-e</t>
        </is>
      </c>
      <c r="E182" t="inlineStr">
        <is>
          <t>000003474</t>
        </is>
      </c>
      <c r="F182" t="inlineStr">
        <is>
          <t>R&amp;R TRANSPORTE E LOGISTICA</t>
        </is>
      </c>
      <c r="G182" s="27" t="n">
        <v>45653</v>
      </c>
      <c r="H182" s="14" t="n">
        <v>91</v>
      </c>
      <c r="I182" s="14" t="n">
        <v>0</v>
      </c>
      <c r="J182" s="14" t="n">
        <v>0</v>
      </c>
      <c r="K182" s="14" t="n">
        <v>0</v>
      </c>
      <c r="L182" s="14" t="n">
        <v>0</v>
      </c>
      <c r="M182" s="14">
        <f>IF(B182="Frete de venda",0,(1-ISNUMBER(SEARCH("556",P182)))*(I182*VLOOKUP($B182,Premissas!$A$4:$E$7,2,0)+J182*VLOOKUP($B182,Premissas!$A$4:$E$7,3,0))+K182*VLOOKUP($B182,Premissas!$A$4:$E$7,4,0)+L182*VLOOKUP($B182,Premissas!$A$4:$E$7,5,0))</f>
        <v/>
      </c>
      <c r="N182" s="14">
        <f>H182-M182</f>
        <v/>
      </c>
      <c r="O182" t="inlineStr">
        <is>
          <t>Não</t>
        </is>
      </c>
      <c r="P182" t="inlineStr">
        <is>
          <t>1.350</t>
        </is>
      </c>
    </row>
    <row r="183">
      <c r="A183" t="inlineStr">
        <is>
          <t>Antes de 2026</t>
        </is>
      </c>
      <c r="B183" t="inlineStr">
        <is>
          <t>Frete de venda</t>
        </is>
      </c>
      <c r="C183" t="inlineStr">
        <is>
          <t>Frete de venda (para clientes)</t>
        </is>
      </c>
      <c r="D183" t="inlineStr">
        <is>
          <t>CT-e</t>
        </is>
      </c>
      <c r="E183" t="inlineStr">
        <is>
          <t>000003292</t>
        </is>
      </c>
      <c r="F183" t="inlineStr">
        <is>
          <t>R&amp;R TRANSPORTE E LOGISTICA</t>
        </is>
      </c>
      <c r="G183" s="27" t="n">
        <v>45616</v>
      </c>
      <c r="H183" s="14" t="n">
        <v>1150</v>
      </c>
      <c r="I183" s="14" t="n">
        <v>0</v>
      </c>
      <c r="J183" s="14" t="n">
        <v>0</v>
      </c>
      <c r="K183" s="14" t="n">
        <v>0</v>
      </c>
      <c r="L183" s="14" t="n">
        <v>0</v>
      </c>
      <c r="M183" s="14">
        <f>IF(B183="Frete de venda",0,(1-ISNUMBER(SEARCH("556",P183)))*(I183*VLOOKUP($B183,Premissas!$A$4:$E$7,2,0)+J183*VLOOKUP($B183,Premissas!$A$4:$E$7,3,0))+K183*VLOOKUP($B183,Premissas!$A$4:$E$7,4,0)+L183*VLOOKUP($B183,Premissas!$A$4:$E$7,5,0))</f>
        <v/>
      </c>
      <c r="N183" s="14">
        <f>H183-M183</f>
        <v/>
      </c>
      <c r="O183" t="inlineStr">
        <is>
          <t>Não</t>
        </is>
      </c>
      <c r="P183" t="inlineStr">
        <is>
          <t>1.350</t>
        </is>
      </c>
    </row>
    <row r="184">
      <c r="A184" t="inlineStr">
        <is>
          <t>Antes de 2026</t>
        </is>
      </c>
      <c r="B184" t="inlineStr">
        <is>
          <t>Frete de venda</t>
        </is>
      </c>
      <c r="C184" t="inlineStr">
        <is>
          <t>Frete de venda (para clientes)</t>
        </is>
      </c>
      <c r="D184" t="inlineStr">
        <is>
          <t>CT-e</t>
        </is>
      </c>
      <c r="E184" t="inlineStr">
        <is>
          <t>000002900</t>
        </is>
      </c>
      <c r="F184" t="inlineStr">
        <is>
          <t>R&amp;R TRANSPORTE E LOGISTICA</t>
        </is>
      </c>
      <c r="G184" s="27" t="n">
        <v>45587</v>
      </c>
      <c r="H184" s="14" t="n">
        <v>230</v>
      </c>
      <c r="I184" s="14" t="n">
        <v>0</v>
      </c>
      <c r="J184" s="14" t="n">
        <v>0</v>
      </c>
      <c r="K184" s="14" t="n">
        <v>0</v>
      </c>
      <c r="L184" s="14" t="n">
        <v>0</v>
      </c>
      <c r="M184" s="14">
        <f>IF(B184="Frete de venda",0,(1-ISNUMBER(SEARCH("556",P184)))*(I184*VLOOKUP($B184,Premissas!$A$4:$E$7,2,0)+J184*VLOOKUP($B184,Premissas!$A$4:$E$7,3,0))+K184*VLOOKUP($B184,Premissas!$A$4:$E$7,4,0)+L184*VLOOKUP($B184,Premissas!$A$4:$E$7,5,0))</f>
        <v/>
      </c>
      <c r="N184" s="14">
        <f>H184-M184</f>
        <v/>
      </c>
      <c r="O184" t="inlineStr">
        <is>
          <t>Não</t>
        </is>
      </c>
      <c r="P184" t="inlineStr">
        <is>
          <t>1.350</t>
        </is>
      </c>
    </row>
    <row r="185">
      <c r="A185" t="inlineStr">
        <is>
          <t>Antes de 2026</t>
        </is>
      </c>
      <c r="B185" t="inlineStr">
        <is>
          <t>Frete de venda</t>
        </is>
      </c>
      <c r="C185" t="inlineStr">
        <is>
          <t>Frete de venda (para clientes)</t>
        </is>
      </c>
      <c r="D185" t="inlineStr">
        <is>
          <t>CT-e</t>
        </is>
      </c>
      <c r="E185" t="inlineStr">
        <is>
          <t>000003430</t>
        </is>
      </c>
      <c r="F185" t="inlineStr">
        <is>
          <t>R&amp;R TRANSPORTE E LOGISTICA</t>
        </is>
      </c>
      <c r="G185" s="27" t="n">
        <v>45644</v>
      </c>
      <c r="H185" s="14" t="n">
        <v>300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>
        <f>IF(B185="Frete de venda",0,(1-ISNUMBER(SEARCH("556",P185)))*(I185*VLOOKUP($B185,Premissas!$A$4:$E$7,2,0)+J185*VLOOKUP($B185,Premissas!$A$4:$E$7,3,0))+K185*VLOOKUP($B185,Premissas!$A$4:$E$7,4,0)+L185*VLOOKUP($B185,Premissas!$A$4:$E$7,5,0))</f>
        <v/>
      </c>
      <c r="N185" s="14">
        <f>H185-M185</f>
        <v/>
      </c>
      <c r="O185" t="inlineStr">
        <is>
          <t>Não</t>
        </is>
      </c>
      <c r="P185" t="inlineStr">
        <is>
          <t>1.350</t>
        </is>
      </c>
    </row>
    <row r="186">
      <c r="A186" t="inlineStr">
        <is>
          <t>Antes de 2026</t>
        </is>
      </c>
      <c r="B186" t="inlineStr">
        <is>
          <t>Frete de venda</t>
        </is>
      </c>
      <c r="C186" t="inlineStr">
        <is>
          <t>Frete de venda (para clientes)</t>
        </is>
      </c>
      <c r="D186" t="inlineStr">
        <is>
          <t>CT-e</t>
        </is>
      </c>
      <c r="E186" t="inlineStr">
        <is>
          <t>000003372</t>
        </is>
      </c>
      <c r="F186" t="inlineStr">
        <is>
          <t>R&amp;R TRANSPORTE E LOGISTICA</t>
        </is>
      </c>
      <c r="G186" s="27" t="n">
        <v>45632</v>
      </c>
      <c r="H186" s="14" t="n">
        <v>56</v>
      </c>
      <c r="I186" s="14" t="n">
        <v>0</v>
      </c>
      <c r="J186" s="14" t="n">
        <v>0</v>
      </c>
      <c r="K186" s="14" t="n">
        <v>0</v>
      </c>
      <c r="L186" s="14" t="n">
        <v>0</v>
      </c>
      <c r="M186" s="14">
        <f>IF(B186="Frete de venda",0,(1-ISNUMBER(SEARCH("556",P186)))*(I186*VLOOKUP($B186,Premissas!$A$4:$E$7,2,0)+J186*VLOOKUP($B186,Premissas!$A$4:$E$7,3,0))+K186*VLOOKUP($B186,Premissas!$A$4:$E$7,4,0)+L186*VLOOKUP($B186,Premissas!$A$4:$E$7,5,0))</f>
        <v/>
      </c>
      <c r="N186" s="14">
        <f>H186-M186</f>
        <v/>
      </c>
      <c r="O186" t="inlineStr">
        <is>
          <t>Não</t>
        </is>
      </c>
      <c r="P186" t="inlineStr">
        <is>
          <t>1.350</t>
        </is>
      </c>
    </row>
    <row r="187">
      <c r="A187" t="inlineStr">
        <is>
          <t>Antes de 2026</t>
        </is>
      </c>
      <c r="B187" t="inlineStr">
        <is>
          <t>Frete de venda</t>
        </is>
      </c>
      <c r="C187" t="inlineStr">
        <is>
          <t>Frete de venda (para clientes)</t>
        </is>
      </c>
      <c r="D187" t="inlineStr">
        <is>
          <t>CT-e</t>
        </is>
      </c>
      <c r="E187" t="inlineStr">
        <is>
          <t>000003422</t>
        </is>
      </c>
      <c r="F187" t="inlineStr">
        <is>
          <t>R&amp;R TRANSPORTE E LOGISTICA</t>
        </is>
      </c>
      <c r="G187" s="27" t="n">
        <v>45643</v>
      </c>
      <c r="H187" s="14" t="n">
        <v>52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>
        <f>IF(B187="Frete de venda",0,(1-ISNUMBER(SEARCH("556",P187)))*(I187*VLOOKUP($B187,Premissas!$A$4:$E$7,2,0)+J187*VLOOKUP($B187,Premissas!$A$4:$E$7,3,0))+K187*VLOOKUP($B187,Premissas!$A$4:$E$7,4,0)+L187*VLOOKUP($B187,Premissas!$A$4:$E$7,5,0))</f>
        <v/>
      </c>
      <c r="N187" s="14">
        <f>H187-M187</f>
        <v/>
      </c>
      <c r="O187" t="inlineStr">
        <is>
          <t>Não</t>
        </is>
      </c>
      <c r="P187" t="inlineStr">
        <is>
          <t>1.350</t>
        </is>
      </c>
    </row>
    <row r="188">
      <c r="A188" t="inlineStr">
        <is>
          <t>Antes de 2026</t>
        </is>
      </c>
      <c r="B188" t="inlineStr">
        <is>
          <t>Frete de venda</t>
        </is>
      </c>
      <c r="C188" t="inlineStr">
        <is>
          <t>Frete de venda (para clientes)</t>
        </is>
      </c>
      <c r="D188" t="inlineStr">
        <is>
          <t>CT-e</t>
        </is>
      </c>
      <c r="E188" t="inlineStr">
        <is>
          <t>000003328</t>
        </is>
      </c>
      <c r="F188" t="inlineStr">
        <is>
          <t>R&amp;R TRANSPORTE E LOGISTICA</t>
        </is>
      </c>
      <c r="G188" s="27" t="n">
        <v>45625</v>
      </c>
      <c r="H188" s="14" t="n">
        <v>76</v>
      </c>
      <c r="I188" s="14" t="n">
        <v>0</v>
      </c>
      <c r="J188" s="14" t="n">
        <v>0</v>
      </c>
      <c r="K188" s="14" t="n">
        <v>0</v>
      </c>
      <c r="L188" s="14" t="n">
        <v>0</v>
      </c>
      <c r="M188" s="14">
        <f>IF(B188="Frete de venda",0,(1-ISNUMBER(SEARCH("556",P188)))*(I188*VLOOKUP($B188,Premissas!$A$4:$E$7,2,0)+J188*VLOOKUP($B188,Premissas!$A$4:$E$7,3,0))+K188*VLOOKUP($B188,Premissas!$A$4:$E$7,4,0)+L188*VLOOKUP($B188,Premissas!$A$4:$E$7,5,0))</f>
        <v/>
      </c>
      <c r="N188" s="14">
        <f>H188-M188</f>
        <v/>
      </c>
      <c r="O188" t="inlineStr">
        <is>
          <t>Não</t>
        </is>
      </c>
      <c r="P188" t="inlineStr">
        <is>
          <t>1.350</t>
        </is>
      </c>
    </row>
    <row r="189">
      <c r="A189" t="inlineStr">
        <is>
          <t>Antes de 2026</t>
        </is>
      </c>
      <c r="B189" t="inlineStr">
        <is>
          <t>Frete de venda</t>
        </is>
      </c>
      <c r="C189" t="inlineStr">
        <is>
          <t>Frete de venda (para clientes)</t>
        </is>
      </c>
      <c r="D189" t="inlineStr">
        <is>
          <t>CT-e</t>
        </is>
      </c>
      <c r="E189" t="inlineStr">
        <is>
          <t>000003064</t>
        </is>
      </c>
      <c r="F189" t="inlineStr">
        <is>
          <t>R&amp;R TRANSPORTE E LOGISTICA</t>
        </is>
      </c>
      <c r="G189" s="27" t="n">
        <v>45596</v>
      </c>
      <c r="H189" s="14" t="n">
        <v>45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>
        <f>IF(B189="Frete de venda",0,(1-ISNUMBER(SEARCH("556",P189)))*(I189*VLOOKUP($B189,Premissas!$A$4:$E$7,2,0)+J189*VLOOKUP($B189,Premissas!$A$4:$E$7,3,0))+K189*VLOOKUP($B189,Premissas!$A$4:$E$7,4,0)+L189*VLOOKUP($B189,Premissas!$A$4:$E$7,5,0))</f>
        <v/>
      </c>
      <c r="N189" s="14">
        <f>H189-M189</f>
        <v/>
      </c>
      <c r="O189" t="inlineStr">
        <is>
          <t>Não</t>
        </is>
      </c>
      <c r="P189" t="inlineStr">
        <is>
          <t>1.350</t>
        </is>
      </c>
    </row>
    <row r="190">
      <c r="A190" t="inlineStr">
        <is>
          <t>Antes de 2026</t>
        </is>
      </c>
      <c r="B190" t="inlineStr">
        <is>
          <t>Frete de venda</t>
        </is>
      </c>
      <c r="C190" t="inlineStr">
        <is>
          <t>Frete de venda (para clientes)</t>
        </is>
      </c>
      <c r="D190" t="inlineStr">
        <is>
          <t>CT-e</t>
        </is>
      </c>
      <c r="E190" t="inlineStr">
        <is>
          <t>000003004</t>
        </is>
      </c>
      <c r="F190" t="inlineStr">
        <is>
          <t>R&amp;R TRANSPORTE E LOGISTICA</t>
        </is>
      </c>
      <c r="G190" s="27" t="n">
        <v>45594</v>
      </c>
      <c r="H190" s="14" t="n">
        <v>25</v>
      </c>
      <c r="I190" s="14" t="n">
        <v>0</v>
      </c>
      <c r="J190" s="14" t="n">
        <v>0</v>
      </c>
      <c r="K190" s="14" t="n">
        <v>0</v>
      </c>
      <c r="L190" s="14" t="n">
        <v>0</v>
      </c>
      <c r="M190" s="14">
        <f>IF(B190="Frete de venda",0,(1-ISNUMBER(SEARCH("556",P190)))*(I190*VLOOKUP($B190,Premissas!$A$4:$E$7,2,0)+J190*VLOOKUP($B190,Premissas!$A$4:$E$7,3,0))+K190*VLOOKUP($B190,Premissas!$A$4:$E$7,4,0)+L190*VLOOKUP($B190,Premissas!$A$4:$E$7,5,0))</f>
        <v/>
      </c>
      <c r="N190" s="14">
        <f>H190-M190</f>
        <v/>
      </c>
      <c r="O190" t="inlineStr">
        <is>
          <t>Não</t>
        </is>
      </c>
      <c r="P190" t="inlineStr">
        <is>
          <t>1.350</t>
        </is>
      </c>
    </row>
    <row r="191">
      <c r="A191" t="inlineStr">
        <is>
          <t>Antes de 2026</t>
        </is>
      </c>
      <c r="B191" t="inlineStr">
        <is>
          <t>Frete de venda</t>
        </is>
      </c>
      <c r="C191" t="inlineStr">
        <is>
          <t>Frete de venda (para clientes)</t>
        </is>
      </c>
      <c r="D191" t="inlineStr">
        <is>
          <t>CT-e</t>
        </is>
      </c>
      <c r="E191" t="inlineStr">
        <is>
          <t>000002899</t>
        </is>
      </c>
      <c r="F191" t="inlineStr">
        <is>
          <t>R&amp;R TRANSPORTE E LOGISTICA</t>
        </is>
      </c>
      <c r="G191" s="27" t="n">
        <v>45587</v>
      </c>
      <c r="H191" s="14" t="n">
        <v>230</v>
      </c>
      <c r="I191" s="14" t="n">
        <v>0</v>
      </c>
      <c r="J191" s="14" t="n">
        <v>0</v>
      </c>
      <c r="K191" s="14" t="n">
        <v>0</v>
      </c>
      <c r="L191" s="14" t="n">
        <v>0</v>
      </c>
      <c r="M191" s="14">
        <f>IF(B191="Frete de venda",0,(1-ISNUMBER(SEARCH("556",P191)))*(I191*VLOOKUP($B191,Premissas!$A$4:$E$7,2,0)+J191*VLOOKUP($B191,Premissas!$A$4:$E$7,3,0))+K191*VLOOKUP($B191,Premissas!$A$4:$E$7,4,0)+L191*VLOOKUP($B191,Premissas!$A$4:$E$7,5,0))</f>
        <v/>
      </c>
      <c r="N191" s="14">
        <f>H191-M191</f>
        <v/>
      </c>
      <c r="O191" t="inlineStr">
        <is>
          <t>Não</t>
        </is>
      </c>
      <c r="P191" t="inlineStr">
        <is>
          <t>1.350</t>
        </is>
      </c>
    </row>
    <row r="192">
      <c r="A192" t="inlineStr">
        <is>
          <t>Antes de 2026</t>
        </is>
      </c>
      <c r="B192" t="inlineStr">
        <is>
          <t>Frete de venda</t>
        </is>
      </c>
      <c r="C192" t="inlineStr">
        <is>
          <t>Frete de venda (para clientes)</t>
        </is>
      </c>
      <c r="D192" t="inlineStr">
        <is>
          <t>CT-e</t>
        </is>
      </c>
      <c r="E192" t="inlineStr">
        <is>
          <t>000003062</t>
        </is>
      </c>
      <c r="F192" t="inlineStr">
        <is>
          <t>R&amp;R TRANSPORTE E LOGISTICA</t>
        </is>
      </c>
      <c r="G192" s="27" t="n">
        <v>45596</v>
      </c>
      <c r="H192" s="14" t="n">
        <v>17</v>
      </c>
      <c r="I192" s="14" t="n">
        <v>0</v>
      </c>
      <c r="J192" s="14" t="n">
        <v>0</v>
      </c>
      <c r="K192" s="14" t="n">
        <v>0</v>
      </c>
      <c r="L192" s="14" t="n">
        <v>0</v>
      </c>
      <c r="M192" s="14">
        <f>IF(B192="Frete de venda",0,(1-ISNUMBER(SEARCH("556",P192)))*(I192*VLOOKUP($B192,Premissas!$A$4:$E$7,2,0)+J192*VLOOKUP($B192,Premissas!$A$4:$E$7,3,0))+K192*VLOOKUP($B192,Premissas!$A$4:$E$7,4,0)+L192*VLOOKUP($B192,Premissas!$A$4:$E$7,5,0))</f>
        <v/>
      </c>
      <c r="N192" s="14">
        <f>H192-M192</f>
        <v/>
      </c>
      <c r="O192" t="inlineStr">
        <is>
          <t>Não</t>
        </is>
      </c>
      <c r="P192" t="inlineStr">
        <is>
          <t>1.350</t>
        </is>
      </c>
    </row>
    <row r="193">
      <c r="A193" t="inlineStr">
        <is>
          <t>Antes de 2026</t>
        </is>
      </c>
      <c r="B193" t="inlineStr">
        <is>
          <t>Frete de venda</t>
        </is>
      </c>
      <c r="C193" t="inlineStr">
        <is>
          <t>Frete de venda (para clientes)</t>
        </is>
      </c>
      <c r="D193" t="inlineStr">
        <is>
          <t>CT-e</t>
        </is>
      </c>
      <c r="E193" t="inlineStr">
        <is>
          <t>000003339</t>
        </is>
      </c>
      <c r="F193" t="inlineStr">
        <is>
          <t>R&amp;R TRANSPORTE E LOGISTICA</t>
        </is>
      </c>
      <c r="G193" s="27" t="n">
        <v>45625</v>
      </c>
      <c r="H193" s="14" t="n">
        <v>200</v>
      </c>
      <c r="I193" s="14" t="n">
        <v>0</v>
      </c>
      <c r="J193" s="14" t="n">
        <v>0</v>
      </c>
      <c r="K193" s="14" t="n">
        <v>0</v>
      </c>
      <c r="L193" s="14" t="n">
        <v>0</v>
      </c>
      <c r="M193" s="14">
        <f>IF(B193="Frete de venda",0,(1-ISNUMBER(SEARCH("556",P193)))*(I193*VLOOKUP($B193,Premissas!$A$4:$E$7,2,0)+J193*VLOOKUP($B193,Premissas!$A$4:$E$7,3,0))+K193*VLOOKUP($B193,Premissas!$A$4:$E$7,4,0)+L193*VLOOKUP($B193,Premissas!$A$4:$E$7,5,0))</f>
        <v/>
      </c>
      <c r="N193" s="14">
        <f>H193-M193</f>
        <v/>
      </c>
      <c r="O193" t="inlineStr">
        <is>
          <t>Não</t>
        </is>
      </c>
      <c r="P193" t="inlineStr">
        <is>
          <t>1.350</t>
        </is>
      </c>
    </row>
    <row r="194">
      <c r="A194" t="inlineStr">
        <is>
          <t>Antes de 2026</t>
        </is>
      </c>
      <c r="B194" t="inlineStr">
        <is>
          <t>Frete de venda</t>
        </is>
      </c>
      <c r="C194" t="inlineStr">
        <is>
          <t>Frete de venda (para clientes)</t>
        </is>
      </c>
      <c r="D194" t="inlineStr">
        <is>
          <t>CT-e</t>
        </is>
      </c>
      <c r="E194" t="inlineStr">
        <is>
          <t>000003476</t>
        </is>
      </c>
      <c r="F194" t="inlineStr">
        <is>
          <t>R&amp;R TRANSPORTE E LOGISTICA</t>
        </is>
      </c>
      <c r="G194" s="27" t="n">
        <v>45653</v>
      </c>
      <c r="H194" s="14" t="n">
        <v>3800</v>
      </c>
      <c r="I194" s="14" t="n">
        <v>0</v>
      </c>
      <c r="J194" s="14" t="n">
        <v>0</v>
      </c>
      <c r="K194" s="14" t="n">
        <v>0</v>
      </c>
      <c r="L194" s="14" t="n">
        <v>0</v>
      </c>
      <c r="M194" s="14">
        <f>IF(B194="Frete de venda",0,(1-ISNUMBER(SEARCH("556",P194)))*(I194*VLOOKUP($B194,Premissas!$A$4:$E$7,2,0)+J194*VLOOKUP($B194,Premissas!$A$4:$E$7,3,0))+K194*VLOOKUP($B194,Premissas!$A$4:$E$7,4,0)+L194*VLOOKUP($B194,Premissas!$A$4:$E$7,5,0))</f>
        <v/>
      </c>
      <c r="N194" s="14">
        <f>H194-M194</f>
        <v/>
      </c>
      <c r="O194" t="inlineStr">
        <is>
          <t>Não</t>
        </is>
      </c>
      <c r="P194" t="inlineStr">
        <is>
          <t>1.350</t>
        </is>
      </c>
    </row>
    <row r="195">
      <c r="A195" t="inlineStr">
        <is>
          <t>Antes de 2026</t>
        </is>
      </c>
      <c r="B195" t="inlineStr">
        <is>
          <t>Frete de venda</t>
        </is>
      </c>
      <c r="C195" t="inlineStr">
        <is>
          <t>Frete de venda (para clientes)</t>
        </is>
      </c>
      <c r="D195" t="inlineStr">
        <is>
          <t>CT-e</t>
        </is>
      </c>
      <c r="E195" t="inlineStr">
        <is>
          <t>000003497</t>
        </is>
      </c>
      <c r="F195" t="inlineStr">
        <is>
          <t>R&amp;R TRANSPORTE E LOGISTICA</t>
        </is>
      </c>
      <c r="G195" s="27" t="n">
        <v>45661</v>
      </c>
      <c r="H195" s="14" t="n">
        <v>300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>
        <f>IF(B195="Frete de venda",0,(1-ISNUMBER(SEARCH("556",P195)))*(I195*VLOOKUP($B195,Premissas!$A$4:$E$7,2,0)+J195*VLOOKUP($B195,Premissas!$A$4:$E$7,3,0))+K195*VLOOKUP($B195,Premissas!$A$4:$E$7,4,0)+L195*VLOOKUP($B195,Premissas!$A$4:$E$7,5,0))</f>
        <v/>
      </c>
      <c r="N195" s="14">
        <f>H195-M195</f>
        <v/>
      </c>
      <c r="O195" t="inlineStr">
        <is>
          <t>Não</t>
        </is>
      </c>
      <c r="P195" t="inlineStr">
        <is>
          <t>1.350</t>
        </is>
      </c>
    </row>
    <row r="196">
      <c r="A196" t="inlineStr">
        <is>
          <t>Antes de 2026</t>
        </is>
      </c>
      <c r="B196" t="inlineStr">
        <is>
          <t>Frete de venda</t>
        </is>
      </c>
      <c r="C196" t="inlineStr">
        <is>
          <t>Frete de venda (para clientes)</t>
        </is>
      </c>
      <c r="D196" t="inlineStr">
        <is>
          <t>CT-e</t>
        </is>
      </c>
      <c r="E196" t="inlineStr">
        <is>
          <t>000002902</t>
        </is>
      </c>
      <c r="F196" t="inlineStr">
        <is>
          <t>R&amp;R TRANSPORTE E LOGISTICA</t>
        </is>
      </c>
      <c r="G196" s="27" t="n">
        <v>45587</v>
      </c>
      <c r="H196" s="14" t="n">
        <v>230</v>
      </c>
      <c r="I196" s="14" t="n">
        <v>0</v>
      </c>
      <c r="J196" s="14" t="n">
        <v>0</v>
      </c>
      <c r="K196" s="14" t="n">
        <v>0</v>
      </c>
      <c r="L196" s="14" t="n">
        <v>0</v>
      </c>
      <c r="M196" s="14">
        <f>IF(B196="Frete de venda",0,(1-ISNUMBER(SEARCH("556",P196)))*(I196*VLOOKUP($B196,Premissas!$A$4:$E$7,2,0)+J196*VLOOKUP($B196,Premissas!$A$4:$E$7,3,0))+K196*VLOOKUP($B196,Premissas!$A$4:$E$7,4,0)+L196*VLOOKUP($B196,Premissas!$A$4:$E$7,5,0))</f>
        <v/>
      </c>
      <c r="N196" s="14">
        <f>H196-M196</f>
        <v/>
      </c>
      <c r="O196" t="inlineStr">
        <is>
          <t>Não</t>
        </is>
      </c>
      <c r="P196" t="inlineStr">
        <is>
          <t>1.350</t>
        </is>
      </c>
    </row>
    <row r="197">
      <c r="A197" t="inlineStr">
        <is>
          <t>Antes de 2026</t>
        </is>
      </c>
      <c r="B197" t="inlineStr">
        <is>
          <t>Frete de venda</t>
        </is>
      </c>
      <c r="C197" t="inlineStr">
        <is>
          <t>Frete de venda (para clientes)</t>
        </is>
      </c>
      <c r="D197" t="inlineStr">
        <is>
          <t>CT-e</t>
        </is>
      </c>
      <c r="E197" t="inlineStr">
        <is>
          <t>000003147</t>
        </is>
      </c>
      <c r="F197" t="inlineStr">
        <is>
          <t>R&amp;R TRANSPORTE E LOGISTICA</t>
        </is>
      </c>
      <c r="G197" s="27" t="n">
        <v>45608</v>
      </c>
      <c r="H197" s="14" t="n">
        <v>287.5</v>
      </c>
      <c r="I197" s="14" t="n">
        <v>0</v>
      </c>
      <c r="J197" s="14" t="n">
        <v>0</v>
      </c>
      <c r="K197" s="14" t="n">
        <v>0</v>
      </c>
      <c r="L197" s="14" t="n">
        <v>0</v>
      </c>
      <c r="M197" s="14">
        <f>IF(B197="Frete de venda",0,(1-ISNUMBER(SEARCH("556",P197)))*(I197*VLOOKUP($B197,Premissas!$A$4:$E$7,2,0)+J197*VLOOKUP($B197,Premissas!$A$4:$E$7,3,0))+K197*VLOOKUP($B197,Premissas!$A$4:$E$7,4,0)+L197*VLOOKUP($B197,Premissas!$A$4:$E$7,5,0))</f>
        <v/>
      </c>
      <c r="N197" s="14">
        <f>H197-M197</f>
        <v/>
      </c>
      <c r="O197" t="inlineStr">
        <is>
          <t>Não</t>
        </is>
      </c>
      <c r="P197" t="inlineStr">
        <is>
          <t>1.350</t>
        </is>
      </c>
    </row>
    <row r="198">
      <c r="A198" t="inlineStr">
        <is>
          <t>Antes de 2026</t>
        </is>
      </c>
      <c r="B198" t="inlineStr">
        <is>
          <t>Frete de venda</t>
        </is>
      </c>
      <c r="C198" t="inlineStr">
        <is>
          <t>Frete de venda (para clientes)</t>
        </is>
      </c>
      <c r="D198" t="inlineStr">
        <is>
          <t>CT-e</t>
        </is>
      </c>
      <c r="E198" t="inlineStr">
        <is>
          <t>000003353</t>
        </is>
      </c>
      <c r="F198" t="inlineStr">
        <is>
          <t>R&amp;R TRANSPORTE E LOGISTICA</t>
        </is>
      </c>
      <c r="G198" s="27" t="n">
        <v>45629</v>
      </c>
      <c r="H198" s="14" t="n">
        <v>385</v>
      </c>
      <c r="I198" s="14" t="n">
        <v>0</v>
      </c>
      <c r="J198" s="14" t="n">
        <v>0</v>
      </c>
      <c r="K198" s="14" t="n">
        <v>0</v>
      </c>
      <c r="L198" s="14" t="n">
        <v>0</v>
      </c>
      <c r="M198" s="14">
        <f>IF(B198="Frete de venda",0,(1-ISNUMBER(SEARCH("556",P198)))*(I198*VLOOKUP($B198,Premissas!$A$4:$E$7,2,0)+J198*VLOOKUP($B198,Premissas!$A$4:$E$7,3,0))+K198*VLOOKUP($B198,Premissas!$A$4:$E$7,4,0)+L198*VLOOKUP($B198,Premissas!$A$4:$E$7,5,0))</f>
        <v/>
      </c>
      <c r="N198" s="14">
        <f>H198-M198</f>
        <v/>
      </c>
      <c r="O198" t="inlineStr">
        <is>
          <t>Não</t>
        </is>
      </c>
      <c r="P198" t="inlineStr">
        <is>
          <t>1.350</t>
        </is>
      </c>
    </row>
    <row r="199">
      <c r="A199" t="inlineStr">
        <is>
          <t>Antes de 2026</t>
        </is>
      </c>
      <c r="B199" t="inlineStr">
        <is>
          <t>Frete de venda</t>
        </is>
      </c>
      <c r="C199" t="inlineStr">
        <is>
          <t>Frete de venda (para clientes)</t>
        </is>
      </c>
      <c r="D199" t="inlineStr">
        <is>
          <t>CT-e</t>
        </is>
      </c>
      <c r="E199" t="inlineStr">
        <is>
          <t>000003405</t>
        </is>
      </c>
      <c r="F199" t="inlineStr">
        <is>
          <t>R&amp;R TRANSPORTE E LOGISTICA</t>
        </is>
      </c>
      <c r="G199" s="27" t="n">
        <v>45639</v>
      </c>
      <c r="H199" s="14" t="n">
        <v>32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>
        <f>IF(B199="Frete de venda",0,(1-ISNUMBER(SEARCH("556",P199)))*(I199*VLOOKUP($B199,Premissas!$A$4:$E$7,2,0)+J199*VLOOKUP($B199,Premissas!$A$4:$E$7,3,0))+K199*VLOOKUP($B199,Premissas!$A$4:$E$7,4,0)+L199*VLOOKUP($B199,Premissas!$A$4:$E$7,5,0))</f>
        <v/>
      </c>
      <c r="N199" s="14">
        <f>H199-M199</f>
        <v/>
      </c>
      <c r="O199" t="inlineStr">
        <is>
          <t>Não</t>
        </is>
      </c>
      <c r="P199" t="inlineStr">
        <is>
          <t>1.350</t>
        </is>
      </c>
    </row>
    <row r="200">
      <c r="A200" t="inlineStr">
        <is>
          <t>Antes de 2026</t>
        </is>
      </c>
      <c r="B200" t="inlineStr">
        <is>
          <t>Frete de venda</t>
        </is>
      </c>
      <c r="C200" t="inlineStr">
        <is>
          <t>Frete de venda (para clientes)</t>
        </is>
      </c>
      <c r="D200" t="inlineStr">
        <is>
          <t>CT-e</t>
        </is>
      </c>
      <c r="E200" t="inlineStr">
        <is>
          <t>000003055</t>
        </is>
      </c>
      <c r="F200" t="inlineStr">
        <is>
          <t>R&amp;R TRANSPORTE E LOGISTICA</t>
        </is>
      </c>
      <c r="G200" s="27" t="n">
        <v>45596</v>
      </c>
      <c r="H200" s="14" t="n">
        <v>25</v>
      </c>
      <c r="I200" s="14" t="n">
        <v>0</v>
      </c>
      <c r="J200" s="14" t="n">
        <v>0</v>
      </c>
      <c r="K200" s="14" t="n">
        <v>0</v>
      </c>
      <c r="L200" s="14" t="n">
        <v>0</v>
      </c>
      <c r="M200" s="14">
        <f>IF(B200="Frete de venda",0,(1-ISNUMBER(SEARCH("556",P200)))*(I200*VLOOKUP($B200,Premissas!$A$4:$E$7,2,0)+J200*VLOOKUP($B200,Premissas!$A$4:$E$7,3,0))+K200*VLOOKUP($B200,Premissas!$A$4:$E$7,4,0)+L200*VLOOKUP($B200,Premissas!$A$4:$E$7,5,0))</f>
        <v/>
      </c>
      <c r="N200" s="14">
        <f>H200-M200</f>
        <v/>
      </c>
      <c r="O200" t="inlineStr">
        <is>
          <t>Não</t>
        </is>
      </c>
      <c r="P200" t="inlineStr">
        <is>
          <t>1.350</t>
        </is>
      </c>
    </row>
    <row r="201">
      <c r="A201" t="inlineStr">
        <is>
          <t>Antes de 2026</t>
        </is>
      </c>
      <c r="B201" t="inlineStr">
        <is>
          <t>Frete de venda</t>
        </is>
      </c>
      <c r="C201" t="inlineStr">
        <is>
          <t>Frete de venda (para clientes)</t>
        </is>
      </c>
      <c r="D201" t="inlineStr">
        <is>
          <t>CT-e</t>
        </is>
      </c>
      <c r="E201" t="inlineStr">
        <is>
          <t>000002982</t>
        </is>
      </c>
      <c r="F201" t="inlineStr">
        <is>
          <t>R&amp;R TRANSPORTE E LOGISTICA</t>
        </is>
      </c>
      <c r="G201" s="27" t="n">
        <v>45590</v>
      </c>
      <c r="H201" s="14" t="n">
        <v>127</v>
      </c>
      <c r="I201" s="14" t="n">
        <v>0</v>
      </c>
      <c r="J201" s="14" t="n">
        <v>0</v>
      </c>
      <c r="K201" s="14" t="n">
        <v>0</v>
      </c>
      <c r="L201" s="14" t="n">
        <v>0</v>
      </c>
      <c r="M201" s="14">
        <f>IF(B201="Frete de venda",0,(1-ISNUMBER(SEARCH("556",P201)))*(I201*VLOOKUP($B201,Premissas!$A$4:$E$7,2,0)+J201*VLOOKUP($B201,Premissas!$A$4:$E$7,3,0))+K201*VLOOKUP($B201,Premissas!$A$4:$E$7,4,0)+L201*VLOOKUP($B201,Premissas!$A$4:$E$7,5,0))</f>
        <v/>
      </c>
      <c r="N201" s="14">
        <f>H201-M201</f>
        <v/>
      </c>
      <c r="O201" t="inlineStr">
        <is>
          <t>Não</t>
        </is>
      </c>
      <c r="P201" t="inlineStr">
        <is>
          <t>1.350</t>
        </is>
      </c>
    </row>
    <row r="202">
      <c r="A202" t="inlineStr">
        <is>
          <t>Antes de 2026</t>
        </is>
      </c>
      <c r="B202" t="inlineStr">
        <is>
          <t>Frete de venda</t>
        </is>
      </c>
      <c r="C202" t="inlineStr">
        <is>
          <t>Frete de venda (para clientes)</t>
        </is>
      </c>
      <c r="D202" t="inlineStr">
        <is>
          <t>CT-e</t>
        </is>
      </c>
      <c r="E202" t="inlineStr">
        <is>
          <t>000003311</t>
        </is>
      </c>
      <c r="F202" t="inlineStr">
        <is>
          <t>R&amp;R TRANSPORTE E LOGISTICA</t>
        </is>
      </c>
      <c r="G202" s="27" t="n">
        <v>45619</v>
      </c>
      <c r="H202" s="14" t="n">
        <v>90</v>
      </c>
      <c r="I202" s="14" t="n">
        <v>0</v>
      </c>
      <c r="J202" s="14" t="n">
        <v>0</v>
      </c>
      <c r="K202" s="14" t="n">
        <v>0</v>
      </c>
      <c r="L202" s="14" t="n">
        <v>0</v>
      </c>
      <c r="M202" s="14">
        <f>IF(B202="Frete de venda",0,(1-ISNUMBER(SEARCH("556",P202)))*(I202*VLOOKUP($B202,Premissas!$A$4:$E$7,2,0)+J202*VLOOKUP($B202,Premissas!$A$4:$E$7,3,0))+K202*VLOOKUP($B202,Premissas!$A$4:$E$7,4,0)+L202*VLOOKUP($B202,Premissas!$A$4:$E$7,5,0))</f>
        <v/>
      </c>
      <c r="N202" s="14">
        <f>H202-M202</f>
        <v/>
      </c>
      <c r="O202" t="inlineStr">
        <is>
          <t>Não</t>
        </is>
      </c>
      <c r="P202" t="inlineStr">
        <is>
          <t>1.350</t>
        </is>
      </c>
    </row>
    <row r="203">
      <c r="A203" t="inlineStr">
        <is>
          <t>Antes de 2026</t>
        </is>
      </c>
      <c r="B203" t="inlineStr">
        <is>
          <t>Frete de venda</t>
        </is>
      </c>
      <c r="C203" t="inlineStr">
        <is>
          <t>Frete de venda (para clientes)</t>
        </is>
      </c>
      <c r="D203" t="inlineStr">
        <is>
          <t>CT-e</t>
        </is>
      </c>
      <c r="E203" t="inlineStr">
        <is>
          <t>000003401</t>
        </is>
      </c>
      <c r="F203" t="inlineStr">
        <is>
          <t>R&amp;R TRANSPORTE E LOGISTICA</t>
        </is>
      </c>
      <c r="G203" s="27" t="n">
        <v>45639</v>
      </c>
      <c r="H203" s="14" t="n">
        <v>66</v>
      </c>
      <c r="I203" s="14" t="n">
        <v>0</v>
      </c>
      <c r="J203" s="14" t="n">
        <v>0</v>
      </c>
      <c r="K203" s="14" t="n">
        <v>0</v>
      </c>
      <c r="L203" s="14" t="n">
        <v>0</v>
      </c>
      <c r="M203" s="14">
        <f>IF(B203="Frete de venda",0,(1-ISNUMBER(SEARCH("556",P203)))*(I203*VLOOKUP($B203,Premissas!$A$4:$E$7,2,0)+J203*VLOOKUP($B203,Premissas!$A$4:$E$7,3,0))+K203*VLOOKUP($B203,Premissas!$A$4:$E$7,4,0)+L203*VLOOKUP($B203,Premissas!$A$4:$E$7,5,0))</f>
        <v/>
      </c>
      <c r="N203" s="14">
        <f>H203-M203</f>
        <v/>
      </c>
      <c r="O203" t="inlineStr">
        <is>
          <t>Não</t>
        </is>
      </c>
      <c r="P203" t="inlineStr">
        <is>
          <t>1.350</t>
        </is>
      </c>
    </row>
    <row r="204">
      <c r="A204" t="inlineStr">
        <is>
          <t>Antes de 2026</t>
        </is>
      </c>
      <c r="B204" t="inlineStr">
        <is>
          <t>Frete de venda</t>
        </is>
      </c>
      <c r="C204" t="inlineStr">
        <is>
          <t>Frete de venda (para clientes)</t>
        </is>
      </c>
      <c r="D204" t="inlineStr">
        <is>
          <t>CT-e</t>
        </is>
      </c>
      <c r="E204" t="inlineStr">
        <is>
          <t>000003423</t>
        </is>
      </c>
      <c r="F204" t="inlineStr">
        <is>
          <t>R&amp;R TRANSPORTE E LOGISTICA</t>
        </is>
      </c>
      <c r="G204" s="27" t="n">
        <v>45643</v>
      </c>
      <c r="H204" s="14" t="n">
        <v>36</v>
      </c>
      <c r="I204" s="14" t="n">
        <v>0</v>
      </c>
      <c r="J204" s="14" t="n">
        <v>0</v>
      </c>
      <c r="K204" s="14" t="n">
        <v>0</v>
      </c>
      <c r="L204" s="14" t="n">
        <v>0</v>
      </c>
      <c r="M204" s="14">
        <f>IF(B204="Frete de venda",0,(1-ISNUMBER(SEARCH("556",P204)))*(I204*VLOOKUP($B204,Premissas!$A$4:$E$7,2,0)+J204*VLOOKUP($B204,Premissas!$A$4:$E$7,3,0))+K204*VLOOKUP($B204,Premissas!$A$4:$E$7,4,0)+L204*VLOOKUP($B204,Premissas!$A$4:$E$7,5,0))</f>
        <v/>
      </c>
      <c r="N204" s="14">
        <f>H204-M204</f>
        <v/>
      </c>
      <c r="O204" t="inlineStr">
        <is>
          <t>Não</t>
        </is>
      </c>
      <c r="P204" t="inlineStr">
        <is>
          <t>1.350</t>
        </is>
      </c>
    </row>
    <row r="205">
      <c r="A205" t="inlineStr">
        <is>
          <t>Antes de 2026</t>
        </is>
      </c>
      <c r="B205" t="inlineStr">
        <is>
          <t>Frete de venda</t>
        </is>
      </c>
      <c r="C205" t="inlineStr">
        <is>
          <t>Frete de venda (para clientes)</t>
        </is>
      </c>
      <c r="D205" t="inlineStr">
        <is>
          <t>CT-e</t>
        </is>
      </c>
      <c r="E205" t="inlineStr">
        <is>
          <t>000003345</t>
        </is>
      </c>
      <c r="F205" t="inlineStr">
        <is>
          <t>R&amp;R TRANSPORTE E LOGISTICA</t>
        </is>
      </c>
      <c r="G205" s="27" t="n">
        <v>45626</v>
      </c>
      <c r="H205" s="14" t="n">
        <v>415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>
        <f>IF(B205="Frete de venda",0,(1-ISNUMBER(SEARCH("556",P205)))*(I205*VLOOKUP($B205,Premissas!$A$4:$E$7,2,0)+J205*VLOOKUP($B205,Premissas!$A$4:$E$7,3,0))+K205*VLOOKUP($B205,Premissas!$A$4:$E$7,4,0)+L205*VLOOKUP($B205,Premissas!$A$4:$E$7,5,0))</f>
        <v/>
      </c>
      <c r="N205" s="14">
        <f>H205-M205</f>
        <v/>
      </c>
      <c r="O205" t="inlineStr">
        <is>
          <t>Não</t>
        </is>
      </c>
      <c r="P205" t="inlineStr">
        <is>
          <t>1.350</t>
        </is>
      </c>
    </row>
    <row r="206">
      <c r="A206" t="inlineStr">
        <is>
          <t>Antes de 2026</t>
        </is>
      </c>
      <c r="B206" t="inlineStr">
        <is>
          <t>Frete de venda</t>
        </is>
      </c>
      <c r="C206" t="inlineStr">
        <is>
          <t>Frete de venda (para clientes)</t>
        </is>
      </c>
      <c r="D206" t="inlineStr">
        <is>
          <t>CT-e</t>
        </is>
      </c>
      <c r="E206" t="inlineStr">
        <is>
          <t>000003382</t>
        </is>
      </c>
      <c r="F206" t="inlineStr">
        <is>
          <t>R&amp;R TRANSPORTE E LOGISTICA</t>
        </is>
      </c>
      <c r="G206" s="27" t="n">
        <v>45636</v>
      </c>
      <c r="H206" s="14" t="n">
        <v>458</v>
      </c>
      <c r="I206" s="14" t="n">
        <v>0</v>
      </c>
      <c r="J206" s="14" t="n">
        <v>0</v>
      </c>
      <c r="K206" s="14" t="n">
        <v>0</v>
      </c>
      <c r="L206" s="14" t="n">
        <v>0</v>
      </c>
      <c r="M206" s="14">
        <f>IF(B206="Frete de venda",0,(1-ISNUMBER(SEARCH("556",P206)))*(I206*VLOOKUP($B206,Premissas!$A$4:$E$7,2,0)+J206*VLOOKUP($B206,Premissas!$A$4:$E$7,3,0))+K206*VLOOKUP($B206,Premissas!$A$4:$E$7,4,0)+L206*VLOOKUP($B206,Premissas!$A$4:$E$7,5,0))</f>
        <v/>
      </c>
      <c r="N206" s="14">
        <f>H206-M206</f>
        <v/>
      </c>
      <c r="O206" t="inlineStr">
        <is>
          <t>Não</t>
        </is>
      </c>
      <c r="P206" t="inlineStr">
        <is>
          <t>1.350</t>
        </is>
      </c>
    </row>
    <row r="207">
      <c r="A207" t="inlineStr">
        <is>
          <t>Antes de 2026</t>
        </is>
      </c>
      <c r="B207" t="inlineStr">
        <is>
          <t>Frete de venda</t>
        </is>
      </c>
      <c r="C207" t="inlineStr">
        <is>
          <t>Frete de venda (para clientes)</t>
        </is>
      </c>
      <c r="D207" t="inlineStr">
        <is>
          <t>CT-e</t>
        </is>
      </c>
      <c r="E207" t="inlineStr">
        <is>
          <t>000003077</t>
        </is>
      </c>
      <c r="F207" t="inlineStr">
        <is>
          <t>R&amp;R TRANSPORTE E LOGISTICA</t>
        </is>
      </c>
      <c r="G207" s="27" t="n">
        <v>45597</v>
      </c>
      <c r="H207" s="14" t="n">
        <v>95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>
        <f>IF(B207="Frete de venda",0,(1-ISNUMBER(SEARCH("556",P207)))*(I207*VLOOKUP($B207,Premissas!$A$4:$E$7,2,0)+J207*VLOOKUP($B207,Premissas!$A$4:$E$7,3,0))+K207*VLOOKUP($B207,Premissas!$A$4:$E$7,4,0)+L207*VLOOKUP($B207,Premissas!$A$4:$E$7,5,0))</f>
        <v/>
      </c>
      <c r="N207" s="14">
        <f>H207-M207</f>
        <v/>
      </c>
      <c r="O207" t="inlineStr">
        <is>
          <t>Não</t>
        </is>
      </c>
      <c r="P207" t="inlineStr">
        <is>
          <t>1.350</t>
        </is>
      </c>
    </row>
    <row r="208">
      <c r="A208" t="inlineStr">
        <is>
          <t>Antes de 2026</t>
        </is>
      </c>
      <c r="B208" t="inlineStr">
        <is>
          <t>Frete de venda</t>
        </is>
      </c>
      <c r="C208" t="inlineStr">
        <is>
          <t>Frete de venda (para clientes)</t>
        </is>
      </c>
      <c r="D208" t="inlineStr">
        <is>
          <t>CT-e</t>
        </is>
      </c>
      <c r="E208" t="inlineStr">
        <is>
          <t>000003449</t>
        </is>
      </c>
      <c r="F208" t="inlineStr">
        <is>
          <t>R&amp;R TRANSPORTE E LOGISTICA</t>
        </is>
      </c>
      <c r="G208" s="27" t="n">
        <v>45646</v>
      </c>
      <c r="H208" s="14" t="n">
        <v>41.09</v>
      </c>
      <c r="I208" s="14" t="n">
        <v>0</v>
      </c>
      <c r="J208" s="14" t="n">
        <v>0</v>
      </c>
      <c r="K208" s="14" t="n">
        <v>0</v>
      </c>
      <c r="L208" s="14" t="n">
        <v>0</v>
      </c>
      <c r="M208" s="14">
        <f>IF(B208="Frete de venda",0,(1-ISNUMBER(SEARCH("556",P208)))*(I208*VLOOKUP($B208,Premissas!$A$4:$E$7,2,0)+J208*VLOOKUP($B208,Premissas!$A$4:$E$7,3,0))+K208*VLOOKUP($B208,Premissas!$A$4:$E$7,4,0)+L208*VLOOKUP($B208,Premissas!$A$4:$E$7,5,0))</f>
        <v/>
      </c>
      <c r="N208" s="14">
        <f>H208-M208</f>
        <v/>
      </c>
      <c r="O208" t="inlineStr">
        <is>
          <t>Não</t>
        </is>
      </c>
      <c r="P208" t="inlineStr">
        <is>
          <t>1.350</t>
        </is>
      </c>
    </row>
    <row r="209">
      <c r="A209" t="inlineStr">
        <is>
          <t>Antes de 2026</t>
        </is>
      </c>
      <c r="B209" t="inlineStr">
        <is>
          <t>Frete de venda</t>
        </is>
      </c>
      <c r="C209" t="inlineStr">
        <is>
          <t>Frete de venda (para clientes)</t>
        </is>
      </c>
      <c r="D209" t="inlineStr">
        <is>
          <t>CT-e</t>
        </is>
      </c>
      <c r="E209" t="inlineStr">
        <is>
          <t>000003462</t>
        </is>
      </c>
      <c r="F209" t="inlineStr">
        <is>
          <t>R&amp;R TRANSPORTE E LOGISTICA</t>
        </is>
      </c>
      <c r="G209" s="27" t="n">
        <v>45649</v>
      </c>
      <c r="H209" s="14" t="n">
        <v>43</v>
      </c>
      <c r="I209" s="14" t="n">
        <v>0</v>
      </c>
      <c r="J209" s="14" t="n">
        <v>0</v>
      </c>
      <c r="K209" s="14" t="n">
        <v>0</v>
      </c>
      <c r="L209" s="14" t="n">
        <v>0</v>
      </c>
      <c r="M209" s="14">
        <f>IF(B209="Frete de venda",0,(1-ISNUMBER(SEARCH("556",P209)))*(I209*VLOOKUP($B209,Premissas!$A$4:$E$7,2,0)+J209*VLOOKUP($B209,Premissas!$A$4:$E$7,3,0))+K209*VLOOKUP($B209,Premissas!$A$4:$E$7,4,0)+L209*VLOOKUP($B209,Premissas!$A$4:$E$7,5,0))</f>
        <v/>
      </c>
      <c r="N209" s="14">
        <f>H209-M209</f>
        <v/>
      </c>
      <c r="O209" t="inlineStr">
        <is>
          <t>Não</t>
        </is>
      </c>
      <c r="P209" t="inlineStr">
        <is>
          <t>1.350</t>
        </is>
      </c>
    </row>
    <row r="210">
      <c r="A210" t="inlineStr">
        <is>
          <t>Antes de 2026</t>
        </is>
      </c>
      <c r="B210" t="inlineStr">
        <is>
          <t>Frete de venda</t>
        </is>
      </c>
      <c r="C210" t="inlineStr">
        <is>
          <t>Frete de venda (para clientes)</t>
        </is>
      </c>
      <c r="D210" t="inlineStr">
        <is>
          <t>CT-e</t>
        </is>
      </c>
      <c r="E210" t="inlineStr">
        <is>
          <t>000002998</t>
        </is>
      </c>
      <c r="F210" t="inlineStr">
        <is>
          <t>R&amp;R TRANSPORTE E LOGISTICA</t>
        </is>
      </c>
      <c r="G210" s="27" t="n">
        <v>45594</v>
      </c>
      <c r="H210" s="14" t="n">
        <v>21</v>
      </c>
      <c r="I210" s="14" t="n">
        <v>0</v>
      </c>
      <c r="J210" s="14" t="n">
        <v>0</v>
      </c>
      <c r="K210" s="14" t="n">
        <v>0</v>
      </c>
      <c r="L210" s="14" t="n">
        <v>0</v>
      </c>
      <c r="M210" s="14">
        <f>IF(B210="Frete de venda",0,(1-ISNUMBER(SEARCH("556",P210)))*(I210*VLOOKUP($B210,Premissas!$A$4:$E$7,2,0)+J210*VLOOKUP($B210,Premissas!$A$4:$E$7,3,0))+K210*VLOOKUP($B210,Premissas!$A$4:$E$7,4,0)+L210*VLOOKUP($B210,Premissas!$A$4:$E$7,5,0))</f>
        <v/>
      </c>
      <c r="N210" s="14">
        <f>H210-M210</f>
        <v/>
      </c>
      <c r="O210" t="inlineStr">
        <is>
          <t>Não</t>
        </is>
      </c>
      <c r="P210" t="inlineStr">
        <is>
          <t>1.350</t>
        </is>
      </c>
    </row>
    <row r="211">
      <c r="A211" t="inlineStr">
        <is>
          <t>Antes de 2026</t>
        </is>
      </c>
      <c r="B211" t="inlineStr">
        <is>
          <t>Frete de venda</t>
        </is>
      </c>
      <c r="C211" t="inlineStr">
        <is>
          <t>Frete de venda (para clientes)</t>
        </is>
      </c>
      <c r="D211" t="inlineStr">
        <is>
          <t>CT-e</t>
        </is>
      </c>
      <c r="E211" t="inlineStr">
        <is>
          <t>000003374</t>
        </is>
      </c>
      <c r="F211" t="inlineStr">
        <is>
          <t>R&amp;R TRANSPORTE E LOGISTICA</t>
        </is>
      </c>
      <c r="G211" s="27" t="n">
        <v>45632</v>
      </c>
      <c r="H211" s="14" t="n">
        <v>98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>
        <f>IF(B211="Frete de venda",0,(1-ISNUMBER(SEARCH("556",P211)))*(I211*VLOOKUP($B211,Premissas!$A$4:$E$7,2,0)+J211*VLOOKUP($B211,Premissas!$A$4:$E$7,3,0))+K211*VLOOKUP($B211,Premissas!$A$4:$E$7,4,0)+L211*VLOOKUP($B211,Premissas!$A$4:$E$7,5,0))</f>
        <v/>
      </c>
      <c r="N211" s="14">
        <f>H211-M211</f>
        <v/>
      </c>
      <c r="O211" t="inlineStr">
        <is>
          <t>Não</t>
        </is>
      </c>
      <c r="P211" t="inlineStr">
        <is>
          <t>1.350</t>
        </is>
      </c>
    </row>
    <row r="212">
      <c r="A212" t="inlineStr">
        <is>
          <t>Antes de 2026</t>
        </is>
      </c>
      <c r="B212" t="inlineStr">
        <is>
          <t>Frete de venda</t>
        </is>
      </c>
      <c r="C212" t="inlineStr">
        <is>
          <t>Frete de venda (para clientes)</t>
        </is>
      </c>
      <c r="D212" t="inlineStr">
        <is>
          <t>CT-e</t>
        </is>
      </c>
      <c r="E212" t="inlineStr">
        <is>
          <t>000003143</t>
        </is>
      </c>
      <c r="F212" t="inlineStr">
        <is>
          <t>R&amp;R TRANSPORTE E LOGISTICA</t>
        </is>
      </c>
      <c r="G212" s="27" t="n">
        <v>45605</v>
      </c>
      <c r="H212" s="14" t="n">
        <v>1100</v>
      </c>
      <c r="I212" s="14" t="n">
        <v>0</v>
      </c>
      <c r="J212" s="14" t="n">
        <v>0</v>
      </c>
      <c r="K212" s="14" t="n">
        <v>0</v>
      </c>
      <c r="L212" s="14" t="n">
        <v>0</v>
      </c>
      <c r="M212" s="14">
        <f>IF(B212="Frete de venda",0,(1-ISNUMBER(SEARCH("556",P212)))*(I212*VLOOKUP($B212,Premissas!$A$4:$E$7,2,0)+J212*VLOOKUP($B212,Premissas!$A$4:$E$7,3,0))+K212*VLOOKUP($B212,Premissas!$A$4:$E$7,4,0)+L212*VLOOKUP($B212,Premissas!$A$4:$E$7,5,0))</f>
        <v/>
      </c>
      <c r="N212" s="14">
        <f>H212-M212</f>
        <v/>
      </c>
      <c r="O212" t="inlineStr">
        <is>
          <t>Não</t>
        </is>
      </c>
      <c r="P212" t="inlineStr">
        <is>
          <t>1.350</t>
        </is>
      </c>
    </row>
    <row r="213">
      <c r="A213" t="inlineStr">
        <is>
          <t>Antes de 2026</t>
        </is>
      </c>
      <c r="B213" t="inlineStr">
        <is>
          <t>Frete de venda</t>
        </is>
      </c>
      <c r="C213" t="inlineStr">
        <is>
          <t>Frete de venda (para clientes)</t>
        </is>
      </c>
      <c r="D213" t="inlineStr">
        <is>
          <t>CT-e</t>
        </is>
      </c>
      <c r="E213" t="inlineStr">
        <is>
          <t>000003087</t>
        </is>
      </c>
      <c r="F213" t="inlineStr">
        <is>
          <t>R&amp;R TRANSPORTE E LOGISTICA</t>
        </is>
      </c>
      <c r="G213" s="27" t="n">
        <v>45600</v>
      </c>
      <c r="H213" s="14" t="n">
        <v>28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>
        <f>IF(B213="Frete de venda",0,(1-ISNUMBER(SEARCH("556",P213)))*(I213*VLOOKUP($B213,Premissas!$A$4:$E$7,2,0)+J213*VLOOKUP($B213,Premissas!$A$4:$E$7,3,0))+K213*VLOOKUP($B213,Premissas!$A$4:$E$7,4,0)+L213*VLOOKUP($B213,Premissas!$A$4:$E$7,5,0))</f>
        <v/>
      </c>
      <c r="N213" s="14">
        <f>H213-M213</f>
        <v/>
      </c>
      <c r="O213" t="inlineStr">
        <is>
          <t>Não</t>
        </is>
      </c>
      <c r="P213" t="inlineStr">
        <is>
          <t>1.350</t>
        </is>
      </c>
    </row>
    <row r="214">
      <c r="A214" t="inlineStr">
        <is>
          <t>Antes de 2026</t>
        </is>
      </c>
      <c r="B214" t="inlineStr">
        <is>
          <t>Frete de venda</t>
        </is>
      </c>
      <c r="C214" t="inlineStr">
        <is>
          <t>Frete de venda (para clientes)</t>
        </is>
      </c>
      <c r="D214" t="inlineStr">
        <is>
          <t>CT-e</t>
        </is>
      </c>
      <c r="E214" t="inlineStr">
        <is>
          <t>000003327</t>
        </is>
      </c>
      <c r="F214" t="inlineStr">
        <is>
          <t>R&amp;R TRANSPORTE E LOGISTICA</t>
        </is>
      </c>
      <c r="G214" s="27" t="n">
        <v>45625</v>
      </c>
      <c r="H214" s="14" t="n">
        <v>83</v>
      </c>
      <c r="I214" s="14" t="n">
        <v>0</v>
      </c>
      <c r="J214" s="14" t="n">
        <v>0</v>
      </c>
      <c r="K214" s="14" t="n">
        <v>0</v>
      </c>
      <c r="L214" s="14" t="n">
        <v>0</v>
      </c>
      <c r="M214" s="14">
        <f>IF(B214="Frete de venda",0,(1-ISNUMBER(SEARCH("556",P214)))*(I214*VLOOKUP($B214,Premissas!$A$4:$E$7,2,0)+J214*VLOOKUP($B214,Premissas!$A$4:$E$7,3,0))+K214*VLOOKUP($B214,Premissas!$A$4:$E$7,4,0)+L214*VLOOKUP($B214,Premissas!$A$4:$E$7,5,0))</f>
        <v/>
      </c>
      <c r="N214" s="14">
        <f>H214-M214</f>
        <v/>
      </c>
      <c r="O214" t="inlineStr">
        <is>
          <t>Não</t>
        </is>
      </c>
      <c r="P214" t="inlineStr">
        <is>
          <t>1.350</t>
        </is>
      </c>
    </row>
    <row r="215">
      <c r="A215" t="inlineStr">
        <is>
          <t>Antes de 2026</t>
        </is>
      </c>
      <c r="B215" t="inlineStr">
        <is>
          <t>Frete de venda</t>
        </is>
      </c>
      <c r="C215" t="inlineStr">
        <is>
          <t>Frete de venda (para clientes)</t>
        </is>
      </c>
      <c r="D215" t="inlineStr">
        <is>
          <t>CT-e</t>
        </is>
      </c>
      <c r="E215" t="inlineStr">
        <is>
          <t>000003326</t>
        </is>
      </c>
      <c r="F215" t="inlineStr">
        <is>
          <t>R&amp;R TRANSPORTE E LOGISTICA</t>
        </is>
      </c>
      <c r="G215" s="27" t="n">
        <v>45625</v>
      </c>
      <c r="H215" s="14" t="n">
        <v>28</v>
      </c>
      <c r="I215" s="14" t="n">
        <v>0</v>
      </c>
      <c r="J215" s="14" t="n">
        <v>0</v>
      </c>
      <c r="K215" s="14" t="n">
        <v>0</v>
      </c>
      <c r="L215" s="14" t="n">
        <v>0</v>
      </c>
      <c r="M215" s="14">
        <f>IF(B215="Frete de venda",0,(1-ISNUMBER(SEARCH("556",P215)))*(I215*VLOOKUP($B215,Premissas!$A$4:$E$7,2,0)+J215*VLOOKUP($B215,Premissas!$A$4:$E$7,3,0))+K215*VLOOKUP($B215,Premissas!$A$4:$E$7,4,0)+L215*VLOOKUP($B215,Premissas!$A$4:$E$7,5,0))</f>
        <v/>
      </c>
      <c r="N215" s="14">
        <f>H215-M215</f>
        <v/>
      </c>
      <c r="O215" t="inlineStr">
        <is>
          <t>Não</t>
        </is>
      </c>
      <c r="P215" t="inlineStr">
        <is>
          <t>1.350</t>
        </is>
      </c>
    </row>
    <row r="216">
      <c r="A216" t="inlineStr">
        <is>
          <t>Antes de 2026</t>
        </is>
      </c>
      <c r="B216" t="inlineStr">
        <is>
          <t>Frete de venda</t>
        </is>
      </c>
      <c r="C216" t="inlineStr">
        <is>
          <t>Frete de venda (para clientes)</t>
        </is>
      </c>
      <c r="D216" t="inlineStr">
        <is>
          <t>CT-e</t>
        </is>
      </c>
      <c r="E216" t="inlineStr">
        <is>
          <t>000003325</t>
        </is>
      </c>
      <c r="F216" t="inlineStr">
        <is>
          <t>R&amp;R TRANSPORTE E LOGISTICA</t>
        </is>
      </c>
      <c r="G216" s="27" t="n">
        <v>45625</v>
      </c>
      <c r="H216" s="14" t="n">
        <v>31</v>
      </c>
      <c r="I216" s="14" t="n">
        <v>0</v>
      </c>
      <c r="J216" s="14" t="n">
        <v>0</v>
      </c>
      <c r="K216" s="14" t="n">
        <v>0</v>
      </c>
      <c r="L216" s="14" t="n">
        <v>0</v>
      </c>
      <c r="M216" s="14">
        <f>IF(B216="Frete de venda",0,(1-ISNUMBER(SEARCH("556",P216)))*(I216*VLOOKUP($B216,Premissas!$A$4:$E$7,2,0)+J216*VLOOKUP($B216,Premissas!$A$4:$E$7,3,0))+K216*VLOOKUP($B216,Premissas!$A$4:$E$7,4,0)+L216*VLOOKUP($B216,Premissas!$A$4:$E$7,5,0))</f>
        <v/>
      </c>
      <c r="N216" s="14">
        <f>H216-M216</f>
        <v/>
      </c>
      <c r="O216" t="inlineStr">
        <is>
          <t>Não</t>
        </is>
      </c>
      <c r="P216" t="inlineStr">
        <is>
          <t>1.350</t>
        </is>
      </c>
    </row>
    <row r="217">
      <c r="A217" t="inlineStr">
        <is>
          <t>Antes de 2026</t>
        </is>
      </c>
      <c r="B217" t="inlineStr">
        <is>
          <t>Frete de venda</t>
        </is>
      </c>
      <c r="C217" t="inlineStr">
        <is>
          <t>Frete de venda (para clientes)</t>
        </is>
      </c>
      <c r="D217" t="inlineStr">
        <is>
          <t>CT-e</t>
        </is>
      </c>
      <c r="E217" t="inlineStr">
        <is>
          <t>000003155</t>
        </is>
      </c>
      <c r="F217" t="inlineStr">
        <is>
          <t>R&amp;R TRANSPORTE E LOGISTICA</t>
        </is>
      </c>
      <c r="G217" s="27" t="n">
        <v>45609</v>
      </c>
      <c r="H217" s="14" t="n">
        <v>700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>
        <f>IF(B217="Frete de venda",0,(1-ISNUMBER(SEARCH("556",P217)))*(I217*VLOOKUP($B217,Premissas!$A$4:$E$7,2,0)+J217*VLOOKUP($B217,Premissas!$A$4:$E$7,3,0))+K217*VLOOKUP($B217,Premissas!$A$4:$E$7,4,0)+L217*VLOOKUP($B217,Premissas!$A$4:$E$7,5,0))</f>
        <v/>
      </c>
      <c r="N217" s="14">
        <f>H217-M217</f>
        <v/>
      </c>
      <c r="O217" t="inlineStr">
        <is>
          <t>Não</t>
        </is>
      </c>
      <c r="P217" t="inlineStr">
        <is>
          <t>1.350</t>
        </is>
      </c>
    </row>
    <row r="218">
      <c r="A218" t="inlineStr">
        <is>
          <t>Antes de 2026</t>
        </is>
      </c>
      <c r="B218" t="inlineStr">
        <is>
          <t>Frete de venda</t>
        </is>
      </c>
      <c r="C218" t="inlineStr">
        <is>
          <t>Frete de venda (para clientes)</t>
        </is>
      </c>
      <c r="D218" t="inlineStr">
        <is>
          <t>CT-e</t>
        </is>
      </c>
      <c r="E218" t="inlineStr">
        <is>
          <t>000003369</t>
        </is>
      </c>
      <c r="F218" t="inlineStr">
        <is>
          <t>R&amp;R TRANSPORTE E LOGISTICA</t>
        </is>
      </c>
      <c r="G218" s="27" t="n">
        <v>45632</v>
      </c>
      <c r="H218" s="14" t="n">
        <v>65</v>
      </c>
      <c r="I218" s="14" t="n">
        <v>0</v>
      </c>
      <c r="J218" s="14" t="n">
        <v>0</v>
      </c>
      <c r="K218" s="14" t="n">
        <v>0</v>
      </c>
      <c r="L218" s="14" t="n">
        <v>0</v>
      </c>
      <c r="M218" s="14">
        <f>IF(B218="Frete de venda",0,(1-ISNUMBER(SEARCH("556",P218)))*(I218*VLOOKUP($B218,Premissas!$A$4:$E$7,2,0)+J218*VLOOKUP($B218,Premissas!$A$4:$E$7,3,0))+K218*VLOOKUP($B218,Premissas!$A$4:$E$7,4,0)+L218*VLOOKUP($B218,Premissas!$A$4:$E$7,5,0))</f>
        <v/>
      </c>
      <c r="N218" s="14">
        <f>H218-M218</f>
        <v/>
      </c>
      <c r="O218" t="inlineStr">
        <is>
          <t>Não</t>
        </is>
      </c>
      <c r="P218" t="inlineStr">
        <is>
          <t>1.350</t>
        </is>
      </c>
    </row>
    <row r="219">
      <c r="A219" t="inlineStr">
        <is>
          <t>Antes de 2026</t>
        </is>
      </c>
      <c r="B219" t="inlineStr">
        <is>
          <t>Frete de venda</t>
        </is>
      </c>
      <c r="C219" t="inlineStr">
        <is>
          <t>Frete de venda (para clientes)</t>
        </is>
      </c>
      <c r="D219" t="inlineStr">
        <is>
          <t>CT-e</t>
        </is>
      </c>
      <c r="E219" t="inlineStr">
        <is>
          <t>000000058</t>
        </is>
      </c>
      <c r="F219" t="inlineStr">
        <is>
          <t>ADIL CARLOS DA SILVA</t>
        </is>
      </c>
      <c r="G219" s="27" t="n">
        <v>45591</v>
      </c>
      <c r="H219" s="14" t="n">
        <v>100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>
        <f>IF(B219="Frete de venda",0,(1-ISNUMBER(SEARCH("556",P219)))*(I219*VLOOKUP($B219,Premissas!$A$4:$E$7,2,0)+J219*VLOOKUP($B219,Premissas!$A$4:$E$7,3,0))+K219*VLOOKUP($B219,Premissas!$A$4:$E$7,4,0)+L219*VLOOKUP($B219,Premissas!$A$4:$E$7,5,0))</f>
        <v/>
      </c>
      <c r="N219" s="14">
        <f>H219-M219</f>
        <v/>
      </c>
      <c r="O219" t="inlineStr">
        <is>
          <t>Não</t>
        </is>
      </c>
      <c r="P219" t="inlineStr">
        <is>
          <t>2.350</t>
        </is>
      </c>
    </row>
    <row r="220">
      <c r="A220" t="inlineStr">
        <is>
          <t>Antes de 2026</t>
        </is>
      </c>
      <c r="B220" t="inlineStr">
        <is>
          <t>Frete de venda</t>
        </is>
      </c>
      <c r="C220" t="inlineStr">
        <is>
          <t>Frete de venda (para clientes)</t>
        </is>
      </c>
      <c r="D220" t="inlineStr">
        <is>
          <t>CT-e</t>
        </is>
      </c>
      <c r="E220" t="inlineStr">
        <is>
          <t>000003232</t>
        </is>
      </c>
      <c r="F220" t="inlineStr">
        <is>
          <t>R&amp;R TRANSPORTE E LOGISTICA</t>
        </is>
      </c>
      <c r="G220" s="27" t="n">
        <v>45616</v>
      </c>
      <c r="H220" s="14" t="n">
        <v>64</v>
      </c>
      <c r="I220" s="14" t="n">
        <v>0</v>
      </c>
      <c r="J220" s="14" t="n">
        <v>0</v>
      </c>
      <c r="K220" s="14" t="n">
        <v>0</v>
      </c>
      <c r="L220" s="14" t="n">
        <v>0</v>
      </c>
      <c r="M220" s="14">
        <f>IF(B220="Frete de venda",0,(1-ISNUMBER(SEARCH("556",P220)))*(I220*VLOOKUP($B220,Premissas!$A$4:$E$7,2,0)+J220*VLOOKUP($B220,Premissas!$A$4:$E$7,3,0))+K220*VLOOKUP($B220,Premissas!$A$4:$E$7,4,0)+L220*VLOOKUP($B220,Premissas!$A$4:$E$7,5,0))</f>
        <v/>
      </c>
      <c r="N220" s="14">
        <f>H220-M220</f>
        <v/>
      </c>
      <c r="O220" t="inlineStr">
        <is>
          <t>Não</t>
        </is>
      </c>
      <c r="P220" t="inlineStr">
        <is>
          <t>1.350</t>
        </is>
      </c>
    </row>
    <row r="221">
      <c r="A221" t="inlineStr">
        <is>
          <t>Antes de 2026</t>
        </is>
      </c>
      <c r="B221" t="inlineStr">
        <is>
          <t>Frete de venda</t>
        </is>
      </c>
      <c r="C221" t="inlineStr">
        <is>
          <t>Frete de venda (para clientes)</t>
        </is>
      </c>
      <c r="D221" t="inlineStr">
        <is>
          <t>CT-e</t>
        </is>
      </c>
      <c r="E221" t="inlineStr">
        <is>
          <t>000003349</t>
        </is>
      </c>
      <c r="F221" t="inlineStr">
        <is>
          <t>R&amp;R TRANSPORTE E LOGISTICA</t>
        </is>
      </c>
      <c r="G221" s="27" t="n">
        <v>45628</v>
      </c>
      <c r="H221" s="14" t="n">
        <v>126.45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>
        <f>IF(B221="Frete de venda",0,(1-ISNUMBER(SEARCH("556",P221)))*(I221*VLOOKUP($B221,Premissas!$A$4:$E$7,2,0)+J221*VLOOKUP($B221,Premissas!$A$4:$E$7,3,0))+K221*VLOOKUP($B221,Premissas!$A$4:$E$7,4,0)+L221*VLOOKUP($B221,Premissas!$A$4:$E$7,5,0))</f>
        <v/>
      </c>
      <c r="N221" s="14">
        <f>H221-M221</f>
        <v/>
      </c>
      <c r="O221" t="inlineStr">
        <is>
          <t>Não</t>
        </is>
      </c>
      <c r="P221" t="inlineStr">
        <is>
          <t>1.350</t>
        </is>
      </c>
    </row>
    <row r="222">
      <c r="A222" t="inlineStr">
        <is>
          <t>Antes de 2026</t>
        </is>
      </c>
      <c r="B222" t="inlineStr">
        <is>
          <t>Frete de venda</t>
        </is>
      </c>
      <c r="C222" t="inlineStr">
        <is>
          <t>Frete de venda (para clientes)</t>
        </is>
      </c>
      <c r="D222" t="inlineStr">
        <is>
          <t>CT-e</t>
        </is>
      </c>
      <c r="E222" t="inlineStr">
        <is>
          <t>000003450</t>
        </is>
      </c>
      <c r="F222" t="inlineStr">
        <is>
          <t>R&amp;R TRANSPORTE E LOGISTICA</t>
        </is>
      </c>
      <c r="G222" s="27" t="n">
        <v>45646</v>
      </c>
      <c r="H222" s="14" t="n">
        <v>46.34</v>
      </c>
      <c r="I222" s="14" t="n">
        <v>0</v>
      </c>
      <c r="J222" s="14" t="n">
        <v>0</v>
      </c>
      <c r="K222" s="14" t="n">
        <v>0</v>
      </c>
      <c r="L222" s="14" t="n">
        <v>0</v>
      </c>
      <c r="M222" s="14">
        <f>IF(B222="Frete de venda",0,(1-ISNUMBER(SEARCH("556",P222)))*(I222*VLOOKUP($B222,Premissas!$A$4:$E$7,2,0)+J222*VLOOKUP($B222,Premissas!$A$4:$E$7,3,0))+K222*VLOOKUP($B222,Premissas!$A$4:$E$7,4,0)+L222*VLOOKUP($B222,Premissas!$A$4:$E$7,5,0))</f>
        <v/>
      </c>
      <c r="N222" s="14">
        <f>H222-M222</f>
        <v/>
      </c>
      <c r="O222" t="inlineStr">
        <is>
          <t>Não</t>
        </is>
      </c>
      <c r="P222" t="inlineStr">
        <is>
          <t>1.350</t>
        </is>
      </c>
    </row>
    <row r="223">
      <c r="A223" t="inlineStr">
        <is>
          <t>Antes de 2026</t>
        </is>
      </c>
      <c r="B223" t="inlineStr">
        <is>
          <t>Frete de venda</t>
        </is>
      </c>
      <c r="C223" t="inlineStr">
        <is>
          <t>Frete de venda (para clientes)</t>
        </is>
      </c>
      <c r="D223" t="inlineStr">
        <is>
          <t>CT-e</t>
        </is>
      </c>
      <c r="E223" t="inlineStr">
        <is>
          <t>000003306</t>
        </is>
      </c>
      <c r="F223" t="inlineStr">
        <is>
          <t>R&amp;R TRANSPORTE E LOGISTICA</t>
        </is>
      </c>
      <c r="G223" s="27" t="n">
        <v>45618</v>
      </c>
      <c r="H223" s="14" t="n">
        <v>51</v>
      </c>
      <c r="I223" s="14" t="n">
        <v>0</v>
      </c>
      <c r="J223" s="14" t="n">
        <v>0</v>
      </c>
      <c r="K223" s="14" t="n">
        <v>0</v>
      </c>
      <c r="L223" s="14" t="n">
        <v>0</v>
      </c>
      <c r="M223" s="14">
        <f>IF(B223="Frete de venda",0,(1-ISNUMBER(SEARCH("556",P223)))*(I223*VLOOKUP($B223,Premissas!$A$4:$E$7,2,0)+J223*VLOOKUP($B223,Premissas!$A$4:$E$7,3,0))+K223*VLOOKUP($B223,Premissas!$A$4:$E$7,4,0)+L223*VLOOKUP($B223,Premissas!$A$4:$E$7,5,0))</f>
        <v/>
      </c>
      <c r="N223" s="14">
        <f>H223-M223</f>
        <v/>
      </c>
      <c r="O223" t="inlineStr">
        <is>
          <t>Não</t>
        </is>
      </c>
      <c r="P223" t="inlineStr">
        <is>
          <t>1.350</t>
        </is>
      </c>
    </row>
    <row r="224">
      <c r="A224" t="inlineStr">
        <is>
          <t>Antes de 2026</t>
        </is>
      </c>
      <c r="B224" t="inlineStr">
        <is>
          <t>Frete de venda</t>
        </is>
      </c>
      <c r="C224" t="inlineStr">
        <is>
          <t>Frete de venda (para clientes)</t>
        </is>
      </c>
      <c r="D224" t="inlineStr">
        <is>
          <t>CT-e</t>
        </is>
      </c>
      <c r="E224" t="inlineStr">
        <is>
          <t>000002901</t>
        </is>
      </c>
      <c r="F224" t="inlineStr">
        <is>
          <t>R&amp;R TRANSPORTE E LOGISTICA</t>
        </is>
      </c>
      <c r="G224" s="27" t="n">
        <v>45587</v>
      </c>
      <c r="H224" s="14" t="n">
        <v>230</v>
      </c>
      <c r="I224" s="14" t="n">
        <v>0</v>
      </c>
      <c r="J224" s="14" t="n">
        <v>0</v>
      </c>
      <c r="K224" s="14" t="n">
        <v>0</v>
      </c>
      <c r="L224" s="14" t="n">
        <v>0</v>
      </c>
      <c r="M224" s="14">
        <f>IF(B224="Frete de venda",0,(1-ISNUMBER(SEARCH("556",P224)))*(I224*VLOOKUP($B224,Premissas!$A$4:$E$7,2,0)+J224*VLOOKUP($B224,Premissas!$A$4:$E$7,3,0))+K224*VLOOKUP($B224,Premissas!$A$4:$E$7,4,0)+L224*VLOOKUP($B224,Premissas!$A$4:$E$7,5,0))</f>
        <v/>
      </c>
      <c r="N224" s="14">
        <f>H224-M224</f>
        <v/>
      </c>
      <c r="O224" t="inlineStr">
        <is>
          <t>Não</t>
        </is>
      </c>
      <c r="P224" t="inlineStr">
        <is>
          <t>1.350</t>
        </is>
      </c>
    </row>
    <row r="225">
      <c r="A225" t="inlineStr">
        <is>
          <t>Antes de 2026</t>
        </is>
      </c>
      <c r="B225" t="inlineStr">
        <is>
          <t>Frete de venda</t>
        </is>
      </c>
      <c r="C225" t="inlineStr">
        <is>
          <t>Frete de venda (para clientes)</t>
        </is>
      </c>
      <c r="D225" t="inlineStr">
        <is>
          <t>CT-e</t>
        </is>
      </c>
      <c r="E225" t="inlineStr">
        <is>
          <t>000003343</t>
        </is>
      </c>
      <c r="F225" t="inlineStr">
        <is>
          <t>R&amp;R TRANSPORTE E LOGISTICA</t>
        </is>
      </c>
      <c r="G225" s="27" t="n">
        <v>45626</v>
      </c>
      <c r="H225" s="14" t="n">
        <v>383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>
        <f>IF(B225="Frete de venda",0,(1-ISNUMBER(SEARCH("556",P225)))*(I225*VLOOKUP($B225,Premissas!$A$4:$E$7,2,0)+J225*VLOOKUP($B225,Premissas!$A$4:$E$7,3,0))+K225*VLOOKUP($B225,Premissas!$A$4:$E$7,4,0)+L225*VLOOKUP($B225,Premissas!$A$4:$E$7,5,0))</f>
        <v/>
      </c>
      <c r="N225" s="14">
        <f>H225-M225</f>
        <v/>
      </c>
      <c r="O225" t="inlineStr">
        <is>
          <t>Não</t>
        </is>
      </c>
      <c r="P225" t="inlineStr">
        <is>
          <t>1.350</t>
        </is>
      </c>
    </row>
    <row r="226">
      <c r="A226" t="inlineStr">
        <is>
          <t>Antes de 2026</t>
        </is>
      </c>
      <c r="B226" t="inlineStr">
        <is>
          <t>Frete de venda</t>
        </is>
      </c>
      <c r="C226" t="inlineStr">
        <is>
          <t>Frete de venda (para clientes)</t>
        </is>
      </c>
      <c r="D226" t="inlineStr">
        <is>
          <t>CT-e</t>
        </is>
      </c>
      <c r="E226" t="inlineStr">
        <is>
          <t>000002898</t>
        </is>
      </c>
      <c r="F226" t="inlineStr">
        <is>
          <t>R&amp;R TRANSPORTE E LOGISTICA</t>
        </is>
      </c>
      <c r="G226" s="27" t="n">
        <v>45587</v>
      </c>
      <c r="H226" s="14" t="n">
        <v>230</v>
      </c>
      <c r="I226" s="14" t="n">
        <v>0</v>
      </c>
      <c r="J226" s="14" t="n">
        <v>0</v>
      </c>
      <c r="K226" s="14" t="n">
        <v>0</v>
      </c>
      <c r="L226" s="14" t="n">
        <v>0</v>
      </c>
      <c r="M226" s="14">
        <f>IF(B226="Frete de venda",0,(1-ISNUMBER(SEARCH("556",P226)))*(I226*VLOOKUP($B226,Premissas!$A$4:$E$7,2,0)+J226*VLOOKUP($B226,Premissas!$A$4:$E$7,3,0))+K226*VLOOKUP($B226,Premissas!$A$4:$E$7,4,0)+L226*VLOOKUP($B226,Premissas!$A$4:$E$7,5,0))</f>
        <v/>
      </c>
      <c r="N226" s="14">
        <f>H226-M226</f>
        <v/>
      </c>
      <c r="O226" t="inlineStr">
        <is>
          <t>Não</t>
        </is>
      </c>
      <c r="P226" t="inlineStr">
        <is>
          <t>1.350</t>
        </is>
      </c>
    </row>
    <row r="227">
      <c r="A227" t="inlineStr">
        <is>
          <t>Antes de 2026</t>
        </is>
      </c>
      <c r="B227" t="inlineStr">
        <is>
          <t>Frete de venda</t>
        </is>
      </c>
      <c r="C227" t="inlineStr">
        <is>
          <t>Frete de venda (para clientes)</t>
        </is>
      </c>
      <c r="D227" t="inlineStr">
        <is>
          <t>CT-e</t>
        </is>
      </c>
      <c r="E227" t="inlineStr">
        <is>
          <t>000003340</t>
        </is>
      </c>
      <c r="F227" t="inlineStr">
        <is>
          <t>R&amp;R TRANSPORTE E LOGISTICA</t>
        </is>
      </c>
      <c r="G227" s="27" t="n">
        <v>45625</v>
      </c>
      <c r="H227" s="14" t="n">
        <v>200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>
        <f>IF(B227="Frete de venda",0,(1-ISNUMBER(SEARCH("556",P227)))*(I227*VLOOKUP($B227,Premissas!$A$4:$E$7,2,0)+J227*VLOOKUP($B227,Premissas!$A$4:$E$7,3,0))+K227*VLOOKUP($B227,Premissas!$A$4:$E$7,4,0)+L227*VLOOKUP($B227,Premissas!$A$4:$E$7,5,0))</f>
        <v/>
      </c>
      <c r="N227" s="14">
        <f>H227-M227</f>
        <v/>
      </c>
      <c r="O227" t="inlineStr">
        <is>
          <t>Não</t>
        </is>
      </c>
      <c r="P227" t="inlineStr">
        <is>
          <t>1.350</t>
        </is>
      </c>
    </row>
    <row r="228">
      <c r="A228" t="inlineStr">
        <is>
          <t>Antes de 2026</t>
        </is>
      </c>
      <c r="B228" t="inlineStr">
        <is>
          <t>Frete de venda</t>
        </is>
      </c>
      <c r="C228" t="inlineStr">
        <is>
          <t>Frete de venda (para clientes)</t>
        </is>
      </c>
      <c r="D228" t="inlineStr">
        <is>
          <t>CT-e</t>
        </is>
      </c>
      <c r="E228" t="inlineStr">
        <is>
          <t>000003496</t>
        </is>
      </c>
      <c r="F228" t="inlineStr">
        <is>
          <t>R&amp;R TRANSPORTE E LOGISTICA</t>
        </is>
      </c>
      <c r="G228" s="27" t="n">
        <v>45661</v>
      </c>
      <c r="H228" s="14" t="n">
        <v>166</v>
      </c>
      <c r="I228" s="14" t="n">
        <v>0</v>
      </c>
      <c r="J228" s="14" t="n">
        <v>0</v>
      </c>
      <c r="K228" s="14" t="n">
        <v>0</v>
      </c>
      <c r="L228" s="14" t="n">
        <v>0</v>
      </c>
      <c r="M228" s="14">
        <f>IF(B228="Frete de venda",0,(1-ISNUMBER(SEARCH("556",P228)))*(I228*VLOOKUP($B228,Premissas!$A$4:$E$7,2,0)+J228*VLOOKUP($B228,Premissas!$A$4:$E$7,3,0))+K228*VLOOKUP($B228,Premissas!$A$4:$E$7,4,0)+L228*VLOOKUP($B228,Premissas!$A$4:$E$7,5,0))</f>
        <v/>
      </c>
      <c r="N228" s="14">
        <f>H228-M228</f>
        <v/>
      </c>
      <c r="O228" t="inlineStr">
        <is>
          <t>Não</t>
        </is>
      </c>
      <c r="P228" t="inlineStr">
        <is>
          <t>1.350</t>
        </is>
      </c>
    </row>
    <row r="229">
      <c r="A229" t="inlineStr">
        <is>
          <t>Antes de 2026</t>
        </is>
      </c>
      <c r="B229" t="inlineStr">
        <is>
          <t>Frete de venda</t>
        </is>
      </c>
      <c r="C229" t="inlineStr">
        <is>
          <t>Frete de venda (para clientes)</t>
        </is>
      </c>
      <c r="D229" t="inlineStr">
        <is>
          <t>CT-e</t>
        </is>
      </c>
      <c r="E229" t="inlineStr">
        <is>
          <t>000003385</t>
        </is>
      </c>
      <c r="F229" t="inlineStr">
        <is>
          <t>R&amp;R TRANSPORTE E LOGISTICA</t>
        </is>
      </c>
      <c r="G229" s="27" t="n">
        <v>45638</v>
      </c>
      <c r="H229" s="14" t="n">
        <v>29.68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>
        <f>IF(B229="Frete de venda",0,(1-ISNUMBER(SEARCH("556",P229)))*(I229*VLOOKUP($B229,Premissas!$A$4:$E$7,2,0)+J229*VLOOKUP($B229,Premissas!$A$4:$E$7,3,0))+K229*VLOOKUP($B229,Premissas!$A$4:$E$7,4,0)+L229*VLOOKUP($B229,Premissas!$A$4:$E$7,5,0))</f>
        <v/>
      </c>
      <c r="N229" s="14">
        <f>H229-M229</f>
        <v/>
      </c>
      <c r="O229" t="inlineStr">
        <is>
          <t>Não</t>
        </is>
      </c>
      <c r="P229" t="inlineStr">
        <is>
          <t>1.350</t>
        </is>
      </c>
    </row>
    <row r="230">
      <c r="A230" t="inlineStr">
        <is>
          <t>Antes de 2026</t>
        </is>
      </c>
      <c r="B230" t="inlineStr">
        <is>
          <t>Frete de venda</t>
        </is>
      </c>
      <c r="C230" t="inlineStr">
        <is>
          <t>Frete de venda (para clientes)</t>
        </is>
      </c>
      <c r="D230" t="inlineStr">
        <is>
          <t>CT-e</t>
        </is>
      </c>
      <c r="E230" t="inlineStr">
        <is>
          <t>000000065</t>
        </is>
      </c>
      <c r="F230" t="inlineStr">
        <is>
          <t>ADIL CARLOS DA SILVA</t>
        </is>
      </c>
      <c r="G230" s="27" t="n">
        <v>45607</v>
      </c>
      <c r="H230" s="14" t="n">
        <v>10</v>
      </c>
      <c r="I230" s="14" t="n">
        <v>0</v>
      </c>
      <c r="J230" s="14" t="n">
        <v>0</v>
      </c>
      <c r="K230" s="14" t="n">
        <v>0</v>
      </c>
      <c r="L230" s="14" t="n">
        <v>0</v>
      </c>
      <c r="M230" s="14">
        <f>IF(B230="Frete de venda",0,(1-ISNUMBER(SEARCH("556",P230)))*(I230*VLOOKUP($B230,Premissas!$A$4:$E$7,2,0)+J230*VLOOKUP($B230,Premissas!$A$4:$E$7,3,0))+K230*VLOOKUP($B230,Premissas!$A$4:$E$7,4,0)+L230*VLOOKUP($B230,Premissas!$A$4:$E$7,5,0))</f>
        <v/>
      </c>
      <c r="N230" s="14">
        <f>H230-M230</f>
        <v/>
      </c>
      <c r="O230" t="inlineStr">
        <is>
          <t>Não</t>
        </is>
      </c>
      <c r="P230" t="inlineStr">
        <is>
          <t>2.350</t>
        </is>
      </c>
    </row>
    <row r="231">
      <c r="A231" t="inlineStr">
        <is>
          <t>Antes de 2026</t>
        </is>
      </c>
      <c r="B231" t="inlineStr">
        <is>
          <t>Frete de venda</t>
        </is>
      </c>
      <c r="C231" t="inlineStr">
        <is>
          <t>Frete de venda (para clientes)</t>
        </is>
      </c>
      <c r="D231" t="inlineStr">
        <is>
          <t>CT-e</t>
        </is>
      </c>
      <c r="E231" t="inlineStr">
        <is>
          <t>000003008</t>
        </is>
      </c>
      <c r="F231" t="inlineStr">
        <is>
          <t>R&amp;R TRANSPORTE E LOGISTICA</t>
        </is>
      </c>
      <c r="G231" s="27" t="n">
        <v>45594</v>
      </c>
      <c r="H231" s="14" t="n">
        <v>32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>
        <f>IF(B231="Frete de venda",0,(1-ISNUMBER(SEARCH("556",P231)))*(I231*VLOOKUP($B231,Premissas!$A$4:$E$7,2,0)+J231*VLOOKUP($B231,Premissas!$A$4:$E$7,3,0))+K231*VLOOKUP($B231,Premissas!$A$4:$E$7,4,0)+L231*VLOOKUP($B231,Premissas!$A$4:$E$7,5,0))</f>
        <v/>
      </c>
      <c r="N231" s="14">
        <f>H231-M231</f>
        <v/>
      </c>
      <c r="O231" t="inlineStr">
        <is>
          <t>Não</t>
        </is>
      </c>
      <c r="P231" t="inlineStr">
        <is>
          <t>1.350</t>
        </is>
      </c>
    </row>
    <row r="232">
      <c r="A232" t="inlineStr">
        <is>
          <t>Antes de 2026</t>
        </is>
      </c>
      <c r="B232" t="inlineStr">
        <is>
          <t>Frete de venda</t>
        </is>
      </c>
      <c r="C232" t="inlineStr">
        <is>
          <t>Frete de venda (para clientes)</t>
        </is>
      </c>
      <c r="D232" t="inlineStr">
        <is>
          <t>CT-e</t>
        </is>
      </c>
      <c r="E232" t="inlineStr">
        <is>
          <t>000003005</t>
        </is>
      </c>
      <c r="F232" t="inlineStr">
        <is>
          <t>R&amp;R TRANSPORTE E LOGISTICA</t>
        </is>
      </c>
      <c r="G232" s="27" t="n">
        <v>45594</v>
      </c>
      <c r="H232" s="14" t="n">
        <v>21</v>
      </c>
      <c r="I232" s="14" t="n">
        <v>0</v>
      </c>
      <c r="J232" s="14" t="n">
        <v>0</v>
      </c>
      <c r="K232" s="14" t="n">
        <v>0</v>
      </c>
      <c r="L232" s="14" t="n">
        <v>0</v>
      </c>
      <c r="M232" s="14">
        <f>IF(B232="Frete de venda",0,(1-ISNUMBER(SEARCH("556",P232)))*(I232*VLOOKUP($B232,Premissas!$A$4:$E$7,2,0)+J232*VLOOKUP($B232,Premissas!$A$4:$E$7,3,0))+K232*VLOOKUP($B232,Premissas!$A$4:$E$7,4,0)+L232*VLOOKUP($B232,Premissas!$A$4:$E$7,5,0))</f>
        <v/>
      </c>
      <c r="N232" s="14">
        <f>H232-M232</f>
        <v/>
      </c>
      <c r="O232" t="inlineStr">
        <is>
          <t>Não</t>
        </is>
      </c>
      <c r="P232" t="inlineStr">
        <is>
          <t>1.350</t>
        </is>
      </c>
    </row>
    <row r="233">
      <c r="A233" t="inlineStr">
        <is>
          <t>Antes de 2026</t>
        </is>
      </c>
      <c r="B233" t="inlineStr">
        <is>
          <t>Frete de venda</t>
        </is>
      </c>
      <c r="C233" t="inlineStr">
        <is>
          <t>Frete de venda (para clientes)</t>
        </is>
      </c>
      <c r="D233" t="inlineStr">
        <is>
          <t>CT-e</t>
        </is>
      </c>
      <c r="E233" t="inlineStr">
        <is>
          <t>000003390</t>
        </is>
      </c>
      <c r="F233" t="inlineStr">
        <is>
          <t>R&amp;R TRANSPORTE E LOGISTICA</t>
        </is>
      </c>
      <c r="G233" s="27" t="n">
        <v>45638</v>
      </c>
      <c r="H233" s="14" t="n">
        <v>44.73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>
        <f>IF(B233="Frete de venda",0,(1-ISNUMBER(SEARCH("556",P233)))*(I233*VLOOKUP($B233,Premissas!$A$4:$E$7,2,0)+J233*VLOOKUP($B233,Premissas!$A$4:$E$7,3,0))+K233*VLOOKUP($B233,Premissas!$A$4:$E$7,4,0)+L233*VLOOKUP($B233,Premissas!$A$4:$E$7,5,0))</f>
        <v/>
      </c>
      <c r="N233" s="14">
        <f>H233-M233</f>
        <v/>
      </c>
      <c r="O233" t="inlineStr">
        <is>
          <t>Não</t>
        </is>
      </c>
      <c r="P233" t="inlineStr">
        <is>
          <t>1.350</t>
        </is>
      </c>
    </row>
    <row r="234">
      <c r="A234" t="inlineStr">
        <is>
          <t>Antes de 2026</t>
        </is>
      </c>
      <c r="B234" t="inlineStr">
        <is>
          <t>Frete de venda</t>
        </is>
      </c>
      <c r="C234" t="inlineStr">
        <is>
          <t>Frete de venda (para clientes)</t>
        </is>
      </c>
      <c r="D234" t="inlineStr">
        <is>
          <t>CT-e</t>
        </is>
      </c>
      <c r="E234" t="inlineStr">
        <is>
          <t>000003312</t>
        </is>
      </c>
      <c r="F234" t="inlineStr">
        <is>
          <t>R&amp;R TRANSPORTE E LOGISTICA</t>
        </is>
      </c>
      <c r="G234" s="27" t="n">
        <v>45619</v>
      </c>
      <c r="H234" s="14" t="n">
        <v>64</v>
      </c>
      <c r="I234" s="14" t="n">
        <v>0</v>
      </c>
      <c r="J234" s="14" t="n">
        <v>0</v>
      </c>
      <c r="K234" s="14" t="n">
        <v>0</v>
      </c>
      <c r="L234" s="14" t="n">
        <v>0</v>
      </c>
      <c r="M234" s="14">
        <f>IF(B234="Frete de venda",0,(1-ISNUMBER(SEARCH("556",P234)))*(I234*VLOOKUP($B234,Premissas!$A$4:$E$7,2,0)+J234*VLOOKUP($B234,Premissas!$A$4:$E$7,3,0))+K234*VLOOKUP($B234,Premissas!$A$4:$E$7,4,0)+L234*VLOOKUP($B234,Premissas!$A$4:$E$7,5,0))</f>
        <v/>
      </c>
      <c r="N234" s="14">
        <f>H234-M234</f>
        <v/>
      </c>
      <c r="O234" t="inlineStr">
        <is>
          <t>Não</t>
        </is>
      </c>
      <c r="P234" t="inlineStr">
        <is>
          <t>1.350</t>
        </is>
      </c>
    </row>
    <row r="235">
      <c r="A235" t="inlineStr">
        <is>
          <t>Antes de 2026</t>
        </is>
      </c>
      <c r="B235" t="inlineStr">
        <is>
          <t>Frete de venda</t>
        </is>
      </c>
      <c r="C235" t="inlineStr">
        <is>
          <t>Frete de venda (para clientes)</t>
        </is>
      </c>
      <c r="D235" t="inlineStr">
        <is>
          <t>CT-e</t>
        </is>
      </c>
      <c r="E235" t="inlineStr">
        <is>
          <t>000003082</t>
        </is>
      </c>
      <c r="F235" t="inlineStr">
        <is>
          <t>R&amp;R TRANSPORTE E LOGISTICA</t>
        </is>
      </c>
      <c r="G235" s="27" t="n">
        <v>45598</v>
      </c>
      <c r="H235" s="14" t="n">
        <v>250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>
        <f>IF(B235="Frete de venda",0,(1-ISNUMBER(SEARCH("556",P235)))*(I235*VLOOKUP($B235,Premissas!$A$4:$E$7,2,0)+J235*VLOOKUP($B235,Premissas!$A$4:$E$7,3,0))+K235*VLOOKUP($B235,Premissas!$A$4:$E$7,4,0)+L235*VLOOKUP($B235,Premissas!$A$4:$E$7,5,0))</f>
        <v/>
      </c>
      <c r="N235" s="14">
        <f>H235-M235</f>
        <v/>
      </c>
      <c r="O235" t="inlineStr">
        <is>
          <t>Não</t>
        </is>
      </c>
      <c r="P235" t="inlineStr">
        <is>
          <t>1.350</t>
        </is>
      </c>
    </row>
    <row r="236">
      <c r="A236" t="inlineStr">
        <is>
          <t>Antes de 2026</t>
        </is>
      </c>
      <c r="B236" t="inlineStr">
        <is>
          <t>Frete de venda</t>
        </is>
      </c>
      <c r="C236" t="inlineStr">
        <is>
          <t>Frete de venda (para clientes)</t>
        </is>
      </c>
      <c r="D236" t="inlineStr">
        <is>
          <t>CT-e</t>
        </is>
      </c>
      <c r="E236" t="inlineStr">
        <is>
          <t>000003166</t>
        </is>
      </c>
      <c r="F236" t="inlineStr">
        <is>
          <t>R&amp;R TRANSPORTE E LOGISTICA</t>
        </is>
      </c>
      <c r="G236" s="27" t="n">
        <v>45611</v>
      </c>
      <c r="H236" s="14" t="n">
        <v>55</v>
      </c>
      <c r="I236" s="14" t="n">
        <v>0</v>
      </c>
      <c r="J236" s="14" t="n">
        <v>0</v>
      </c>
      <c r="K236" s="14" t="n">
        <v>0</v>
      </c>
      <c r="L236" s="14" t="n">
        <v>0</v>
      </c>
      <c r="M236" s="14">
        <f>IF(B236="Frete de venda",0,(1-ISNUMBER(SEARCH("556",P236)))*(I236*VLOOKUP($B236,Premissas!$A$4:$E$7,2,0)+J236*VLOOKUP($B236,Premissas!$A$4:$E$7,3,0))+K236*VLOOKUP($B236,Premissas!$A$4:$E$7,4,0)+L236*VLOOKUP($B236,Premissas!$A$4:$E$7,5,0))</f>
        <v/>
      </c>
      <c r="N236" s="14">
        <f>H236-M236</f>
        <v/>
      </c>
      <c r="O236" t="inlineStr">
        <is>
          <t>Não</t>
        </is>
      </c>
      <c r="P236" t="inlineStr">
        <is>
          <t>1.350</t>
        </is>
      </c>
    </row>
    <row r="237">
      <c r="A237" t="inlineStr">
        <is>
          <t>Antes de 2026</t>
        </is>
      </c>
      <c r="B237" t="inlineStr">
        <is>
          <t>Frete de venda</t>
        </is>
      </c>
      <c r="C237" t="inlineStr">
        <is>
          <t>Frete de venda (para clientes)</t>
        </is>
      </c>
      <c r="D237" t="inlineStr">
        <is>
          <t>CT-e</t>
        </is>
      </c>
      <c r="E237" t="inlineStr">
        <is>
          <t>000003231</t>
        </is>
      </c>
      <c r="F237" t="inlineStr">
        <is>
          <t>R&amp;R TRANSPORTE E LOGISTICA</t>
        </is>
      </c>
      <c r="G237" s="27" t="n">
        <v>45616</v>
      </c>
      <c r="H237" s="14" t="n">
        <v>55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>
        <f>IF(B237="Frete de venda",0,(1-ISNUMBER(SEARCH("556",P237)))*(I237*VLOOKUP($B237,Premissas!$A$4:$E$7,2,0)+J237*VLOOKUP($B237,Premissas!$A$4:$E$7,3,0))+K237*VLOOKUP($B237,Premissas!$A$4:$E$7,4,0)+L237*VLOOKUP($B237,Premissas!$A$4:$E$7,5,0))</f>
        <v/>
      </c>
      <c r="N237" s="14">
        <f>H237-M237</f>
        <v/>
      </c>
      <c r="O237" t="inlineStr">
        <is>
          <t>Não</t>
        </is>
      </c>
      <c r="P237" t="inlineStr">
        <is>
          <t>1.350</t>
        </is>
      </c>
    </row>
    <row r="238">
      <c r="A238" t="inlineStr">
        <is>
          <t>Antes de 2026</t>
        </is>
      </c>
      <c r="B238" t="inlineStr">
        <is>
          <t>Frete de venda</t>
        </is>
      </c>
      <c r="C238" t="inlineStr">
        <is>
          <t>Frete de venda (para clientes)</t>
        </is>
      </c>
      <c r="D238" t="inlineStr">
        <is>
          <t>CT-e</t>
        </is>
      </c>
      <c r="E238" t="inlineStr">
        <is>
          <t>000003307</t>
        </is>
      </c>
      <c r="F238" t="inlineStr">
        <is>
          <t>R&amp;R TRANSPORTE E LOGISTICA</t>
        </is>
      </c>
      <c r="G238" s="27" t="n">
        <v>45618</v>
      </c>
      <c r="H238" s="14" t="n">
        <v>35</v>
      </c>
      <c r="I238" s="14" t="n">
        <v>0</v>
      </c>
      <c r="J238" s="14" t="n">
        <v>0</v>
      </c>
      <c r="K238" s="14" t="n">
        <v>0</v>
      </c>
      <c r="L238" s="14" t="n">
        <v>0</v>
      </c>
      <c r="M238" s="14">
        <f>IF(B238="Frete de venda",0,(1-ISNUMBER(SEARCH("556",P238)))*(I238*VLOOKUP($B238,Premissas!$A$4:$E$7,2,0)+J238*VLOOKUP($B238,Premissas!$A$4:$E$7,3,0))+K238*VLOOKUP($B238,Premissas!$A$4:$E$7,4,0)+L238*VLOOKUP($B238,Premissas!$A$4:$E$7,5,0))</f>
        <v/>
      </c>
      <c r="N238" s="14">
        <f>H238-M238</f>
        <v/>
      </c>
      <c r="O238" t="inlineStr">
        <is>
          <t>Não</t>
        </is>
      </c>
      <c r="P238" t="inlineStr">
        <is>
          <t>1.350</t>
        </is>
      </c>
    </row>
    <row r="239">
      <c r="A239" t="inlineStr">
        <is>
          <t>Antes de 2026</t>
        </is>
      </c>
      <c r="B239" t="inlineStr">
        <is>
          <t>Frete de venda</t>
        </is>
      </c>
      <c r="C239" t="inlineStr">
        <is>
          <t>Frete de venda (para clientes)</t>
        </is>
      </c>
      <c r="D239" t="inlineStr">
        <is>
          <t>CT-e</t>
        </is>
      </c>
      <c r="E239" t="inlineStr">
        <is>
          <t>000003003</t>
        </is>
      </c>
      <c r="F239" t="inlineStr">
        <is>
          <t>R&amp;R TRANSPORTE E LOGISTICA</t>
        </is>
      </c>
      <c r="G239" s="27" t="n">
        <v>45594</v>
      </c>
      <c r="H239" s="14" t="n">
        <v>20</v>
      </c>
      <c r="I239" s="14" t="n">
        <v>0</v>
      </c>
      <c r="J239" s="14" t="n">
        <v>0</v>
      </c>
      <c r="K239" s="14" t="n">
        <v>0</v>
      </c>
      <c r="L239" s="14" t="n">
        <v>0</v>
      </c>
      <c r="M239" s="14">
        <f>IF(B239="Frete de venda",0,(1-ISNUMBER(SEARCH("556",P239)))*(I239*VLOOKUP($B239,Premissas!$A$4:$E$7,2,0)+J239*VLOOKUP($B239,Premissas!$A$4:$E$7,3,0))+K239*VLOOKUP($B239,Premissas!$A$4:$E$7,4,0)+L239*VLOOKUP($B239,Premissas!$A$4:$E$7,5,0))</f>
        <v/>
      </c>
      <c r="N239" s="14">
        <f>H239-M239</f>
        <v/>
      </c>
      <c r="O239" t="inlineStr">
        <is>
          <t>Não</t>
        </is>
      </c>
      <c r="P239" t="inlineStr">
        <is>
          <t>1.350</t>
        </is>
      </c>
    </row>
    <row r="240">
      <c r="A240" t="inlineStr">
        <is>
          <t>Antes de 2026</t>
        </is>
      </c>
      <c r="B240" t="inlineStr">
        <is>
          <t>Frete de venda</t>
        </is>
      </c>
      <c r="C240" t="inlineStr">
        <is>
          <t>Frete de venda (para clientes)</t>
        </is>
      </c>
      <c r="D240" t="inlineStr">
        <is>
          <t>CT-e</t>
        </is>
      </c>
      <c r="E240" t="inlineStr">
        <is>
          <t>000003000</t>
        </is>
      </c>
      <c r="F240" t="inlineStr">
        <is>
          <t>R&amp;R TRANSPORTE E LOGISTICA</t>
        </is>
      </c>
      <c r="G240" s="27" t="n">
        <v>45594</v>
      </c>
      <c r="H240" s="14" t="n">
        <v>27</v>
      </c>
      <c r="I240" s="14" t="n">
        <v>0</v>
      </c>
      <c r="J240" s="14" t="n">
        <v>0</v>
      </c>
      <c r="K240" s="14" t="n">
        <v>0</v>
      </c>
      <c r="L240" s="14" t="n">
        <v>0</v>
      </c>
      <c r="M240" s="14">
        <f>IF(B240="Frete de venda",0,(1-ISNUMBER(SEARCH("556",P240)))*(I240*VLOOKUP($B240,Premissas!$A$4:$E$7,2,0)+J240*VLOOKUP($B240,Premissas!$A$4:$E$7,3,0))+K240*VLOOKUP($B240,Premissas!$A$4:$E$7,4,0)+L240*VLOOKUP($B240,Premissas!$A$4:$E$7,5,0))</f>
        <v/>
      </c>
      <c r="N240" s="14">
        <f>H240-M240</f>
        <v/>
      </c>
      <c r="O240" t="inlineStr">
        <is>
          <t>Não</t>
        </is>
      </c>
      <c r="P240" t="inlineStr">
        <is>
          <t>1.350</t>
        </is>
      </c>
    </row>
    <row r="241">
      <c r="A241" t="inlineStr">
        <is>
          <t>Antes de 2026</t>
        </is>
      </c>
      <c r="B241" t="inlineStr">
        <is>
          <t>Frete de venda</t>
        </is>
      </c>
      <c r="C241" t="inlineStr">
        <is>
          <t>Frete de venda (para clientes)</t>
        </is>
      </c>
      <c r="D241" t="inlineStr">
        <is>
          <t>CT-e</t>
        </is>
      </c>
      <c r="E241" t="inlineStr">
        <is>
          <t>000003009</t>
        </is>
      </c>
      <c r="F241" t="inlineStr">
        <is>
          <t>R&amp;R TRANSPORTE E LOGISTICA</t>
        </is>
      </c>
      <c r="G241" s="27" t="n">
        <v>45594</v>
      </c>
      <c r="H241" s="14" t="n">
        <v>27</v>
      </c>
      <c r="I241" s="14" t="n">
        <v>0</v>
      </c>
      <c r="J241" s="14" t="n">
        <v>0</v>
      </c>
      <c r="K241" s="14" t="n">
        <v>0</v>
      </c>
      <c r="L241" s="14" t="n">
        <v>0</v>
      </c>
      <c r="M241" s="14">
        <f>IF(B241="Frete de venda",0,(1-ISNUMBER(SEARCH("556",P241)))*(I241*VLOOKUP($B241,Premissas!$A$4:$E$7,2,0)+J241*VLOOKUP($B241,Premissas!$A$4:$E$7,3,0))+K241*VLOOKUP($B241,Premissas!$A$4:$E$7,4,0)+L241*VLOOKUP($B241,Premissas!$A$4:$E$7,5,0))</f>
        <v/>
      </c>
      <c r="N241" s="14">
        <f>H241-M241</f>
        <v/>
      </c>
      <c r="O241" t="inlineStr">
        <is>
          <t>Não</t>
        </is>
      </c>
      <c r="P241" t="inlineStr">
        <is>
          <t>1.350</t>
        </is>
      </c>
    </row>
    <row r="242">
      <c r="A242" t="inlineStr">
        <is>
          <t>Antes de 2026</t>
        </is>
      </c>
      <c r="B242" t="inlineStr">
        <is>
          <t>Frete de venda</t>
        </is>
      </c>
      <c r="C242" t="inlineStr">
        <is>
          <t>Frete de venda (para clientes)</t>
        </is>
      </c>
      <c r="D242" t="inlineStr">
        <is>
          <t>CT-e</t>
        </is>
      </c>
      <c r="E242" t="inlineStr">
        <is>
          <t>000003394</t>
        </is>
      </c>
      <c r="F242" t="inlineStr">
        <is>
          <t>R&amp;R TRANSPORTE E LOGISTICA</t>
        </is>
      </c>
      <c r="G242" s="27" t="n">
        <v>45638</v>
      </c>
      <c r="H242" s="14" t="n">
        <v>32.5</v>
      </c>
      <c r="I242" s="14" t="n">
        <v>0</v>
      </c>
      <c r="J242" s="14" t="n">
        <v>0</v>
      </c>
      <c r="K242" s="14" t="n">
        <v>0</v>
      </c>
      <c r="L242" s="14" t="n">
        <v>0</v>
      </c>
      <c r="M242" s="14">
        <f>IF(B242="Frete de venda",0,(1-ISNUMBER(SEARCH("556",P242)))*(I242*VLOOKUP($B242,Premissas!$A$4:$E$7,2,0)+J242*VLOOKUP($B242,Premissas!$A$4:$E$7,3,0))+K242*VLOOKUP($B242,Premissas!$A$4:$E$7,4,0)+L242*VLOOKUP($B242,Premissas!$A$4:$E$7,5,0))</f>
        <v/>
      </c>
      <c r="N242" s="14">
        <f>H242-M242</f>
        <v/>
      </c>
      <c r="O242" t="inlineStr">
        <is>
          <t>Não</t>
        </is>
      </c>
      <c r="P242" t="inlineStr">
        <is>
          <t>1.350</t>
        </is>
      </c>
    </row>
    <row r="243">
      <c r="A243" t="inlineStr">
        <is>
          <t>Antes de 2026</t>
        </is>
      </c>
      <c r="B243" t="inlineStr">
        <is>
          <t>Frete de venda</t>
        </is>
      </c>
      <c r="C243" t="inlineStr">
        <is>
          <t>Frete de venda (para clientes)</t>
        </is>
      </c>
      <c r="D243" t="inlineStr">
        <is>
          <t>CT-e</t>
        </is>
      </c>
      <c r="E243" t="inlineStr">
        <is>
          <t>000003393</t>
        </is>
      </c>
      <c r="F243" t="inlineStr">
        <is>
          <t>R&amp;R TRANSPORTE E LOGISTICA</t>
        </is>
      </c>
      <c r="G243" s="27" t="n">
        <v>45638</v>
      </c>
      <c r="H243" s="14" t="n">
        <v>28.18</v>
      </c>
      <c r="I243" s="14" t="n">
        <v>0</v>
      </c>
      <c r="J243" s="14" t="n">
        <v>0</v>
      </c>
      <c r="K243" s="14" t="n">
        <v>0</v>
      </c>
      <c r="L243" s="14" t="n">
        <v>0</v>
      </c>
      <c r="M243" s="14">
        <f>IF(B243="Frete de venda",0,(1-ISNUMBER(SEARCH("556",P243)))*(I243*VLOOKUP($B243,Premissas!$A$4:$E$7,2,0)+J243*VLOOKUP($B243,Premissas!$A$4:$E$7,3,0))+K243*VLOOKUP($B243,Premissas!$A$4:$E$7,4,0)+L243*VLOOKUP($B243,Premissas!$A$4:$E$7,5,0))</f>
        <v/>
      </c>
      <c r="N243" s="14">
        <f>H243-M243</f>
        <v/>
      </c>
      <c r="O243" t="inlineStr">
        <is>
          <t>Não</t>
        </is>
      </c>
      <c r="P243" t="inlineStr">
        <is>
          <t>1.350</t>
        </is>
      </c>
    </row>
    <row r="244">
      <c r="A244" t="inlineStr">
        <is>
          <t>Antes de 2026</t>
        </is>
      </c>
      <c r="B244" t="inlineStr">
        <is>
          <t>Frete de venda</t>
        </is>
      </c>
      <c r="C244" t="inlineStr">
        <is>
          <t>Frete de venda (para clientes)</t>
        </is>
      </c>
      <c r="D244" t="inlineStr">
        <is>
          <t>CT-e</t>
        </is>
      </c>
      <c r="E244" t="inlineStr">
        <is>
          <t>000003391</t>
        </is>
      </c>
      <c r="F244" t="inlineStr">
        <is>
          <t>R&amp;R TRANSPORTE E LOGISTICA</t>
        </is>
      </c>
      <c r="G244" s="27" t="n">
        <v>45638</v>
      </c>
      <c r="H244" s="14" t="n">
        <v>32.13</v>
      </c>
      <c r="I244" s="14" t="n">
        <v>0</v>
      </c>
      <c r="J244" s="14" t="n">
        <v>0</v>
      </c>
      <c r="K244" s="14" t="n">
        <v>0</v>
      </c>
      <c r="L244" s="14" t="n">
        <v>0</v>
      </c>
      <c r="M244" s="14">
        <f>IF(B244="Frete de venda",0,(1-ISNUMBER(SEARCH("556",P244)))*(I244*VLOOKUP($B244,Premissas!$A$4:$E$7,2,0)+J244*VLOOKUP($B244,Premissas!$A$4:$E$7,3,0))+K244*VLOOKUP($B244,Premissas!$A$4:$E$7,4,0)+L244*VLOOKUP($B244,Premissas!$A$4:$E$7,5,0))</f>
        <v/>
      </c>
      <c r="N244" s="14">
        <f>H244-M244</f>
        <v/>
      </c>
      <c r="O244" t="inlineStr">
        <is>
          <t>Não</t>
        </is>
      </c>
      <c r="P244" t="inlineStr">
        <is>
          <t>1.350</t>
        </is>
      </c>
    </row>
    <row r="245">
      <c r="A245" t="inlineStr">
        <is>
          <t>Antes de 2026</t>
        </is>
      </c>
      <c r="B245" t="inlineStr">
        <is>
          <t>Frete de venda</t>
        </is>
      </c>
      <c r="C245" t="inlineStr">
        <is>
          <t>Frete de venda (para clientes)</t>
        </is>
      </c>
      <c r="D245" t="inlineStr">
        <is>
          <t>CT-e</t>
        </is>
      </c>
      <c r="E245" t="inlineStr">
        <is>
          <t>000003392</t>
        </is>
      </c>
      <c r="F245" t="inlineStr">
        <is>
          <t>R&amp;R TRANSPORTE E LOGISTICA</t>
        </is>
      </c>
      <c r="G245" s="27" t="n">
        <v>45638</v>
      </c>
      <c r="H245" s="14" t="n">
        <v>35.54</v>
      </c>
      <c r="I245" s="14" t="n">
        <v>0</v>
      </c>
      <c r="J245" s="14" t="n">
        <v>0</v>
      </c>
      <c r="K245" s="14" t="n">
        <v>0</v>
      </c>
      <c r="L245" s="14" t="n">
        <v>0</v>
      </c>
      <c r="M245" s="14">
        <f>IF(B245="Frete de venda",0,(1-ISNUMBER(SEARCH("556",P245)))*(I245*VLOOKUP($B245,Premissas!$A$4:$E$7,2,0)+J245*VLOOKUP($B245,Premissas!$A$4:$E$7,3,0))+K245*VLOOKUP($B245,Premissas!$A$4:$E$7,4,0)+L245*VLOOKUP($B245,Premissas!$A$4:$E$7,5,0))</f>
        <v/>
      </c>
      <c r="N245" s="14">
        <f>H245-M245</f>
        <v/>
      </c>
      <c r="O245" t="inlineStr">
        <is>
          <t>Não</t>
        </is>
      </c>
      <c r="P245" t="inlineStr">
        <is>
          <t>1.350</t>
        </is>
      </c>
    </row>
    <row r="246">
      <c r="A246" t="inlineStr">
        <is>
          <t>Antes de 2026</t>
        </is>
      </c>
      <c r="B246" t="inlineStr">
        <is>
          <t>Frete de venda</t>
        </is>
      </c>
      <c r="C246" t="inlineStr">
        <is>
          <t>Frete de venda (para clientes)</t>
        </is>
      </c>
      <c r="D246" t="inlineStr">
        <is>
          <t>CT-e</t>
        </is>
      </c>
      <c r="E246" t="inlineStr">
        <is>
          <t>000003146</t>
        </is>
      </c>
      <c r="F246" t="inlineStr">
        <is>
          <t>R&amp;R TRANSPORTE E LOGISTICA</t>
        </is>
      </c>
      <c r="G246" s="27" t="n">
        <v>45608</v>
      </c>
      <c r="H246" s="14" t="n">
        <v>287.5</v>
      </c>
      <c r="I246" s="14" t="n">
        <v>0</v>
      </c>
      <c r="J246" s="14" t="n">
        <v>0</v>
      </c>
      <c r="K246" s="14" t="n">
        <v>0</v>
      </c>
      <c r="L246" s="14" t="n">
        <v>0</v>
      </c>
      <c r="M246" s="14">
        <f>IF(B246="Frete de venda",0,(1-ISNUMBER(SEARCH("556",P246)))*(I246*VLOOKUP($B246,Premissas!$A$4:$E$7,2,0)+J246*VLOOKUP($B246,Premissas!$A$4:$E$7,3,0))+K246*VLOOKUP($B246,Premissas!$A$4:$E$7,4,0)+L246*VLOOKUP($B246,Premissas!$A$4:$E$7,5,0))</f>
        <v/>
      </c>
      <c r="N246" s="14">
        <f>H246-M246</f>
        <v/>
      </c>
      <c r="O246" t="inlineStr">
        <is>
          <t>Não</t>
        </is>
      </c>
      <c r="P246" t="inlineStr">
        <is>
          <t>1.350</t>
        </is>
      </c>
    </row>
    <row r="247">
      <c r="A247" t="inlineStr">
        <is>
          <t>Antes de 2026</t>
        </is>
      </c>
      <c r="B247" t="inlineStr">
        <is>
          <t>Frete de venda</t>
        </is>
      </c>
      <c r="C247" t="inlineStr">
        <is>
          <t>Frete de venda (para clientes)</t>
        </is>
      </c>
      <c r="D247" t="inlineStr">
        <is>
          <t>CT-e</t>
        </is>
      </c>
      <c r="E247" t="inlineStr">
        <is>
          <t>000003164</t>
        </is>
      </c>
      <c r="F247" t="inlineStr">
        <is>
          <t>R&amp;R TRANSPORTE E LOGISTICA</t>
        </is>
      </c>
      <c r="G247" s="27" t="n">
        <v>45611</v>
      </c>
      <c r="H247" s="14" t="n">
        <v>34</v>
      </c>
      <c r="I247" s="14" t="n">
        <v>0</v>
      </c>
      <c r="J247" s="14" t="n">
        <v>0</v>
      </c>
      <c r="K247" s="14" t="n">
        <v>0</v>
      </c>
      <c r="L247" s="14" t="n">
        <v>0</v>
      </c>
      <c r="M247" s="14">
        <f>IF(B247="Frete de venda",0,(1-ISNUMBER(SEARCH("556",P247)))*(I247*VLOOKUP($B247,Premissas!$A$4:$E$7,2,0)+J247*VLOOKUP($B247,Premissas!$A$4:$E$7,3,0))+K247*VLOOKUP($B247,Premissas!$A$4:$E$7,4,0)+L247*VLOOKUP($B247,Premissas!$A$4:$E$7,5,0))</f>
        <v/>
      </c>
      <c r="N247" s="14">
        <f>H247-M247</f>
        <v/>
      </c>
      <c r="O247" t="inlineStr">
        <is>
          <t>Não</t>
        </is>
      </c>
      <c r="P247" t="inlineStr">
        <is>
          <t>1.350</t>
        </is>
      </c>
    </row>
    <row r="248">
      <c r="A248" t="inlineStr">
        <is>
          <t>Antes de 2026</t>
        </is>
      </c>
      <c r="B248" t="inlineStr">
        <is>
          <t>Frete de venda</t>
        </is>
      </c>
      <c r="C248" t="inlineStr">
        <is>
          <t>Frete de venda (para clientes)</t>
        </is>
      </c>
      <c r="D248" t="inlineStr">
        <is>
          <t>CT-e</t>
        </is>
      </c>
      <c r="E248" t="inlineStr">
        <is>
          <t>000000060</t>
        </is>
      </c>
      <c r="F248" t="inlineStr">
        <is>
          <t>ADIL CARLOS DA SILVA</t>
        </is>
      </c>
      <c r="G248" s="27" t="n">
        <v>45591</v>
      </c>
      <c r="H248" s="14" t="n">
        <v>100</v>
      </c>
      <c r="I248" s="14" t="n">
        <v>0</v>
      </c>
      <c r="J248" s="14" t="n">
        <v>0</v>
      </c>
      <c r="K248" s="14" t="n">
        <v>0</v>
      </c>
      <c r="L248" s="14" t="n">
        <v>0</v>
      </c>
      <c r="M248" s="14">
        <f>IF(B248="Frete de venda",0,(1-ISNUMBER(SEARCH("556",P248)))*(I248*VLOOKUP($B248,Premissas!$A$4:$E$7,2,0)+J248*VLOOKUP($B248,Premissas!$A$4:$E$7,3,0))+K248*VLOOKUP($B248,Premissas!$A$4:$E$7,4,0)+L248*VLOOKUP($B248,Premissas!$A$4:$E$7,5,0))</f>
        <v/>
      </c>
      <c r="N248" s="14">
        <f>H248-M248</f>
        <v/>
      </c>
      <c r="O248" t="inlineStr">
        <is>
          <t>Não</t>
        </is>
      </c>
      <c r="P248" t="inlineStr">
        <is>
          <t>2.350</t>
        </is>
      </c>
    </row>
    <row r="249">
      <c r="A249" t="inlineStr">
        <is>
          <t>Antes de 2026</t>
        </is>
      </c>
      <c r="B249" t="inlineStr">
        <is>
          <t>Frete de venda</t>
        </is>
      </c>
      <c r="C249" t="inlineStr">
        <is>
          <t>Frete de venda (para clientes)</t>
        </is>
      </c>
      <c r="D249" t="inlineStr">
        <is>
          <t>CT-e</t>
        </is>
      </c>
      <c r="E249" t="inlineStr">
        <is>
          <t>000003348</t>
        </is>
      </c>
      <c r="F249" t="inlineStr">
        <is>
          <t>R&amp;R TRANSPORTE E LOGISTICA</t>
        </is>
      </c>
      <c r="G249" s="27" t="n">
        <v>45628</v>
      </c>
      <c r="H249" s="14" t="n">
        <v>121.5</v>
      </c>
      <c r="I249" s="14" t="n">
        <v>0</v>
      </c>
      <c r="J249" s="14" t="n">
        <v>0</v>
      </c>
      <c r="K249" s="14" t="n">
        <v>0</v>
      </c>
      <c r="L249" s="14" t="n">
        <v>0</v>
      </c>
      <c r="M249" s="14">
        <f>IF(B249="Frete de venda",0,(1-ISNUMBER(SEARCH("556",P249)))*(I249*VLOOKUP($B249,Premissas!$A$4:$E$7,2,0)+J249*VLOOKUP($B249,Premissas!$A$4:$E$7,3,0))+K249*VLOOKUP($B249,Premissas!$A$4:$E$7,4,0)+L249*VLOOKUP($B249,Premissas!$A$4:$E$7,5,0))</f>
        <v/>
      </c>
      <c r="N249" s="14">
        <f>H249-M249</f>
        <v/>
      </c>
      <c r="O249" t="inlineStr">
        <is>
          <t>Não</t>
        </is>
      </c>
      <c r="P249" t="inlineStr">
        <is>
          <t>1.350</t>
        </is>
      </c>
    </row>
    <row r="250">
      <c r="A250" t="inlineStr">
        <is>
          <t>Antes de 2026</t>
        </is>
      </c>
      <c r="B250" t="inlineStr">
        <is>
          <t>Frete de venda</t>
        </is>
      </c>
      <c r="C250" t="inlineStr">
        <is>
          <t>Frete de venda (para clientes)</t>
        </is>
      </c>
      <c r="D250" t="inlineStr">
        <is>
          <t>CT-e</t>
        </is>
      </c>
      <c r="E250" t="inlineStr">
        <is>
          <t>000003447</t>
        </is>
      </c>
      <c r="F250" t="inlineStr">
        <is>
          <t>R&amp;R TRANSPORTE E LOGISTICA</t>
        </is>
      </c>
      <c r="G250" s="27" t="n">
        <v>45646</v>
      </c>
      <c r="H250" s="14" t="n">
        <v>43.01</v>
      </c>
      <c r="I250" s="14" t="n">
        <v>0</v>
      </c>
      <c r="J250" s="14" t="n">
        <v>0</v>
      </c>
      <c r="K250" s="14" t="n">
        <v>0</v>
      </c>
      <c r="L250" s="14" t="n">
        <v>0</v>
      </c>
      <c r="M250" s="14">
        <f>IF(B250="Frete de venda",0,(1-ISNUMBER(SEARCH("556",P250)))*(I250*VLOOKUP($B250,Premissas!$A$4:$E$7,2,0)+J250*VLOOKUP($B250,Premissas!$A$4:$E$7,3,0))+K250*VLOOKUP($B250,Premissas!$A$4:$E$7,4,0)+L250*VLOOKUP($B250,Premissas!$A$4:$E$7,5,0))</f>
        <v/>
      </c>
      <c r="N250" s="14">
        <f>H250-M250</f>
        <v/>
      </c>
      <c r="O250" t="inlineStr">
        <is>
          <t>Não</t>
        </is>
      </c>
      <c r="P250" t="inlineStr">
        <is>
          <t>1.350</t>
        </is>
      </c>
    </row>
    <row r="251">
      <c r="A251" t="inlineStr">
        <is>
          <t>Antes de 2026</t>
        </is>
      </c>
      <c r="B251" t="inlineStr">
        <is>
          <t>Frete de venda</t>
        </is>
      </c>
      <c r="C251" t="inlineStr">
        <is>
          <t>Frete de venda (para clientes)</t>
        </is>
      </c>
      <c r="D251" t="inlineStr">
        <is>
          <t>CT-e</t>
        </is>
      </c>
      <c r="E251" t="inlineStr">
        <is>
          <t>000003058</t>
        </is>
      </c>
      <c r="F251" t="inlineStr">
        <is>
          <t>R&amp;R TRANSPORTE E LOGISTICA</t>
        </is>
      </c>
      <c r="G251" s="27" t="n">
        <v>45596</v>
      </c>
      <c r="H251" s="14" t="n">
        <v>20</v>
      </c>
      <c r="I251" s="14" t="n">
        <v>0</v>
      </c>
      <c r="J251" s="14" t="n">
        <v>0</v>
      </c>
      <c r="K251" s="14" t="n">
        <v>0</v>
      </c>
      <c r="L251" s="14" t="n">
        <v>0</v>
      </c>
      <c r="M251" s="14">
        <f>IF(B251="Frete de venda",0,(1-ISNUMBER(SEARCH("556",P251)))*(I251*VLOOKUP($B251,Premissas!$A$4:$E$7,2,0)+J251*VLOOKUP($B251,Premissas!$A$4:$E$7,3,0))+K251*VLOOKUP($B251,Premissas!$A$4:$E$7,4,0)+L251*VLOOKUP($B251,Premissas!$A$4:$E$7,5,0))</f>
        <v/>
      </c>
      <c r="N251" s="14">
        <f>H251-M251</f>
        <v/>
      </c>
      <c r="O251" t="inlineStr">
        <is>
          <t>Não</t>
        </is>
      </c>
      <c r="P251" t="inlineStr">
        <is>
          <t>1.350</t>
        </is>
      </c>
    </row>
    <row r="252">
      <c r="A252" t="inlineStr">
        <is>
          <t>Antes de 2026</t>
        </is>
      </c>
      <c r="B252" t="inlineStr">
        <is>
          <t>Frete de venda</t>
        </is>
      </c>
      <c r="C252" t="inlineStr">
        <is>
          <t>Frete de venda (para clientes)</t>
        </is>
      </c>
      <c r="D252" t="inlineStr">
        <is>
          <t>CT-e</t>
        </is>
      </c>
      <c r="E252" t="inlineStr">
        <is>
          <t>000003428</t>
        </is>
      </c>
      <c r="F252" t="inlineStr">
        <is>
          <t>R&amp;R TRANSPORTE E LOGISTICA</t>
        </is>
      </c>
      <c r="G252" s="27" t="n">
        <v>45644</v>
      </c>
      <c r="H252" s="14" t="n">
        <v>225</v>
      </c>
      <c r="I252" s="14" t="n">
        <v>0</v>
      </c>
      <c r="J252" s="14" t="n">
        <v>0</v>
      </c>
      <c r="K252" s="14" t="n">
        <v>0</v>
      </c>
      <c r="L252" s="14" t="n">
        <v>0</v>
      </c>
      <c r="M252" s="14">
        <f>IF(B252="Frete de venda",0,(1-ISNUMBER(SEARCH("556",P252)))*(I252*VLOOKUP($B252,Premissas!$A$4:$E$7,2,0)+J252*VLOOKUP($B252,Premissas!$A$4:$E$7,3,0))+K252*VLOOKUP($B252,Premissas!$A$4:$E$7,4,0)+L252*VLOOKUP($B252,Premissas!$A$4:$E$7,5,0))</f>
        <v/>
      </c>
      <c r="N252" s="14">
        <f>H252-M252</f>
        <v/>
      </c>
      <c r="O252" t="inlineStr">
        <is>
          <t>Não</t>
        </is>
      </c>
      <c r="P252" t="inlineStr">
        <is>
          <t>1.350</t>
        </is>
      </c>
    </row>
    <row r="253">
      <c r="A253" t="inlineStr">
        <is>
          <t>Antes de 2026</t>
        </is>
      </c>
      <c r="B253" t="inlineStr">
        <is>
          <t>Frete de venda</t>
        </is>
      </c>
      <c r="C253" t="inlineStr">
        <is>
          <t>Frete de venda (para clientes)</t>
        </is>
      </c>
      <c r="D253" t="inlineStr">
        <is>
          <t>CT-e</t>
        </is>
      </c>
      <c r="E253" t="inlineStr">
        <is>
          <t>000003427</t>
        </is>
      </c>
      <c r="F253" t="inlineStr">
        <is>
          <t>R&amp;R TRANSPORTE E LOGISTICA</t>
        </is>
      </c>
      <c r="G253" s="27" t="n">
        <v>45644</v>
      </c>
      <c r="H253" s="14" t="n">
        <v>225</v>
      </c>
      <c r="I253" s="14" t="n">
        <v>0</v>
      </c>
      <c r="J253" s="14" t="n">
        <v>0</v>
      </c>
      <c r="K253" s="14" t="n">
        <v>0</v>
      </c>
      <c r="L253" s="14" t="n">
        <v>0</v>
      </c>
      <c r="M253" s="14">
        <f>IF(B253="Frete de venda",0,(1-ISNUMBER(SEARCH("556",P253)))*(I253*VLOOKUP($B253,Premissas!$A$4:$E$7,2,0)+J253*VLOOKUP($B253,Premissas!$A$4:$E$7,3,0))+K253*VLOOKUP($B253,Premissas!$A$4:$E$7,4,0)+L253*VLOOKUP($B253,Premissas!$A$4:$E$7,5,0))</f>
        <v/>
      </c>
      <c r="N253" s="14">
        <f>H253-M253</f>
        <v/>
      </c>
      <c r="O253" t="inlineStr">
        <is>
          <t>Não</t>
        </is>
      </c>
      <c r="P253" t="inlineStr">
        <is>
          <t>1.350</t>
        </is>
      </c>
    </row>
    <row r="254">
      <c r="A254" t="inlineStr">
        <is>
          <t>Antes de 2026</t>
        </is>
      </c>
      <c r="B254" t="inlineStr">
        <is>
          <t>Frete de venda</t>
        </is>
      </c>
      <c r="C254" t="inlineStr">
        <is>
          <t>Frete de venda (para clientes)</t>
        </is>
      </c>
      <c r="D254" t="inlineStr">
        <is>
          <t>CT-e</t>
        </is>
      </c>
      <c r="E254" t="inlineStr">
        <is>
          <t>000002999</t>
        </is>
      </c>
      <c r="F254" t="inlineStr">
        <is>
          <t>R&amp;R TRANSPORTE E LOGISTICA</t>
        </is>
      </c>
      <c r="G254" s="27" t="n">
        <v>45594</v>
      </c>
      <c r="H254" s="14" t="n">
        <v>20</v>
      </c>
      <c r="I254" s="14" t="n">
        <v>0</v>
      </c>
      <c r="J254" s="14" t="n">
        <v>0</v>
      </c>
      <c r="K254" s="14" t="n">
        <v>0</v>
      </c>
      <c r="L254" s="14" t="n">
        <v>0</v>
      </c>
      <c r="M254" s="14">
        <f>IF(B254="Frete de venda",0,(1-ISNUMBER(SEARCH("556",P254)))*(I254*VLOOKUP($B254,Premissas!$A$4:$E$7,2,0)+J254*VLOOKUP($B254,Premissas!$A$4:$E$7,3,0))+K254*VLOOKUP($B254,Premissas!$A$4:$E$7,4,0)+L254*VLOOKUP($B254,Premissas!$A$4:$E$7,5,0))</f>
        <v/>
      </c>
      <c r="N254" s="14">
        <f>H254-M254</f>
        <v/>
      </c>
      <c r="O254" t="inlineStr">
        <is>
          <t>Não</t>
        </is>
      </c>
      <c r="P254" t="inlineStr">
        <is>
          <t>1.350</t>
        </is>
      </c>
    </row>
    <row r="255">
      <c r="A255" t="inlineStr">
        <is>
          <t>Antes de 2026</t>
        </is>
      </c>
      <c r="B255" t="inlineStr">
        <is>
          <t>Frete de venda</t>
        </is>
      </c>
      <c r="C255" t="inlineStr">
        <is>
          <t>Frete de venda (para clientes)</t>
        </is>
      </c>
      <c r="D255" t="inlineStr">
        <is>
          <t>CT-e</t>
        </is>
      </c>
      <c r="E255" t="inlineStr">
        <is>
          <t>000003168</t>
        </is>
      </c>
      <c r="F255" t="inlineStr">
        <is>
          <t>R&amp;R TRANSPORTE E LOGISTICA</t>
        </is>
      </c>
      <c r="G255" s="27" t="n">
        <v>45611</v>
      </c>
      <c r="H255" s="14" t="n">
        <v>58</v>
      </c>
      <c r="I255" s="14" t="n">
        <v>0</v>
      </c>
      <c r="J255" s="14" t="n">
        <v>0</v>
      </c>
      <c r="K255" s="14" t="n">
        <v>0</v>
      </c>
      <c r="L255" s="14" t="n">
        <v>0</v>
      </c>
      <c r="M255" s="14">
        <f>IF(B255="Frete de venda",0,(1-ISNUMBER(SEARCH("556",P255)))*(I255*VLOOKUP($B255,Premissas!$A$4:$E$7,2,0)+J255*VLOOKUP($B255,Premissas!$A$4:$E$7,3,0))+K255*VLOOKUP($B255,Premissas!$A$4:$E$7,4,0)+L255*VLOOKUP($B255,Premissas!$A$4:$E$7,5,0))</f>
        <v/>
      </c>
      <c r="N255" s="14">
        <f>H255-M255</f>
        <v/>
      </c>
      <c r="O255" t="inlineStr">
        <is>
          <t>Não</t>
        </is>
      </c>
      <c r="P255" t="inlineStr">
        <is>
          <t>1.350</t>
        </is>
      </c>
    </row>
    <row r="256">
      <c r="A256" t="inlineStr">
        <is>
          <t>Antes de 2026</t>
        </is>
      </c>
      <c r="B256" t="inlineStr">
        <is>
          <t>Frete de venda</t>
        </is>
      </c>
      <c r="C256" t="inlineStr">
        <is>
          <t>Frete de venda (para clientes)</t>
        </is>
      </c>
      <c r="D256" t="inlineStr">
        <is>
          <t>CT-e</t>
        </is>
      </c>
      <c r="E256" t="inlineStr">
        <is>
          <t>000003429</t>
        </is>
      </c>
      <c r="F256" t="inlineStr">
        <is>
          <t>R&amp;R TRANSPORTE E LOGISTICA</t>
        </is>
      </c>
      <c r="G256" s="27" t="n">
        <v>45644</v>
      </c>
      <c r="H256" s="14" t="n">
        <v>225</v>
      </c>
      <c r="I256" s="14" t="n">
        <v>0</v>
      </c>
      <c r="J256" s="14" t="n">
        <v>0</v>
      </c>
      <c r="K256" s="14" t="n">
        <v>0</v>
      </c>
      <c r="L256" s="14" t="n">
        <v>0</v>
      </c>
      <c r="M256" s="14">
        <f>IF(B256="Frete de venda",0,(1-ISNUMBER(SEARCH("556",P256)))*(I256*VLOOKUP($B256,Premissas!$A$4:$E$7,2,0)+J256*VLOOKUP($B256,Premissas!$A$4:$E$7,3,0))+K256*VLOOKUP($B256,Premissas!$A$4:$E$7,4,0)+L256*VLOOKUP($B256,Premissas!$A$4:$E$7,5,0))</f>
        <v/>
      </c>
      <c r="N256" s="14">
        <f>H256-M256</f>
        <v/>
      </c>
      <c r="O256" t="inlineStr">
        <is>
          <t>Não</t>
        </is>
      </c>
      <c r="P256" t="inlineStr">
        <is>
          <t>1.350</t>
        </is>
      </c>
    </row>
    <row r="257">
      <c r="A257" t="inlineStr">
        <is>
          <t>Antes de 2026</t>
        </is>
      </c>
      <c r="B257" t="inlineStr">
        <is>
          <t>Frete de venda</t>
        </is>
      </c>
      <c r="C257" t="inlineStr">
        <is>
          <t>Frete de venda (para clientes)</t>
        </is>
      </c>
      <c r="D257" t="inlineStr">
        <is>
          <t>CT-e</t>
        </is>
      </c>
      <c r="E257" t="inlineStr">
        <is>
          <t>000003408</t>
        </is>
      </c>
      <c r="F257" t="inlineStr">
        <is>
          <t>R&amp;R TRANSPORTE E LOGISTICA</t>
        </is>
      </c>
      <c r="G257" s="27" t="n">
        <v>45639</v>
      </c>
      <c r="H257" s="14" t="n">
        <v>28</v>
      </c>
      <c r="I257" s="14" t="n">
        <v>0</v>
      </c>
      <c r="J257" s="14" t="n">
        <v>0</v>
      </c>
      <c r="K257" s="14" t="n">
        <v>0</v>
      </c>
      <c r="L257" s="14" t="n">
        <v>0</v>
      </c>
      <c r="M257" s="14">
        <f>IF(B257="Frete de venda",0,(1-ISNUMBER(SEARCH("556",P257)))*(I257*VLOOKUP($B257,Premissas!$A$4:$E$7,2,0)+J257*VLOOKUP($B257,Premissas!$A$4:$E$7,3,0))+K257*VLOOKUP($B257,Premissas!$A$4:$E$7,4,0)+L257*VLOOKUP($B257,Premissas!$A$4:$E$7,5,0))</f>
        <v/>
      </c>
      <c r="N257" s="14">
        <f>H257-M257</f>
        <v/>
      </c>
      <c r="O257" t="inlineStr">
        <is>
          <t>Não</t>
        </is>
      </c>
      <c r="P257" t="inlineStr">
        <is>
          <t>1.350</t>
        </is>
      </c>
    </row>
    <row r="258">
      <c r="A258" t="inlineStr">
        <is>
          <t>Antes de 2026</t>
        </is>
      </c>
      <c r="B258" t="inlineStr">
        <is>
          <t>Frete de venda</t>
        </is>
      </c>
      <c r="C258" t="inlineStr">
        <is>
          <t>Frete de venda (para clientes)</t>
        </is>
      </c>
      <c r="D258" t="inlineStr">
        <is>
          <t>CT-e</t>
        </is>
      </c>
      <c r="E258" t="inlineStr">
        <is>
          <t>000003007</t>
        </is>
      </c>
      <c r="F258" t="inlineStr">
        <is>
          <t>R&amp;R TRANSPORTE E LOGISTICA</t>
        </is>
      </c>
      <c r="G258" s="27" t="n">
        <v>45594</v>
      </c>
      <c r="H258" s="14" t="n">
        <v>30</v>
      </c>
      <c r="I258" s="14" t="n">
        <v>0</v>
      </c>
      <c r="J258" s="14" t="n">
        <v>0</v>
      </c>
      <c r="K258" s="14" t="n">
        <v>0</v>
      </c>
      <c r="L258" s="14" t="n">
        <v>0</v>
      </c>
      <c r="M258" s="14">
        <f>IF(B258="Frete de venda",0,(1-ISNUMBER(SEARCH("556",P258)))*(I258*VLOOKUP($B258,Premissas!$A$4:$E$7,2,0)+J258*VLOOKUP($B258,Premissas!$A$4:$E$7,3,0))+K258*VLOOKUP($B258,Premissas!$A$4:$E$7,4,0)+L258*VLOOKUP($B258,Premissas!$A$4:$E$7,5,0))</f>
        <v/>
      </c>
      <c r="N258" s="14">
        <f>H258-M258</f>
        <v/>
      </c>
      <c r="O258" t="inlineStr">
        <is>
          <t>Não</t>
        </is>
      </c>
      <c r="P258" t="inlineStr">
        <is>
          <t>1.350</t>
        </is>
      </c>
    </row>
    <row r="259">
      <c r="A259" t="inlineStr">
        <is>
          <t>Antes de 2026</t>
        </is>
      </c>
      <c r="B259" t="inlineStr">
        <is>
          <t>Frete de venda</t>
        </is>
      </c>
      <c r="C259" t="inlineStr">
        <is>
          <t>Frete de venda (para clientes)</t>
        </is>
      </c>
      <c r="D259" t="inlineStr">
        <is>
          <t>CT-e</t>
        </is>
      </c>
      <c r="E259" t="inlineStr">
        <is>
          <t>000003010</t>
        </is>
      </c>
      <c r="F259" t="inlineStr">
        <is>
          <t>R&amp;R TRANSPORTE E LOGISTICA</t>
        </is>
      </c>
      <c r="G259" s="27" t="n">
        <v>45594</v>
      </c>
      <c r="H259" s="14" t="n">
        <v>55</v>
      </c>
      <c r="I259" s="14" t="n">
        <v>0</v>
      </c>
      <c r="J259" s="14" t="n">
        <v>0</v>
      </c>
      <c r="K259" s="14" t="n">
        <v>0</v>
      </c>
      <c r="L259" s="14" t="n">
        <v>0</v>
      </c>
      <c r="M259" s="14">
        <f>IF(B259="Frete de venda",0,(1-ISNUMBER(SEARCH("556",P259)))*(I259*VLOOKUP($B259,Premissas!$A$4:$E$7,2,0)+J259*VLOOKUP($B259,Premissas!$A$4:$E$7,3,0))+K259*VLOOKUP($B259,Premissas!$A$4:$E$7,4,0)+L259*VLOOKUP($B259,Premissas!$A$4:$E$7,5,0))</f>
        <v/>
      </c>
      <c r="N259" s="14">
        <f>H259-M259</f>
        <v/>
      </c>
      <c r="O259" t="inlineStr">
        <is>
          <t>Não</t>
        </is>
      </c>
      <c r="P259" t="inlineStr">
        <is>
          <t>1.350</t>
        </is>
      </c>
    </row>
    <row r="260">
      <c r="A260" t="inlineStr">
        <is>
          <t>Antes de 2026</t>
        </is>
      </c>
      <c r="B260" t="inlineStr">
        <is>
          <t>Frete de venda</t>
        </is>
      </c>
      <c r="C260" t="inlineStr">
        <is>
          <t>Frete de venda (para clientes)</t>
        </is>
      </c>
      <c r="D260" t="inlineStr">
        <is>
          <t>CT-e</t>
        </is>
      </c>
      <c r="E260" t="inlineStr">
        <is>
          <t>000003388</t>
        </is>
      </c>
      <c r="F260" t="inlineStr">
        <is>
          <t>R&amp;R TRANSPORTE E LOGISTICA</t>
        </is>
      </c>
      <c r="G260" s="27" t="n">
        <v>45638</v>
      </c>
      <c r="H260" s="14" t="n">
        <v>36.62</v>
      </c>
      <c r="I260" s="14" t="n">
        <v>0</v>
      </c>
      <c r="J260" s="14" t="n">
        <v>0</v>
      </c>
      <c r="K260" s="14" t="n">
        <v>0</v>
      </c>
      <c r="L260" s="14" t="n">
        <v>0</v>
      </c>
      <c r="M260" s="14">
        <f>IF(B260="Frete de venda",0,(1-ISNUMBER(SEARCH("556",P260)))*(I260*VLOOKUP($B260,Premissas!$A$4:$E$7,2,0)+J260*VLOOKUP($B260,Premissas!$A$4:$E$7,3,0))+K260*VLOOKUP($B260,Premissas!$A$4:$E$7,4,0)+L260*VLOOKUP($B260,Premissas!$A$4:$E$7,5,0))</f>
        <v/>
      </c>
      <c r="N260" s="14">
        <f>H260-M260</f>
        <v/>
      </c>
      <c r="O260" t="inlineStr">
        <is>
          <t>Não</t>
        </is>
      </c>
      <c r="P260" t="inlineStr">
        <is>
          <t>1.350</t>
        </is>
      </c>
    </row>
    <row r="261">
      <c r="A261" t="inlineStr">
        <is>
          <t>Antes de 2026</t>
        </is>
      </c>
      <c r="B261" t="inlineStr">
        <is>
          <t>Frete de venda</t>
        </is>
      </c>
      <c r="C261" t="inlineStr">
        <is>
          <t>Frete de venda (para clientes)</t>
        </is>
      </c>
      <c r="D261" t="inlineStr">
        <is>
          <t>CT-e</t>
        </is>
      </c>
      <c r="E261" t="inlineStr">
        <is>
          <t>000003305</t>
        </is>
      </c>
      <c r="F261" t="inlineStr">
        <is>
          <t>R&amp;R TRANSPORTE E LOGISTICA</t>
        </is>
      </c>
      <c r="G261" s="27" t="n">
        <v>45618</v>
      </c>
      <c r="H261" s="14" t="n">
        <v>48</v>
      </c>
      <c r="I261" s="14" t="n">
        <v>0</v>
      </c>
      <c r="J261" s="14" t="n">
        <v>0</v>
      </c>
      <c r="K261" s="14" t="n">
        <v>0</v>
      </c>
      <c r="L261" s="14" t="n">
        <v>0</v>
      </c>
      <c r="M261" s="14">
        <f>IF(B261="Frete de venda",0,(1-ISNUMBER(SEARCH("556",P261)))*(I261*VLOOKUP($B261,Premissas!$A$4:$E$7,2,0)+J261*VLOOKUP($B261,Premissas!$A$4:$E$7,3,0))+K261*VLOOKUP($B261,Premissas!$A$4:$E$7,4,0)+L261*VLOOKUP($B261,Premissas!$A$4:$E$7,5,0))</f>
        <v/>
      </c>
      <c r="N261" s="14">
        <f>H261-M261</f>
        <v/>
      </c>
      <c r="O261" t="inlineStr">
        <is>
          <t>Não</t>
        </is>
      </c>
      <c r="P261" t="inlineStr">
        <is>
          <t>1.350</t>
        </is>
      </c>
    </row>
    <row r="262">
      <c r="A262" t="inlineStr">
        <is>
          <t>Antes de 2026</t>
        </is>
      </c>
      <c r="B262" t="inlineStr">
        <is>
          <t>Frete de venda</t>
        </is>
      </c>
      <c r="C262" t="inlineStr">
        <is>
          <t>Frete de venda (para clientes)</t>
        </is>
      </c>
      <c r="D262" t="inlineStr">
        <is>
          <t>CT-e</t>
        </is>
      </c>
      <c r="E262" t="inlineStr">
        <is>
          <t>000003458</t>
        </is>
      </c>
      <c r="F262" t="inlineStr">
        <is>
          <t>R&amp;R TRANSPORTE E LOGISTICA</t>
        </is>
      </c>
      <c r="G262" s="27" t="n">
        <v>45647</v>
      </c>
      <c r="H262" s="14" t="n">
        <v>37</v>
      </c>
      <c r="I262" s="14" t="n">
        <v>0</v>
      </c>
      <c r="J262" s="14" t="n">
        <v>0</v>
      </c>
      <c r="K262" s="14" t="n">
        <v>0</v>
      </c>
      <c r="L262" s="14" t="n">
        <v>0</v>
      </c>
      <c r="M262" s="14">
        <f>IF(B262="Frete de venda",0,(1-ISNUMBER(SEARCH("556",P262)))*(I262*VLOOKUP($B262,Premissas!$A$4:$E$7,2,0)+J262*VLOOKUP($B262,Premissas!$A$4:$E$7,3,0))+K262*VLOOKUP($B262,Premissas!$A$4:$E$7,4,0)+L262*VLOOKUP($B262,Premissas!$A$4:$E$7,5,0))</f>
        <v/>
      </c>
      <c r="N262" s="14">
        <f>H262-M262</f>
        <v/>
      </c>
      <c r="O262" t="inlineStr">
        <is>
          <t>Não</t>
        </is>
      </c>
      <c r="P262" t="inlineStr">
        <is>
          <t>1.350</t>
        </is>
      </c>
    </row>
    <row r="263">
      <c r="A263" t="inlineStr">
        <is>
          <t>Antes de 2026</t>
        </is>
      </c>
      <c r="B263" t="inlineStr">
        <is>
          <t>Frete de venda</t>
        </is>
      </c>
      <c r="C263" t="inlineStr">
        <is>
          <t>Frete de venda (para clientes)</t>
        </is>
      </c>
      <c r="D263" t="inlineStr">
        <is>
          <t>CT-e</t>
        </is>
      </c>
      <c r="E263" t="inlineStr">
        <is>
          <t>000003081</t>
        </is>
      </c>
      <c r="F263" t="inlineStr">
        <is>
          <t>R&amp;R TRANSPORTE E LOGISTICA</t>
        </is>
      </c>
      <c r="G263" s="27" t="n">
        <v>45598</v>
      </c>
      <c r="H263" s="14" t="n">
        <v>200</v>
      </c>
      <c r="I263" s="14" t="n">
        <v>0</v>
      </c>
      <c r="J263" s="14" t="n">
        <v>0</v>
      </c>
      <c r="K263" s="14" t="n">
        <v>0</v>
      </c>
      <c r="L263" s="14" t="n">
        <v>0</v>
      </c>
      <c r="M263" s="14">
        <f>IF(B263="Frete de venda",0,(1-ISNUMBER(SEARCH("556",P263)))*(I263*VLOOKUP($B263,Premissas!$A$4:$E$7,2,0)+J263*VLOOKUP($B263,Premissas!$A$4:$E$7,3,0))+K263*VLOOKUP($B263,Premissas!$A$4:$E$7,4,0)+L263*VLOOKUP($B263,Premissas!$A$4:$E$7,5,0))</f>
        <v/>
      </c>
      <c r="N263" s="14">
        <f>H263-M263</f>
        <v/>
      </c>
      <c r="O263" t="inlineStr">
        <is>
          <t>Não</t>
        </is>
      </c>
      <c r="P263" t="inlineStr">
        <is>
          <t>1.350</t>
        </is>
      </c>
    </row>
    <row r="264">
      <c r="A264" t="inlineStr">
        <is>
          <t>Antes de 2026</t>
        </is>
      </c>
      <c r="B264" t="inlineStr">
        <is>
          <t>Frete de venda</t>
        </is>
      </c>
      <c r="C264" t="inlineStr">
        <is>
          <t>Frete de venda (para clientes)</t>
        </is>
      </c>
      <c r="D264" t="inlineStr">
        <is>
          <t>CT-e</t>
        </is>
      </c>
      <c r="E264" t="inlineStr">
        <is>
          <t>000003314</t>
        </is>
      </c>
      <c r="F264" t="inlineStr">
        <is>
          <t>R&amp;R TRANSPORTE E LOGISTICA</t>
        </is>
      </c>
      <c r="G264" s="27" t="n">
        <v>45622</v>
      </c>
      <c r="H264" s="14" t="n">
        <v>200</v>
      </c>
      <c r="I264" s="14" t="n">
        <v>0</v>
      </c>
      <c r="J264" s="14" t="n">
        <v>0</v>
      </c>
      <c r="K264" s="14" t="n">
        <v>0</v>
      </c>
      <c r="L264" s="14" t="n">
        <v>0</v>
      </c>
      <c r="M264" s="14">
        <f>IF(B264="Frete de venda",0,(1-ISNUMBER(SEARCH("556",P264)))*(I264*VLOOKUP($B264,Premissas!$A$4:$E$7,2,0)+J264*VLOOKUP($B264,Premissas!$A$4:$E$7,3,0))+K264*VLOOKUP($B264,Premissas!$A$4:$E$7,4,0)+L264*VLOOKUP($B264,Premissas!$A$4:$E$7,5,0))</f>
        <v/>
      </c>
      <c r="N264" s="14">
        <f>H264-M264</f>
        <v/>
      </c>
      <c r="O264" t="inlineStr">
        <is>
          <t>Não</t>
        </is>
      </c>
      <c r="P264" t="inlineStr">
        <is>
          <t>1.350</t>
        </is>
      </c>
    </row>
    <row r="265">
      <c r="A265" t="inlineStr">
        <is>
          <t>Antes de 2026</t>
        </is>
      </c>
      <c r="B265" t="inlineStr">
        <is>
          <t>Frete de venda</t>
        </is>
      </c>
      <c r="C265" t="inlineStr">
        <is>
          <t>Frete de venda (para clientes)</t>
        </is>
      </c>
      <c r="D265" t="inlineStr">
        <is>
          <t>CT-e</t>
        </is>
      </c>
      <c r="E265" t="inlineStr">
        <is>
          <t>000000056</t>
        </is>
      </c>
      <c r="F265" t="inlineStr">
        <is>
          <t>ADIL CARLOS DA SILVA</t>
        </is>
      </c>
      <c r="G265" s="27" t="n">
        <v>45582</v>
      </c>
      <c r="H265" s="14" t="n">
        <v>150</v>
      </c>
      <c r="I265" s="14" t="n">
        <v>0</v>
      </c>
      <c r="J265" s="14" t="n">
        <v>0</v>
      </c>
      <c r="K265" s="14" t="n">
        <v>0</v>
      </c>
      <c r="L265" s="14" t="n">
        <v>0</v>
      </c>
      <c r="M265" s="14">
        <f>IF(B265="Frete de venda",0,(1-ISNUMBER(SEARCH("556",P265)))*(I265*VLOOKUP($B265,Premissas!$A$4:$E$7,2,0)+J265*VLOOKUP($B265,Premissas!$A$4:$E$7,3,0))+K265*VLOOKUP($B265,Premissas!$A$4:$E$7,4,0)+L265*VLOOKUP($B265,Premissas!$A$4:$E$7,5,0))</f>
        <v/>
      </c>
      <c r="N265" s="14">
        <f>H265-M265</f>
        <v/>
      </c>
      <c r="O265" t="inlineStr">
        <is>
          <t>Não</t>
        </is>
      </c>
      <c r="P265" t="inlineStr">
        <is>
          <t>2.350</t>
        </is>
      </c>
    </row>
    <row r="266">
      <c r="A266" t="inlineStr">
        <is>
          <t>Antes de 2026</t>
        </is>
      </c>
      <c r="B266" t="inlineStr">
        <is>
          <t>Frete de venda</t>
        </is>
      </c>
      <c r="C266" t="inlineStr">
        <is>
          <t>Frete de venda (para clientes)</t>
        </is>
      </c>
      <c r="D266" t="inlineStr">
        <is>
          <t>CT-e</t>
        </is>
      </c>
      <c r="E266" t="inlineStr">
        <is>
          <t>000000063</t>
        </is>
      </c>
      <c r="F266" t="inlineStr">
        <is>
          <t>ADIL CARLOS DA SILVA</t>
        </is>
      </c>
      <c r="G266" s="27" t="n">
        <v>45600</v>
      </c>
      <c r="H266" s="14" t="n">
        <v>10</v>
      </c>
      <c r="I266" s="14" t="n">
        <v>0</v>
      </c>
      <c r="J266" s="14" t="n">
        <v>0</v>
      </c>
      <c r="K266" s="14" t="n">
        <v>0</v>
      </c>
      <c r="L266" s="14" t="n">
        <v>0</v>
      </c>
      <c r="M266" s="14">
        <f>IF(B266="Frete de venda",0,(1-ISNUMBER(SEARCH("556",P266)))*(I266*VLOOKUP($B266,Premissas!$A$4:$E$7,2,0)+J266*VLOOKUP($B266,Premissas!$A$4:$E$7,3,0))+K266*VLOOKUP($B266,Premissas!$A$4:$E$7,4,0)+L266*VLOOKUP($B266,Premissas!$A$4:$E$7,5,0))</f>
        <v/>
      </c>
      <c r="N266" s="14">
        <f>H266-M266</f>
        <v/>
      </c>
      <c r="O266" t="inlineStr">
        <is>
          <t>Não</t>
        </is>
      </c>
      <c r="P266" t="inlineStr">
        <is>
          <t>2.350</t>
        </is>
      </c>
    </row>
    <row r="267">
      <c r="A267" t="inlineStr">
        <is>
          <t>Antes de 2026</t>
        </is>
      </c>
      <c r="B267" t="inlineStr">
        <is>
          <t>Frete de venda</t>
        </is>
      </c>
      <c r="C267" t="inlineStr">
        <is>
          <t>Frete de venda (para clientes)</t>
        </is>
      </c>
      <c r="D267" t="inlineStr">
        <is>
          <t>CT-e</t>
        </is>
      </c>
      <c r="E267" t="inlineStr">
        <is>
          <t>000000067</t>
        </is>
      </c>
      <c r="F267" t="inlineStr">
        <is>
          <t>ADIL CARLOS DA SILVA</t>
        </is>
      </c>
      <c r="G267" s="27" t="n">
        <v>45627</v>
      </c>
      <c r="H267" s="14" t="n">
        <v>10</v>
      </c>
      <c r="I267" s="14" t="n">
        <v>0</v>
      </c>
      <c r="J267" s="14" t="n">
        <v>0</v>
      </c>
      <c r="K267" s="14" t="n">
        <v>0</v>
      </c>
      <c r="L267" s="14" t="n">
        <v>0</v>
      </c>
      <c r="M267" s="14">
        <f>IF(B267="Frete de venda",0,(1-ISNUMBER(SEARCH("556",P267)))*(I267*VLOOKUP($B267,Premissas!$A$4:$E$7,2,0)+J267*VLOOKUP($B267,Premissas!$A$4:$E$7,3,0))+K267*VLOOKUP($B267,Premissas!$A$4:$E$7,4,0)+L267*VLOOKUP($B267,Premissas!$A$4:$E$7,5,0))</f>
        <v/>
      </c>
      <c r="N267" s="14">
        <f>H267-M267</f>
        <v/>
      </c>
      <c r="O267" t="inlineStr">
        <is>
          <t>Não</t>
        </is>
      </c>
      <c r="P267" t="inlineStr">
        <is>
          <t>2.350</t>
        </is>
      </c>
    </row>
    <row r="268">
      <c r="A268" t="inlineStr">
        <is>
          <t>Antes de 2026</t>
        </is>
      </c>
      <c r="B268" t="inlineStr">
        <is>
          <t>Frete de venda</t>
        </is>
      </c>
      <c r="C268" t="inlineStr">
        <is>
          <t>Frete de venda (para clientes)</t>
        </is>
      </c>
      <c r="D268" t="inlineStr">
        <is>
          <t>CT-e</t>
        </is>
      </c>
      <c r="E268" t="inlineStr">
        <is>
          <t>000000069</t>
        </is>
      </c>
      <c r="F268" t="inlineStr">
        <is>
          <t>ADIL CARLOS DA SILVA</t>
        </is>
      </c>
      <c r="G268" s="27" t="n">
        <v>45637</v>
      </c>
      <c r="H268" s="14" t="n">
        <v>10</v>
      </c>
      <c r="I268" s="14" t="n">
        <v>0</v>
      </c>
      <c r="J268" s="14" t="n">
        <v>0</v>
      </c>
      <c r="K268" s="14" t="n">
        <v>0</v>
      </c>
      <c r="L268" s="14" t="n">
        <v>0</v>
      </c>
      <c r="M268" s="14">
        <f>IF(B268="Frete de venda",0,(1-ISNUMBER(SEARCH("556",P268)))*(I268*VLOOKUP($B268,Premissas!$A$4:$E$7,2,0)+J268*VLOOKUP($B268,Premissas!$A$4:$E$7,3,0))+K268*VLOOKUP($B268,Premissas!$A$4:$E$7,4,0)+L268*VLOOKUP($B268,Premissas!$A$4:$E$7,5,0))</f>
        <v/>
      </c>
      <c r="N268" s="14">
        <f>H268-M268</f>
        <v/>
      </c>
      <c r="O268" t="inlineStr">
        <is>
          <t>Não</t>
        </is>
      </c>
      <c r="P268" t="inlineStr">
        <is>
          <t>2.350</t>
        </is>
      </c>
    </row>
    <row r="269">
      <c r="A269" t="inlineStr">
        <is>
          <t>Antes de 2026</t>
        </is>
      </c>
      <c r="B269" t="inlineStr">
        <is>
          <t>Frete de venda</t>
        </is>
      </c>
      <c r="C269" t="inlineStr">
        <is>
          <t>Frete de venda (para clientes)</t>
        </is>
      </c>
      <c r="D269" t="inlineStr">
        <is>
          <t>CT-e</t>
        </is>
      </c>
      <c r="E269" t="inlineStr">
        <is>
          <t>000003386</t>
        </is>
      </c>
      <c r="F269" t="inlineStr">
        <is>
          <t>R&amp;R TRANSPORTE E LOGISTICA</t>
        </is>
      </c>
      <c r="G269" s="27" t="n">
        <v>45638</v>
      </c>
      <c r="H269" s="14" t="n">
        <v>42.77</v>
      </c>
      <c r="I269" s="14" t="n">
        <v>0</v>
      </c>
      <c r="J269" s="14" t="n">
        <v>0</v>
      </c>
      <c r="K269" s="14" t="n">
        <v>0</v>
      </c>
      <c r="L269" s="14" t="n">
        <v>0</v>
      </c>
      <c r="M269" s="14">
        <f>IF(B269="Frete de venda",0,(1-ISNUMBER(SEARCH("556",P269)))*(I269*VLOOKUP($B269,Premissas!$A$4:$E$7,2,0)+J269*VLOOKUP($B269,Premissas!$A$4:$E$7,3,0))+K269*VLOOKUP($B269,Premissas!$A$4:$E$7,4,0)+L269*VLOOKUP($B269,Premissas!$A$4:$E$7,5,0))</f>
        <v/>
      </c>
      <c r="N269" s="14">
        <f>H269-M269</f>
        <v/>
      </c>
      <c r="O269" t="inlineStr">
        <is>
          <t>Não</t>
        </is>
      </c>
      <c r="P269" t="inlineStr">
        <is>
          <t>1.350</t>
        </is>
      </c>
    </row>
    <row r="270">
      <c r="A270" t="inlineStr">
        <is>
          <t>Antes de 2026</t>
        </is>
      </c>
      <c r="B270" t="inlineStr">
        <is>
          <t>Frete de venda</t>
        </is>
      </c>
      <c r="C270" t="inlineStr">
        <is>
          <t>Frete de venda (para clientes)</t>
        </is>
      </c>
      <c r="D270" t="inlineStr">
        <is>
          <t>CT-e</t>
        </is>
      </c>
      <c r="E270" t="inlineStr">
        <is>
          <t>000003083</t>
        </is>
      </c>
      <c r="F270" t="inlineStr">
        <is>
          <t>R&amp;R TRANSPORTE E LOGISTICA</t>
        </is>
      </c>
      <c r="G270" s="27" t="n">
        <v>45600</v>
      </c>
      <c r="H270" s="14" t="n">
        <v>54</v>
      </c>
      <c r="I270" s="14" t="n">
        <v>0</v>
      </c>
      <c r="J270" s="14" t="n">
        <v>0</v>
      </c>
      <c r="K270" s="14" t="n">
        <v>0</v>
      </c>
      <c r="L270" s="14" t="n">
        <v>0</v>
      </c>
      <c r="M270" s="14">
        <f>IF(B270="Frete de venda",0,(1-ISNUMBER(SEARCH("556",P270)))*(I270*VLOOKUP($B270,Premissas!$A$4:$E$7,2,0)+J270*VLOOKUP($B270,Premissas!$A$4:$E$7,3,0))+K270*VLOOKUP($B270,Premissas!$A$4:$E$7,4,0)+L270*VLOOKUP($B270,Premissas!$A$4:$E$7,5,0))</f>
        <v/>
      </c>
      <c r="N270" s="14">
        <f>H270-M270</f>
        <v/>
      </c>
      <c r="O270" t="inlineStr">
        <is>
          <t>Não</t>
        </is>
      </c>
      <c r="P270" t="inlineStr">
        <is>
          <t>1.350</t>
        </is>
      </c>
    </row>
    <row r="271">
      <c r="A271" t="inlineStr">
        <is>
          <t>Antes de 2026</t>
        </is>
      </c>
      <c r="B271" t="inlineStr">
        <is>
          <t>Frete de venda</t>
        </is>
      </c>
      <c r="C271" t="inlineStr">
        <is>
          <t>Frete de venda (para clientes)</t>
        </is>
      </c>
      <c r="D271" t="inlineStr">
        <is>
          <t>CT-e</t>
        </is>
      </c>
      <c r="E271" t="inlineStr">
        <is>
          <t>000003364</t>
        </is>
      </c>
      <c r="F271" t="inlineStr">
        <is>
          <t>R&amp;R TRANSPORTE E LOGISTICA</t>
        </is>
      </c>
      <c r="G271" s="27" t="n">
        <v>45631</v>
      </c>
      <c r="H271" s="14" t="n">
        <v>32</v>
      </c>
      <c r="I271" s="14" t="n">
        <v>0</v>
      </c>
      <c r="J271" s="14" t="n">
        <v>0</v>
      </c>
      <c r="K271" s="14" t="n">
        <v>0</v>
      </c>
      <c r="L271" s="14" t="n">
        <v>0</v>
      </c>
      <c r="M271" s="14">
        <f>IF(B271="Frete de venda",0,(1-ISNUMBER(SEARCH("556",P271)))*(I271*VLOOKUP($B271,Premissas!$A$4:$E$7,2,0)+J271*VLOOKUP($B271,Premissas!$A$4:$E$7,3,0))+K271*VLOOKUP($B271,Premissas!$A$4:$E$7,4,0)+L271*VLOOKUP($B271,Premissas!$A$4:$E$7,5,0))</f>
        <v/>
      </c>
      <c r="N271" s="14">
        <f>H271-M271</f>
        <v/>
      </c>
      <c r="O271" t="inlineStr">
        <is>
          <t>Não</t>
        </is>
      </c>
      <c r="P271" t="inlineStr">
        <is>
          <t>1.350</t>
        </is>
      </c>
    </row>
    <row r="272">
      <c r="A272" t="inlineStr">
        <is>
          <t>Antes de 2026</t>
        </is>
      </c>
      <c r="B272" t="inlineStr">
        <is>
          <t>Frete de venda</t>
        </is>
      </c>
      <c r="C272" t="inlineStr">
        <is>
          <t>Frete de venda (para clientes)</t>
        </is>
      </c>
      <c r="D272" t="inlineStr">
        <is>
          <t>CT-e</t>
        </is>
      </c>
      <c r="E272" t="inlineStr">
        <is>
          <t>000003076</t>
        </is>
      </c>
      <c r="F272" t="inlineStr">
        <is>
          <t>R&amp;R TRANSPORTE E LOGISTICA</t>
        </is>
      </c>
      <c r="G272" s="27" t="n">
        <v>45597</v>
      </c>
      <c r="H272" s="14" t="n">
        <v>80</v>
      </c>
      <c r="I272" s="14" t="n">
        <v>0</v>
      </c>
      <c r="J272" s="14" t="n">
        <v>0</v>
      </c>
      <c r="K272" s="14" t="n">
        <v>0</v>
      </c>
      <c r="L272" s="14" t="n">
        <v>0</v>
      </c>
      <c r="M272" s="14">
        <f>IF(B272="Frete de venda",0,(1-ISNUMBER(SEARCH("556",P272)))*(I272*VLOOKUP($B272,Premissas!$A$4:$E$7,2,0)+J272*VLOOKUP($B272,Premissas!$A$4:$E$7,3,0))+K272*VLOOKUP($B272,Premissas!$A$4:$E$7,4,0)+L272*VLOOKUP($B272,Premissas!$A$4:$E$7,5,0))</f>
        <v/>
      </c>
      <c r="N272" s="14">
        <f>H272-M272</f>
        <v/>
      </c>
      <c r="O272" t="inlineStr">
        <is>
          <t>Não</t>
        </is>
      </c>
      <c r="P272" t="inlineStr">
        <is>
          <t>1.350</t>
        </is>
      </c>
    </row>
    <row r="273">
      <c r="A273" t="inlineStr">
        <is>
          <t>Antes de 2026</t>
        </is>
      </c>
      <c r="B273" t="inlineStr">
        <is>
          <t>Frete de venda</t>
        </is>
      </c>
      <c r="C273" t="inlineStr">
        <is>
          <t>Frete de venda (para clientes)</t>
        </is>
      </c>
      <c r="D273" t="inlineStr">
        <is>
          <t>CT-e</t>
        </is>
      </c>
      <c r="E273" t="inlineStr">
        <is>
          <t>000003318</t>
        </is>
      </c>
      <c r="F273" t="inlineStr">
        <is>
          <t>R&amp;R TRANSPORTE E LOGISTICA</t>
        </is>
      </c>
      <c r="G273" s="27" t="n">
        <v>45622</v>
      </c>
      <c r="H273" s="14" t="n">
        <v>200</v>
      </c>
      <c r="I273" s="14" t="n">
        <v>0</v>
      </c>
      <c r="J273" s="14" t="n">
        <v>0</v>
      </c>
      <c r="K273" s="14" t="n">
        <v>0</v>
      </c>
      <c r="L273" s="14" t="n">
        <v>0</v>
      </c>
      <c r="M273" s="14">
        <f>IF(B273="Frete de venda",0,(1-ISNUMBER(SEARCH("556",P273)))*(I273*VLOOKUP($B273,Premissas!$A$4:$E$7,2,0)+J273*VLOOKUP($B273,Premissas!$A$4:$E$7,3,0))+K273*VLOOKUP($B273,Premissas!$A$4:$E$7,4,0)+L273*VLOOKUP($B273,Premissas!$A$4:$E$7,5,0))</f>
        <v/>
      </c>
      <c r="N273" s="14">
        <f>H273-M273</f>
        <v/>
      </c>
      <c r="O273" t="inlineStr">
        <is>
          <t>Não</t>
        </is>
      </c>
      <c r="P273" t="inlineStr">
        <is>
          <t>1.350</t>
        </is>
      </c>
    </row>
    <row r="274">
      <c r="A274" t="inlineStr">
        <is>
          <t>Antes de 2026</t>
        </is>
      </c>
      <c r="B274" t="inlineStr">
        <is>
          <t>Frete de venda</t>
        </is>
      </c>
      <c r="C274" t="inlineStr">
        <is>
          <t>Frete de venda (para clientes)</t>
        </is>
      </c>
      <c r="D274" t="inlineStr">
        <is>
          <t>CT-e</t>
        </is>
      </c>
      <c r="E274" t="inlineStr">
        <is>
          <t>000003230</t>
        </is>
      </c>
      <c r="F274" t="inlineStr">
        <is>
          <t>R&amp;R TRANSPORTE E LOGISTICA</t>
        </is>
      </c>
      <c r="G274" s="27" t="n">
        <v>45616</v>
      </c>
      <c r="H274" s="14" t="n">
        <v>56</v>
      </c>
      <c r="I274" s="14" t="n">
        <v>0</v>
      </c>
      <c r="J274" s="14" t="n">
        <v>0</v>
      </c>
      <c r="K274" s="14" t="n">
        <v>0</v>
      </c>
      <c r="L274" s="14" t="n">
        <v>0</v>
      </c>
      <c r="M274" s="14">
        <f>IF(B274="Frete de venda",0,(1-ISNUMBER(SEARCH("556",P274)))*(I274*VLOOKUP($B274,Premissas!$A$4:$E$7,2,0)+J274*VLOOKUP($B274,Premissas!$A$4:$E$7,3,0))+K274*VLOOKUP($B274,Premissas!$A$4:$E$7,4,0)+L274*VLOOKUP($B274,Premissas!$A$4:$E$7,5,0))</f>
        <v/>
      </c>
      <c r="N274" s="14">
        <f>H274-M274</f>
        <v/>
      </c>
      <c r="O274" t="inlineStr">
        <is>
          <t>Não</t>
        </is>
      </c>
      <c r="P274" t="inlineStr">
        <is>
          <t>1.350</t>
        </is>
      </c>
    </row>
    <row r="275">
      <c r="A275" t="inlineStr">
        <is>
          <t>Antes de 2026</t>
        </is>
      </c>
      <c r="B275" t="inlineStr">
        <is>
          <t>Frete de venda</t>
        </is>
      </c>
      <c r="C275" t="inlineStr">
        <is>
          <t>Frete de venda (para clientes)</t>
        </is>
      </c>
      <c r="D275" t="inlineStr">
        <is>
          <t>CT-e</t>
        </is>
      </c>
      <c r="E275" t="inlineStr">
        <is>
          <t>000000064</t>
        </is>
      </c>
      <c r="F275" t="inlineStr">
        <is>
          <t>ADIL CARLOS DA SILVA</t>
        </is>
      </c>
      <c r="G275" s="27" t="n">
        <v>45600</v>
      </c>
      <c r="H275" s="14" t="n">
        <v>10</v>
      </c>
      <c r="I275" s="14" t="n">
        <v>0</v>
      </c>
      <c r="J275" s="14" t="n">
        <v>0</v>
      </c>
      <c r="K275" s="14" t="n">
        <v>0</v>
      </c>
      <c r="L275" s="14" t="n">
        <v>0</v>
      </c>
      <c r="M275" s="14">
        <f>IF(B275="Frete de venda",0,(1-ISNUMBER(SEARCH("556",P275)))*(I275*VLOOKUP($B275,Premissas!$A$4:$E$7,2,0)+J275*VLOOKUP($B275,Premissas!$A$4:$E$7,3,0))+K275*VLOOKUP($B275,Premissas!$A$4:$E$7,4,0)+L275*VLOOKUP($B275,Premissas!$A$4:$E$7,5,0))</f>
        <v/>
      </c>
      <c r="N275" s="14">
        <f>H275-M275</f>
        <v/>
      </c>
      <c r="O275" t="inlineStr">
        <is>
          <t>Não</t>
        </is>
      </c>
      <c r="P275" t="inlineStr">
        <is>
          <t>2.350</t>
        </is>
      </c>
    </row>
    <row r="276">
      <c r="A276" t="inlineStr">
        <is>
          <t>Antes de 2026</t>
        </is>
      </c>
      <c r="B276" t="inlineStr">
        <is>
          <t>Frete de venda</t>
        </is>
      </c>
      <c r="C276" t="inlineStr">
        <is>
          <t>Frete de venda (para clientes)</t>
        </is>
      </c>
      <c r="D276" t="inlineStr">
        <is>
          <t>CT-e</t>
        </is>
      </c>
      <c r="E276" t="inlineStr">
        <is>
          <t>000003448</t>
        </is>
      </c>
      <c r="F276" t="inlineStr">
        <is>
          <t>R&amp;R TRANSPORTE E LOGISTICA</t>
        </is>
      </c>
      <c r="G276" s="27" t="n">
        <v>45646</v>
      </c>
      <c r="H276" s="14" t="n">
        <v>41.54</v>
      </c>
      <c r="I276" s="14" t="n">
        <v>0</v>
      </c>
      <c r="J276" s="14" t="n">
        <v>0</v>
      </c>
      <c r="K276" s="14" t="n">
        <v>0</v>
      </c>
      <c r="L276" s="14" t="n">
        <v>0</v>
      </c>
      <c r="M276" s="14">
        <f>IF(B276="Frete de venda",0,(1-ISNUMBER(SEARCH("556",P276)))*(I276*VLOOKUP($B276,Premissas!$A$4:$E$7,2,0)+J276*VLOOKUP($B276,Premissas!$A$4:$E$7,3,0))+K276*VLOOKUP($B276,Premissas!$A$4:$E$7,4,0)+L276*VLOOKUP($B276,Premissas!$A$4:$E$7,5,0))</f>
        <v/>
      </c>
      <c r="N276" s="14">
        <f>H276-M276</f>
        <v/>
      </c>
      <c r="O276" t="inlineStr">
        <is>
          <t>Não</t>
        </is>
      </c>
      <c r="P276" t="inlineStr">
        <is>
          <t>1.350</t>
        </is>
      </c>
    </row>
    <row r="277">
      <c r="A277" t="inlineStr">
        <is>
          <t>Antes de 2026</t>
        </is>
      </c>
      <c r="B277" t="inlineStr">
        <is>
          <t>Frete de venda</t>
        </is>
      </c>
      <c r="C277" t="inlineStr">
        <is>
          <t>Frete de venda (para clientes)</t>
        </is>
      </c>
      <c r="D277" t="inlineStr">
        <is>
          <t>CT-e</t>
        </is>
      </c>
      <c r="E277" t="inlineStr">
        <is>
          <t>000003406</t>
        </is>
      </c>
      <c r="F277" t="inlineStr">
        <is>
          <t>R&amp;R TRANSPORTE E LOGISTICA</t>
        </is>
      </c>
      <c r="G277" s="27" t="n">
        <v>45639</v>
      </c>
      <c r="H277" s="14" t="n">
        <v>39</v>
      </c>
      <c r="I277" s="14" t="n">
        <v>0</v>
      </c>
      <c r="J277" s="14" t="n">
        <v>0</v>
      </c>
      <c r="K277" s="14" t="n">
        <v>0</v>
      </c>
      <c r="L277" s="14" t="n">
        <v>0</v>
      </c>
      <c r="M277" s="14">
        <f>IF(B277="Frete de venda",0,(1-ISNUMBER(SEARCH("556",P277)))*(I277*VLOOKUP($B277,Premissas!$A$4:$E$7,2,0)+J277*VLOOKUP($B277,Premissas!$A$4:$E$7,3,0))+K277*VLOOKUP($B277,Premissas!$A$4:$E$7,4,0)+L277*VLOOKUP($B277,Premissas!$A$4:$E$7,5,0))</f>
        <v/>
      </c>
      <c r="N277" s="14">
        <f>H277-M277</f>
        <v/>
      </c>
      <c r="O277" t="inlineStr">
        <is>
          <t>Não</t>
        </is>
      </c>
      <c r="P277" t="inlineStr">
        <is>
          <t>1.350</t>
        </is>
      </c>
    </row>
    <row r="278">
      <c r="A278" t="inlineStr">
        <is>
          <t>Antes de 2026</t>
        </is>
      </c>
      <c r="B278" t="inlineStr">
        <is>
          <t>Frete de venda</t>
        </is>
      </c>
      <c r="C278" t="inlineStr">
        <is>
          <t>Frete de venda (para clientes)</t>
        </is>
      </c>
      <c r="D278" t="inlineStr">
        <is>
          <t>CT-e</t>
        </is>
      </c>
      <c r="E278" t="inlineStr">
        <is>
          <t>001288477</t>
        </is>
      </c>
      <c r="F278" t="inlineStr">
        <is>
          <t>PICCOLI TRANSPORTES LTDA</t>
        </is>
      </c>
      <c r="G278" s="27" t="n">
        <v>45644</v>
      </c>
      <c r="H278" s="14" t="n">
        <v>704.1900000000001</v>
      </c>
      <c r="I278" s="14" t="n">
        <v>0</v>
      </c>
      <c r="J278" s="14" t="n">
        <v>49.29</v>
      </c>
      <c r="K278" s="14" t="n">
        <v>0</v>
      </c>
      <c r="L278" s="14" t="n">
        <v>0</v>
      </c>
      <c r="M278" s="14">
        <f>IF(B278="Frete de venda",0,(1-ISNUMBER(SEARCH("556",P278)))*(I278*VLOOKUP($B278,Premissas!$A$4:$E$7,2,0)+J278*VLOOKUP($B278,Premissas!$A$4:$E$7,3,0))+K278*VLOOKUP($B278,Premissas!$A$4:$E$7,4,0)+L278*VLOOKUP($B278,Premissas!$A$4:$E$7,5,0))</f>
        <v/>
      </c>
      <c r="N278" s="14">
        <f>H278-M278</f>
        <v/>
      </c>
      <c r="O278" t="inlineStr">
        <is>
          <t>Não</t>
        </is>
      </c>
      <c r="P278" t="inlineStr">
        <is>
          <t>2.350</t>
        </is>
      </c>
    </row>
    <row r="279">
      <c r="A279" t="inlineStr">
        <is>
          <t>Antes de 2026</t>
        </is>
      </c>
      <c r="B279" t="inlineStr">
        <is>
          <t>Frete de venda</t>
        </is>
      </c>
      <c r="C279" t="inlineStr">
        <is>
          <t>Frete de venda (para clientes)</t>
        </is>
      </c>
      <c r="D279" t="inlineStr">
        <is>
          <t>CT-e</t>
        </is>
      </c>
      <c r="E279" t="inlineStr">
        <is>
          <t>000003402</t>
        </is>
      </c>
      <c r="F279" t="inlineStr">
        <is>
          <t>R&amp;R TRANSPORTE E LOGISTICA</t>
        </is>
      </c>
      <c r="G279" s="27" t="n">
        <v>45639</v>
      </c>
      <c r="H279" s="14" t="n">
        <v>36</v>
      </c>
      <c r="I279" s="14" t="n">
        <v>0</v>
      </c>
      <c r="J279" s="14" t="n">
        <v>0</v>
      </c>
      <c r="K279" s="14" t="n">
        <v>0</v>
      </c>
      <c r="L279" s="14" t="n">
        <v>0</v>
      </c>
      <c r="M279" s="14">
        <f>IF(B279="Frete de venda",0,(1-ISNUMBER(SEARCH("556",P279)))*(I279*VLOOKUP($B279,Premissas!$A$4:$E$7,2,0)+J279*VLOOKUP($B279,Premissas!$A$4:$E$7,3,0))+K279*VLOOKUP($B279,Premissas!$A$4:$E$7,4,0)+L279*VLOOKUP($B279,Premissas!$A$4:$E$7,5,0))</f>
        <v/>
      </c>
      <c r="N279" s="14">
        <f>H279-M279</f>
        <v/>
      </c>
      <c r="O279" t="inlineStr">
        <is>
          <t>Não</t>
        </is>
      </c>
      <c r="P279" t="inlineStr">
        <is>
          <t>1.350</t>
        </is>
      </c>
    </row>
    <row r="280">
      <c r="A280" t="inlineStr">
        <is>
          <t>Antes de 2026</t>
        </is>
      </c>
      <c r="B280" t="inlineStr">
        <is>
          <t>Frete de venda</t>
        </is>
      </c>
      <c r="C280" t="inlineStr">
        <is>
          <t>Frete de venda (para clientes)</t>
        </is>
      </c>
      <c r="D280" t="inlineStr">
        <is>
          <t>CT-e</t>
        </is>
      </c>
      <c r="E280" t="inlineStr">
        <is>
          <t>001288479</t>
        </is>
      </c>
      <c r="F280" t="inlineStr">
        <is>
          <t>PICCOLI TRANSPORTES LTDA</t>
        </is>
      </c>
      <c r="G280" s="27" t="n">
        <v>45644</v>
      </c>
      <c r="H280" s="14" t="n">
        <v>445.2</v>
      </c>
      <c r="I280" s="14" t="n">
        <v>0</v>
      </c>
      <c r="J280" s="14" t="n">
        <v>31.16</v>
      </c>
      <c r="K280" s="14" t="n">
        <v>0</v>
      </c>
      <c r="L280" s="14" t="n">
        <v>0</v>
      </c>
      <c r="M280" s="14">
        <f>IF(B280="Frete de venda",0,(1-ISNUMBER(SEARCH("556",P280)))*(I280*VLOOKUP($B280,Premissas!$A$4:$E$7,2,0)+J280*VLOOKUP($B280,Premissas!$A$4:$E$7,3,0))+K280*VLOOKUP($B280,Premissas!$A$4:$E$7,4,0)+L280*VLOOKUP($B280,Premissas!$A$4:$E$7,5,0))</f>
        <v/>
      </c>
      <c r="N280" s="14">
        <f>H280-M280</f>
        <v/>
      </c>
      <c r="O280" t="inlineStr">
        <is>
          <t>Não</t>
        </is>
      </c>
      <c r="P280" t="inlineStr">
        <is>
          <t>2.350</t>
        </is>
      </c>
    </row>
    <row r="281">
      <c r="A281" t="inlineStr">
        <is>
          <t>Antes de 2026</t>
        </is>
      </c>
      <c r="B281" t="inlineStr">
        <is>
          <t>Frete de venda</t>
        </is>
      </c>
      <c r="C281" t="inlineStr">
        <is>
          <t>Frete de venda (para clientes)</t>
        </is>
      </c>
      <c r="D281" t="inlineStr">
        <is>
          <t>CT-e</t>
        </is>
      </c>
      <c r="E281" t="inlineStr">
        <is>
          <t>000003453</t>
        </is>
      </c>
      <c r="F281" t="inlineStr">
        <is>
          <t>R&amp;R TRANSPORTE E LOGISTICA</t>
        </is>
      </c>
      <c r="G281" s="27" t="n">
        <v>45647</v>
      </c>
      <c r="H281" s="14" t="n">
        <v>42</v>
      </c>
      <c r="I281" s="14" t="n">
        <v>0</v>
      </c>
      <c r="J281" s="14" t="n">
        <v>0</v>
      </c>
      <c r="K281" s="14" t="n">
        <v>0</v>
      </c>
      <c r="L281" s="14" t="n">
        <v>0</v>
      </c>
      <c r="M281" s="14">
        <f>IF(B281="Frete de venda",0,(1-ISNUMBER(SEARCH("556",P281)))*(I281*VLOOKUP($B281,Premissas!$A$4:$E$7,2,0)+J281*VLOOKUP($B281,Premissas!$A$4:$E$7,3,0))+K281*VLOOKUP($B281,Premissas!$A$4:$E$7,4,0)+L281*VLOOKUP($B281,Premissas!$A$4:$E$7,5,0))</f>
        <v/>
      </c>
      <c r="N281" s="14">
        <f>H281-M281</f>
        <v/>
      </c>
      <c r="O281" t="inlineStr">
        <is>
          <t>Não</t>
        </is>
      </c>
      <c r="P281" t="inlineStr">
        <is>
          <t>1.350</t>
        </is>
      </c>
    </row>
    <row r="282">
      <c r="A282" t="inlineStr">
        <is>
          <t>Antes de 2026</t>
        </is>
      </c>
      <c r="B282" t="inlineStr">
        <is>
          <t>Frete de venda</t>
        </is>
      </c>
      <c r="C282" t="inlineStr">
        <is>
          <t>Frete de venda (para clientes)</t>
        </is>
      </c>
      <c r="D282" t="inlineStr">
        <is>
          <t>CT-e</t>
        </is>
      </c>
      <c r="E282" t="inlineStr">
        <is>
          <t>000003084</t>
        </is>
      </c>
      <c r="F282" t="inlineStr">
        <is>
          <t>R&amp;R TRANSPORTE E LOGISTICA</t>
        </is>
      </c>
      <c r="G282" s="27" t="n">
        <v>45600</v>
      </c>
      <c r="H282" s="14" t="n">
        <v>45</v>
      </c>
      <c r="I282" s="14" t="n">
        <v>0</v>
      </c>
      <c r="J282" s="14" t="n">
        <v>0</v>
      </c>
      <c r="K282" s="14" t="n">
        <v>0</v>
      </c>
      <c r="L282" s="14" t="n">
        <v>0</v>
      </c>
      <c r="M282" s="14">
        <f>IF(B282="Frete de venda",0,(1-ISNUMBER(SEARCH("556",P282)))*(I282*VLOOKUP($B282,Premissas!$A$4:$E$7,2,0)+J282*VLOOKUP($B282,Premissas!$A$4:$E$7,3,0))+K282*VLOOKUP($B282,Premissas!$A$4:$E$7,4,0)+L282*VLOOKUP($B282,Premissas!$A$4:$E$7,5,0))</f>
        <v/>
      </c>
      <c r="N282" s="14">
        <f>H282-M282</f>
        <v/>
      </c>
      <c r="O282" t="inlineStr">
        <is>
          <t>Não</t>
        </is>
      </c>
      <c r="P282" t="inlineStr">
        <is>
          <t>1.350</t>
        </is>
      </c>
    </row>
    <row r="283">
      <c r="A283" t="inlineStr">
        <is>
          <t>Antes de 2026</t>
        </is>
      </c>
      <c r="B283" t="inlineStr">
        <is>
          <t>Frete de venda</t>
        </is>
      </c>
      <c r="C283" t="inlineStr">
        <is>
          <t>Frete de venda (para clientes)</t>
        </is>
      </c>
      <c r="D283" t="inlineStr">
        <is>
          <t>CT-e</t>
        </is>
      </c>
      <c r="E283" t="inlineStr">
        <is>
          <t>000003501</t>
        </is>
      </c>
      <c r="F283" t="inlineStr">
        <is>
          <t>R&amp;R TRANSPORTE E LOGISTICA</t>
        </is>
      </c>
      <c r="G283" s="27" t="n">
        <v>45664</v>
      </c>
      <c r="H283" s="14" t="n">
        <v>88</v>
      </c>
      <c r="I283" s="14" t="n">
        <v>0</v>
      </c>
      <c r="J283" s="14" t="n">
        <v>0</v>
      </c>
      <c r="K283" s="14" t="n">
        <v>0</v>
      </c>
      <c r="L283" s="14" t="n">
        <v>0</v>
      </c>
      <c r="M283" s="14">
        <f>IF(B283="Frete de venda",0,(1-ISNUMBER(SEARCH("556",P283)))*(I283*VLOOKUP($B283,Premissas!$A$4:$E$7,2,0)+J283*VLOOKUP($B283,Premissas!$A$4:$E$7,3,0))+K283*VLOOKUP($B283,Premissas!$A$4:$E$7,4,0)+L283*VLOOKUP($B283,Premissas!$A$4:$E$7,5,0))</f>
        <v/>
      </c>
      <c r="N283" s="14">
        <f>H283-M283</f>
        <v/>
      </c>
      <c r="O283" t="inlineStr">
        <is>
          <t>Não</t>
        </is>
      </c>
      <c r="P283" t="inlineStr">
        <is>
          <t>1.350</t>
        </is>
      </c>
    </row>
    <row r="284">
      <c r="A284" t="inlineStr">
        <is>
          <t>Antes de 2026</t>
        </is>
      </c>
      <c r="B284" t="inlineStr">
        <is>
          <t>Frete de venda</t>
        </is>
      </c>
      <c r="C284" t="inlineStr">
        <is>
          <t>Frete de venda (para clientes)</t>
        </is>
      </c>
      <c r="D284" t="inlineStr">
        <is>
          <t>CT-e</t>
        </is>
      </c>
      <c r="E284" t="inlineStr">
        <is>
          <t>000003088</t>
        </is>
      </c>
      <c r="F284" t="inlineStr">
        <is>
          <t>R&amp;R TRANSPORTE E LOGISTICA</t>
        </is>
      </c>
      <c r="G284" s="27" t="n">
        <v>45600</v>
      </c>
      <c r="H284" s="14" t="n">
        <v>30</v>
      </c>
      <c r="I284" s="14" t="n">
        <v>0</v>
      </c>
      <c r="J284" s="14" t="n">
        <v>0</v>
      </c>
      <c r="K284" s="14" t="n">
        <v>0</v>
      </c>
      <c r="L284" s="14" t="n">
        <v>0</v>
      </c>
      <c r="M284" s="14">
        <f>IF(B284="Frete de venda",0,(1-ISNUMBER(SEARCH("556",P284)))*(I284*VLOOKUP($B284,Premissas!$A$4:$E$7,2,0)+J284*VLOOKUP($B284,Premissas!$A$4:$E$7,3,0))+K284*VLOOKUP($B284,Premissas!$A$4:$E$7,4,0)+L284*VLOOKUP($B284,Premissas!$A$4:$E$7,5,0))</f>
        <v/>
      </c>
      <c r="N284" s="14">
        <f>H284-M284</f>
        <v/>
      </c>
      <c r="O284" t="inlineStr">
        <is>
          <t>Não</t>
        </is>
      </c>
      <c r="P284" t="inlineStr">
        <is>
          <t>1.350</t>
        </is>
      </c>
    </row>
    <row r="285">
      <c r="A285" t="inlineStr">
        <is>
          <t>Antes de 2026</t>
        </is>
      </c>
      <c r="B285" t="inlineStr">
        <is>
          <t>Frete de venda</t>
        </is>
      </c>
      <c r="C285" t="inlineStr">
        <is>
          <t>Frete de venda (para clientes)</t>
        </is>
      </c>
      <c r="D285" t="inlineStr">
        <is>
          <t>CT-e</t>
        </is>
      </c>
      <c r="E285" t="inlineStr">
        <is>
          <t>000003344</t>
        </is>
      </c>
      <c r="F285" t="inlineStr">
        <is>
          <t>R&amp;R TRANSPORTE E LOGISTICA</t>
        </is>
      </c>
      <c r="G285" s="27" t="n">
        <v>45626</v>
      </c>
      <c r="H285" s="14" t="n">
        <v>384</v>
      </c>
      <c r="I285" s="14" t="n">
        <v>0</v>
      </c>
      <c r="J285" s="14" t="n">
        <v>0</v>
      </c>
      <c r="K285" s="14" t="n">
        <v>0</v>
      </c>
      <c r="L285" s="14" t="n">
        <v>0</v>
      </c>
      <c r="M285" s="14">
        <f>IF(B285="Frete de venda",0,(1-ISNUMBER(SEARCH("556",P285)))*(I285*VLOOKUP($B285,Premissas!$A$4:$E$7,2,0)+J285*VLOOKUP($B285,Premissas!$A$4:$E$7,3,0))+K285*VLOOKUP($B285,Premissas!$A$4:$E$7,4,0)+L285*VLOOKUP($B285,Premissas!$A$4:$E$7,5,0))</f>
        <v/>
      </c>
      <c r="N285" s="14">
        <f>H285-M285</f>
        <v/>
      </c>
      <c r="O285" t="inlineStr">
        <is>
          <t>Não</t>
        </is>
      </c>
      <c r="P285" t="inlineStr">
        <is>
          <t>1.350</t>
        </is>
      </c>
    </row>
    <row r="286">
      <c r="A286" t="inlineStr">
        <is>
          <t>Antes de 2026</t>
        </is>
      </c>
      <c r="B286" t="inlineStr">
        <is>
          <t>Frete de venda</t>
        </is>
      </c>
      <c r="C286" t="inlineStr">
        <is>
          <t>Frete de venda (para clientes)</t>
        </is>
      </c>
      <c r="D286" t="inlineStr">
        <is>
          <t>CT-e</t>
        </is>
      </c>
      <c r="E286" t="inlineStr">
        <is>
          <t>000003163</t>
        </is>
      </c>
      <c r="F286" t="inlineStr">
        <is>
          <t>R&amp;R TRANSPORTE E LOGISTICA</t>
        </is>
      </c>
      <c r="G286" s="27" t="n">
        <v>45611</v>
      </c>
      <c r="H286" s="14" t="n">
        <v>33</v>
      </c>
      <c r="I286" s="14" t="n">
        <v>0</v>
      </c>
      <c r="J286" s="14" t="n">
        <v>0</v>
      </c>
      <c r="K286" s="14" t="n">
        <v>0</v>
      </c>
      <c r="L286" s="14" t="n">
        <v>0</v>
      </c>
      <c r="M286" s="14">
        <f>IF(B286="Frete de venda",0,(1-ISNUMBER(SEARCH("556",P286)))*(I286*VLOOKUP($B286,Premissas!$A$4:$E$7,2,0)+J286*VLOOKUP($B286,Premissas!$A$4:$E$7,3,0))+K286*VLOOKUP($B286,Premissas!$A$4:$E$7,4,0)+L286*VLOOKUP($B286,Premissas!$A$4:$E$7,5,0))</f>
        <v/>
      </c>
      <c r="N286" s="14">
        <f>H286-M286</f>
        <v/>
      </c>
      <c r="O286" t="inlineStr">
        <is>
          <t>Não</t>
        </is>
      </c>
      <c r="P286" t="inlineStr">
        <is>
          <t>1.350</t>
        </is>
      </c>
    </row>
    <row r="287">
      <c r="A287" t="inlineStr">
        <is>
          <t>Antes de 2026</t>
        </is>
      </c>
      <c r="B287" t="inlineStr">
        <is>
          <t>Frete de venda</t>
        </is>
      </c>
      <c r="C287" t="inlineStr">
        <is>
          <t>Frete de venda (para clientes)</t>
        </is>
      </c>
      <c r="D287" t="inlineStr">
        <is>
          <t>CT-e</t>
        </is>
      </c>
      <c r="E287" t="inlineStr">
        <is>
          <t>000003354</t>
        </is>
      </c>
      <c r="F287" t="inlineStr">
        <is>
          <t>R&amp;R TRANSPORTE E LOGISTICA</t>
        </is>
      </c>
      <c r="G287" s="27" t="n">
        <v>45629</v>
      </c>
      <c r="H287" s="14" t="n">
        <v>385</v>
      </c>
      <c r="I287" s="14" t="n">
        <v>0</v>
      </c>
      <c r="J287" s="14" t="n">
        <v>0</v>
      </c>
      <c r="K287" s="14" t="n">
        <v>0</v>
      </c>
      <c r="L287" s="14" t="n">
        <v>0</v>
      </c>
      <c r="M287" s="14">
        <f>IF(B287="Frete de venda",0,(1-ISNUMBER(SEARCH("556",P287)))*(I287*VLOOKUP($B287,Premissas!$A$4:$E$7,2,0)+J287*VLOOKUP($B287,Premissas!$A$4:$E$7,3,0))+K287*VLOOKUP($B287,Premissas!$A$4:$E$7,4,0)+L287*VLOOKUP($B287,Premissas!$A$4:$E$7,5,0))</f>
        <v/>
      </c>
      <c r="N287" s="14">
        <f>H287-M287</f>
        <v/>
      </c>
      <c r="O287" t="inlineStr">
        <is>
          <t>Não</t>
        </is>
      </c>
      <c r="P287" t="inlineStr">
        <is>
          <t>1.350</t>
        </is>
      </c>
    </row>
    <row r="288">
      <c r="A288" t="inlineStr">
        <is>
          <t>Antes de 2026</t>
        </is>
      </c>
      <c r="B288" t="inlineStr">
        <is>
          <t>Frete de venda</t>
        </is>
      </c>
      <c r="C288" t="inlineStr">
        <is>
          <t>Frete de venda (para clientes)</t>
        </is>
      </c>
      <c r="D288" t="inlineStr">
        <is>
          <t>CT-e</t>
        </is>
      </c>
      <c r="E288" t="inlineStr">
        <is>
          <t>000003389</t>
        </is>
      </c>
      <c r="F288" t="inlineStr">
        <is>
          <t>R&amp;R TRANSPORTE E LOGISTICA</t>
        </is>
      </c>
      <c r="G288" s="27" t="n">
        <v>45638</v>
      </c>
      <c r="H288" s="14" t="n">
        <v>23.03</v>
      </c>
      <c r="I288" s="14" t="n">
        <v>0</v>
      </c>
      <c r="J288" s="14" t="n">
        <v>0</v>
      </c>
      <c r="K288" s="14" t="n">
        <v>0</v>
      </c>
      <c r="L288" s="14" t="n">
        <v>0</v>
      </c>
      <c r="M288" s="14">
        <f>IF(B288="Frete de venda",0,(1-ISNUMBER(SEARCH("556",P288)))*(I288*VLOOKUP($B288,Premissas!$A$4:$E$7,2,0)+J288*VLOOKUP($B288,Premissas!$A$4:$E$7,3,0))+K288*VLOOKUP($B288,Premissas!$A$4:$E$7,4,0)+L288*VLOOKUP($B288,Premissas!$A$4:$E$7,5,0))</f>
        <v/>
      </c>
      <c r="N288" s="14">
        <f>H288-M288</f>
        <v/>
      </c>
      <c r="O288" t="inlineStr">
        <is>
          <t>Não</t>
        </is>
      </c>
      <c r="P288" t="inlineStr">
        <is>
          <t>1.350</t>
        </is>
      </c>
    </row>
    <row r="289">
      <c r="A289" t="inlineStr">
        <is>
          <t>Antes de 2026</t>
        </is>
      </c>
      <c r="B289" t="inlineStr">
        <is>
          <t>Frete de venda</t>
        </is>
      </c>
      <c r="C289" t="inlineStr">
        <is>
          <t>Frete de venda (para clientes)</t>
        </is>
      </c>
      <c r="D289" t="inlineStr">
        <is>
          <t>CT-e</t>
        </is>
      </c>
      <c r="E289" t="inlineStr">
        <is>
          <t>000003411</t>
        </is>
      </c>
      <c r="F289" t="inlineStr">
        <is>
          <t>R&amp;R TRANSPORTE E LOGISTICA</t>
        </is>
      </c>
      <c r="G289" s="27" t="n">
        <v>45640</v>
      </c>
      <c r="H289" s="14" t="n">
        <v>62</v>
      </c>
      <c r="I289" s="14" t="n">
        <v>0</v>
      </c>
      <c r="J289" s="14" t="n">
        <v>0</v>
      </c>
      <c r="K289" s="14" t="n">
        <v>0</v>
      </c>
      <c r="L289" s="14" t="n">
        <v>0</v>
      </c>
      <c r="M289" s="14">
        <f>IF(B289="Frete de venda",0,(1-ISNUMBER(SEARCH("556",P289)))*(I289*VLOOKUP($B289,Premissas!$A$4:$E$7,2,0)+J289*VLOOKUP($B289,Premissas!$A$4:$E$7,3,0))+K289*VLOOKUP($B289,Premissas!$A$4:$E$7,4,0)+L289*VLOOKUP($B289,Premissas!$A$4:$E$7,5,0))</f>
        <v/>
      </c>
      <c r="N289" s="14">
        <f>H289-M289</f>
        <v/>
      </c>
      <c r="O289" t="inlineStr">
        <is>
          <t>Não</t>
        </is>
      </c>
      <c r="P289" t="inlineStr">
        <is>
          <t>1.350</t>
        </is>
      </c>
    </row>
    <row r="290">
      <c r="A290" t="inlineStr">
        <is>
          <t>Antes de 2026</t>
        </is>
      </c>
      <c r="B290" t="inlineStr">
        <is>
          <t>Frete de venda</t>
        </is>
      </c>
      <c r="C290" t="inlineStr">
        <is>
          <t>Frete de venda (para clientes)</t>
        </is>
      </c>
      <c r="D290" t="inlineStr">
        <is>
          <t>CT-e</t>
        </is>
      </c>
      <c r="E290" t="inlineStr">
        <is>
          <t>000003410</t>
        </is>
      </c>
      <c r="F290" t="inlineStr">
        <is>
          <t>R&amp;R TRANSPORTE E LOGISTICA</t>
        </is>
      </c>
      <c r="G290" s="27" t="n">
        <v>45640</v>
      </c>
      <c r="H290" s="14" t="n">
        <v>109</v>
      </c>
      <c r="I290" s="14" t="n">
        <v>0</v>
      </c>
      <c r="J290" s="14" t="n">
        <v>0</v>
      </c>
      <c r="K290" s="14" t="n">
        <v>0</v>
      </c>
      <c r="L290" s="14" t="n">
        <v>0</v>
      </c>
      <c r="M290" s="14">
        <f>IF(B290="Frete de venda",0,(1-ISNUMBER(SEARCH("556",P290)))*(I290*VLOOKUP($B290,Premissas!$A$4:$E$7,2,0)+J290*VLOOKUP($B290,Premissas!$A$4:$E$7,3,0))+K290*VLOOKUP($B290,Premissas!$A$4:$E$7,4,0)+L290*VLOOKUP($B290,Premissas!$A$4:$E$7,5,0))</f>
        <v/>
      </c>
      <c r="N290" s="14">
        <f>H290-M290</f>
        <v/>
      </c>
      <c r="O290" t="inlineStr">
        <is>
          <t>Não</t>
        </is>
      </c>
      <c r="P290" t="inlineStr">
        <is>
          <t>1.350</t>
        </is>
      </c>
    </row>
    <row r="291">
      <c r="A291" t="inlineStr">
        <is>
          <t>Antes de 2026</t>
        </is>
      </c>
      <c r="B291" t="inlineStr">
        <is>
          <t>Frete de venda</t>
        </is>
      </c>
      <c r="C291" t="inlineStr">
        <is>
          <t>Frete de venda (para clientes)</t>
        </is>
      </c>
      <c r="D291" t="inlineStr">
        <is>
          <t>CT-e</t>
        </is>
      </c>
      <c r="E291" t="inlineStr">
        <is>
          <t>000003434</t>
        </is>
      </c>
      <c r="F291" t="inlineStr">
        <is>
          <t>R&amp;R TRANSPORTE E LOGISTICA</t>
        </is>
      </c>
      <c r="G291" s="27" t="n">
        <v>45645</v>
      </c>
      <c r="H291" s="14" t="n">
        <v>90.86</v>
      </c>
      <c r="I291" s="14" t="n">
        <v>0</v>
      </c>
      <c r="J291" s="14" t="n">
        <v>0</v>
      </c>
      <c r="K291" s="14" t="n">
        <v>0</v>
      </c>
      <c r="L291" s="14" t="n">
        <v>0</v>
      </c>
      <c r="M291" s="14">
        <f>IF(B291="Frete de venda",0,(1-ISNUMBER(SEARCH("556",P291)))*(I291*VLOOKUP($B291,Premissas!$A$4:$E$7,2,0)+J291*VLOOKUP($B291,Premissas!$A$4:$E$7,3,0))+K291*VLOOKUP($B291,Premissas!$A$4:$E$7,4,0)+L291*VLOOKUP($B291,Premissas!$A$4:$E$7,5,0))</f>
        <v/>
      </c>
      <c r="N291" s="14">
        <f>H291-M291</f>
        <v/>
      </c>
      <c r="O291" t="inlineStr">
        <is>
          <t>Não</t>
        </is>
      </c>
      <c r="P291" t="inlineStr">
        <is>
          <t>1.350</t>
        </is>
      </c>
    </row>
    <row r="292">
      <c r="A292" t="inlineStr">
        <is>
          <t>Antes de 2026</t>
        </is>
      </c>
      <c r="B292" t="inlineStr">
        <is>
          <t>Frete de venda</t>
        </is>
      </c>
      <c r="C292" t="inlineStr">
        <is>
          <t>Frete de venda (para clientes)</t>
        </is>
      </c>
      <c r="D292" t="inlineStr">
        <is>
          <t>CT-e</t>
        </is>
      </c>
      <c r="E292" t="inlineStr">
        <is>
          <t>000003493</t>
        </is>
      </c>
      <c r="F292" t="inlineStr">
        <is>
          <t>R&amp;R TRANSPORTE E LOGISTICA</t>
        </is>
      </c>
      <c r="G292" s="27" t="n">
        <v>45661</v>
      </c>
      <c r="H292" s="14" t="n">
        <v>109</v>
      </c>
      <c r="I292" s="14" t="n">
        <v>0</v>
      </c>
      <c r="J292" s="14" t="n">
        <v>0</v>
      </c>
      <c r="K292" s="14" t="n">
        <v>0</v>
      </c>
      <c r="L292" s="14" t="n">
        <v>0</v>
      </c>
      <c r="M292" s="14">
        <f>IF(B292="Frete de venda",0,(1-ISNUMBER(SEARCH("556",P292)))*(I292*VLOOKUP($B292,Premissas!$A$4:$E$7,2,0)+J292*VLOOKUP($B292,Premissas!$A$4:$E$7,3,0))+K292*VLOOKUP($B292,Premissas!$A$4:$E$7,4,0)+L292*VLOOKUP($B292,Premissas!$A$4:$E$7,5,0))</f>
        <v/>
      </c>
      <c r="N292" s="14">
        <f>H292-M292</f>
        <v/>
      </c>
      <c r="O292" t="inlineStr">
        <is>
          <t>Não</t>
        </is>
      </c>
      <c r="P292" t="inlineStr">
        <is>
          <t>1.350</t>
        </is>
      </c>
    </row>
    <row r="293">
      <c r="A293" t="inlineStr">
        <is>
          <t>Antes de 2026</t>
        </is>
      </c>
      <c r="B293" t="inlineStr">
        <is>
          <t>Frete de venda</t>
        </is>
      </c>
      <c r="C293" t="inlineStr">
        <is>
          <t>Frete de venda (para clientes)</t>
        </is>
      </c>
      <c r="D293" t="inlineStr">
        <is>
          <t>CT-e</t>
        </is>
      </c>
      <c r="E293" t="inlineStr">
        <is>
          <t>000003383</t>
        </is>
      </c>
      <c r="F293" t="inlineStr">
        <is>
          <t>R&amp;R TRANSPORTE E LOGISTICA</t>
        </is>
      </c>
      <c r="G293" s="27" t="n">
        <v>45638</v>
      </c>
      <c r="H293" s="14" t="n">
        <v>168.07</v>
      </c>
      <c r="I293" s="14" t="n">
        <v>0</v>
      </c>
      <c r="J293" s="14" t="n">
        <v>0</v>
      </c>
      <c r="K293" s="14" t="n">
        <v>0</v>
      </c>
      <c r="L293" s="14" t="n">
        <v>0</v>
      </c>
      <c r="M293" s="14">
        <f>IF(B293="Frete de venda",0,(1-ISNUMBER(SEARCH("556",P293)))*(I293*VLOOKUP($B293,Premissas!$A$4:$E$7,2,0)+J293*VLOOKUP($B293,Premissas!$A$4:$E$7,3,0))+K293*VLOOKUP($B293,Premissas!$A$4:$E$7,4,0)+L293*VLOOKUP($B293,Premissas!$A$4:$E$7,5,0))</f>
        <v/>
      </c>
      <c r="N293" s="14">
        <f>H293-M293</f>
        <v/>
      </c>
      <c r="O293" t="inlineStr">
        <is>
          <t>Não</t>
        </is>
      </c>
      <c r="P293" t="inlineStr">
        <is>
          <t>1.350</t>
        </is>
      </c>
    </row>
    <row r="294">
      <c r="A294" t="inlineStr">
        <is>
          <t>Antes de 2026</t>
        </is>
      </c>
      <c r="B294" t="inlineStr">
        <is>
          <t>Frete de venda</t>
        </is>
      </c>
      <c r="C294" t="inlineStr">
        <is>
          <t>Frete de venda (para clientes)</t>
        </is>
      </c>
      <c r="D294" t="inlineStr">
        <is>
          <t>CT-e</t>
        </is>
      </c>
      <c r="E294" t="inlineStr">
        <is>
          <t>000003365</t>
        </is>
      </c>
      <c r="F294" t="inlineStr">
        <is>
          <t>R&amp;R TRANSPORTE E LOGISTICA</t>
        </is>
      </c>
      <c r="G294" s="27" t="n">
        <v>45631</v>
      </c>
      <c r="H294" s="14" t="n">
        <v>30</v>
      </c>
      <c r="I294" s="14" t="n">
        <v>0</v>
      </c>
      <c r="J294" s="14" t="n">
        <v>0</v>
      </c>
      <c r="K294" s="14" t="n">
        <v>0</v>
      </c>
      <c r="L294" s="14" t="n">
        <v>0</v>
      </c>
      <c r="M294" s="14">
        <f>IF(B294="Frete de venda",0,(1-ISNUMBER(SEARCH("556",P294)))*(I294*VLOOKUP($B294,Premissas!$A$4:$E$7,2,0)+J294*VLOOKUP($B294,Premissas!$A$4:$E$7,3,0))+K294*VLOOKUP($B294,Premissas!$A$4:$E$7,4,0)+L294*VLOOKUP($B294,Premissas!$A$4:$E$7,5,0))</f>
        <v/>
      </c>
      <c r="N294" s="14">
        <f>H294-M294</f>
        <v/>
      </c>
      <c r="O294" t="inlineStr">
        <is>
          <t>Não</t>
        </is>
      </c>
      <c r="P294" t="inlineStr">
        <is>
          <t>1.350</t>
        </is>
      </c>
    </row>
    <row r="295">
      <c r="A295" t="inlineStr">
        <is>
          <t>Antes de 2026</t>
        </is>
      </c>
      <c r="B295" t="inlineStr">
        <is>
          <t>Frete de venda</t>
        </is>
      </c>
      <c r="C295" t="inlineStr">
        <is>
          <t>Frete de venda (para clientes)</t>
        </is>
      </c>
      <c r="D295" t="inlineStr">
        <is>
          <t>CT-e</t>
        </is>
      </c>
      <c r="E295" t="inlineStr">
        <is>
          <t>000003310</t>
        </is>
      </c>
      <c r="F295" t="inlineStr">
        <is>
          <t>R&amp;R TRANSPORTE E LOGISTICA</t>
        </is>
      </c>
      <c r="G295" s="27" t="n">
        <v>45619</v>
      </c>
      <c r="H295" s="14" t="n">
        <v>75</v>
      </c>
      <c r="I295" s="14" t="n">
        <v>0</v>
      </c>
      <c r="J295" s="14" t="n">
        <v>0</v>
      </c>
      <c r="K295" s="14" t="n">
        <v>0</v>
      </c>
      <c r="L295" s="14" t="n">
        <v>0</v>
      </c>
      <c r="M295" s="14">
        <f>IF(B295="Frete de venda",0,(1-ISNUMBER(SEARCH("556",P295)))*(I295*VLOOKUP($B295,Premissas!$A$4:$E$7,2,0)+J295*VLOOKUP($B295,Premissas!$A$4:$E$7,3,0))+K295*VLOOKUP($B295,Premissas!$A$4:$E$7,4,0)+L295*VLOOKUP($B295,Premissas!$A$4:$E$7,5,0))</f>
        <v/>
      </c>
      <c r="N295" s="14">
        <f>H295-M295</f>
        <v/>
      </c>
      <c r="O295" t="inlineStr">
        <is>
          <t>Não</t>
        </is>
      </c>
      <c r="P295" t="inlineStr">
        <is>
          <t>1.350</t>
        </is>
      </c>
    </row>
    <row r="296">
      <c r="A296" t="inlineStr">
        <is>
          <t>Antes de 2026</t>
        </is>
      </c>
      <c r="B296" t="inlineStr">
        <is>
          <t>Frete de venda</t>
        </is>
      </c>
      <c r="C296" t="inlineStr">
        <is>
          <t>Frete de venda (para clientes)</t>
        </is>
      </c>
      <c r="D296" t="inlineStr">
        <is>
          <t>CT-e</t>
        </is>
      </c>
      <c r="E296" t="inlineStr">
        <is>
          <t>001282219</t>
        </is>
      </c>
      <c r="F296" t="inlineStr">
        <is>
          <t>PICCOLI TRANSPORTES LTDA</t>
        </is>
      </c>
      <c r="G296" s="27" t="n">
        <v>45625</v>
      </c>
      <c r="H296" s="14" t="n">
        <v>825.97</v>
      </c>
      <c r="I296" s="14" t="n">
        <v>0</v>
      </c>
      <c r="J296" s="14" t="n">
        <v>57.82</v>
      </c>
      <c r="K296" s="14" t="n">
        <v>0</v>
      </c>
      <c r="L296" s="14" t="n">
        <v>0</v>
      </c>
      <c r="M296" s="14">
        <f>IF(B296="Frete de venda",0,(1-ISNUMBER(SEARCH("556",P296)))*(I296*VLOOKUP($B296,Premissas!$A$4:$E$7,2,0)+J296*VLOOKUP($B296,Premissas!$A$4:$E$7,3,0))+K296*VLOOKUP($B296,Premissas!$A$4:$E$7,4,0)+L296*VLOOKUP($B296,Premissas!$A$4:$E$7,5,0))</f>
        <v/>
      </c>
      <c r="N296" s="14">
        <f>H296-M296</f>
        <v/>
      </c>
      <c r="O296" t="inlineStr">
        <is>
          <t>Não</t>
        </is>
      </c>
      <c r="P296" t="inlineStr">
        <is>
          <t>2.350</t>
        </is>
      </c>
    </row>
    <row r="297">
      <c r="A297" t="inlineStr">
        <is>
          <t>Antes de 2026</t>
        </is>
      </c>
      <c r="B297" t="inlineStr">
        <is>
          <t>Frete de venda</t>
        </is>
      </c>
      <c r="C297" t="inlineStr">
        <is>
          <t>Frete de venda (para clientes)</t>
        </is>
      </c>
      <c r="D297" t="inlineStr">
        <is>
          <t>CT-e</t>
        </is>
      </c>
      <c r="E297" t="inlineStr">
        <is>
          <t>000003051</t>
        </is>
      </c>
      <c r="F297" t="inlineStr">
        <is>
          <t>R&amp;R TRANSPORTE E LOGISTICA</t>
        </is>
      </c>
      <c r="G297" s="27" t="n">
        <v>45595</v>
      </c>
      <c r="H297" s="14" t="n">
        <v>63</v>
      </c>
      <c r="I297" s="14" t="n">
        <v>0</v>
      </c>
      <c r="J297" s="14" t="n">
        <v>0</v>
      </c>
      <c r="K297" s="14" t="n">
        <v>0</v>
      </c>
      <c r="L297" s="14" t="n">
        <v>0</v>
      </c>
      <c r="M297" s="14">
        <f>IF(B297="Frete de venda",0,(1-ISNUMBER(SEARCH("556",P297)))*(I297*VLOOKUP($B297,Premissas!$A$4:$E$7,2,0)+J297*VLOOKUP($B297,Premissas!$A$4:$E$7,3,0))+K297*VLOOKUP($B297,Premissas!$A$4:$E$7,4,0)+L297*VLOOKUP($B297,Premissas!$A$4:$E$7,5,0))</f>
        <v/>
      </c>
      <c r="N297" s="14">
        <f>H297-M297</f>
        <v/>
      </c>
      <c r="O297" t="inlineStr">
        <is>
          <t>Não</t>
        </is>
      </c>
      <c r="P297" t="inlineStr">
        <is>
          <t>1.350</t>
        </is>
      </c>
    </row>
    <row r="298">
      <c r="A298" t="inlineStr">
        <is>
          <t>Antes de 2026</t>
        </is>
      </c>
      <c r="B298" t="inlineStr">
        <is>
          <t>Frete de venda</t>
        </is>
      </c>
      <c r="C298" t="inlineStr">
        <is>
          <t>Frete de venda (para clientes)</t>
        </is>
      </c>
      <c r="D298" t="inlineStr">
        <is>
          <t>CT-e</t>
        </is>
      </c>
      <c r="E298" t="inlineStr">
        <is>
          <t>000003324</t>
        </is>
      </c>
      <c r="F298" t="inlineStr">
        <is>
          <t>PICCOLI LOGISTICA E TRANSPORTES LTDA</t>
        </is>
      </c>
      <c r="G298" s="27" t="n">
        <v>45625</v>
      </c>
      <c r="H298" s="14" t="n">
        <v>1886.63</v>
      </c>
      <c r="I298" s="14" t="n">
        <v>0</v>
      </c>
      <c r="J298" s="14" t="n">
        <v>132.06</v>
      </c>
      <c r="K298" s="14" t="n">
        <v>0</v>
      </c>
      <c r="L298" s="14" t="n">
        <v>0</v>
      </c>
      <c r="M298" s="14">
        <f>IF(B298="Frete de venda",0,(1-ISNUMBER(SEARCH("556",P298)))*(I298*VLOOKUP($B298,Premissas!$A$4:$E$7,2,0)+J298*VLOOKUP($B298,Premissas!$A$4:$E$7,3,0))+K298*VLOOKUP($B298,Premissas!$A$4:$E$7,4,0)+L298*VLOOKUP($B298,Premissas!$A$4:$E$7,5,0))</f>
        <v/>
      </c>
      <c r="N298" s="14">
        <f>H298-M298</f>
        <v/>
      </c>
      <c r="O298" t="inlineStr">
        <is>
          <t>Não</t>
        </is>
      </c>
      <c r="P298" t="inlineStr">
        <is>
          <t>2.350</t>
        </is>
      </c>
    </row>
    <row r="299">
      <c r="A299" t="inlineStr">
        <is>
          <t>Antes de 2026</t>
        </is>
      </c>
      <c r="B299" t="inlineStr">
        <is>
          <t>Frete de venda</t>
        </is>
      </c>
      <c r="C299" t="inlineStr">
        <is>
          <t>Frete de venda (para clientes)</t>
        </is>
      </c>
      <c r="D299" t="inlineStr">
        <is>
          <t>CT-e</t>
        </is>
      </c>
      <c r="E299" t="inlineStr">
        <is>
          <t>000003085</t>
        </is>
      </c>
      <c r="F299" t="inlineStr">
        <is>
          <t>R&amp;R TRANSPORTE E LOGISTICA</t>
        </is>
      </c>
      <c r="G299" s="27" t="n">
        <v>45600</v>
      </c>
      <c r="H299" s="14" t="n">
        <v>34</v>
      </c>
      <c r="I299" s="14" t="n">
        <v>0</v>
      </c>
      <c r="J299" s="14" t="n">
        <v>0</v>
      </c>
      <c r="K299" s="14" t="n">
        <v>0</v>
      </c>
      <c r="L299" s="14" t="n">
        <v>0</v>
      </c>
      <c r="M299" s="14">
        <f>IF(B299="Frete de venda",0,(1-ISNUMBER(SEARCH("556",P299)))*(I299*VLOOKUP($B299,Premissas!$A$4:$E$7,2,0)+J299*VLOOKUP($B299,Premissas!$A$4:$E$7,3,0))+K299*VLOOKUP($B299,Premissas!$A$4:$E$7,4,0)+L299*VLOOKUP($B299,Premissas!$A$4:$E$7,5,0))</f>
        <v/>
      </c>
      <c r="N299" s="14">
        <f>H299-M299</f>
        <v/>
      </c>
      <c r="O299" t="inlineStr">
        <is>
          <t>Não</t>
        </is>
      </c>
      <c r="P299" t="inlineStr">
        <is>
          <t>1.350</t>
        </is>
      </c>
    </row>
    <row r="300">
      <c r="A300" t="inlineStr">
        <is>
          <t>Antes de 2026</t>
        </is>
      </c>
      <c r="B300" t="inlineStr">
        <is>
          <t>Frete de venda</t>
        </is>
      </c>
      <c r="C300" t="inlineStr">
        <is>
          <t>Frete de venda (para clientes)</t>
        </is>
      </c>
      <c r="D300" t="inlineStr">
        <is>
          <t>CT-e</t>
        </is>
      </c>
      <c r="E300" t="inlineStr">
        <is>
          <t>000002997</t>
        </is>
      </c>
      <c r="F300" t="inlineStr">
        <is>
          <t>R&amp;R TRANSPORTE E LOGISTICA</t>
        </is>
      </c>
      <c r="G300" s="27" t="n">
        <v>45594</v>
      </c>
      <c r="H300" s="14" t="n">
        <v>35</v>
      </c>
      <c r="I300" s="14" t="n">
        <v>0</v>
      </c>
      <c r="J300" s="14" t="n">
        <v>0</v>
      </c>
      <c r="K300" s="14" t="n">
        <v>0</v>
      </c>
      <c r="L300" s="14" t="n">
        <v>0</v>
      </c>
      <c r="M300" s="14">
        <f>IF(B300="Frete de venda",0,(1-ISNUMBER(SEARCH("556",P300)))*(I300*VLOOKUP($B300,Premissas!$A$4:$E$7,2,0)+J300*VLOOKUP($B300,Premissas!$A$4:$E$7,3,0))+K300*VLOOKUP($B300,Premissas!$A$4:$E$7,4,0)+L300*VLOOKUP($B300,Premissas!$A$4:$E$7,5,0))</f>
        <v/>
      </c>
      <c r="N300" s="14">
        <f>H300-M300</f>
        <v/>
      </c>
      <c r="O300" t="inlineStr">
        <is>
          <t>Não</t>
        </is>
      </c>
      <c r="P300" t="inlineStr">
        <is>
          <t>1.350</t>
        </is>
      </c>
    </row>
    <row r="301">
      <c r="A301" t="inlineStr">
        <is>
          <t>Antes de 2026</t>
        </is>
      </c>
      <c r="B301" t="inlineStr">
        <is>
          <t>Frete de venda</t>
        </is>
      </c>
      <c r="C301" t="inlineStr">
        <is>
          <t>Frete de venda (para clientes)</t>
        </is>
      </c>
      <c r="D301" t="inlineStr">
        <is>
          <t>CT-e</t>
        </is>
      </c>
      <c r="E301" t="inlineStr">
        <is>
          <t>000003454</t>
        </is>
      </c>
      <c r="F301" t="inlineStr">
        <is>
          <t>R&amp;R TRANSPORTE E LOGISTICA</t>
        </is>
      </c>
      <c r="G301" s="27" t="n">
        <v>45647</v>
      </c>
      <c r="H301" s="14" t="n">
        <v>25</v>
      </c>
      <c r="I301" s="14" t="n">
        <v>0</v>
      </c>
      <c r="J301" s="14" t="n">
        <v>0</v>
      </c>
      <c r="K301" s="14" t="n">
        <v>0</v>
      </c>
      <c r="L301" s="14" t="n">
        <v>0</v>
      </c>
      <c r="M301" s="14">
        <f>IF(B301="Frete de venda",0,(1-ISNUMBER(SEARCH("556",P301)))*(I301*VLOOKUP($B301,Premissas!$A$4:$E$7,2,0)+J301*VLOOKUP($B301,Premissas!$A$4:$E$7,3,0))+K301*VLOOKUP($B301,Premissas!$A$4:$E$7,4,0)+L301*VLOOKUP($B301,Premissas!$A$4:$E$7,5,0))</f>
        <v/>
      </c>
      <c r="N301" s="14">
        <f>H301-M301</f>
        <v/>
      </c>
      <c r="O301" t="inlineStr">
        <is>
          <t>Não</t>
        </is>
      </c>
      <c r="P301" t="inlineStr">
        <is>
          <t>1.350</t>
        </is>
      </c>
    </row>
    <row r="302">
      <c r="A302" t="inlineStr">
        <is>
          <t>Antes de 2026</t>
        </is>
      </c>
      <c r="B302" t="inlineStr">
        <is>
          <t>Frete de venda</t>
        </is>
      </c>
      <c r="C302" t="inlineStr">
        <is>
          <t>Frete de venda (para clientes)</t>
        </is>
      </c>
      <c r="D302" t="inlineStr">
        <is>
          <t>CT-e</t>
        </is>
      </c>
      <c r="E302" t="inlineStr">
        <is>
          <t>000003456</t>
        </is>
      </c>
      <c r="F302" t="inlineStr">
        <is>
          <t>R&amp;R TRANSPORTE E LOGISTICA</t>
        </is>
      </c>
      <c r="G302" s="27" t="n">
        <v>45647</v>
      </c>
      <c r="H302" s="14" t="n">
        <v>32</v>
      </c>
      <c r="I302" s="14" t="n">
        <v>0</v>
      </c>
      <c r="J302" s="14" t="n">
        <v>0</v>
      </c>
      <c r="K302" s="14" t="n">
        <v>0</v>
      </c>
      <c r="L302" s="14" t="n">
        <v>0</v>
      </c>
      <c r="M302" s="14">
        <f>IF(B302="Frete de venda",0,(1-ISNUMBER(SEARCH("556",P302)))*(I302*VLOOKUP($B302,Premissas!$A$4:$E$7,2,0)+J302*VLOOKUP($B302,Premissas!$A$4:$E$7,3,0))+K302*VLOOKUP($B302,Premissas!$A$4:$E$7,4,0)+L302*VLOOKUP($B302,Premissas!$A$4:$E$7,5,0))</f>
        <v/>
      </c>
      <c r="N302" s="14">
        <f>H302-M302</f>
        <v/>
      </c>
      <c r="O302" t="inlineStr">
        <is>
          <t>Não</t>
        </is>
      </c>
      <c r="P302" t="inlineStr">
        <is>
          <t>1.350</t>
        </is>
      </c>
    </row>
    <row r="303">
      <c r="A303" t="inlineStr">
        <is>
          <t>Antes de 2026</t>
        </is>
      </c>
      <c r="B303" t="inlineStr">
        <is>
          <t>Frete de venda</t>
        </is>
      </c>
      <c r="C303" t="inlineStr">
        <is>
          <t>Frete de venda (para clientes)</t>
        </is>
      </c>
      <c r="D303" t="inlineStr">
        <is>
          <t>CT-e</t>
        </is>
      </c>
      <c r="E303" t="inlineStr">
        <is>
          <t>000002996</t>
        </is>
      </c>
      <c r="F303" t="inlineStr">
        <is>
          <t>R&amp;R TRANSPORTE E LOGISTICA</t>
        </is>
      </c>
      <c r="G303" s="27" t="n">
        <v>45594</v>
      </c>
      <c r="H303" s="14" t="n">
        <v>70</v>
      </c>
      <c r="I303" s="14" t="n">
        <v>0</v>
      </c>
      <c r="J303" s="14" t="n">
        <v>0</v>
      </c>
      <c r="K303" s="14" t="n">
        <v>0</v>
      </c>
      <c r="L303" s="14" t="n">
        <v>0</v>
      </c>
      <c r="M303" s="14">
        <f>IF(B303="Frete de venda",0,(1-ISNUMBER(SEARCH("556",P303)))*(I303*VLOOKUP($B303,Premissas!$A$4:$E$7,2,0)+J303*VLOOKUP($B303,Premissas!$A$4:$E$7,3,0))+K303*VLOOKUP($B303,Premissas!$A$4:$E$7,4,0)+L303*VLOOKUP($B303,Premissas!$A$4:$E$7,5,0))</f>
        <v/>
      </c>
      <c r="N303" s="14">
        <f>H303-M303</f>
        <v/>
      </c>
      <c r="O303" t="inlineStr">
        <is>
          <t>Não</t>
        </is>
      </c>
      <c r="P303" t="inlineStr">
        <is>
          <t>1.350</t>
        </is>
      </c>
    </row>
    <row r="304">
      <c r="A304" t="inlineStr">
        <is>
          <t>Antes de 2026</t>
        </is>
      </c>
      <c r="B304" t="inlineStr">
        <is>
          <t>Frete de venda</t>
        </is>
      </c>
      <c r="C304" t="inlineStr">
        <is>
          <t>Frete de venda (para clientes)</t>
        </is>
      </c>
      <c r="D304" t="inlineStr">
        <is>
          <t>CT-e</t>
        </is>
      </c>
      <c r="E304" t="inlineStr">
        <is>
          <t>000003384</t>
        </is>
      </c>
      <c r="F304" t="inlineStr">
        <is>
          <t>R&amp;R TRANSPORTE E LOGISTICA</t>
        </is>
      </c>
      <c r="G304" s="27" t="n">
        <v>45638</v>
      </c>
      <c r="H304" s="14" t="n">
        <v>37.37</v>
      </c>
      <c r="I304" s="14" t="n">
        <v>0</v>
      </c>
      <c r="J304" s="14" t="n">
        <v>0</v>
      </c>
      <c r="K304" s="14" t="n">
        <v>0</v>
      </c>
      <c r="L304" s="14" t="n">
        <v>0</v>
      </c>
      <c r="M304" s="14">
        <f>IF(B304="Frete de venda",0,(1-ISNUMBER(SEARCH("556",P304)))*(I304*VLOOKUP($B304,Premissas!$A$4:$E$7,2,0)+J304*VLOOKUP($B304,Premissas!$A$4:$E$7,3,0))+K304*VLOOKUP($B304,Premissas!$A$4:$E$7,4,0)+L304*VLOOKUP($B304,Premissas!$A$4:$E$7,5,0))</f>
        <v/>
      </c>
      <c r="N304" s="14">
        <f>H304-M304</f>
        <v/>
      </c>
      <c r="O304" t="inlineStr">
        <is>
          <t>Não</t>
        </is>
      </c>
      <c r="P304" t="inlineStr">
        <is>
          <t>1.350</t>
        </is>
      </c>
    </row>
    <row r="305">
      <c r="A305" t="inlineStr">
        <is>
          <t>Antes de 2026</t>
        </is>
      </c>
      <c r="B305" t="inlineStr">
        <is>
          <t>Frete de venda</t>
        </is>
      </c>
      <c r="C305" t="inlineStr">
        <is>
          <t>Frete de venda (para clientes)</t>
        </is>
      </c>
      <c r="D305" t="inlineStr">
        <is>
          <t>CT-e</t>
        </is>
      </c>
      <c r="E305" t="inlineStr">
        <is>
          <t>000003407</t>
        </is>
      </c>
      <c r="F305" t="inlineStr">
        <is>
          <t>R&amp;R TRANSPORTE E LOGISTICA</t>
        </is>
      </c>
      <c r="G305" s="27" t="n">
        <v>45639</v>
      </c>
      <c r="H305" s="14" t="n">
        <v>37</v>
      </c>
      <c r="I305" s="14" t="n">
        <v>0</v>
      </c>
      <c r="J305" s="14" t="n">
        <v>0</v>
      </c>
      <c r="K305" s="14" t="n">
        <v>0</v>
      </c>
      <c r="L305" s="14" t="n">
        <v>0</v>
      </c>
      <c r="M305" s="14">
        <f>IF(B305="Frete de venda",0,(1-ISNUMBER(SEARCH("556",P305)))*(I305*VLOOKUP($B305,Premissas!$A$4:$E$7,2,0)+J305*VLOOKUP($B305,Premissas!$A$4:$E$7,3,0))+K305*VLOOKUP($B305,Premissas!$A$4:$E$7,4,0)+L305*VLOOKUP($B305,Premissas!$A$4:$E$7,5,0))</f>
        <v/>
      </c>
      <c r="N305" s="14">
        <f>H305-M305</f>
        <v/>
      </c>
      <c r="O305" t="inlineStr">
        <is>
          <t>Não</t>
        </is>
      </c>
      <c r="P305" t="inlineStr">
        <is>
          <t>1.350</t>
        </is>
      </c>
    </row>
    <row r="306">
      <c r="A306" t="inlineStr">
        <is>
          <t>Antes de 2026</t>
        </is>
      </c>
      <c r="B306" t="inlineStr">
        <is>
          <t>Frete de venda</t>
        </is>
      </c>
      <c r="C306" t="inlineStr">
        <is>
          <t>Frete de venda (para clientes)</t>
        </is>
      </c>
      <c r="D306" t="inlineStr">
        <is>
          <t>CT-e</t>
        </is>
      </c>
      <c r="E306" t="inlineStr">
        <is>
          <t>000003323</t>
        </is>
      </c>
      <c r="F306" t="inlineStr">
        <is>
          <t>PICCOLI LOGISTICA E TRANSPORTES LTDA</t>
        </is>
      </c>
      <c r="G306" s="27" t="n">
        <v>45625</v>
      </c>
      <c r="H306" s="14" t="n">
        <v>1642.35</v>
      </c>
      <c r="I306" s="14" t="n">
        <v>0</v>
      </c>
      <c r="J306" s="14" t="n">
        <v>114.96</v>
      </c>
      <c r="K306" s="14" t="n">
        <v>0</v>
      </c>
      <c r="L306" s="14" t="n">
        <v>0</v>
      </c>
      <c r="M306" s="14">
        <f>IF(B306="Frete de venda",0,(1-ISNUMBER(SEARCH("556",P306)))*(I306*VLOOKUP($B306,Premissas!$A$4:$E$7,2,0)+J306*VLOOKUP($B306,Premissas!$A$4:$E$7,3,0))+K306*VLOOKUP($B306,Premissas!$A$4:$E$7,4,0)+L306*VLOOKUP($B306,Premissas!$A$4:$E$7,5,0))</f>
        <v/>
      </c>
      <c r="N306" s="14">
        <f>H306-M306</f>
        <v/>
      </c>
      <c r="O306" t="inlineStr">
        <is>
          <t>Não</t>
        </is>
      </c>
      <c r="P306" t="inlineStr">
        <is>
          <t>2.350</t>
        </is>
      </c>
    </row>
    <row r="307">
      <c r="A307" t="inlineStr">
        <is>
          <t>Antes de 2026</t>
        </is>
      </c>
      <c r="B307" t="inlineStr">
        <is>
          <t>Frete de venda</t>
        </is>
      </c>
      <c r="C307" t="inlineStr">
        <is>
          <t>Frete de venda (para clientes)</t>
        </is>
      </c>
      <c r="D307" t="inlineStr">
        <is>
          <t>CT-e</t>
        </is>
      </c>
      <c r="E307" t="inlineStr">
        <is>
          <t>000003154</t>
        </is>
      </c>
      <c r="F307" t="inlineStr">
        <is>
          <t>R&amp;R TRANSPORTE E LOGISTICA</t>
        </is>
      </c>
      <c r="G307" s="27" t="n">
        <v>45609</v>
      </c>
      <c r="H307" s="14" t="n">
        <v>300</v>
      </c>
      <c r="I307" s="14" t="n">
        <v>0</v>
      </c>
      <c r="J307" s="14" t="n">
        <v>0</v>
      </c>
      <c r="K307" s="14" t="n">
        <v>0</v>
      </c>
      <c r="L307" s="14" t="n">
        <v>0</v>
      </c>
      <c r="M307" s="14">
        <f>IF(B307="Frete de venda",0,(1-ISNUMBER(SEARCH("556",P307)))*(I307*VLOOKUP($B307,Premissas!$A$4:$E$7,2,0)+J307*VLOOKUP($B307,Premissas!$A$4:$E$7,3,0))+K307*VLOOKUP($B307,Premissas!$A$4:$E$7,4,0)+L307*VLOOKUP($B307,Premissas!$A$4:$E$7,5,0))</f>
        <v/>
      </c>
      <c r="N307" s="14">
        <f>H307-M307</f>
        <v/>
      </c>
      <c r="O307" t="inlineStr">
        <is>
          <t>Não</t>
        </is>
      </c>
      <c r="P307" t="inlineStr">
        <is>
          <t>1.350</t>
        </is>
      </c>
    </row>
    <row r="308">
      <c r="A308" t="inlineStr">
        <is>
          <t>Antes de 2026</t>
        </is>
      </c>
      <c r="B308" t="inlineStr">
        <is>
          <t>Frete de venda</t>
        </is>
      </c>
      <c r="C308" t="inlineStr">
        <is>
          <t>Frete de venda (para clientes)</t>
        </is>
      </c>
      <c r="D308" t="inlineStr">
        <is>
          <t>CT-e</t>
        </is>
      </c>
      <c r="E308" t="inlineStr">
        <is>
          <t>000003153</t>
        </is>
      </c>
      <c r="F308" t="inlineStr">
        <is>
          <t>R&amp;R TRANSPORTE E LOGISTICA</t>
        </is>
      </c>
      <c r="G308" s="27" t="n">
        <v>45609</v>
      </c>
      <c r="H308" s="14" t="n">
        <v>150</v>
      </c>
      <c r="I308" s="14" t="n">
        <v>0</v>
      </c>
      <c r="J308" s="14" t="n">
        <v>0</v>
      </c>
      <c r="K308" s="14" t="n">
        <v>0</v>
      </c>
      <c r="L308" s="14" t="n">
        <v>0</v>
      </c>
      <c r="M308" s="14">
        <f>IF(B308="Frete de venda",0,(1-ISNUMBER(SEARCH("556",P308)))*(I308*VLOOKUP($B308,Premissas!$A$4:$E$7,2,0)+J308*VLOOKUP($B308,Premissas!$A$4:$E$7,3,0))+K308*VLOOKUP($B308,Premissas!$A$4:$E$7,4,0)+L308*VLOOKUP($B308,Premissas!$A$4:$E$7,5,0))</f>
        <v/>
      </c>
      <c r="N308" s="14">
        <f>H308-M308</f>
        <v/>
      </c>
      <c r="O308" t="inlineStr">
        <is>
          <t>Não</t>
        </is>
      </c>
      <c r="P308" t="inlineStr">
        <is>
          <t>1.350</t>
        </is>
      </c>
    </row>
    <row r="309">
      <c r="A309" t="inlineStr">
        <is>
          <t>Antes de 2026</t>
        </is>
      </c>
      <c r="B309" t="inlineStr">
        <is>
          <t>Frete de venda</t>
        </is>
      </c>
      <c r="C309" t="inlineStr">
        <is>
          <t>Frete de venda (para clientes)</t>
        </is>
      </c>
      <c r="D309" t="inlineStr">
        <is>
          <t>CT-e</t>
        </is>
      </c>
      <c r="E309" t="inlineStr">
        <is>
          <t>000003342</t>
        </is>
      </c>
      <c r="F309" t="inlineStr">
        <is>
          <t>R&amp;R TRANSPORTE E LOGISTICA</t>
        </is>
      </c>
      <c r="G309" s="27" t="n">
        <v>45626</v>
      </c>
      <c r="H309" s="14" t="n">
        <v>385</v>
      </c>
      <c r="I309" s="14" t="n">
        <v>0</v>
      </c>
      <c r="J309" s="14" t="n">
        <v>0</v>
      </c>
      <c r="K309" s="14" t="n">
        <v>0</v>
      </c>
      <c r="L309" s="14" t="n">
        <v>0</v>
      </c>
      <c r="M309" s="14">
        <f>IF(B309="Frete de venda",0,(1-ISNUMBER(SEARCH("556",P309)))*(I309*VLOOKUP($B309,Premissas!$A$4:$E$7,2,0)+J309*VLOOKUP($B309,Premissas!$A$4:$E$7,3,0))+K309*VLOOKUP($B309,Premissas!$A$4:$E$7,4,0)+L309*VLOOKUP($B309,Premissas!$A$4:$E$7,5,0))</f>
        <v/>
      </c>
      <c r="N309" s="14">
        <f>H309-M309</f>
        <v/>
      </c>
      <c r="O309" t="inlineStr">
        <is>
          <t>Não</t>
        </is>
      </c>
      <c r="P309" t="inlineStr">
        <is>
          <t>1.350</t>
        </is>
      </c>
    </row>
    <row r="310">
      <c r="A310" t="inlineStr">
        <is>
          <t>Antes de 2026</t>
        </is>
      </c>
      <c r="B310" t="inlineStr">
        <is>
          <t>Frete de venda</t>
        </is>
      </c>
      <c r="C310" t="inlineStr">
        <is>
          <t>Frete de venda (para clientes)</t>
        </is>
      </c>
      <c r="D310" t="inlineStr">
        <is>
          <t>CT-e</t>
        </is>
      </c>
      <c r="E310" t="inlineStr">
        <is>
          <t>000003426</t>
        </is>
      </c>
      <c r="F310" t="inlineStr">
        <is>
          <t>R&amp;R TRANSPORTE E LOGISTICA</t>
        </is>
      </c>
      <c r="G310" s="27" t="n">
        <v>45644</v>
      </c>
      <c r="H310" s="14" t="n">
        <v>225</v>
      </c>
      <c r="I310" s="14" t="n">
        <v>0</v>
      </c>
      <c r="J310" s="14" t="n">
        <v>0</v>
      </c>
      <c r="K310" s="14" t="n">
        <v>0</v>
      </c>
      <c r="L310" s="14" t="n">
        <v>0</v>
      </c>
      <c r="M310" s="14">
        <f>IF(B310="Frete de venda",0,(1-ISNUMBER(SEARCH("556",P310)))*(I310*VLOOKUP($B310,Premissas!$A$4:$E$7,2,0)+J310*VLOOKUP($B310,Premissas!$A$4:$E$7,3,0))+K310*VLOOKUP($B310,Premissas!$A$4:$E$7,4,0)+L310*VLOOKUP($B310,Premissas!$A$4:$E$7,5,0))</f>
        <v/>
      </c>
      <c r="N310" s="14">
        <f>H310-M310</f>
        <v/>
      </c>
      <c r="O310" t="inlineStr">
        <is>
          <t>Não</t>
        </is>
      </c>
      <c r="P310" t="inlineStr">
        <is>
          <t>1.350</t>
        </is>
      </c>
    </row>
    <row r="311">
      <c r="A311" t="inlineStr">
        <is>
          <t>Antes de 2026</t>
        </is>
      </c>
      <c r="B311" t="inlineStr">
        <is>
          <t>Frete de venda</t>
        </is>
      </c>
      <c r="C311" t="inlineStr">
        <is>
          <t>Frete de venda (para clientes)</t>
        </is>
      </c>
      <c r="D311" t="inlineStr">
        <is>
          <t>CT-e</t>
        </is>
      </c>
      <c r="E311" t="inlineStr">
        <is>
          <t>000003355</t>
        </is>
      </c>
      <c r="F311" t="inlineStr">
        <is>
          <t>R&amp;R TRANSPORTE E LOGISTICA</t>
        </is>
      </c>
      <c r="G311" s="27" t="n">
        <v>45629</v>
      </c>
      <c r="H311" s="14" t="n">
        <v>385</v>
      </c>
      <c r="I311" s="14" t="n">
        <v>0</v>
      </c>
      <c r="J311" s="14" t="n">
        <v>0</v>
      </c>
      <c r="K311" s="14" t="n">
        <v>0</v>
      </c>
      <c r="L311" s="14" t="n">
        <v>0</v>
      </c>
      <c r="M311" s="14">
        <f>IF(B311="Frete de venda",0,(1-ISNUMBER(SEARCH("556",P311)))*(I311*VLOOKUP($B311,Premissas!$A$4:$E$7,2,0)+J311*VLOOKUP($B311,Premissas!$A$4:$E$7,3,0))+K311*VLOOKUP($B311,Premissas!$A$4:$E$7,4,0)+L311*VLOOKUP($B311,Premissas!$A$4:$E$7,5,0))</f>
        <v/>
      </c>
      <c r="N311" s="14">
        <f>H311-M311</f>
        <v/>
      </c>
      <c r="O311" t="inlineStr">
        <is>
          <t>Não</t>
        </is>
      </c>
      <c r="P311" t="inlineStr">
        <is>
          <t>1.350</t>
        </is>
      </c>
    </row>
    <row r="312">
      <c r="A312" t="inlineStr">
        <is>
          <t>Antes de 2026</t>
        </is>
      </c>
      <c r="B312" t="inlineStr">
        <is>
          <t>Frete de venda</t>
        </is>
      </c>
      <c r="C312" t="inlineStr">
        <is>
          <t>Frete de venda (para clientes)</t>
        </is>
      </c>
      <c r="D312" t="inlineStr">
        <is>
          <t>CT-e</t>
        </is>
      </c>
      <c r="E312" t="inlineStr">
        <is>
          <t>000003455</t>
        </is>
      </c>
      <c r="F312" t="inlineStr">
        <is>
          <t>R&amp;R TRANSPORTE E LOGISTICA</t>
        </is>
      </c>
      <c r="G312" s="27" t="n">
        <v>45647</v>
      </c>
      <c r="H312" s="14" t="n">
        <v>33</v>
      </c>
      <c r="I312" s="14" t="n">
        <v>0</v>
      </c>
      <c r="J312" s="14" t="n">
        <v>0</v>
      </c>
      <c r="K312" s="14" t="n">
        <v>0</v>
      </c>
      <c r="L312" s="14" t="n">
        <v>0</v>
      </c>
      <c r="M312" s="14">
        <f>IF(B312="Frete de venda",0,(1-ISNUMBER(SEARCH("556",P312)))*(I312*VLOOKUP($B312,Premissas!$A$4:$E$7,2,0)+J312*VLOOKUP($B312,Premissas!$A$4:$E$7,3,0))+K312*VLOOKUP($B312,Premissas!$A$4:$E$7,4,0)+L312*VLOOKUP($B312,Premissas!$A$4:$E$7,5,0))</f>
        <v/>
      </c>
      <c r="N312" s="14">
        <f>H312-M312</f>
        <v/>
      </c>
      <c r="O312" t="inlineStr">
        <is>
          <t>Não</t>
        </is>
      </c>
      <c r="P312" t="inlineStr">
        <is>
          <t>1.350</t>
        </is>
      </c>
    </row>
    <row r="313">
      <c r="A313" t="inlineStr">
        <is>
          <t>Antes de 2026</t>
        </is>
      </c>
      <c r="B313" t="inlineStr">
        <is>
          <t>Frete de venda</t>
        </is>
      </c>
      <c r="C313" t="inlineStr">
        <is>
          <t>Frete de venda (para clientes)</t>
        </is>
      </c>
      <c r="D313" t="inlineStr">
        <is>
          <t>CT-e</t>
        </is>
      </c>
      <c r="E313" t="inlineStr">
        <is>
          <t>000002961</t>
        </is>
      </c>
      <c r="F313" t="inlineStr">
        <is>
          <t>R&amp;R TRANSPORTE E LOGISTICA</t>
        </is>
      </c>
      <c r="G313" s="27" t="n">
        <v>45587</v>
      </c>
      <c r="H313" s="14" t="n">
        <v>300</v>
      </c>
      <c r="I313" s="14" t="n">
        <v>0</v>
      </c>
      <c r="J313" s="14" t="n">
        <v>0</v>
      </c>
      <c r="K313" s="14" t="n">
        <v>0</v>
      </c>
      <c r="L313" s="14" t="n">
        <v>0</v>
      </c>
      <c r="M313" s="14">
        <f>IF(B313="Frete de venda",0,(1-ISNUMBER(SEARCH("556",P313)))*(I313*VLOOKUP($B313,Premissas!$A$4:$E$7,2,0)+J313*VLOOKUP($B313,Premissas!$A$4:$E$7,3,0))+K313*VLOOKUP($B313,Premissas!$A$4:$E$7,4,0)+L313*VLOOKUP($B313,Premissas!$A$4:$E$7,5,0))</f>
        <v/>
      </c>
      <c r="N313" s="14">
        <f>H313-M313</f>
        <v/>
      </c>
      <c r="O313" t="inlineStr">
        <is>
          <t>Não</t>
        </is>
      </c>
      <c r="P313" t="inlineStr">
        <is>
          <t>1.350</t>
        </is>
      </c>
    </row>
    <row r="314">
      <c r="A314" t="inlineStr">
        <is>
          <t>Antes de 2026</t>
        </is>
      </c>
      <c r="B314" t="inlineStr">
        <is>
          <t>Frete de venda</t>
        </is>
      </c>
      <c r="C314" t="inlineStr">
        <is>
          <t>Frete de venda (para clientes)</t>
        </is>
      </c>
      <c r="D314" t="inlineStr">
        <is>
          <t>CT-e</t>
        </is>
      </c>
      <c r="E314" t="inlineStr">
        <is>
          <t>000003156</t>
        </is>
      </c>
      <c r="F314" t="inlineStr">
        <is>
          <t>R&amp;R TRANSPORTE E LOGISTICA</t>
        </is>
      </c>
      <c r="G314" s="27" t="n">
        <v>45609</v>
      </c>
      <c r="H314" s="14" t="n">
        <v>300</v>
      </c>
      <c r="I314" s="14" t="n">
        <v>0</v>
      </c>
      <c r="J314" s="14" t="n">
        <v>0</v>
      </c>
      <c r="K314" s="14" t="n">
        <v>0</v>
      </c>
      <c r="L314" s="14" t="n">
        <v>0</v>
      </c>
      <c r="M314" s="14">
        <f>IF(B314="Frete de venda",0,(1-ISNUMBER(SEARCH("556",P314)))*(I314*VLOOKUP($B314,Premissas!$A$4:$E$7,2,0)+J314*VLOOKUP($B314,Premissas!$A$4:$E$7,3,0))+K314*VLOOKUP($B314,Premissas!$A$4:$E$7,4,0)+L314*VLOOKUP($B314,Premissas!$A$4:$E$7,5,0))</f>
        <v/>
      </c>
      <c r="N314" s="14">
        <f>H314-M314</f>
        <v/>
      </c>
      <c r="O314" t="inlineStr">
        <is>
          <t>Não</t>
        </is>
      </c>
      <c r="P314" t="inlineStr">
        <is>
          <t>1.350</t>
        </is>
      </c>
    </row>
    <row r="315">
      <c r="A315" t="inlineStr">
        <is>
          <t>Antes de 2026</t>
        </is>
      </c>
      <c r="B315" t="inlineStr">
        <is>
          <t>Frete de venda</t>
        </is>
      </c>
      <c r="C315" t="inlineStr">
        <is>
          <t>Frete de venda (para clientes)</t>
        </is>
      </c>
      <c r="D315" t="inlineStr">
        <is>
          <t>CT-e</t>
        </is>
      </c>
      <c r="E315" t="inlineStr">
        <is>
          <t>000003060</t>
        </is>
      </c>
      <c r="F315" t="inlineStr">
        <is>
          <t>R&amp;R TRANSPORTE E LOGISTICA</t>
        </is>
      </c>
      <c r="G315" s="27" t="n">
        <v>45596</v>
      </c>
      <c r="H315" s="14" t="n">
        <v>18</v>
      </c>
      <c r="I315" s="14" t="n">
        <v>0</v>
      </c>
      <c r="J315" s="14" t="n">
        <v>0</v>
      </c>
      <c r="K315" s="14" t="n">
        <v>0</v>
      </c>
      <c r="L315" s="14" t="n">
        <v>0</v>
      </c>
      <c r="M315" s="14">
        <f>IF(B315="Frete de venda",0,(1-ISNUMBER(SEARCH("556",P315)))*(I315*VLOOKUP($B315,Premissas!$A$4:$E$7,2,0)+J315*VLOOKUP($B315,Premissas!$A$4:$E$7,3,0))+K315*VLOOKUP($B315,Premissas!$A$4:$E$7,4,0)+L315*VLOOKUP($B315,Premissas!$A$4:$E$7,5,0))</f>
        <v/>
      </c>
      <c r="N315" s="14">
        <f>H315-M315</f>
        <v/>
      </c>
      <c r="O315" t="inlineStr">
        <is>
          <t>Não</t>
        </is>
      </c>
      <c r="P315" t="inlineStr">
        <is>
          <t>1.350</t>
        </is>
      </c>
    </row>
    <row r="316">
      <c r="A316" t="inlineStr">
        <is>
          <t>Antes de 2026</t>
        </is>
      </c>
      <c r="B316" t="inlineStr">
        <is>
          <t>Frete de venda</t>
        </is>
      </c>
      <c r="C316" t="inlineStr">
        <is>
          <t>Frete de venda (para clientes)</t>
        </is>
      </c>
      <c r="D316" t="inlineStr">
        <is>
          <t>CT-e</t>
        </is>
      </c>
      <c r="E316" t="inlineStr">
        <is>
          <t>000000068</t>
        </is>
      </c>
      <c r="F316" t="inlineStr">
        <is>
          <t>ADIL CARLOS DA SILVA</t>
        </is>
      </c>
      <c r="G316" s="27" t="n">
        <v>45637</v>
      </c>
      <c r="H316" s="14" t="n">
        <v>10</v>
      </c>
      <c r="I316" s="14" t="n">
        <v>0</v>
      </c>
      <c r="J316" s="14" t="n">
        <v>0</v>
      </c>
      <c r="K316" s="14" t="n">
        <v>0</v>
      </c>
      <c r="L316" s="14" t="n">
        <v>0</v>
      </c>
      <c r="M316" s="14">
        <f>IF(B316="Frete de venda",0,(1-ISNUMBER(SEARCH("556",P316)))*(I316*VLOOKUP($B316,Premissas!$A$4:$E$7,2,0)+J316*VLOOKUP($B316,Premissas!$A$4:$E$7,3,0))+K316*VLOOKUP($B316,Premissas!$A$4:$E$7,4,0)+L316*VLOOKUP($B316,Premissas!$A$4:$E$7,5,0))</f>
        <v/>
      </c>
      <c r="N316" s="14">
        <f>H316-M316</f>
        <v/>
      </c>
      <c r="O316" t="inlineStr">
        <is>
          <t>Não</t>
        </is>
      </c>
      <c r="P316" t="inlineStr">
        <is>
          <t>2.350</t>
        </is>
      </c>
    </row>
    <row r="317">
      <c r="A317" t="inlineStr">
        <is>
          <t>Antes de 2026</t>
        </is>
      </c>
      <c r="B317" t="inlineStr">
        <is>
          <t>Frete de venda</t>
        </is>
      </c>
      <c r="C317" t="inlineStr">
        <is>
          <t>Frete de venda (para clientes)</t>
        </is>
      </c>
      <c r="D317" t="inlineStr">
        <is>
          <t>CT-e</t>
        </is>
      </c>
      <c r="E317" t="inlineStr">
        <is>
          <t>000003387</t>
        </is>
      </c>
      <c r="F317" t="inlineStr">
        <is>
          <t>R&amp;R TRANSPORTE E LOGISTICA</t>
        </is>
      </c>
      <c r="G317" s="27" t="n">
        <v>45638</v>
      </c>
      <c r="H317" s="14" t="n">
        <v>44.02</v>
      </c>
      <c r="I317" s="14" t="n">
        <v>0</v>
      </c>
      <c r="J317" s="14" t="n">
        <v>0</v>
      </c>
      <c r="K317" s="14" t="n">
        <v>0</v>
      </c>
      <c r="L317" s="14" t="n">
        <v>0</v>
      </c>
      <c r="M317" s="14">
        <f>IF(B317="Frete de venda",0,(1-ISNUMBER(SEARCH("556",P317)))*(I317*VLOOKUP($B317,Premissas!$A$4:$E$7,2,0)+J317*VLOOKUP($B317,Premissas!$A$4:$E$7,3,0))+K317*VLOOKUP($B317,Premissas!$A$4:$E$7,4,0)+L317*VLOOKUP($B317,Premissas!$A$4:$E$7,5,0))</f>
        <v/>
      </c>
      <c r="N317" s="14">
        <f>H317-M317</f>
        <v/>
      </c>
      <c r="O317" t="inlineStr">
        <is>
          <t>Não</t>
        </is>
      </c>
      <c r="P317" t="inlineStr">
        <is>
          <t>1.350</t>
        </is>
      </c>
    </row>
    <row r="318">
      <c r="A318" t="inlineStr">
        <is>
          <t>Antes de 2026</t>
        </is>
      </c>
      <c r="B318" t="inlineStr">
        <is>
          <t>Frete de venda</t>
        </is>
      </c>
      <c r="C318" t="inlineStr">
        <is>
          <t>Frete de venda (para clientes)</t>
        </is>
      </c>
      <c r="D318" t="inlineStr">
        <is>
          <t>CT-e</t>
        </is>
      </c>
      <c r="E318" t="inlineStr">
        <is>
          <t>000003441</t>
        </is>
      </c>
      <c r="F318" t="inlineStr">
        <is>
          <t>R&amp;R TRANSPORTE E LOGISTICA</t>
        </is>
      </c>
      <c r="G318" s="27" t="n">
        <v>45646</v>
      </c>
      <c r="H318" s="14" t="n">
        <v>48.81</v>
      </c>
      <c r="I318" s="14" t="n">
        <v>0</v>
      </c>
      <c r="J318" s="14" t="n">
        <v>0</v>
      </c>
      <c r="K318" s="14" t="n">
        <v>0</v>
      </c>
      <c r="L318" s="14" t="n">
        <v>0</v>
      </c>
      <c r="M318" s="14">
        <f>IF(B318="Frete de venda",0,(1-ISNUMBER(SEARCH("556",P318)))*(I318*VLOOKUP($B318,Premissas!$A$4:$E$7,2,0)+J318*VLOOKUP($B318,Premissas!$A$4:$E$7,3,0))+K318*VLOOKUP($B318,Premissas!$A$4:$E$7,4,0)+L318*VLOOKUP($B318,Premissas!$A$4:$E$7,5,0))</f>
        <v/>
      </c>
      <c r="N318" s="14">
        <f>H318-M318</f>
        <v/>
      </c>
      <c r="O318" t="inlineStr">
        <is>
          <t>Não</t>
        </is>
      </c>
      <c r="P318" t="inlineStr">
        <is>
          <t>1.350</t>
        </is>
      </c>
    </row>
    <row r="319">
      <c r="A319" t="inlineStr">
        <is>
          <t>Antes de 2026</t>
        </is>
      </c>
      <c r="B319" t="inlineStr">
        <is>
          <t>Frete de venda</t>
        </is>
      </c>
      <c r="C319" t="inlineStr">
        <is>
          <t>Frete de venda (para clientes)</t>
        </is>
      </c>
      <c r="D319" t="inlineStr">
        <is>
          <t>CT-e</t>
        </is>
      </c>
      <c r="E319" t="inlineStr">
        <is>
          <t>000000059</t>
        </is>
      </c>
      <c r="F319" t="inlineStr">
        <is>
          <t>ADIL CARLOS DA SILVA</t>
        </is>
      </c>
      <c r="G319" s="27" t="n">
        <v>45591</v>
      </c>
      <c r="H319" s="14" t="n">
        <v>100</v>
      </c>
      <c r="I319" s="14" t="n">
        <v>0</v>
      </c>
      <c r="J319" s="14" t="n">
        <v>0</v>
      </c>
      <c r="K319" s="14" t="n">
        <v>0</v>
      </c>
      <c r="L319" s="14" t="n">
        <v>0</v>
      </c>
      <c r="M319" s="14">
        <f>IF(B319="Frete de venda",0,(1-ISNUMBER(SEARCH("556",P319)))*(I319*VLOOKUP($B319,Premissas!$A$4:$E$7,2,0)+J319*VLOOKUP($B319,Premissas!$A$4:$E$7,3,0))+K319*VLOOKUP($B319,Premissas!$A$4:$E$7,4,0)+L319*VLOOKUP($B319,Premissas!$A$4:$E$7,5,0))</f>
        <v/>
      </c>
      <c r="N319" s="14">
        <f>H319-M319</f>
        <v/>
      </c>
      <c r="O319" t="inlineStr">
        <is>
          <t>Não</t>
        </is>
      </c>
      <c r="P319" t="inlineStr">
        <is>
          <t>2.350</t>
        </is>
      </c>
    </row>
    <row r="320">
      <c r="A320" t="inlineStr">
        <is>
          <t>Antes de 2026</t>
        </is>
      </c>
      <c r="B320" t="inlineStr">
        <is>
          <t>Frete de venda</t>
        </is>
      </c>
      <c r="C320" t="inlineStr">
        <is>
          <t>Frete de venda (para clientes)</t>
        </is>
      </c>
      <c r="D320" t="inlineStr">
        <is>
          <t>CT-e</t>
        </is>
      </c>
      <c r="E320" t="inlineStr">
        <is>
          <t>000003433</t>
        </is>
      </c>
      <c r="F320" t="inlineStr">
        <is>
          <t>R&amp;R TRANSPORTE E LOGISTICA</t>
        </is>
      </c>
      <c r="G320" s="27" t="n">
        <v>45645</v>
      </c>
      <c r="H320" s="14" t="n">
        <v>82.92</v>
      </c>
      <c r="I320" s="14" t="n">
        <v>0</v>
      </c>
      <c r="J320" s="14" t="n">
        <v>0</v>
      </c>
      <c r="K320" s="14" t="n">
        <v>0</v>
      </c>
      <c r="L320" s="14" t="n">
        <v>0</v>
      </c>
      <c r="M320" s="14">
        <f>IF(B320="Frete de venda",0,(1-ISNUMBER(SEARCH("556",P320)))*(I320*VLOOKUP($B320,Premissas!$A$4:$E$7,2,0)+J320*VLOOKUP($B320,Premissas!$A$4:$E$7,3,0))+K320*VLOOKUP($B320,Premissas!$A$4:$E$7,4,0)+L320*VLOOKUP($B320,Premissas!$A$4:$E$7,5,0))</f>
        <v/>
      </c>
      <c r="N320" s="14">
        <f>H320-M320</f>
        <v/>
      </c>
      <c r="O320" t="inlineStr">
        <is>
          <t>Não</t>
        </is>
      </c>
      <c r="P320" t="inlineStr">
        <is>
          <t>1.350</t>
        </is>
      </c>
    </row>
    <row r="321">
      <c r="A321" t="inlineStr">
        <is>
          <t>Antes de 2026</t>
        </is>
      </c>
      <c r="B321" t="inlineStr">
        <is>
          <t>Frete de venda</t>
        </is>
      </c>
      <c r="C321" t="inlineStr">
        <is>
          <t>Frete de venda (para clientes)</t>
        </is>
      </c>
      <c r="D321" t="inlineStr">
        <is>
          <t>CT-e</t>
        </is>
      </c>
      <c r="E321" t="inlineStr">
        <is>
          <t>000003293</t>
        </is>
      </c>
      <c r="F321" t="inlineStr">
        <is>
          <t>R&amp;R TRANSPORTE E LOGISTICA</t>
        </is>
      </c>
      <c r="G321" s="27" t="n">
        <v>45617</v>
      </c>
      <c r="H321" s="14" t="n">
        <v>160</v>
      </c>
      <c r="I321" s="14" t="n">
        <v>0</v>
      </c>
      <c r="J321" s="14" t="n">
        <v>0</v>
      </c>
      <c r="K321" s="14" t="n">
        <v>0</v>
      </c>
      <c r="L321" s="14" t="n">
        <v>0</v>
      </c>
      <c r="M321" s="14">
        <f>IF(B321="Frete de venda",0,(1-ISNUMBER(SEARCH("556",P321)))*(I321*VLOOKUP($B321,Premissas!$A$4:$E$7,2,0)+J321*VLOOKUP($B321,Premissas!$A$4:$E$7,3,0))+K321*VLOOKUP($B321,Premissas!$A$4:$E$7,4,0)+L321*VLOOKUP($B321,Premissas!$A$4:$E$7,5,0))</f>
        <v/>
      </c>
      <c r="N321" s="14">
        <f>H321-M321</f>
        <v/>
      </c>
      <c r="O321" t="inlineStr">
        <is>
          <t>Não</t>
        </is>
      </c>
      <c r="P321" t="inlineStr">
        <is>
          <t>1.350</t>
        </is>
      </c>
    </row>
    <row r="322">
      <c r="A322" t="inlineStr">
        <is>
          <t>Antes de 2026</t>
        </is>
      </c>
      <c r="B322" t="inlineStr">
        <is>
          <t>Frete de venda</t>
        </is>
      </c>
      <c r="C322" t="inlineStr">
        <is>
          <t>Frete de venda (para clientes)</t>
        </is>
      </c>
      <c r="D322" t="inlineStr">
        <is>
          <t>CT-e</t>
        </is>
      </c>
      <c r="E322" t="inlineStr">
        <is>
          <t>000003056</t>
        </is>
      </c>
      <c r="F322" t="inlineStr">
        <is>
          <t>R&amp;R TRANSPORTE E LOGISTICA</t>
        </is>
      </c>
      <c r="G322" s="27" t="n">
        <v>45596</v>
      </c>
      <c r="H322" s="14" t="n">
        <v>20</v>
      </c>
      <c r="I322" s="14" t="n">
        <v>0</v>
      </c>
      <c r="J322" s="14" t="n">
        <v>0</v>
      </c>
      <c r="K322" s="14" t="n">
        <v>0</v>
      </c>
      <c r="L322" s="14" t="n">
        <v>0</v>
      </c>
      <c r="M322" s="14">
        <f>IF(B322="Frete de venda",0,(1-ISNUMBER(SEARCH("556",P322)))*(I322*VLOOKUP($B322,Premissas!$A$4:$E$7,2,0)+J322*VLOOKUP($B322,Premissas!$A$4:$E$7,3,0))+K322*VLOOKUP($B322,Premissas!$A$4:$E$7,4,0)+L322*VLOOKUP($B322,Premissas!$A$4:$E$7,5,0))</f>
        <v/>
      </c>
      <c r="N322" s="14">
        <f>H322-M322</f>
        <v/>
      </c>
      <c r="O322" t="inlineStr">
        <is>
          <t>Não</t>
        </is>
      </c>
      <c r="P322" t="inlineStr">
        <is>
          <t>1.350</t>
        </is>
      </c>
    </row>
    <row r="323">
      <c r="A323" t="inlineStr">
        <is>
          <t>Antes de 2026</t>
        </is>
      </c>
      <c r="B323" t="inlineStr">
        <is>
          <t>Frete de venda</t>
        </is>
      </c>
      <c r="C323" t="inlineStr">
        <is>
          <t>Frete de venda (para clientes)</t>
        </is>
      </c>
      <c r="D323" t="inlineStr">
        <is>
          <t>CT-e</t>
        </is>
      </c>
      <c r="E323" t="inlineStr">
        <is>
          <t>000003442</t>
        </is>
      </c>
      <c r="F323" t="inlineStr">
        <is>
          <t>R&amp;R TRANSPORTE E LOGISTICA</t>
        </is>
      </c>
      <c r="G323" s="27" t="n">
        <v>45646</v>
      </c>
      <c r="H323" s="14" t="n">
        <v>63.07</v>
      </c>
      <c r="I323" s="14" t="n">
        <v>0</v>
      </c>
      <c r="J323" s="14" t="n">
        <v>0</v>
      </c>
      <c r="K323" s="14" t="n">
        <v>0</v>
      </c>
      <c r="L323" s="14" t="n">
        <v>0</v>
      </c>
      <c r="M323" s="14">
        <f>IF(B323="Frete de venda",0,(1-ISNUMBER(SEARCH("556",P323)))*(I323*VLOOKUP($B323,Premissas!$A$4:$E$7,2,0)+J323*VLOOKUP($B323,Premissas!$A$4:$E$7,3,0))+K323*VLOOKUP($B323,Premissas!$A$4:$E$7,4,0)+L323*VLOOKUP($B323,Premissas!$A$4:$E$7,5,0))</f>
        <v/>
      </c>
      <c r="N323" s="14">
        <f>H323-M323</f>
        <v/>
      </c>
      <c r="O323" t="inlineStr">
        <is>
          <t>Não</t>
        </is>
      </c>
      <c r="P323" t="inlineStr">
        <is>
          <t>1.350</t>
        </is>
      </c>
    </row>
    <row r="324">
      <c r="A324" t="inlineStr">
        <is>
          <t>Antes de 2026</t>
        </is>
      </c>
      <c r="B324" t="inlineStr">
        <is>
          <t>Frete de venda</t>
        </is>
      </c>
      <c r="C324" t="inlineStr">
        <is>
          <t>Frete de venda (para clientes)</t>
        </is>
      </c>
      <c r="D324" t="inlineStr">
        <is>
          <t>CT-e</t>
        </is>
      </c>
      <c r="E324" t="inlineStr">
        <is>
          <t>000003227</t>
        </is>
      </c>
      <c r="F324" t="inlineStr">
        <is>
          <t>R&amp;R TRANSPORTE E LOGISTICA</t>
        </is>
      </c>
      <c r="G324" s="27" t="n">
        <v>45609</v>
      </c>
      <c r="H324" s="14" t="n">
        <v>390</v>
      </c>
      <c r="I324" s="14" t="n">
        <v>0</v>
      </c>
      <c r="J324" s="14" t="n">
        <v>0</v>
      </c>
      <c r="K324" s="14" t="n">
        <v>0</v>
      </c>
      <c r="L324" s="14" t="n">
        <v>0</v>
      </c>
      <c r="M324" s="14">
        <f>IF(B324="Frete de venda",0,(1-ISNUMBER(SEARCH("556",P324)))*(I324*VLOOKUP($B324,Premissas!$A$4:$E$7,2,0)+J324*VLOOKUP($B324,Premissas!$A$4:$E$7,3,0))+K324*VLOOKUP($B324,Premissas!$A$4:$E$7,4,0)+L324*VLOOKUP($B324,Premissas!$A$4:$E$7,5,0))</f>
        <v/>
      </c>
      <c r="N324" s="14">
        <f>H324-M324</f>
        <v/>
      </c>
      <c r="O324" t="inlineStr">
        <is>
          <t>Não</t>
        </is>
      </c>
      <c r="P324" t="inlineStr">
        <is>
          <t>1.350</t>
        </is>
      </c>
    </row>
    <row r="325">
      <c r="A325" t="inlineStr">
        <is>
          <t>Antes de 2026</t>
        </is>
      </c>
      <c r="B325" t="inlineStr">
        <is>
          <t>Frete de venda</t>
        </is>
      </c>
      <c r="C325" t="inlineStr">
        <is>
          <t>Frete de venda (para clientes)</t>
        </is>
      </c>
      <c r="D325" t="inlineStr">
        <is>
          <t>CT-e</t>
        </is>
      </c>
      <c r="E325" t="inlineStr">
        <is>
          <t>000003356</t>
        </is>
      </c>
      <c r="F325" t="inlineStr">
        <is>
          <t>R&amp;R TRANSPORTE E LOGISTICA</t>
        </is>
      </c>
      <c r="G325" s="27" t="n">
        <v>45630</v>
      </c>
      <c r="H325" s="14" t="n">
        <v>690</v>
      </c>
      <c r="I325" s="14" t="n">
        <v>0</v>
      </c>
      <c r="J325" s="14" t="n">
        <v>0</v>
      </c>
      <c r="K325" s="14" t="n">
        <v>0</v>
      </c>
      <c r="L325" s="14" t="n">
        <v>0</v>
      </c>
      <c r="M325" s="14">
        <f>IF(B325="Frete de venda",0,(1-ISNUMBER(SEARCH("556",P325)))*(I325*VLOOKUP($B325,Premissas!$A$4:$E$7,2,0)+J325*VLOOKUP($B325,Premissas!$A$4:$E$7,3,0))+K325*VLOOKUP($B325,Premissas!$A$4:$E$7,4,0)+L325*VLOOKUP($B325,Premissas!$A$4:$E$7,5,0))</f>
        <v/>
      </c>
      <c r="N325" s="14">
        <f>H325-M325</f>
        <v/>
      </c>
      <c r="O325" t="inlineStr">
        <is>
          <t>Não</t>
        </is>
      </c>
      <c r="P325" t="inlineStr">
        <is>
          <t>1.350</t>
        </is>
      </c>
    </row>
    <row r="326">
      <c r="A326" t="inlineStr">
        <is>
          <t>Antes de 2026</t>
        </is>
      </c>
      <c r="B326" t="inlineStr">
        <is>
          <t>Frete de venda</t>
        </is>
      </c>
      <c r="C326" t="inlineStr">
        <is>
          <t>Frete de venda (para clientes)</t>
        </is>
      </c>
      <c r="D326" t="inlineStr">
        <is>
          <t>CT-e</t>
        </is>
      </c>
      <c r="E326" t="inlineStr">
        <is>
          <t>000002968</t>
        </is>
      </c>
      <c r="F326" t="inlineStr">
        <is>
          <t>R&amp;R TRANSPORTE E LOGISTICA</t>
        </is>
      </c>
      <c r="G326" s="27" t="n">
        <v>45589</v>
      </c>
      <c r="H326" s="14" t="n">
        <v>237</v>
      </c>
      <c r="I326" s="14" t="n">
        <v>0</v>
      </c>
      <c r="J326" s="14" t="n">
        <v>0</v>
      </c>
      <c r="K326" s="14" t="n">
        <v>0</v>
      </c>
      <c r="L326" s="14" t="n">
        <v>0</v>
      </c>
      <c r="M326" s="14">
        <f>IF(B326="Frete de venda",0,(1-ISNUMBER(SEARCH("556",P326)))*(I326*VLOOKUP($B326,Premissas!$A$4:$E$7,2,0)+J326*VLOOKUP($B326,Premissas!$A$4:$E$7,3,0))+K326*VLOOKUP($B326,Premissas!$A$4:$E$7,4,0)+L326*VLOOKUP($B326,Premissas!$A$4:$E$7,5,0))</f>
        <v/>
      </c>
      <c r="N326" s="14">
        <f>H326-M326</f>
        <v/>
      </c>
      <c r="O326" t="inlineStr">
        <is>
          <t>Não</t>
        </is>
      </c>
      <c r="P326" t="inlineStr">
        <is>
          <t>1.350</t>
        </is>
      </c>
    </row>
    <row r="327">
      <c r="A327" t="inlineStr">
        <is>
          <t>Antes de 2026</t>
        </is>
      </c>
      <c r="B327" t="inlineStr">
        <is>
          <t>Frete de venda</t>
        </is>
      </c>
      <c r="C327" t="inlineStr">
        <is>
          <t>Frete de venda (para clientes)</t>
        </is>
      </c>
      <c r="D327" t="inlineStr">
        <is>
          <t>CT-e</t>
        </is>
      </c>
      <c r="E327" t="inlineStr">
        <is>
          <t>000003421</t>
        </is>
      </c>
      <c r="F327" t="inlineStr">
        <is>
          <t>R&amp;R TRANSPORTE E LOGISTICA</t>
        </is>
      </c>
      <c r="G327" s="27" t="n">
        <v>45643</v>
      </c>
      <c r="H327" s="14" t="n">
        <v>112</v>
      </c>
      <c r="I327" s="14" t="n">
        <v>0</v>
      </c>
      <c r="J327" s="14" t="n">
        <v>0</v>
      </c>
      <c r="K327" s="14" t="n">
        <v>0</v>
      </c>
      <c r="L327" s="14" t="n">
        <v>0</v>
      </c>
      <c r="M327" s="14">
        <f>IF(B327="Frete de venda",0,(1-ISNUMBER(SEARCH("556",P327)))*(I327*VLOOKUP($B327,Premissas!$A$4:$E$7,2,0)+J327*VLOOKUP($B327,Premissas!$A$4:$E$7,3,0))+K327*VLOOKUP($B327,Premissas!$A$4:$E$7,4,0)+L327*VLOOKUP($B327,Premissas!$A$4:$E$7,5,0))</f>
        <v/>
      </c>
      <c r="N327" s="14">
        <f>H327-M327</f>
        <v/>
      </c>
      <c r="O327" t="inlineStr">
        <is>
          <t>Não</t>
        </is>
      </c>
      <c r="P327" t="inlineStr">
        <is>
          <t>1.350</t>
        </is>
      </c>
    </row>
    <row r="328">
      <c r="A328" t="inlineStr">
        <is>
          <t>Antes de 2026</t>
        </is>
      </c>
      <c r="B328" t="inlineStr">
        <is>
          <t>Frete de venda</t>
        </is>
      </c>
      <c r="C328" t="inlineStr">
        <is>
          <t>Frete de venda (para clientes)</t>
        </is>
      </c>
      <c r="D328" t="inlineStr">
        <is>
          <t>CT-e</t>
        </is>
      </c>
      <c r="E328" t="inlineStr">
        <is>
          <t>000003361</t>
        </is>
      </c>
      <c r="F328" t="inlineStr">
        <is>
          <t>R&amp;R TRANSPORTE E LOGISTICA</t>
        </is>
      </c>
      <c r="G328" s="27" t="n">
        <v>45631</v>
      </c>
      <c r="H328" s="14" t="n">
        <v>38</v>
      </c>
      <c r="I328" s="14" t="n">
        <v>0</v>
      </c>
      <c r="J328" s="14" t="n">
        <v>0</v>
      </c>
      <c r="K328" s="14" t="n">
        <v>0</v>
      </c>
      <c r="L328" s="14" t="n">
        <v>0</v>
      </c>
      <c r="M328" s="14">
        <f>IF(B328="Frete de venda",0,(1-ISNUMBER(SEARCH("556",P328)))*(I328*VLOOKUP($B328,Premissas!$A$4:$E$7,2,0)+J328*VLOOKUP($B328,Premissas!$A$4:$E$7,3,0))+K328*VLOOKUP($B328,Premissas!$A$4:$E$7,4,0)+L328*VLOOKUP($B328,Premissas!$A$4:$E$7,5,0))</f>
        <v/>
      </c>
      <c r="N328" s="14">
        <f>H328-M328</f>
        <v/>
      </c>
      <c r="O328" t="inlineStr">
        <is>
          <t>Não</t>
        </is>
      </c>
      <c r="P328" t="inlineStr">
        <is>
          <t>1.350</t>
        </is>
      </c>
    </row>
    <row r="329">
      <c r="A329" t="inlineStr">
        <is>
          <t>Antes de 2026</t>
        </is>
      </c>
      <c r="B329" t="inlineStr">
        <is>
          <t>Frete de venda</t>
        </is>
      </c>
      <c r="C329" t="inlineStr">
        <is>
          <t>Frete de venda (para clientes)</t>
        </is>
      </c>
      <c r="D329" t="inlineStr">
        <is>
          <t>CT-e</t>
        </is>
      </c>
      <c r="E329" t="inlineStr">
        <is>
          <t>000003167</t>
        </is>
      </c>
      <c r="F329" t="inlineStr">
        <is>
          <t>R&amp;R TRANSPORTE E LOGISTICA</t>
        </is>
      </c>
      <c r="G329" s="27" t="n">
        <v>45611</v>
      </c>
      <c r="H329" s="14" t="n">
        <v>50</v>
      </c>
      <c r="I329" s="14" t="n">
        <v>0</v>
      </c>
      <c r="J329" s="14" t="n">
        <v>0</v>
      </c>
      <c r="K329" s="14" t="n">
        <v>0</v>
      </c>
      <c r="L329" s="14" t="n">
        <v>0</v>
      </c>
      <c r="M329" s="14">
        <f>IF(B329="Frete de venda",0,(1-ISNUMBER(SEARCH("556",P329)))*(I329*VLOOKUP($B329,Premissas!$A$4:$E$7,2,0)+J329*VLOOKUP($B329,Premissas!$A$4:$E$7,3,0))+K329*VLOOKUP($B329,Premissas!$A$4:$E$7,4,0)+L329*VLOOKUP($B329,Premissas!$A$4:$E$7,5,0))</f>
        <v/>
      </c>
      <c r="N329" s="14">
        <f>H329-M329</f>
        <v/>
      </c>
      <c r="O329" t="inlineStr">
        <is>
          <t>Não</t>
        </is>
      </c>
      <c r="P329" t="inlineStr">
        <is>
          <t>1.350</t>
        </is>
      </c>
    </row>
    <row r="330">
      <c r="A330" t="inlineStr">
        <is>
          <t>Antes de 2026</t>
        </is>
      </c>
      <c r="B330" t="inlineStr">
        <is>
          <t>Frete de venda</t>
        </is>
      </c>
      <c r="C330" t="inlineStr">
        <is>
          <t>Frete de venda (para clientes)</t>
        </is>
      </c>
      <c r="D330" t="inlineStr">
        <is>
          <t>CT-e</t>
        </is>
      </c>
      <c r="E330" t="inlineStr">
        <is>
          <t>000002967</t>
        </is>
      </c>
      <c r="F330" t="inlineStr">
        <is>
          <t>R&amp;R TRANSPORTE E LOGISTICA</t>
        </is>
      </c>
      <c r="G330" s="27" t="n">
        <v>45589</v>
      </c>
      <c r="H330" s="14" t="n">
        <v>90</v>
      </c>
      <c r="I330" s="14" t="n">
        <v>0</v>
      </c>
      <c r="J330" s="14" t="n">
        <v>0</v>
      </c>
      <c r="K330" s="14" t="n">
        <v>0</v>
      </c>
      <c r="L330" s="14" t="n">
        <v>0</v>
      </c>
      <c r="M330" s="14">
        <f>IF(B330="Frete de venda",0,(1-ISNUMBER(SEARCH("556",P330)))*(I330*VLOOKUP($B330,Premissas!$A$4:$E$7,2,0)+J330*VLOOKUP($B330,Premissas!$A$4:$E$7,3,0))+K330*VLOOKUP($B330,Premissas!$A$4:$E$7,4,0)+L330*VLOOKUP($B330,Premissas!$A$4:$E$7,5,0))</f>
        <v/>
      </c>
      <c r="N330" s="14">
        <f>H330-M330</f>
        <v/>
      </c>
      <c r="O330" t="inlineStr">
        <is>
          <t>Não</t>
        </is>
      </c>
      <c r="P330" t="inlineStr">
        <is>
          <t>1.350</t>
        </is>
      </c>
    </row>
    <row r="331">
      <c r="A331" t="inlineStr">
        <is>
          <t>Antes de 2026</t>
        </is>
      </c>
      <c r="B331" t="inlineStr">
        <is>
          <t>Frete de venda</t>
        </is>
      </c>
      <c r="C331" t="inlineStr">
        <is>
          <t>Frete de venda (para clientes)</t>
        </is>
      </c>
      <c r="D331" t="inlineStr">
        <is>
          <t>CT-e</t>
        </is>
      </c>
      <c r="E331" t="inlineStr">
        <is>
          <t>000003329</t>
        </is>
      </c>
      <c r="F331" t="inlineStr">
        <is>
          <t>R&amp;R TRANSPORTE E LOGISTICA</t>
        </is>
      </c>
      <c r="G331" s="27" t="n">
        <v>45625</v>
      </c>
      <c r="H331" s="14" t="n">
        <v>71</v>
      </c>
      <c r="I331" s="14" t="n">
        <v>0</v>
      </c>
      <c r="J331" s="14" t="n">
        <v>0</v>
      </c>
      <c r="K331" s="14" t="n">
        <v>0</v>
      </c>
      <c r="L331" s="14" t="n">
        <v>0</v>
      </c>
      <c r="M331" s="14">
        <f>IF(B331="Frete de venda",0,(1-ISNUMBER(SEARCH("556",P331)))*(I331*VLOOKUP($B331,Premissas!$A$4:$E$7,2,0)+J331*VLOOKUP($B331,Premissas!$A$4:$E$7,3,0))+K331*VLOOKUP($B331,Premissas!$A$4:$E$7,4,0)+L331*VLOOKUP($B331,Premissas!$A$4:$E$7,5,0))</f>
        <v/>
      </c>
      <c r="N331" s="14">
        <f>H331-M331</f>
        <v/>
      </c>
      <c r="O331" t="inlineStr">
        <is>
          <t>Não</t>
        </is>
      </c>
      <c r="P331" t="inlineStr">
        <is>
          <t>1.350</t>
        </is>
      </c>
    </row>
    <row r="332">
      <c r="A332" t="inlineStr">
        <is>
          <t>Antes de 2026</t>
        </is>
      </c>
      <c r="B332" t="inlineStr">
        <is>
          <t>Frete de venda</t>
        </is>
      </c>
      <c r="C332" t="inlineStr">
        <is>
          <t>Frete de venda (para clientes)</t>
        </is>
      </c>
      <c r="D332" t="inlineStr">
        <is>
          <t>CT-e</t>
        </is>
      </c>
      <c r="E332" t="inlineStr">
        <is>
          <t>000003142</t>
        </is>
      </c>
      <c r="F332" t="inlineStr">
        <is>
          <t>R&amp;R TRANSPORTE E LOGISTICA</t>
        </is>
      </c>
      <c r="G332" s="27" t="n">
        <v>45605</v>
      </c>
      <c r="H332" s="14" t="n">
        <v>1100</v>
      </c>
      <c r="I332" s="14" t="n">
        <v>0</v>
      </c>
      <c r="J332" s="14" t="n">
        <v>0</v>
      </c>
      <c r="K332" s="14" t="n">
        <v>0</v>
      </c>
      <c r="L332" s="14" t="n">
        <v>0</v>
      </c>
      <c r="M332" s="14">
        <f>IF(B332="Frete de venda",0,(1-ISNUMBER(SEARCH("556",P332)))*(I332*VLOOKUP($B332,Premissas!$A$4:$E$7,2,0)+J332*VLOOKUP($B332,Premissas!$A$4:$E$7,3,0))+K332*VLOOKUP($B332,Premissas!$A$4:$E$7,4,0)+L332*VLOOKUP($B332,Premissas!$A$4:$E$7,5,0))</f>
        <v/>
      </c>
      <c r="N332" s="14">
        <f>H332-M332</f>
        <v/>
      </c>
      <c r="O332" t="inlineStr">
        <is>
          <t>Não</t>
        </is>
      </c>
      <c r="P332" t="inlineStr">
        <is>
          <t>1.350</t>
        </is>
      </c>
    </row>
    <row r="333">
      <c r="A333" t="inlineStr">
        <is>
          <t>Antes de 2026</t>
        </is>
      </c>
      <c r="B333" t="inlineStr">
        <is>
          <t>Frete de venda</t>
        </is>
      </c>
      <c r="C333" t="inlineStr">
        <is>
          <t>Frete de venda (para clientes)</t>
        </is>
      </c>
      <c r="D333" t="inlineStr">
        <is>
          <t>CT-e</t>
        </is>
      </c>
      <c r="E333" t="inlineStr">
        <is>
          <t>000003366</t>
        </is>
      </c>
      <c r="F333" t="inlineStr">
        <is>
          <t>R&amp;R TRANSPORTE E LOGISTICA</t>
        </is>
      </c>
      <c r="G333" s="27" t="n">
        <v>45631</v>
      </c>
      <c r="H333" s="14" t="n">
        <v>54</v>
      </c>
      <c r="I333" s="14" t="n">
        <v>0</v>
      </c>
      <c r="J333" s="14" t="n">
        <v>0</v>
      </c>
      <c r="K333" s="14" t="n">
        <v>0</v>
      </c>
      <c r="L333" s="14" t="n">
        <v>0</v>
      </c>
      <c r="M333" s="14">
        <f>IF(B333="Frete de venda",0,(1-ISNUMBER(SEARCH("556",P333)))*(I333*VLOOKUP($B333,Premissas!$A$4:$E$7,2,0)+J333*VLOOKUP($B333,Premissas!$A$4:$E$7,3,0))+K333*VLOOKUP($B333,Premissas!$A$4:$E$7,4,0)+L333*VLOOKUP($B333,Premissas!$A$4:$E$7,5,0))</f>
        <v/>
      </c>
      <c r="N333" s="14">
        <f>H333-M333</f>
        <v/>
      </c>
      <c r="O333" t="inlineStr">
        <is>
          <t>Não</t>
        </is>
      </c>
      <c r="P333" t="inlineStr">
        <is>
          <t>1.350</t>
        </is>
      </c>
    </row>
    <row r="334">
      <c r="A334" t="inlineStr">
        <is>
          <t>Antes de 2026</t>
        </is>
      </c>
      <c r="B334" t="inlineStr">
        <is>
          <t>Frete de venda</t>
        </is>
      </c>
      <c r="C334" t="inlineStr">
        <is>
          <t>Frete de venda (para clientes)</t>
        </is>
      </c>
      <c r="D334" t="inlineStr">
        <is>
          <t>CT-e</t>
        </is>
      </c>
      <c r="E334" t="inlineStr">
        <is>
          <t>000003330</t>
        </is>
      </c>
      <c r="F334" t="inlineStr">
        <is>
          <t>R&amp;R TRANSPORTE E LOGISTICA</t>
        </is>
      </c>
      <c r="G334" s="27" t="n">
        <v>45625</v>
      </c>
      <c r="H334" s="14" t="n">
        <v>109</v>
      </c>
      <c r="I334" s="14" t="n">
        <v>0</v>
      </c>
      <c r="J334" s="14" t="n">
        <v>0</v>
      </c>
      <c r="K334" s="14" t="n">
        <v>0</v>
      </c>
      <c r="L334" s="14" t="n">
        <v>0</v>
      </c>
      <c r="M334" s="14">
        <f>IF(B334="Frete de venda",0,(1-ISNUMBER(SEARCH("556",P334)))*(I334*VLOOKUP($B334,Premissas!$A$4:$E$7,2,0)+J334*VLOOKUP($B334,Premissas!$A$4:$E$7,3,0))+K334*VLOOKUP($B334,Premissas!$A$4:$E$7,4,0)+L334*VLOOKUP($B334,Premissas!$A$4:$E$7,5,0))</f>
        <v/>
      </c>
      <c r="N334" s="14">
        <f>H334-M334</f>
        <v/>
      </c>
      <c r="O334" t="inlineStr">
        <is>
          <t>Não</t>
        </is>
      </c>
      <c r="P334" t="inlineStr">
        <is>
          <t>1.350</t>
        </is>
      </c>
    </row>
    <row r="335">
      <c r="A335" t="inlineStr">
        <is>
          <t>Antes de 2026</t>
        </is>
      </c>
      <c r="B335" t="inlineStr">
        <is>
          <t>Frete de venda</t>
        </is>
      </c>
      <c r="C335" t="inlineStr">
        <is>
          <t>Frete de venda (para clientes)</t>
        </is>
      </c>
      <c r="D335" t="inlineStr">
        <is>
          <t>CT-e</t>
        </is>
      </c>
      <c r="E335" t="inlineStr">
        <is>
          <t>000003371</t>
        </is>
      </c>
      <c r="F335" t="inlineStr">
        <is>
          <t>R&amp;R TRANSPORTE E LOGISTICA</t>
        </is>
      </c>
      <c r="G335" s="27" t="n">
        <v>45632</v>
      </c>
      <c r="H335" s="14" t="n">
        <v>101</v>
      </c>
      <c r="I335" s="14" t="n">
        <v>0</v>
      </c>
      <c r="J335" s="14" t="n">
        <v>0</v>
      </c>
      <c r="K335" s="14" t="n">
        <v>0</v>
      </c>
      <c r="L335" s="14" t="n">
        <v>0</v>
      </c>
      <c r="M335" s="14">
        <f>IF(B335="Frete de venda",0,(1-ISNUMBER(SEARCH("556",P335)))*(I335*VLOOKUP($B335,Premissas!$A$4:$E$7,2,0)+J335*VLOOKUP($B335,Premissas!$A$4:$E$7,3,0))+K335*VLOOKUP($B335,Premissas!$A$4:$E$7,4,0)+L335*VLOOKUP($B335,Premissas!$A$4:$E$7,5,0))</f>
        <v/>
      </c>
      <c r="N335" s="14">
        <f>H335-M335</f>
        <v/>
      </c>
      <c r="O335" t="inlineStr">
        <is>
          <t>Não</t>
        </is>
      </c>
      <c r="P335" t="inlineStr">
        <is>
          <t>1.350</t>
        </is>
      </c>
    </row>
    <row r="336">
      <c r="A336" t="inlineStr">
        <is>
          <t>Antes de 2026</t>
        </is>
      </c>
      <c r="B336" t="inlineStr">
        <is>
          <t>Frete de venda</t>
        </is>
      </c>
      <c r="C336" t="inlineStr">
        <is>
          <t>Frete de venda (para clientes)</t>
        </is>
      </c>
      <c r="D336" t="inlineStr">
        <is>
          <t>CT-e</t>
        </is>
      </c>
      <c r="E336" t="inlineStr">
        <is>
          <t>000002888</t>
        </is>
      </c>
      <c r="F336" t="inlineStr">
        <is>
          <t>R&amp;R TRANSPORTE E LOGISTICA</t>
        </is>
      </c>
      <c r="G336" s="27" t="n">
        <v>45583</v>
      </c>
      <c r="H336" s="14" t="n">
        <v>91</v>
      </c>
      <c r="I336" s="14" t="n">
        <v>0</v>
      </c>
      <c r="J336" s="14" t="n">
        <v>0</v>
      </c>
      <c r="K336" s="14" t="n">
        <v>0</v>
      </c>
      <c r="L336" s="14" t="n">
        <v>0</v>
      </c>
      <c r="M336" s="14">
        <f>IF(B336="Frete de venda",0,(1-ISNUMBER(SEARCH("556",P336)))*(I336*VLOOKUP($B336,Premissas!$A$4:$E$7,2,0)+J336*VLOOKUP($B336,Premissas!$A$4:$E$7,3,0))+K336*VLOOKUP($B336,Premissas!$A$4:$E$7,4,0)+L336*VLOOKUP($B336,Premissas!$A$4:$E$7,5,0))</f>
        <v/>
      </c>
      <c r="N336" s="14">
        <f>H336-M336</f>
        <v/>
      </c>
      <c r="O336" t="inlineStr">
        <is>
          <t>Não</t>
        </is>
      </c>
      <c r="P336" t="inlineStr">
        <is>
          <t>1.350</t>
        </is>
      </c>
    </row>
    <row r="337">
      <c r="A337" t="inlineStr">
        <is>
          <t>Antes de 2026</t>
        </is>
      </c>
      <c r="B337" t="inlineStr">
        <is>
          <t>Frete de venda</t>
        </is>
      </c>
      <c r="C337" t="inlineStr">
        <is>
          <t>Frete de venda (para clientes)</t>
        </is>
      </c>
      <c r="D337" t="inlineStr">
        <is>
          <t>CT-e</t>
        </is>
      </c>
      <c r="E337" t="inlineStr">
        <is>
          <t>000003322</t>
        </is>
      </c>
      <c r="F337" t="inlineStr">
        <is>
          <t>R&amp;R TRANSPORTE E LOGISTICA</t>
        </is>
      </c>
      <c r="G337" s="27" t="n">
        <v>45623</v>
      </c>
      <c r="H337" s="14" t="n">
        <v>82</v>
      </c>
      <c r="I337" s="14" t="n">
        <v>0</v>
      </c>
      <c r="J337" s="14" t="n">
        <v>0</v>
      </c>
      <c r="K337" s="14" t="n">
        <v>0</v>
      </c>
      <c r="L337" s="14" t="n">
        <v>0</v>
      </c>
      <c r="M337" s="14">
        <f>IF(B337="Frete de venda",0,(1-ISNUMBER(SEARCH("556",P337)))*(I337*VLOOKUP($B337,Premissas!$A$4:$E$7,2,0)+J337*VLOOKUP($B337,Premissas!$A$4:$E$7,3,0))+K337*VLOOKUP($B337,Premissas!$A$4:$E$7,4,0)+L337*VLOOKUP($B337,Premissas!$A$4:$E$7,5,0))</f>
        <v/>
      </c>
      <c r="N337" s="14">
        <f>H337-M337</f>
        <v/>
      </c>
      <c r="O337" t="inlineStr">
        <is>
          <t>Não</t>
        </is>
      </c>
      <c r="P337" t="inlineStr">
        <is>
          <t>1.350</t>
        </is>
      </c>
    </row>
    <row r="338">
      <c r="A338" t="inlineStr">
        <is>
          <t>Antes de 2026</t>
        </is>
      </c>
      <c r="B338" t="inlineStr">
        <is>
          <t>Frete de venda</t>
        </is>
      </c>
      <c r="C338" t="inlineStr">
        <is>
          <t>Frete de venda (para clientes)</t>
        </is>
      </c>
      <c r="D338" t="inlineStr">
        <is>
          <t>CT-e</t>
        </is>
      </c>
      <c r="E338" t="inlineStr">
        <is>
          <t>000003473</t>
        </is>
      </c>
      <c r="F338" t="inlineStr">
        <is>
          <t>R&amp;R TRANSPORTE E LOGISTICA</t>
        </is>
      </c>
      <c r="G338" s="27" t="n">
        <v>45653</v>
      </c>
      <c r="H338" s="14" t="n">
        <v>114</v>
      </c>
      <c r="I338" s="14" t="n">
        <v>0</v>
      </c>
      <c r="J338" s="14" t="n">
        <v>0</v>
      </c>
      <c r="K338" s="14" t="n">
        <v>0</v>
      </c>
      <c r="L338" s="14" t="n">
        <v>0</v>
      </c>
      <c r="M338" s="14">
        <f>IF(B338="Frete de venda",0,(1-ISNUMBER(SEARCH("556",P338)))*(I338*VLOOKUP($B338,Premissas!$A$4:$E$7,2,0)+J338*VLOOKUP($B338,Premissas!$A$4:$E$7,3,0))+K338*VLOOKUP($B338,Premissas!$A$4:$E$7,4,0)+L338*VLOOKUP($B338,Premissas!$A$4:$E$7,5,0))</f>
        <v/>
      </c>
      <c r="N338" s="14">
        <f>H338-M338</f>
        <v/>
      </c>
      <c r="O338" t="inlineStr">
        <is>
          <t>Não</t>
        </is>
      </c>
      <c r="P338" t="inlineStr">
        <is>
          <t>1.350</t>
        </is>
      </c>
    </row>
    <row r="339">
      <c r="A339" t="inlineStr">
        <is>
          <t>Antes de 2026</t>
        </is>
      </c>
      <c r="B339" t="inlineStr">
        <is>
          <t>Frete de venda</t>
        </is>
      </c>
      <c r="C339" t="inlineStr">
        <is>
          <t>Frete de venda (para clientes)</t>
        </is>
      </c>
      <c r="D339" t="inlineStr">
        <is>
          <t>CT-e</t>
        </is>
      </c>
      <c r="E339" t="inlineStr">
        <is>
          <t>000003502</t>
        </is>
      </c>
      <c r="F339" t="inlineStr">
        <is>
          <t>R&amp;R TRANSPORTE E LOGISTICA</t>
        </is>
      </c>
      <c r="G339" s="27" t="n">
        <v>45664</v>
      </c>
      <c r="H339" s="14" t="n">
        <v>103</v>
      </c>
      <c r="I339" s="14" t="n">
        <v>0</v>
      </c>
      <c r="J339" s="14" t="n">
        <v>0</v>
      </c>
      <c r="K339" s="14" t="n">
        <v>0</v>
      </c>
      <c r="L339" s="14" t="n">
        <v>0</v>
      </c>
      <c r="M339" s="14">
        <f>IF(B339="Frete de venda",0,(1-ISNUMBER(SEARCH("556",P339)))*(I339*VLOOKUP($B339,Premissas!$A$4:$E$7,2,0)+J339*VLOOKUP($B339,Premissas!$A$4:$E$7,3,0))+K339*VLOOKUP($B339,Premissas!$A$4:$E$7,4,0)+L339*VLOOKUP($B339,Premissas!$A$4:$E$7,5,0))</f>
        <v/>
      </c>
      <c r="N339" s="14">
        <f>H339-M339</f>
        <v/>
      </c>
      <c r="O339" t="inlineStr">
        <is>
          <t>Não</t>
        </is>
      </c>
      <c r="P339" t="inlineStr">
        <is>
          <t>1.350</t>
        </is>
      </c>
    </row>
    <row r="340">
      <c r="A340" t="inlineStr">
        <is>
          <t>Antes de 2026</t>
        </is>
      </c>
      <c r="B340" t="inlineStr">
        <is>
          <t>Frete de venda</t>
        </is>
      </c>
      <c r="C340" t="inlineStr">
        <is>
          <t>Frete de venda (para clientes)</t>
        </is>
      </c>
      <c r="D340" t="inlineStr">
        <is>
          <t>CT-e</t>
        </is>
      </c>
      <c r="E340" t="inlineStr">
        <is>
          <t>000003412</t>
        </is>
      </c>
      <c r="F340" t="inlineStr">
        <is>
          <t>R&amp;R TRANSPORTE E LOGISTICA</t>
        </is>
      </c>
      <c r="G340" s="27" t="n">
        <v>45640</v>
      </c>
      <c r="H340" s="14" t="n">
        <v>437.5</v>
      </c>
      <c r="I340" s="14" t="n">
        <v>0</v>
      </c>
      <c r="J340" s="14" t="n">
        <v>0</v>
      </c>
      <c r="K340" s="14" t="n">
        <v>0</v>
      </c>
      <c r="L340" s="14" t="n">
        <v>0</v>
      </c>
      <c r="M340" s="14">
        <f>IF(B340="Frete de venda",0,(1-ISNUMBER(SEARCH("556",P340)))*(I340*VLOOKUP($B340,Premissas!$A$4:$E$7,2,0)+J340*VLOOKUP($B340,Premissas!$A$4:$E$7,3,0))+K340*VLOOKUP($B340,Premissas!$A$4:$E$7,4,0)+L340*VLOOKUP($B340,Premissas!$A$4:$E$7,5,0))</f>
        <v/>
      </c>
      <c r="N340" s="14">
        <f>H340-M340</f>
        <v/>
      </c>
      <c r="O340" t="inlineStr">
        <is>
          <t>Não</t>
        </is>
      </c>
      <c r="P340" t="inlineStr">
        <is>
          <t>1.350</t>
        </is>
      </c>
    </row>
    <row r="341">
      <c r="A341" t="inlineStr">
        <is>
          <t>Antes de 2026</t>
        </is>
      </c>
      <c r="B341" t="inlineStr">
        <is>
          <t>Frete de venda</t>
        </is>
      </c>
      <c r="C341" t="inlineStr">
        <is>
          <t>Frete de venda (para clientes)</t>
        </is>
      </c>
      <c r="D341" t="inlineStr">
        <is>
          <t>CT-e</t>
        </is>
      </c>
      <c r="E341" t="inlineStr">
        <is>
          <t>000003052</t>
        </is>
      </c>
      <c r="F341" t="inlineStr">
        <is>
          <t>R&amp;R TRANSPORTE E LOGISTICA</t>
        </is>
      </c>
      <c r="G341" s="27" t="n">
        <v>45595</v>
      </c>
      <c r="H341" s="14" t="n">
        <v>160</v>
      </c>
      <c r="I341" s="14" t="n">
        <v>0</v>
      </c>
      <c r="J341" s="14" t="n">
        <v>0</v>
      </c>
      <c r="K341" s="14" t="n">
        <v>0</v>
      </c>
      <c r="L341" s="14" t="n">
        <v>0</v>
      </c>
      <c r="M341" s="14">
        <f>IF(B341="Frete de venda",0,(1-ISNUMBER(SEARCH("556",P341)))*(I341*VLOOKUP($B341,Premissas!$A$4:$E$7,2,0)+J341*VLOOKUP($B341,Premissas!$A$4:$E$7,3,0))+K341*VLOOKUP($B341,Premissas!$A$4:$E$7,4,0)+L341*VLOOKUP($B341,Premissas!$A$4:$E$7,5,0))</f>
        <v/>
      </c>
      <c r="N341" s="14">
        <f>H341-M341</f>
        <v/>
      </c>
      <c r="O341" t="inlineStr">
        <is>
          <t>Não</t>
        </is>
      </c>
      <c r="P341" t="inlineStr">
        <is>
          <t>1.350</t>
        </is>
      </c>
    </row>
    <row r="342">
      <c r="A342" t="inlineStr">
        <is>
          <t>Antes de 2026</t>
        </is>
      </c>
      <c r="B342" t="inlineStr">
        <is>
          <t>Frete de venda</t>
        </is>
      </c>
      <c r="C342" t="inlineStr">
        <is>
          <t>Frete de venda (para clientes)</t>
        </is>
      </c>
      <c r="D342" t="inlineStr">
        <is>
          <t>CT-e</t>
        </is>
      </c>
      <c r="E342" t="inlineStr">
        <is>
          <t>000003086</t>
        </is>
      </c>
      <c r="F342" t="inlineStr">
        <is>
          <t>R&amp;R TRANSPORTE E LOGISTICA</t>
        </is>
      </c>
      <c r="G342" s="27" t="n">
        <v>45600</v>
      </c>
      <c r="H342" s="14" t="n">
        <v>33</v>
      </c>
      <c r="I342" s="14" t="n">
        <v>0</v>
      </c>
      <c r="J342" s="14" t="n">
        <v>0</v>
      </c>
      <c r="K342" s="14" t="n">
        <v>0</v>
      </c>
      <c r="L342" s="14" t="n">
        <v>0</v>
      </c>
      <c r="M342" s="14">
        <f>IF(B342="Frete de venda",0,(1-ISNUMBER(SEARCH("556",P342)))*(I342*VLOOKUP($B342,Premissas!$A$4:$E$7,2,0)+J342*VLOOKUP($B342,Premissas!$A$4:$E$7,3,0))+K342*VLOOKUP($B342,Premissas!$A$4:$E$7,4,0)+L342*VLOOKUP($B342,Premissas!$A$4:$E$7,5,0))</f>
        <v/>
      </c>
      <c r="N342" s="14">
        <f>H342-M342</f>
        <v/>
      </c>
      <c r="O342" t="inlineStr">
        <is>
          <t>Não</t>
        </is>
      </c>
      <c r="P342" t="inlineStr">
        <is>
          <t>1.350</t>
        </is>
      </c>
    </row>
    <row r="343">
      <c r="A343" t="inlineStr">
        <is>
          <t>Antes de 2026</t>
        </is>
      </c>
      <c r="B343" t="inlineStr">
        <is>
          <t>Frete de venda</t>
        </is>
      </c>
      <c r="C343" t="inlineStr">
        <is>
          <t>Frete de venda (para clientes)</t>
        </is>
      </c>
      <c r="D343" t="inlineStr">
        <is>
          <t>CT-e</t>
        </is>
      </c>
      <c r="E343" t="inlineStr">
        <is>
          <t>000003404</t>
        </is>
      </c>
      <c r="F343" t="inlineStr">
        <is>
          <t>R&amp;R TRANSPORTE E LOGISTICA</t>
        </is>
      </c>
      <c r="G343" s="27" t="n">
        <v>45639</v>
      </c>
      <c r="H343" s="14" t="n">
        <v>33</v>
      </c>
      <c r="I343" s="14" t="n">
        <v>0</v>
      </c>
      <c r="J343" s="14" t="n">
        <v>0</v>
      </c>
      <c r="K343" s="14" t="n">
        <v>0</v>
      </c>
      <c r="L343" s="14" t="n">
        <v>0</v>
      </c>
      <c r="M343" s="14">
        <f>IF(B343="Frete de venda",0,(1-ISNUMBER(SEARCH("556",P343)))*(I343*VLOOKUP($B343,Premissas!$A$4:$E$7,2,0)+J343*VLOOKUP($B343,Premissas!$A$4:$E$7,3,0))+K343*VLOOKUP($B343,Premissas!$A$4:$E$7,4,0)+L343*VLOOKUP($B343,Premissas!$A$4:$E$7,5,0))</f>
        <v/>
      </c>
      <c r="N343" s="14">
        <f>H343-M343</f>
        <v/>
      </c>
      <c r="O343" t="inlineStr">
        <is>
          <t>Não</t>
        </is>
      </c>
      <c r="P343" t="inlineStr">
        <is>
          <t>1.350</t>
        </is>
      </c>
    </row>
    <row r="344">
      <c r="A344" t="inlineStr">
        <is>
          <t>Antes de 2026</t>
        </is>
      </c>
      <c r="B344" t="inlineStr">
        <is>
          <t>Frete de venda</t>
        </is>
      </c>
      <c r="C344" t="inlineStr">
        <is>
          <t>Frete de venda (para clientes)</t>
        </is>
      </c>
      <c r="D344" t="inlineStr">
        <is>
          <t>CT-e</t>
        </is>
      </c>
      <c r="E344" t="inlineStr">
        <is>
          <t>000003057</t>
        </is>
      </c>
      <c r="F344" t="inlineStr">
        <is>
          <t>R&amp;R TRANSPORTE E LOGISTICA</t>
        </is>
      </c>
      <c r="G344" s="27" t="n">
        <v>45596</v>
      </c>
      <c r="H344" s="14" t="n">
        <v>20</v>
      </c>
      <c r="I344" s="14" t="n">
        <v>0</v>
      </c>
      <c r="J344" s="14" t="n">
        <v>0</v>
      </c>
      <c r="K344" s="14" t="n">
        <v>0</v>
      </c>
      <c r="L344" s="14" t="n">
        <v>0</v>
      </c>
      <c r="M344" s="14">
        <f>IF(B344="Frete de venda",0,(1-ISNUMBER(SEARCH("556",P344)))*(I344*VLOOKUP($B344,Premissas!$A$4:$E$7,2,0)+J344*VLOOKUP($B344,Premissas!$A$4:$E$7,3,0))+K344*VLOOKUP($B344,Premissas!$A$4:$E$7,4,0)+L344*VLOOKUP($B344,Premissas!$A$4:$E$7,5,0))</f>
        <v/>
      </c>
      <c r="N344" s="14">
        <f>H344-M344</f>
        <v/>
      </c>
      <c r="O344" t="inlineStr">
        <is>
          <t>Não</t>
        </is>
      </c>
      <c r="P344" t="inlineStr">
        <is>
          <t>1.350</t>
        </is>
      </c>
    </row>
    <row r="345">
      <c r="A345" t="inlineStr">
        <is>
          <t>Antes de 2026</t>
        </is>
      </c>
      <c r="B345" t="inlineStr">
        <is>
          <t>Frete de venda</t>
        </is>
      </c>
      <c r="C345" t="inlineStr">
        <is>
          <t>Frete de venda (para clientes)</t>
        </is>
      </c>
      <c r="D345" t="inlineStr">
        <is>
          <t>CT-e</t>
        </is>
      </c>
      <c r="E345" t="inlineStr">
        <is>
          <t>000003375</t>
        </is>
      </c>
      <c r="F345" t="inlineStr">
        <is>
          <t>R&amp;R TRANSPORTE E LOGISTICA</t>
        </is>
      </c>
      <c r="G345" s="27" t="n">
        <v>45632</v>
      </c>
      <c r="H345" s="14" t="n">
        <v>110</v>
      </c>
      <c r="I345" s="14" t="n">
        <v>0</v>
      </c>
      <c r="J345" s="14" t="n">
        <v>0</v>
      </c>
      <c r="K345" s="14" t="n">
        <v>0</v>
      </c>
      <c r="L345" s="14" t="n">
        <v>0</v>
      </c>
      <c r="M345" s="14">
        <f>IF(B345="Frete de venda",0,(1-ISNUMBER(SEARCH("556",P345)))*(I345*VLOOKUP($B345,Premissas!$A$4:$E$7,2,0)+J345*VLOOKUP($B345,Premissas!$A$4:$E$7,3,0))+K345*VLOOKUP($B345,Premissas!$A$4:$E$7,4,0)+L345*VLOOKUP($B345,Premissas!$A$4:$E$7,5,0))</f>
        <v/>
      </c>
      <c r="N345" s="14">
        <f>H345-M345</f>
        <v/>
      </c>
      <c r="O345" t="inlineStr">
        <is>
          <t>Não</t>
        </is>
      </c>
      <c r="P345" t="inlineStr">
        <is>
          <t>1.350</t>
        </is>
      </c>
    </row>
    <row r="346">
      <c r="A346" t="inlineStr">
        <is>
          <t>Antes de 2026</t>
        </is>
      </c>
      <c r="B346" t="inlineStr">
        <is>
          <t>Frete de venda</t>
        </is>
      </c>
      <c r="C346" t="inlineStr">
        <is>
          <t>Frete de venda (para clientes)</t>
        </is>
      </c>
      <c r="D346" t="inlineStr">
        <is>
          <t>CT-e</t>
        </is>
      </c>
      <c r="E346" t="inlineStr">
        <is>
          <t>000003420</t>
        </is>
      </c>
      <c r="F346" t="inlineStr">
        <is>
          <t>R&amp;R TRANSPORTE E LOGISTICA</t>
        </is>
      </c>
      <c r="G346" s="27" t="n">
        <v>45643</v>
      </c>
      <c r="H346" s="14" t="n">
        <v>59</v>
      </c>
      <c r="I346" s="14" t="n">
        <v>0</v>
      </c>
      <c r="J346" s="14" t="n">
        <v>0</v>
      </c>
      <c r="K346" s="14" t="n">
        <v>0</v>
      </c>
      <c r="L346" s="14" t="n">
        <v>0</v>
      </c>
      <c r="M346" s="14">
        <f>IF(B346="Frete de venda",0,(1-ISNUMBER(SEARCH("556",P346)))*(I346*VLOOKUP($B346,Premissas!$A$4:$E$7,2,0)+J346*VLOOKUP($B346,Premissas!$A$4:$E$7,3,0))+K346*VLOOKUP($B346,Premissas!$A$4:$E$7,4,0)+L346*VLOOKUP($B346,Premissas!$A$4:$E$7,5,0))</f>
        <v/>
      </c>
      <c r="N346" s="14">
        <f>H346-M346</f>
        <v/>
      </c>
      <c r="O346" t="inlineStr">
        <is>
          <t>Não</t>
        </is>
      </c>
      <c r="P346" t="inlineStr">
        <is>
          <t>1.350</t>
        </is>
      </c>
    </row>
    <row r="347">
      <c r="A347" t="inlineStr">
        <is>
          <t>Antes de 2026</t>
        </is>
      </c>
      <c r="B347" t="inlineStr">
        <is>
          <t>Frete de venda</t>
        </is>
      </c>
      <c r="C347" t="inlineStr">
        <is>
          <t>Frete de venda (para clientes)</t>
        </is>
      </c>
      <c r="D347" t="inlineStr">
        <is>
          <t>CT-e</t>
        </is>
      </c>
      <c r="E347" t="inlineStr">
        <is>
          <t>000003169</t>
        </is>
      </c>
      <c r="F347" t="inlineStr">
        <is>
          <t>R&amp;R TRANSPORTE E LOGISTICA</t>
        </is>
      </c>
      <c r="G347" s="27" t="n">
        <v>45611</v>
      </c>
      <c r="H347" s="14" t="n">
        <v>185</v>
      </c>
      <c r="I347" s="14" t="n">
        <v>0</v>
      </c>
      <c r="J347" s="14" t="n">
        <v>0</v>
      </c>
      <c r="K347" s="14" t="n">
        <v>0</v>
      </c>
      <c r="L347" s="14" t="n">
        <v>0</v>
      </c>
      <c r="M347" s="14">
        <f>IF(B347="Frete de venda",0,(1-ISNUMBER(SEARCH("556",P347)))*(I347*VLOOKUP($B347,Premissas!$A$4:$E$7,2,0)+J347*VLOOKUP($B347,Premissas!$A$4:$E$7,3,0))+K347*VLOOKUP($B347,Premissas!$A$4:$E$7,4,0)+L347*VLOOKUP($B347,Premissas!$A$4:$E$7,5,0))</f>
        <v/>
      </c>
      <c r="N347" s="14">
        <f>H347-M347</f>
        <v/>
      </c>
      <c r="O347" t="inlineStr">
        <is>
          <t>Não</t>
        </is>
      </c>
      <c r="P347" t="inlineStr">
        <is>
          <t>1.350</t>
        </is>
      </c>
    </row>
    <row r="348">
      <c r="A348" t="inlineStr">
        <is>
          <t>Antes de 2026</t>
        </is>
      </c>
      <c r="B348" t="inlineStr">
        <is>
          <t>Frete de venda</t>
        </is>
      </c>
      <c r="C348" t="inlineStr">
        <is>
          <t>Frete de venda (para clientes)</t>
        </is>
      </c>
      <c r="D348" t="inlineStr">
        <is>
          <t>CT-e</t>
        </is>
      </c>
      <c r="E348" t="inlineStr">
        <is>
          <t>000003477</t>
        </is>
      </c>
      <c r="F348" t="inlineStr">
        <is>
          <t>R&amp;R TRANSPORTE E LOGISTICA</t>
        </is>
      </c>
      <c r="G348" s="27" t="n">
        <v>45653</v>
      </c>
      <c r="H348" s="14" t="n">
        <v>174.61</v>
      </c>
      <c r="I348" s="14" t="n">
        <v>0</v>
      </c>
      <c r="J348" s="14" t="n">
        <v>0</v>
      </c>
      <c r="K348" s="14" t="n">
        <v>0</v>
      </c>
      <c r="L348" s="14" t="n">
        <v>0</v>
      </c>
      <c r="M348" s="14">
        <f>IF(B348="Frete de venda",0,(1-ISNUMBER(SEARCH("556",P348)))*(I348*VLOOKUP($B348,Premissas!$A$4:$E$7,2,0)+J348*VLOOKUP($B348,Premissas!$A$4:$E$7,3,0))+K348*VLOOKUP($B348,Premissas!$A$4:$E$7,4,0)+L348*VLOOKUP($B348,Premissas!$A$4:$E$7,5,0))</f>
        <v/>
      </c>
      <c r="N348" s="14">
        <f>H348-M348</f>
        <v/>
      </c>
      <c r="O348" t="inlineStr">
        <is>
          <t>Não</t>
        </is>
      </c>
      <c r="P348" t="inlineStr">
        <is>
          <t>1.350</t>
        </is>
      </c>
    </row>
    <row r="349">
      <c r="A349" t="inlineStr">
        <is>
          <t>Antes de 2026</t>
        </is>
      </c>
      <c r="B349" t="inlineStr">
        <is>
          <t>Frete de venda</t>
        </is>
      </c>
      <c r="C349" t="inlineStr">
        <is>
          <t>Frete de venda (para clientes)</t>
        </is>
      </c>
      <c r="D349" t="inlineStr">
        <is>
          <t>CT-e</t>
        </is>
      </c>
      <c r="E349" t="inlineStr">
        <is>
          <t>000002890</t>
        </is>
      </c>
      <c r="F349" t="inlineStr">
        <is>
          <t>R&amp;R TRANSPORTE E LOGISTICA</t>
        </is>
      </c>
      <c r="G349" s="27" t="n">
        <v>45583</v>
      </c>
      <c r="H349" s="14" t="n">
        <v>490</v>
      </c>
      <c r="I349" s="14" t="n">
        <v>0</v>
      </c>
      <c r="J349" s="14" t="n">
        <v>0</v>
      </c>
      <c r="K349" s="14" t="n">
        <v>0</v>
      </c>
      <c r="L349" s="14" t="n">
        <v>0</v>
      </c>
      <c r="M349" s="14">
        <f>IF(B349="Frete de venda",0,(1-ISNUMBER(SEARCH("556",P349)))*(I349*VLOOKUP($B349,Premissas!$A$4:$E$7,2,0)+J349*VLOOKUP($B349,Premissas!$A$4:$E$7,3,0))+K349*VLOOKUP($B349,Premissas!$A$4:$E$7,4,0)+L349*VLOOKUP($B349,Premissas!$A$4:$E$7,5,0))</f>
        <v/>
      </c>
      <c r="N349" s="14">
        <f>H349-M349</f>
        <v/>
      </c>
      <c r="O349" t="inlineStr">
        <is>
          <t>Não</t>
        </is>
      </c>
      <c r="P349" t="inlineStr">
        <is>
          <t>1.350</t>
        </is>
      </c>
    </row>
    <row r="350">
      <c r="A350" t="inlineStr">
        <is>
          <t>Antes de 2026</t>
        </is>
      </c>
      <c r="B350" t="inlineStr">
        <is>
          <t>Frete de venda</t>
        </is>
      </c>
      <c r="C350" t="inlineStr">
        <is>
          <t>Frete de venda (para clientes)</t>
        </is>
      </c>
      <c r="D350" t="inlineStr">
        <is>
          <t>CT-e</t>
        </is>
      </c>
      <c r="E350" t="inlineStr">
        <is>
          <t>000002981</t>
        </is>
      </c>
      <c r="F350" t="inlineStr">
        <is>
          <t>R&amp;R TRANSPORTE E LOGISTICA</t>
        </is>
      </c>
      <c r="G350" s="27" t="n">
        <v>45590</v>
      </c>
      <c r="H350" s="14" t="n">
        <v>170</v>
      </c>
      <c r="I350" s="14" t="n">
        <v>0</v>
      </c>
      <c r="J350" s="14" t="n">
        <v>0</v>
      </c>
      <c r="K350" s="14" t="n">
        <v>0</v>
      </c>
      <c r="L350" s="14" t="n">
        <v>0</v>
      </c>
      <c r="M350" s="14">
        <f>IF(B350="Frete de venda",0,(1-ISNUMBER(SEARCH("556",P350)))*(I350*VLOOKUP($B350,Premissas!$A$4:$E$7,2,0)+J350*VLOOKUP($B350,Premissas!$A$4:$E$7,3,0))+K350*VLOOKUP($B350,Premissas!$A$4:$E$7,4,0)+L350*VLOOKUP($B350,Premissas!$A$4:$E$7,5,0))</f>
        <v/>
      </c>
      <c r="N350" s="14">
        <f>H350-M350</f>
        <v/>
      </c>
      <c r="O350" t="inlineStr">
        <is>
          <t>Não</t>
        </is>
      </c>
      <c r="P350" t="inlineStr">
        <is>
          <t>1.350</t>
        </is>
      </c>
    </row>
    <row r="351">
      <c r="A351" t="inlineStr">
        <is>
          <t>Antes de 2026</t>
        </is>
      </c>
      <c r="B351" t="inlineStr">
        <is>
          <t>Frete de venda</t>
        </is>
      </c>
      <c r="C351" t="inlineStr">
        <is>
          <t>Frete de venda (para clientes)</t>
        </is>
      </c>
      <c r="D351" t="inlineStr">
        <is>
          <t>CT-e</t>
        </is>
      </c>
      <c r="E351" t="inlineStr">
        <is>
          <t>000003323</t>
        </is>
      </c>
      <c r="F351" t="inlineStr">
        <is>
          <t>R&amp;R TRANSPORTE E LOGISTICA</t>
        </is>
      </c>
      <c r="G351" s="27" t="n">
        <v>45623</v>
      </c>
      <c r="H351" s="14" t="n">
        <v>80</v>
      </c>
      <c r="I351" s="14" t="n">
        <v>0</v>
      </c>
      <c r="J351" s="14" t="n">
        <v>0</v>
      </c>
      <c r="K351" s="14" t="n">
        <v>0</v>
      </c>
      <c r="L351" s="14" t="n">
        <v>0</v>
      </c>
      <c r="M351" s="14">
        <f>IF(B351="Frete de venda",0,(1-ISNUMBER(SEARCH("556",P351)))*(I351*VLOOKUP($B351,Premissas!$A$4:$E$7,2,0)+J351*VLOOKUP($B351,Premissas!$A$4:$E$7,3,0))+K351*VLOOKUP($B351,Premissas!$A$4:$E$7,4,0)+L351*VLOOKUP($B351,Premissas!$A$4:$E$7,5,0))</f>
        <v/>
      </c>
      <c r="N351" s="14">
        <f>H351-M351</f>
        <v/>
      </c>
      <c r="O351" t="inlineStr">
        <is>
          <t>Não</t>
        </is>
      </c>
      <c r="P351" t="inlineStr">
        <is>
          <t>1.350</t>
        </is>
      </c>
    </row>
    <row r="352">
      <c r="A352" t="inlineStr">
        <is>
          <t>Antes de 2026</t>
        </is>
      </c>
      <c r="B352" t="inlineStr">
        <is>
          <t>Frete de venda</t>
        </is>
      </c>
      <c r="C352" t="inlineStr">
        <is>
          <t>Frete de venda (para clientes)</t>
        </is>
      </c>
      <c r="D352" t="inlineStr">
        <is>
          <t>CT-e</t>
        </is>
      </c>
      <c r="E352" t="inlineStr">
        <is>
          <t>000003363</t>
        </is>
      </c>
      <c r="F352" t="inlineStr">
        <is>
          <t>R&amp;R TRANSPORTE E LOGISTICA</t>
        </is>
      </c>
      <c r="G352" s="27" t="n">
        <v>45631</v>
      </c>
      <c r="H352" s="14" t="n">
        <v>42</v>
      </c>
      <c r="I352" s="14" t="n">
        <v>0</v>
      </c>
      <c r="J352" s="14" t="n">
        <v>0</v>
      </c>
      <c r="K352" s="14" t="n">
        <v>0</v>
      </c>
      <c r="L352" s="14" t="n">
        <v>0</v>
      </c>
      <c r="M352" s="14">
        <f>IF(B352="Frete de venda",0,(1-ISNUMBER(SEARCH("556",P352)))*(I352*VLOOKUP($B352,Premissas!$A$4:$E$7,2,0)+J352*VLOOKUP($B352,Premissas!$A$4:$E$7,3,0))+K352*VLOOKUP($B352,Premissas!$A$4:$E$7,4,0)+L352*VLOOKUP($B352,Premissas!$A$4:$E$7,5,0))</f>
        <v/>
      </c>
      <c r="N352" s="14">
        <f>H352-M352</f>
        <v/>
      </c>
      <c r="O352" t="inlineStr">
        <is>
          <t>Não</t>
        </is>
      </c>
      <c r="P352" t="inlineStr">
        <is>
          <t>1.350</t>
        </is>
      </c>
    </row>
    <row r="353">
      <c r="A353" t="inlineStr">
        <is>
          <t>Antes de 2026</t>
        </is>
      </c>
      <c r="B353" t="inlineStr">
        <is>
          <t>Frete de venda</t>
        </is>
      </c>
      <c r="C353" t="inlineStr">
        <is>
          <t>Frete de venda (para clientes)</t>
        </is>
      </c>
      <c r="D353" t="inlineStr">
        <is>
          <t>CT-e</t>
        </is>
      </c>
      <c r="E353" t="inlineStr">
        <is>
          <t>000003165</t>
        </is>
      </c>
      <c r="F353" t="inlineStr">
        <is>
          <t>R&amp;R TRANSPORTE E LOGISTICA</t>
        </is>
      </c>
      <c r="G353" s="27" t="n">
        <v>45611</v>
      </c>
      <c r="H353" s="14" t="n">
        <v>57</v>
      </c>
      <c r="I353" s="14" t="n">
        <v>0</v>
      </c>
      <c r="J353" s="14" t="n">
        <v>0</v>
      </c>
      <c r="K353" s="14" t="n">
        <v>0</v>
      </c>
      <c r="L353" s="14" t="n">
        <v>0</v>
      </c>
      <c r="M353" s="14">
        <f>IF(B353="Frete de venda",0,(1-ISNUMBER(SEARCH("556",P353)))*(I353*VLOOKUP($B353,Premissas!$A$4:$E$7,2,0)+J353*VLOOKUP($B353,Premissas!$A$4:$E$7,3,0))+K353*VLOOKUP($B353,Premissas!$A$4:$E$7,4,0)+L353*VLOOKUP($B353,Premissas!$A$4:$E$7,5,0))</f>
        <v/>
      </c>
      <c r="N353" s="14">
        <f>H353-M353</f>
        <v/>
      </c>
      <c r="O353" t="inlineStr">
        <is>
          <t>Não</t>
        </is>
      </c>
      <c r="P353" t="inlineStr">
        <is>
          <t>1.350</t>
        </is>
      </c>
    </row>
    <row r="354">
      <c r="A354" t="inlineStr">
        <is>
          <t>Antes de 2026</t>
        </is>
      </c>
      <c r="B354" t="inlineStr">
        <is>
          <t>Frete de venda</t>
        </is>
      </c>
      <c r="C354" t="inlineStr">
        <is>
          <t>Frete de venda (para clientes)</t>
        </is>
      </c>
      <c r="D354" t="inlineStr">
        <is>
          <t>CT-e</t>
        </is>
      </c>
      <c r="E354" t="inlineStr">
        <is>
          <t>000003439</t>
        </is>
      </c>
      <c r="F354" t="inlineStr">
        <is>
          <t>R&amp;R TRANSPORTE E LOGISTICA</t>
        </is>
      </c>
      <c r="G354" s="27" t="n">
        <v>45646</v>
      </c>
      <c r="H354" s="14" t="n">
        <v>45.3</v>
      </c>
      <c r="I354" s="14" t="n">
        <v>0</v>
      </c>
      <c r="J354" s="14" t="n">
        <v>0</v>
      </c>
      <c r="K354" s="14" t="n">
        <v>0</v>
      </c>
      <c r="L354" s="14" t="n">
        <v>0</v>
      </c>
      <c r="M354" s="14">
        <f>IF(B354="Frete de venda",0,(1-ISNUMBER(SEARCH("556",P354)))*(I354*VLOOKUP($B354,Premissas!$A$4:$E$7,2,0)+J354*VLOOKUP($B354,Premissas!$A$4:$E$7,3,0))+K354*VLOOKUP($B354,Premissas!$A$4:$E$7,4,0)+L354*VLOOKUP($B354,Premissas!$A$4:$E$7,5,0))</f>
        <v/>
      </c>
      <c r="N354" s="14">
        <f>H354-M354</f>
        <v/>
      </c>
      <c r="O354" t="inlineStr">
        <is>
          <t>Não</t>
        </is>
      </c>
      <c r="P354" t="inlineStr">
        <is>
          <t>1.350</t>
        </is>
      </c>
    </row>
    <row r="355">
      <c r="A355" t="inlineStr">
        <is>
          <t>Antes de 2026</t>
        </is>
      </c>
      <c r="B355" t="inlineStr">
        <is>
          <t>Frete de venda</t>
        </is>
      </c>
      <c r="C355" t="inlineStr">
        <is>
          <t>Frete de venda (para clientes)</t>
        </is>
      </c>
      <c r="D355" t="inlineStr">
        <is>
          <t>CT-e</t>
        </is>
      </c>
      <c r="E355" t="inlineStr">
        <is>
          <t>000003460</t>
        </is>
      </c>
      <c r="F355" t="inlineStr">
        <is>
          <t>R&amp;R TRANSPORTE E LOGISTICA</t>
        </is>
      </c>
      <c r="G355" s="27" t="n">
        <v>45647</v>
      </c>
      <c r="H355" s="14" t="n">
        <v>34</v>
      </c>
      <c r="I355" s="14" t="n">
        <v>0</v>
      </c>
      <c r="J355" s="14" t="n">
        <v>0</v>
      </c>
      <c r="K355" s="14" t="n">
        <v>0</v>
      </c>
      <c r="L355" s="14" t="n">
        <v>0</v>
      </c>
      <c r="M355" s="14">
        <f>IF(B355="Frete de venda",0,(1-ISNUMBER(SEARCH("556",P355)))*(I355*VLOOKUP($B355,Premissas!$A$4:$E$7,2,0)+J355*VLOOKUP($B355,Premissas!$A$4:$E$7,3,0))+K355*VLOOKUP($B355,Premissas!$A$4:$E$7,4,0)+L355*VLOOKUP($B355,Premissas!$A$4:$E$7,5,0))</f>
        <v/>
      </c>
      <c r="N355" s="14">
        <f>H355-M355</f>
        <v/>
      </c>
      <c r="O355" t="inlineStr">
        <is>
          <t>Não</t>
        </is>
      </c>
      <c r="P355" t="inlineStr">
        <is>
          <t>1.350</t>
        </is>
      </c>
    </row>
    <row r="356">
      <c r="A356" t="inlineStr">
        <is>
          <t>Antes de 2026</t>
        </is>
      </c>
      <c r="B356" t="inlineStr">
        <is>
          <t>Frete de venda</t>
        </is>
      </c>
      <c r="C356" t="inlineStr">
        <is>
          <t>Frete de venda (para clientes)</t>
        </is>
      </c>
      <c r="D356" t="inlineStr">
        <is>
          <t>CT-e</t>
        </is>
      </c>
      <c r="E356" t="inlineStr">
        <is>
          <t>000002887</t>
        </is>
      </c>
      <c r="F356" t="inlineStr">
        <is>
          <t>R&amp;R TRANSPORTE E LOGISTICA</t>
        </is>
      </c>
      <c r="G356" s="27" t="n">
        <v>45583</v>
      </c>
      <c r="H356" s="14" t="n">
        <v>200</v>
      </c>
      <c r="I356" s="14" t="n">
        <v>0</v>
      </c>
      <c r="J356" s="14" t="n">
        <v>0</v>
      </c>
      <c r="K356" s="14" t="n">
        <v>0</v>
      </c>
      <c r="L356" s="14" t="n">
        <v>0</v>
      </c>
      <c r="M356" s="14">
        <f>IF(B356="Frete de venda",0,(1-ISNUMBER(SEARCH("556",P356)))*(I356*VLOOKUP($B356,Premissas!$A$4:$E$7,2,0)+J356*VLOOKUP($B356,Premissas!$A$4:$E$7,3,0))+K356*VLOOKUP($B356,Premissas!$A$4:$E$7,4,0)+L356*VLOOKUP($B356,Premissas!$A$4:$E$7,5,0))</f>
        <v/>
      </c>
      <c r="N356" s="14">
        <f>H356-M356</f>
        <v/>
      </c>
      <c r="O356" t="inlineStr">
        <is>
          <t>Não</t>
        </is>
      </c>
      <c r="P356" t="inlineStr">
        <is>
          <t>1.350</t>
        </is>
      </c>
    </row>
    <row r="357">
      <c r="A357" t="inlineStr">
        <is>
          <t>Antes de 2026</t>
        </is>
      </c>
      <c r="B357" t="inlineStr">
        <is>
          <t>Frete de venda</t>
        </is>
      </c>
      <c r="C357" t="inlineStr">
        <is>
          <t>Frete de venda (para clientes)</t>
        </is>
      </c>
      <c r="D357" t="inlineStr">
        <is>
          <t>CT-e</t>
        </is>
      </c>
      <c r="E357" t="inlineStr">
        <is>
          <t>000003466</t>
        </is>
      </c>
      <c r="F357" t="inlineStr">
        <is>
          <t>R&amp;R TRANSPORTE E LOGISTICA</t>
        </is>
      </c>
      <c r="G357" s="27" t="n">
        <v>45649</v>
      </c>
      <c r="H357" s="14" t="n">
        <v>250</v>
      </c>
      <c r="I357" s="14" t="n">
        <v>0</v>
      </c>
      <c r="J357" s="14" t="n">
        <v>0</v>
      </c>
      <c r="K357" s="14" t="n">
        <v>0</v>
      </c>
      <c r="L357" s="14" t="n">
        <v>0</v>
      </c>
      <c r="M357" s="14">
        <f>IF(B357="Frete de venda",0,(1-ISNUMBER(SEARCH("556",P357)))*(I357*VLOOKUP($B357,Premissas!$A$4:$E$7,2,0)+J357*VLOOKUP($B357,Premissas!$A$4:$E$7,3,0))+K357*VLOOKUP($B357,Premissas!$A$4:$E$7,4,0)+L357*VLOOKUP($B357,Premissas!$A$4:$E$7,5,0))</f>
        <v/>
      </c>
      <c r="N357" s="14">
        <f>H357-M357</f>
        <v/>
      </c>
      <c r="O357" t="inlineStr">
        <is>
          <t>Não</t>
        </is>
      </c>
      <c r="P357" t="inlineStr">
        <is>
          <t>1.350</t>
        </is>
      </c>
    </row>
    <row r="358">
      <c r="A358" t="inlineStr">
        <is>
          <t>Antes de 2026</t>
        </is>
      </c>
      <c r="B358" t="inlineStr">
        <is>
          <t>Frete de venda</t>
        </is>
      </c>
      <c r="C358" t="inlineStr">
        <is>
          <t>Frete de venda (para clientes)</t>
        </is>
      </c>
      <c r="D358" t="inlineStr">
        <is>
          <t>CT-e</t>
        </is>
      </c>
      <c r="E358" t="inlineStr">
        <is>
          <t>000003666</t>
        </is>
      </c>
      <c r="F358" t="inlineStr">
        <is>
          <t>R&amp;R TRANSPORTE E LOGISTICA</t>
        </is>
      </c>
      <c r="G358" s="27" t="n">
        <v>45701</v>
      </c>
      <c r="H358" s="14" t="n">
        <v>48</v>
      </c>
      <c r="I358" s="14" t="n">
        <v>0</v>
      </c>
      <c r="J358" s="14" t="n">
        <v>0</v>
      </c>
      <c r="K358" s="14" t="n">
        <v>0</v>
      </c>
      <c r="L358" s="14" t="n">
        <v>0</v>
      </c>
      <c r="M358" s="14">
        <f>IF(B358="Frete de venda",0,(1-ISNUMBER(SEARCH("556",P358)))*(I358*VLOOKUP($B358,Premissas!$A$4:$E$7,2,0)+J358*VLOOKUP($B358,Premissas!$A$4:$E$7,3,0))+K358*VLOOKUP($B358,Premissas!$A$4:$E$7,4,0)+L358*VLOOKUP($B358,Premissas!$A$4:$E$7,5,0))</f>
        <v/>
      </c>
      <c r="N358" s="14">
        <f>H358-M358</f>
        <v/>
      </c>
      <c r="O358" t="inlineStr">
        <is>
          <t>Não</t>
        </is>
      </c>
      <c r="P358" t="inlineStr">
        <is>
          <t>1.350</t>
        </is>
      </c>
    </row>
    <row r="359">
      <c r="A359" t="inlineStr">
        <is>
          <t>Antes de 2026</t>
        </is>
      </c>
      <c r="B359" t="inlineStr">
        <is>
          <t>Frete de venda</t>
        </is>
      </c>
      <c r="C359" t="inlineStr">
        <is>
          <t>Frete de venda (para clientes)</t>
        </is>
      </c>
      <c r="D359" t="inlineStr">
        <is>
          <t>CT-e</t>
        </is>
      </c>
      <c r="E359" t="inlineStr">
        <is>
          <t>000003561</t>
        </is>
      </c>
      <c r="F359" t="inlineStr">
        <is>
          <t>R&amp;R TRANSPORTE E LOGISTICA</t>
        </is>
      </c>
      <c r="G359" s="27" t="n">
        <v>45678</v>
      </c>
      <c r="H359" s="14" t="n">
        <v>28</v>
      </c>
      <c r="I359" s="14" t="n">
        <v>0</v>
      </c>
      <c r="J359" s="14" t="n">
        <v>0</v>
      </c>
      <c r="K359" s="14" t="n">
        <v>0</v>
      </c>
      <c r="L359" s="14" t="n">
        <v>0</v>
      </c>
      <c r="M359" s="14">
        <f>IF(B359="Frete de venda",0,(1-ISNUMBER(SEARCH("556",P359)))*(I359*VLOOKUP($B359,Premissas!$A$4:$E$7,2,0)+J359*VLOOKUP($B359,Premissas!$A$4:$E$7,3,0))+K359*VLOOKUP($B359,Premissas!$A$4:$E$7,4,0)+L359*VLOOKUP($B359,Premissas!$A$4:$E$7,5,0))</f>
        <v/>
      </c>
      <c r="N359" s="14">
        <f>H359-M359</f>
        <v/>
      </c>
      <c r="O359" t="inlineStr">
        <is>
          <t>Não</t>
        </is>
      </c>
      <c r="P359" t="inlineStr">
        <is>
          <t>1.350</t>
        </is>
      </c>
    </row>
    <row r="360">
      <c r="A360" t="inlineStr">
        <is>
          <t>Antes de 2026</t>
        </is>
      </c>
      <c r="B360" t="inlineStr">
        <is>
          <t>Frete de venda</t>
        </is>
      </c>
      <c r="C360" t="inlineStr">
        <is>
          <t>Frete de venda (para clientes)</t>
        </is>
      </c>
      <c r="D360" t="inlineStr">
        <is>
          <t>CT-e</t>
        </is>
      </c>
      <c r="E360" t="inlineStr">
        <is>
          <t>000003873</t>
        </is>
      </c>
      <c r="F360" t="inlineStr">
        <is>
          <t>R&amp;R TRANSPORTE E LOGISTICA</t>
        </is>
      </c>
      <c r="G360" s="27" t="n">
        <v>45736</v>
      </c>
      <c r="H360" s="14" t="n">
        <v>82.26000000000001</v>
      </c>
      <c r="I360" s="14" t="n">
        <v>0</v>
      </c>
      <c r="J360" s="14" t="n">
        <v>0</v>
      </c>
      <c r="K360" s="14" t="n">
        <v>0</v>
      </c>
      <c r="L360" s="14" t="n">
        <v>0</v>
      </c>
      <c r="M360" s="14">
        <f>IF(B360="Frete de venda",0,(1-ISNUMBER(SEARCH("556",P360)))*(I360*VLOOKUP($B360,Premissas!$A$4:$E$7,2,0)+J360*VLOOKUP($B360,Premissas!$A$4:$E$7,3,0))+K360*VLOOKUP($B360,Premissas!$A$4:$E$7,4,0)+L360*VLOOKUP($B360,Premissas!$A$4:$E$7,5,0))</f>
        <v/>
      </c>
      <c r="N360" s="14">
        <f>H360-M360</f>
        <v/>
      </c>
      <c r="O360" t="inlineStr">
        <is>
          <t>Não</t>
        </is>
      </c>
      <c r="P360" t="inlineStr">
        <is>
          <t>1.350</t>
        </is>
      </c>
    </row>
    <row r="361">
      <c r="A361" t="inlineStr">
        <is>
          <t>Antes de 2026</t>
        </is>
      </c>
      <c r="B361" t="inlineStr">
        <is>
          <t>Frete de venda</t>
        </is>
      </c>
      <c r="C361" t="inlineStr">
        <is>
          <t>Frete de venda (para clientes)</t>
        </is>
      </c>
      <c r="D361" t="inlineStr">
        <is>
          <t>CT-e</t>
        </is>
      </c>
      <c r="E361" t="inlineStr">
        <is>
          <t>000003738</t>
        </is>
      </c>
      <c r="F361" t="inlineStr">
        <is>
          <t>R&amp;R TRANSPORTE E LOGISTICA</t>
        </is>
      </c>
      <c r="G361" s="27" t="n">
        <v>45710</v>
      </c>
      <c r="H361" s="14" t="n">
        <v>30</v>
      </c>
      <c r="I361" s="14" t="n">
        <v>0</v>
      </c>
      <c r="J361" s="14" t="n">
        <v>0</v>
      </c>
      <c r="K361" s="14" t="n">
        <v>0</v>
      </c>
      <c r="L361" s="14" t="n">
        <v>0</v>
      </c>
      <c r="M361" s="14">
        <f>IF(B361="Frete de venda",0,(1-ISNUMBER(SEARCH("556",P361)))*(I361*VLOOKUP($B361,Premissas!$A$4:$E$7,2,0)+J361*VLOOKUP($B361,Premissas!$A$4:$E$7,3,0))+K361*VLOOKUP($B361,Premissas!$A$4:$E$7,4,0)+L361*VLOOKUP($B361,Premissas!$A$4:$E$7,5,0))</f>
        <v/>
      </c>
      <c r="N361" s="14">
        <f>H361-M361</f>
        <v/>
      </c>
      <c r="O361" t="inlineStr">
        <is>
          <t>Não</t>
        </is>
      </c>
      <c r="P361" t="inlineStr">
        <is>
          <t>1.350</t>
        </is>
      </c>
    </row>
    <row r="362">
      <c r="A362" t="inlineStr">
        <is>
          <t>Antes de 2026</t>
        </is>
      </c>
      <c r="B362" t="inlineStr">
        <is>
          <t>Frete de venda</t>
        </is>
      </c>
      <c r="C362" t="inlineStr">
        <is>
          <t>Frete de venda (para clientes)</t>
        </is>
      </c>
      <c r="D362" t="inlineStr">
        <is>
          <t>CT-e</t>
        </is>
      </c>
      <c r="E362" t="inlineStr">
        <is>
          <t>000003740</t>
        </is>
      </c>
      <c r="F362" t="inlineStr">
        <is>
          <t>R&amp;R TRANSPORTE E LOGISTICA</t>
        </is>
      </c>
      <c r="G362" s="27" t="n">
        <v>45710</v>
      </c>
      <c r="H362" s="14" t="n">
        <v>30</v>
      </c>
      <c r="I362" s="14" t="n">
        <v>0</v>
      </c>
      <c r="J362" s="14" t="n">
        <v>0</v>
      </c>
      <c r="K362" s="14" t="n">
        <v>0</v>
      </c>
      <c r="L362" s="14" t="n">
        <v>0</v>
      </c>
      <c r="M362" s="14">
        <f>IF(B362="Frete de venda",0,(1-ISNUMBER(SEARCH("556",P362)))*(I362*VLOOKUP($B362,Premissas!$A$4:$E$7,2,0)+J362*VLOOKUP($B362,Premissas!$A$4:$E$7,3,0))+K362*VLOOKUP($B362,Premissas!$A$4:$E$7,4,0)+L362*VLOOKUP($B362,Premissas!$A$4:$E$7,5,0))</f>
        <v/>
      </c>
      <c r="N362" s="14">
        <f>H362-M362</f>
        <v/>
      </c>
      <c r="O362" t="inlineStr">
        <is>
          <t>Não</t>
        </is>
      </c>
      <c r="P362" t="inlineStr">
        <is>
          <t>1.350</t>
        </is>
      </c>
    </row>
    <row r="363">
      <c r="A363" t="inlineStr">
        <is>
          <t>Antes de 2026</t>
        </is>
      </c>
      <c r="B363" t="inlineStr">
        <is>
          <t>Frete de venda</t>
        </is>
      </c>
      <c r="C363" t="inlineStr">
        <is>
          <t>Frete de venda (para clientes)</t>
        </is>
      </c>
      <c r="D363" t="inlineStr">
        <is>
          <t>CT-e</t>
        </is>
      </c>
      <c r="E363" t="inlineStr">
        <is>
          <t>000003742</t>
        </is>
      </c>
      <c r="F363" t="inlineStr">
        <is>
          <t>R&amp;R TRANSPORTE E LOGISTICA</t>
        </is>
      </c>
      <c r="G363" s="27" t="n">
        <v>45710</v>
      </c>
      <c r="H363" s="14" t="n">
        <v>30</v>
      </c>
      <c r="I363" s="14" t="n">
        <v>0</v>
      </c>
      <c r="J363" s="14" t="n">
        <v>0</v>
      </c>
      <c r="K363" s="14" t="n">
        <v>0</v>
      </c>
      <c r="L363" s="14" t="n">
        <v>0</v>
      </c>
      <c r="M363" s="14">
        <f>IF(B363="Frete de venda",0,(1-ISNUMBER(SEARCH("556",P363)))*(I363*VLOOKUP($B363,Premissas!$A$4:$E$7,2,0)+J363*VLOOKUP($B363,Premissas!$A$4:$E$7,3,0))+K363*VLOOKUP($B363,Premissas!$A$4:$E$7,4,0)+L363*VLOOKUP($B363,Premissas!$A$4:$E$7,5,0))</f>
        <v/>
      </c>
      <c r="N363" s="14">
        <f>H363-M363</f>
        <v/>
      </c>
      <c r="O363" t="inlineStr">
        <is>
          <t>Não</t>
        </is>
      </c>
      <c r="P363" t="inlineStr">
        <is>
          <t>1.350</t>
        </is>
      </c>
    </row>
    <row r="364">
      <c r="A364" t="inlineStr">
        <is>
          <t>Antes de 2026</t>
        </is>
      </c>
      <c r="B364" t="inlineStr">
        <is>
          <t>Frete de venda</t>
        </is>
      </c>
      <c r="C364" t="inlineStr">
        <is>
          <t>Frete de venda (para clientes)</t>
        </is>
      </c>
      <c r="D364" t="inlineStr">
        <is>
          <t>CT-e</t>
        </is>
      </c>
      <c r="E364" t="inlineStr">
        <is>
          <t>000003743</t>
        </is>
      </c>
      <c r="F364" t="inlineStr">
        <is>
          <t>R&amp;R TRANSPORTE E LOGISTICA</t>
        </is>
      </c>
      <c r="G364" s="27" t="n">
        <v>45710</v>
      </c>
      <c r="H364" s="14" t="n">
        <v>30</v>
      </c>
      <c r="I364" s="14" t="n">
        <v>0</v>
      </c>
      <c r="J364" s="14" t="n">
        <v>0</v>
      </c>
      <c r="K364" s="14" t="n">
        <v>0</v>
      </c>
      <c r="L364" s="14" t="n">
        <v>0</v>
      </c>
      <c r="M364" s="14">
        <f>IF(B364="Frete de venda",0,(1-ISNUMBER(SEARCH("556",P364)))*(I364*VLOOKUP($B364,Premissas!$A$4:$E$7,2,0)+J364*VLOOKUP($B364,Premissas!$A$4:$E$7,3,0))+K364*VLOOKUP($B364,Premissas!$A$4:$E$7,4,0)+L364*VLOOKUP($B364,Premissas!$A$4:$E$7,5,0))</f>
        <v/>
      </c>
      <c r="N364" s="14">
        <f>H364-M364</f>
        <v/>
      </c>
      <c r="O364" t="inlineStr">
        <is>
          <t>Não</t>
        </is>
      </c>
      <c r="P364" t="inlineStr">
        <is>
          <t>1.350</t>
        </is>
      </c>
    </row>
    <row r="365">
      <c r="A365" t="inlineStr">
        <is>
          <t>Antes de 2026</t>
        </is>
      </c>
      <c r="B365" t="inlineStr">
        <is>
          <t>Frete de venda</t>
        </is>
      </c>
      <c r="C365" t="inlineStr">
        <is>
          <t>Frete de venda (para clientes)</t>
        </is>
      </c>
      <c r="D365" t="inlineStr">
        <is>
          <t>CT-e</t>
        </is>
      </c>
      <c r="E365" t="inlineStr">
        <is>
          <t>000003639</t>
        </is>
      </c>
      <c r="F365" t="inlineStr">
        <is>
          <t>R&amp;R TRANSPORTE E LOGISTICA</t>
        </is>
      </c>
      <c r="G365" s="27" t="n">
        <v>45694</v>
      </c>
      <c r="H365" s="14" t="n">
        <v>32.98</v>
      </c>
      <c r="I365" s="14" t="n">
        <v>0</v>
      </c>
      <c r="J365" s="14" t="n">
        <v>0</v>
      </c>
      <c r="K365" s="14" t="n">
        <v>0</v>
      </c>
      <c r="L365" s="14" t="n">
        <v>0</v>
      </c>
      <c r="M365" s="14">
        <f>IF(B365="Frete de venda",0,(1-ISNUMBER(SEARCH("556",P365)))*(I365*VLOOKUP($B365,Premissas!$A$4:$E$7,2,0)+J365*VLOOKUP($B365,Premissas!$A$4:$E$7,3,0))+K365*VLOOKUP($B365,Premissas!$A$4:$E$7,4,0)+L365*VLOOKUP($B365,Premissas!$A$4:$E$7,5,0))</f>
        <v/>
      </c>
      <c r="N365" s="14">
        <f>H365-M365</f>
        <v/>
      </c>
      <c r="O365" t="inlineStr">
        <is>
          <t>Não</t>
        </is>
      </c>
      <c r="P365" t="inlineStr">
        <is>
          <t>1.350</t>
        </is>
      </c>
    </row>
    <row r="366">
      <c r="A366" t="inlineStr">
        <is>
          <t>Antes de 2026</t>
        </is>
      </c>
      <c r="B366" t="inlineStr">
        <is>
          <t>Frete de venda</t>
        </is>
      </c>
      <c r="C366" t="inlineStr">
        <is>
          <t>Frete de venda (para clientes)</t>
        </is>
      </c>
      <c r="D366" t="inlineStr">
        <is>
          <t>CT-e</t>
        </is>
      </c>
      <c r="E366" t="inlineStr">
        <is>
          <t>000003509</t>
        </is>
      </c>
      <c r="F366" t="inlineStr">
        <is>
          <t>R&amp;R TRANSPORTE E LOGISTICA</t>
        </is>
      </c>
      <c r="G366" s="27" t="n">
        <v>45666</v>
      </c>
      <c r="H366" s="14" t="n">
        <v>34</v>
      </c>
      <c r="I366" s="14" t="n">
        <v>0</v>
      </c>
      <c r="J366" s="14" t="n">
        <v>0</v>
      </c>
      <c r="K366" s="14" t="n">
        <v>0</v>
      </c>
      <c r="L366" s="14" t="n">
        <v>0</v>
      </c>
      <c r="M366" s="14">
        <f>IF(B366="Frete de venda",0,(1-ISNUMBER(SEARCH("556",P366)))*(I366*VLOOKUP($B366,Premissas!$A$4:$E$7,2,0)+J366*VLOOKUP($B366,Premissas!$A$4:$E$7,3,0))+K366*VLOOKUP($B366,Premissas!$A$4:$E$7,4,0)+L366*VLOOKUP($B366,Premissas!$A$4:$E$7,5,0))</f>
        <v/>
      </c>
      <c r="N366" s="14">
        <f>H366-M366</f>
        <v/>
      </c>
      <c r="O366" t="inlineStr">
        <is>
          <t>Não</t>
        </is>
      </c>
      <c r="P366" t="inlineStr">
        <is>
          <t>1.350</t>
        </is>
      </c>
    </row>
    <row r="367">
      <c r="A367" t="inlineStr">
        <is>
          <t>Antes de 2026</t>
        </is>
      </c>
      <c r="B367" t="inlineStr">
        <is>
          <t>Frete de venda</t>
        </is>
      </c>
      <c r="C367" t="inlineStr">
        <is>
          <t>Frete de venda (para clientes)</t>
        </is>
      </c>
      <c r="D367" t="inlineStr">
        <is>
          <t>CT-e</t>
        </is>
      </c>
      <c r="E367" t="inlineStr">
        <is>
          <t>000003830</t>
        </is>
      </c>
      <c r="F367" t="inlineStr">
        <is>
          <t>R&amp;R TRANSPORTE E LOGISTICA</t>
        </is>
      </c>
      <c r="G367" s="27" t="n">
        <v>45730</v>
      </c>
      <c r="H367" s="14" t="n">
        <v>78.28</v>
      </c>
      <c r="I367" s="14" t="n">
        <v>0</v>
      </c>
      <c r="J367" s="14" t="n">
        <v>0</v>
      </c>
      <c r="K367" s="14" t="n">
        <v>0</v>
      </c>
      <c r="L367" s="14" t="n">
        <v>0</v>
      </c>
      <c r="M367" s="14">
        <f>IF(B367="Frete de venda",0,(1-ISNUMBER(SEARCH("556",P367)))*(I367*VLOOKUP($B367,Premissas!$A$4:$E$7,2,0)+J367*VLOOKUP($B367,Premissas!$A$4:$E$7,3,0))+K367*VLOOKUP($B367,Premissas!$A$4:$E$7,4,0)+L367*VLOOKUP($B367,Premissas!$A$4:$E$7,5,0))</f>
        <v/>
      </c>
      <c r="N367" s="14">
        <f>H367-M367</f>
        <v/>
      </c>
      <c r="O367" t="inlineStr">
        <is>
          <t>Não</t>
        </is>
      </c>
      <c r="P367" t="inlineStr">
        <is>
          <t>1.350</t>
        </is>
      </c>
    </row>
    <row r="368">
      <c r="A368" t="inlineStr">
        <is>
          <t>Antes de 2026</t>
        </is>
      </c>
      <c r="B368" t="inlineStr">
        <is>
          <t>Frete de venda</t>
        </is>
      </c>
      <c r="C368" t="inlineStr">
        <is>
          <t>Frete de venda (para clientes)</t>
        </is>
      </c>
      <c r="D368" t="inlineStr">
        <is>
          <t>CT-e</t>
        </is>
      </c>
      <c r="E368" t="inlineStr">
        <is>
          <t>000003626</t>
        </is>
      </c>
      <c r="F368" t="inlineStr">
        <is>
          <t>R&amp;R TRANSPORTE E LOGISTICA</t>
        </is>
      </c>
      <c r="G368" s="27" t="n">
        <v>45688</v>
      </c>
      <c r="H368" s="14" t="n">
        <v>825</v>
      </c>
      <c r="I368" s="14" t="n">
        <v>0</v>
      </c>
      <c r="J368" s="14" t="n">
        <v>0</v>
      </c>
      <c r="K368" s="14" t="n">
        <v>0</v>
      </c>
      <c r="L368" s="14" t="n">
        <v>0</v>
      </c>
      <c r="M368" s="14">
        <f>IF(B368="Frete de venda",0,(1-ISNUMBER(SEARCH("556",P368)))*(I368*VLOOKUP($B368,Premissas!$A$4:$E$7,2,0)+J368*VLOOKUP($B368,Premissas!$A$4:$E$7,3,0))+K368*VLOOKUP($B368,Premissas!$A$4:$E$7,4,0)+L368*VLOOKUP($B368,Premissas!$A$4:$E$7,5,0))</f>
        <v/>
      </c>
      <c r="N368" s="14">
        <f>H368-M368</f>
        <v/>
      </c>
      <c r="O368" t="inlineStr">
        <is>
          <t>Não</t>
        </is>
      </c>
      <c r="P368" t="inlineStr">
        <is>
          <t>1.350</t>
        </is>
      </c>
    </row>
    <row r="369">
      <c r="A369" t="inlineStr">
        <is>
          <t>Antes de 2026</t>
        </is>
      </c>
      <c r="B369" t="inlineStr">
        <is>
          <t>Frete de venda</t>
        </is>
      </c>
      <c r="C369" t="inlineStr">
        <is>
          <t>Frete de venda (para clientes)</t>
        </is>
      </c>
      <c r="D369" t="inlineStr">
        <is>
          <t>CT-e</t>
        </is>
      </c>
      <c r="E369" t="inlineStr">
        <is>
          <t>000003797</t>
        </is>
      </c>
      <c r="F369" t="inlineStr">
        <is>
          <t>R&amp;R TRANSPORTE E LOGISTICA</t>
        </is>
      </c>
      <c r="G369" s="27" t="n">
        <v>45721</v>
      </c>
      <c r="H369" s="14" t="n">
        <v>1000</v>
      </c>
      <c r="I369" s="14" t="n">
        <v>0</v>
      </c>
      <c r="J369" s="14" t="n">
        <v>0</v>
      </c>
      <c r="K369" s="14" t="n">
        <v>0</v>
      </c>
      <c r="L369" s="14" t="n">
        <v>0</v>
      </c>
      <c r="M369" s="14">
        <f>IF(B369="Frete de venda",0,(1-ISNUMBER(SEARCH("556",P369)))*(I369*VLOOKUP($B369,Premissas!$A$4:$E$7,2,0)+J369*VLOOKUP($B369,Premissas!$A$4:$E$7,3,0))+K369*VLOOKUP($B369,Premissas!$A$4:$E$7,4,0)+L369*VLOOKUP($B369,Premissas!$A$4:$E$7,5,0))</f>
        <v/>
      </c>
      <c r="N369" s="14">
        <f>H369-M369</f>
        <v/>
      </c>
      <c r="O369" t="inlineStr">
        <is>
          <t>Não</t>
        </is>
      </c>
      <c r="P369" t="inlineStr">
        <is>
          <t>1.350</t>
        </is>
      </c>
    </row>
    <row r="370">
      <c r="A370" t="inlineStr">
        <is>
          <t>Antes de 2026</t>
        </is>
      </c>
      <c r="B370" t="inlineStr">
        <is>
          <t>Frete de venda</t>
        </is>
      </c>
      <c r="C370" t="inlineStr">
        <is>
          <t>Frete de venda (para clientes)</t>
        </is>
      </c>
      <c r="D370" t="inlineStr">
        <is>
          <t>CT-e</t>
        </is>
      </c>
      <c r="E370" t="inlineStr">
        <is>
          <t>000003733</t>
        </is>
      </c>
      <c r="F370" t="inlineStr">
        <is>
          <t>R&amp;R TRANSPORTE E LOGISTICA</t>
        </is>
      </c>
      <c r="G370" s="27" t="n">
        <v>45709</v>
      </c>
      <c r="H370" s="14" t="n">
        <v>43.22</v>
      </c>
      <c r="I370" s="14" t="n">
        <v>0</v>
      </c>
      <c r="J370" s="14" t="n">
        <v>0</v>
      </c>
      <c r="K370" s="14" t="n">
        <v>0</v>
      </c>
      <c r="L370" s="14" t="n">
        <v>0</v>
      </c>
      <c r="M370" s="14">
        <f>IF(B370="Frete de venda",0,(1-ISNUMBER(SEARCH("556",P370)))*(I370*VLOOKUP($B370,Premissas!$A$4:$E$7,2,0)+J370*VLOOKUP($B370,Premissas!$A$4:$E$7,3,0))+K370*VLOOKUP($B370,Premissas!$A$4:$E$7,4,0)+L370*VLOOKUP($B370,Premissas!$A$4:$E$7,5,0))</f>
        <v/>
      </c>
      <c r="N370" s="14">
        <f>H370-M370</f>
        <v/>
      </c>
      <c r="O370" t="inlineStr">
        <is>
          <t>Não</t>
        </is>
      </c>
      <c r="P370" t="inlineStr">
        <is>
          <t>1.350</t>
        </is>
      </c>
    </row>
    <row r="371">
      <c r="A371" t="inlineStr">
        <is>
          <t>Antes de 2026</t>
        </is>
      </c>
      <c r="B371" t="inlineStr">
        <is>
          <t>Frete de venda</t>
        </is>
      </c>
      <c r="C371" t="inlineStr">
        <is>
          <t>Frete de venda (para clientes)</t>
        </is>
      </c>
      <c r="D371" t="inlineStr">
        <is>
          <t>CT-e</t>
        </is>
      </c>
      <c r="E371" t="inlineStr">
        <is>
          <t>000003766</t>
        </is>
      </c>
      <c r="F371" t="inlineStr">
        <is>
          <t>R&amp;R TRANSPORTE E LOGISTICA</t>
        </is>
      </c>
      <c r="G371" s="27" t="n">
        <v>45716</v>
      </c>
      <c r="H371" s="14" t="n">
        <v>70.17</v>
      </c>
      <c r="I371" s="14" t="n">
        <v>0</v>
      </c>
      <c r="J371" s="14" t="n">
        <v>0</v>
      </c>
      <c r="K371" s="14" t="n">
        <v>0</v>
      </c>
      <c r="L371" s="14" t="n">
        <v>0</v>
      </c>
      <c r="M371" s="14">
        <f>IF(B371="Frete de venda",0,(1-ISNUMBER(SEARCH("556",P371)))*(I371*VLOOKUP($B371,Premissas!$A$4:$E$7,2,0)+J371*VLOOKUP($B371,Premissas!$A$4:$E$7,3,0))+K371*VLOOKUP($B371,Premissas!$A$4:$E$7,4,0)+L371*VLOOKUP($B371,Premissas!$A$4:$E$7,5,0))</f>
        <v/>
      </c>
      <c r="N371" s="14">
        <f>H371-M371</f>
        <v/>
      </c>
      <c r="O371" t="inlineStr">
        <is>
          <t>Não</t>
        </is>
      </c>
      <c r="P371" t="inlineStr">
        <is>
          <t>1.350</t>
        </is>
      </c>
    </row>
    <row r="372">
      <c r="A372" t="inlineStr">
        <is>
          <t>Antes de 2026</t>
        </is>
      </c>
      <c r="B372" t="inlineStr">
        <is>
          <t>Frete de venda</t>
        </is>
      </c>
      <c r="C372" t="inlineStr">
        <is>
          <t>Frete de venda (para clientes)</t>
        </is>
      </c>
      <c r="D372" t="inlineStr">
        <is>
          <t>CT-e</t>
        </is>
      </c>
      <c r="E372" t="inlineStr">
        <is>
          <t>000003876</t>
        </is>
      </c>
      <c r="F372" t="inlineStr">
        <is>
          <t>R&amp;R TRANSPORTE E LOGISTICA</t>
        </is>
      </c>
      <c r="G372" s="27" t="n">
        <v>45736</v>
      </c>
      <c r="H372" s="14" t="n">
        <v>33.85</v>
      </c>
      <c r="I372" s="14" t="n">
        <v>0</v>
      </c>
      <c r="J372" s="14" t="n">
        <v>0</v>
      </c>
      <c r="K372" s="14" t="n">
        <v>0</v>
      </c>
      <c r="L372" s="14" t="n">
        <v>0</v>
      </c>
      <c r="M372" s="14">
        <f>IF(B372="Frete de venda",0,(1-ISNUMBER(SEARCH("556",P372)))*(I372*VLOOKUP($B372,Premissas!$A$4:$E$7,2,0)+J372*VLOOKUP($B372,Premissas!$A$4:$E$7,3,0))+K372*VLOOKUP($B372,Premissas!$A$4:$E$7,4,0)+L372*VLOOKUP($B372,Premissas!$A$4:$E$7,5,0))</f>
        <v/>
      </c>
      <c r="N372" s="14">
        <f>H372-M372</f>
        <v/>
      </c>
      <c r="O372" t="inlineStr">
        <is>
          <t>Não</t>
        </is>
      </c>
      <c r="P372" t="inlineStr">
        <is>
          <t>1.350</t>
        </is>
      </c>
    </row>
    <row r="373">
      <c r="A373" t="inlineStr">
        <is>
          <t>Antes de 2026</t>
        </is>
      </c>
      <c r="B373" t="inlineStr">
        <is>
          <t>Frete de venda</t>
        </is>
      </c>
      <c r="C373" t="inlineStr">
        <is>
          <t>Frete de venda (para clientes)</t>
        </is>
      </c>
      <c r="D373" t="inlineStr">
        <is>
          <t>CT-e</t>
        </is>
      </c>
      <c r="E373" t="inlineStr">
        <is>
          <t>000003560</t>
        </is>
      </c>
      <c r="F373" t="inlineStr">
        <is>
          <t>R&amp;R TRANSPORTE E LOGISTICA</t>
        </is>
      </c>
      <c r="G373" s="27" t="n">
        <v>45678</v>
      </c>
      <c r="H373" s="14" t="n">
        <v>40</v>
      </c>
      <c r="I373" s="14" t="n">
        <v>0</v>
      </c>
      <c r="J373" s="14" t="n">
        <v>0</v>
      </c>
      <c r="K373" s="14" t="n">
        <v>0</v>
      </c>
      <c r="L373" s="14" t="n">
        <v>0</v>
      </c>
      <c r="M373" s="14">
        <f>IF(B373="Frete de venda",0,(1-ISNUMBER(SEARCH("556",P373)))*(I373*VLOOKUP($B373,Premissas!$A$4:$E$7,2,0)+J373*VLOOKUP($B373,Premissas!$A$4:$E$7,3,0))+K373*VLOOKUP($B373,Premissas!$A$4:$E$7,4,0)+L373*VLOOKUP($B373,Premissas!$A$4:$E$7,5,0))</f>
        <v/>
      </c>
      <c r="N373" s="14">
        <f>H373-M373</f>
        <v/>
      </c>
      <c r="O373" t="inlineStr">
        <is>
          <t>Não</t>
        </is>
      </c>
      <c r="P373" t="inlineStr">
        <is>
          <t>1.350</t>
        </is>
      </c>
    </row>
    <row r="374">
      <c r="A374" t="inlineStr">
        <is>
          <t>Antes de 2026</t>
        </is>
      </c>
      <c r="B374" t="inlineStr">
        <is>
          <t>Frete de venda</t>
        </is>
      </c>
      <c r="C374" t="inlineStr">
        <is>
          <t>Frete de venda (para clientes)</t>
        </is>
      </c>
      <c r="D374" t="inlineStr">
        <is>
          <t>CT-e</t>
        </is>
      </c>
      <c r="E374" t="inlineStr">
        <is>
          <t>000003764</t>
        </is>
      </c>
      <c r="F374" t="inlineStr">
        <is>
          <t>R&amp;R TRANSPORTE E LOGISTICA</t>
        </is>
      </c>
      <c r="G374" s="27" t="n">
        <v>45715</v>
      </c>
      <c r="H374" s="14" t="n">
        <v>63.58</v>
      </c>
      <c r="I374" s="14" t="n">
        <v>0</v>
      </c>
      <c r="J374" s="14" t="n">
        <v>0</v>
      </c>
      <c r="K374" s="14" t="n">
        <v>0</v>
      </c>
      <c r="L374" s="14" t="n">
        <v>0</v>
      </c>
      <c r="M374" s="14">
        <f>IF(B374="Frete de venda",0,(1-ISNUMBER(SEARCH("556",P374)))*(I374*VLOOKUP($B374,Premissas!$A$4:$E$7,2,0)+J374*VLOOKUP($B374,Premissas!$A$4:$E$7,3,0))+K374*VLOOKUP($B374,Premissas!$A$4:$E$7,4,0)+L374*VLOOKUP($B374,Premissas!$A$4:$E$7,5,0))</f>
        <v/>
      </c>
      <c r="N374" s="14">
        <f>H374-M374</f>
        <v/>
      </c>
      <c r="O374" t="inlineStr">
        <is>
          <t>Não</t>
        </is>
      </c>
      <c r="P374" t="inlineStr">
        <is>
          <t>1.350</t>
        </is>
      </c>
    </row>
    <row r="375">
      <c r="A375" t="inlineStr">
        <is>
          <t>Antes de 2026</t>
        </is>
      </c>
      <c r="B375" t="inlineStr">
        <is>
          <t>Frete de venda</t>
        </is>
      </c>
      <c r="C375" t="inlineStr">
        <is>
          <t>Frete de venda (para clientes)</t>
        </is>
      </c>
      <c r="D375" t="inlineStr">
        <is>
          <t>CT-e</t>
        </is>
      </c>
      <c r="E375" t="inlineStr">
        <is>
          <t>000000073</t>
        </is>
      </c>
      <c r="F375" t="inlineStr">
        <is>
          <t>ADIL CARLOS DA SILVA</t>
        </is>
      </c>
      <c r="G375" s="27" t="n">
        <v>45667</v>
      </c>
      <c r="H375" s="14" t="n">
        <v>10</v>
      </c>
      <c r="I375" s="14" t="n">
        <v>0</v>
      </c>
      <c r="J375" s="14" t="n">
        <v>0</v>
      </c>
      <c r="K375" s="14" t="n">
        <v>0</v>
      </c>
      <c r="L375" s="14" t="n">
        <v>0</v>
      </c>
      <c r="M375" s="14">
        <f>IF(B375="Frete de venda",0,(1-ISNUMBER(SEARCH("556",P375)))*(I375*VLOOKUP($B375,Premissas!$A$4:$E$7,2,0)+J375*VLOOKUP($B375,Premissas!$A$4:$E$7,3,0))+K375*VLOOKUP($B375,Premissas!$A$4:$E$7,4,0)+L375*VLOOKUP($B375,Premissas!$A$4:$E$7,5,0))</f>
        <v/>
      </c>
      <c r="N375" s="14">
        <f>H375-M375</f>
        <v/>
      </c>
      <c r="O375" t="inlineStr">
        <is>
          <t>Não</t>
        </is>
      </c>
      <c r="P375" t="inlineStr">
        <is>
          <t>2.350</t>
        </is>
      </c>
    </row>
    <row r="376">
      <c r="A376" t="inlineStr">
        <is>
          <t>Antes de 2026</t>
        </is>
      </c>
      <c r="B376" t="inlineStr">
        <is>
          <t>Frete de venda</t>
        </is>
      </c>
      <c r="C376" t="inlineStr">
        <is>
          <t>Frete de venda (para clientes)</t>
        </is>
      </c>
      <c r="D376" t="inlineStr">
        <is>
          <t>CT-e</t>
        </is>
      </c>
      <c r="E376" t="inlineStr">
        <is>
          <t>000003705</t>
        </is>
      </c>
      <c r="F376" t="inlineStr">
        <is>
          <t>R&amp;R TRANSPORTE E LOGISTICA</t>
        </is>
      </c>
      <c r="G376" s="27" t="n">
        <v>45707</v>
      </c>
      <c r="H376" s="14" t="n">
        <v>47</v>
      </c>
      <c r="I376" s="14" t="n">
        <v>0</v>
      </c>
      <c r="J376" s="14" t="n">
        <v>0</v>
      </c>
      <c r="K376" s="14" t="n">
        <v>0</v>
      </c>
      <c r="L376" s="14" t="n">
        <v>0</v>
      </c>
      <c r="M376" s="14">
        <f>IF(B376="Frete de venda",0,(1-ISNUMBER(SEARCH("556",P376)))*(I376*VLOOKUP($B376,Premissas!$A$4:$E$7,2,0)+J376*VLOOKUP($B376,Premissas!$A$4:$E$7,3,0))+K376*VLOOKUP($B376,Premissas!$A$4:$E$7,4,0)+L376*VLOOKUP($B376,Premissas!$A$4:$E$7,5,0))</f>
        <v/>
      </c>
      <c r="N376" s="14">
        <f>H376-M376</f>
        <v/>
      </c>
      <c r="O376" t="inlineStr">
        <is>
          <t>Não</t>
        </is>
      </c>
      <c r="P376" t="inlineStr">
        <is>
          <t>1.350</t>
        </is>
      </c>
    </row>
    <row r="377">
      <c r="A377" t="inlineStr">
        <is>
          <t>Antes de 2026</t>
        </is>
      </c>
      <c r="B377" t="inlineStr">
        <is>
          <t>Frete de venda</t>
        </is>
      </c>
      <c r="C377" t="inlineStr">
        <is>
          <t>Frete de venda (para clientes)</t>
        </is>
      </c>
      <c r="D377" t="inlineStr">
        <is>
          <t>CT-e</t>
        </is>
      </c>
      <c r="E377" t="inlineStr">
        <is>
          <t>000003506</t>
        </is>
      </c>
      <c r="F377" t="inlineStr">
        <is>
          <t>R&amp;R TRANSPORTE E LOGISTICA</t>
        </is>
      </c>
      <c r="G377" s="27" t="n">
        <v>45666</v>
      </c>
      <c r="H377" s="14" t="n">
        <v>89.45</v>
      </c>
      <c r="I377" s="14" t="n">
        <v>0</v>
      </c>
      <c r="J377" s="14" t="n">
        <v>0</v>
      </c>
      <c r="K377" s="14" t="n">
        <v>0</v>
      </c>
      <c r="L377" s="14" t="n">
        <v>0</v>
      </c>
      <c r="M377" s="14">
        <f>IF(B377="Frete de venda",0,(1-ISNUMBER(SEARCH("556",P377)))*(I377*VLOOKUP($B377,Premissas!$A$4:$E$7,2,0)+J377*VLOOKUP($B377,Premissas!$A$4:$E$7,3,0))+K377*VLOOKUP($B377,Premissas!$A$4:$E$7,4,0)+L377*VLOOKUP($B377,Premissas!$A$4:$E$7,5,0))</f>
        <v/>
      </c>
      <c r="N377" s="14">
        <f>H377-M377</f>
        <v/>
      </c>
      <c r="O377" t="inlineStr">
        <is>
          <t>Não</t>
        </is>
      </c>
      <c r="P377" t="inlineStr">
        <is>
          <t>1.350</t>
        </is>
      </c>
    </row>
    <row r="378">
      <c r="A378" t="inlineStr">
        <is>
          <t>Antes de 2026</t>
        </is>
      </c>
      <c r="B378" t="inlineStr">
        <is>
          <t>Frete de venda</t>
        </is>
      </c>
      <c r="C378" t="inlineStr">
        <is>
          <t>Frete de venda (para clientes)</t>
        </is>
      </c>
      <c r="D378" t="inlineStr">
        <is>
          <t>CT-e</t>
        </is>
      </c>
      <c r="E378" t="inlineStr">
        <is>
          <t>000003776</t>
        </is>
      </c>
      <c r="F378" t="inlineStr">
        <is>
          <t>R&amp;R TRANSPORTE E LOGISTICA</t>
        </is>
      </c>
      <c r="G378" s="27" t="n">
        <v>45717</v>
      </c>
      <c r="H378" s="14" t="n">
        <v>47</v>
      </c>
      <c r="I378" s="14" t="n">
        <v>0</v>
      </c>
      <c r="J378" s="14" t="n">
        <v>0</v>
      </c>
      <c r="K378" s="14" t="n">
        <v>0</v>
      </c>
      <c r="L378" s="14" t="n">
        <v>0</v>
      </c>
      <c r="M378" s="14">
        <f>IF(B378="Frete de venda",0,(1-ISNUMBER(SEARCH("556",P378)))*(I378*VLOOKUP($B378,Premissas!$A$4:$E$7,2,0)+J378*VLOOKUP($B378,Premissas!$A$4:$E$7,3,0))+K378*VLOOKUP($B378,Premissas!$A$4:$E$7,4,0)+L378*VLOOKUP($B378,Premissas!$A$4:$E$7,5,0))</f>
        <v/>
      </c>
      <c r="N378" s="14">
        <f>H378-M378</f>
        <v/>
      </c>
      <c r="O378" t="inlineStr">
        <is>
          <t>Não</t>
        </is>
      </c>
      <c r="P378" t="inlineStr">
        <is>
          <t>1.350</t>
        </is>
      </c>
    </row>
    <row r="379">
      <c r="A379" t="inlineStr">
        <is>
          <t>Antes de 2026</t>
        </is>
      </c>
      <c r="B379" t="inlineStr">
        <is>
          <t>Frete de venda</t>
        </is>
      </c>
      <c r="C379" t="inlineStr">
        <is>
          <t>Frete de venda (para clientes)</t>
        </is>
      </c>
      <c r="D379" t="inlineStr">
        <is>
          <t>CT-e</t>
        </is>
      </c>
      <c r="E379" t="inlineStr">
        <is>
          <t>000003777</t>
        </is>
      </c>
      <c r="F379" t="inlineStr">
        <is>
          <t>R&amp;R TRANSPORTE E LOGISTICA</t>
        </is>
      </c>
      <c r="G379" s="27" t="n">
        <v>45717</v>
      </c>
      <c r="H379" s="14" t="n">
        <v>19</v>
      </c>
      <c r="I379" s="14" t="n">
        <v>0</v>
      </c>
      <c r="J379" s="14" t="n">
        <v>0</v>
      </c>
      <c r="K379" s="14" t="n">
        <v>0</v>
      </c>
      <c r="L379" s="14" t="n">
        <v>0</v>
      </c>
      <c r="M379" s="14">
        <f>IF(B379="Frete de venda",0,(1-ISNUMBER(SEARCH("556",P379)))*(I379*VLOOKUP($B379,Premissas!$A$4:$E$7,2,0)+J379*VLOOKUP($B379,Premissas!$A$4:$E$7,3,0))+K379*VLOOKUP($B379,Premissas!$A$4:$E$7,4,0)+L379*VLOOKUP($B379,Premissas!$A$4:$E$7,5,0))</f>
        <v/>
      </c>
      <c r="N379" s="14">
        <f>H379-M379</f>
        <v/>
      </c>
      <c r="O379" t="inlineStr">
        <is>
          <t>Não</t>
        </is>
      </c>
      <c r="P379" t="inlineStr">
        <is>
          <t>1.350</t>
        </is>
      </c>
    </row>
    <row r="380">
      <c r="A380" t="inlineStr">
        <is>
          <t>Antes de 2026</t>
        </is>
      </c>
      <c r="B380" t="inlineStr">
        <is>
          <t>Frete de venda</t>
        </is>
      </c>
      <c r="C380" t="inlineStr">
        <is>
          <t>Frete de venda (para clientes)</t>
        </is>
      </c>
      <c r="D380" t="inlineStr">
        <is>
          <t>CT-e</t>
        </is>
      </c>
      <c r="E380" t="inlineStr">
        <is>
          <t>000003892</t>
        </is>
      </c>
      <c r="F380" t="inlineStr">
        <is>
          <t>R&amp;R TRANSPORTE E LOGISTICA</t>
        </is>
      </c>
      <c r="G380" s="27" t="n">
        <v>45738</v>
      </c>
      <c r="H380" s="14" t="n">
        <v>54</v>
      </c>
      <c r="I380" s="14" t="n">
        <v>0</v>
      </c>
      <c r="J380" s="14" t="n">
        <v>0</v>
      </c>
      <c r="K380" s="14" t="n">
        <v>0</v>
      </c>
      <c r="L380" s="14" t="n">
        <v>0</v>
      </c>
      <c r="M380" s="14">
        <f>IF(B380="Frete de venda",0,(1-ISNUMBER(SEARCH("556",P380)))*(I380*VLOOKUP($B380,Premissas!$A$4:$E$7,2,0)+J380*VLOOKUP($B380,Premissas!$A$4:$E$7,3,0))+K380*VLOOKUP($B380,Premissas!$A$4:$E$7,4,0)+L380*VLOOKUP($B380,Premissas!$A$4:$E$7,5,0))</f>
        <v/>
      </c>
      <c r="N380" s="14">
        <f>H380-M380</f>
        <v/>
      </c>
      <c r="O380" t="inlineStr">
        <is>
          <t>Não</t>
        </is>
      </c>
      <c r="P380" t="inlineStr">
        <is>
          <t>1.350</t>
        </is>
      </c>
    </row>
    <row r="381">
      <c r="A381" t="inlineStr">
        <is>
          <t>Antes de 2026</t>
        </is>
      </c>
      <c r="B381" t="inlineStr">
        <is>
          <t>Frete de venda</t>
        </is>
      </c>
      <c r="C381" t="inlineStr">
        <is>
          <t>Frete de venda (para clientes)</t>
        </is>
      </c>
      <c r="D381" t="inlineStr">
        <is>
          <t>CT-e</t>
        </is>
      </c>
      <c r="E381" t="inlineStr">
        <is>
          <t>000003706</t>
        </is>
      </c>
      <c r="F381" t="inlineStr">
        <is>
          <t>R&amp;R TRANSPORTE E LOGISTICA</t>
        </is>
      </c>
      <c r="G381" s="27" t="n">
        <v>45707</v>
      </c>
      <c r="H381" s="14" t="n">
        <v>58</v>
      </c>
      <c r="I381" s="14" t="n">
        <v>0</v>
      </c>
      <c r="J381" s="14" t="n">
        <v>0</v>
      </c>
      <c r="K381" s="14" t="n">
        <v>0</v>
      </c>
      <c r="L381" s="14" t="n">
        <v>0</v>
      </c>
      <c r="M381" s="14">
        <f>IF(B381="Frete de venda",0,(1-ISNUMBER(SEARCH("556",P381)))*(I381*VLOOKUP($B381,Premissas!$A$4:$E$7,2,0)+J381*VLOOKUP($B381,Premissas!$A$4:$E$7,3,0))+K381*VLOOKUP($B381,Premissas!$A$4:$E$7,4,0)+L381*VLOOKUP($B381,Premissas!$A$4:$E$7,5,0))</f>
        <v/>
      </c>
      <c r="N381" s="14">
        <f>H381-M381</f>
        <v/>
      </c>
      <c r="O381" t="inlineStr">
        <is>
          <t>Não</t>
        </is>
      </c>
      <c r="P381" t="inlineStr">
        <is>
          <t>1.350</t>
        </is>
      </c>
    </row>
    <row r="382">
      <c r="A382" t="inlineStr">
        <is>
          <t>Antes de 2026</t>
        </is>
      </c>
      <c r="B382" t="inlineStr">
        <is>
          <t>Frete de venda</t>
        </is>
      </c>
      <c r="C382" t="inlineStr">
        <is>
          <t>Frete de venda (para clientes)</t>
        </is>
      </c>
      <c r="D382" t="inlineStr">
        <is>
          <t>CT-e</t>
        </is>
      </c>
      <c r="E382" t="inlineStr">
        <is>
          <t>000003574</t>
        </is>
      </c>
      <c r="F382" t="inlineStr">
        <is>
          <t>R&amp;R TRANSPORTE E LOGISTICA</t>
        </is>
      </c>
      <c r="G382" s="27" t="n">
        <v>45680</v>
      </c>
      <c r="H382" s="14" t="n">
        <v>300</v>
      </c>
      <c r="I382" s="14" t="n">
        <v>0</v>
      </c>
      <c r="J382" s="14" t="n">
        <v>0</v>
      </c>
      <c r="K382" s="14" t="n">
        <v>0</v>
      </c>
      <c r="L382" s="14" t="n">
        <v>0</v>
      </c>
      <c r="M382" s="14">
        <f>IF(B382="Frete de venda",0,(1-ISNUMBER(SEARCH("556",P382)))*(I382*VLOOKUP($B382,Premissas!$A$4:$E$7,2,0)+J382*VLOOKUP($B382,Premissas!$A$4:$E$7,3,0))+K382*VLOOKUP($B382,Premissas!$A$4:$E$7,4,0)+L382*VLOOKUP($B382,Premissas!$A$4:$E$7,5,0))</f>
        <v/>
      </c>
      <c r="N382" s="14">
        <f>H382-M382</f>
        <v/>
      </c>
      <c r="O382" t="inlineStr">
        <is>
          <t>Não</t>
        </is>
      </c>
      <c r="P382" t="inlineStr">
        <is>
          <t>1.350</t>
        </is>
      </c>
    </row>
    <row r="383">
      <c r="A383" t="inlineStr">
        <is>
          <t>Antes de 2026</t>
        </is>
      </c>
      <c r="B383" t="inlineStr">
        <is>
          <t>Frete de venda</t>
        </is>
      </c>
      <c r="C383" t="inlineStr">
        <is>
          <t>Frete de venda (para clientes)</t>
        </is>
      </c>
      <c r="D383" t="inlineStr">
        <is>
          <t>CT-e</t>
        </is>
      </c>
      <c r="E383" t="inlineStr">
        <is>
          <t>000003669</t>
        </is>
      </c>
      <c r="F383" t="inlineStr">
        <is>
          <t>R&amp;R TRANSPORTE E LOGISTICA</t>
        </is>
      </c>
      <c r="G383" s="27" t="n">
        <v>45701</v>
      </c>
      <c r="H383" s="14" t="n">
        <v>650</v>
      </c>
      <c r="I383" s="14" t="n">
        <v>0</v>
      </c>
      <c r="J383" s="14" t="n">
        <v>0</v>
      </c>
      <c r="K383" s="14" t="n">
        <v>0</v>
      </c>
      <c r="L383" s="14" t="n">
        <v>0</v>
      </c>
      <c r="M383" s="14">
        <f>IF(B383="Frete de venda",0,(1-ISNUMBER(SEARCH("556",P383)))*(I383*VLOOKUP($B383,Premissas!$A$4:$E$7,2,0)+J383*VLOOKUP($B383,Premissas!$A$4:$E$7,3,0))+K383*VLOOKUP($B383,Premissas!$A$4:$E$7,4,0)+L383*VLOOKUP($B383,Premissas!$A$4:$E$7,5,0))</f>
        <v/>
      </c>
      <c r="N383" s="14">
        <f>H383-M383</f>
        <v/>
      </c>
      <c r="O383" t="inlineStr">
        <is>
          <t>Não</t>
        </is>
      </c>
      <c r="P383" t="inlineStr">
        <is>
          <t>1.350</t>
        </is>
      </c>
    </row>
    <row r="384">
      <c r="A384" t="inlineStr">
        <is>
          <t>Antes de 2026</t>
        </is>
      </c>
      <c r="B384" t="inlineStr">
        <is>
          <t>Frete de venda</t>
        </is>
      </c>
      <c r="C384" t="inlineStr">
        <is>
          <t>Frete de venda (para clientes)</t>
        </is>
      </c>
      <c r="D384" t="inlineStr">
        <is>
          <t>CT-e</t>
        </is>
      </c>
      <c r="E384" t="inlineStr">
        <is>
          <t>000003544</t>
        </is>
      </c>
      <c r="F384" t="inlineStr">
        <is>
          <t>R&amp;R TRANSPORTE E LOGISTICA</t>
        </is>
      </c>
      <c r="G384" s="27" t="n">
        <v>45674</v>
      </c>
      <c r="H384" s="14" t="n">
        <v>75</v>
      </c>
      <c r="I384" s="14" t="n">
        <v>0</v>
      </c>
      <c r="J384" s="14" t="n">
        <v>0</v>
      </c>
      <c r="K384" s="14" t="n">
        <v>0</v>
      </c>
      <c r="L384" s="14" t="n">
        <v>0</v>
      </c>
      <c r="M384" s="14">
        <f>IF(B384="Frete de venda",0,(1-ISNUMBER(SEARCH("556",P384)))*(I384*VLOOKUP($B384,Premissas!$A$4:$E$7,2,0)+J384*VLOOKUP($B384,Premissas!$A$4:$E$7,3,0))+K384*VLOOKUP($B384,Premissas!$A$4:$E$7,4,0)+L384*VLOOKUP($B384,Premissas!$A$4:$E$7,5,0))</f>
        <v/>
      </c>
      <c r="N384" s="14">
        <f>H384-M384</f>
        <v/>
      </c>
      <c r="O384" t="inlineStr">
        <is>
          <t>Não</t>
        </is>
      </c>
      <c r="P384" t="inlineStr">
        <is>
          <t>1.350</t>
        </is>
      </c>
    </row>
    <row r="385">
      <c r="A385" t="inlineStr">
        <is>
          <t>Antes de 2026</t>
        </is>
      </c>
      <c r="B385" t="inlineStr">
        <is>
          <t>Frete de venda</t>
        </is>
      </c>
      <c r="C385" t="inlineStr">
        <is>
          <t>Frete de venda (para clientes)</t>
        </is>
      </c>
      <c r="D385" t="inlineStr">
        <is>
          <t>CT-e</t>
        </is>
      </c>
      <c r="E385" t="inlineStr">
        <is>
          <t>000003603</t>
        </is>
      </c>
      <c r="F385" t="inlineStr">
        <is>
          <t>R&amp;R TRANSPORTE E LOGISTICA</t>
        </is>
      </c>
      <c r="G385" s="27" t="n">
        <v>45687</v>
      </c>
      <c r="H385" s="14" t="n">
        <v>37</v>
      </c>
      <c r="I385" s="14" t="n">
        <v>0</v>
      </c>
      <c r="J385" s="14" t="n">
        <v>0</v>
      </c>
      <c r="K385" s="14" t="n">
        <v>0</v>
      </c>
      <c r="L385" s="14" t="n">
        <v>0</v>
      </c>
      <c r="M385" s="14">
        <f>IF(B385="Frete de venda",0,(1-ISNUMBER(SEARCH("556",P385)))*(I385*VLOOKUP($B385,Premissas!$A$4:$E$7,2,0)+J385*VLOOKUP($B385,Premissas!$A$4:$E$7,3,0))+K385*VLOOKUP($B385,Premissas!$A$4:$E$7,4,0)+L385*VLOOKUP($B385,Premissas!$A$4:$E$7,5,0))</f>
        <v/>
      </c>
      <c r="N385" s="14">
        <f>H385-M385</f>
        <v/>
      </c>
      <c r="O385" t="inlineStr">
        <is>
          <t>Não</t>
        </is>
      </c>
      <c r="P385" t="inlineStr">
        <is>
          <t>1.350</t>
        </is>
      </c>
    </row>
    <row r="386">
      <c r="A386" t="inlineStr">
        <is>
          <t>Antes de 2026</t>
        </is>
      </c>
      <c r="B386" t="inlineStr">
        <is>
          <t>Frete de venda</t>
        </is>
      </c>
      <c r="C386" t="inlineStr">
        <is>
          <t>Frete de venda (para clientes)</t>
        </is>
      </c>
      <c r="D386" t="inlineStr">
        <is>
          <t>CT-e</t>
        </is>
      </c>
      <c r="E386" t="inlineStr">
        <is>
          <t>000003870</t>
        </is>
      </c>
      <c r="F386" t="inlineStr">
        <is>
          <t>R&amp;R TRANSPORTE E LOGISTICA</t>
        </is>
      </c>
      <c r="G386" s="27" t="n">
        <v>45736</v>
      </c>
      <c r="H386" s="14" t="n">
        <v>47.93</v>
      </c>
      <c r="I386" s="14" t="n">
        <v>0</v>
      </c>
      <c r="J386" s="14" t="n">
        <v>0</v>
      </c>
      <c r="K386" s="14" t="n">
        <v>0</v>
      </c>
      <c r="L386" s="14" t="n">
        <v>0</v>
      </c>
      <c r="M386" s="14">
        <f>IF(B386="Frete de venda",0,(1-ISNUMBER(SEARCH("556",P386)))*(I386*VLOOKUP($B386,Premissas!$A$4:$E$7,2,0)+J386*VLOOKUP($B386,Premissas!$A$4:$E$7,3,0))+K386*VLOOKUP($B386,Premissas!$A$4:$E$7,4,0)+L386*VLOOKUP($B386,Premissas!$A$4:$E$7,5,0))</f>
        <v/>
      </c>
      <c r="N386" s="14">
        <f>H386-M386</f>
        <v/>
      </c>
      <c r="O386" t="inlineStr">
        <is>
          <t>Não</t>
        </is>
      </c>
      <c r="P386" t="inlineStr">
        <is>
          <t>1.350</t>
        </is>
      </c>
    </row>
    <row r="387">
      <c r="A387" t="inlineStr">
        <is>
          <t>Antes de 2026</t>
        </is>
      </c>
      <c r="B387" t="inlineStr">
        <is>
          <t>Frete de venda</t>
        </is>
      </c>
      <c r="C387" t="inlineStr">
        <is>
          <t>Frete de venda (para clientes)</t>
        </is>
      </c>
      <c r="D387" t="inlineStr">
        <is>
          <t>CT-e</t>
        </is>
      </c>
      <c r="E387" t="inlineStr">
        <is>
          <t>000003641</t>
        </is>
      </c>
      <c r="F387" t="inlineStr">
        <is>
          <t>R&amp;R TRANSPORTE E LOGISTICA</t>
        </is>
      </c>
      <c r="G387" s="27" t="n">
        <v>45694</v>
      </c>
      <c r="H387" s="14" t="n">
        <v>42.85</v>
      </c>
      <c r="I387" s="14" t="n">
        <v>0</v>
      </c>
      <c r="J387" s="14" t="n">
        <v>0</v>
      </c>
      <c r="K387" s="14" t="n">
        <v>0</v>
      </c>
      <c r="L387" s="14" t="n">
        <v>0</v>
      </c>
      <c r="M387" s="14">
        <f>IF(B387="Frete de venda",0,(1-ISNUMBER(SEARCH("556",P387)))*(I387*VLOOKUP($B387,Premissas!$A$4:$E$7,2,0)+J387*VLOOKUP($B387,Premissas!$A$4:$E$7,3,0))+K387*VLOOKUP($B387,Premissas!$A$4:$E$7,4,0)+L387*VLOOKUP($B387,Premissas!$A$4:$E$7,5,0))</f>
        <v/>
      </c>
      <c r="N387" s="14">
        <f>H387-M387</f>
        <v/>
      </c>
      <c r="O387" t="inlineStr">
        <is>
          <t>Não</t>
        </is>
      </c>
      <c r="P387" t="inlineStr">
        <is>
          <t>1.350</t>
        </is>
      </c>
    </row>
    <row r="388">
      <c r="A388" t="inlineStr">
        <is>
          <t>Antes de 2026</t>
        </is>
      </c>
      <c r="B388" t="inlineStr">
        <is>
          <t>Frete de venda</t>
        </is>
      </c>
      <c r="C388" t="inlineStr">
        <is>
          <t>Frete de venda (para clientes)</t>
        </is>
      </c>
      <c r="D388" t="inlineStr">
        <is>
          <t>CT-e</t>
        </is>
      </c>
      <c r="E388" t="inlineStr">
        <is>
          <t>000003839</t>
        </is>
      </c>
      <c r="F388" t="inlineStr">
        <is>
          <t>R&amp;R TRANSPORTE E LOGISTICA</t>
        </is>
      </c>
      <c r="G388" s="27" t="n">
        <v>45730</v>
      </c>
      <c r="H388" s="14" t="n">
        <v>30.96</v>
      </c>
      <c r="I388" s="14" t="n">
        <v>0</v>
      </c>
      <c r="J388" s="14" t="n">
        <v>0</v>
      </c>
      <c r="K388" s="14" t="n">
        <v>0</v>
      </c>
      <c r="L388" s="14" t="n">
        <v>0</v>
      </c>
      <c r="M388" s="14">
        <f>IF(B388="Frete de venda",0,(1-ISNUMBER(SEARCH("556",P388)))*(I388*VLOOKUP($B388,Premissas!$A$4:$E$7,2,0)+J388*VLOOKUP($B388,Premissas!$A$4:$E$7,3,0))+K388*VLOOKUP($B388,Premissas!$A$4:$E$7,4,0)+L388*VLOOKUP($B388,Premissas!$A$4:$E$7,5,0))</f>
        <v/>
      </c>
      <c r="N388" s="14">
        <f>H388-M388</f>
        <v/>
      </c>
      <c r="O388" t="inlineStr">
        <is>
          <t>Não</t>
        </is>
      </c>
      <c r="P388" t="inlineStr">
        <is>
          <t>1.350</t>
        </is>
      </c>
    </row>
    <row r="389">
      <c r="A389" t="inlineStr">
        <is>
          <t>Antes de 2026</t>
        </is>
      </c>
      <c r="B389" t="inlineStr">
        <is>
          <t>Frete de venda</t>
        </is>
      </c>
      <c r="C389" t="inlineStr">
        <is>
          <t>Frete de venda (para clientes)</t>
        </is>
      </c>
      <c r="D389" t="inlineStr">
        <is>
          <t>CT-e</t>
        </is>
      </c>
      <c r="E389" t="inlineStr">
        <is>
          <t>000003747</t>
        </is>
      </c>
      <c r="F389" t="inlineStr">
        <is>
          <t>R&amp;R TRANSPORTE E LOGISTICA</t>
        </is>
      </c>
      <c r="G389" s="27" t="n">
        <v>45713</v>
      </c>
      <c r="H389" s="14" t="n">
        <v>74.73999999999999</v>
      </c>
      <c r="I389" s="14" t="n">
        <v>0</v>
      </c>
      <c r="J389" s="14" t="n">
        <v>0</v>
      </c>
      <c r="K389" s="14" t="n">
        <v>0</v>
      </c>
      <c r="L389" s="14" t="n">
        <v>0</v>
      </c>
      <c r="M389" s="14">
        <f>IF(B389="Frete de venda",0,(1-ISNUMBER(SEARCH("556",P389)))*(I389*VLOOKUP($B389,Premissas!$A$4:$E$7,2,0)+J389*VLOOKUP($B389,Premissas!$A$4:$E$7,3,0))+K389*VLOOKUP($B389,Premissas!$A$4:$E$7,4,0)+L389*VLOOKUP($B389,Premissas!$A$4:$E$7,5,0))</f>
        <v/>
      </c>
      <c r="N389" s="14">
        <f>H389-M389</f>
        <v/>
      </c>
      <c r="O389" t="inlineStr">
        <is>
          <t>Não</t>
        </is>
      </c>
      <c r="P389" t="inlineStr">
        <is>
          <t>1.350</t>
        </is>
      </c>
    </row>
    <row r="390">
      <c r="A390" t="inlineStr">
        <is>
          <t>Antes de 2026</t>
        </is>
      </c>
      <c r="B390" t="inlineStr">
        <is>
          <t>Frete de venda</t>
        </is>
      </c>
      <c r="C390" t="inlineStr">
        <is>
          <t>Frete de venda (para clientes)</t>
        </is>
      </c>
      <c r="D390" t="inlineStr">
        <is>
          <t>CT-e</t>
        </is>
      </c>
      <c r="E390" t="inlineStr">
        <is>
          <t>000003541</t>
        </is>
      </c>
      <c r="F390" t="inlineStr">
        <is>
          <t>R&amp;R TRANSPORTE E LOGISTICA</t>
        </is>
      </c>
      <c r="G390" s="27" t="n">
        <v>45675</v>
      </c>
      <c r="H390" s="14" t="n">
        <v>43</v>
      </c>
      <c r="I390" s="14" t="n">
        <v>0</v>
      </c>
      <c r="J390" s="14" t="n">
        <v>0</v>
      </c>
      <c r="K390" s="14" t="n">
        <v>0</v>
      </c>
      <c r="L390" s="14" t="n">
        <v>0</v>
      </c>
      <c r="M390" s="14">
        <f>IF(B390="Frete de venda",0,(1-ISNUMBER(SEARCH("556",P390)))*(I390*VLOOKUP($B390,Premissas!$A$4:$E$7,2,0)+J390*VLOOKUP($B390,Premissas!$A$4:$E$7,3,0))+K390*VLOOKUP($B390,Premissas!$A$4:$E$7,4,0)+L390*VLOOKUP($B390,Premissas!$A$4:$E$7,5,0))</f>
        <v/>
      </c>
      <c r="N390" s="14">
        <f>H390-M390</f>
        <v/>
      </c>
      <c r="O390" t="inlineStr">
        <is>
          <t>Não</t>
        </is>
      </c>
      <c r="P390" t="inlineStr">
        <is>
          <t>1.350</t>
        </is>
      </c>
    </row>
    <row r="391">
      <c r="A391" t="inlineStr">
        <is>
          <t>Antes de 2026</t>
        </is>
      </c>
      <c r="B391" t="inlineStr">
        <is>
          <t>Frete de venda</t>
        </is>
      </c>
      <c r="C391" t="inlineStr">
        <is>
          <t>Frete de venda (para clientes)</t>
        </is>
      </c>
      <c r="D391" t="inlineStr">
        <is>
          <t>CT-e</t>
        </is>
      </c>
      <c r="E391" t="inlineStr">
        <is>
          <t>000003609</t>
        </is>
      </c>
      <c r="F391" t="inlineStr">
        <is>
          <t>R&amp;R TRANSPORTE E LOGISTICA</t>
        </is>
      </c>
      <c r="G391" s="27" t="n">
        <v>45687</v>
      </c>
      <c r="H391" s="14" t="n">
        <v>25</v>
      </c>
      <c r="I391" s="14" t="n">
        <v>0</v>
      </c>
      <c r="J391" s="14" t="n">
        <v>0</v>
      </c>
      <c r="K391" s="14" t="n">
        <v>0</v>
      </c>
      <c r="L391" s="14" t="n">
        <v>0</v>
      </c>
      <c r="M391" s="14">
        <f>IF(B391="Frete de venda",0,(1-ISNUMBER(SEARCH("556",P391)))*(I391*VLOOKUP($B391,Premissas!$A$4:$E$7,2,0)+J391*VLOOKUP($B391,Premissas!$A$4:$E$7,3,0))+K391*VLOOKUP($B391,Premissas!$A$4:$E$7,4,0)+L391*VLOOKUP($B391,Premissas!$A$4:$E$7,5,0))</f>
        <v/>
      </c>
      <c r="N391" s="14">
        <f>H391-M391</f>
        <v/>
      </c>
      <c r="O391" t="inlineStr">
        <is>
          <t>Não</t>
        </is>
      </c>
      <c r="P391" t="inlineStr">
        <is>
          <t>1.350</t>
        </is>
      </c>
    </row>
    <row r="392">
      <c r="A392" t="inlineStr">
        <is>
          <t>Antes de 2026</t>
        </is>
      </c>
      <c r="B392" t="inlineStr">
        <is>
          <t>Frete de venda</t>
        </is>
      </c>
      <c r="C392" t="inlineStr">
        <is>
          <t>Frete de venda (para clientes)</t>
        </is>
      </c>
      <c r="D392" t="inlineStr">
        <is>
          <t>CT-e</t>
        </is>
      </c>
      <c r="E392" t="inlineStr">
        <is>
          <t>000003590</t>
        </is>
      </c>
      <c r="F392" t="inlineStr">
        <is>
          <t>R&amp;R TRANSPORTE E LOGISTICA</t>
        </is>
      </c>
      <c r="G392" s="27" t="n">
        <v>45685</v>
      </c>
      <c r="H392" s="14" t="n">
        <v>43.07</v>
      </c>
      <c r="I392" s="14" t="n">
        <v>0</v>
      </c>
      <c r="J392" s="14" t="n">
        <v>0</v>
      </c>
      <c r="K392" s="14" t="n">
        <v>0</v>
      </c>
      <c r="L392" s="14" t="n">
        <v>0</v>
      </c>
      <c r="M392" s="14">
        <f>IF(B392="Frete de venda",0,(1-ISNUMBER(SEARCH("556",P392)))*(I392*VLOOKUP($B392,Premissas!$A$4:$E$7,2,0)+J392*VLOOKUP($B392,Premissas!$A$4:$E$7,3,0))+K392*VLOOKUP($B392,Premissas!$A$4:$E$7,4,0)+L392*VLOOKUP($B392,Premissas!$A$4:$E$7,5,0))</f>
        <v/>
      </c>
      <c r="N392" s="14">
        <f>H392-M392</f>
        <v/>
      </c>
      <c r="O392" t="inlineStr">
        <is>
          <t>Não</t>
        </is>
      </c>
      <c r="P392" t="inlineStr">
        <is>
          <t>1.350</t>
        </is>
      </c>
    </row>
    <row r="393">
      <c r="A393" t="inlineStr">
        <is>
          <t>Antes de 2026</t>
        </is>
      </c>
      <c r="B393" t="inlineStr">
        <is>
          <t>Frete de venda</t>
        </is>
      </c>
      <c r="C393" t="inlineStr">
        <is>
          <t>Frete de venda (para clientes)</t>
        </is>
      </c>
      <c r="D393" t="inlineStr">
        <is>
          <t>CT-e</t>
        </is>
      </c>
      <c r="E393" t="inlineStr">
        <is>
          <t>000003756</t>
        </is>
      </c>
      <c r="F393" t="inlineStr">
        <is>
          <t>R&amp;R TRANSPORTE E LOGISTICA</t>
        </is>
      </c>
      <c r="G393" s="27" t="n">
        <v>45714</v>
      </c>
      <c r="H393" s="14" t="n">
        <v>24.75</v>
      </c>
      <c r="I393" s="14" t="n">
        <v>0</v>
      </c>
      <c r="J393" s="14" t="n">
        <v>0</v>
      </c>
      <c r="K393" s="14" t="n">
        <v>0</v>
      </c>
      <c r="L393" s="14" t="n">
        <v>0</v>
      </c>
      <c r="M393" s="14">
        <f>IF(B393="Frete de venda",0,(1-ISNUMBER(SEARCH("556",P393)))*(I393*VLOOKUP($B393,Premissas!$A$4:$E$7,2,0)+J393*VLOOKUP($B393,Premissas!$A$4:$E$7,3,0))+K393*VLOOKUP($B393,Premissas!$A$4:$E$7,4,0)+L393*VLOOKUP($B393,Premissas!$A$4:$E$7,5,0))</f>
        <v/>
      </c>
      <c r="N393" s="14">
        <f>H393-M393</f>
        <v/>
      </c>
      <c r="O393" t="inlineStr">
        <is>
          <t>Não</t>
        </is>
      </c>
      <c r="P393" t="inlineStr">
        <is>
          <t>1.350</t>
        </is>
      </c>
    </row>
    <row r="394">
      <c r="A394" t="inlineStr">
        <is>
          <t>Antes de 2026</t>
        </is>
      </c>
      <c r="B394" t="inlineStr">
        <is>
          <t>Frete de venda</t>
        </is>
      </c>
      <c r="C394" t="inlineStr">
        <is>
          <t>Frete de venda (para clientes)</t>
        </is>
      </c>
      <c r="D394" t="inlineStr">
        <is>
          <t>CT-e</t>
        </is>
      </c>
      <c r="E394" t="inlineStr">
        <is>
          <t>000003786</t>
        </is>
      </c>
      <c r="F394" t="inlineStr">
        <is>
          <t>R&amp;R TRANSPORTE E LOGISTICA</t>
        </is>
      </c>
      <c r="G394" s="27" t="n">
        <v>45721</v>
      </c>
      <c r="H394" s="14" t="n">
        <v>44</v>
      </c>
      <c r="I394" s="14" t="n">
        <v>0</v>
      </c>
      <c r="J394" s="14" t="n">
        <v>0</v>
      </c>
      <c r="K394" s="14" t="n">
        <v>0</v>
      </c>
      <c r="L394" s="14" t="n">
        <v>0</v>
      </c>
      <c r="M394" s="14">
        <f>IF(B394="Frete de venda",0,(1-ISNUMBER(SEARCH("556",P394)))*(I394*VLOOKUP($B394,Premissas!$A$4:$E$7,2,0)+J394*VLOOKUP($B394,Premissas!$A$4:$E$7,3,0))+K394*VLOOKUP($B394,Premissas!$A$4:$E$7,4,0)+L394*VLOOKUP($B394,Premissas!$A$4:$E$7,5,0))</f>
        <v/>
      </c>
      <c r="N394" s="14">
        <f>H394-M394</f>
        <v/>
      </c>
      <c r="O394" t="inlineStr">
        <is>
          <t>Não</t>
        </is>
      </c>
      <c r="P394" t="inlineStr">
        <is>
          <t>1.350</t>
        </is>
      </c>
    </row>
    <row r="395">
      <c r="A395" t="inlineStr">
        <is>
          <t>Antes de 2026</t>
        </is>
      </c>
      <c r="B395" t="inlineStr">
        <is>
          <t>Frete de venda</t>
        </is>
      </c>
      <c r="C395" t="inlineStr">
        <is>
          <t>Frete de venda (para clientes)</t>
        </is>
      </c>
      <c r="D395" t="inlineStr">
        <is>
          <t>CT-e</t>
        </is>
      </c>
      <c r="E395" t="inlineStr">
        <is>
          <t>000003576</t>
        </is>
      </c>
      <c r="F395" t="inlineStr">
        <is>
          <t>R&amp;R TRANSPORTE E LOGISTICA</t>
        </is>
      </c>
      <c r="G395" s="27" t="n">
        <v>45680</v>
      </c>
      <c r="H395" s="14" t="n">
        <v>300</v>
      </c>
      <c r="I395" s="14" t="n">
        <v>0</v>
      </c>
      <c r="J395" s="14" t="n">
        <v>0</v>
      </c>
      <c r="K395" s="14" t="n">
        <v>0</v>
      </c>
      <c r="L395" s="14" t="n">
        <v>0</v>
      </c>
      <c r="M395" s="14">
        <f>IF(B395="Frete de venda",0,(1-ISNUMBER(SEARCH("556",P395)))*(I395*VLOOKUP($B395,Premissas!$A$4:$E$7,2,0)+J395*VLOOKUP($B395,Premissas!$A$4:$E$7,3,0))+K395*VLOOKUP($B395,Premissas!$A$4:$E$7,4,0)+L395*VLOOKUP($B395,Premissas!$A$4:$E$7,5,0))</f>
        <v/>
      </c>
      <c r="N395" s="14">
        <f>H395-M395</f>
        <v/>
      </c>
      <c r="O395" t="inlineStr">
        <is>
          <t>Não</t>
        </is>
      </c>
      <c r="P395" t="inlineStr">
        <is>
          <t>1.350</t>
        </is>
      </c>
    </row>
    <row r="396">
      <c r="A396" t="inlineStr">
        <is>
          <t>Antes de 2026</t>
        </is>
      </c>
      <c r="B396" t="inlineStr">
        <is>
          <t>Frete de venda</t>
        </is>
      </c>
      <c r="C396" t="inlineStr">
        <is>
          <t>Frete de venda (para clientes)</t>
        </is>
      </c>
      <c r="D396" t="inlineStr">
        <is>
          <t>CT-e</t>
        </is>
      </c>
      <c r="E396" t="inlineStr">
        <is>
          <t>000003755</t>
        </is>
      </c>
      <c r="F396" t="inlineStr">
        <is>
          <t>R&amp;R TRANSPORTE E LOGISTICA</t>
        </is>
      </c>
      <c r="G396" s="27" t="n">
        <v>45714</v>
      </c>
      <c r="H396" s="14" t="n">
        <v>24.57</v>
      </c>
      <c r="I396" s="14" t="n">
        <v>0</v>
      </c>
      <c r="J396" s="14" t="n">
        <v>0</v>
      </c>
      <c r="K396" s="14" t="n">
        <v>0</v>
      </c>
      <c r="L396" s="14" t="n">
        <v>0</v>
      </c>
      <c r="M396" s="14">
        <f>IF(B396="Frete de venda",0,(1-ISNUMBER(SEARCH("556",P396)))*(I396*VLOOKUP($B396,Premissas!$A$4:$E$7,2,0)+J396*VLOOKUP($B396,Premissas!$A$4:$E$7,3,0))+K396*VLOOKUP($B396,Premissas!$A$4:$E$7,4,0)+L396*VLOOKUP($B396,Premissas!$A$4:$E$7,5,0))</f>
        <v/>
      </c>
      <c r="N396" s="14">
        <f>H396-M396</f>
        <v/>
      </c>
      <c r="O396" t="inlineStr">
        <is>
          <t>Não</t>
        </is>
      </c>
      <c r="P396" t="inlineStr">
        <is>
          <t>1.350</t>
        </is>
      </c>
    </row>
    <row r="397">
      <c r="A397" t="inlineStr">
        <is>
          <t>Antes de 2026</t>
        </is>
      </c>
      <c r="B397" t="inlineStr">
        <is>
          <t>Frete de venda</t>
        </is>
      </c>
      <c r="C397" t="inlineStr">
        <is>
          <t>Frete de venda (para clientes)</t>
        </is>
      </c>
      <c r="D397" t="inlineStr">
        <is>
          <t>CT-e</t>
        </is>
      </c>
      <c r="E397" t="inlineStr">
        <is>
          <t>000003711</t>
        </is>
      </c>
      <c r="F397" t="inlineStr">
        <is>
          <t>R&amp;R TRANSPORTE E LOGISTICA</t>
        </is>
      </c>
      <c r="G397" s="27" t="n">
        <v>45707</v>
      </c>
      <c r="H397" s="14" t="n">
        <v>66.39</v>
      </c>
      <c r="I397" s="14" t="n">
        <v>0</v>
      </c>
      <c r="J397" s="14" t="n">
        <v>0</v>
      </c>
      <c r="K397" s="14" t="n">
        <v>0</v>
      </c>
      <c r="L397" s="14" t="n">
        <v>0</v>
      </c>
      <c r="M397" s="14">
        <f>IF(B397="Frete de venda",0,(1-ISNUMBER(SEARCH("556",P397)))*(I397*VLOOKUP($B397,Premissas!$A$4:$E$7,2,0)+J397*VLOOKUP($B397,Premissas!$A$4:$E$7,3,0))+K397*VLOOKUP($B397,Premissas!$A$4:$E$7,4,0)+L397*VLOOKUP($B397,Premissas!$A$4:$E$7,5,0))</f>
        <v/>
      </c>
      <c r="N397" s="14">
        <f>H397-M397</f>
        <v/>
      </c>
      <c r="O397" t="inlineStr">
        <is>
          <t>Não</t>
        </is>
      </c>
      <c r="P397" t="inlineStr">
        <is>
          <t>1.350</t>
        </is>
      </c>
    </row>
    <row r="398">
      <c r="A398" t="inlineStr">
        <is>
          <t>Antes de 2026</t>
        </is>
      </c>
      <c r="B398" t="inlineStr">
        <is>
          <t>Frete de venda</t>
        </is>
      </c>
      <c r="C398" t="inlineStr">
        <is>
          <t>Frete de venda (para clientes)</t>
        </is>
      </c>
      <c r="D398" t="inlineStr">
        <is>
          <t>CT-e</t>
        </is>
      </c>
      <c r="E398" t="inlineStr">
        <is>
          <t>000003589</t>
        </is>
      </c>
      <c r="F398" t="inlineStr">
        <is>
          <t>R&amp;R TRANSPORTE E LOGISTICA</t>
        </is>
      </c>
      <c r="G398" s="27" t="n">
        <v>45685</v>
      </c>
      <c r="H398" s="14" t="n">
        <v>34.92</v>
      </c>
      <c r="I398" s="14" t="n">
        <v>0</v>
      </c>
      <c r="J398" s="14" t="n">
        <v>0</v>
      </c>
      <c r="K398" s="14" t="n">
        <v>0</v>
      </c>
      <c r="L398" s="14" t="n">
        <v>0</v>
      </c>
      <c r="M398" s="14">
        <f>IF(B398="Frete de venda",0,(1-ISNUMBER(SEARCH("556",P398)))*(I398*VLOOKUP($B398,Premissas!$A$4:$E$7,2,0)+J398*VLOOKUP($B398,Premissas!$A$4:$E$7,3,0))+K398*VLOOKUP($B398,Premissas!$A$4:$E$7,4,0)+L398*VLOOKUP($B398,Premissas!$A$4:$E$7,5,0))</f>
        <v/>
      </c>
      <c r="N398" s="14">
        <f>H398-M398</f>
        <v/>
      </c>
      <c r="O398" t="inlineStr">
        <is>
          <t>Não</t>
        </is>
      </c>
      <c r="P398" t="inlineStr">
        <is>
          <t>1.350</t>
        </is>
      </c>
    </row>
    <row r="399">
      <c r="A399" t="inlineStr">
        <is>
          <t>Antes de 2026</t>
        </is>
      </c>
      <c r="B399" t="inlineStr">
        <is>
          <t>Frete de venda</t>
        </is>
      </c>
      <c r="C399" t="inlineStr">
        <is>
          <t>Frete de venda (para clientes)</t>
        </is>
      </c>
      <c r="D399" t="inlineStr">
        <is>
          <t>CT-e</t>
        </is>
      </c>
      <c r="E399" t="inlineStr">
        <is>
          <t>000003730</t>
        </is>
      </c>
      <c r="F399" t="inlineStr">
        <is>
          <t>R&amp;R TRANSPORTE E LOGISTICA</t>
        </is>
      </c>
      <c r="G399" s="27" t="n">
        <v>45709</v>
      </c>
      <c r="H399" s="14" t="n">
        <v>38</v>
      </c>
      <c r="I399" s="14" t="n">
        <v>0</v>
      </c>
      <c r="J399" s="14" t="n">
        <v>0</v>
      </c>
      <c r="K399" s="14" t="n">
        <v>0</v>
      </c>
      <c r="L399" s="14" t="n">
        <v>0</v>
      </c>
      <c r="M399" s="14">
        <f>IF(B399="Frete de venda",0,(1-ISNUMBER(SEARCH("556",P399)))*(I399*VLOOKUP($B399,Premissas!$A$4:$E$7,2,0)+J399*VLOOKUP($B399,Premissas!$A$4:$E$7,3,0))+K399*VLOOKUP($B399,Premissas!$A$4:$E$7,4,0)+L399*VLOOKUP($B399,Premissas!$A$4:$E$7,5,0))</f>
        <v/>
      </c>
      <c r="N399" s="14">
        <f>H399-M399</f>
        <v/>
      </c>
      <c r="O399" t="inlineStr">
        <is>
          <t>Não</t>
        </is>
      </c>
      <c r="P399" t="inlineStr">
        <is>
          <t>1.350</t>
        </is>
      </c>
    </row>
    <row r="400">
      <c r="A400" t="inlineStr">
        <is>
          <t>Antes de 2026</t>
        </is>
      </c>
      <c r="B400" t="inlineStr">
        <is>
          <t>Frete de venda</t>
        </is>
      </c>
      <c r="C400" t="inlineStr">
        <is>
          <t>Frete de venda (para clientes)</t>
        </is>
      </c>
      <c r="D400" t="inlineStr">
        <is>
          <t>CT-e</t>
        </is>
      </c>
      <c r="E400" t="inlineStr">
        <is>
          <t>000003572</t>
        </is>
      </c>
      <c r="F400" t="inlineStr">
        <is>
          <t>R&amp;R TRANSPORTE E LOGISTICA</t>
        </is>
      </c>
      <c r="G400" s="27" t="n">
        <v>45680</v>
      </c>
      <c r="H400" s="14" t="n">
        <v>110</v>
      </c>
      <c r="I400" s="14" t="n">
        <v>0</v>
      </c>
      <c r="J400" s="14" t="n">
        <v>0</v>
      </c>
      <c r="K400" s="14" t="n">
        <v>0</v>
      </c>
      <c r="L400" s="14" t="n">
        <v>0</v>
      </c>
      <c r="M400" s="14">
        <f>IF(B400="Frete de venda",0,(1-ISNUMBER(SEARCH("556",P400)))*(I400*VLOOKUP($B400,Premissas!$A$4:$E$7,2,0)+J400*VLOOKUP($B400,Premissas!$A$4:$E$7,3,0))+K400*VLOOKUP($B400,Premissas!$A$4:$E$7,4,0)+L400*VLOOKUP($B400,Premissas!$A$4:$E$7,5,0))</f>
        <v/>
      </c>
      <c r="N400" s="14">
        <f>H400-M400</f>
        <v/>
      </c>
      <c r="O400" t="inlineStr">
        <is>
          <t>Não</t>
        </is>
      </c>
      <c r="P400" t="inlineStr">
        <is>
          <t>1.350</t>
        </is>
      </c>
    </row>
    <row r="401">
      <c r="A401" t="inlineStr">
        <is>
          <t>Antes de 2026</t>
        </is>
      </c>
      <c r="B401" t="inlineStr">
        <is>
          <t>Frete de venda</t>
        </is>
      </c>
      <c r="C401" t="inlineStr">
        <is>
          <t>Frete de venda (para clientes)</t>
        </is>
      </c>
      <c r="D401" t="inlineStr">
        <is>
          <t>CT-e</t>
        </is>
      </c>
      <c r="E401" t="inlineStr">
        <is>
          <t>000003781</t>
        </is>
      </c>
      <c r="F401" t="inlineStr">
        <is>
          <t>R&amp;R TRANSPORTE E LOGISTICA</t>
        </is>
      </c>
      <c r="G401" s="27" t="n">
        <v>45721</v>
      </c>
      <c r="H401" s="14" t="n">
        <v>51</v>
      </c>
      <c r="I401" s="14" t="n">
        <v>0</v>
      </c>
      <c r="J401" s="14" t="n">
        <v>0</v>
      </c>
      <c r="K401" s="14" t="n">
        <v>0</v>
      </c>
      <c r="L401" s="14" t="n">
        <v>0</v>
      </c>
      <c r="M401" s="14">
        <f>IF(B401="Frete de venda",0,(1-ISNUMBER(SEARCH("556",P401)))*(I401*VLOOKUP($B401,Premissas!$A$4:$E$7,2,0)+J401*VLOOKUP($B401,Premissas!$A$4:$E$7,3,0))+K401*VLOOKUP($B401,Premissas!$A$4:$E$7,4,0)+L401*VLOOKUP($B401,Premissas!$A$4:$E$7,5,0))</f>
        <v/>
      </c>
      <c r="N401" s="14">
        <f>H401-M401</f>
        <v/>
      </c>
      <c r="O401" t="inlineStr">
        <is>
          <t>Não</t>
        </is>
      </c>
      <c r="P401" t="inlineStr">
        <is>
          <t>1.350</t>
        </is>
      </c>
    </row>
    <row r="402">
      <c r="A402" t="inlineStr">
        <is>
          <t>Antes de 2026</t>
        </is>
      </c>
      <c r="B402" t="inlineStr">
        <is>
          <t>Frete de venda</t>
        </is>
      </c>
      <c r="C402" t="inlineStr">
        <is>
          <t>Frete de venda (para clientes)</t>
        </is>
      </c>
      <c r="D402" t="inlineStr">
        <is>
          <t>CT-e</t>
        </is>
      </c>
      <c r="E402" t="inlineStr">
        <is>
          <t>000003543</t>
        </is>
      </c>
      <c r="F402" t="inlineStr">
        <is>
          <t>R&amp;R TRANSPORTE E LOGISTICA</t>
        </is>
      </c>
      <c r="G402" s="27" t="n">
        <v>45675</v>
      </c>
      <c r="H402" s="14" t="n">
        <v>94</v>
      </c>
      <c r="I402" s="14" t="n">
        <v>0</v>
      </c>
      <c r="J402" s="14" t="n">
        <v>0</v>
      </c>
      <c r="K402" s="14" t="n">
        <v>0</v>
      </c>
      <c r="L402" s="14" t="n">
        <v>0</v>
      </c>
      <c r="M402" s="14">
        <f>IF(B402="Frete de venda",0,(1-ISNUMBER(SEARCH("556",P402)))*(I402*VLOOKUP($B402,Premissas!$A$4:$E$7,2,0)+J402*VLOOKUP($B402,Premissas!$A$4:$E$7,3,0))+K402*VLOOKUP($B402,Premissas!$A$4:$E$7,4,0)+L402*VLOOKUP($B402,Premissas!$A$4:$E$7,5,0))</f>
        <v/>
      </c>
      <c r="N402" s="14">
        <f>H402-M402</f>
        <v/>
      </c>
      <c r="O402" t="inlineStr">
        <is>
          <t>Não</t>
        </is>
      </c>
      <c r="P402" t="inlineStr">
        <is>
          <t>1.350</t>
        </is>
      </c>
    </row>
    <row r="403">
      <c r="A403" t="inlineStr">
        <is>
          <t>Antes de 2026</t>
        </is>
      </c>
      <c r="B403" t="inlineStr">
        <is>
          <t>Frete de venda</t>
        </is>
      </c>
      <c r="C403" t="inlineStr">
        <is>
          <t>Frete de venda (para clientes)</t>
        </is>
      </c>
      <c r="D403" t="inlineStr">
        <is>
          <t>CT-e</t>
        </is>
      </c>
      <c r="E403" t="inlineStr">
        <is>
          <t>000003773</t>
        </is>
      </c>
      <c r="F403" t="inlineStr">
        <is>
          <t>R&amp;R TRANSPORTE E LOGISTICA</t>
        </is>
      </c>
      <c r="G403" s="27" t="n">
        <v>45717</v>
      </c>
      <c r="H403" s="14" t="n">
        <v>21</v>
      </c>
      <c r="I403" s="14" t="n">
        <v>0</v>
      </c>
      <c r="J403" s="14" t="n">
        <v>0</v>
      </c>
      <c r="K403" s="14" t="n">
        <v>0</v>
      </c>
      <c r="L403" s="14" t="n">
        <v>0</v>
      </c>
      <c r="M403" s="14">
        <f>IF(B403="Frete de venda",0,(1-ISNUMBER(SEARCH("556",P403)))*(I403*VLOOKUP($B403,Premissas!$A$4:$E$7,2,0)+J403*VLOOKUP($B403,Premissas!$A$4:$E$7,3,0))+K403*VLOOKUP($B403,Premissas!$A$4:$E$7,4,0)+L403*VLOOKUP($B403,Premissas!$A$4:$E$7,5,0))</f>
        <v/>
      </c>
      <c r="N403" s="14">
        <f>H403-M403</f>
        <v/>
      </c>
      <c r="O403" t="inlineStr">
        <is>
          <t>Não</t>
        </is>
      </c>
      <c r="P403" t="inlineStr">
        <is>
          <t>1.350</t>
        </is>
      </c>
    </row>
    <row r="404">
      <c r="A404" t="inlineStr">
        <is>
          <t>Antes de 2026</t>
        </is>
      </c>
      <c r="B404" t="inlineStr">
        <is>
          <t>Frete de venda</t>
        </is>
      </c>
      <c r="C404" t="inlineStr">
        <is>
          <t>Frete de venda (para clientes)</t>
        </is>
      </c>
      <c r="D404" t="inlineStr">
        <is>
          <t>CT-e</t>
        </is>
      </c>
      <c r="E404" t="inlineStr">
        <is>
          <t>000003774</t>
        </is>
      </c>
      <c r="F404" t="inlineStr">
        <is>
          <t>R&amp;R TRANSPORTE E LOGISTICA</t>
        </is>
      </c>
      <c r="G404" s="27" t="n">
        <v>45717</v>
      </c>
      <c r="H404" s="14" t="n">
        <v>70</v>
      </c>
      <c r="I404" s="14" t="n">
        <v>0</v>
      </c>
      <c r="J404" s="14" t="n">
        <v>0</v>
      </c>
      <c r="K404" s="14" t="n">
        <v>0</v>
      </c>
      <c r="L404" s="14" t="n">
        <v>0</v>
      </c>
      <c r="M404" s="14">
        <f>IF(B404="Frete de venda",0,(1-ISNUMBER(SEARCH("556",P404)))*(I404*VLOOKUP($B404,Premissas!$A$4:$E$7,2,0)+J404*VLOOKUP($B404,Premissas!$A$4:$E$7,3,0))+K404*VLOOKUP($B404,Premissas!$A$4:$E$7,4,0)+L404*VLOOKUP($B404,Premissas!$A$4:$E$7,5,0))</f>
        <v/>
      </c>
      <c r="N404" s="14">
        <f>H404-M404</f>
        <v/>
      </c>
      <c r="O404" t="inlineStr">
        <is>
          <t>Não</t>
        </is>
      </c>
      <c r="P404" t="inlineStr">
        <is>
          <t>1.350</t>
        </is>
      </c>
    </row>
    <row r="405">
      <c r="A405" t="inlineStr">
        <is>
          <t>Antes de 2026</t>
        </is>
      </c>
      <c r="B405" t="inlineStr">
        <is>
          <t>Frete de venda</t>
        </is>
      </c>
      <c r="C405" t="inlineStr">
        <is>
          <t>Frete de venda (para clientes)</t>
        </is>
      </c>
      <c r="D405" t="inlineStr">
        <is>
          <t>CT-e</t>
        </is>
      </c>
      <c r="E405" t="inlineStr">
        <is>
          <t>000003771</t>
        </is>
      </c>
      <c r="F405" t="inlineStr">
        <is>
          <t>R&amp;R TRANSPORTE E LOGISTICA</t>
        </is>
      </c>
      <c r="G405" s="27" t="n">
        <v>45717</v>
      </c>
      <c r="H405" s="14" t="n">
        <v>18</v>
      </c>
      <c r="I405" s="14" t="n">
        <v>0</v>
      </c>
      <c r="J405" s="14" t="n">
        <v>0</v>
      </c>
      <c r="K405" s="14" t="n">
        <v>0</v>
      </c>
      <c r="L405" s="14" t="n">
        <v>0</v>
      </c>
      <c r="M405" s="14">
        <f>IF(B405="Frete de venda",0,(1-ISNUMBER(SEARCH("556",P405)))*(I405*VLOOKUP($B405,Premissas!$A$4:$E$7,2,0)+J405*VLOOKUP($B405,Premissas!$A$4:$E$7,3,0))+K405*VLOOKUP($B405,Premissas!$A$4:$E$7,4,0)+L405*VLOOKUP($B405,Premissas!$A$4:$E$7,5,0))</f>
        <v/>
      </c>
      <c r="N405" s="14">
        <f>H405-M405</f>
        <v/>
      </c>
      <c r="O405" t="inlineStr">
        <is>
          <t>Não</t>
        </is>
      </c>
      <c r="P405" t="inlineStr">
        <is>
          <t>1.350</t>
        </is>
      </c>
    </row>
    <row r="406">
      <c r="A406" t="inlineStr">
        <is>
          <t>Antes de 2026</t>
        </is>
      </c>
      <c r="B406" t="inlineStr">
        <is>
          <t>Frete de venda</t>
        </is>
      </c>
      <c r="C406" t="inlineStr">
        <is>
          <t>Frete de venda (para clientes)</t>
        </is>
      </c>
      <c r="D406" t="inlineStr">
        <is>
          <t>CT-e</t>
        </is>
      </c>
      <c r="E406" t="inlineStr">
        <is>
          <t>000003772</t>
        </is>
      </c>
      <c r="F406" t="inlineStr">
        <is>
          <t>R&amp;R TRANSPORTE E LOGISTICA</t>
        </is>
      </c>
      <c r="G406" s="27" t="n">
        <v>45717</v>
      </c>
      <c r="H406" s="14" t="n">
        <v>33</v>
      </c>
      <c r="I406" s="14" t="n">
        <v>0</v>
      </c>
      <c r="J406" s="14" t="n">
        <v>0</v>
      </c>
      <c r="K406" s="14" t="n">
        <v>0</v>
      </c>
      <c r="L406" s="14" t="n">
        <v>0</v>
      </c>
      <c r="M406" s="14">
        <f>IF(B406="Frete de venda",0,(1-ISNUMBER(SEARCH("556",P406)))*(I406*VLOOKUP($B406,Premissas!$A$4:$E$7,2,0)+J406*VLOOKUP($B406,Premissas!$A$4:$E$7,3,0))+K406*VLOOKUP($B406,Premissas!$A$4:$E$7,4,0)+L406*VLOOKUP($B406,Premissas!$A$4:$E$7,5,0))</f>
        <v/>
      </c>
      <c r="N406" s="14">
        <f>H406-M406</f>
        <v/>
      </c>
      <c r="O406" t="inlineStr">
        <is>
          <t>Não</t>
        </is>
      </c>
      <c r="P406" t="inlineStr">
        <is>
          <t>1.350</t>
        </is>
      </c>
    </row>
    <row r="407">
      <c r="A407" t="inlineStr">
        <is>
          <t>Antes de 2026</t>
        </is>
      </c>
      <c r="B407" t="inlineStr">
        <is>
          <t>Frete de venda</t>
        </is>
      </c>
      <c r="C407" t="inlineStr">
        <is>
          <t>Frete de venda (para clientes)</t>
        </is>
      </c>
      <c r="D407" t="inlineStr">
        <is>
          <t>CT-e</t>
        </is>
      </c>
      <c r="E407" t="inlineStr">
        <is>
          <t>000003510</t>
        </is>
      </c>
      <c r="F407" t="inlineStr">
        <is>
          <t>R&amp;R TRANSPORTE E LOGISTICA</t>
        </is>
      </c>
      <c r="G407" s="27" t="n">
        <v>45666</v>
      </c>
      <c r="H407" s="14" t="n">
        <v>106</v>
      </c>
      <c r="I407" s="14" t="n">
        <v>0</v>
      </c>
      <c r="J407" s="14" t="n">
        <v>0</v>
      </c>
      <c r="K407" s="14" t="n">
        <v>0</v>
      </c>
      <c r="L407" s="14" t="n">
        <v>0</v>
      </c>
      <c r="M407" s="14">
        <f>IF(B407="Frete de venda",0,(1-ISNUMBER(SEARCH("556",P407)))*(I407*VLOOKUP($B407,Premissas!$A$4:$E$7,2,0)+J407*VLOOKUP($B407,Premissas!$A$4:$E$7,3,0))+K407*VLOOKUP($B407,Premissas!$A$4:$E$7,4,0)+L407*VLOOKUP($B407,Premissas!$A$4:$E$7,5,0))</f>
        <v/>
      </c>
      <c r="N407" s="14">
        <f>H407-M407</f>
        <v/>
      </c>
      <c r="O407" t="inlineStr">
        <is>
          <t>Não</t>
        </is>
      </c>
      <c r="P407" t="inlineStr">
        <is>
          <t>1.350</t>
        </is>
      </c>
    </row>
    <row r="408">
      <c r="A408" t="inlineStr">
        <is>
          <t>Antes de 2026</t>
        </is>
      </c>
      <c r="B408" t="inlineStr">
        <is>
          <t>Frete de venda</t>
        </is>
      </c>
      <c r="C408" t="inlineStr">
        <is>
          <t>Frete de venda (para clientes)</t>
        </is>
      </c>
      <c r="D408" t="inlineStr">
        <is>
          <t>CT-e</t>
        </is>
      </c>
      <c r="E408" t="inlineStr">
        <is>
          <t>000000081</t>
        </is>
      </c>
      <c r="F408" t="inlineStr">
        <is>
          <t>ADIL CARLOS DA SILVA</t>
        </is>
      </c>
      <c r="G408" s="27" t="n">
        <v>45730</v>
      </c>
      <c r="H408" s="14" t="n">
        <v>10</v>
      </c>
      <c r="I408" s="14" t="n">
        <v>0</v>
      </c>
      <c r="J408" s="14" t="n">
        <v>0</v>
      </c>
      <c r="K408" s="14" t="n">
        <v>0</v>
      </c>
      <c r="L408" s="14" t="n">
        <v>0</v>
      </c>
      <c r="M408" s="14">
        <f>IF(B408="Frete de venda",0,(1-ISNUMBER(SEARCH("556",P408)))*(I408*VLOOKUP($B408,Premissas!$A$4:$E$7,2,0)+J408*VLOOKUP($B408,Premissas!$A$4:$E$7,3,0))+K408*VLOOKUP($B408,Premissas!$A$4:$E$7,4,0)+L408*VLOOKUP($B408,Premissas!$A$4:$E$7,5,0))</f>
        <v/>
      </c>
      <c r="N408" s="14">
        <f>H408-M408</f>
        <v/>
      </c>
      <c r="O408" t="inlineStr">
        <is>
          <t>Não</t>
        </is>
      </c>
      <c r="P408" t="inlineStr">
        <is>
          <t>2.350</t>
        </is>
      </c>
    </row>
    <row r="409">
      <c r="A409" t="inlineStr">
        <is>
          <t>Antes de 2026</t>
        </is>
      </c>
      <c r="B409" t="inlineStr">
        <is>
          <t>Frete de venda</t>
        </is>
      </c>
      <c r="C409" t="inlineStr">
        <is>
          <t>Frete de venda (para clientes)</t>
        </is>
      </c>
      <c r="D409" t="inlineStr">
        <is>
          <t>CT-e</t>
        </is>
      </c>
      <c r="E409" t="inlineStr">
        <is>
          <t>000003782</t>
        </is>
      </c>
      <c r="F409" t="inlineStr">
        <is>
          <t>R&amp;R TRANSPORTE E LOGISTICA</t>
        </is>
      </c>
      <c r="G409" s="27" t="n">
        <v>45721</v>
      </c>
      <c r="H409" s="14" t="n">
        <v>42</v>
      </c>
      <c r="I409" s="14" t="n">
        <v>0</v>
      </c>
      <c r="J409" s="14" t="n">
        <v>0</v>
      </c>
      <c r="K409" s="14" t="n">
        <v>0</v>
      </c>
      <c r="L409" s="14" t="n">
        <v>0</v>
      </c>
      <c r="M409" s="14">
        <f>IF(B409="Frete de venda",0,(1-ISNUMBER(SEARCH("556",P409)))*(I409*VLOOKUP($B409,Premissas!$A$4:$E$7,2,0)+J409*VLOOKUP($B409,Premissas!$A$4:$E$7,3,0))+K409*VLOOKUP($B409,Premissas!$A$4:$E$7,4,0)+L409*VLOOKUP($B409,Premissas!$A$4:$E$7,5,0))</f>
        <v/>
      </c>
      <c r="N409" s="14">
        <f>H409-M409</f>
        <v/>
      </c>
      <c r="O409" t="inlineStr">
        <is>
          <t>Não</t>
        </is>
      </c>
      <c r="P409" t="inlineStr">
        <is>
          <t>1.350</t>
        </is>
      </c>
    </row>
    <row r="410">
      <c r="A410" t="inlineStr">
        <is>
          <t>Antes de 2026</t>
        </is>
      </c>
      <c r="B410" t="inlineStr">
        <is>
          <t>Frete de venda</t>
        </is>
      </c>
      <c r="C410" t="inlineStr">
        <is>
          <t>Frete de venda (para clientes)</t>
        </is>
      </c>
      <c r="D410" t="inlineStr">
        <is>
          <t>CT-e</t>
        </is>
      </c>
      <c r="E410" t="inlineStr">
        <is>
          <t>000000079</t>
        </is>
      </c>
      <c r="F410" t="inlineStr">
        <is>
          <t>ADIL CARLOS DA SILVA</t>
        </is>
      </c>
      <c r="G410" s="27" t="n">
        <v>45729</v>
      </c>
      <c r="H410" s="14" t="n">
        <v>10</v>
      </c>
      <c r="I410" s="14" t="n">
        <v>0</v>
      </c>
      <c r="J410" s="14" t="n">
        <v>0</v>
      </c>
      <c r="K410" s="14" t="n">
        <v>0</v>
      </c>
      <c r="L410" s="14" t="n">
        <v>0</v>
      </c>
      <c r="M410" s="14">
        <f>IF(B410="Frete de venda",0,(1-ISNUMBER(SEARCH("556",P410)))*(I410*VLOOKUP($B410,Premissas!$A$4:$E$7,2,0)+J410*VLOOKUP($B410,Premissas!$A$4:$E$7,3,0))+K410*VLOOKUP($B410,Premissas!$A$4:$E$7,4,0)+L410*VLOOKUP($B410,Premissas!$A$4:$E$7,5,0))</f>
        <v/>
      </c>
      <c r="N410" s="14">
        <f>H410-M410</f>
        <v/>
      </c>
      <c r="O410" t="inlineStr">
        <is>
          <t>Não</t>
        </is>
      </c>
      <c r="P410" t="inlineStr">
        <is>
          <t>2.350</t>
        </is>
      </c>
    </row>
    <row r="411">
      <c r="A411" t="inlineStr">
        <is>
          <t>Antes de 2026</t>
        </is>
      </c>
      <c r="B411" t="inlineStr">
        <is>
          <t>Frete de venda</t>
        </is>
      </c>
      <c r="C411" t="inlineStr">
        <is>
          <t>Frete de venda (para clientes)</t>
        </is>
      </c>
      <c r="D411" t="inlineStr">
        <is>
          <t>CT-e</t>
        </is>
      </c>
      <c r="E411" t="inlineStr">
        <is>
          <t>000003675</t>
        </is>
      </c>
      <c r="F411" t="inlineStr">
        <is>
          <t>R&amp;R TRANSPORTE E LOGISTICA</t>
        </is>
      </c>
      <c r="G411" s="27" t="n">
        <v>45702</v>
      </c>
      <c r="H411" s="14" t="n">
        <v>53.96</v>
      </c>
      <c r="I411" s="14" t="n">
        <v>0</v>
      </c>
      <c r="J411" s="14" t="n">
        <v>0</v>
      </c>
      <c r="K411" s="14" t="n">
        <v>0</v>
      </c>
      <c r="L411" s="14" t="n">
        <v>0</v>
      </c>
      <c r="M411" s="14">
        <f>IF(B411="Frete de venda",0,(1-ISNUMBER(SEARCH("556",P411)))*(I411*VLOOKUP($B411,Premissas!$A$4:$E$7,2,0)+J411*VLOOKUP($B411,Premissas!$A$4:$E$7,3,0))+K411*VLOOKUP($B411,Premissas!$A$4:$E$7,4,0)+L411*VLOOKUP($B411,Premissas!$A$4:$E$7,5,0))</f>
        <v/>
      </c>
      <c r="N411" s="14">
        <f>H411-M411</f>
        <v/>
      </c>
      <c r="O411" t="inlineStr">
        <is>
          <t>Não</t>
        </is>
      </c>
      <c r="P411" t="inlineStr">
        <is>
          <t>1.350</t>
        </is>
      </c>
    </row>
    <row r="412">
      <c r="A412" t="inlineStr">
        <is>
          <t>Antes de 2026</t>
        </is>
      </c>
      <c r="B412" t="inlineStr">
        <is>
          <t>Frete de venda</t>
        </is>
      </c>
      <c r="C412" t="inlineStr">
        <is>
          <t>Frete de venda (para clientes)</t>
        </is>
      </c>
      <c r="D412" t="inlineStr">
        <is>
          <t>CT-e</t>
        </is>
      </c>
      <c r="E412" t="inlineStr">
        <is>
          <t>000003605</t>
        </is>
      </c>
      <c r="F412" t="inlineStr">
        <is>
          <t>R&amp;R TRANSPORTE E LOGISTICA</t>
        </is>
      </c>
      <c r="G412" s="27" t="n">
        <v>45687</v>
      </c>
      <c r="H412" s="14" t="n">
        <v>26</v>
      </c>
      <c r="I412" s="14" t="n">
        <v>0</v>
      </c>
      <c r="J412" s="14" t="n">
        <v>0</v>
      </c>
      <c r="K412" s="14" t="n">
        <v>0</v>
      </c>
      <c r="L412" s="14" t="n">
        <v>0</v>
      </c>
      <c r="M412" s="14">
        <f>IF(B412="Frete de venda",0,(1-ISNUMBER(SEARCH("556",P412)))*(I412*VLOOKUP($B412,Premissas!$A$4:$E$7,2,0)+J412*VLOOKUP($B412,Premissas!$A$4:$E$7,3,0))+K412*VLOOKUP($B412,Premissas!$A$4:$E$7,4,0)+L412*VLOOKUP($B412,Premissas!$A$4:$E$7,5,0))</f>
        <v/>
      </c>
      <c r="N412" s="14">
        <f>H412-M412</f>
        <v/>
      </c>
      <c r="O412" t="inlineStr">
        <is>
          <t>Não</t>
        </is>
      </c>
      <c r="P412" t="inlineStr">
        <is>
          <t>1.350</t>
        </is>
      </c>
    </row>
    <row r="413">
      <c r="A413" t="inlineStr">
        <is>
          <t>Antes de 2026</t>
        </is>
      </c>
      <c r="B413" t="inlineStr">
        <is>
          <t>Frete de venda</t>
        </is>
      </c>
      <c r="C413" t="inlineStr">
        <is>
          <t>Frete de venda (para clientes)</t>
        </is>
      </c>
      <c r="D413" t="inlineStr">
        <is>
          <t>CT-e</t>
        </is>
      </c>
      <c r="E413" t="inlineStr">
        <is>
          <t>000003604</t>
        </is>
      </c>
      <c r="F413" t="inlineStr">
        <is>
          <t>R&amp;R TRANSPORTE E LOGISTICA</t>
        </is>
      </c>
      <c r="G413" s="27" t="n">
        <v>45687</v>
      </c>
      <c r="H413" s="14" t="n">
        <v>36</v>
      </c>
      <c r="I413" s="14" t="n">
        <v>0</v>
      </c>
      <c r="J413" s="14" t="n">
        <v>0</v>
      </c>
      <c r="K413" s="14" t="n">
        <v>0</v>
      </c>
      <c r="L413" s="14" t="n">
        <v>0</v>
      </c>
      <c r="M413" s="14">
        <f>IF(B413="Frete de venda",0,(1-ISNUMBER(SEARCH("556",P413)))*(I413*VLOOKUP($B413,Premissas!$A$4:$E$7,2,0)+J413*VLOOKUP($B413,Premissas!$A$4:$E$7,3,0))+K413*VLOOKUP($B413,Premissas!$A$4:$E$7,4,0)+L413*VLOOKUP($B413,Premissas!$A$4:$E$7,5,0))</f>
        <v/>
      </c>
      <c r="N413" s="14">
        <f>H413-M413</f>
        <v/>
      </c>
      <c r="O413" t="inlineStr">
        <is>
          <t>Não</t>
        </is>
      </c>
      <c r="P413" t="inlineStr">
        <is>
          <t>1.350</t>
        </is>
      </c>
    </row>
    <row r="414">
      <c r="A414" t="inlineStr">
        <is>
          <t>Antes de 2026</t>
        </is>
      </c>
      <c r="B414" t="inlineStr">
        <is>
          <t>Frete de venda</t>
        </is>
      </c>
      <c r="C414" t="inlineStr">
        <is>
          <t>Frete de venda (para clientes)</t>
        </is>
      </c>
      <c r="D414" t="inlineStr">
        <is>
          <t>CT-e</t>
        </is>
      </c>
      <c r="E414" t="inlineStr">
        <is>
          <t>000003823</t>
        </is>
      </c>
      <c r="F414" t="inlineStr">
        <is>
          <t>R&amp;R TRANSPORTE E LOGISTICA</t>
        </is>
      </c>
      <c r="G414" s="27" t="n">
        <v>45730</v>
      </c>
      <c r="H414" s="14" t="n">
        <v>269.83</v>
      </c>
      <c r="I414" s="14" t="n">
        <v>0</v>
      </c>
      <c r="J414" s="14" t="n">
        <v>0</v>
      </c>
      <c r="K414" s="14" t="n">
        <v>0</v>
      </c>
      <c r="L414" s="14" t="n">
        <v>0</v>
      </c>
      <c r="M414" s="14">
        <f>IF(B414="Frete de venda",0,(1-ISNUMBER(SEARCH("556",P414)))*(I414*VLOOKUP($B414,Premissas!$A$4:$E$7,2,0)+J414*VLOOKUP($B414,Premissas!$A$4:$E$7,3,0))+K414*VLOOKUP($B414,Premissas!$A$4:$E$7,4,0)+L414*VLOOKUP($B414,Premissas!$A$4:$E$7,5,0))</f>
        <v/>
      </c>
      <c r="N414" s="14">
        <f>H414-M414</f>
        <v/>
      </c>
      <c r="O414" t="inlineStr">
        <is>
          <t>Não</t>
        </is>
      </c>
      <c r="P414" t="inlineStr">
        <is>
          <t>1.350</t>
        </is>
      </c>
    </row>
    <row r="415">
      <c r="A415" t="inlineStr">
        <is>
          <t>Antes de 2026</t>
        </is>
      </c>
      <c r="B415" t="inlineStr">
        <is>
          <t>Frete de venda</t>
        </is>
      </c>
      <c r="C415" t="inlineStr">
        <is>
          <t>Frete de venda (para clientes)</t>
        </is>
      </c>
      <c r="D415" t="inlineStr">
        <is>
          <t>CT-e</t>
        </is>
      </c>
      <c r="E415" t="inlineStr">
        <is>
          <t>000003526</t>
        </is>
      </c>
      <c r="F415" t="inlineStr">
        <is>
          <t>R&amp;R TRANSPORTE E LOGISTICA</t>
        </is>
      </c>
      <c r="G415" s="27" t="n">
        <v>45672</v>
      </c>
      <c r="H415" s="14" t="n">
        <v>41.02</v>
      </c>
      <c r="I415" s="14" t="n">
        <v>0</v>
      </c>
      <c r="J415" s="14" t="n">
        <v>0</v>
      </c>
      <c r="K415" s="14" t="n">
        <v>0</v>
      </c>
      <c r="L415" s="14" t="n">
        <v>0</v>
      </c>
      <c r="M415" s="14">
        <f>IF(B415="Frete de venda",0,(1-ISNUMBER(SEARCH("556",P415)))*(I415*VLOOKUP($B415,Premissas!$A$4:$E$7,2,0)+J415*VLOOKUP($B415,Premissas!$A$4:$E$7,3,0))+K415*VLOOKUP($B415,Premissas!$A$4:$E$7,4,0)+L415*VLOOKUP($B415,Premissas!$A$4:$E$7,5,0))</f>
        <v/>
      </c>
      <c r="N415" s="14">
        <f>H415-M415</f>
        <v/>
      </c>
      <c r="O415" t="inlineStr">
        <is>
          <t>Não</t>
        </is>
      </c>
      <c r="P415" t="inlineStr">
        <is>
          <t>1.350</t>
        </is>
      </c>
    </row>
    <row r="416">
      <c r="A416" t="inlineStr">
        <is>
          <t>Antes de 2026</t>
        </is>
      </c>
      <c r="B416" t="inlineStr">
        <is>
          <t>Frete de venda</t>
        </is>
      </c>
      <c r="C416" t="inlineStr">
        <is>
          <t>Frete de venda (para clientes)</t>
        </is>
      </c>
      <c r="D416" t="inlineStr">
        <is>
          <t>CT-e</t>
        </is>
      </c>
      <c r="E416" t="inlineStr">
        <is>
          <t>000003775</t>
        </is>
      </c>
      <c r="F416" t="inlineStr">
        <is>
          <t>R&amp;R TRANSPORTE E LOGISTICA</t>
        </is>
      </c>
      <c r="G416" s="27" t="n">
        <v>45717</v>
      </c>
      <c r="H416" s="14" t="n">
        <v>21</v>
      </c>
      <c r="I416" s="14" t="n">
        <v>0</v>
      </c>
      <c r="J416" s="14" t="n">
        <v>0</v>
      </c>
      <c r="K416" s="14" t="n">
        <v>0</v>
      </c>
      <c r="L416" s="14" t="n">
        <v>0</v>
      </c>
      <c r="M416" s="14">
        <f>IF(B416="Frete de venda",0,(1-ISNUMBER(SEARCH("556",P416)))*(I416*VLOOKUP($B416,Premissas!$A$4:$E$7,2,0)+J416*VLOOKUP($B416,Premissas!$A$4:$E$7,3,0))+K416*VLOOKUP($B416,Premissas!$A$4:$E$7,4,0)+L416*VLOOKUP($B416,Premissas!$A$4:$E$7,5,0))</f>
        <v/>
      </c>
      <c r="N416" s="14">
        <f>H416-M416</f>
        <v/>
      </c>
      <c r="O416" t="inlineStr">
        <is>
          <t>Não</t>
        </is>
      </c>
      <c r="P416" t="inlineStr">
        <is>
          <t>1.350</t>
        </is>
      </c>
    </row>
    <row r="417">
      <c r="A417" t="inlineStr">
        <is>
          <t>Antes de 2026</t>
        </is>
      </c>
      <c r="B417" t="inlineStr">
        <is>
          <t>Frete de venda</t>
        </is>
      </c>
      <c r="C417" t="inlineStr">
        <is>
          <t>Frete de venda (para clientes)</t>
        </is>
      </c>
      <c r="D417" t="inlineStr">
        <is>
          <t>CT-e</t>
        </is>
      </c>
      <c r="E417" t="inlineStr">
        <is>
          <t>000003770</t>
        </is>
      </c>
      <c r="F417" t="inlineStr">
        <is>
          <t>R&amp;R TRANSPORTE E LOGISTICA</t>
        </is>
      </c>
      <c r="G417" s="27" t="n">
        <v>45717</v>
      </c>
      <c r="H417" s="14" t="n">
        <v>67</v>
      </c>
      <c r="I417" s="14" t="n">
        <v>0</v>
      </c>
      <c r="J417" s="14" t="n">
        <v>0</v>
      </c>
      <c r="K417" s="14" t="n">
        <v>0</v>
      </c>
      <c r="L417" s="14" t="n">
        <v>0</v>
      </c>
      <c r="M417" s="14">
        <f>IF(B417="Frete de venda",0,(1-ISNUMBER(SEARCH("556",P417)))*(I417*VLOOKUP($B417,Premissas!$A$4:$E$7,2,0)+J417*VLOOKUP($B417,Premissas!$A$4:$E$7,3,0))+K417*VLOOKUP($B417,Premissas!$A$4:$E$7,4,0)+L417*VLOOKUP($B417,Premissas!$A$4:$E$7,5,0))</f>
        <v/>
      </c>
      <c r="N417" s="14">
        <f>H417-M417</f>
        <v/>
      </c>
      <c r="O417" t="inlineStr">
        <is>
          <t>Não</t>
        </is>
      </c>
      <c r="P417" t="inlineStr">
        <is>
          <t>1.350</t>
        </is>
      </c>
    </row>
    <row r="418">
      <c r="A418" t="inlineStr">
        <is>
          <t>Antes de 2026</t>
        </is>
      </c>
      <c r="B418" t="inlineStr">
        <is>
          <t>Frete de venda</t>
        </is>
      </c>
      <c r="C418" t="inlineStr">
        <is>
          <t>Frete de venda (para clientes)</t>
        </is>
      </c>
      <c r="D418" t="inlineStr">
        <is>
          <t>CT-e</t>
        </is>
      </c>
      <c r="E418" t="inlineStr">
        <is>
          <t>000003893</t>
        </is>
      </c>
      <c r="F418" t="inlineStr">
        <is>
          <t>R&amp;R TRANSPORTE E LOGISTICA</t>
        </is>
      </c>
      <c r="G418" s="27" t="n">
        <v>45738</v>
      </c>
      <c r="H418" s="14" t="n">
        <v>52</v>
      </c>
      <c r="I418" s="14" t="n">
        <v>0</v>
      </c>
      <c r="J418" s="14" t="n">
        <v>0</v>
      </c>
      <c r="K418" s="14" t="n">
        <v>0</v>
      </c>
      <c r="L418" s="14" t="n">
        <v>0</v>
      </c>
      <c r="M418" s="14">
        <f>IF(B418="Frete de venda",0,(1-ISNUMBER(SEARCH("556",P418)))*(I418*VLOOKUP($B418,Premissas!$A$4:$E$7,2,0)+J418*VLOOKUP($B418,Premissas!$A$4:$E$7,3,0))+K418*VLOOKUP($B418,Premissas!$A$4:$E$7,4,0)+L418*VLOOKUP($B418,Premissas!$A$4:$E$7,5,0))</f>
        <v/>
      </c>
      <c r="N418" s="14">
        <f>H418-M418</f>
        <v/>
      </c>
      <c r="O418" t="inlineStr">
        <is>
          <t>Não</t>
        </is>
      </c>
      <c r="P418" t="inlineStr">
        <is>
          <t>1.350</t>
        </is>
      </c>
    </row>
    <row r="419">
      <c r="A419" t="inlineStr">
        <is>
          <t>Antes de 2026</t>
        </is>
      </c>
      <c r="B419" t="inlineStr">
        <is>
          <t>Frete de venda</t>
        </is>
      </c>
      <c r="C419" t="inlineStr">
        <is>
          <t>Frete de venda (para clientes)</t>
        </is>
      </c>
      <c r="D419" t="inlineStr">
        <is>
          <t>CT-e</t>
        </is>
      </c>
      <c r="E419" t="inlineStr">
        <is>
          <t>000003778</t>
        </is>
      </c>
      <c r="F419" t="inlineStr">
        <is>
          <t>R&amp;R TRANSPORTE E LOGISTICA</t>
        </is>
      </c>
      <c r="G419" s="27" t="n">
        <v>45717</v>
      </c>
      <c r="H419" s="14" t="n">
        <v>27</v>
      </c>
      <c r="I419" s="14" t="n">
        <v>0</v>
      </c>
      <c r="J419" s="14" t="n">
        <v>0</v>
      </c>
      <c r="K419" s="14" t="n">
        <v>0</v>
      </c>
      <c r="L419" s="14" t="n">
        <v>0</v>
      </c>
      <c r="M419" s="14">
        <f>IF(B419="Frete de venda",0,(1-ISNUMBER(SEARCH("556",P419)))*(I419*VLOOKUP($B419,Premissas!$A$4:$E$7,2,0)+J419*VLOOKUP($B419,Premissas!$A$4:$E$7,3,0))+K419*VLOOKUP($B419,Premissas!$A$4:$E$7,4,0)+L419*VLOOKUP($B419,Premissas!$A$4:$E$7,5,0))</f>
        <v/>
      </c>
      <c r="N419" s="14">
        <f>H419-M419</f>
        <v/>
      </c>
      <c r="O419" t="inlineStr">
        <is>
          <t>Não</t>
        </is>
      </c>
      <c r="P419" t="inlineStr">
        <is>
          <t>1.350</t>
        </is>
      </c>
    </row>
    <row r="420">
      <c r="A420" t="inlineStr">
        <is>
          <t>Antes de 2026</t>
        </is>
      </c>
      <c r="B420" t="inlineStr">
        <is>
          <t>Frete de venda</t>
        </is>
      </c>
      <c r="C420" t="inlineStr">
        <is>
          <t>Frete de venda (para clientes)</t>
        </is>
      </c>
      <c r="D420" t="inlineStr">
        <is>
          <t>CT-e</t>
        </is>
      </c>
      <c r="E420" t="inlineStr">
        <is>
          <t>000003842</t>
        </is>
      </c>
      <c r="F420" t="inlineStr">
        <is>
          <t>R&amp;R TRANSPORTE E LOGISTICA</t>
        </is>
      </c>
      <c r="G420" s="27" t="n">
        <v>45730</v>
      </c>
      <c r="H420" s="14" t="n">
        <v>23.85</v>
      </c>
      <c r="I420" s="14" t="n">
        <v>0</v>
      </c>
      <c r="J420" s="14" t="n">
        <v>0</v>
      </c>
      <c r="K420" s="14" t="n">
        <v>0</v>
      </c>
      <c r="L420" s="14" t="n">
        <v>0</v>
      </c>
      <c r="M420" s="14">
        <f>IF(B420="Frete de venda",0,(1-ISNUMBER(SEARCH("556",P420)))*(I420*VLOOKUP($B420,Premissas!$A$4:$E$7,2,0)+J420*VLOOKUP($B420,Premissas!$A$4:$E$7,3,0))+K420*VLOOKUP($B420,Premissas!$A$4:$E$7,4,0)+L420*VLOOKUP($B420,Premissas!$A$4:$E$7,5,0))</f>
        <v/>
      </c>
      <c r="N420" s="14">
        <f>H420-M420</f>
        <v/>
      </c>
      <c r="O420" t="inlineStr">
        <is>
          <t>Não</t>
        </is>
      </c>
      <c r="P420" t="inlineStr">
        <is>
          <t>1.350</t>
        </is>
      </c>
    </row>
    <row r="421">
      <c r="A421" t="inlineStr">
        <is>
          <t>Antes de 2026</t>
        </is>
      </c>
      <c r="B421" t="inlineStr">
        <is>
          <t>Frete de venda</t>
        </is>
      </c>
      <c r="C421" t="inlineStr">
        <is>
          <t>Frete de venda (para clientes)</t>
        </is>
      </c>
      <c r="D421" t="inlineStr">
        <is>
          <t>CT-e</t>
        </is>
      </c>
      <c r="E421" t="inlineStr">
        <is>
          <t>000003828</t>
        </is>
      </c>
      <c r="F421" t="inlineStr">
        <is>
          <t>R&amp;R TRANSPORTE E LOGISTICA</t>
        </is>
      </c>
      <c r="G421" s="27" t="n">
        <v>45730</v>
      </c>
      <c r="H421" s="14" t="n">
        <v>39.25</v>
      </c>
      <c r="I421" s="14" t="n">
        <v>0</v>
      </c>
      <c r="J421" s="14" t="n">
        <v>0</v>
      </c>
      <c r="K421" s="14" t="n">
        <v>0</v>
      </c>
      <c r="L421" s="14" t="n">
        <v>0</v>
      </c>
      <c r="M421" s="14">
        <f>IF(B421="Frete de venda",0,(1-ISNUMBER(SEARCH("556",P421)))*(I421*VLOOKUP($B421,Premissas!$A$4:$E$7,2,0)+J421*VLOOKUP($B421,Premissas!$A$4:$E$7,3,0))+K421*VLOOKUP($B421,Premissas!$A$4:$E$7,4,0)+L421*VLOOKUP($B421,Premissas!$A$4:$E$7,5,0))</f>
        <v/>
      </c>
      <c r="N421" s="14">
        <f>H421-M421</f>
        <v/>
      </c>
      <c r="O421" t="inlineStr">
        <is>
          <t>Não</t>
        </is>
      </c>
      <c r="P421" t="inlineStr">
        <is>
          <t>1.350</t>
        </is>
      </c>
    </row>
    <row r="422">
      <c r="A422" t="inlineStr">
        <is>
          <t>Antes de 2026</t>
        </is>
      </c>
      <c r="B422" t="inlineStr">
        <is>
          <t>Frete de venda</t>
        </is>
      </c>
      <c r="C422" t="inlineStr">
        <is>
          <t>Frete de venda (para clientes)</t>
        </is>
      </c>
      <c r="D422" t="inlineStr">
        <is>
          <t>CT-e</t>
        </is>
      </c>
      <c r="E422" t="inlineStr">
        <is>
          <t>000003524</t>
        </is>
      </c>
      <c r="F422" t="inlineStr">
        <is>
          <t>R&amp;R TRANSPORTE E LOGISTICA</t>
        </is>
      </c>
      <c r="G422" s="27" t="n">
        <v>45672</v>
      </c>
      <c r="H422" s="14" t="n">
        <v>46.03</v>
      </c>
      <c r="I422" s="14" t="n">
        <v>0</v>
      </c>
      <c r="J422" s="14" t="n">
        <v>0</v>
      </c>
      <c r="K422" s="14" t="n">
        <v>0</v>
      </c>
      <c r="L422" s="14" t="n">
        <v>0</v>
      </c>
      <c r="M422" s="14">
        <f>IF(B422="Frete de venda",0,(1-ISNUMBER(SEARCH("556",P422)))*(I422*VLOOKUP($B422,Premissas!$A$4:$E$7,2,0)+J422*VLOOKUP($B422,Premissas!$A$4:$E$7,3,0))+K422*VLOOKUP($B422,Premissas!$A$4:$E$7,4,0)+L422*VLOOKUP($B422,Premissas!$A$4:$E$7,5,0))</f>
        <v/>
      </c>
      <c r="N422" s="14">
        <f>H422-M422</f>
        <v/>
      </c>
      <c r="O422" t="inlineStr">
        <is>
          <t>Não</t>
        </is>
      </c>
      <c r="P422" t="inlineStr">
        <is>
          <t>1.350</t>
        </is>
      </c>
    </row>
    <row r="423">
      <c r="A423" t="inlineStr">
        <is>
          <t>Antes de 2026</t>
        </is>
      </c>
      <c r="B423" t="inlineStr">
        <is>
          <t>Frete de venda</t>
        </is>
      </c>
      <c r="C423" t="inlineStr">
        <is>
          <t>Frete de venda (para clientes)</t>
        </is>
      </c>
      <c r="D423" t="inlineStr">
        <is>
          <t>CT-e</t>
        </is>
      </c>
      <c r="E423" t="inlineStr">
        <is>
          <t>000003751</t>
        </is>
      </c>
      <c r="F423" t="inlineStr">
        <is>
          <t>R&amp;R TRANSPORTE E LOGISTICA</t>
        </is>
      </c>
      <c r="G423" s="27" t="n">
        <v>45714</v>
      </c>
      <c r="H423" s="14" t="n">
        <v>46.08</v>
      </c>
      <c r="I423" s="14" t="n">
        <v>0</v>
      </c>
      <c r="J423" s="14" t="n">
        <v>0</v>
      </c>
      <c r="K423" s="14" t="n">
        <v>0</v>
      </c>
      <c r="L423" s="14" t="n">
        <v>0</v>
      </c>
      <c r="M423" s="14">
        <f>IF(B423="Frete de venda",0,(1-ISNUMBER(SEARCH("556",P423)))*(I423*VLOOKUP($B423,Premissas!$A$4:$E$7,2,0)+J423*VLOOKUP($B423,Premissas!$A$4:$E$7,3,0))+K423*VLOOKUP($B423,Premissas!$A$4:$E$7,4,0)+L423*VLOOKUP($B423,Premissas!$A$4:$E$7,5,0))</f>
        <v/>
      </c>
      <c r="N423" s="14">
        <f>H423-M423</f>
        <v/>
      </c>
      <c r="O423" t="inlineStr">
        <is>
          <t>Não</t>
        </is>
      </c>
      <c r="P423" t="inlineStr">
        <is>
          <t>1.350</t>
        </is>
      </c>
    </row>
    <row r="424">
      <c r="A424" t="inlineStr">
        <is>
          <t>Antes de 2026</t>
        </is>
      </c>
      <c r="B424" t="inlineStr">
        <is>
          <t>Frete de venda</t>
        </is>
      </c>
      <c r="C424" t="inlineStr">
        <is>
          <t>Frete de venda (para clientes)</t>
        </is>
      </c>
      <c r="D424" t="inlineStr">
        <is>
          <t>CT-e</t>
        </is>
      </c>
      <c r="E424" t="inlineStr">
        <is>
          <t>000003517</t>
        </is>
      </c>
      <c r="F424" t="inlineStr">
        <is>
          <t>R&amp;R TRANSPORTE E LOGISTICA</t>
        </is>
      </c>
      <c r="G424" s="27" t="n">
        <v>45671</v>
      </c>
      <c r="H424" s="14" t="n">
        <v>181</v>
      </c>
      <c r="I424" s="14" t="n">
        <v>0</v>
      </c>
      <c r="J424" s="14" t="n">
        <v>0</v>
      </c>
      <c r="K424" s="14" t="n">
        <v>0</v>
      </c>
      <c r="L424" s="14" t="n">
        <v>0</v>
      </c>
      <c r="M424" s="14">
        <f>IF(B424="Frete de venda",0,(1-ISNUMBER(SEARCH("556",P424)))*(I424*VLOOKUP($B424,Premissas!$A$4:$E$7,2,0)+J424*VLOOKUP($B424,Premissas!$A$4:$E$7,3,0))+K424*VLOOKUP($B424,Premissas!$A$4:$E$7,4,0)+L424*VLOOKUP($B424,Premissas!$A$4:$E$7,5,0))</f>
        <v/>
      </c>
      <c r="N424" s="14">
        <f>H424-M424</f>
        <v/>
      </c>
      <c r="O424" t="inlineStr">
        <is>
          <t>Não</t>
        </is>
      </c>
      <c r="P424" t="inlineStr">
        <is>
          <t>1.350</t>
        </is>
      </c>
    </row>
    <row r="425">
      <c r="A425" t="inlineStr">
        <is>
          <t>Antes de 2026</t>
        </is>
      </c>
      <c r="B425" t="inlineStr">
        <is>
          <t>Frete de venda</t>
        </is>
      </c>
      <c r="C425" t="inlineStr">
        <is>
          <t>Frete de venda (para clientes)</t>
        </is>
      </c>
      <c r="D425" t="inlineStr">
        <is>
          <t>CT-e</t>
        </is>
      </c>
      <c r="E425" t="inlineStr">
        <is>
          <t>000003677</t>
        </is>
      </c>
      <c r="F425" t="inlineStr">
        <is>
          <t>R&amp;R TRANSPORTE E LOGISTICA</t>
        </is>
      </c>
      <c r="G425" s="27" t="n">
        <v>45703</v>
      </c>
      <c r="H425" s="14" t="n">
        <v>220</v>
      </c>
      <c r="I425" s="14" t="n">
        <v>0</v>
      </c>
      <c r="J425" s="14" t="n">
        <v>0</v>
      </c>
      <c r="K425" s="14" t="n">
        <v>0</v>
      </c>
      <c r="L425" s="14" t="n">
        <v>0</v>
      </c>
      <c r="M425" s="14">
        <f>IF(B425="Frete de venda",0,(1-ISNUMBER(SEARCH("556",P425)))*(I425*VLOOKUP($B425,Premissas!$A$4:$E$7,2,0)+J425*VLOOKUP($B425,Premissas!$A$4:$E$7,3,0))+K425*VLOOKUP($B425,Premissas!$A$4:$E$7,4,0)+L425*VLOOKUP($B425,Premissas!$A$4:$E$7,5,0))</f>
        <v/>
      </c>
      <c r="N425" s="14">
        <f>H425-M425</f>
        <v/>
      </c>
      <c r="O425" t="inlineStr">
        <is>
          <t>Não</t>
        </is>
      </c>
      <c r="P425" t="inlineStr">
        <is>
          <t>1.350</t>
        </is>
      </c>
    </row>
    <row r="426">
      <c r="A426" t="inlineStr">
        <is>
          <t>Antes de 2026</t>
        </is>
      </c>
      <c r="B426" t="inlineStr">
        <is>
          <t>Frete de venda</t>
        </is>
      </c>
      <c r="C426" t="inlineStr">
        <is>
          <t>Frete de venda (para clientes)</t>
        </is>
      </c>
      <c r="D426" t="inlineStr">
        <is>
          <t>CT-e</t>
        </is>
      </c>
      <c r="E426" t="inlineStr">
        <is>
          <t>000003891</t>
        </is>
      </c>
      <c r="F426" t="inlineStr">
        <is>
          <t>R&amp;R TRANSPORTE E LOGISTICA</t>
        </is>
      </c>
      <c r="G426" s="27" t="n">
        <v>45738</v>
      </c>
      <c r="H426" s="14" t="n">
        <v>71</v>
      </c>
      <c r="I426" s="14" t="n">
        <v>0</v>
      </c>
      <c r="J426" s="14" t="n">
        <v>0</v>
      </c>
      <c r="K426" s="14" t="n">
        <v>0</v>
      </c>
      <c r="L426" s="14" t="n">
        <v>0</v>
      </c>
      <c r="M426" s="14">
        <f>IF(B426="Frete de venda",0,(1-ISNUMBER(SEARCH("556",P426)))*(I426*VLOOKUP($B426,Premissas!$A$4:$E$7,2,0)+J426*VLOOKUP($B426,Premissas!$A$4:$E$7,3,0))+K426*VLOOKUP($B426,Premissas!$A$4:$E$7,4,0)+L426*VLOOKUP($B426,Premissas!$A$4:$E$7,5,0))</f>
        <v/>
      </c>
      <c r="N426" s="14">
        <f>H426-M426</f>
        <v/>
      </c>
      <c r="O426" t="inlineStr">
        <is>
          <t>Não</t>
        </is>
      </c>
      <c r="P426" t="inlineStr">
        <is>
          <t>1.350</t>
        </is>
      </c>
    </row>
    <row r="427">
      <c r="A427" t="inlineStr">
        <is>
          <t>Antes de 2026</t>
        </is>
      </c>
      <c r="B427" t="inlineStr">
        <is>
          <t>Frete de venda</t>
        </is>
      </c>
      <c r="C427" t="inlineStr">
        <is>
          <t>Frete de venda (para clientes)</t>
        </is>
      </c>
      <c r="D427" t="inlineStr">
        <is>
          <t>CT-e</t>
        </is>
      </c>
      <c r="E427" t="inlineStr">
        <is>
          <t>000003752</t>
        </is>
      </c>
      <c r="F427" t="inlineStr">
        <is>
          <t>R&amp;R TRANSPORTE E LOGISTICA</t>
        </is>
      </c>
      <c r="G427" s="27" t="n">
        <v>45714</v>
      </c>
      <c r="H427" s="14" t="n">
        <v>48.88</v>
      </c>
      <c r="I427" s="14" t="n">
        <v>0</v>
      </c>
      <c r="J427" s="14" t="n">
        <v>0</v>
      </c>
      <c r="K427" s="14" t="n">
        <v>0</v>
      </c>
      <c r="L427" s="14" t="n">
        <v>0</v>
      </c>
      <c r="M427" s="14">
        <f>IF(B427="Frete de venda",0,(1-ISNUMBER(SEARCH("556",P427)))*(I427*VLOOKUP($B427,Premissas!$A$4:$E$7,2,0)+J427*VLOOKUP($B427,Premissas!$A$4:$E$7,3,0))+K427*VLOOKUP($B427,Premissas!$A$4:$E$7,4,0)+L427*VLOOKUP($B427,Premissas!$A$4:$E$7,5,0))</f>
        <v/>
      </c>
      <c r="N427" s="14">
        <f>H427-M427</f>
        <v/>
      </c>
      <c r="O427" t="inlineStr">
        <is>
          <t>Não</t>
        </is>
      </c>
      <c r="P427" t="inlineStr">
        <is>
          <t>1.350</t>
        </is>
      </c>
    </row>
    <row r="428">
      <c r="A428" t="inlineStr">
        <is>
          <t>Antes de 2026</t>
        </is>
      </c>
      <c r="B428" t="inlineStr">
        <is>
          <t>Frete de venda</t>
        </is>
      </c>
      <c r="C428" t="inlineStr">
        <is>
          <t>Frete de venda (para clientes)</t>
        </is>
      </c>
      <c r="D428" t="inlineStr">
        <is>
          <t>CT-e</t>
        </is>
      </c>
      <c r="E428" t="inlineStr">
        <is>
          <t>000003601</t>
        </is>
      </c>
      <c r="F428" t="inlineStr">
        <is>
          <t>R&amp;R TRANSPORTE E LOGISTICA</t>
        </is>
      </c>
      <c r="G428" s="27" t="n">
        <v>45687</v>
      </c>
      <c r="H428" s="14" t="n">
        <v>35</v>
      </c>
      <c r="I428" s="14" t="n">
        <v>0</v>
      </c>
      <c r="J428" s="14" t="n">
        <v>0</v>
      </c>
      <c r="K428" s="14" t="n">
        <v>0</v>
      </c>
      <c r="L428" s="14" t="n">
        <v>0</v>
      </c>
      <c r="M428" s="14">
        <f>IF(B428="Frete de venda",0,(1-ISNUMBER(SEARCH("556",P428)))*(I428*VLOOKUP($B428,Premissas!$A$4:$E$7,2,0)+J428*VLOOKUP($B428,Premissas!$A$4:$E$7,3,0))+K428*VLOOKUP($B428,Premissas!$A$4:$E$7,4,0)+L428*VLOOKUP($B428,Premissas!$A$4:$E$7,5,0))</f>
        <v/>
      </c>
      <c r="N428" s="14">
        <f>H428-M428</f>
        <v/>
      </c>
      <c r="O428" t="inlineStr">
        <is>
          <t>Não</t>
        </is>
      </c>
      <c r="P428" t="inlineStr">
        <is>
          <t>1.350</t>
        </is>
      </c>
    </row>
    <row r="429">
      <c r="A429" t="inlineStr">
        <is>
          <t>Antes de 2026</t>
        </is>
      </c>
      <c r="B429" t="inlineStr">
        <is>
          <t>Frete de venda</t>
        </is>
      </c>
      <c r="C429" t="inlineStr">
        <is>
          <t>Frete de venda (para clientes)</t>
        </is>
      </c>
      <c r="D429" t="inlineStr">
        <is>
          <t>CT-e</t>
        </is>
      </c>
      <c r="E429" t="inlineStr">
        <is>
          <t>000003588</t>
        </is>
      </c>
      <c r="F429" t="inlineStr">
        <is>
          <t>R&amp;R TRANSPORTE E LOGISTICA</t>
        </is>
      </c>
      <c r="G429" s="27" t="n">
        <v>45685</v>
      </c>
      <c r="H429" s="14" t="n">
        <v>42.8</v>
      </c>
      <c r="I429" s="14" t="n">
        <v>0</v>
      </c>
      <c r="J429" s="14" t="n">
        <v>0</v>
      </c>
      <c r="K429" s="14" t="n">
        <v>0</v>
      </c>
      <c r="L429" s="14" t="n">
        <v>0</v>
      </c>
      <c r="M429" s="14">
        <f>IF(B429="Frete de venda",0,(1-ISNUMBER(SEARCH("556",P429)))*(I429*VLOOKUP($B429,Premissas!$A$4:$E$7,2,0)+J429*VLOOKUP($B429,Premissas!$A$4:$E$7,3,0))+K429*VLOOKUP($B429,Premissas!$A$4:$E$7,4,0)+L429*VLOOKUP($B429,Premissas!$A$4:$E$7,5,0))</f>
        <v/>
      </c>
      <c r="N429" s="14">
        <f>H429-M429</f>
        <v/>
      </c>
      <c r="O429" t="inlineStr">
        <is>
          <t>Não</t>
        </is>
      </c>
      <c r="P429" t="inlineStr">
        <is>
          <t>1.350</t>
        </is>
      </c>
    </row>
    <row r="430">
      <c r="A430" t="inlineStr">
        <is>
          <t>Antes de 2026</t>
        </is>
      </c>
      <c r="B430" t="inlineStr">
        <is>
          <t>Frete de venda</t>
        </is>
      </c>
      <c r="C430" t="inlineStr">
        <is>
          <t>Frete de venda (para clientes)</t>
        </is>
      </c>
      <c r="D430" t="inlineStr">
        <is>
          <t>CT-e</t>
        </is>
      </c>
      <c r="E430" t="inlineStr">
        <is>
          <t>000003525</t>
        </is>
      </c>
      <c r="F430" t="inlineStr">
        <is>
          <t>R&amp;R TRANSPORTE E LOGISTICA</t>
        </is>
      </c>
      <c r="G430" s="27" t="n">
        <v>45672</v>
      </c>
      <c r="H430" s="14" t="n">
        <v>40.61</v>
      </c>
      <c r="I430" s="14" t="n">
        <v>0</v>
      </c>
      <c r="J430" s="14" t="n">
        <v>0</v>
      </c>
      <c r="K430" s="14" t="n">
        <v>0</v>
      </c>
      <c r="L430" s="14" t="n">
        <v>0</v>
      </c>
      <c r="M430" s="14">
        <f>IF(B430="Frete de venda",0,(1-ISNUMBER(SEARCH("556",P430)))*(I430*VLOOKUP($B430,Premissas!$A$4:$E$7,2,0)+J430*VLOOKUP($B430,Premissas!$A$4:$E$7,3,0))+K430*VLOOKUP($B430,Premissas!$A$4:$E$7,4,0)+L430*VLOOKUP($B430,Premissas!$A$4:$E$7,5,0))</f>
        <v/>
      </c>
      <c r="N430" s="14">
        <f>H430-M430</f>
        <v/>
      </c>
      <c r="O430" t="inlineStr">
        <is>
          <t>Não</t>
        </is>
      </c>
      <c r="P430" t="inlineStr">
        <is>
          <t>1.350</t>
        </is>
      </c>
    </row>
    <row r="431">
      <c r="A431" t="inlineStr">
        <is>
          <t>Antes de 2026</t>
        </is>
      </c>
      <c r="B431" t="inlineStr">
        <is>
          <t>Frete de venda</t>
        </is>
      </c>
      <c r="C431" t="inlineStr">
        <is>
          <t>Frete de venda (para clientes)</t>
        </is>
      </c>
      <c r="D431" t="inlineStr">
        <is>
          <t>CT-e</t>
        </is>
      </c>
      <c r="E431" t="inlineStr">
        <is>
          <t>000003676</t>
        </is>
      </c>
      <c r="F431" t="inlineStr">
        <is>
          <t>R&amp;R TRANSPORTE E LOGISTICA</t>
        </is>
      </c>
      <c r="G431" s="27" t="n">
        <v>45702</v>
      </c>
      <c r="H431" s="14" t="n">
        <v>96.16</v>
      </c>
      <c r="I431" s="14" t="n">
        <v>0</v>
      </c>
      <c r="J431" s="14" t="n">
        <v>0</v>
      </c>
      <c r="K431" s="14" t="n">
        <v>0</v>
      </c>
      <c r="L431" s="14" t="n">
        <v>0</v>
      </c>
      <c r="M431" s="14">
        <f>IF(B431="Frete de venda",0,(1-ISNUMBER(SEARCH("556",P431)))*(I431*VLOOKUP($B431,Premissas!$A$4:$E$7,2,0)+J431*VLOOKUP($B431,Premissas!$A$4:$E$7,3,0))+K431*VLOOKUP($B431,Premissas!$A$4:$E$7,4,0)+L431*VLOOKUP($B431,Premissas!$A$4:$E$7,5,0))</f>
        <v/>
      </c>
      <c r="N431" s="14">
        <f>H431-M431</f>
        <v/>
      </c>
      <c r="O431" t="inlineStr">
        <is>
          <t>Não</t>
        </is>
      </c>
      <c r="P431" t="inlineStr">
        <is>
          <t>1.350</t>
        </is>
      </c>
    </row>
    <row r="432">
      <c r="A432" t="inlineStr">
        <is>
          <t>Antes de 2026</t>
        </is>
      </c>
      <c r="B432" t="inlineStr">
        <is>
          <t>Frete de venda</t>
        </is>
      </c>
      <c r="C432" t="inlineStr">
        <is>
          <t>Frete de venda (para clientes)</t>
        </is>
      </c>
      <c r="D432" t="inlineStr">
        <is>
          <t>CT-e</t>
        </is>
      </c>
      <c r="E432" t="inlineStr">
        <is>
          <t>000003608</t>
        </is>
      </c>
      <c r="F432" t="inlineStr">
        <is>
          <t>R&amp;R TRANSPORTE E LOGISTICA</t>
        </is>
      </c>
      <c r="G432" s="27" t="n">
        <v>45687</v>
      </c>
      <c r="H432" s="14" t="n">
        <v>25</v>
      </c>
      <c r="I432" s="14" t="n">
        <v>0</v>
      </c>
      <c r="J432" s="14" t="n">
        <v>0</v>
      </c>
      <c r="K432" s="14" t="n">
        <v>0</v>
      </c>
      <c r="L432" s="14" t="n">
        <v>0</v>
      </c>
      <c r="M432" s="14">
        <f>IF(B432="Frete de venda",0,(1-ISNUMBER(SEARCH("556",P432)))*(I432*VLOOKUP($B432,Premissas!$A$4:$E$7,2,0)+J432*VLOOKUP($B432,Premissas!$A$4:$E$7,3,0))+K432*VLOOKUP($B432,Premissas!$A$4:$E$7,4,0)+L432*VLOOKUP($B432,Premissas!$A$4:$E$7,5,0))</f>
        <v/>
      </c>
      <c r="N432" s="14">
        <f>H432-M432</f>
        <v/>
      </c>
      <c r="O432" t="inlineStr">
        <is>
          <t>Não</t>
        </is>
      </c>
      <c r="P432" t="inlineStr">
        <is>
          <t>1.350</t>
        </is>
      </c>
    </row>
    <row r="433">
      <c r="A433" t="inlineStr">
        <is>
          <t>Antes de 2026</t>
        </is>
      </c>
      <c r="B433" t="inlineStr">
        <is>
          <t>Frete de venda</t>
        </is>
      </c>
      <c r="C433" t="inlineStr">
        <is>
          <t>Frete de venda (para clientes)</t>
        </is>
      </c>
      <c r="D433" t="inlineStr">
        <is>
          <t>CT-e</t>
        </is>
      </c>
      <c r="E433" t="inlineStr">
        <is>
          <t>000003841</t>
        </is>
      </c>
      <c r="F433" t="inlineStr">
        <is>
          <t>R&amp;R TRANSPORTE E LOGISTICA</t>
        </is>
      </c>
      <c r="G433" s="27" t="n">
        <v>45730</v>
      </c>
      <c r="H433" s="14" t="n">
        <v>33.71</v>
      </c>
      <c r="I433" s="14" t="n">
        <v>0</v>
      </c>
      <c r="J433" s="14" t="n">
        <v>0</v>
      </c>
      <c r="K433" s="14" t="n">
        <v>0</v>
      </c>
      <c r="L433" s="14" t="n">
        <v>0</v>
      </c>
      <c r="M433" s="14">
        <f>IF(B433="Frete de venda",0,(1-ISNUMBER(SEARCH("556",P433)))*(I433*VLOOKUP($B433,Premissas!$A$4:$E$7,2,0)+J433*VLOOKUP($B433,Premissas!$A$4:$E$7,3,0))+K433*VLOOKUP($B433,Premissas!$A$4:$E$7,4,0)+L433*VLOOKUP($B433,Premissas!$A$4:$E$7,5,0))</f>
        <v/>
      </c>
      <c r="N433" s="14">
        <f>H433-M433</f>
        <v/>
      </c>
      <c r="O433" t="inlineStr">
        <is>
          <t>Não</t>
        </is>
      </c>
      <c r="P433" t="inlineStr">
        <is>
          <t>1.350</t>
        </is>
      </c>
    </row>
    <row r="434">
      <c r="A434" t="inlineStr">
        <is>
          <t>Antes de 2026</t>
        </is>
      </c>
      <c r="B434" t="inlineStr">
        <is>
          <t>Frete de venda</t>
        </is>
      </c>
      <c r="C434" t="inlineStr">
        <is>
          <t>Frete de venda (para clientes)</t>
        </is>
      </c>
      <c r="D434" t="inlineStr">
        <is>
          <t>CT-e</t>
        </is>
      </c>
      <c r="E434" t="inlineStr">
        <is>
          <t>000003708</t>
        </is>
      </c>
      <c r="F434" t="inlineStr">
        <is>
          <t>R&amp;R TRANSPORTE E LOGISTICA</t>
        </is>
      </c>
      <c r="G434" s="27" t="n">
        <v>45707</v>
      </c>
      <c r="H434" s="14" t="n">
        <v>50.94</v>
      </c>
      <c r="I434" s="14" t="n">
        <v>0</v>
      </c>
      <c r="J434" s="14" t="n">
        <v>0</v>
      </c>
      <c r="K434" s="14" t="n">
        <v>0</v>
      </c>
      <c r="L434" s="14" t="n">
        <v>0</v>
      </c>
      <c r="M434" s="14">
        <f>IF(B434="Frete de venda",0,(1-ISNUMBER(SEARCH("556",P434)))*(I434*VLOOKUP($B434,Premissas!$A$4:$E$7,2,0)+J434*VLOOKUP($B434,Premissas!$A$4:$E$7,3,0))+K434*VLOOKUP($B434,Premissas!$A$4:$E$7,4,0)+L434*VLOOKUP($B434,Premissas!$A$4:$E$7,5,0))</f>
        <v/>
      </c>
      <c r="N434" s="14">
        <f>H434-M434</f>
        <v/>
      </c>
      <c r="O434" t="inlineStr">
        <is>
          <t>Não</t>
        </is>
      </c>
      <c r="P434" t="inlineStr">
        <is>
          <t>1.350</t>
        </is>
      </c>
    </row>
    <row r="435">
      <c r="A435" t="inlineStr">
        <is>
          <t>Antes de 2026</t>
        </is>
      </c>
      <c r="B435" t="inlineStr">
        <is>
          <t>Frete de venda</t>
        </is>
      </c>
      <c r="C435" t="inlineStr">
        <is>
          <t>Frete de venda (para clientes)</t>
        </is>
      </c>
      <c r="D435" t="inlineStr">
        <is>
          <t>CT-e</t>
        </is>
      </c>
      <c r="E435" t="inlineStr">
        <is>
          <t>000003779</t>
        </is>
      </c>
      <c r="F435" t="inlineStr">
        <is>
          <t>R&amp;R TRANSPORTE E LOGISTICA</t>
        </is>
      </c>
      <c r="G435" s="27" t="n">
        <v>45717</v>
      </c>
      <c r="H435" s="14" t="n">
        <v>52</v>
      </c>
      <c r="I435" s="14" t="n">
        <v>0</v>
      </c>
      <c r="J435" s="14" t="n">
        <v>0</v>
      </c>
      <c r="K435" s="14" t="n">
        <v>0</v>
      </c>
      <c r="L435" s="14" t="n">
        <v>0</v>
      </c>
      <c r="M435" s="14">
        <f>IF(B435="Frete de venda",0,(1-ISNUMBER(SEARCH("556",P435)))*(I435*VLOOKUP($B435,Premissas!$A$4:$E$7,2,0)+J435*VLOOKUP($B435,Premissas!$A$4:$E$7,3,0))+K435*VLOOKUP($B435,Premissas!$A$4:$E$7,4,0)+L435*VLOOKUP($B435,Premissas!$A$4:$E$7,5,0))</f>
        <v/>
      </c>
      <c r="N435" s="14">
        <f>H435-M435</f>
        <v/>
      </c>
      <c r="O435" t="inlineStr">
        <is>
          <t>Não</t>
        </is>
      </c>
      <c r="P435" t="inlineStr">
        <is>
          <t>1.350</t>
        </is>
      </c>
    </row>
    <row r="436">
      <c r="A436" t="inlineStr">
        <is>
          <t>Antes de 2026</t>
        </is>
      </c>
      <c r="B436" t="inlineStr">
        <is>
          <t>Frete de venda</t>
        </is>
      </c>
      <c r="C436" t="inlineStr">
        <is>
          <t>Frete de venda (para clientes)</t>
        </is>
      </c>
      <c r="D436" t="inlineStr">
        <is>
          <t>CT-e</t>
        </is>
      </c>
      <c r="E436" t="inlineStr">
        <is>
          <t>000003780</t>
        </is>
      </c>
      <c r="F436" t="inlineStr">
        <is>
          <t>R&amp;R TRANSPORTE E LOGISTICA</t>
        </is>
      </c>
      <c r="G436" s="27" t="n">
        <v>45717</v>
      </c>
      <c r="H436" s="14" t="n">
        <v>19</v>
      </c>
      <c r="I436" s="14" t="n">
        <v>0</v>
      </c>
      <c r="J436" s="14" t="n">
        <v>0</v>
      </c>
      <c r="K436" s="14" t="n">
        <v>0</v>
      </c>
      <c r="L436" s="14" t="n">
        <v>0</v>
      </c>
      <c r="M436" s="14">
        <f>IF(B436="Frete de venda",0,(1-ISNUMBER(SEARCH("556",P436)))*(I436*VLOOKUP($B436,Premissas!$A$4:$E$7,2,0)+J436*VLOOKUP($B436,Premissas!$A$4:$E$7,3,0))+K436*VLOOKUP($B436,Premissas!$A$4:$E$7,4,0)+L436*VLOOKUP($B436,Premissas!$A$4:$E$7,5,0))</f>
        <v/>
      </c>
      <c r="N436" s="14">
        <f>H436-M436</f>
        <v/>
      </c>
      <c r="O436" t="inlineStr">
        <is>
          <t>Não</t>
        </is>
      </c>
      <c r="P436" t="inlineStr">
        <is>
          <t>1.350</t>
        </is>
      </c>
    </row>
    <row r="437">
      <c r="A437" t="inlineStr">
        <is>
          <t>Antes de 2026</t>
        </is>
      </c>
      <c r="B437" t="inlineStr">
        <is>
          <t>Frete de venda</t>
        </is>
      </c>
      <c r="C437" t="inlineStr">
        <is>
          <t>Frete de venda (para clientes)</t>
        </is>
      </c>
      <c r="D437" t="inlineStr">
        <is>
          <t>CT-e</t>
        </is>
      </c>
      <c r="E437" t="inlineStr">
        <is>
          <t>000003869</t>
        </is>
      </c>
      <c r="F437" t="inlineStr">
        <is>
          <t>R&amp;R TRANSPORTE E LOGISTICA</t>
        </is>
      </c>
      <c r="G437" s="27" t="n">
        <v>45736</v>
      </c>
      <c r="H437" s="14" t="n">
        <v>28.28</v>
      </c>
      <c r="I437" s="14" t="n">
        <v>0</v>
      </c>
      <c r="J437" s="14" t="n">
        <v>0</v>
      </c>
      <c r="K437" s="14" t="n">
        <v>0</v>
      </c>
      <c r="L437" s="14" t="n">
        <v>0</v>
      </c>
      <c r="M437" s="14">
        <f>IF(B437="Frete de venda",0,(1-ISNUMBER(SEARCH("556",P437)))*(I437*VLOOKUP($B437,Premissas!$A$4:$E$7,2,0)+J437*VLOOKUP($B437,Premissas!$A$4:$E$7,3,0))+K437*VLOOKUP($B437,Premissas!$A$4:$E$7,4,0)+L437*VLOOKUP($B437,Premissas!$A$4:$E$7,5,0))</f>
        <v/>
      </c>
      <c r="N437" s="14">
        <f>H437-M437</f>
        <v/>
      </c>
      <c r="O437" t="inlineStr">
        <is>
          <t>Não</t>
        </is>
      </c>
      <c r="P437" t="inlineStr">
        <is>
          <t>1.350</t>
        </is>
      </c>
    </row>
    <row r="438">
      <c r="A438" t="inlineStr">
        <is>
          <t>Antes de 2026</t>
        </is>
      </c>
      <c r="B438" t="inlineStr">
        <is>
          <t>Frete de venda</t>
        </is>
      </c>
      <c r="C438" t="inlineStr">
        <is>
          <t>Frete de venda (para clientes)</t>
        </is>
      </c>
      <c r="D438" t="inlineStr">
        <is>
          <t>CT-e</t>
        </is>
      </c>
      <c r="E438" t="inlineStr">
        <is>
          <t>000003542</t>
        </is>
      </c>
      <c r="F438" t="inlineStr">
        <is>
          <t>R&amp;R TRANSPORTE E LOGISTICA</t>
        </is>
      </c>
      <c r="G438" s="27" t="n">
        <v>45675</v>
      </c>
      <c r="H438" s="14" t="n">
        <v>106</v>
      </c>
      <c r="I438" s="14" t="n">
        <v>0</v>
      </c>
      <c r="J438" s="14" t="n">
        <v>0</v>
      </c>
      <c r="K438" s="14" t="n">
        <v>0</v>
      </c>
      <c r="L438" s="14" t="n">
        <v>0</v>
      </c>
      <c r="M438" s="14">
        <f>IF(B438="Frete de venda",0,(1-ISNUMBER(SEARCH("556",P438)))*(I438*VLOOKUP($B438,Premissas!$A$4:$E$7,2,0)+J438*VLOOKUP($B438,Premissas!$A$4:$E$7,3,0))+K438*VLOOKUP($B438,Premissas!$A$4:$E$7,4,0)+L438*VLOOKUP($B438,Premissas!$A$4:$E$7,5,0))</f>
        <v/>
      </c>
      <c r="N438" s="14">
        <f>H438-M438</f>
        <v/>
      </c>
      <c r="O438" t="inlineStr">
        <is>
          <t>Não</t>
        </is>
      </c>
      <c r="P438" t="inlineStr">
        <is>
          <t>1.350</t>
        </is>
      </c>
    </row>
    <row r="439">
      <c r="A439" t="inlineStr">
        <is>
          <t>Antes de 2026</t>
        </is>
      </c>
      <c r="B439" t="inlineStr">
        <is>
          <t>Frete de venda</t>
        </is>
      </c>
      <c r="C439" t="inlineStr">
        <is>
          <t>Frete de venda (para clientes)</t>
        </is>
      </c>
      <c r="D439" t="inlineStr">
        <is>
          <t>CT-e</t>
        </is>
      </c>
      <c r="E439" t="inlineStr">
        <is>
          <t>000003881</t>
        </is>
      </c>
      <c r="F439" t="inlineStr">
        <is>
          <t>R&amp;R TRANSPORTE E LOGISTICA</t>
        </is>
      </c>
      <c r="G439" s="27" t="n">
        <v>45736</v>
      </c>
      <c r="H439" s="14" t="n">
        <v>64.09999999999999</v>
      </c>
      <c r="I439" s="14" t="n">
        <v>0</v>
      </c>
      <c r="J439" s="14" t="n">
        <v>0</v>
      </c>
      <c r="K439" s="14" t="n">
        <v>0</v>
      </c>
      <c r="L439" s="14" t="n">
        <v>0</v>
      </c>
      <c r="M439" s="14">
        <f>IF(B439="Frete de venda",0,(1-ISNUMBER(SEARCH("556",P439)))*(I439*VLOOKUP($B439,Premissas!$A$4:$E$7,2,0)+J439*VLOOKUP($B439,Premissas!$A$4:$E$7,3,0))+K439*VLOOKUP($B439,Premissas!$A$4:$E$7,4,0)+L439*VLOOKUP($B439,Premissas!$A$4:$E$7,5,0))</f>
        <v/>
      </c>
      <c r="N439" s="14">
        <f>H439-M439</f>
        <v/>
      </c>
      <c r="O439" t="inlineStr">
        <is>
          <t>Não</t>
        </is>
      </c>
      <c r="P439" t="inlineStr">
        <is>
          <t>1.350</t>
        </is>
      </c>
    </row>
    <row r="440">
      <c r="A440" t="inlineStr">
        <is>
          <t>Antes de 2026</t>
        </is>
      </c>
      <c r="B440" t="inlineStr">
        <is>
          <t>Frete de venda</t>
        </is>
      </c>
      <c r="C440" t="inlineStr">
        <is>
          <t>Frete de venda (para clientes)</t>
        </is>
      </c>
      <c r="D440" t="inlineStr">
        <is>
          <t>CT-e</t>
        </is>
      </c>
      <c r="E440" t="inlineStr">
        <is>
          <t>000003643</t>
        </is>
      </c>
      <c r="F440" t="inlineStr">
        <is>
          <t>R&amp;R TRANSPORTE E LOGISTICA</t>
        </is>
      </c>
      <c r="G440" s="27" t="n">
        <v>45695</v>
      </c>
      <c r="H440" s="14" t="n">
        <v>66</v>
      </c>
      <c r="I440" s="14" t="n">
        <v>0</v>
      </c>
      <c r="J440" s="14" t="n">
        <v>0</v>
      </c>
      <c r="K440" s="14" t="n">
        <v>0</v>
      </c>
      <c r="L440" s="14" t="n">
        <v>0</v>
      </c>
      <c r="M440" s="14">
        <f>IF(B440="Frete de venda",0,(1-ISNUMBER(SEARCH("556",P440)))*(I440*VLOOKUP($B440,Premissas!$A$4:$E$7,2,0)+J440*VLOOKUP($B440,Premissas!$A$4:$E$7,3,0))+K440*VLOOKUP($B440,Premissas!$A$4:$E$7,4,0)+L440*VLOOKUP($B440,Premissas!$A$4:$E$7,5,0))</f>
        <v/>
      </c>
      <c r="N440" s="14">
        <f>H440-M440</f>
        <v/>
      </c>
      <c r="O440" t="inlineStr">
        <is>
          <t>Não</t>
        </is>
      </c>
      <c r="P440" t="inlineStr">
        <is>
          <t>1.350</t>
        </is>
      </c>
    </row>
    <row r="441">
      <c r="A441" t="inlineStr">
        <is>
          <t>Antes de 2026</t>
        </is>
      </c>
      <c r="B441" t="inlineStr">
        <is>
          <t>Frete de venda</t>
        </is>
      </c>
      <c r="C441" t="inlineStr">
        <is>
          <t>Frete de venda (para clientes)</t>
        </is>
      </c>
      <c r="D441" t="inlineStr">
        <is>
          <t>CT-e</t>
        </is>
      </c>
      <c r="E441" t="inlineStr">
        <is>
          <t>000003637</t>
        </is>
      </c>
      <c r="F441" t="inlineStr">
        <is>
          <t>R&amp;R TRANSPORTE E LOGISTICA</t>
        </is>
      </c>
      <c r="G441" s="27" t="n">
        <v>45694</v>
      </c>
      <c r="H441" s="14" t="n">
        <v>71.56</v>
      </c>
      <c r="I441" s="14" t="n">
        <v>0</v>
      </c>
      <c r="J441" s="14" t="n">
        <v>0</v>
      </c>
      <c r="K441" s="14" t="n">
        <v>0</v>
      </c>
      <c r="L441" s="14" t="n">
        <v>0</v>
      </c>
      <c r="M441" s="14">
        <f>IF(B441="Frete de venda",0,(1-ISNUMBER(SEARCH("556",P441)))*(I441*VLOOKUP($B441,Premissas!$A$4:$E$7,2,0)+J441*VLOOKUP($B441,Premissas!$A$4:$E$7,3,0))+K441*VLOOKUP($B441,Premissas!$A$4:$E$7,4,0)+L441*VLOOKUP($B441,Premissas!$A$4:$E$7,5,0))</f>
        <v/>
      </c>
      <c r="N441" s="14">
        <f>H441-M441</f>
        <v/>
      </c>
      <c r="O441" t="inlineStr">
        <is>
          <t>Não</t>
        </is>
      </c>
      <c r="P441" t="inlineStr">
        <is>
          <t>1.350</t>
        </is>
      </c>
    </row>
    <row r="442">
      <c r="A442" t="inlineStr">
        <is>
          <t>Antes de 2026</t>
        </is>
      </c>
      <c r="B442" t="inlineStr">
        <is>
          <t>Frete de venda</t>
        </is>
      </c>
      <c r="C442" t="inlineStr">
        <is>
          <t>Frete de venda (para clientes)</t>
        </is>
      </c>
      <c r="D442" t="inlineStr">
        <is>
          <t>CT-e</t>
        </is>
      </c>
      <c r="E442" t="inlineStr">
        <is>
          <t>000003667</t>
        </is>
      </c>
      <c r="F442" t="inlineStr">
        <is>
          <t>R&amp;R TRANSPORTE E LOGISTICA</t>
        </is>
      </c>
      <c r="G442" s="27" t="n">
        <v>45701</v>
      </c>
      <c r="H442" s="14" t="n">
        <v>44</v>
      </c>
      <c r="I442" s="14" t="n">
        <v>0</v>
      </c>
      <c r="J442" s="14" t="n">
        <v>0</v>
      </c>
      <c r="K442" s="14" t="n">
        <v>0</v>
      </c>
      <c r="L442" s="14" t="n">
        <v>0</v>
      </c>
      <c r="M442" s="14">
        <f>IF(B442="Frete de venda",0,(1-ISNUMBER(SEARCH("556",P442)))*(I442*VLOOKUP($B442,Premissas!$A$4:$E$7,2,0)+J442*VLOOKUP($B442,Premissas!$A$4:$E$7,3,0))+K442*VLOOKUP($B442,Premissas!$A$4:$E$7,4,0)+L442*VLOOKUP($B442,Premissas!$A$4:$E$7,5,0))</f>
        <v/>
      </c>
      <c r="N442" s="14">
        <f>H442-M442</f>
        <v/>
      </c>
      <c r="O442" t="inlineStr">
        <is>
          <t>Não</t>
        </is>
      </c>
      <c r="P442" t="inlineStr">
        <is>
          <t>1.350</t>
        </is>
      </c>
    </row>
    <row r="443">
      <c r="A443" t="inlineStr">
        <is>
          <t>Antes de 2026</t>
        </is>
      </c>
      <c r="B443" t="inlineStr">
        <is>
          <t>Frete de venda</t>
        </is>
      </c>
      <c r="C443" t="inlineStr">
        <is>
          <t>Frete de venda (para clientes)</t>
        </is>
      </c>
      <c r="D443" t="inlineStr">
        <is>
          <t>CT-e</t>
        </is>
      </c>
      <c r="E443" t="inlineStr">
        <is>
          <t>000003523</t>
        </is>
      </c>
      <c r="F443" t="inlineStr">
        <is>
          <t>R&amp;R TRANSPORTE E LOGISTICA</t>
        </is>
      </c>
      <c r="G443" s="27" t="n">
        <v>45672</v>
      </c>
      <c r="H443" s="14" t="n">
        <v>41.27</v>
      </c>
      <c r="I443" s="14" t="n">
        <v>0</v>
      </c>
      <c r="J443" s="14" t="n">
        <v>0</v>
      </c>
      <c r="K443" s="14" t="n">
        <v>0</v>
      </c>
      <c r="L443" s="14" t="n">
        <v>0</v>
      </c>
      <c r="M443" s="14">
        <f>IF(B443="Frete de venda",0,(1-ISNUMBER(SEARCH("556",P443)))*(I443*VLOOKUP($B443,Premissas!$A$4:$E$7,2,0)+J443*VLOOKUP($B443,Premissas!$A$4:$E$7,3,0))+K443*VLOOKUP($B443,Premissas!$A$4:$E$7,4,0)+L443*VLOOKUP($B443,Premissas!$A$4:$E$7,5,0))</f>
        <v/>
      </c>
      <c r="N443" s="14">
        <f>H443-M443</f>
        <v/>
      </c>
      <c r="O443" t="inlineStr">
        <is>
          <t>Não</t>
        </is>
      </c>
      <c r="P443" t="inlineStr">
        <is>
          <t>1.350</t>
        </is>
      </c>
    </row>
    <row r="444">
      <c r="A444" t="inlineStr">
        <is>
          <t>Antes de 2026</t>
        </is>
      </c>
      <c r="B444" t="inlineStr">
        <is>
          <t>Frete de venda</t>
        </is>
      </c>
      <c r="C444" t="inlineStr">
        <is>
          <t>Frete de venda (para clientes)</t>
        </is>
      </c>
      <c r="D444" t="inlineStr">
        <is>
          <t>CT-e</t>
        </is>
      </c>
      <c r="E444" t="inlineStr">
        <is>
          <t>000003709</t>
        </is>
      </c>
      <c r="F444" t="inlineStr">
        <is>
          <t>R&amp;R TRANSPORTE E LOGISTICA</t>
        </is>
      </c>
      <c r="G444" s="27" t="n">
        <v>45707</v>
      </c>
      <c r="H444" s="14" t="n">
        <v>49.49</v>
      </c>
      <c r="I444" s="14" t="n">
        <v>0</v>
      </c>
      <c r="J444" s="14" t="n">
        <v>0</v>
      </c>
      <c r="K444" s="14" t="n">
        <v>0</v>
      </c>
      <c r="L444" s="14" t="n">
        <v>0</v>
      </c>
      <c r="M444" s="14">
        <f>IF(B444="Frete de venda",0,(1-ISNUMBER(SEARCH("556",P444)))*(I444*VLOOKUP($B444,Premissas!$A$4:$E$7,2,0)+J444*VLOOKUP($B444,Premissas!$A$4:$E$7,3,0))+K444*VLOOKUP($B444,Premissas!$A$4:$E$7,4,0)+L444*VLOOKUP($B444,Premissas!$A$4:$E$7,5,0))</f>
        <v/>
      </c>
      <c r="N444" s="14">
        <f>H444-M444</f>
        <v/>
      </c>
      <c r="O444" t="inlineStr">
        <is>
          <t>Não</t>
        </is>
      </c>
      <c r="P444" t="inlineStr">
        <is>
          <t>1.350</t>
        </is>
      </c>
    </row>
    <row r="445">
      <c r="A445" t="inlineStr">
        <is>
          <t>Antes de 2026</t>
        </is>
      </c>
      <c r="B445" t="inlineStr">
        <is>
          <t>Frete de venda</t>
        </is>
      </c>
      <c r="C445" t="inlineStr">
        <is>
          <t>Frete de venda (para clientes)</t>
        </is>
      </c>
      <c r="D445" t="inlineStr">
        <is>
          <t>CT-e</t>
        </is>
      </c>
      <c r="E445" t="inlineStr">
        <is>
          <t>000003563</t>
        </is>
      </c>
      <c r="F445" t="inlineStr">
        <is>
          <t>R&amp;R TRANSPORTE E LOGISTICA</t>
        </is>
      </c>
      <c r="G445" s="27" t="n">
        <v>45678</v>
      </c>
      <c r="H445" s="14" t="n">
        <v>27</v>
      </c>
      <c r="I445" s="14" t="n">
        <v>0</v>
      </c>
      <c r="J445" s="14" t="n">
        <v>0</v>
      </c>
      <c r="K445" s="14" t="n">
        <v>0</v>
      </c>
      <c r="L445" s="14" t="n">
        <v>0</v>
      </c>
      <c r="M445" s="14">
        <f>IF(B445="Frete de venda",0,(1-ISNUMBER(SEARCH("556",P445)))*(I445*VLOOKUP($B445,Premissas!$A$4:$E$7,2,0)+J445*VLOOKUP($B445,Premissas!$A$4:$E$7,3,0))+K445*VLOOKUP($B445,Premissas!$A$4:$E$7,4,0)+L445*VLOOKUP($B445,Premissas!$A$4:$E$7,5,0))</f>
        <v/>
      </c>
      <c r="N445" s="14">
        <f>H445-M445</f>
        <v/>
      </c>
      <c r="O445" t="inlineStr">
        <is>
          <t>Não</t>
        </is>
      </c>
      <c r="P445" t="inlineStr">
        <is>
          <t>1.350</t>
        </is>
      </c>
    </row>
    <row r="446">
      <c r="A446" t="inlineStr">
        <is>
          <t>Antes de 2026</t>
        </is>
      </c>
      <c r="B446" t="inlineStr">
        <is>
          <t>Frete de venda</t>
        </is>
      </c>
      <c r="C446" t="inlineStr">
        <is>
          <t>Frete de venda (para clientes)</t>
        </is>
      </c>
      <c r="D446" t="inlineStr">
        <is>
          <t>CT-e</t>
        </is>
      </c>
      <c r="E446" t="inlineStr">
        <is>
          <t>000003832</t>
        </is>
      </c>
      <c r="F446" t="inlineStr">
        <is>
          <t>R&amp;R TRANSPORTE E LOGISTICA</t>
        </is>
      </c>
      <c r="G446" s="27" t="n">
        <v>45730</v>
      </c>
      <c r="H446" s="14" t="n">
        <v>24.63</v>
      </c>
      <c r="I446" s="14" t="n">
        <v>0</v>
      </c>
      <c r="J446" s="14" t="n">
        <v>0</v>
      </c>
      <c r="K446" s="14" t="n">
        <v>0</v>
      </c>
      <c r="L446" s="14" t="n">
        <v>0</v>
      </c>
      <c r="M446" s="14">
        <f>IF(B446="Frete de venda",0,(1-ISNUMBER(SEARCH("556",P446)))*(I446*VLOOKUP($B446,Premissas!$A$4:$E$7,2,0)+J446*VLOOKUP($B446,Premissas!$A$4:$E$7,3,0))+K446*VLOOKUP($B446,Premissas!$A$4:$E$7,4,0)+L446*VLOOKUP($B446,Premissas!$A$4:$E$7,5,0))</f>
        <v/>
      </c>
      <c r="N446" s="14">
        <f>H446-M446</f>
        <v/>
      </c>
      <c r="O446" t="inlineStr">
        <is>
          <t>Não</t>
        </is>
      </c>
      <c r="P446" t="inlineStr">
        <is>
          <t>1.350</t>
        </is>
      </c>
    </row>
    <row r="447">
      <c r="A447" t="inlineStr">
        <is>
          <t>Antes de 2026</t>
        </is>
      </c>
      <c r="B447" t="inlineStr">
        <is>
          <t>Frete de venda</t>
        </is>
      </c>
      <c r="C447" t="inlineStr">
        <is>
          <t>Frete de venda (para clientes)</t>
        </is>
      </c>
      <c r="D447" t="inlineStr">
        <is>
          <t>CT-e</t>
        </is>
      </c>
      <c r="E447" t="inlineStr">
        <is>
          <t>000003566</t>
        </is>
      </c>
      <c r="F447" t="inlineStr">
        <is>
          <t>R&amp;R TRANSPORTE E LOGISTICA</t>
        </is>
      </c>
      <c r="G447" s="27" t="n">
        <v>45678</v>
      </c>
      <c r="H447" s="14" t="n">
        <v>33</v>
      </c>
      <c r="I447" s="14" t="n">
        <v>0</v>
      </c>
      <c r="J447" s="14" t="n">
        <v>0</v>
      </c>
      <c r="K447" s="14" t="n">
        <v>0</v>
      </c>
      <c r="L447" s="14" t="n">
        <v>0</v>
      </c>
      <c r="M447" s="14">
        <f>IF(B447="Frete de venda",0,(1-ISNUMBER(SEARCH("556",P447)))*(I447*VLOOKUP($B447,Premissas!$A$4:$E$7,2,0)+J447*VLOOKUP($B447,Premissas!$A$4:$E$7,3,0))+K447*VLOOKUP($B447,Premissas!$A$4:$E$7,4,0)+L447*VLOOKUP($B447,Premissas!$A$4:$E$7,5,0))</f>
        <v/>
      </c>
      <c r="N447" s="14">
        <f>H447-M447</f>
        <v/>
      </c>
      <c r="O447" t="inlineStr">
        <is>
          <t>Não</t>
        </is>
      </c>
      <c r="P447" t="inlineStr">
        <is>
          <t>1.350</t>
        </is>
      </c>
    </row>
    <row r="448">
      <c r="A448" t="inlineStr">
        <is>
          <t>Antes de 2026</t>
        </is>
      </c>
      <c r="B448" t="inlineStr">
        <is>
          <t>Frete de venda</t>
        </is>
      </c>
      <c r="C448" t="inlineStr">
        <is>
          <t>Frete de venda (para clientes)</t>
        </is>
      </c>
      <c r="D448" t="inlineStr">
        <is>
          <t>CT-e</t>
        </is>
      </c>
      <c r="E448" t="inlineStr">
        <is>
          <t>000003564</t>
        </is>
      </c>
      <c r="F448" t="inlineStr">
        <is>
          <t>R&amp;R TRANSPORTE E LOGISTICA</t>
        </is>
      </c>
      <c r="G448" s="27" t="n">
        <v>45678</v>
      </c>
      <c r="H448" s="14" t="n">
        <v>30</v>
      </c>
      <c r="I448" s="14" t="n">
        <v>0</v>
      </c>
      <c r="J448" s="14" t="n">
        <v>0</v>
      </c>
      <c r="K448" s="14" t="n">
        <v>0</v>
      </c>
      <c r="L448" s="14" t="n">
        <v>0</v>
      </c>
      <c r="M448" s="14">
        <f>IF(B448="Frete de venda",0,(1-ISNUMBER(SEARCH("556",P448)))*(I448*VLOOKUP($B448,Premissas!$A$4:$E$7,2,0)+J448*VLOOKUP($B448,Premissas!$A$4:$E$7,3,0))+K448*VLOOKUP($B448,Premissas!$A$4:$E$7,4,0)+L448*VLOOKUP($B448,Premissas!$A$4:$E$7,5,0))</f>
        <v/>
      </c>
      <c r="N448" s="14">
        <f>H448-M448</f>
        <v/>
      </c>
      <c r="O448" t="inlineStr">
        <is>
          <t>Não</t>
        </is>
      </c>
      <c r="P448" t="inlineStr">
        <is>
          <t>1.350</t>
        </is>
      </c>
    </row>
    <row r="449">
      <c r="A449" t="inlineStr">
        <is>
          <t>Antes de 2026</t>
        </is>
      </c>
      <c r="B449" t="inlineStr">
        <is>
          <t>Frete de venda</t>
        </is>
      </c>
      <c r="C449" t="inlineStr">
        <is>
          <t>Frete de venda (para clientes)</t>
        </is>
      </c>
      <c r="D449" t="inlineStr">
        <is>
          <t>CT-e</t>
        </is>
      </c>
      <c r="E449" t="inlineStr">
        <is>
          <t>000003565</t>
        </is>
      </c>
      <c r="F449" t="inlineStr">
        <is>
          <t>R&amp;R TRANSPORTE E LOGISTICA</t>
        </is>
      </c>
      <c r="G449" s="27" t="n">
        <v>45678</v>
      </c>
      <c r="H449" s="14" t="n">
        <v>34</v>
      </c>
      <c r="I449" s="14" t="n">
        <v>0</v>
      </c>
      <c r="J449" s="14" t="n">
        <v>0</v>
      </c>
      <c r="K449" s="14" t="n">
        <v>0</v>
      </c>
      <c r="L449" s="14" t="n">
        <v>0</v>
      </c>
      <c r="M449" s="14">
        <f>IF(B449="Frete de venda",0,(1-ISNUMBER(SEARCH("556",P449)))*(I449*VLOOKUP($B449,Premissas!$A$4:$E$7,2,0)+J449*VLOOKUP($B449,Premissas!$A$4:$E$7,3,0))+K449*VLOOKUP($B449,Premissas!$A$4:$E$7,4,0)+L449*VLOOKUP($B449,Premissas!$A$4:$E$7,5,0))</f>
        <v/>
      </c>
      <c r="N449" s="14">
        <f>H449-M449</f>
        <v/>
      </c>
      <c r="O449" t="inlineStr">
        <is>
          <t>Não</t>
        </is>
      </c>
      <c r="P449" t="inlineStr">
        <is>
          <t>1.350</t>
        </is>
      </c>
    </row>
    <row r="450">
      <c r="A450" t="inlineStr">
        <is>
          <t>Antes de 2026</t>
        </is>
      </c>
      <c r="B450" t="inlineStr">
        <is>
          <t>Frete de venda</t>
        </is>
      </c>
      <c r="C450" t="inlineStr">
        <is>
          <t>Frete de venda (para clientes)</t>
        </is>
      </c>
      <c r="D450" t="inlineStr">
        <is>
          <t>CT-e</t>
        </is>
      </c>
      <c r="E450" t="inlineStr">
        <is>
          <t>000003837</t>
        </is>
      </c>
      <c r="F450" t="inlineStr">
        <is>
          <t>R&amp;R TRANSPORTE E LOGISTICA</t>
        </is>
      </c>
      <c r="G450" s="27" t="n">
        <v>45730</v>
      </c>
      <c r="H450" s="14" t="n">
        <v>27.47</v>
      </c>
      <c r="I450" s="14" t="n">
        <v>0</v>
      </c>
      <c r="J450" s="14" t="n">
        <v>0</v>
      </c>
      <c r="K450" s="14" t="n">
        <v>0</v>
      </c>
      <c r="L450" s="14" t="n">
        <v>0</v>
      </c>
      <c r="M450" s="14">
        <f>IF(B450="Frete de venda",0,(1-ISNUMBER(SEARCH("556",P450)))*(I450*VLOOKUP($B450,Premissas!$A$4:$E$7,2,0)+J450*VLOOKUP($B450,Premissas!$A$4:$E$7,3,0))+K450*VLOOKUP($B450,Premissas!$A$4:$E$7,4,0)+L450*VLOOKUP($B450,Premissas!$A$4:$E$7,5,0))</f>
        <v/>
      </c>
      <c r="N450" s="14">
        <f>H450-M450</f>
        <v/>
      </c>
      <c r="O450" t="inlineStr">
        <is>
          <t>Não</t>
        </is>
      </c>
      <c r="P450" t="inlineStr">
        <is>
          <t>1.350</t>
        </is>
      </c>
    </row>
    <row r="451">
      <c r="A451" t="inlineStr">
        <is>
          <t>Antes de 2026</t>
        </is>
      </c>
      <c r="B451" t="inlineStr">
        <is>
          <t>Frete de venda</t>
        </is>
      </c>
      <c r="C451" t="inlineStr">
        <is>
          <t>Frete de venda (para clientes)</t>
        </is>
      </c>
      <c r="D451" t="inlineStr">
        <is>
          <t>CT-e</t>
        </is>
      </c>
      <c r="E451" t="inlineStr">
        <is>
          <t>000003834</t>
        </is>
      </c>
      <c r="F451" t="inlineStr">
        <is>
          <t>R&amp;R TRANSPORTE E LOGISTICA</t>
        </is>
      </c>
      <c r="G451" s="27" t="n">
        <v>45730</v>
      </c>
      <c r="H451" s="14" t="n">
        <v>37.77</v>
      </c>
      <c r="I451" s="14" t="n">
        <v>0</v>
      </c>
      <c r="J451" s="14" t="n">
        <v>0</v>
      </c>
      <c r="K451" s="14" t="n">
        <v>0</v>
      </c>
      <c r="L451" s="14" t="n">
        <v>0</v>
      </c>
      <c r="M451" s="14">
        <f>IF(B451="Frete de venda",0,(1-ISNUMBER(SEARCH("556",P451)))*(I451*VLOOKUP($B451,Premissas!$A$4:$E$7,2,0)+J451*VLOOKUP($B451,Premissas!$A$4:$E$7,3,0))+K451*VLOOKUP($B451,Premissas!$A$4:$E$7,4,0)+L451*VLOOKUP($B451,Premissas!$A$4:$E$7,5,0))</f>
        <v/>
      </c>
      <c r="N451" s="14">
        <f>H451-M451</f>
        <v/>
      </c>
      <c r="O451" t="inlineStr">
        <is>
          <t>Não</t>
        </is>
      </c>
      <c r="P451" t="inlineStr">
        <is>
          <t>1.350</t>
        </is>
      </c>
    </row>
    <row r="452">
      <c r="A452" t="inlineStr">
        <is>
          <t>Antes de 2026</t>
        </is>
      </c>
      <c r="B452" t="inlineStr">
        <is>
          <t>Frete de venda</t>
        </is>
      </c>
      <c r="C452" t="inlineStr">
        <is>
          <t>Frete de venda (para clientes)</t>
        </is>
      </c>
      <c r="D452" t="inlineStr">
        <is>
          <t>CT-e</t>
        </is>
      </c>
      <c r="E452" t="inlineStr">
        <is>
          <t>000003833</t>
        </is>
      </c>
      <c r="F452" t="inlineStr">
        <is>
          <t>R&amp;R TRANSPORTE E LOGISTICA</t>
        </is>
      </c>
      <c r="G452" s="27" t="n">
        <v>45730</v>
      </c>
      <c r="H452" s="14" t="n">
        <v>33.84</v>
      </c>
      <c r="I452" s="14" t="n">
        <v>0</v>
      </c>
      <c r="J452" s="14" t="n">
        <v>0</v>
      </c>
      <c r="K452" s="14" t="n">
        <v>0</v>
      </c>
      <c r="L452" s="14" t="n">
        <v>0</v>
      </c>
      <c r="M452" s="14">
        <f>IF(B452="Frete de venda",0,(1-ISNUMBER(SEARCH("556",P452)))*(I452*VLOOKUP($B452,Premissas!$A$4:$E$7,2,0)+J452*VLOOKUP($B452,Premissas!$A$4:$E$7,3,0))+K452*VLOOKUP($B452,Premissas!$A$4:$E$7,4,0)+L452*VLOOKUP($B452,Premissas!$A$4:$E$7,5,0))</f>
        <v/>
      </c>
      <c r="N452" s="14">
        <f>H452-M452</f>
        <v/>
      </c>
      <c r="O452" t="inlineStr">
        <is>
          <t>Não</t>
        </is>
      </c>
      <c r="P452" t="inlineStr">
        <is>
          <t>1.350</t>
        </is>
      </c>
    </row>
    <row r="453">
      <c r="A453" t="inlineStr">
        <is>
          <t>Antes de 2026</t>
        </is>
      </c>
      <c r="B453" t="inlineStr">
        <is>
          <t>Frete de venda</t>
        </is>
      </c>
      <c r="C453" t="inlineStr">
        <is>
          <t>Frete de venda (para clientes)</t>
        </is>
      </c>
      <c r="D453" t="inlineStr">
        <is>
          <t>CT-e</t>
        </is>
      </c>
      <c r="E453" t="inlineStr">
        <is>
          <t>000003606</t>
        </is>
      </c>
      <c r="F453" t="inlineStr">
        <is>
          <t>R&amp;R TRANSPORTE E LOGISTICA</t>
        </is>
      </c>
      <c r="G453" s="27" t="n">
        <v>45687</v>
      </c>
      <c r="H453" s="14" t="n">
        <v>35</v>
      </c>
      <c r="I453" s="14" t="n">
        <v>0</v>
      </c>
      <c r="J453" s="14" t="n">
        <v>0</v>
      </c>
      <c r="K453" s="14" t="n">
        <v>0</v>
      </c>
      <c r="L453" s="14" t="n">
        <v>0</v>
      </c>
      <c r="M453" s="14">
        <f>IF(B453="Frete de venda",0,(1-ISNUMBER(SEARCH("556",P453)))*(I453*VLOOKUP($B453,Premissas!$A$4:$E$7,2,0)+J453*VLOOKUP($B453,Premissas!$A$4:$E$7,3,0))+K453*VLOOKUP($B453,Premissas!$A$4:$E$7,4,0)+L453*VLOOKUP($B453,Premissas!$A$4:$E$7,5,0))</f>
        <v/>
      </c>
      <c r="N453" s="14">
        <f>H453-M453</f>
        <v/>
      </c>
      <c r="O453" t="inlineStr">
        <is>
          <t>Não</t>
        </is>
      </c>
      <c r="P453" t="inlineStr">
        <is>
          <t>1.350</t>
        </is>
      </c>
    </row>
    <row r="454">
      <c r="A454" t="inlineStr">
        <is>
          <t>Antes de 2026</t>
        </is>
      </c>
      <c r="B454" t="inlineStr">
        <is>
          <t>Frete de venda</t>
        </is>
      </c>
      <c r="C454" t="inlineStr">
        <is>
          <t>Frete de venda (para clientes)</t>
        </is>
      </c>
      <c r="D454" t="inlineStr">
        <is>
          <t>CT-e</t>
        </is>
      </c>
      <c r="E454" t="inlineStr">
        <is>
          <t>000003757</t>
        </is>
      </c>
      <c r="F454" t="inlineStr">
        <is>
          <t>R&amp;R TRANSPORTE E LOGISTICA</t>
        </is>
      </c>
      <c r="G454" s="27" t="n">
        <v>45714</v>
      </c>
      <c r="H454" s="14" t="n">
        <v>27.01</v>
      </c>
      <c r="I454" s="14" t="n">
        <v>0</v>
      </c>
      <c r="J454" s="14" t="n">
        <v>0</v>
      </c>
      <c r="K454" s="14" t="n">
        <v>0</v>
      </c>
      <c r="L454" s="14" t="n">
        <v>0</v>
      </c>
      <c r="M454" s="14">
        <f>IF(B454="Frete de venda",0,(1-ISNUMBER(SEARCH("556",P454)))*(I454*VLOOKUP($B454,Premissas!$A$4:$E$7,2,0)+J454*VLOOKUP($B454,Premissas!$A$4:$E$7,3,0))+K454*VLOOKUP($B454,Premissas!$A$4:$E$7,4,0)+L454*VLOOKUP($B454,Premissas!$A$4:$E$7,5,0))</f>
        <v/>
      </c>
      <c r="N454" s="14">
        <f>H454-M454</f>
        <v/>
      </c>
      <c r="O454" t="inlineStr">
        <is>
          <t>Não</t>
        </is>
      </c>
      <c r="P454" t="inlineStr">
        <is>
          <t>1.350</t>
        </is>
      </c>
    </row>
    <row r="455">
      <c r="A455" t="inlineStr">
        <is>
          <t>Antes de 2026</t>
        </is>
      </c>
      <c r="B455" t="inlineStr">
        <is>
          <t>Frete de venda</t>
        </is>
      </c>
      <c r="C455" t="inlineStr">
        <is>
          <t>Frete de venda (para clientes)</t>
        </is>
      </c>
      <c r="D455" t="inlineStr">
        <is>
          <t>CT-e</t>
        </is>
      </c>
      <c r="E455" t="inlineStr">
        <is>
          <t>000003616</t>
        </is>
      </c>
      <c r="F455" t="inlineStr">
        <is>
          <t>R&amp;R TRANSPORTE E LOGISTICA</t>
        </is>
      </c>
      <c r="G455" s="27" t="n">
        <v>45687</v>
      </c>
      <c r="H455" s="14" t="n">
        <v>208</v>
      </c>
      <c r="I455" s="14" t="n">
        <v>0</v>
      </c>
      <c r="J455" s="14" t="n">
        <v>0</v>
      </c>
      <c r="K455" s="14" t="n">
        <v>0</v>
      </c>
      <c r="L455" s="14" t="n">
        <v>0</v>
      </c>
      <c r="M455" s="14">
        <f>IF(B455="Frete de venda",0,(1-ISNUMBER(SEARCH("556",P455)))*(I455*VLOOKUP($B455,Premissas!$A$4:$E$7,2,0)+J455*VLOOKUP($B455,Premissas!$A$4:$E$7,3,0))+K455*VLOOKUP($B455,Premissas!$A$4:$E$7,4,0)+L455*VLOOKUP($B455,Premissas!$A$4:$E$7,5,0))</f>
        <v/>
      </c>
      <c r="N455" s="14">
        <f>H455-M455</f>
        <v/>
      </c>
      <c r="O455" t="inlineStr">
        <is>
          <t>Não</t>
        </is>
      </c>
      <c r="P455" t="inlineStr">
        <is>
          <t>1.350</t>
        </is>
      </c>
    </row>
    <row r="456">
      <c r="A456" t="inlineStr">
        <is>
          <t>Antes de 2026</t>
        </is>
      </c>
      <c r="B456" t="inlineStr">
        <is>
          <t>Frete de venda</t>
        </is>
      </c>
      <c r="C456" t="inlineStr">
        <is>
          <t>Frete de venda (para clientes)</t>
        </is>
      </c>
      <c r="D456" t="inlineStr">
        <is>
          <t>CT-e</t>
        </is>
      </c>
      <c r="E456" t="inlineStr">
        <is>
          <t>000003644</t>
        </is>
      </c>
      <c r="F456" t="inlineStr">
        <is>
          <t>R&amp;R TRANSPORTE E LOGISTICA</t>
        </is>
      </c>
      <c r="G456" s="27" t="n">
        <v>45695</v>
      </c>
      <c r="H456" s="14" t="n">
        <v>72</v>
      </c>
      <c r="I456" s="14" t="n">
        <v>0</v>
      </c>
      <c r="J456" s="14" t="n">
        <v>0</v>
      </c>
      <c r="K456" s="14" t="n">
        <v>0</v>
      </c>
      <c r="L456" s="14" t="n">
        <v>0</v>
      </c>
      <c r="M456" s="14">
        <f>IF(B456="Frete de venda",0,(1-ISNUMBER(SEARCH("556",P456)))*(I456*VLOOKUP($B456,Premissas!$A$4:$E$7,2,0)+J456*VLOOKUP($B456,Premissas!$A$4:$E$7,3,0))+K456*VLOOKUP($B456,Premissas!$A$4:$E$7,4,0)+L456*VLOOKUP($B456,Premissas!$A$4:$E$7,5,0))</f>
        <v/>
      </c>
      <c r="N456" s="14">
        <f>H456-M456</f>
        <v/>
      </c>
      <c r="O456" t="inlineStr">
        <is>
          <t>Não</t>
        </is>
      </c>
      <c r="P456" t="inlineStr">
        <is>
          <t>1.350</t>
        </is>
      </c>
    </row>
    <row r="457">
      <c r="A457" t="inlineStr">
        <is>
          <t>Antes de 2026</t>
        </is>
      </c>
      <c r="B457" t="inlineStr">
        <is>
          <t>Frete de venda</t>
        </is>
      </c>
      <c r="C457" t="inlineStr">
        <is>
          <t>Frete de venda (para clientes)</t>
        </is>
      </c>
      <c r="D457" t="inlineStr">
        <is>
          <t>CT-e</t>
        </is>
      </c>
      <c r="E457" t="inlineStr">
        <is>
          <t>000003732</t>
        </is>
      </c>
      <c r="F457" t="inlineStr">
        <is>
          <t>R&amp;R TRANSPORTE E LOGISTICA</t>
        </is>
      </c>
      <c r="G457" s="27" t="n">
        <v>45709</v>
      </c>
      <c r="H457" s="14" t="n">
        <v>30.82</v>
      </c>
      <c r="I457" s="14" t="n">
        <v>0</v>
      </c>
      <c r="J457" s="14" t="n">
        <v>0</v>
      </c>
      <c r="K457" s="14" t="n">
        <v>0</v>
      </c>
      <c r="L457" s="14" t="n">
        <v>0</v>
      </c>
      <c r="M457" s="14">
        <f>IF(B457="Frete de venda",0,(1-ISNUMBER(SEARCH("556",P457)))*(I457*VLOOKUP($B457,Premissas!$A$4:$E$7,2,0)+J457*VLOOKUP($B457,Premissas!$A$4:$E$7,3,0))+K457*VLOOKUP($B457,Premissas!$A$4:$E$7,4,0)+L457*VLOOKUP($B457,Premissas!$A$4:$E$7,5,0))</f>
        <v/>
      </c>
      <c r="N457" s="14">
        <f>H457-M457</f>
        <v/>
      </c>
      <c r="O457" t="inlineStr">
        <is>
          <t>Não</t>
        </is>
      </c>
      <c r="P457" t="inlineStr">
        <is>
          <t>1.350</t>
        </is>
      </c>
    </row>
    <row r="458">
      <c r="A458" t="inlineStr">
        <is>
          <t>Antes de 2026</t>
        </is>
      </c>
      <c r="B458" t="inlineStr">
        <is>
          <t>Frete de venda</t>
        </is>
      </c>
      <c r="C458" t="inlineStr">
        <is>
          <t>Frete de venda (para clientes)</t>
        </is>
      </c>
      <c r="D458" t="inlineStr">
        <is>
          <t>CT-e</t>
        </is>
      </c>
      <c r="E458" t="inlineStr">
        <is>
          <t>000000072</t>
        </is>
      </c>
      <c r="F458" t="inlineStr">
        <is>
          <t>ADIL CARLOS DA SILVA</t>
        </is>
      </c>
      <c r="G458" s="27" t="n">
        <v>45667</v>
      </c>
      <c r="H458" s="14" t="n">
        <v>10</v>
      </c>
      <c r="I458" s="14" t="n">
        <v>0</v>
      </c>
      <c r="J458" s="14" t="n">
        <v>0</v>
      </c>
      <c r="K458" s="14" t="n">
        <v>0</v>
      </c>
      <c r="L458" s="14" t="n">
        <v>0</v>
      </c>
      <c r="M458" s="14">
        <f>IF(B458="Frete de venda",0,(1-ISNUMBER(SEARCH("556",P458)))*(I458*VLOOKUP($B458,Premissas!$A$4:$E$7,2,0)+J458*VLOOKUP($B458,Premissas!$A$4:$E$7,3,0))+K458*VLOOKUP($B458,Premissas!$A$4:$E$7,4,0)+L458*VLOOKUP($B458,Premissas!$A$4:$E$7,5,0))</f>
        <v/>
      </c>
      <c r="N458" s="14">
        <f>H458-M458</f>
        <v/>
      </c>
      <c r="O458" t="inlineStr">
        <is>
          <t>Não</t>
        </is>
      </c>
      <c r="P458" t="inlineStr">
        <is>
          <t>2.350</t>
        </is>
      </c>
    </row>
    <row r="459">
      <c r="A459" t="inlineStr">
        <is>
          <t>Antes de 2026</t>
        </is>
      </c>
      <c r="B459" t="inlineStr">
        <is>
          <t>Frete de venda</t>
        </is>
      </c>
      <c r="C459" t="inlineStr">
        <is>
          <t>Frete de venda (para clientes)</t>
        </is>
      </c>
      <c r="D459" t="inlineStr">
        <is>
          <t>CT-e</t>
        </is>
      </c>
      <c r="E459" t="inlineStr">
        <is>
          <t>000003835</t>
        </is>
      </c>
      <c r="F459" t="inlineStr">
        <is>
          <t>R&amp;R TRANSPORTE E LOGISTICA</t>
        </is>
      </c>
      <c r="G459" s="27" t="n">
        <v>45730</v>
      </c>
      <c r="H459" s="14" t="n">
        <v>25.18</v>
      </c>
      <c r="I459" s="14" t="n">
        <v>0</v>
      </c>
      <c r="J459" s="14" t="n">
        <v>0</v>
      </c>
      <c r="K459" s="14" t="n">
        <v>0</v>
      </c>
      <c r="L459" s="14" t="n">
        <v>0</v>
      </c>
      <c r="M459" s="14">
        <f>IF(B459="Frete de venda",0,(1-ISNUMBER(SEARCH("556",P459)))*(I459*VLOOKUP($B459,Premissas!$A$4:$E$7,2,0)+J459*VLOOKUP($B459,Premissas!$A$4:$E$7,3,0))+K459*VLOOKUP($B459,Premissas!$A$4:$E$7,4,0)+L459*VLOOKUP($B459,Premissas!$A$4:$E$7,5,0))</f>
        <v/>
      </c>
      <c r="N459" s="14">
        <f>H459-M459</f>
        <v/>
      </c>
      <c r="O459" t="inlineStr">
        <is>
          <t>Não</t>
        </is>
      </c>
      <c r="P459" t="inlineStr">
        <is>
          <t>1.350</t>
        </is>
      </c>
    </row>
    <row r="460">
      <c r="A460" t="inlineStr">
        <is>
          <t>Antes de 2026</t>
        </is>
      </c>
      <c r="B460" t="inlineStr">
        <is>
          <t>Frete de venda</t>
        </is>
      </c>
      <c r="C460" t="inlineStr">
        <is>
          <t>Frete de venda (para clientes)</t>
        </is>
      </c>
      <c r="D460" t="inlineStr">
        <is>
          <t>CT-e</t>
        </is>
      </c>
      <c r="E460" t="inlineStr">
        <is>
          <t>000003591</t>
        </is>
      </c>
      <c r="F460" t="inlineStr">
        <is>
          <t>R&amp;R TRANSPORTE E LOGISTICA</t>
        </is>
      </c>
      <c r="G460" s="27" t="n">
        <v>45685</v>
      </c>
      <c r="H460" s="14" t="n">
        <v>57.52</v>
      </c>
      <c r="I460" s="14" t="n">
        <v>0</v>
      </c>
      <c r="J460" s="14" t="n">
        <v>0</v>
      </c>
      <c r="K460" s="14" t="n">
        <v>0</v>
      </c>
      <c r="L460" s="14" t="n">
        <v>0</v>
      </c>
      <c r="M460" s="14">
        <f>IF(B460="Frete de venda",0,(1-ISNUMBER(SEARCH("556",P460)))*(I460*VLOOKUP($B460,Premissas!$A$4:$E$7,2,0)+J460*VLOOKUP($B460,Premissas!$A$4:$E$7,3,0))+K460*VLOOKUP($B460,Premissas!$A$4:$E$7,4,0)+L460*VLOOKUP($B460,Premissas!$A$4:$E$7,5,0))</f>
        <v/>
      </c>
      <c r="N460" s="14">
        <f>H460-M460</f>
        <v/>
      </c>
      <c r="O460" t="inlineStr">
        <is>
          <t>Não</t>
        </is>
      </c>
      <c r="P460" t="inlineStr">
        <is>
          <t>1.350</t>
        </is>
      </c>
    </row>
    <row r="461">
      <c r="A461" t="inlineStr">
        <is>
          <t>Antes de 2026</t>
        </is>
      </c>
      <c r="B461" t="inlineStr">
        <is>
          <t>Frete de venda</t>
        </is>
      </c>
      <c r="C461" t="inlineStr">
        <is>
          <t>Frete de venda (para clientes)</t>
        </is>
      </c>
      <c r="D461" t="inlineStr">
        <is>
          <t>CT-e</t>
        </is>
      </c>
      <c r="E461" t="inlineStr">
        <is>
          <t>000003729</t>
        </is>
      </c>
      <c r="F461" t="inlineStr">
        <is>
          <t>R&amp;R TRANSPORTE E LOGISTICA</t>
        </is>
      </c>
      <c r="G461" s="27" t="n">
        <v>45709</v>
      </c>
      <c r="H461" s="14" t="n">
        <v>36.76</v>
      </c>
      <c r="I461" s="14" t="n">
        <v>0</v>
      </c>
      <c r="J461" s="14" t="n">
        <v>0</v>
      </c>
      <c r="K461" s="14" t="n">
        <v>0</v>
      </c>
      <c r="L461" s="14" t="n">
        <v>0</v>
      </c>
      <c r="M461" s="14">
        <f>IF(B461="Frete de venda",0,(1-ISNUMBER(SEARCH("556",P461)))*(I461*VLOOKUP($B461,Premissas!$A$4:$E$7,2,0)+J461*VLOOKUP($B461,Premissas!$A$4:$E$7,3,0))+K461*VLOOKUP($B461,Premissas!$A$4:$E$7,4,0)+L461*VLOOKUP($B461,Premissas!$A$4:$E$7,5,0))</f>
        <v/>
      </c>
      <c r="N461" s="14">
        <f>H461-M461</f>
        <v/>
      </c>
      <c r="O461" t="inlineStr">
        <is>
          <t>Não</t>
        </is>
      </c>
      <c r="P461" t="inlineStr">
        <is>
          <t>1.350</t>
        </is>
      </c>
    </row>
    <row r="462">
      <c r="A462" t="inlineStr">
        <is>
          <t>Antes de 2026</t>
        </is>
      </c>
      <c r="B462" t="inlineStr">
        <is>
          <t>Frete de venda</t>
        </is>
      </c>
      <c r="C462" t="inlineStr">
        <is>
          <t>Frete de venda (para clientes)</t>
        </is>
      </c>
      <c r="D462" t="inlineStr">
        <is>
          <t>CT-e</t>
        </is>
      </c>
      <c r="E462" t="inlineStr">
        <is>
          <t>000003762</t>
        </is>
      </c>
      <c r="F462" t="inlineStr">
        <is>
          <t>R&amp;R TRANSPORTE E LOGISTICA</t>
        </is>
      </c>
      <c r="G462" s="27" t="n">
        <v>45715</v>
      </c>
      <c r="H462" s="14" t="n">
        <v>105.32</v>
      </c>
      <c r="I462" s="14" t="n">
        <v>0</v>
      </c>
      <c r="J462" s="14" t="n">
        <v>0</v>
      </c>
      <c r="K462" s="14" t="n">
        <v>0</v>
      </c>
      <c r="L462" s="14" t="n">
        <v>0</v>
      </c>
      <c r="M462" s="14">
        <f>IF(B462="Frete de venda",0,(1-ISNUMBER(SEARCH("556",P462)))*(I462*VLOOKUP($B462,Premissas!$A$4:$E$7,2,0)+J462*VLOOKUP($B462,Premissas!$A$4:$E$7,3,0))+K462*VLOOKUP($B462,Premissas!$A$4:$E$7,4,0)+L462*VLOOKUP($B462,Premissas!$A$4:$E$7,5,0))</f>
        <v/>
      </c>
      <c r="N462" s="14">
        <f>H462-M462</f>
        <v/>
      </c>
      <c r="O462" t="inlineStr">
        <is>
          <t>Não</t>
        </is>
      </c>
      <c r="P462" t="inlineStr">
        <is>
          <t>1.350</t>
        </is>
      </c>
    </row>
    <row r="463">
      <c r="A463" t="inlineStr">
        <is>
          <t>Antes de 2026</t>
        </is>
      </c>
      <c r="B463" t="inlineStr">
        <is>
          <t>Frete de venda</t>
        </is>
      </c>
      <c r="C463" t="inlineStr">
        <is>
          <t>Frete de venda (para clientes)</t>
        </is>
      </c>
      <c r="D463" t="inlineStr">
        <is>
          <t>CT-e</t>
        </is>
      </c>
      <c r="E463" t="inlineStr">
        <is>
          <t>000003640</t>
        </is>
      </c>
      <c r="F463" t="inlineStr">
        <is>
          <t>R&amp;R TRANSPORTE E LOGISTICA</t>
        </is>
      </c>
      <c r="G463" s="27" t="n">
        <v>45694</v>
      </c>
      <c r="H463" s="14" t="n">
        <v>48.68</v>
      </c>
      <c r="I463" s="14" t="n">
        <v>0</v>
      </c>
      <c r="J463" s="14" t="n">
        <v>0</v>
      </c>
      <c r="K463" s="14" t="n">
        <v>0</v>
      </c>
      <c r="L463" s="14" t="n">
        <v>0</v>
      </c>
      <c r="M463" s="14">
        <f>IF(B463="Frete de venda",0,(1-ISNUMBER(SEARCH("556",P463)))*(I463*VLOOKUP($B463,Premissas!$A$4:$E$7,2,0)+J463*VLOOKUP($B463,Premissas!$A$4:$E$7,3,0))+K463*VLOOKUP($B463,Premissas!$A$4:$E$7,4,0)+L463*VLOOKUP($B463,Premissas!$A$4:$E$7,5,0))</f>
        <v/>
      </c>
      <c r="N463" s="14">
        <f>H463-M463</f>
        <v/>
      </c>
      <c r="O463" t="inlineStr">
        <is>
          <t>Não</t>
        </is>
      </c>
      <c r="P463" t="inlineStr">
        <is>
          <t>1.350</t>
        </is>
      </c>
    </row>
    <row r="464">
      <c r="A464" t="inlineStr">
        <is>
          <t>Antes de 2026</t>
        </is>
      </c>
      <c r="B464" t="inlineStr">
        <is>
          <t>Frete de venda</t>
        </is>
      </c>
      <c r="C464" t="inlineStr">
        <is>
          <t>Frete de venda (para clientes)</t>
        </is>
      </c>
      <c r="D464" t="inlineStr">
        <is>
          <t>CT-e</t>
        </is>
      </c>
      <c r="E464" t="inlineStr">
        <is>
          <t>000003559</t>
        </is>
      </c>
      <c r="F464" t="inlineStr">
        <is>
          <t>R&amp;R TRANSPORTE E LOGISTICA</t>
        </is>
      </c>
      <c r="G464" s="27" t="n">
        <v>45678</v>
      </c>
      <c r="H464" s="14" t="n">
        <v>60</v>
      </c>
      <c r="I464" s="14" t="n">
        <v>0</v>
      </c>
      <c r="J464" s="14" t="n">
        <v>0</v>
      </c>
      <c r="K464" s="14" t="n">
        <v>0</v>
      </c>
      <c r="L464" s="14" t="n">
        <v>0</v>
      </c>
      <c r="M464" s="14">
        <f>IF(B464="Frete de venda",0,(1-ISNUMBER(SEARCH("556",P464)))*(I464*VLOOKUP($B464,Premissas!$A$4:$E$7,2,0)+J464*VLOOKUP($B464,Premissas!$A$4:$E$7,3,0))+K464*VLOOKUP($B464,Premissas!$A$4:$E$7,4,0)+L464*VLOOKUP($B464,Premissas!$A$4:$E$7,5,0))</f>
        <v/>
      </c>
      <c r="N464" s="14">
        <f>H464-M464</f>
        <v/>
      </c>
      <c r="O464" t="inlineStr">
        <is>
          <t>Não</t>
        </is>
      </c>
      <c r="P464" t="inlineStr">
        <is>
          <t>1.350</t>
        </is>
      </c>
    </row>
    <row r="465">
      <c r="A465" t="inlineStr">
        <is>
          <t>Antes de 2026</t>
        </is>
      </c>
      <c r="B465" t="inlineStr">
        <is>
          <t>Frete de venda</t>
        </is>
      </c>
      <c r="C465" t="inlineStr">
        <is>
          <t>Frete de venda (para clientes)</t>
        </is>
      </c>
      <c r="D465" t="inlineStr">
        <is>
          <t>CT-e</t>
        </is>
      </c>
      <c r="E465" t="inlineStr">
        <is>
          <t>000003728</t>
        </is>
      </c>
      <c r="F465" t="inlineStr">
        <is>
          <t>R&amp;R TRANSPORTE E LOGISTICA</t>
        </is>
      </c>
      <c r="G465" s="27" t="n">
        <v>45709</v>
      </c>
      <c r="H465" s="14" t="n">
        <v>37.99</v>
      </c>
      <c r="I465" s="14" t="n">
        <v>0</v>
      </c>
      <c r="J465" s="14" t="n">
        <v>0</v>
      </c>
      <c r="K465" s="14" t="n">
        <v>0</v>
      </c>
      <c r="L465" s="14" t="n">
        <v>0</v>
      </c>
      <c r="M465" s="14">
        <f>IF(B465="Frete de venda",0,(1-ISNUMBER(SEARCH("556",P465)))*(I465*VLOOKUP($B465,Premissas!$A$4:$E$7,2,0)+J465*VLOOKUP($B465,Premissas!$A$4:$E$7,3,0))+K465*VLOOKUP($B465,Premissas!$A$4:$E$7,4,0)+L465*VLOOKUP($B465,Premissas!$A$4:$E$7,5,0))</f>
        <v/>
      </c>
      <c r="N465" s="14">
        <f>H465-M465</f>
        <v/>
      </c>
      <c r="O465" t="inlineStr">
        <is>
          <t>Não</t>
        </is>
      </c>
      <c r="P465" t="inlineStr">
        <is>
          <t>1.350</t>
        </is>
      </c>
    </row>
    <row r="466">
      <c r="A466" t="inlineStr">
        <is>
          <t>Antes de 2026</t>
        </is>
      </c>
      <c r="B466" t="inlineStr">
        <is>
          <t>Frete de venda</t>
        </is>
      </c>
      <c r="C466" t="inlineStr">
        <is>
          <t>Frete de venda (para clientes)</t>
        </is>
      </c>
      <c r="D466" t="inlineStr">
        <is>
          <t>CT-e</t>
        </is>
      </c>
      <c r="E466" t="inlineStr">
        <is>
          <t>000003829</t>
        </is>
      </c>
      <c r="F466" t="inlineStr">
        <is>
          <t>R&amp;R TRANSPORTE E LOGISTICA</t>
        </is>
      </c>
      <c r="G466" s="27" t="n">
        <v>45730</v>
      </c>
      <c r="H466" s="14" t="n">
        <v>75.53</v>
      </c>
      <c r="I466" s="14" t="n">
        <v>0</v>
      </c>
      <c r="J466" s="14" t="n">
        <v>0</v>
      </c>
      <c r="K466" s="14" t="n">
        <v>0</v>
      </c>
      <c r="L466" s="14" t="n">
        <v>0</v>
      </c>
      <c r="M466" s="14">
        <f>IF(B466="Frete de venda",0,(1-ISNUMBER(SEARCH("556",P466)))*(I466*VLOOKUP($B466,Premissas!$A$4:$E$7,2,0)+J466*VLOOKUP($B466,Premissas!$A$4:$E$7,3,0))+K466*VLOOKUP($B466,Premissas!$A$4:$E$7,4,0)+L466*VLOOKUP($B466,Premissas!$A$4:$E$7,5,0))</f>
        <v/>
      </c>
      <c r="N466" s="14">
        <f>H466-M466</f>
        <v/>
      </c>
      <c r="O466" t="inlineStr">
        <is>
          <t>Não</t>
        </is>
      </c>
      <c r="P466" t="inlineStr">
        <is>
          <t>1.350</t>
        </is>
      </c>
    </row>
    <row r="467">
      <c r="A467" t="inlineStr">
        <is>
          <t>Antes de 2026</t>
        </is>
      </c>
      <c r="B467" t="inlineStr">
        <is>
          <t>Frete de venda</t>
        </is>
      </c>
      <c r="C467" t="inlineStr">
        <is>
          <t>Frete de venda (para clientes)</t>
        </is>
      </c>
      <c r="D467" t="inlineStr">
        <is>
          <t>CT-e</t>
        </is>
      </c>
      <c r="E467" t="inlineStr">
        <is>
          <t>000003575</t>
        </is>
      </c>
      <c r="F467" t="inlineStr">
        <is>
          <t>R&amp;R TRANSPORTE E LOGISTICA</t>
        </is>
      </c>
      <c r="G467" s="27" t="n">
        <v>45680</v>
      </c>
      <c r="H467" s="14" t="n">
        <v>300</v>
      </c>
      <c r="I467" s="14" t="n">
        <v>0</v>
      </c>
      <c r="J467" s="14" t="n">
        <v>0</v>
      </c>
      <c r="K467" s="14" t="n">
        <v>0</v>
      </c>
      <c r="L467" s="14" t="n">
        <v>0</v>
      </c>
      <c r="M467" s="14">
        <f>IF(B467="Frete de venda",0,(1-ISNUMBER(SEARCH("556",P467)))*(I467*VLOOKUP($B467,Premissas!$A$4:$E$7,2,0)+J467*VLOOKUP($B467,Premissas!$A$4:$E$7,3,0))+K467*VLOOKUP($B467,Premissas!$A$4:$E$7,4,0)+L467*VLOOKUP($B467,Premissas!$A$4:$E$7,5,0))</f>
        <v/>
      </c>
      <c r="N467" s="14">
        <f>H467-M467</f>
        <v/>
      </c>
      <c r="O467" t="inlineStr">
        <is>
          <t>Não</t>
        </is>
      </c>
      <c r="P467" t="inlineStr">
        <is>
          <t>1.350</t>
        </is>
      </c>
    </row>
    <row r="468">
      <c r="A468" t="inlineStr">
        <is>
          <t>Antes de 2026</t>
        </is>
      </c>
      <c r="B468" t="inlineStr">
        <is>
          <t>Frete de venda</t>
        </is>
      </c>
      <c r="C468" t="inlineStr">
        <is>
          <t>Frete de venda (para clientes)</t>
        </is>
      </c>
      <c r="D468" t="inlineStr">
        <is>
          <t>CT-e</t>
        </is>
      </c>
      <c r="E468" t="inlineStr">
        <is>
          <t>000003878</t>
        </is>
      </c>
      <c r="F468" t="inlineStr">
        <is>
          <t>R&amp;R TRANSPORTE E LOGISTICA</t>
        </is>
      </c>
      <c r="G468" s="27" t="n">
        <v>45736</v>
      </c>
      <c r="H468" s="14" t="n">
        <v>29.01</v>
      </c>
      <c r="I468" s="14" t="n">
        <v>0</v>
      </c>
      <c r="J468" s="14" t="n">
        <v>0</v>
      </c>
      <c r="K468" s="14" t="n">
        <v>0</v>
      </c>
      <c r="L468" s="14" t="n">
        <v>0</v>
      </c>
      <c r="M468" s="14">
        <f>IF(B468="Frete de venda",0,(1-ISNUMBER(SEARCH("556",P468)))*(I468*VLOOKUP($B468,Premissas!$A$4:$E$7,2,0)+J468*VLOOKUP($B468,Premissas!$A$4:$E$7,3,0))+K468*VLOOKUP($B468,Premissas!$A$4:$E$7,4,0)+L468*VLOOKUP($B468,Premissas!$A$4:$E$7,5,0))</f>
        <v/>
      </c>
      <c r="N468" s="14">
        <f>H468-M468</f>
        <v/>
      </c>
      <c r="O468" t="inlineStr">
        <is>
          <t>Não</t>
        </is>
      </c>
      <c r="P468" t="inlineStr">
        <is>
          <t>1.350</t>
        </is>
      </c>
    </row>
    <row r="469">
      <c r="A469" t="inlineStr">
        <is>
          <t>Antes de 2026</t>
        </is>
      </c>
      <c r="B469" t="inlineStr">
        <is>
          <t>Frete de venda</t>
        </is>
      </c>
      <c r="C469" t="inlineStr">
        <is>
          <t>Frete de venda (para clientes)</t>
        </is>
      </c>
      <c r="D469" t="inlineStr">
        <is>
          <t>CT-e</t>
        </is>
      </c>
      <c r="E469" t="inlineStr">
        <is>
          <t>000003784</t>
        </is>
      </c>
      <c r="F469" t="inlineStr">
        <is>
          <t>R&amp;R TRANSPORTE E LOGISTICA</t>
        </is>
      </c>
      <c r="G469" s="27" t="n">
        <v>45721</v>
      </c>
      <c r="H469" s="14" t="n">
        <v>52</v>
      </c>
      <c r="I469" s="14" t="n">
        <v>0</v>
      </c>
      <c r="J469" s="14" t="n">
        <v>0</v>
      </c>
      <c r="K469" s="14" t="n">
        <v>0</v>
      </c>
      <c r="L469" s="14" t="n">
        <v>0</v>
      </c>
      <c r="M469" s="14">
        <f>IF(B469="Frete de venda",0,(1-ISNUMBER(SEARCH("556",P469)))*(I469*VLOOKUP($B469,Premissas!$A$4:$E$7,2,0)+J469*VLOOKUP($B469,Premissas!$A$4:$E$7,3,0))+K469*VLOOKUP($B469,Premissas!$A$4:$E$7,4,0)+L469*VLOOKUP($B469,Premissas!$A$4:$E$7,5,0))</f>
        <v/>
      </c>
      <c r="N469" s="14">
        <f>H469-M469</f>
        <v/>
      </c>
      <c r="O469" t="inlineStr">
        <is>
          <t>Não</t>
        </is>
      </c>
      <c r="P469" t="inlineStr">
        <is>
          <t>1.350</t>
        </is>
      </c>
    </row>
    <row r="470">
      <c r="A470" t="inlineStr">
        <is>
          <t>Antes de 2026</t>
        </is>
      </c>
      <c r="B470" t="inlineStr">
        <is>
          <t>Frete de venda</t>
        </is>
      </c>
      <c r="C470" t="inlineStr">
        <is>
          <t>Frete de venda (para clientes)</t>
        </is>
      </c>
      <c r="D470" t="inlineStr">
        <is>
          <t>CT-e</t>
        </is>
      </c>
      <c r="E470" t="inlineStr">
        <is>
          <t>000003840</t>
        </is>
      </c>
      <c r="F470" t="inlineStr">
        <is>
          <t>R&amp;R TRANSPORTE E LOGISTICA</t>
        </is>
      </c>
      <c r="G470" s="27" t="n">
        <v>45730</v>
      </c>
      <c r="H470" s="14" t="n">
        <v>25.17</v>
      </c>
      <c r="I470" s="14" t="n">
        <v>0</v>
      </c>
      <c r="J470" s="14" t="n">
        <v>0</v>
      </c>
      <c r="K470" s="14" t="n">
        <v>0</v>
      </c>
      <c r="L470" s="14" t="n">
        <v>0</v>
      </c>
      <c r="M470" s="14">
        <f>IF(B470="Frete de venda",0,(1-ISNUMBER(SEARCH("556",P470)))*(I470*VLOOKUP($B470,Premissas!$A$4:$E$7,2,0)+J470*VLOOKUP($B470,Premissas!$A$4:$E$7,3,0))+K470*VLOOKUP($B470,Premissas!$A$4:$E$7,4,0)+L470*VLOOKUP($B470,Premissas!$A$4:$E$7,5,0))</f>
        <v/>
      </c>
      <c r="N470" s="14">
        <f>H470-M470</f>
        <v/>
      </c>
      <c r="O470" t="inlineStr">
        <is>
          <t>Não</t>
        </is>
      </c>
      <c r="P470" t="inlineStr">
        <is>
          <t>1.350</t>
        </is>
      </c>
    </row>
    <row r="471">
      <c r="A471" t="inlineStr">
        <is>
          <t>Antes de 2026</t>
        </is>
      </c>
      <c r="B471" t="inlineStr">
        <is>
          <t>Frete de venda</t>
        </is>
      </c>
      <c r="C471" t="inlineStr">
        <is>
          <t>Frete de venda (para clientes)</t>
        </is>
      </c>
      <c r="D471" t="inlineStr">
        <is>
          <t>CT-e</t>
        </is>
      </c>
      <c r="E471" t="inlineStr">
        <is>
          <t>000003577</t>
        </is>
      </c>
      <c r="F471" t="inlineStr">
        <is>
          <t>R&amp;R TRANSPORTE E LOGISTICA</t>
        </is>
      </c>
      <c r="G471" s="27" t="n">
        <v>45680</v>
      </c>
      <c r="H471" s="14" t="n">
        <v>300</v>
      </c>
      <c r="I471" s="14" t="n">
        <v>0</v>
      </c>
      <c r="J471" s="14" t="n">
        <v>0</v>
      </c>
      <c r="K471" s="14" t="n">
        <v>0</v>
      </c>
      <c r="L471" s="14" t="n">
        <v>0</v>
      </c>
      <c r="M471" s="14">
        <f>IF(B471="Frete de venda",0,(1-ISNUMBER(SEARCH("556",P471)))*(I471*VLOOKUP($B471,Premissas!$A$4:$E$7,2,0)+J471*VLOOKUP($B471,Premissas!$A$4:$E$7,3,0))+K471*VLOOKUP($B471,Premissas!$A$4:$E$7,4,0)+L471*VLOOKUP($B471,Premissas!$A$4:$E$7,5,0))</f>
        <v/>
      </c>
      <c r="N471" s="14">
        <f>H471-M471</f>
        <v/>
      </c>
      <c r="O471" t="inlineStr">
        <is>
          <t>Não</t>
        </is>
      </c>
      <c r="P471" t="inlineStr">
        <is>
          <t>1.350</t>
        </is>
      </c>
    </row>
    <row r="472">
      <c r="A472" t="inlineStr">
        <is>
          <t>Antes de 2026</t>
        </is>
      </c>
      <c r="B472" t="inlineStr">
        <is>
          <t>Frete de venda</t>
        </is>
      </c>
      <c r="C472" t="inlineStr">
        <is>
          <t>Frete de venda (para clientes)</t>
        </is>
      </c>
      <c r="D472" t="inlineStr">
        <is>
          <t>CT-e</t>
        </is>
      </c>
      <c r="E472" t="inlineStr">
        <is>
          <t>000000074</t>
        </is>
      </c>
      <c r="F472" t="inlineStr">
        <is>
          <t>ADIL CARLOS DA SILVA</t>
        </is>
      </c>
      <c r="G472" s="27" t="n">
        <v>45675</v>
      </c>
      <c r="H472" s="14" t="n">
        <v>10</v>
      </c>
      <c r="I472" s="14" t="n">
        <v>0</v>
      </c>
      <c r="J472" s="14" t="n">
        <v>0</v>
      </c>
      <c r="K472" s="14" t="n">
        <v>0</v>
      </c>
      <c r="L472" s="14" t="n">
        <v>0</v>
      </c>
      <c r="M472" s="14">
        <f>IF(B472="Frete de venda",0,(1-ISNUMBER(SEARCH("556",P472)))*(I472*VLOOKUP($B472,Premissas!$A$4:$E$7,2,0)+J472*VLOOKUP($B472,Premissas!$A$4:$E$7,3,0))+K472*VLOOKUP($B472,Premissas!$A$4:$E$7,4,0)+L472*VLOOKUP($B472,Premissas!$A$4:$E$7,5,0))</f>
        <v/>
      </c>
      <c r="N472" s="14">
        <f>H472-M472</f>
        <v/>
      </c>
      <c r="O472" t="inlineStr">
        <is>
          <t>Não</t>
        </is>
      </c>
      <c r="P472" t="inlineStr">
        <is>
          <t>2.350</t>
        </is>
      </c>
    </row>
    <row r="473">
      <c r="A473" t="inlineStr">
        <is>
          <t>Antes de 2026</t>
        </is>
      </c>
      <c r="B473" t="inlineStr">
        <is>
          <t>Frete de venda</t>
        </is>
      </c>
      <c r="C473" t="inlineStr">
        <is>
          <t>Frete de venda (para clientes)</t>
        </is>
      </c>
      <c r="D473" t="inlineStr">
        <is>
          <t>CT-e</t>
        </is>
      </c>
      <c r="E473" t="inlineStr">
        <is>
          <t>000003650</t>
        </is>
      </c>
      <c r="F473" t="inlineStr">
        <is>
          <t>R&amp;R TRANSPORTE E LOGISTICA</t>
        </is>
      </c>
      <c r="G473" s="27" t="n">
        <v>45696</v>
      </c>
      <c r="H473" s="14" t="n">
        <v>5000</v>
      </c>
      <c r="I473" s="14" t="n">
        <v>0</v>
      </c>
      <c r="J473" s="14" t="n">
        <v>0</v>
      </c>
      <c r="K473" s="14" t="n">
        <v>0</v>
      </c>
      <c r="L473" s="14" t="n">
        <v>0</v>
      </c>
      <c r="M473" s="14">
        <f>IF(B473="Frete de venda",0,(1-ISNUMBER(SEARCH("556",P473)))*(I473*VLOOKUP($B473,Premissas!$A$4:$E$7,2,0)+J473*VLOOKUP($B473,Premissas!$A$4:$E$7,3,0))+K473*VLOOKUP($B473,Premissas!$A$4:$E$7,4,0)+L473*VLOOKUP($B473,Premissas!$A$4:$E$7,5,0))</f>
        <v/>
      </c>
      <c r="N473" s="14">
        <f>H473-M473</f>
        <v/>
      </c>
      <c r="O473" t="inlineStr">
        <is>
          <t>Não</t>
        </is>
      </c>
      <c r="P473" t="inlineStr">
        <is>
          <t>1.350</t>
        </is>
      </c>
    </row>
    <row r="474">
      <c r="A474" t="inlineStr">
        <is>
          <t>Antes de 2026</t>
        </is>
      </c>
      <c r="B474" t="inlineStr">
        <is>
          <t>Frete de venda</t>
        </is>
      </c>
      <c r="C474" t="inlineStr">
        <is>
          <t>Frete de venda (para clientes)</t>
        </is>
      </c>
      <c r="D474" t="inlineStr">
        <is>
          <t>CT-e</t>
        </is>
      </c>
      <c r="E474" t="inlineStr">
        <is>
          <t>000003652</t>
        </is>
      </c>
      <c r="F474" t="inlineStr">
        <is>
          <t>R&amp;R TRANSPORTE E LOGISTICA</t>
        </is>
      </c>
      <c r="G474" s="27" t="n">
        <v>45698</v>
      </c>
      <c r="H474" s="14" t="n">
        <v>400</v>
      </c>
      <c r="I474" s="14" t="n">
        <v>0</v>
      </c>
      <c r="J474" s="14" t="n">
        <v>0</v>
      </c>
      <c r="K474" s="14" t="n">
        <v>0</v>
      </c>
      <c r="L474" s="14" t="n">
        <v>0</v>
      </c>
      <c r="M474" s="14">
        <f>IF(B474="Frete de venda",0,(1-ISNUMBER(SEARCH("556",P474)))*(I474*VLOOKUP($B474,Premissas!$A$4:$E$7,2,0)+J474*VLOOKUP($B474,Premissas!$A$4:$E$7,3,0))+K474*VLOOKUP($B474,Premissas!$A$4:$E$7,4,0)+L474*VLOOKUP($B474,Premissas!$A$4:$E$7,5,0))</f>
        <v/>
      </c>
      <c r="N474" s="14">
        <f>H474-M474</f>
        <v/>
      </c>
      <c r="O474" t="inlineStr">
        <is>
          <t>Não</t>
        </is>
      </c>
      <c r="P474" t="inlineStr">
        <is>
          <t>1.350</t>
        </is>
      </c>
    </row>
    <row r="475">
      <c r="A475" t="inlineStr">
        <is>
          <t>Antes de 2026</t>
        </is>
      </c>
      <c r="B475" t="inlineStr">
        <is>
          <t>Frete de venda</t>
        </is>
      </c>
      <c r="C475" t="inlineStr">
        <is>
          <t>Frete de venda (para clientes)</t>
        </is>
      </c>
      <c r="D475" t="inlineStr">
        <is>
          <t>CT-e</t>
        </is>
      </c>
      <c r="E475" t="inlineStr">
        <is>
          <t>000003880</t>
        </is>
      </c>
      <c r="F475" t="inlineStr">
        <is>
          <t>R&amp;R TRANSPORTE E LOGISTICA</t>
        </is>
      </c>
      <c r="G475" s="27" t="n">
        <v>45736</v>
      </c>
      <c r="H475" s="14" t="n">
        <v>68.08</v>
      </c>
      <c r="I475" s="14" t="n">
        <v>0</v>
      </c>
      <c r="J475" s="14" t="n">
        <v>0</v>
      </c>
      <c r="K475" s="14" t="n">
        <v>0</v>
      </c>
      <c r="L475" s="14" t="n">
        <v>0</v>
      </c>
      <c r="M475" s="14">
        <f>IF(B475="Frete de venda",0,(1-ISNUMBER(SEARCH("556",P475)))*(I475*VLOOKUP($B475,Premissas!$A$4:$E$7,2,0)+J475*VLOOKUP($B475,Premissas!$A$4:$E$7,3,0))+K475*VLOOKUP($B475,Premissas!$A$4:$E$7,4,0)+L475*VLOOKUP($B475,Premissas!$A$4:$E$7,5,0))</f>
        <v/>
      </c>
      <c r="N475" s="14">
        <f>H475-M475</f>
        <v/>
      </c>
      <c r="O475" t="inlineStr">
        <is>
          <t>Não</t>
        </is>
      </c>
      <c r="P475" t="inlineStr">
        <is>
          <t>1.350</t>
        </is>
      </c>
    </row>
    <row r="476">
      <c r="A476" t="inlineStr">
        <is>
          <t>Antes de 2026</t>
        </is>
      </c>
      <c r="B476" t="inlineStr">
        <is>
          <t>Frete de venda</t>
        </is>
      </c>
      <c r="C476" t="inlineStr">
        <is>
          <t>Frete de venda (para clientes)</t>
        </is>
      </c>
      <c r="D476" t="inlineStr">
        <is>
          <t>CT-e</t>
        </is>
      </c>
      <c r="E476" t="inlineStr">
        <is>
          <t>000003674</t>
        </is>
      </c>
      <c r="F476" t="inlineStr">
        <is>
          <t>R&amp;R TRANSPORTE E LOGISTICA</t>
        </is>
      </c>
      <c r="G476" s="27" t="n">
        <v>45702</v>
      </c>
      <c r="H476" s="14" t="n">
        <v>65.09</v>
      </c>
      <c r="I476" s="14" t="n">
        <v>0</v>
      </c>
      <c r="J476" s="14" t="n">
        <v>0</v>
      </c>
      <c r="K476" s="14" t="n">
        <v>0</v>
      </c>
      <c r="L476" s="14" t="n">
        <v>0</v>
      </c>
      <c r="M476" s="14">
        <f>IF(B476="Frete de venda",0,(1-ISNUMBER(SEARCH("556",P476)))*(I476*VLOOKUP($B476,Premissas!$A$4:$E$7,2,0)+J476*VLOOKUP($B476,Premissas!$A$4:$E$7,3,0))+K476*VLOOKUP($B476,Premissas!$A$4:$E$7,4,0)+L476*VLOOKUP($B476,Premissas!$A$4:$E$7,5,0))</f>
        <v/>
      </c>
      <c r="N476" s="14">
        <f>H476-M476</f>
        <v/>
      </c>
      <c r="O476" t="inlineStr">
        <is>
          <t>Não</t>
        </is>
      </c>
      <c r="P476" t="inlineStr">
        <is>
          <t>1.350</t>
        </is>
      </c>
    </row>
    <row r="477">
      <c r="A477" t="inlineStr">
        <is>
          <t>Antes de 2026</t>
        </is>
      </c>
      <c r="B477" t="inlineStr">
        <is>
          <t>Frete de venda</t>
        </is>
      </c>
      <c r="C477" t="inlineStr">
        <is>
          <t>Frete de venda (para clientes)</t>
        </is>
      </c>
      <c r="D477" t="inlineStr">
        <is>
          <t>CT-e</t>
        </is>
      </c>
      <c r="E477" t="inlineStr">
        <is>
          <t>000003785</t>
        </is>
      </c>
      <c r="F477" t="inlineStr">
        <is>
          <t>R&amp;R TRANSPORTE E LOGISTICA</t>
        </is>
      </c>
      <c r="G477" s="27" t="n">
        <v>45721</v>
      </c>
      <c r="H477" s="14" t="n">
        <v>43</v>
      </c>
      <c r="I477" s="14" t="n">
        <v>0</v>
      </c>
      <c r="J477" s="14" t="n">
        <v>0</v>
      </c>
      <c r="K477" s="14" t="n">
        <v>0</v>
      </c>
      <c r="L477" s="14" t="n">
        <v>0</v>
      </c>
      <c r="M477" s="14">
        <f>IF(B477="Frete de venda",0,(1-ISNUMBER(SEARCH("556",P477)))*(I477*VLOOKUP($B477,Premissas!$A$4:$E$7,2,0)+J477*VLOOKUP($B477,Premissas!$A$4:$E$7,3,0))+K477*VLOOKUP($B477,Premissas!$A$4:$E$7,4,0)+L477*VLOOKUP($B477,Premissas!$A$4:$E$7,5,0))</f>
        <v/>
      </c>
      <c r="N477" s="14">
        <f>H477-M477</f>
        <v/>
      </c>
      <c r="O477" t="inlineStr">
        <is>
          <t>Não</t>
        </is>
      </c>
      <c r="P477" t="inlineStr">
        <is>
          <t>1.350</t>
        </is>
      </c>
    </row>
    <row r="478">
      <c r="A478" t="inlineStr">
        <is>
          <t>Antes de 2026</t>
        </is>
      </c>
      <c r="B478" t="inlineStr">
        <is>
          <t>Frete de venda</t>
        </is>
      </c>
      <c r="C478" t="inlineStr">
        <is>
          <t>Frete de venda (para clientes)</t>
        </is>
      </c>
      <c r="D478" t="inlineStr">
        <is>
          <t>CT-e</t>
        </is>
      </c>
      <c r="E478" t="inlineStr">
        <is>
          <t>000003737</t>
        </is>
      </c>
      <c r="F478" t="inlineStr">
        <is>
          <t>R&amp;R TRANSPORTE E LOGISTICA</t>
        </is>
      </c>
      <c r="G478" s="27" t="n">
        <v>45710</v>
      </c>
      <c r="H478" s="14" t="n">
        <v>30</v>
      </c>
      <c r="I478" s="14" t="n">
        <v>0</v>
      </c>
      <c r="J478" s="14" t="n">
        <v>0</v>
      </c>
      <c r="K478" s="14" t="n">
        <v>0</v>
      </c>
      <c r="L478" s="14" t="n">
        <v>0</v>
      </c>
      <c r="M478" s="14">
        <f>IF(B478="Frete de venda",0,(1-ISNUMBER(SEARCH("556",P478)))*(I478*VLOOKUP($B478,Premissas!$A$4:$E$7,2,0)+J478*VLOOKUP($B478,Premissas!$A$4:$E$7,3,0))+K478*VLOOKUP($B478,Premissas!$A$4:$E$7,4,0)+L478*VLOOKUP($B478,Premissas!$A$4:$E$7,5,0))</f>
        <v/>
      </c>
      <c r="N478" s="14">
        <f>H478-M478</f>
        <v/>
      </c>
      <c r="O478" t="inlineStr">
        <is>
          <t>Não</t>
        </is>
      </c>
      <c r="P478" t="inlineStr">
        <is>
          <t>1.350</t>
        </is>
      </c>
    </row>
    <row r="479">
      <c r="A479" t="inlineStr">
        <is>
          <t>Antes de 2026</t>
        </is>
      </c>
      <c r="B479" t="inlineStr">
        <is>
          <t>Frete de venda</t>
        </is>
      </c>
      <c r="C479" t="inlineStr">
        <is>
          <t>Frete de venda (para clientes)</t>
        </is>
      </c>
      <c r="D479" t="inlineStr">
        <is>
          <t>CT-e</t>
        </is>
      </c>
      <c r="E479" t="inlineStr">
        <is>
          <t>000003734</t>
        </is>
      </c>
      <c r="F479" t="inlineStr">
        <is>
          <t>R&amp;R TRANSPORTE E LOGISTICA</t>
        </is>
      </c>
      <c r="G479" s="27" t="n">
        <v>45709</v>
      </c>
      <c r="H479" s="14" t="n">
        <v>28.36</v>
      </c>
      <c r="I479" s="14" t="n">
        <v>0</v>
      </c>
      <c r="J479" s="14" t="n">
        <v>0</v>
      </c>
      <c r="K479" s="14" t="n">
        <v>0</v>
      </c>
      <c r="L479" s="14" t="n">
        <v>0</v>
      </c>
      <c r="M479" s="14">
        <f>IF(B479="Frete de venda",0,(1-ISNUMBER(SEARCH("556",P479)))*(I479*VLOOKUP($B479,Premissas!$A$4:$E$7,2,0)+J479*VLOOKUP($B479,Premissas!$A$4:$E$7,3,0))+K479*VLOOKUP($B479,Premissas!$A$4:$E$7,4,0)+L479*VLOOKUP($B479,Premissas!$A$4:$E$7,5,0))</f>
        <v/>
      </c>
      <c r="N479" s="14">
        <f>H479-M479</f>
        <v/>
      </c>
      <c r="O479" t="inlineStr">
        <is>
          <t>Não</t>
        </is>
      </c>
      <c r="P479" t="inlineStr">
        <is>
          <t>1.350</t>
        </is>
      </c>
    </row>
    <row r="480">
      <c r="A480" t="inlineStr">
        <is>
          <t>Antes de 2026</t>
        </is>
      </c>
      <c r="B480" t="inlineStr">
        <is>
          <t>Frete de venda</t>
        </is>
      </c>
      <c r="C480" t="inlineStr">
        <is>
          <t>Frete de venda (para clientes)</t>
        </is>
      </c>
      <c r="D480" t="inlineStr">
        <is>
          <t>CT-e</t>
        </is>
      </c>
      <c r="E480" t="inlineStr">
        <is>
          <t>000003836</t>
        </is>
      </c>
      <c r="F480" t="inlineStr">
        <is>
          <t>R&amp;R TRANSPORTE E LOGISTICA</t>
        </is>
      </c>
      <c r="G480" s="27" t="n">
        <v>45730</v>
      </c>
      <c r="H480" s="14" t="n">
        <v>34.72</v>
      </c>
      <c r="I480" s="14" t="n">
        <v>0</v>
      </c>
      <c r="J480" s="14" t="n">
        <v>0</v>
      </c>
      <c r="K480" s="14" t="n">
        <v>0</v>
      </c>
      <c r="L480" s="14" t="n">
        <v>0</v>
      </c>
      <c r="M480" s="14">
        <f>IF(B480="Frete de venda",0,(1-ISNUMBER(SEARCH("556",P480)))*(I480*VLOOKUP($B480,Premissas!$A$4:$E$7,2,0)+J480*VLOOKUP($B480,Premissas!$A$4:$E$7,3,0))+K480*VLOOKUP($B480,Premissas!$A$4:$E$7,4,0)+L480*VLOOKUP($B480,Premissas!$A$4:$E$7,5,0))</f>
        <v/>
      </c>
      <c r="N480" s="14">
        <f>H480-M480</f>
        <v/>
      </c>
      <c r="O480" t="inlineStr">
        <is>
          <t>Não</t>
        </is>
      </c>
      <c r="P480" t="inlineStr">
        <is>
          <t>1.350</t>
        </is>
      </c>
    </row>
    <row r="481">
      <c r="A481" t="inlineStr">
        <is>
          <t>Antes de 2026</t>
        </is>
      </c>
      <c r="B481" t="inlineStr">
        <is>
          <t>Frete de venda</t>
        </is>
      </c>
      <c r="C481" t="inlineStr">
        <is>
          <t>Frete de venda (para clientes)</t>
        </is>
      </c>
      <c r="D481" t="inlineStr">
        <is>
          <t>CT-e</t>
        </is>
      </c>
      <c r="E481" t="inlineStr">
        <is>
          <t>000003529</t>
        </is>
      </c>
      <c r="F481" t="inlineStr">
        <is>
          <t>R&amp;R TRANSPORTE E LOGISTICA</t>
        </is>
      </c>
      <c r="G481" s="27" t="n">
        <v>45673</v>
      </c>
      <c r="H481" s="14" t="n">
        <v>67.54000000000001</v>
      </c>
      <c r="I481" s="14" t="n">
        <v>0</v>
      </c>
      <c r="J481" s="14" t="n">
        <v>0</v>
      </c>
      <c r="K481" s="14" t="n">
        <v>0</v>
      </c>
      <c r="L481" s="14" t="n">
        <v>0</v>
      </c>
      <c r="M481" s="14">
        <f>IF(B481="Frete de venda",0,(1-ISNUMBER(SEARCH("556",P481)))*(I481*VLOOKUP($B481,Premissas!$A$4:$E$7,2,0)+J481*VLOOKUP($B481,Premissas!$A$4:$E$7,3,0))+K481*VLOOKUP($B481,Premissas!$A$4:$E$7,4,0)+L481*VLOOKUP($B481,Premissas!$A$4:$E$7,5,0))</f>
        <v/>
      </c>
      <c r="N481" s="14">
        <f>H481-M481</f>
        <v/>
      </c>
      <c r="O481" t="inlineStr">
        <is>
          <t>Não</t>
        </is>
      </c>
      <c r="P481" t="inlineStr">
        <is>
          <t>1.350</t>
        </is>
      </c>
    </row>
    <row r="482">
      <c r="A482" t="inlineStr">
        <is>
          <t>Antes de 2026</t>
        </is>
      </c>
      <c r="B482" t="inlineStr">
        <is>
          <t>Frete de venda</t>
        </is>
      </c>
      <c r="C482" t="inlineStr">
        <is>
          <t>Frete de venda (para clientes)</t>
        </is>
      </c>
      <c r="D482" t="inlineStr">
        <is>
          <t>CT-e</t>
        </is>
      </c>
      <c r="E482" t="inlineStr">
        <is>
          <t>000003531</t>
        </is>
      </c>
      <c r="F482" t="inlineStr">
        <is>
          <t>R&amp;R TRANSPORTE E LOGISTICA</t>
        </is>
      </c>
      <c r="G482" s="27" t="n">
        <v>45673</v>
      </c>
      <c r="H482" s="14" t="n">
        <v>55.24</v>
      </c>
      <c r="I482" s="14" t="n">
        <v>0</v>
      </c>
      <c r="J482" s="14" t="n">
        <v>0</v>
      </c>
      <c r="K482" s="14" t="n">
        <v>0</v>
      </c>
      <c r="L482" s="14" t="n">
        <v>0</v>
      </c>
      <c r="M482" s="14">
        <f>IF(B482="Frete de venda",0,(1-ISNUMBER(SEARCH("556",P482)))*(I482*VLOOKUP($B482,Premissas!$A$4:$E$7,2,0)+J482*VLOOKUP($B482,Premissas!$A$4:$E$7,3,0))+K482*VLOOKUP($B482,Premissas!$A$4:$E$7,4,0)+L482*VLOOKUP($B482,Premissas!$A$4:$E$7,5,0))</f>
        <v/>
      </c>
      <c r="N482" s="14">
        <f>H482-M482</f>
        <v/>
      </c>
      <c r="O482" t="inlineStr">
        <is>
          <t>Não</t>
        </is>
      </c>
      <c r="P482" t="inlineStr">
        <is>
          <t>1.350</t>
        </is>
      </c>
    </row>
    <row r="483">
      <c r="A483" t="inlineStr">
        <is>
          <t>Antes de 2026</t>
        </is>
      </c>
      <c r="B483" t="inlineStr">
        <is>
          <t>Frete de venda</t>
        </is>
      </c>
      <c r="C483" t="inlineStr">
        <is>
          <t>Frete de venda (para clientes)</t>
        </is>
      </c>
      <c r="D483" t="inlineStr">
        <is>
          <t>CT-e</t>
        </is>
      </c>
      <c r="E483" t="inlineStr">
        <is>
          <t>000003532</t>
        </is>
      </c>
      <c r="F483" t="inlineStr">
        <is>
          <t>R&amp;R TRANSPORTE E LOGISTICA</t>
        </is>
      </c>
      <c r="G483" s="27" t="n">
        <v>45673</v>
      </c>
      <c r="H483" s="14" t="n">
        <v>53.96</v>
      </c>
      <c r="I483" s="14" t="n">
        <v>0</v>
      </c>
      <c r="J483" s="14" t="n">
        <v>0</v>
      </c>
      <c r="K483" s="14" t="n">
        <v>0</v>
      </c>
      <c r="L483" s="14" t="n">
        <v>0</v>
      </c>
      <c r="M483" s="14">
        <f>IF(B483="Frete de venda",0,(1-ISNUMBER(SEARCH("556",P483)))*(I483*VLOOKUP($B483,Premissas!$A$4:$E$7,2,0)+J483*VLOOKUP($B483,Premissas!$A$4:$E$7,3,0))+K483*VLOOKUP($B483,Premissas!$A$4:$E$7,4,0)+L483*VLOOKUP($B483,Premissas!$A$4:$E$7,5,0))</f>
        <v/>
      </c>
      <c r="N483" s="14">
        <f>H483-M483</f>
        <v/>
      </c>
      <c r="O483" t="inlineStr">
        <is>
          <t>Não</t>
        </is>
      </c>
      <c r="P483" t="inlineStr">
        <is>
          <t>1.350</t>
        </is>
      </c>
    </row>
    <row r="484">
      <c r="A484" t="inlineStr">
        <is>
          <t>Antes de 2026</t>
        </is>
      </c>
      <c r="B484" t="inlineStr">
        <is>
          <t>Frete de venda</t>
        </is>
      </c>
      <c r="C484" t="inlineStr">
        <is>
          <t>Frete de venda (para clientes)</t>
        </is>
      </c>
      <c r="D484" t="inlineStr">
        <is>
          <t>CT-e</t>
        </is>
      </c>
      <c r="E484" t="inlineStr">
        <is>
          <t>000003530</t>
        </is>
      </c>
      <c r="F484" t="inlineStr">
        <is>
          <t>R&amp;R TRANSPORTE E LOGISTICA</t>
        </is>
      </c>
      <c r="G484" s="27" t="n">
        <v>45673</v>
      </c>
      <c r="H484" s="14" t="n">
        <v>68.15000000000001</v>
      </c>
      <c r="I484" s="14" t="n">
        <v>0</v>
      </c>
      <c r="J484" s="14" t="n">
        <v>0</v>
      </c>
      <c r="K484" s="14" t="n">
        <v>0</v>
      </c>
      <c r="L484" s="14" t="n">
        <v>0</v>
      </c>
      <c r="M484" s="14">
        <f>IF(B484="Frete de venda",0,(1-ISNUMBER(SEARCH("556",P484)))*(I484*VLOOKUP($B484,Premissas!$A$4:$E$7,2,0)+J484*VLOOKUP($B484,Premissas!$A$4:$E$7,3,0))+K484*VLOOKUP($B484,Premissas!$A$4:$E$7,4,0)+L484*VLOOKUP($B484,Premissas!$A$4:$E$7,5,0))</f>
        <v/>
      </c>
      <c r="N484" s="14">
        <f>H484-M484</f>
        <v/>
      </c>
      <c r="O484" t="inlineStr">
        <is>
          <t>Não</t>
        </is>
      </c>
      <c r="P484" t="inlineStr">
        <is>
          <t>1.350</t>
        </is>
      </c>
    </row>
    <row r="485">
      <c r="A485" t="inlineStr">
        <is>
          <t>Antes de 2026</t>
        </is>
      </c>
      <c r="B485" t="inlineStr">
        <is>
          <t>Frete de venda</t>
        </is>
      </c>
      <c r="C485" t="inlineStr">
        <is>
          <t>Frete de venda (para clientes)</t>
        </is>
      </c>
      <c r="D485" t="inlineStr">
        <is>
          <t>CT-e</t>
        </is>
      </c>
      <c r="E485" t="inlineStr">
        <is>
          <t>000003568</t>
        </is>
      </c>
      <c r="F485" t="inlineStr">
        <is>
          <t>R&amp;R TRANSPORTE E LOGISTICA</t>
        </is>
      </c>
      <c r="G485" s="27" t="n">
        <v>45678</v>
      </c>
      <c r="H485" s="14" t="n">
        <v>66</v>
      </c>
      <c r="I485" s="14" t="n">
        <v>0</v>
      </c>
      <c r="J485" s="14" t="n">
        <v>0</v>
      </c>
      <c r="K485" s="14" t="n">
        <v>0</v>
      </c>
      <c r="L485" s="14" t="n">
        <v>0</v>
      </c>
      <c r="M485" s="14">
        <f>IF(B485="Frete de venda",0,(1-ISNUMBER(SEARCH("556",P485)))*(I485*VLOOKUP($B485,Premissas!$A$4:$E$7,2,0)+J485*VLOOKUP($B485,Premissas!$A$4:$E$7,3,0))+K485*VLOOKUP($B485,Premissas!$A$4:$E$7,4,0)+L485*VLOOKUP($B485,Premissas!$A$4:$E$7,5,0))</f>
        <v/>
      </c>
      <c r="N485" s="14">
        <f>H485-M485</f>
        <v/>
      </c>
      <c r="O485" t="inlineStr">
        <is>
          <t>Não</t>
        </is>
      </c>
      <c r="P485" t="inlineStr">
        <is>
          <t>1.350</t>
        </is>
      </c>
    </row>
    <row r="486">
      <c r="A486" t="inlineStr">
        <is>
          <t>Antes de 2026</t>
        </is>
      </c>
      <c r="B486" t="inlineStr">
        <is>
          <t>Frete de venda</t>
        </is>
      </c>
      <c r="C486" t="inlineStr">
        <is>
          <t>Frete de venda (para clientes)</t>
        </is>
      </c>
      <c r="D486" t="inlineStr">
        <is>
          <t>CT-e</t>
        </is>
      </c>
      <c r="E486" t="inlineStr">
        <is>
          <t>000003571</t>
        </is>
      </c>
      <c r="F486" t="inlineStr">
        <is>
          <t>R&amp;R TRANSPORTE E LOGISTICA</t>
        </is>
      </c>
      <c r="G486" s="27" t="n">
        <v>45680</v>
      </c>
      <c r="H486" s="14" t="n">
        <v>97</v>
      </c>
      <c r="I486" s="14" t="n">
        <v>0</v>
      </c>
      <c r="J486" s="14" t="n">
        <v>0</v>
      </c>
      <c r="K486" s="14" t="n">
        <v>0</v>
      </c>
      <c r="L486" s="14" t="n">
        <v>0</v>
      </c>
      <c r="M486" s="14">
        <f>IF(B486="Frete de venda",0,(1-ISNUMBER(SEARCH("556",P486)))*(I486*VLOOKUP($B486,Premissas!$A$4:$E$7,2,0)+J486*VLOOKUP($B486,Premissas!$A$4:$E$7,3,0))+K486*VLOOKUP($B486,Premissas!$A$4:$E$7,4,0)+L486*VLOOKUP($B486,Premissas!$A$4:$E$7,5,0))</f>
        <v/>
      </c>
      <c r="N486" s="14">
        <f>H486-M486</f>
        <v/>
      </c>
      <c r="O486" t="inlineStr">
        <is>
          <t>Não</t>
        </is>
      </c>
      <c r="P486" t="inlineStr">
        <is>
          <t>1.350</t>
        </is>
      </c>
    </row>
    <row r="487">
      <c r="A487" t="inlineStr">
        <is>
          <t>Antes de 2026</t>
        </is>
      </c>
      <c r="B487" t="inlineStr">
        <is>
          <t>Frete de venda</t>
        </is>
      </c>
      <c r="C487" t="inlineStr">
        <is>
          <t>Frete de venda (para clientes)</t>
        </is>
      </c>
      <c r="D487" t="inlineStr">
        <is>
          <t>CT-e</t>
        </is>
      </c>
      <c r="E487" t="inlineStr">
        <is>
          <t>000003594</t>
        </is>
      </c>
      <c r="F487" t="inlineStr">
        <is>
          <t>R&amp;R TRANSPORTE E LOGISTICA</t>
        </is>
      </c>
      <c r="G487" s="27" t="n">
        <v>45686</v>
      </c>
      <c r="H487" s="14" t="n">
        <v>174.66</v>
      </c>
      <c r="I487" s="14" t="n">
        <v>0</v>
      </c>
      <c r="J487" s="14" t="n">
        <v>0</v>
      </c>
      <c r="K487" s="14" t="n">
        <v>0</v>
      </c>
      <c r="L487" s="14" t="n">
        <v>0</v>
      </c>
      <c r="M487" s="14">
        <f>IF(B487="Frete de venda",0,(1-ISNUMBER(SEARCH("556",P487)))*(I487*VLOOKUP($B487,Premissas!$A$4:$E$7,2,0)+J487*VLOOKUP($B487,Premissas!$A$4:$E$7,3,0))+K487*VLOOKUP($B487,Premissas!$A$4:$E$7,4,0)+L487*VLOOKUP($B487,Premissas!$A$4:$E$7,5,0))</f>
        <v/>
      </c>
      <c r="N487" s="14">
        <f>H487-M487</f>
        <v/>
      </c>
      <c r="O487" t="inlineStr">
        <is>
          <t>Não</t>
        </is>
      </c>
      <c r="P487" t="inlineStr">
        <is>
          <t>1.350</t>
        </is>
      </c>
    </row>
    <row r="488">
      <c r="A488" t="inlineStr">
        <is>
          <t>Antes de 2026</t>
        </is>
      </c>
      <c r="B488" t="inlineStr">
        <is>
          <t>Frete de venda</t>
        </is>
      </c>
      <c r="C488" t="inlineStr">
        <is>
          <t>Frete de venda (para clientes)</t>
        </is>
      </c>
      <c r="D488" t="inlineStr">
        <is>
          <t>CT-e</t>
        </is>
      </c>
      <c r="E488" t="inlineStr">
        <is>
          <t>000003663</t>
        </is>
      </c>
      <c r="F488" t="inlineStr">
        <is>
          <t>R&amp;R TRANSPORTE E LOGISTICA</t>
        </is>
      </c>
      <c r="G488" s="27" t="n">
        <v>45701</v>
      </c>
      <c r="H488" s="14" t="n">
        <v>87</v>
      </c>
      <c r="I488" s="14" t="n">
        <v>0</v>
      </c>
      <c r="J488" s="14" t="n">
        <v>0</v>
      </c>
      <c r="K488" s="14" t="n">
        <v>0</v>
      </c>
      <c r="L488" s="14" t="n">
        <v>0</v>
      </c>
      <c r="M488" s="14">
        <f>IF(B488="Frete de venda",0,(1-ISNUMBER(SEARCH("556",P488)))*(I488*VLOOKUP($B488,Premissas!$A$4:$E$7,2,0)+J488*VLOOKUP($B488,Premissas!$A$4:$E$7,3,0))+K488*VLOOKUP($B488,Premissas!$A$4:$E$7,4,0)+L488*VLOOKUP($B488,Premissas!$A$4:$E$7,5,0))</f>
        <v/>
      </c>
      <c r="N488" s="14">
        <f>H488-M488</f>
        <v/>
      </c>
      <c r="O488" t="inlineStr">
        <is>
          <t>Não</t>
        </is>
      </c>
      <c r="P488" t="inlineStr">
        <is>
          <t>1.350</t>
        </is>
      </c>
    </row>
    <row r="489">
      <c r="A489" t="inlineStr">
        <is>
          <t>Antes de 2026</t>
        </is>
      </c>
      <c r="B489" t="inlineStr">
        <is>
          <t>Frete de venda</t>
        </is>
      </c>
      <c r="C489" t="inlineStr">
        <is>
          <t>Frete de venda (para clientes)</t>
        </is>
      </c>
      <c r="D489" t="inlineStr">
        <is>
          <t>CT-e</t>
        </is>
      </c>
      <c r="E489" t="inlineStr">
        <is>
          <t>000003665</t>
        </is>
      </c>
      <c r="F489" t="inlineStr">
        <is>
          <t>R&amp;R TRANSPORTE E LOGISTICA</t>
        </is>
      </c>
      <c r="G489" s="27" t="n">
        <v>45701</v>
      </c>
      <c r="H489" s="14" t="n">
        <v>57</v>
      </c>
      <c r="I489" s="14" t="n">
        <v>0</v>
      </c>
      <c r="J489" s="14" t="n">
        <v>0</v>
      </c>
      <c r="K489" s="14" t="n">
        <v>0</v>
      </c>
      <c r="L489" s="14" t="n">
        <v>0</v>
      </c>
      <c r="M489" s="14">
        <f>IF(B489="Frete de venda",0,(1-ISNUMBER(SEARCH("556",P489)))*(I489*VLOOKUP($B489,Premissas!$A$4:$E$7,2,0)+J489*VLOOKUP($B489,Premissas!$A$4:$E$7,3,0))+K489*VLOOKUP($B489,Premissas!$A$4:$E$7,4,0)+L489*VLOOKUP($B489,Premissas!$A$4:$E$7,5,0))</f>
        <v/>
      </c>
      <c r="N489" s="14">
        <f>H489-M489</f>
        <v/>
      </c>
      <c r="O489" t="inlineStr">
        <is>
          <t>Não</t>
        </is>
      </c>
      <c r="P489" t="inlineStr">
        <is>
          <t>1.350</t>
        </is>
      </c>
    </row>
    <row r="490">
      <c r="A490" t="inlineStr">
        <is>
          <t>Antes de 2026</t>
        </is>
      </c>
      <c r="B490" t="inlineStr">
        <is>
          <t>Frete de venda</t>
        </is>
      </c>
      <c r="C490" t="inlineStr">
        <is>
          <t>Frete de venda (para clientes)</t>
        </is>
      </c>
      <c r="D490" t="inlineStr">
        <is>
          <t>CT-e</t>
        </is>
      </c>
      <c r="E490" t="inlineStr">
        <is>
          <t>000003664</t>
        </is>
      </c>
      <c r="F490" t="inlineStr">
        <is>
          <t>R&amp;R TRANSPORTE E LOGISTICA</t>
        </is>
      </c>
      <c r="G490" s="27" t="n">
        <v>45701</v>
      </c>
      <c r="H490" s="14" t="n">
        <v>44</v>
      </c>
      <c r="I490" s="14" t="n">
        <v>0</v>
      </c>
      <c r="J490" s="14" t="n">
        <v>0</v>
      </c>
      <c r="K490" s="14" t="n">
        <v>0</v>
      </c>
      <c r="L490" s="14" t="n">
        <v>0</v>
      </c>
      <c r="M490" s="14">
        <f>IF(B490="Frete de venda",0,(1-ISNUMBER(SEARCH("556",P490)))*(I490*VLOOKUP($B490,Premissas!$A$4:$E$7,2,0)+J490*VLOOKUP($B490,Premissas!$A$4:$E$7,3,0))+K490*VLOOKUP($B490,Premissas!$A$4:$E$7,4,0)+L490*VLOOKUP($B490,Premissas!$A$4:$E$7,5,0))</f>
        <v/>
      </c>
      <c r="N490" s="14">
        <f>H490-M490</f>
        <v/>
      </c>
      <c r="O490" t="inlineStr">
        <is>
          <t>Não</t>
        </is>
      </c>
      <c r="P490" t="inlineStr">
        <is>
          <t>1.350</t>
        </is>
      </c>
    </row>
    <row r="491">
      <c r="A491" t="inlineStr">
        <is>
          <t>Antes de 2026</t>
        </is>
      </c>
      <c r="B491" t="inlineStr">
        <is>
          <t>Frete de venda</t>
        </is>
      </c>
      <c r="C491" t="inlineStr">
        <is>
          <t>Frete de venda (para clientes)</t>
        </is>
      </c>
      <c r="D491" t="inlineStr">
        <is>
          <t>CT-e</t>
        </is>
      </c>
      <c r="E491" t="inlineStr">
        <is>
          <t>000003712</t>
        </is>
      </c>
      <c r="F491" t="inlineStr">
        <is>
          <t>R&amp;R TRANSPORTE E LOGISTICA</t>
        </is>
      </c>
      <c r="G491" s="27" t="n">
        <v>45707</v>
      </c>
      <c r="H491" s="14" t="n">
        <v>55.99</v>
      </c>
      <c r="I491" s="14" t="n">
        <v>0</v>
      </c>
      <c r="J491" s="14" t="n">
        <v>0</v>
      </c>
      <c r="K491" s="14" t="n">
        <v>0</v>
      </c>
      <c r="L491" s="14" t="n">
        <v>0</v>
      </c>
      <c r="M491" s="14">
        <f>IF(B491="Frete de venda",0,(1-ISNUMBER(SEARCH("556",P491)))*(I491*VLOOKUP($B491,Premissas!$A$4:$E$7,2,0)+J491*VLOOKUP($B491,Premissas!$A$4:$E$7,3,0))+K491*VLOOKUP($B491,Premissas!$A$4:$E$7,4,0)+L491*VLOOKUP($B491,Premissas!$A$4:$E$7,5,0))</f>
        <v/>
      </c>
      <c r="N491" s="14">
        <f>H491-M491</f>
        <v/>
      </c>
      <c r="O491" t="inlineStr">
        <is>
          <t>Não</t>
        </is>
      </c>
      <c r="P491" t="inlineStr">
        <is>
          <t>1.350</t>
        </is>
      </c>
    </row>
    <row r="492">
      <c r="A492" t="inlineStr">
        <is>
          <t>Antes de 2026</t>
        </is>
      </c>
      <c r="B492" t="inlineStr">
        <is>
          <t>Frete de venda</t>
        </is>
      </c>
      <c r="C492" t="inlineStr">
        <is>
          <t>Frete de venda (para clientes)</t>
        </is>
      </c>
      <c r="D492" t="inlineStr">
        <is>
          <t>CT-e</t>
        </is>
      </c>
      <c r="E492" t="inlineStr">
        <is>
          <t>000003716</t>
        </is>
      </c>
      <c r="F492" t="inlineStr">
        <is>
          <t>R&amp;R TRANSPORTE E LOGISTICA</t>
        </is>
      </c>
      <c r="G492" s="27" t="n">
        <v>45707</v>
      </c>
      <c r="H492" s="14" t="n">
        <v>81.87</v>
      </c>
      <c r="I492" s="14" t="n">
        <v>0</v>
      </c>
      <c r="J492" s="14" t="n">
        <v>0</v>
      </c>
      <c r="K492" s="14" t="n">
        <v>0</v>
      </c>
      <c r="L492" s="14" t="n">
        <v>0</v>
      </c>
      <c r="M492" s="14">
        <f>IF(B492="Frete de venda",0,(1-ISNUMBER(SEARCH("556",P492)))*(I492*VLOOKUP($B492,Premissas!$A$4:$E$7,2,0)+J492*VLOOKUP($B492,Premissas!$A$4:$E$7,3,0))+K492*VLOOKUP($B492,Premissas!$A$4:$E$7,4,0)+L492*VLOOKUP($B492,Premissas!$A$4:$E$7,5,0))</f>
        <v/>
      </c>
      <c r="N492" s="14">
        <f>H492-M492</f>
        <v/>
      </c>
      <c r="O492" t="inlineStr">
        <is>
          <t>Não</t>
        </is>
      </c>
      <c r="P492" t="inlineStr">
        <is>
          <t>1.350</t>
        </is>
      </c>
    </row>
    <row r="493">
      <c r="A493" t="inlineStr">
        <is>
          <t>Antes de 2026</t>
        </is>
      </c>
      <c r="B493" t="inlineStr">
        <is>
          <t>Frete de venda</t>
        </is>
      </c>
      <c r="C493" t="inlineStr">
        <is>
          <t>Frete de venda (para clientes)</t>
        </is>
      </c>
      <c r="D493" t="inlineStr">
        <is>
          <t>CT-e</t>
        </is>
      </c>
      <c r="E493" t="inlineStr">
        <is>
          <t>000003715</t>
        </is>
      </c>
      <c r="F493" t="inlineStr">
        <is>
          <t>R&amp;R TRANSPORTE E LOGISTICA</t>
        </is>
      </c>
      <c r="G493" s="27" t="n">
        <v>45707</v>
      </c>
      <c r="H493" s="14" t="n">
        <v>64.65000000000001</v>
      </c>
      <c r="I493" s="14" t="n">
        <v>0</v>
      </c>
      <c r="J493" s="14" t="n">
        <v>0</v>
      </c>
      <c r="K493" s="14" t="n">
        <v>0</v>
      </c>
      <c r="L493" s="14" t="n">
        <v>0</v>
      </c>
      <c r="M493" s="14">
        <f>IF(B493="Frete de venda",0,(1-ISNUMBER(SEARCH("556",P493)))*(I493*VLOOKUP($B493,Premissas!$A$4:$E$7,2,0)+J493*VLOOKUP($B493,Premissas!$A$4:$E$7,3,0))+K493*VLOOKUP($B493,Premissas!$A$4:$E$7,4,0)+L493*VLOOKUP($B493,Premissas!$A$4:$E$7,5,0))</f>
        <v/>
      </c>
      <c r="N493" s="14">
        <f>H493-M493</f>
        <v/>
      </c>
      <c r="O493" t="inlineStr">
        <is>
          <t>Não</t>
        </is>
      </c>
      <c r="P493" t="inlineStr">
        <is>
          <t>1.350</t>
        </is>
      </c>
    </row>
    <row r="494">
      <c r="A494" t="inlineStr">
        <is>
          <t>Antes de 2026</t>
        </is>
      </c>
      <c r="B494" t="inlineStr">
        <is>
          <t>Frete de venda</t>
        </is>
      </c>
      <c r="C494" t="inlineStr">
        <is>
          <t>Frete de venda (para clientes)</t>
        </is>
      </c>
      <c r="D494" t="inlineStr">
        <is>
          <t>CT-e</t>
        </is>
      </c>
      <c r="E494" t="inlineStr">
        <is>
          <t>000003763</t>
        </is>
      </c>
      <c r="F494" t="inlineStr">
        <is>
          <t>R&amp;R TRANSPORTE E LOGISTICA</t>
        </is>
      </c>
      <c r="G494" s="27" t="n">
        <v>45715</v>
      </c>
      <c r="H494" s="14" t="n">
        <v>111.7</v>
      </c>
      <c r="I494" s="14" t="n">
        <v>0</v>
      </c>
      <c r="J494" s="14" t="n">
        <v>0</v>
      </c>
      <c r="K494" s="14" t="n">
        <v>0</v>
      </c>
      <c r="L494" s="14" t="n">
        <v>0</v>
      </c>
      <c r="M494" s="14">
        <f>IF(B494="Frete de venda",0,(1-ISNUMBER(SEARCH("556",P494)))*(I494*VLOOKUP($B494,Premissas!$A$4:$E$7,2,0)+J494*VLOOKUP($B494,Premissas!$A$4:$E$7,3,0))+K494*VLOOKUP($B494,Premissas!$A$4:$E$7,4,0)+L494*VLOOKUP($B494,Premissas!$A$4:$E$7,5,0))</f>
        <v/>
      </c>
      <c r="N494" s="14">
        <f>H494-M494</f>
        <v/>
      </c>
      <c r="O494" t="inlineStr">
        <is>
          <t>Não</t>
        </is>
      </c>
      <c r="P494" t="inlineStr">
        <is>
          <t>1.350</t>
        </is>
      </c>
    </row>
    <row r="495">
      <c r="A495" t="inlineStr">
        <is>
          <t>Antes de 2026</t>
        </is>
      </c>
      <c r="B495" t="inlineStr">
        <is>
          <t>Frete de venda</t>
        </is>
      </c>
      <c r="C495" t="inlineStr">
        <is>
          <t>Frete de venda (para clientes)</t>
        </is>
      </c>
      <c r="D495" t="inlineStr">
        <is>
          <t>CT-e</t>
        </is>
      </c>
      <c r="E495" t="inlineStr">
        <is>
          <t>000003508</t>
        </is>
      </c>
      <c r="F495" t="inlineStr">
        <is>
          <t>R&amp;R TRANSPORTE E LOGISTICA</t>
        </is>
      </c>
      <c r="G495" s="27" t="n">
        <v>45666</v>
      </c>
      <c r="H495" s="14" t="n">
        <v>62</v>
      </c>
      <c r="I495" s="14" t="n">
        <v>0</v>
      </c>
      <c r="J495" s="14" t="n">
        <v>0</v>
      </c>
      <c r="K495" s="14" t="n">
        <v>0</v>
      </c>
      <c r="L495" s="14" t="n">
        <v>0</v>
      </c>
      <c r="M495" s="14">
        <f>IF(B495="Frete de venda",0,(1-ISNUMBER(SEARCH("556",P495)))*(I495*VLOOKUP($B495,Premissas!$A$4:$E$7,2,0)+J495*VLOOKUP($B495,Premissas!$A$4:$E$7,3,0))+K495*VLOOKUP($B495,Premissas!$A$4:$E$7,4,0)+L495*VLOOKUP($B495,Premissas!$A$4:$E$7,5,0))</f>
        <v/>
      </c>
      <c r="N495" s="14">
        <f>H495-M495</f>
        <v/>
      </c>
      <c r="O495" t="inlineStr">
        <is>
          <t>Não</t>
        </is>
      </c>
      <c r="P495" t="inlineStr">
        <is>
          <t>1.350</t>
        </is>
      </c>
    </row>
    <row r="496">
      <c r="A496" t="inlineStr">
        <is>
          <t>Antes de 2026</t>
        </is>
      </c>
      <c r="B496" t="inlineStr">
        <is>
          <t>Frete de venda</t>
        </is>
      </c>
      <c r="C496" t="inlineStr">
        <is>
          <t>Frete de venda (para clientes)</t>
        </is>
      </c>
      <c r="D496" t="inlineStr">
        <is>
          <t>CT-e</t>
        </is>
      </c>
      <c r="E496" t="inlineStr">
        <is>
          <t>000003558</t>
        </is>
      </c>
      <c r="F496" t="inlineStr">
        <is>
          <t>R&amp;R TRANSPORTE E LOGISTICA</t>
        </is>
      </c>
      <c r="G496" s="27" t="n">
        <v>45678</v>
      </c>
      <c r="H496" s="14" t="n">
        <v>25</v>
      </c>
      <c r="I496" s="14" t="n">
        <v>0</v>
      </c>
      <c r="J496" s="14" t="n">
        <v>0</v>
      </c>
      <c r="K496" s="14" t="n">
        <v>0</v>
      </c>
      <c r="L496" s="14" t="n">
        <v>0</v>
      </c>
      <c r="M496" s="14">
        <f>IF(B496="Frete de venda",0,(1-ISNUMBER(SEARCH("556",P496)))*(I496*VLOOKUP($B496,Premissas!$A$4:$E$7,2,0)+J496*VLOOKUP($B496,Premissas!$A$4:$E$7,3,0))+K496*VLOOKUP($B496,Premissas!$A$4:$E$7,4,0)+L496*VLOOKUP($B496,Premissas!$A$4:$E$7,5,0))</f>
        <v/>
      </c>
      <c r="N496" s="14">
        <f>H496-M496</f>
        <v/>
      </c>
      <c r="O496" t="inlineStr">
        <is>
          <t>Não</t>
        </is>
      </c>
      <c r="P496" t="inlineStr">
        <is>
          <t>1.350</t>
        </is>
      </c>
    </row>
    <row r="497">
      <c r="A497" t="inlineStr">
        <is>
          <t>Antes de 2026</t>
        </is>
      </c>
      <c r="B497" t="inlineStr">
        <is>
          <t>Frete de venda</t>
        </is>
      </c>
      <c r="C497" t="inlineStr">
        <is>
          <t>Frete de venda (para clientes)</t>
        </is>
      </c>
      <c r="D497" t="inlineStr">
        <is>
          <t>CT-e</t>
        </is>
      </c>
      <c r="E497" t="inlineStr">
        <is>
          <t>000003731</t>
        </is>
      </c>
      <c r="F497" t="inlineStr">
        <is>
          <t>R&amp;R TRANSPORTE E LOGISTICA</t>
        </is>
      </c>
      <c r="G497" s="27" t="n">
        <v>45709</v>
      </c>
      <c r="H497" s="14" t="n">
        <v>44.17</v>
      </c>
      <c r="I497" s="14" t="n">
        <v>0</v>
      </c>
      <c r="J497" s="14" t="n">
        <v>0</v>
      </c>
      <c r="K497" s="14" t="n">
        <v>0</v>
      </c>
      <c r="L497" s="14" t="n">
        <v>0</v>
      </c>
      <c r="M497" s="14">
        <f>IF(B497="Frete de venda",0,(1-ISNUMBER(SEARCH("556",P497)))*(I497*VLOOKUP($B497,Premissas!$A$4:$E$7,2,0)+J497*VLOOKUP($B497,Premissas!$A$4:$E$7,3,0))+K497*VLOOKUP($B497,Premissas!$A$4:$E$7,4,0)+L497*VLOOKUP($B497,Premissas!$A$4:$E$7,5,0))</f>
        <v/>
      </c>
      <c r="N497" s="14">
        <f>H497-M497</f>
        <v/>
      </c>
      <c r="O497" t="inlineStr">
        <is>
          <t>Não</t>
        </is>
      </c>
      <c r="P497" t="inlineStr">
        <is>
          <t>1.350</t>
        </is>
      </c>
    </row>
    <row r="498">
      <c r="A498" t="inlineStr">
        <is>
          <t>Antes de 2026</t>
        </is>
      </c>
      <c r="B498" t="inlineStr">
        <is>
          <t>Frete de venda</t>
        </is>
      </c>
      <c r="C498" t="inlineStr">
        <is>
          <t>Frete de venda (para clientes)</t>
        </is>
      </c>
      <c r="D498" t="inlineStr">
        <is>
          <t>CT-e</t>
        </is>
      </c>
      <c r="E498" t="inlineStr">
        <is>
          <t>000003871</t>
        </is>
      </c>
      <c r="F498" t="inlineStr">
        <is>
          <t>R&amp;R TRANSPORTE E LOGISTICA</t>
        </is>
      </c>
      <c r="G498" s="27" t="n">
        <v>45736</v>
      </c>
      <c r="H498" s="14" t="n">
        <v>40.59</v>
      </c>
      <c r="I498" s="14" t="n">
        <v>0</v>
      </c>
      <c r="J498" s="14" t="n">
        <v>0</v>
      </c>
      <c r="K498" s="14" t="n">
        <v>0</v>
      </c>
      <c r="L498" s="14" t="n">
        <v>0</v>
      </c>
      <c r="M498" s="14">
        <f>IF(B498="Frete de venda",0,(1-ISNUMBER(SEARCH("556",P498)))*(I498*VLOOKUP($B498,Premissas!$A$4:$E$7,2,0)+J498*VLOOKUP($B498,Premissas!$A$4:$E$7,3,0))+K498*VLOOKUP($B498,Premissas!$A$4:$E$7,4,0)+L498*VLOOKUP($B498,Premissas!$A$4:$E$7,5,0))</f>
        <v/>
      </c>
      <c r="N498" s="14">
        <f>H498-M498</f>
        <v/>
      </c>
      <c r="O498" t="inlineStr">
        <is>
          <t>Não</t>
        </is>
      </c>
      <c r="P498" t="inlineStr">
        <is>
          <t>1.350</t>
        </is>
      </c>
    </row>
    <row r="499">
      <c r="A499" t="inlineStr">
        <is>
          <t>Antes de 2026</t>
        </is>
      </c>
      <c r="B499" t="inlineStr">
        <is>
          <t>Frete de venda</t>
        </is>
      </c>
      <c r="C499" t="inlineStr">
        <is>
          <t>Frete de venda (para clientes)</t>
        </is>
      </c>
      <c r="D499" t="inlineStr">
        <is>
          <t>CT-e</t>
        </is>
      </c>
      <c r="E499" t="inlineStr">
        <is>
          <t>000003668</t>
        </is>
      </c>
      <c r="F499" t="inlineStr">
        <is>
          <t>R&amp;R TRANSPORTE E LOGISTICA</t>
        </is>
      </c>
      <c r="G499" s="27" t="n">
        <v>45701</v>
      </c>
      <c r="H499" s="14" t="n">
        <v>42</v>
      </c>
      <c r="I499" s="14" t="n">
        <v>0</v>
      </c>
      <c r="J499" s="14" t="n">
        <v>0</v>
      </c>
      <c r="K499" s="14" t="n">
        <v>0</v>
      </c>
      <c r="L499" s="14" t="n">
        <v>0</v>
      </c>
      <c r="M499" s="14">
        <f>IF(B499="Frete de venda",0,(1-ISNUMBER(SEARCH("556",P499)))*(I499*VLOOKUP($B499,Premissas!$A$4:$E$7,2,0)+J499*VLOOKUP($B499,Premissas!$A$4:$E$7,3,0))+K499*VLOOKUP($B499,Premissas!$A$4:$E$7,4,0)+L499*VLOOKUP($B499,Premissas!$A$4:$E$7,5,0))</f>
        <v/>
      </c>
      <c r="N499" s="14">
        <f>H499-M499</f>
        <v/>
      </c>
      <c r="O499" t="inlineStr">
        <is>
          <t>Não</t>
        </is>
      </c>
      <c r="P499" t="inlineStr">
        <is>
          <t>1.350</t>
        </is>
      </c>
    </row>
    <row r="500">
      <c r="A500" t="inlineStr">
        <is>
          <t>Antes de 2026</t>
        </is>
      </c>
      <c r="B500" t="inlineStr">
        <is>
          <t>Frete de venda</t>
        </is>
      </c>
      <c r="C500" t="inlineStr">
        <is>
          <t>Frete de venda (para clientes)</t>
        </is>
      </c>
      <c r="D500" t="inlineStr">
        <is>
          <t>CT-e</t>
        </is>
      </c>
      <c r="E500" t="inlineStr">
        <is>
          <t>000003562</t>
        </is>
      </c>
      <c r="F500" t="inlineStr">
        <is>
          <t>R&amp;R TRANSPORTE E LOGISTICA</t>
        </is>
      </c>
      <c r="G500" s="27" t="n">
        <v>45678</v>
      </c>
      <c r="H500" s="14" t="n">
        <v>41</v>
      </c>
      <c r="I500" s="14" t="n">
        <v>0</v>
      </c>
      <c r="J500" s="14" t="n">
        <v>0</v>
      </c>
      <c r="K500" s="14" t="n">
        <v>0</v>
      </c>
      <c r="L500" s="14" t="n">
        <v>0</v>
      </c>
      <c r="M500" s="14">
        <f>IF(B500="Frete de venda",0,(1-ISNUMBER(SEARCH("556",P500)))*(I500*VLOOKUP($B500,Premissas!$A$4:$E$7,2,0)+J500*VLOOKUP($B500,Premissas!$A$4:$E$7,3,0))+K500*VLOOKUP($B500,Premissas!$A$4:$E$7,4,0)+L500*VLOOKUP($B500,Premissas!$A$4:$E$7,5,0))</f>
        <v/>
      </c>
      <c r="N500" s="14">
        <f>H500-M500</f>
        <v/>
      </c>
      <c r="O500" t="inlineStr">
        <is>
          <t>Não</t>
        </is>
      </c>
      <c r="P500" t="inlineStr">
        <is>
          <t>1.350</t>
        </is>
      </c>
    </row>
    <row r="501">
      <c r="A501" t="inlineStr">
        <is>
          <t>Antes de 2026</t>
        </is>
      </c>
      <c r="B501" t="inlineStr">
        <is>
          <t>Frete de venda</t>
        </is>
      </c>
      <c r="C501" t="inlineStr">
        <is>
          <t>Frete de venda (para clientes)</t>
        </is>
      </c>
      <c r="D501" t="inlineStr">
        <is>
          <t>CT-e</t>
        </is>
      </c>
      <c r="E501" t="inlineStr">
        <is>
          <t>000003838</t>
        </is>
      </c>
      <c r="F501" t="inlineStr">
        <is>
          <t>R&amp;R TRANSPORTE E LOGISTICA</t>
        </is>
      </c>
      <c r="G501" s="27" t="n">
        <v>45730</v>
      </c>
      <c r="H501" s="14" t="n">
        <v>33.16</v>
      </c>
      <c r="I501" s="14" t="n">
        <v>0</v>
      </c>
      <c r="J501" s="14" t="n">
        <v>0</v>
      </c>
      <c r="K501" s="14" t="n">
        <v>0</v>
      </c>
      <c r="L501" s="14" t="n">
        <v>0</v>
      </c>
      <c r="M501" s="14">
        <f>IF(B501="Frete de venda",0,(1-ISNUMBER(SEARCH("556",P501)))*(I501*VLOOKUP($B501,Premissas!$A$4:$E$7,2,0)+J501*VLOOKUP($B501,Premissas!$A$4:$E$7,3,0))+K501*VLOOKUP($B501,Premissas!$A$4:$E$7,4,0)+L501*VLOOKUP($B501,Premissas!$A$4:$E$7,5,0))</f>
        <v/>
      </c>
      <c r="N501" s="14">
        <f>H501-M501</f>
        <v/>
      </c>
      <c r="O501" t="inlineStr">
        <is>
          <t>Não</t>
        </is>
      </c>
      <c r="P501" t="inlineStr">
        <is>
          <t>1.350</t>
        </is>
      </c>
    </row>
    <row r="502">
      <c r="A502" t="inlineStr">
        <is>
          <t>Antes de 2026</t>
        </is>
      </c>
      <c r="B502" t="inlineStr">
        <is>
          <t>Frete de venda</t>
        </is>
      </c>
      <c r="C502" t="inlineStr">
        <is>
          <t>Frete de venda (para clientes)</t>
        </is>
      </c>
      <c r="D502" t="inlineStr">
        <is>
          <t>CT-e</t>
        </is>
      </c>
      <c r="E502" t="inlineStr">
        <is>
          <t>000003831</t>
        </is>
      </c>
      <c r="F502" t="inlineStr">
        <is>
          <t>R&amp;R TRANSPORTE E LOGISTICA</t>
        </is>
      </c>
      <c r="G502" s="27" t="n">
        <v>45730</v>
      </c>
      <c r="H502" s="14" t="n">
        <v>44.59</v>
      </c>
      <c r="I502" s="14" t="n">
        <v>0</v>
      </c>
      <c r="J502" s="14" t="n">
        <v>0</v>
      </c>
      <c r="K502" s="14" t="n">
        <v>0</v>
      </c>
      <c r="L502" s="14" t="n">
        <v>0</v>
      </c>
      <c r="M502" s="14">
        <f>IF(B502="Frete de venda",0,(1-ISNUMBER(SEARCH("556",P502)))*(I502*VLOOKUP($B502,Premissas!$A$4:$E$7,2,0)+J502*VLOOKUP($B502,Premissas!$A$4:$E$7,3,0))+K502*VLOOKUP($B502,Premissas!$A$4:$E$7,4,0)+L502*VLOOKUP($B502,Premissas!$A$4:$E$7,5,0))</f>
        <v/>
      </c>
      <c r="N502" s="14">
        <f>H502-M502</f>
        <v/>
      </c>
      <c r="O502" t="inlineStr">
        <is>
          <t>Não</t>
        </is>
      </c>
      <c r="P502" t="inlineStr">
        <is>
          <t>1.350</t>
        </is>
      </c>
    </row>
    <row r="503">
      <c r="A503" t="inlineStr">
        <is>
          <t>Antes de 2026</t>
        </is>
      </c>
      <c r="B503" t="inlineStr">
        <is>
          <t>Frete de venda</t>
        </is>
      </c>
      <c r="C503" t="inlineStr">
        <is>
          <t>Frete de venda (para clientes)</t>
        </is>
      </c>
      <c r="D503" t="inlineStr">
        <is>
          <t>CT-e</t>
        </is>
      </c>
      <c r="E503" t="inlineStr">
        <is>
          <t>000003613</t>
        </is>
      </c>
      <c r="F503" t="inlineStr">
        <is>
          <t>R&amp;R TRANSPORTE E LOGISTICA</t>
        </is>
      </c>
      <c r="G503" s="27" t="n">
        <v>45687</v>
      </c>
      <c r="H503" s="14" t="n">
        <v>1150</v>
      </c>
      <c r="I503" s="14" t="n">
        <v>0</v>
      </c>
      <c r="J503" s="14" t="n">
        <v>0</v>
      </c>
      <c r="K503" s="14" t="n">
        <v>0</v>
      </c>
      <c r="L503" s="14" t="n">
        <v>0</v>
      </c>
      <c r="M503" s="14">
        <f>IF(B503="Frete de venda",0,(1-ISNUMBER(SEARCH("556",P503)))*(I503*VLOOKUP($B503,Premissas!$A$4:$E$7,2,0)+J503*VLOOKUP($B503,Premissas!$A$4:$E$7,3,0))+K503*VLOOKUP($B503,Premissas!$A$4:$E$7,4,0)+L503*VLOOKUP($B503,Premissas!$A$4:$E$7,5,0))</f>
        <v/>
      </c>
      <c r="N503" s="14">
        <f>H503-M503</f>
        <v/>
      </c>
      <c r="O503" t="inlineStr">
        <is>
          <t>Não</t>
        </is>
      </c>
      <c r="P503" t="inlineStr">
        <is>
          <t>1.350</t>
        </is>
      </c>
    </row>
    <row r="504">
      <c r="A504" t="inlineStr">
        <is>
          <t>Antes de 2026</t>
        </is>
      </c>
      <c r="B504" t="inlineStr">
        <is>
          <t>Frete de venda</t>
        </is>
      </c>
      <c r="C504" t="inlineStr">
        <is>
          <t>Frete de venda (para clientes)</t>
        </is>
      </c>
      <c r="D504" t="inlineStr">
        <is>
          <t>CT-e</t>
        </is>
      </c>
      <c r="E504" t="inlineStr">
        <is>
          <t>000003671</t>
        </is>
      </c>
      <c r="F504" t="inlineStr">
        <is>
          <t>R&amp;R TRANSPORTE E LOGISTICA</t>
        </is>
      </c>
      <c r="G504" s="27" t="n">
        <v>45702</v>
      </c>
      <c r="H504" s="14" t="n">
        <v>550</v>
      </c>
      <c r="I504" s="14" t="n">
        <v>0</v>
      </c>
      <c r="J504" s="14" t="n">
        <v>0</v>
      </c>
      <c r="K504" s="14" t="n">
        <v>0</v>
      </c>
      <c r="L504" s="14" t="n">
        <v>0</v>
      </c>
      <c r="M504" s="14">
        <f>IF(B504="Frete de venda",0,(1-ISNUMBER(SEARCH("556",P504)))*(I504*VLOOKUP($B504,Premissas!$A$4:$E$7,2,0)+J504*VLOOKUP($B504,Premissas!$A$4:$E$7,3,0))+K504*VLOOKUP($B504,Premissas!$A$4:$E$7,4,0)+L504*VLOOKUP($B504,Premissas!$A$4:$E$7,5,0))</f>
        <v/>
      </c>
      <c r="N504" s="14">
        <f>H504-M504</f>
        <v/>
      </c>
      <c r="O504" t="inlineStr">
        <is>
          <t>Não</t>
        </is>
      </c>
      <c r="P504" t="inlineStr">
        <is>
          <t>1.350</t>
        </is>
      </c>
    </row>
    <row r="505">
      <c r="A505" t="inlineStr">
        <is>
          <t>Antes de 2026</t>
        </is>
      </c>
      <c r="B505" t="inlineStr">
        <is>
          <t>Frete de venda</t>
        </is>
      </c>
      <c r="C505" t="inlineStr">
        <is>
          <t>Frete de venda (para clientes)</t>
        </is>
      </c>
      <c r="D505" t="inlineStr">
        <is>
          <t>CT-e</t>
        </is>
      </c>
      <c r="E505" t="inlineStr">
        <is>
          <t>000003557</t>
        </is>
      </c>
      <c r="F505" t="inlineStr">
        <is>
          <t>R&amp;R TRANSPORTE E LOGISTICA</t>
        </is>
      </c>
      <c r="G505" s="27" t="n">
        <v>45678</v>
      </c>
      <c r="H505" s="14" t="n">
        <v>35</v>
      </c>
      <c r="I505" s="14" t="n">
        <v>0</v>
      </c>
      <c r="J505" s="14" t="n">
        <v>0</v>
      </c>
      <c r="K505" s="14" t="n">
        <v>0</v>
      </c>
      <c r="L505" s="14" t="n">
        <v>0</v>
      </c>
      <c r="M505" s="14">
        <f>IF(B505="Frete de venda",0,(1-ISNUMBER(SEARCH("556",P505)))*(I505*VLOOKUP($B505,Premissas!$A$4:$E$7,2,0)+J505*VLOOKUP($B505,Premissas!$A$4:$E$7,3,0))+K505*VLOOKUP($B505,Premissas!$A$4:$E$7,4,0)+L505*VLOOKUP($B505,Premissas!$A$4:$E$7,5,0))</f>
        <v/>
      </c>
      <c r="N505" s="14">
        <f>H505-M505</f>
        <v/>
      </c>
      <c r="O505" t="inlineStr">
        <is>
          <t>Não</t>
        </is>
      </c>
      <c r="P505" t="inlineStr">
        <is>
          <t>1.350</t>
        </is>
      </c>
    </row>
    <row r="506">
      <c r="A506" t="inlineStr">
        <is>
          <t>Antes de 2026</t>
        </is>
      </c>
      <c r="B506" t="inlineStr">
        <is>
          <t>Frete de venda</t>
        </is>
      </c>
      <c r="C506" t="inlineStr">
        <is>
          <t>Frete de venda (para clientes)</t>
        </is>
      </c>
      <c r="D506" t="inlineStr">
        <is>
          <t>CT-e</t>
        </is>
      </c>
      <c r="E506" t="inlineStr">
        <is>
          <t>000003567</t>
        </is>
      </c>
      <c r="F506" t="inlineStr">
        <is>
          <t>R&amp;R TRANSPORTE E LOGISTICA</t>
        </is>
      </c>
      <c r="G506" s="27" t="n">
        <v>45678</v>
      </c>
      <c r="H506" s="14" t="n">
        <v>88</v>
      </c>
      <c r="I506" s="14" t="n">
        <v>0</v>
      </c>
      <c r="J506" s="14" t="n">
        <v>0</v>
      </c>
      <c r="K506" s="14" t="n">
        <v>0</v>
      </c>
      <c r="L506" s="14" t="n">
        <v>0</v>
      </c>
      <c r="M506" s="14">
        <f>IF(B506="Frete de venda",0,(1-ISNUMBER(SEARCH("556",P506)))*(I506*VLOOKUP($B506,Premissas!$A$4:$E$7,2,0)+J506*VLOOKUP($B506,Premissas!$A$4:$E$7,3,0))+K506*VLOOKUP($B506,Premissas!$A$4:$E$7,4,0)+L506*VLOOKUP($B506,Premissas!$A$4:$E$7,5,0))</f>
        <v/>
      </c>
      <c r="N506" s="14">
        <f>H506-M506</f>
        <v/>
      </c>
      <c r="O506" t="inlineStr">
        <is>
          <t>Não</t>
        </is>
      </c>
      <c r="P506" t="inlineStr">
        <is>
          <t>1.350</t>
        </is>
      </c>
    </row>
    <row r="507">
      <c r="A507" t="inlineStr">
        <is>
          <t>Antes de 2026</t>
        </is>
      </c>
      <c r="B507" t="inlineStr">
        <is>
          <t>Frete de venda</t>
        </is>
      </c>
      <c r="C507" t="inlineStr">
        <is>
          <t>Frete de venda (para clientes)</t>
        </is>
      </c>
      <c r="D507" t="inlineStr">
        <is>
          <t>CT-e</t>
        </is>
      </c>
      <c r="E507" t="inlineStr">
        <is>
          <t>000000080</t>
        </is>
      </c>
      <c r="F507" t="inlineStr">
        <is>
          <t>ADIL CARLOS DA SILVA</t>
        </is>
      </c>
      <c r="G507" s="27" t="n">
        <v>45729</v>
      </c>
      <c r="H507" s="14" t="n">
        <v>10</v>
      </c>
      <c r="I507" s="14" t="n">
        <v>0</v>
      </c>
      <c r="J507" s="14" t="n">
        <v>0</v>
      </c>
      <c r="K507" s="14" t="n">
        <v>0</v>
      </c>
      <c r="L507" s="14" t="n">
        <v>0</v>
      </c>
      <c r="M507" s="14">
        <f>IF(B507="Frete de venda",0,(1-ISNUMBER(SEARCH("556",P507)))*(I507*VLOOKUP($B507,Premissas!$A$4:$E$7,2,0)+J507*VLOOKUP($B507,Premissas!$A$4:$E$7,3,0))+K507*VLOOKUP($B507,Premissas!$A$4:$E$7,4,0)+L507*VLOOKUP($B507,Premissas!$A$4:$E$7,5,0))</f>
        <v/>
      </c>
      <c r="N507" s="14">
        <f>H507-M507</f>
        <v/>
      </c>
      <c r="O507" t="inlineStr">
        <is>
          <t>Não</t>
        </is>
      </c>
      <c r="P507" t="inlineStr">
        <is>
          <t>2.350</t>
        </is>
      </c>
    </row>
    <row r="508">
      <c r="A508" t="inlineStr">
        <is>
          <t>Antes de 2026</t>
        </is>
      </c>
      <c r="B508" t="inlineStr">
        <is>
          <t>Frete de venda</t>
        </is>
      </c>
      <c r="C508" t="inlineStr">
        <is>
          <t>Frete de venda (para clientes)</t>
        </is>
      </c>
      <c r="D508" t="inlineStr">
        <is>
          <t>CT-e</t>
        </is>
      </c>
      <c r="E508" t="inlineStr">
        <is>
          <t>000003875</t>
        </is>
      </c>
      <c r="F508" t="inlineStr">
        <is>
          <t>R&amp;R TRANSPORTE E LOGISTICA</t>
        </is>
      </c>
      <c r="G508" s="27" t="n">
        <v>45736</v>
      </c>
      <c r="H508" s="14" t="n">
        <v>29.55</v>
      </c>
      <c r="I508" s="14" t="n">
        <v>0</v>
      </c>
      <c r="J508" s="14" t="n">
        <v>0</v>
      </c>
      <c r="K508" s="14" t="n">
        <v>0</v>
      </c>
      <c r="L508" s="14" t="n">
        <v>0</v>
      </c>
      <c r="M508" s="14">
        <f>IF(B508="Frete de venda",0,(1-ISNUMBER(SEARCH("556",P508)))*(I508*VLOOKUP($B508,Premissas!$A$4:$E$7,2,0)+J508*VLOOKUP($B508,Premissas!$A$4:$E$7,3,0))+K508*VLOOKUP($B508,Premissas!$A$4:$E$7,4,0)+L508*VLOOKUP($B508,Premissas!$A$4:$E$7,5,0))</f>
        <v/>
      </c>
      <c r="N508" s="14">
        <f>H508-M508</f>
        <v/>
      </c>
      <c r="O508" t="inlineStr">
        <is>
          <t>Não</t>
        </is>
      </c>
      <c r="P508" t="inlineStr">
        <is>
          <t>1.350</t>
        </is>
      </c>
    </row>
    <row r="509">
      <c r="A509" t="inlineStr">
        <is>
          <t>Antes de 2026</t>
        </is>
      </c>
      <c r="B509" t="inlineStr">
        <is>
          <t>Frete de venda</t>
        </is>
      </c>
      <c r="C509" t="inlineStr">
        <is>
          <t>Frete de venda (para clientes)</t>
        </is>
      </c>
      <c r="D509" t="inlineStr">
        <is>
          <t>CT-e</t>
        </is>
      </c>
      <c r="E509" t="inlineStr">
        <is>
          <t>000003748</t>
        </is>
      </c>
      <c r="F509" t="inlineStr">
        <is>
          <t>R&amp;R TRANSPORTE E LOGISTICA</t>
        </is>
      </c>
      <c r="G509" s="27" t="n">
        <v>45713</v>
      </c>
      <c r="H509" s="14" t="n">
        <v>66.64</v>
      </c>
      <c r="I509" s="14" t="n">
        <v>0</v>
      </c>
      <c r="J509" s="14" t="n">
        <v>0</v>
      </c>
      <c r="K509" s="14" t="n">
        <v>0</v>
      </c>
      <c r="L509" s="14" t="n">
        <v>0</v>
      </c>
      <c r="M509" s="14">
        <f>IF(B509="Frete de venda",0,(1-ISNUMBER(SEARCH("556",P509)))*(I509*VLOOKUP($B509,Premissas!$A$4:$E$7,2,0)+J509*VLOOKUP($B509,Premissas!$A$4:$E$7,3,0))+K509*VLOOKUP($B509,Premissas!$A$4:$E$7,4,0)+L509*VLOOKUP($B509,Premissas!$A$4:$E$7,5,0))</f>
        <v/>
      </c>
      <c r="N509" s="14">
        <f>H509-M509</f>
        <v/>
      </c>
      <c r="O509" t="inlineStr">
        <is>
          <t>Não</t>
        </is>
      </c>
      <c r="P509" t="inlineStr">
        <is>
          <t>1.350</t>
        </is>
      </c>
    </row>
    <row r="510">
      <c r="A510" t="inlineStr">
        <is>
          <t>Antes de 2026</t>
        </is>
      </c>
      <c r="B510" t="inlineStr">
        <is>
          <t>Frete de venda</t>
        </is>
      </c>
      <c r="C510" t="inlineStr">
        <is>
          <t>Frete de venda (para clientes)</t>
        </is>
      </c>
      <c r="D510" t="inlineStr">
        <is>
          <t>CT-e</t>
        </is>
      </c>
      <c r="E510" t="inlineStr">
        <is>
          <t>000003754</t>
        </is>
      </c>
      <c r="F510" t="inlineStr">
        <is>
          <t>R&amp;R TRANSPORTE E LOGISTICA</t>
        </is>
      </c>
      <c r="G510" s="27" t="n">
        <v>45714</v>
      </c>
      <c r="H510" s="14" t="n">
        <v>46.06</v>
      </c>
      <c r="I510" s="14" t="n">
        <v>0</v>
      </c>
      <c r="J510" s="14" t="n">
        <v>0</v>
      </c>
      <c r="K510" s="14" t="n">
        <v>0</v>
      </c>
      <c r="L510" s="14" t="n">
        <v>0</v>
      </c>
      <c r="M510" s="14">
        <f>IF(B510="Frete de venda",0,(1-ISNUMBER(SEARCH("556",P510)))*(I510*VLOOKUP($B510,Premissas!$A$4:$E$7,2,0)+J510*VLOOKUP($B510,Premissas!$A$4:$E$7,3,0))+K510*VLOOKUP($B510,Premissas!$A$4:$E$7,4,0)+L510*VLOOKUP($B510,Premissas!$A$4:$E$7,5,0))</f>
        <v/>
      </c>
      <c r="N510" s="14">
        <f>H510-M510</f>
        <v/>
      </c>
      <c r="O510" t="inlineStr">
        <is>
          <t>Não</t>
        </is>
      </c>
      <c r="P510" t="inlineStr">
        <is>
          <t>1.350</t>
        </is>
      </c>
    </row>
    <row r="511">
      <c r="A511" t="inlineStr">
        <is>
          <t>Antes de 2026</t>
        </is>
      </c>
      <c r="B511" t="inlineStr">
        <is>
          <t>Frete de venda</t>
        </is>
      </c>
      <c r="C511" t="inlineStr">
        <is>
          <t>Frete de venda (para clientes)</t>
        </is>
      </c>
      <c r="D511" t="inlineStr">
        <is>
          <t>CT-e</t>
        </is>
      </c>
      <c r="E511" t="inlineStr">
        <is>
          <t>000003624</t>
        </is>
      </c>
      <c r="F511" t="inlineStr">
        <is>
          <t>R&amp;R TRANSPORTE E LOGISTICA</t>
        </is>
      </c>
      <c r="G511" s="27" t="n">
        <v>45688</v>
      </c>
      <c r="H511" s="14" t="n">
        <v>470</v>
      </c>
      <c r="I511" s="14" t="n">
        <v>0</v>
      </c>
      <c r="J511" s="14" t="n">
        <v>0</v>
      </c>
      <c r="K511" s="14" t="n">
        <v>0</v>
      </c>
      <c r="L511" s="14" t="n">
        <v>0</v>
      </c>
      <c r="M511" s="14">
        <f>IF(B511="Frete de venda",0,(1-ISNUMBER(SEARCH("556",P511)))*(I511*VLOOKUP($B511,Premissas!$A$4:$E$7,2,0)+J511*VLOOKUP($B511,Premissas!$A$4:$E$7,3,0))+K511*VLOOKUP($B511,Premissas!$A$4:$E$7,4,0)+L511*VLOOKUP($B511,Premissas!$A$4:$E$7,5,0))</f>
        <v/>
      </c>
      <c r="N511" s="14">
        <f>H511-M511</f>
        <v/>
      </c>
      <c r="O511" t="inlineStr">
        <is>
          <t>Não</t>
        </is>
      </c>
      <c r="P511" t="inlineStr">
        <is>
          <t>1.350</t>
        </is>
      </c>
    </row>
    <row r="512">
      <c r="A512" t="inlineStr">
        <is>
          <t>Antes de 2026</t>
        </is>
      </c>
      <c r="B512" t="inlineStr">
        <is>
          <t>Frete de venda</t>
        </is>
      </c>
      <c r="C512" t="inlineStr">
        <is>
          <t>Frete de venda (para clientes)</t>
        </is>
      </c>
      <c r="D512" t="inlineStr">
        <is>
          <t>CT-e</t>
        </is>
      </c>
      <c r="E512" t="inlineStr">
        <is>
          <t>000003767</t>
        </is>
      </c>
      <c r="F512" t="inlineStr">
        <is>
          <t>R&amp;R TRANSPORTE E LOGISTICA</t>
        </is>
      </c>
      <c r="G512" s="27" t="n">
        <v>45716</v>
      </c>
      <c r="H512" s="14" t="n">
        <v>269.04</v>
      </c>
      <c r="I512" s="14" t="n">
        <v>0</v>
      </c>
      <c r="J512" s="14" t="n">
        <v>0</v>
      </c>
      <c r="K512" s="14" t="n">
        <v>0</v>
      </c>
      <c r="L512" s="14" t="n">
        <v>0</v>
      </c>
      <c r="M512" s="14">
        <f>IF(B512="Frete de venda",0,(1-ISNUMBER(SEARCH("556",P512)))*(I512*VLOOKUP($B512,Premissas!$A$4:$E$7,2,0)+J512*VLOOKUP($B512,Premissas!$A$4:$E$7,3,0))+K512*VLOOKUP($B512,Premissas!$A$4:$E$7,4,0)+L512*VLOOKUP($B512,Premissas!$A$4:$E$7,5,0))</f>
        <v/>
      </c>
      <c r="N512" s="14">
        <f>H512-M512</f>
        <v/>
      </c>
      <c r="O512" t="inlineStr">
        <is>
          <t>Não</t>
        </is>
      </c>
      <c r="P512" t="inlineStr">
        <is>
          <t>1.350</t>
        </is>
      </c>
    </row>
    <row r="513">
      <c r="A513" t="inlineStr">
        <is>
          <t>Antes de 2026</t>
        </is>
      </c>
      <c r="B513" t="inlineStr">
        <is>
          <t>Frete de venda</t>
        </is>
      </c>
      <c r="C513" t="inlineStr">
        <is>
          <t>Frete de venda (para clientes)</t>
        </is>
      </c>
      <c r="D513" t="inlineStr">
        <is>
          <t>CT-e</t>
        </is>
      </c>
      <c r="E513" t="inlineStr">
        <is>
          <t>000003528</t>
        </is>
      </c>
      <c r="F513" t="inlineStr">
        <is>
          <t>R&amp;R TRANSPORTE E LOGISTICA</t>
        </is>
      </c>
      <c r="G513" s="27" t="n">
        <v>45672</v>
      </c>
      <c r="H513" s="14" t="n">
        <v>42.55</v>
      </c>
      <c r="I513" s="14" t="n">
        <v>0</v>
      </c>
      <c r="J513" s="14" t="n">
        <v>0</v>
      </c>
      <c r="K513" s="14" t="n">
        <v>0</v>
      </c>
      <c r="L513" s="14" t="n">
        <v>0</v>
      </c>
      <c r="M513" s="14">
        <f>IF(B513="Frete de venda",0,(1-ISNUMBER(SEARCH("556",P513)))*(I513*VLOOKUP($B513,Premissas!$A$4:$E$7,2,0)+J513*VLOOKUP($B513,Premissas!$A$4:$E$7,3,0))+K513*VLOOKUP($B513,Premissas!$A$4:$E$7,4,0)+L513*VLOOKUP($B513,Premissas!$A$4:$E$7,5,0))</f>
        <v/>
      </c>
      <c r="N513" s="14">
        <f>H513-M513</f>
        <v/>
      </c>
      <c r="O513" t="inlineStr">
        <is>
          <t>Não</t>
        </is>
      </c>
      <c r="P513" t="inlineStr">
        <is>
          <t>1.350</t>
        </is>
      </c>
    </row>
    <row r="514">
      <c r="A514" t="inlineStr">
        <is>
          <t>Antes de 2026</t>
        </is>
      </c>
      <c r="B514" t="inlineStr">
        <is>
          <t>Frete de venda</t>
        </is>
      </c>
      <c r="C514" t="inlineStr">
        <is>
          <t>Frete de venda (para clientes)</t>
        </is>
      </c>
      <c r="D514" t="inlineStr">
        <is>
          <t>CT-e</t>
        </is>
      </c>
      <c r="E514" t="inlineStr">
        <is>
          <t>000003739</t>
        </is>
      </c>
      <c r="F514" t="inlineStr">
        <is>
          <t>R&amp;R TRANSPORTE E LOGISTICA</t>
        </is>
      </c>
      <c r="G514" s="27" t="n">
        <v>45710</v>
      </c>
      <c r="H514" s="14" t="n">
        <v>30</v>
      </c>
      <c r="I514" s="14" t="n">
        <v>0</v>
      </c>
      <c r="J514" s="14" t="n">
        <v>0</v>
      </c>
      <c r="K514" s="14" t="n">
        <v>0</v>
      </c>
      <c r="L514" s="14" t="n">
        <v>0</v>
      </c>
      <c r="M514" s="14">
        <f>IF(B514="Frete de venda",0,(1-ISNUMBER(SEARCH("556",P514)))*(I514*VLOOKUP($B514,Premissas!$A$4:$E$7,2,0)+J514*VLOOKUP($B514,Premissas!$A$4:$E$7,3,0))+K514*VLOOKUP($B514,Premissas!$A$4:$E$7,4,0)+L514*VLOOKUP($B514,Premissas!$A$4:$E$7,5,0))</f>
        <v/>
      </c>
      <c r="N514" s="14">
        <f>H514-M514</f>
        <v/>
      </c>
      <c r="O514" t="inlineStr">
        <is>
          <t>Não</t>
        </is>
      </c>
      <c r="P514" t="inlineStr">
        <is>
          <t>1.350</t>
        </is>
      </c>
    </row>
    <row r="515">
      <c r="A515" t="inlineStr">
        <is>
          <t>Antes de 2026</t>
        </is>
      </c>
      <c r="B515" t="inlineStr">
        <is>
          <t>Frete de venda</t>
        </is>
      </c>
      <c r="C515" t="inlineStr">
        <is>
          <t>Frete de venda (para clientes)</t>
        </is>
      </c>
      <c r="D515" t="inlineStr">
        <is>
          <t>CT-e</t>
        </is>
      </c>
      <c r="E515" t="inlineStr">
        <is>
          <t>000003602</t>
        </is>
      </c>
      <c r="F515" t="inlineStr">
        <is>
          <t>R&amp;R TRANSPORTE E LOGISTICA</t>
        </is>
      </c>
      <c r="G515" s="27" t="n">
        <v>45687</v>
      </c>
      <c r="H515" s="14" t="n">
        <v>53</v>
      </c>
      <c r="I515" s="14" t="n">
        <v>0</v>
      </c>
      <c r="J515" s="14" t="n">
        <v>0</v>
      </c>
      <c r="K515" s="14" t="n">
        <v>0</v>
      </c>
      <c r="L515" s="14" t="n">
        <v>0</v>
      </c>
      <c r="M515" s="14">
        <f>IF(B515="Frete de venda",0,(1-ISNUMBER(SEARCH("556",P515)))*(I515*VLOOKUP($B515,Premissas!$A$4:$E$7,2,0)+J515*VLOOKUP($B515,Premissas!$A$4:$E$7,3,0))+K515*VLOOKUP($B515,Premissas!$A$4:$E$7,4,0)+L515*VLOOKUP($B515,Premissas!$A$4:$E$7,5,0))</f>
        <v/>
      </c>
      <c r="N515" s="14">
        <f>H515-M515</f>
        <v/>
      </c>
      <c r="O515" t="inlineStr">
        <is>
          <t>Não</t>
        </is>
      </c>
      <c r="P515" t="inlineStr">
        <is>
          <t>1.350</t>
        </is>
      </c>
    </row>
    <row r="516">
      <c r="A516" t="inlineStr">
        <is>
          <t>Antes de 2026</t>
        </is>
      </c>
      <c r="B516" t="inlineStr">
        <is>
          <t>Frete de venda</t>
        </is>
      </c>
      <c r="C516" t="inlineStr">
        <is>
          <t>Frete de venda (para clientes)</t>
        </is>
      </c>
      <c r="D516" t="inlineStr">
        <is>
          <t>CT-e</t>
        </is>
      </c>
      <c r="E516" t="inlineStr">
        <is>
          <t>000003527</t>
        </is>
      </c>
      <c r="F516" t="inlineStr">
        <is>
          <t>R&amp;R TRANSPORTE E LOGISTICA</t>
        </is>
      </c>
      <c r="G516" s="27" t="n">
        <v>45672</v>
      </c>
      <c r="H516" s="14" t="n">
        <v>33.13</v>
      </c>
      <c r="I516" s="14" t="n">
        <v>0</v>
      </c>
      <c r="J516" s="14" t="n">
        <v>0</v>
      </c>
      <c r="K516" s="14" t="n">
        <v>0</v>
      </c>
      <c r="L516" s="14" t="n">
        <v>0</v>
      </c>
      <c r="M516" s="14">
        <f>IF(B516="Frete de venda",0,(1-ISNUMBER(SEARCH("556",P516)))*(I516*VLOOKUP($B516,Premissas!$A$4:$E$7,2,0)+J516*VLOOKUP($B516,Premissas!$A$4:$E$7,3,0))+K516*VLOOKUP($B516,Premissas!$A$4:$E$7,4,0)+L516*VLOOKUP($B516,Premissas!$A$4:$E$7,5,0))</f>
        <v/>
      </c>
      <c r="N516" s="14">
        <f>H516-M516</f>
        <v/>
      </c>
      <c r="O516" t="inlineStr">
        <is>
          <t>Não</t>
        </is>
      </c>
      <c r="P516" t="inlineStr">
        <is>
          <t>1.350</t>
        </is>
      </c>
    </row>
    <row r="517">
      <c r="A517" t="inlineStr">
        <is>
          <t>Antes de 2026</t>
        </is>
      </c>
      <c r="B517" t="inlineStr">
        <is>
          <t>Frete de venda</t>
        </is>
      </c>
      <c r="C517" t="inlineStr">
        <is>
          <t>Frete de venda (para clientes)</t>
        </is>
      </c>
      <c r="D517" t="inlineStr">
        <is>
          <t>CT-e</t>
        </is>
      </c>
      <c r="E517" t="inlineStr">
        <is>
          <t>000003750</t>
        </is>
      </c>
      <c r="F517" t="inlineStr">
        <is>
          <t>R&amp;R TRANSPORTE E LOGISTICA</t>
        </is>
      </c>
      <c r="G517" s="27" t="n">
        <v>45714</v>
      </c>
      <c r="H517" s="14" t="n">
        <v>89.17</v>
      </c>
      <c r="I517" s="14" t="n">
        <v>0</v>
      </c>
      <c r="J517" s="14" t="n">
        <v>0</v>
      </c>
      <c r="K517" s="14" t="n">
        <v>0</v>
      </c>
      <c r="L517" s="14" t="n">
        <v>0</v>
      </c>
      <c r="M517" s="14">
        <f>IF(B517="Frete de venda",0,(1-ISNUMBER(SEARCH("556",P517)))*(I517*VLOOKUP($B517,Premissas!$A$4:$E$7,2,0)+J517*VLOOKUP($B517,Premissas!$A$4:$E$7,3,0))+K517*VLOOKUP($B517,Premissas!$A$4:$E$7,4,0)+L517*VLOOKUP($B517,Premissas!$A$4:$E$7,5,0))</f>
        <v/>
      </c>
      <c r="N517" s="14">
        <f>H517-M517</f>
        <v/>
      </c>
      <c r="O517" t="inlineStr">
        <is>
          <t>Não</t>
        </is>
      </c>
      <c r="P517" t="inlineStr">
        <is>
          <t>1.350</t>
        </is>
      </c>
    </row>
    <row r="518">
      <c r="A518" t="inlineStr">
        <is>
          <t>Antes de 2026</t>
        </is>
      </c>
      <c r="B518" t="inlineStr">
        <is>
          <t>Frete de venda</t>
        </is>
      </c>
      <c r="C518" t="inlineStr">
        <is>
          <t>Frete de venda (para clientes)</t>
        </is>
      </c>
      <c r="D518" t="inlineStr">
        <is>
          <t>CT-e</t>
        </is>
      </c>
      <c r="E518" t="inlineStr">
        <is>
          <t>000003783</t>
        </is>
      </c>
      <c r="F518" t="inlineStr">
        <is>
          <t>R&amp;R TRANSPORTE E LOGISTICA</t>
        </is>
      </c>
      <c r="G518" s="27" t="n">
        <v>45721</v>
      </c>
      <c r="H518" s="14" t="n">
        <v>48</v>
      </c>
      <c r="I518" s="14" t="n">
        <v>0</v>
      </c>
      <c r="J518" s="14" t="n">
        <v>0</v>
      </c>
      <c r="K518" s="14" t="n">
        <v>0</v>
      </c>
      <c r="L518" s="14" t="n">
        <v>0</v>
      </c>
      <c r="M518" s="14">
        <f>IF(B518="Frete de venda",0,(1-ISNUMBER(SEARCH("556",P518)))*(I518*VLOOKUP($B518,Premissas!$A$4:$E$7,2,0)+J518*VLOOKUP($B518,Premissas!$A$4:$E$7,3,0))+K518*VLOOKUP($B518,Premissas!$A$4:$E$7,4,0)+L518*VLOOKUP($B518,Premissas!$A$4:$E$7,5,0))</f>
        <v/>
      </c>
      <c r="N518" s="14">
        <f>H518-M518</f>
        <v/>
      </c>
      <c r="O518" t="inlineStr">
        <is>
          <t>Não</t>
        </is>
      </c>
      <c r="P518" t="inlineStr">
        <is>
          <t>1.350</t>
        </is>
      </c>
    </row>
    <row r="519">
      <c r="A519" t="inlineStr">
        <is>
          <t>Antes de 2026</t>
        </is>
      </c>
      <c r="B519" t="inlineStr">
        <is>
          <t>Frete de venda</t>
        </is>
      </c>
      <c r="C519" t="inlineStr">
        <is>
          <t>Frete de venda (para clientes)</t>
        </is>
      </c>
      <c r="D519" t="inlineStr">
        <is>
          <t>CT-e</t>
        </is>
      </c>
      <c r="E519" t="inlineStr">
        <is>
          <t>000003683</t>
        </is>
      </c>
      <c r="F519" t="inlineStr">
        <is>
          <t>R&amp;R TRANSPORTE E LOGISTICA</t>
        </is>
      </c>
      <c r="G519" s="27" t="n">
        <v>45704</v>
      </c>
      <c r="H519" s="14" t="n">
        <v>600</v>
      </c>
      <c r="I519" s="14" t="n">
        <v>0</v>
      </c>
      <c r="J519" s="14" t="n">
        <v>0</v>
      </c>
      <c r="K519" s="14" t="n">
        <v>0</v>
      </c>
      <c r="L519" s="14" t="n">
        <v>0</v>
      </c>
      <c r="M519" s="14">
        <f>IF(B519="Frete de venda",0,(1-ISNUMBER(SEARCH("556",P519)))*(I519*VLOOKUP($B519,Premissas!$A$4:$E$7,2,0)+J519*VLOOKUP($B519,Premissas!$A$4:$E$7,3,0))+K519*VLOOKUP($B519,Premissas!$A$4:$E$7,4,0)+L519*VLOOKUP($B519,Premissas!$A$4:$E$7,5,0))</f>
        <v/>
      </c>
      <c r="N519" s="14">
        <f>H519-M519</f>
        <v/>
      </c>
      <c r="O519" t="inlineStr">
        <is>
          <t>Não</t>
        </is>
      </c>
      <c r="P519" t="inlineStr">
        <is>
          <t>1.350</t>
        </is>
      </c>
    </row>
    <row r="520">
      <c r="A520" t="inlineStr">
        <is>
          <t>Antes de 2026</t>
        </is>
      </c>
      <c r="B520" t="inlineStr">
        <is>
          <t>Frete de venda</t>
        </is>
      </c>
      <c r="C520" t="inlineStr">
        <is>
          <t>Frete de venda (para clientes)</t>
        </is>
      </c>
      <c r="D520" t="inlineStr">
        <is>
          <t>CT-e</t>
        </is>
      </c>
      <c r="E520" t="inlineStr">
        <is>
          <t>000003879</t>
        </is>
      </c>
      <c r="F520" t="inlineStr">
        <is>
          <t>R&amp;R TRANSPORTE E LOGISTICA</t>
        </is>
      </c>
      <c r="G520" s="27" t="n">
        <v>45736</v>
      </c>
      <c r="H520" s="14" t="n">
        <v>30.17</v>
      </c>
      <c r="I520" s="14" t="n">
        <v>0</v>
      </c>
      <c r="J520" s="14" t="n">
        <v>0</v>
      </c>
      <c r="K520" s="14" t="n">
        <v>0</v>
      </c>
      <c r="L520" s="14" t="n">
        <v>0</v>
      </c>
      <c r="M520" s="14">
        <f>IF(B520="Frete de venda",0,(1-ISNUMBER(SEARCH("556",P520)))*(I520*VLOOKUP($B520,Premissas!$A$4:$E$7,2,0)+J520*VLOOKUP($B520,Premissas!$A$4:$E$7,3,0))+K520*VLOOKUP($B520,Premissas!$A$4:$E$7,4,0)+L520*VLOOKUP($B520,Premissas!$A$4:$E$7,5,0))</f>
        <v/>
      </c>
      <c r="N520" s="14">
        <f>H520-M520</f>
        <v/>
      </c>
      <c r="O520" t="inlineStr">
        <is>
          <t>Não</t>
        </is>
      </c>
      <c r="P520" t="inlineStr">
        <is>
          <t>1.350</t>
        </is>
      </c>
    </row>
    <row r="521">
      <c r="A521" t="inlineStr">
        <is>
          <t>Antes de 2026</t>
        </is>
      </c>
      <c r="B521" t="inlineStr">
        <is>
          <t>Frete de venda</t>
        </is>
      </c>
      <c r="C521" t="inlineStr">
        <is>
          <t>Frete de venda (para clientes)</t>
        </is>
      </c>
      <c r="D521" t="inlineStr">
        <is>
          <t>CT-e</t>
        </is>
      </c>
      <c r="E521" t="inlineStr">
        <is>
          <t>000003703</t>
        </is>
      </c>
      <c r="F521" t="inlineStr">
        <is>
          <t>R&amp;R TRANSPORTE E LOGISTICA</t>
        </is>
      </c>
      <c r="G521" s="27" t="n">
        <v>45707</v>
      </c>
      <c r="H521" s="14" t="n">
        <v>86</v>
      </c>
      <c r="I521" s="14" t="n">
        <v>0</v>
      </c>
      <c r="J521" s="14" t="n">
        <v>0</v>
      </c>
      <c r="K521" s="14" t="n">
        <v>0</v>
      </c>
      <c r="L521" s="14" t="n">
        <v>0</v>
      </c>
      <c r="M521" s="14">
        <f>IF(B521="Frete de venda",0,(1-ISNUMBER(SEARCH("556",P521)))*(I521*VLOOKUP($B521,Premissas!$A$4:$E$7,2,0)+J521*VLOOKUP($B521,Premissas!$A$4:$E$7,3,0))+K521*VLOOKUP($B521,Premissas!$A$4:$E$7,4,0)+L521*VLOOKUP($B521,Premissas!$A$4:$E$7,5,0))</f>
        <v/>
      </c>
      <c r="N521" s="14">
        <f>H521-M521</f>
        <v/>
      </c>
      <c r="O521" t="inlineStr">
        <is>
          <t>Não</t>
        </is>
      </c>
      <c r="P521" t="inlineStr">
        <is>
          <t>1.350</t>
        </is>
      </c>
    </row>
    <row r="522">
      <c r="A522" t="inlineStr">
        <is>
          <t>Antes de 2026</t>
        </is>
      </c>
      <c r="B522" t="inlineStr">
        <is>
          <t>Frete de venda</t>
        </is>
      </c>
      <c r="C522" t="inlineStr">
        <is>
          <t>Frete de venda (para clientes)</t>
        </is>
      </c>
      <c r="D522" t="inlineStr">
        <is>
          <t>CT-e</t>
        </is>
      </c>
      <c r="E522" t="inlineStr">
        <is>
          <t>000003877</t>
        </is>
      </c>
      <c r="F522" t="inlineStr">
        <is>
          <t>R&amp;R TRANSPORTE E LOGISTICA</t>
        </is>
      </c>
      <c r="G522" s="27" t="n">
        <v>45736</v>
      </c>
      <c r="H522" s="14" t="n">
        <v>26.91</v>
      </c>
      <c r="I522" s="14" t="n">
        <v>0</v>
      </c>
      <c r="J522" s="14" t="n">
        <v>0</v>
      </c>
      <c r="K522" s="14" t="n">
        <v>0</v>
      </c>
      <c r="L522" s="14" t="n">
        <v>0</v>
      </c>
      <c r="M522" s="14">
        <f>IF(B522="Frete de venda",0,(1-ISNUMBER(SEARCH("556",P522)))*(I522*VLOOKUP($B522,Premissas!$A$4:$E$7,2,0)+J522*VLOOKUP($B522,Premissas!$A$4:$E$7,3,0))+K522*VLOOKUP($B522,Premissas!$A$4:$E$7,4,0)+L522*VLOOKUP($B522,Premissas!$A$4:$E$7,5,0))</f>
        <v/>
      </c>
      <c r="N522" s="14">
        <f>H522-M522</f>
        <v/>
      </c>
      <c r="O522" t="inlineStr">
        <is>
          <t>Não</t>
        </is>
      </c>
      <c r="P522" t="inlineStr">
        <is>
          <t>1.350</t>
        </is>
      </c>
    </row>
    <row r="523">
      <c r="A523" t="inlineStr">
        <is>
          <t>Antes de 2026</t>
        </is>
      </c>
      <c r="B523" t="inlineStr">
        <is>
          <t>Frete de venda</t>
        </is>
      </c>
      <c r="C523" t="inlineStr">
        <is>
          <t>Frete de venda (para clientes)</t>
        </is>
      </c>
      <c r="D523" t="inlineStr">
        <is>
          <t>CT-e</t>
        </is>
      </c>
      <c r="E523" t="inlineStr">
        <is>
          <t>000003636</t>
        </is>
      </c>
      <c r="F523" t="inlineStr">
        <is>
          <t>R&amp;R TRANSPORTE E LOGISTICA</t>
        </is>
      </c>
      <c r="G523" s="27" t="n">
        <v>45694</v>
      </c>
      <c r="H523" s="14" t="n">
        <v>45.27</v>
      </c>
      <c r="I523" s="14" t="n">
        <v>0</v>
      </c>
      <c r="J523" s="14" t="n">
        <v>0</v>
      </c>
      <c r="K523" s="14" t="n">
        <v>0</v>
      </c>
      <c r="L523" s="14" t="n">
        <v>0</v>
      </c>
      <c r="M523" s="14">
        <f>IF(B523="Frete de venda",0,(1-ISNUMBER(SEARCH("556",P523)))*(I523*VLOOKUP($B523,Premissas!$A$4:$E$7,2,0)+J523*VLOOKUP($B523,Premissas!$A$4:$E$7,3,0))+K523*VLOOKUP($B523,Premissas!$A$4:$E$7,4,0)+L523*VLOOKUP($B523,Premissas!$A$4:$E$7,5,0))</f>
        <v/>
      </c>
      <c r="N523" s="14">
        <f>H523-M523</f>
        <v/>
      </c>
      <c r="O523" t="inlineStr">
        <is>
          <t>Não</t>
        </is>
      </c>
      <c r="P523" t="inlineStr">
        <is>
          <t>1.350</t>
        </is>
      </c>
    </row>
    <row r="524">
      <c r="A524" t="inlineStr">
        <is>
          <t>Antes de 2026</t>
        </is>
      </c>
      <c r="B524" t="inlineStr">
        <is>
          <t>Frete de venda</t>
        </is>
      </c>
      <c r="C524" t="inlineStr">
        <is>
          <t>Frete de venda (para clientes)</t>
        </is>
      </c>
      <c r="D524" t="inlineStr">
        <is>
          <t>CT-e</t>
        </is>
      </c>
      <c r="E524" t="inlineStr">
        <is>
          <t>000003872</t>
        </is>
      </c>
      <c r="F524" t="inlineStr">
        <is>
          <t>R&amp;R TRANSPORTE E LOGISTICA</t>
        </is>
      </c>
      <c r="G524" s="27" t="n">
        <v>45736</v>
      </c>
      <c r="H524" s="14" t="n">
        <v>37.68</v>
      </c>
      <c r="I524" s="14" t="n">
        <v>0</v>
      </c>
      <c r="J524" s="14" t="n">
        <v>0</v>
      </c>
      <c r="K524" s="14" t="n">
        <v>0</v>
      </c>
      <c r="L524" s="14" t="n">
        <v>0</v>
      </c>
      <c r="M524" s="14">
        <f>IF(B524="Frete de venda",0,(1-ISNUMBER(SEARCH("556",P524)))*(I524*VLOOKUP($B524,Premissas!$A$4:$E$7,2,0)+J524*VLOOKUP($B524,Premissas!$A$4:$E$7,3,0))+K524*VLOOKUP($B524,Premissas!$A$4:$E$7,4,0)+L524*VLOOKUP($B524,Premissas!$A$4:$E$7,5,0))</f>
        <v/>
      </c>
      <c r="N524" s="14">
        <f>H524-M524</f>
        <v/>
      </c>
      <c r="O524" t="inlineStr">
        <is>
          <t>Não</t>
        </is>
      </c>
      <c r="P524" t="inlineStr">
        <is>
          <t>1.350</t>
        </is>
      </c>
    </row>
    <row r="525">
      <c r="A525" t="inlineStr">
        <is>
          <t>Antes de 2026</t>
        </is>
      </c>
      <c r="B525" t="inlineStr">
        <is>
          <t>Frete de venda</t>
        </is>
      </c>
      <c r="C525" t="inlineStr">
        <is>
          <t>Frete de venda (para clientes)</t>
        </is>
      </c>
      <c r="D525" t="inlineStr">
        <is>
          <t>CT-e</t>
        </is>
      </c>
      <c r="E525" t="inlineStr">
        <is>
          <t>000003874</t>
        </is>
      </c>
      <c r="F525" t="inlineStr">
        <is>
          <t>R&amp;R TRANSPORTE E LOGISTICA</t>
        </is>
      </c>
      <c r="G525" s="27" t="n">
        <v>45736</v>
      </c>
      <c r="H525" s="14" t="n">
        <v>37.68</v>
      </c>
      <c r="I525" s="14" t="n">
        <v>0</v>
      </c>
      <c r="J525" s="14" t="n">
        <v>0</v>
      </c>
      <c r="K525" s="14" t="n">
        <v>0</v>
      </c>
      <c r="L525" s="14" t="n">
        <v>0</v>
      </c>
      <c r="M525" s="14">
        <f>IF(B525="Frete de venda",0,(1-ISNUMBER(SEARCH("556",P525)))*(I525*VLOOKUP($B525,Premissas!$A$4:$E$7,2,0)+J525*VLOOKUP($B525,Premissas!$A$4:$E$7,3,0))+K525*VLOOKUP($B525,Premissas!$A$4:$E$7,4,0)+L525*VLOOKUP($B525,Premissas!$A$4:$E$7,5,0))</f>
        <v/>
      </c>
      <c r="N525" s="14">
        <f>H525-M525</f>
        <v/>
      </c>
      <c r="O525" t="inlineStr">
        <is>
          <t>Não</t>
        </is>
      </c>
      <c r="P525" t="inlineStr">
        <is>
          <t>1.350</t>
        </is>
      </c>
    </row>
    <row r="526">
      <c r="A526" t="inlineStr">
        <is>
          <t>Antes de 2026</t>
        </is>
      </c>
      <c r="B526" t="inlineStr">
        <is>
          <t>Frete de venda</t>
        </is>
      </c>
      <c r="C526" t="inlineStr">
        <is>
          <t>Frete de venda (para clientes)</t>
        </is>
      </c>
      <c r="D526" t="inlineStr">
        <is>
          <t>CT-e</t>
        </is>
      </c>
      <c r="E526" t="inlineStr">
        <is>
          <t>000003704</t>
        </is>
      </c>
      <c r="F526" t="inlineStr">
        <is>
          <t>R&amp;R TRANSPORTE E LOGISTICA</t>
        </is>
      </c>
      <c r="G526" s="27" t="n">
        <v>45707</v>
      </c>
      <c r="H526" s="14" t="n">
        <v>49</v>
      </c>
      <c r="I526" s="14" t="n">
        <v>0</v>
      </c>
      <c r="J526" s="14" t="n">
        <v>0</v>
      </c>
      <c r="K526" s="14" t="n">
        <v>0</v>
      </c>
      <c r="L526" s="14" t="n">
        <v>0</v>
      </c>
      <c r="M526" s="14">
        <f>IF(B526="Frete de venda",0,(1-ISNUMBER(SEARCH("556",P526)))*(I526*VLOOKUP($B526,Premissas!$A$4:$E$7,2,0)+J526*VLOOKUP($B526,Premissas!$A$4:$E$7,3,0))+K526*VLOOKUP($B526,Premissas!$A$4:$E$7,4,0)+L526*VLOOKUP($B526,Premissas!$A$4:$E$7,5,0))</f>
        <v/>
      </c>
      <c r="N526" s="14">
        <f>H526-M526</f>
        <v/>
      </c>
      <c r="O526" t="inlineStr">
        <is>
          <t>Não</t>
        </is>
      </c>
      <c r="P526" t="inlineStr">
        <is>
          <t>1.350</t>
        </is>
      </c>
    </row>
    <row r="527">
      <c r="A527" t="inlineStr">
        <is>
          <t>Antes de 2026</t>
        </is>
      </c>
      <c r="B527" t="inlineStr">
        <is>
          <t>Frete de venda</t>
        </is>
      </c>
      <c r="C527" t="inlineStr">
        <is>
          <t>Frete de venda (para clientes)</t>
        </is>
      </c>
      <c r="D527" t="inlineStr">
        <is>
          <t>CT-e</t>
        </is>
      </c>
      <c r="E527" t="inlineStr">
        <is>
          <t>000003638</t>
        </is>
      </c>
      <c r="F527" t="inlineStr">
        <is>
          <t>R&amp;R TRANSPORTE E LOGISTICA</t>
        </is>
      </c>
      <c r="G527" s="27" t="n">
        <v>45694</v>
      </c>
      <c r="H527" s="14" t="n">
        <v>117.35</v>
      </c>
      <c r="I527" s="14" t="n">
        <v>0</v>
      </c>
      <c r="J527" s="14" t="n">
        <v>0</v>
      </c>
      <c r="K527" s="14" t="n">
        <v>0</v>
      </c>
      <c r="L527" s="14" t="n">
        <v>0</v>
      </c>
      <c r="M527" s="14">
        <f>IF(B527="Frete de venda",0,(1-ISNUMBER(SEARCH("556",P527)))*(I527*VLOOKUP($B527,Premissas!$A$4:$E$7,2,0)+J527*VLOOKUP($B527,Premissas!$A$4:$E$7,3,0))+K527*VLOOKUP($B527,Premissas!$A$4:$E$7,4,0)+L527*VLOOKUP($B527,Premissas!$A$4:$E$7,5,0))</f>
        <v/>
      </c>
      <c r="N527" s="14">
        <f>H527-M527</f>
        <v/>
      </c>
      <c r="O527" t="inlineStr">
        <is>
          <t>Não</t>
        </is>
      </c>
      <c r="P527" t="inlineStr">
        <is>
          <t>1.350</t>
        </is>
      </c>
    </row>
    <row r="528">
      <c r="A528" t="inlineStr">
        <is>
          <t>Antes de 2026</t>
        </is>
      </c>
      <c r="B528" t="inlineStr">
        <is>
          <t>Frete de venda</t>
        </is>
      </c>
      <c r="C528" t="inlineStr">
        <is>
          <t>Frete de venda (para clientes)</t>
        </is>
      </c>
      <c r="D528" t="inlineStr">
        <is>
          <t>CT-e</t>
        </is>
      </c>
      <c r="E528" t="inlineStr">
        <is>
          <t>000003746</t>
        </is>
      </c>
      <c r="F528" t="inlineStr">
        <is>
          <t>R&amp;R TRANSPORTE E LOGISTICA</t>
        </is>
      </c>
      <c r="G528" s="27" t="n">
        <v>45713</v>
      </c>
      <c r="H528" s="14" t="n">
        <v>112.81</v>
      </c>
      <c r="I528" s="14" t="n">
        <v>0</v>
      </c>
      <c r="J528" s="14" t="n">
        <v>0</v>
      </c>
      <c r="K528" s="14" t="n">
        <v>0</v>
      </c>
      <c r="L528" s="14" t="n">
        <v>0</v>
      </c>
      <c r="M528" s="14">
        <f>IF(B528="Frete de venda",0,(1-ISNUMBER(SEARCH("556",P528)))*(I528*VLOOKUP($B528,Premissas!$A$4:$E$7,2,0)+J528*VLOOKUP($B528,Premissas!$A$4:$E$7,3,0))+K528*VLOOKUP($B528,Premissas!$A$4:$E$7,4,0)+L528*VLOOKUP($B528,Premissas!$A$4:$E$7,5,0))</f>
        <v/>
      </c>
      <c r="N528" s="14">
        <f>H528-M528</f>
        <v/>
      </c>
      <c r="O528" t="inlineStr">
        <is>
          <t>Não</t>
        </is>
      </c>
      <c r="P528" t="inlineStr">
        <is>
          <t>1.350</t>
        </is>
      </c>
    </row>
    <row r="529">
      <c r="A529" t="inlineStr">
        <is>
          <t>Antes de 2026</t>
        </is>
      </c>
      <c r="B529" t="inlineStr">
        <is>
          <t>Frete de venda</t>
        </is>
      </c>
      <c r="C529" t="inlineStr">
        <is>
          <t>Frete de venda (para clientes)</t>
        </is>
      </c>
      <c r="D529" t="inlineStr">
        <is>
          <t>CT-e</t>
        </is>
      </c>
      <c r="E529" t="inlineStr">
        <is>
          <t>000003768</t>
        </is>
      </c>
      <c r="F529" t="inlineStr">
        <is>
          <t>R&amp;R TRANSPORTE E LOGISTICA</t>
        </is>
      </c>
      <c r="G529" s="27" t="n">
        <v>45717</v>
      </c>
      <c r="H529" s="14" t="n">
        <v>18</v>
      </c>
      <c r="I529" s="14" t="n">
        <v>0</v>
      </c>
      <c r="J529" s="14" t="n">
        <v>0</v>
      </c>
      <c r="K529" s="14" t="n">
        <v>0</v>
      </c>
      <c r="L529" s="14" t="n">
        <v>0</v>
      </c>
      <c r="M529" s="14">
        <f>IF(B529="Frete de venda",0,(1-ISNUMBER(SEARCH("556",P529)))*(I529*VLOOKUP($B529,Premissas!$A$4:$E$7,2,0)+J529*VLOOKUP($B529,Premissas!$A$4:$E$7,3,0))+K529*VLOOKUP($B529,Premissas!$A$4:$E$7,4,0)+L529*VLOOKUP($B529,Premissas!$A$4:$E$7,5,0))</f>
        <v/>
      </c>
      <c r="N529" s="14">
        <f>H529-M529</f>
        <v/>
      </c>
      <c r="O529" t="inlineStr">
        <is>
          <t>Não</t>
        </is>
      </c>
      <c r="P529" t="inlineStr">
        <is>
          <t>1.350</t>
        </is>
      </c>
    </row>
    <row r="530">
      <c r="A530" t="inlineStr">
        <is>
          <t>Antes de 2026</t>
        </is>
      </c>
      <c r="B530" t="inlineStr">
        <is>
          <t>Frete de venda</t>
        </is>
      </c>
      <c r="C530" t="inlineStr">
        <is>
          <t>Frete de venda (para clientes)</t>
        </is>
      </c>
      <c r="D530" t="inlineStr">
        <is>
          <t>CT-e</t>
        </is>
      </c>
      <c r="E530" t="inlineStr">
        <is>
          <t>000003769</t>
        </is>
      </c>
      <c r="F530" t="inlineStr">
        <is>
          <t>R&amp;R TRANSPORTE E LOGISTICA</t>
        </is>
      </c>
      <c r="G530" s="27" t="n">
        <v>45717</v>
      </c>
      <c r="H530" s="14" t="n">
        <v>22</v>
      </c>
      <c r="I530" s="14" t="n">
        <v>0</v>
      </c>
      <c r="J530" s="14" t="n">
        <v>0</v>
      </c>
      <c r="K530" s="14" t="n">
        <v>0</v>
      </c>
      <c r="L530" s="14" t="n">
        <v>0</v>
      </c>
      <c r="M530" s="14">
        <f>IF(B530="Frete de venda",0,(1-ISNUMBER(SEARCH("556",P530)))*(I530*VLOOKUP($B530,Premissas!$A$4:$E$7,2,0)+J530*VLOOKUP($B530,Premissas!$A$4:$E$7,3,0))+K530*VLOOKUP($B530,Premissas!$A$4:$E$7,4,0)+L530*VLOOKUP($B530,Premissas!$A$4:$E$7,5,0))</f>
        <v/>
      </c>
      <c r="N530" s="14">
        <f>H530-M530</f>
        <v/>
      </c>
      <c r="O530" t="inlineStr">
        <is>
          <t>Não</t>
        </is>
      </c>
      <c r="P530" t="inlineStr">
        <is>
          <t>1.350</t>
        </is>
      </c>
    </row>
    <row r="531">
      <c r="A531" t="inlineStr">
        <is>
          <t>Antes de 2026</t>
        </is>
      </c>
      <c r="B531" t="inlineStr">
        <is>
          <t>Frete de venda</t>
        </is>
      </c>
      <c r="C531" t="inlineStr">
        <is>
          <t>Frete de venda (para clientes)</t>
        </is>
      </c>
      <c r="D531" t="inlineStr">
        <is>
          <t>CT-e</t>
        </is>
      </c>
      <c r="E531" t="inlineStr">
        <is>
          <t>000003625</t>
        </is>
      </c>
      <c r="F531" t="inlineStr">
        <is>
          <t>R&amp;R TRANSPORTE E LOGISTICA</t>
        </is>
      </c>
      <c r="G531" s="27" t="n">
        <v>45688</v>
      </c>
      <c r="H531" s="14" t="n">
        <v>825</v>
      </c>
      <c r="I531" s="14" t="n">
        <v>0</v>
      </c>
      <c r="J531" s="14" t="n">
        <v>0</v>
      </c>
      <c r="K531" s="14" t="n">
        <v>0</v>
      </c>
      <c r="L531" s="14" t="n">
        <v>0</v>
      </c>
      <c r="M531" s="14">
        <f>IF(B531="Frete de venda",0,(1-ISNUMBER(SEARCH("556",P531)))*(I531*VLOOKUP($B531,Premissas!$A$4:$E$7,2,0)+J531*VLOOKUP($B531,Premissas!$A$4:$E$7,3,0))+K531*VLOOKUP($B531,Premissas!$A$4:$E$7,4,0)+L531*VLOOKUP($B531,Premissas!$A$4:$E$7,5,0))</f>
        <v/>
      </c>
      <c r="N531" s="14">
        <f>H531-M531</f>
        <v/>
      </c>
      <c r="O531" t="inlineStr">
        <is>
          <t>Não</t>
        </is>
      </c>
      <c r="P531" t="inlineStr">
        <is>
          <t>1.350</t>
        </is>
      </c>
    </row>
    <row r="532">
      <c r="A532" t="inlineStr">
        <is>
          <t>Antes de 2026</t>
        </is>
      </c>
      <c r="B532" t="inlineStr">
        <is>
          <t>Frete de venda</t>
        </is>
      </c>
      <c r="C532" t="inlineStr">
        <is>
          <t>Frete de venda (para clientes)</t>
        </is>
      </c>
      <c r="D532" t="inlineStr">
        <is>
          <t>CT-e</t>
        </is>
      </c>
      <c r="E532" t="inlineStr">
        <is>
          <t>000003796</t>
        </is>
      </c>
      <c r="F532" t="inlineStr">
        <is>
          <t>R&amp;R TRANSPORTE E LOGISTICA</t>
        </is>
      </c>
      <c r="G532" s="27" t="n">
        <v>45722</v>
      </c>
      <c r="H532" s="14" t="n">
        <v>1000</v>
      </c>
      <c r="I532" s="14" t="n">
        <v>0</v>
      </c>
      <c r="J532" s="14" t="n">
        <v>0</v>
      </c>
      <c r="K532" s="14" t="n">
        <v>0</v>
      </c>
      <c r="L532" s="14" t="n">
        <v>0</v>
      </c>
      <c r="M532" s="14">
        <f>IF(B532="Frete de venda",0,(1-ISNUMBER(SEARCH("556",P532)))*(I532*VLOOKUP($B532,Premissas!$A$4:$E$7,2,0)+J532*VLOOKUP($B532,Premissas!$A$4:$E$7,3,0))+K532*VLOOKUP($B532,Premissas!$A$4:$E$7,4,0)+L532*VLOOKUP($B532,Premissas!$A$4:$E$7,5,0))</f>
        <v/>
      </c>
      <c r="N532" s="14">
        <f>H532-M532</f>
        <v/>
      </c>
      <c r="O532" t="inlineStr">
        <is>
          <t>Não</t>
        </is>
      </c>
      <c r="P532" t="inlineStr">
        <is>
          <t>1.350</t>
        </is>
      </c>
    </row>
    <row r="533">
      <c r="A533" t="inlineStr">
        <is>
          <t>Antes de 2026</t>
        </is>
      </c>
      <c r="B533" t="inlineStr">
        <is>
          <t>Frete de venda</t>
        </is>
      </c>
      <c r="C533" t="inlineStr">
        <is>
          <t>Frete de venda (para clientes)</t>
        </is>
      </c>
      <c r="D533" t="inlineStr">
        <is>
          <t>CT-e</t>
        </is>
      </c>
      <c r="E533" t="inlineStr">
        <is>
          <t>000003803</t>
        </is>
      </c>
      <c r="F533" t="inlineStr">
        <is>
          <t>R&amp;R TRANSPORTE E LOGISTICA</t>
        </is>
      </c>
      <c r="G533" s="27" t="n">
        <v>45723</v>
      </c>
      <c r="H533" s="14" t="n">
        <v>190.38</v>
      </c>
      <c r="I533" s="14" t="n">
        <v>0</v>
      </c>
      <c r="J533" s="14" t="n">
        <v>0</v>
      </c>
      <c r="K533" s="14" t="n">
        <v>0</v>
      </c>
      <c r="L533" s="14" t="n">
        <v>0</v>
      </c>
      <c r="M533" s="14">
        <f>IF(B533="Frete de venda",0,(1-ISNUMBER(SEARCH("556",P533)))*(I533*VLOOKUP($B533,Premissas!$A$4:$E$7,2,0)+J533*VLOOKUP($B533,Premissas!$A$4:$E$7,3,0))+K533*VLOOKUP($B533,Premissas!$A$4:$E$7,4,0)+L533*VLOOKUP($B533,Premissas!$A$4:$E$7,5,0))</f>
        <v/>
      </c>
      <c r="N533" s="14">
        <f>H533-M533</f>
        <v/>
      </c>
      <c r="O533" t="inlineStr">
        <is>
          <t>Não</t>
        </is>
      </c>
      <c r="P533" t="inlineStr">
        <is>
          <t>1.350</t>
        </is>
      </c>
    </row>
    <row r="534">
      <c r="A534" t="inlineStr">
        <is>
          <t>Antes de 2026</t>
        </is>
      </c>
      <c r="B534" t="inlineStr">
        <is>
          <t>Frete de venda</t>
        </is>
      </c>
      <c r="C534" t="inlineStr">
        <is>
          <t>Frete de venda (para clientes)</t>
        </is>
      </c>
      <c r="D534" t="inlineStr">
        <is>
          <t>CT-e</t>
        </is>
      </c>
      <c r="E534" t="inlineStr">
        <is>
          <t>000003593</t>
        </is>
      </c>
      <c r="F534" t="inlineStr">
        <is>
          <t>R&amp;R TRANSPORTE E LOGISTICA</t>
        </is>
      </c>
      <c r="G534" s="27" t="n">
        <v>45686</v>
      </c>
      <c r="H534" s="14" t="n">
        <v>299.45</v>
      </c>
      <c r="I534" s="14" t="n">
        <v>0</v>
      </c>
      <c r="J534" s="14" t="n">
        <v>0</v>
      </c>
      <c r="K534" s="14" t="n">
        <v>0</v>
      </c>
      <c r="L534" s="14" t="n">
        <v>0</v>
      </c>
      <c r="M534" s="14">
        <f>IF(B534="Frete de venda",0,(1-ISNUMBER(SEARCH("556",P534)))*(I534*VLOOKUP($B534,Premissas!$A$4:$E$7,2,0)+J534*VLOOKUP($B534,Premissas!$A$4:$E$7,3,0))+K534*VLOOKUP($B534,Premissas!$A$4:$E$7,4,0)+L534*VLOOKUP($B534,Premissas!$A$4:$E$7,5,0))</f>
        <v/>
      </c>
      <c r="N534" s="14">
        <f>H534-M534</f>
        <v/>
      </c>
      <c r="O534" t="inlineStr">
        <is>
          <t>Não</t>
        </is>
      </c>
      <c r="P534" t="inlineStr">
        <is>
          <t>1.350</t>
        </is>
      </c>
    </row>
    <row r="535">
      <c r="A535" t="inlineStr">
        <is>
          <t>Antes de 2026</t>
        </is>
      </c>
      <c r="B535" t="inlineStr">
        <is>
          <t>Frete de venda</t>
        </is>
      </c>
      <c r="C535" t="inlineStr">
        <is>
          <t>Frete de venda (para clientes)</t>
        </is>
      </c>
      <c r="D535" t="inlineStr">
        <is>
          <t>CT-e</t>
        </is>
      </c>
      <c r="E535" t="inlineStr">
        <is>
          <t>000003595</t>
        </is>
      </c>
      <c r="F535" t="inlineStr">
        <is>
          <t>R&amp;R TRANSPORTE E LOGISTICA</t>
        </is>
      </c>
      <c r="G535" s="27" t="n">
        <v>45686</v>
      </c>
      <c r="H535" s="14" t="n">
        <v>125.74</v>
      </c>
      <c r="I535" s="14" t="n">
        <v>0</v>
      </c>
      <c r="J535" s="14" t="n">
        <v>0</v>
      </c>
      <c r="K535" s="14" t="n">
        <v>0</v>
      </c>
      <c r="L535" s="14" t="n">
        <v>0</v>
      </c>
      <c r="M535" s="14">
        <f>IF(B535="Frete de venda",0,(1-ISNUMBER(SEARCH("556",P535)))*(I535*VLOOKUP($B535,Premissas!$A$4:$E$7,2,0)+J535*VLOOKUP($B535,Premissas!$A$4:$E$7,3,0))+K535*VLOOKUP($B535,Premissas!$A$4:$E$7,4,0)+L535*VLOOKUP($B535,Premissas!$A$4:$E$7,5,0))</f>
        <v/>
      </c>
      <c r="N535" s="14">
        <f>H535-M535</f>
        <v/>
      </c>
      <c r="O535" t="inlineStr">
        <is>
          <t>Não</t>
        </is>
      </c>
      <c r="P535" t="inlineStr">
        <is>
          <t>1.350</t>
        </is>
      </c>
    </row>
    <row r="536">
      <c r="A536" t="inlineStr">
        <is>
          <t>Antes de 2026</t>
        </is>
      </c>
      <c r="B536" t="inlineStr">
        <is>
          <t>Frete de venda</t>
        </is>
      </c>
      <c r="C536" t="inlineStr">
        <is>
          <t>Frete de venda (para clientes)</t>
        </is>
      </c>
      <c r="D536" t="inlineStr">
        <is>
          <t>CT-e</t>
        </is>
      </c>
      <c r="E536" t="inlineStr">
        <is>
          <t>000003710</t>
        </is>
      </c>
      <c r="F536" t="inlineStr">
        <is>
          <t>R&amp;R TRANSPORTE E LOGISTICA</t>
        </is>
      </c>
      <c r="G536" s="27" t="n">
        <v>45707</v>
      </c>
      <c r="H536" s="14" t="n">
        <v>96.78</v>
      </c>
      <c r="I536" s="14" t="n">
        <v>0</v>
      </c>
      <c r="J536" s="14" t="n">
        <v>0</v>
      </c>
      <c r="K536" s="14" t="n">
        <v>0</v>
      </c>
      <c r="L536" s="14" t="n">
        <v>0</v>
      </c>
      <c r="M536" s="14">
        <f>IF(B536="Frete de venda",0,(1-ISNUMBER(SEARCH("556",P536)))*(I536*VLOOKUP($B536,Premissas!$A$4:$E$7,2,0)+J536*VLOOKUP($B536,Premissas!$A$4:$E$7,3,0))+K536*VLOOKUP($B536,Premissas!$A$4:$E$7,4,0)+L536*VLOOKUP($B536,Premissas!$A$4:$E$7,5,0))</f>
        <v/>
      </c>
      <c r="N536" s="14">
        <f>H536-M536</f>
        <v/>
      </c>
      <c r="O536" t="inlineStr">
        <is>
          <t>Não</t>
        </is>
      </c>
      <c r="P536" t="inlineStr">
        <is>
          <t>1.350</t>
        </is>
      </c>
    </row>
    <row r="537">
      <c r="A537" t="inlineStr">
        <is>
          <t>Antes de 2026</t>
        </is>
      </c>
      <c r="B537" t="inlineStr">
        <is>
          <t>Frete de venda</t>
        </is>
      </c>
      <c r="C537" t="inlineStr">
        <is>
          <t>Frete de venda (para clientes)</t>
        </is>
      </c>
      <c r="D537" t="inlineStr">
        <is>
          <t>CT-e</t>
        </is>
      </c>
      <c r="E537" t="inlineStr">
        <is>
          <t>000003824</t>
        </is>
      </c>
      <c r="F537" t="inlineStr">
        <is>
          <t>R&amp;R TRANSPORTE E LOGISTICA</t>
        </is>
      </c>
      <c r="G537" s="27" t="n">
        <v>45730</v>
      </c>
      <c r="H537" s="14" t="n">
        <v>105.8</v>
      </c>
      <c r="I537" s="14" t="n">
        <v>0</v>
      </c>
      <c r="J537" s="14" t="n">
        <v>0</v>
      </c>
      <c r="K537" s="14" t="n">
        <v>0</v>
      </c>
      <c r="L537" s="14" t="n">
        <v>0</v>
      </c>
      <c r="M537" s="14">
        <f>IF(B537="Frete de venda",0,(1-ISNUMBER(SEARCH("556",P537)))*(I537*VLOOKUP($B537,Premissas!$A$4:$E$7,2,0)+J537*VLOOKUP($B537,Premissas!$A$4:$E$7,3,0))+K537*VLOOKUP($B537,Premissas!$A$4:$E$7,4,0)+L537*VLOOKUP($B537,Premissas!$A$4:$E$7,5,0))</f>
        <v/>
      </c>
      <c r="N537" s="14">
        <f>H537-M537</f>
        <v/>
      </c>
      <c r="O537" t="inlineStr">
        <is>
          <t>Não</t>
        </is>
      </c>
      <c r="P537" t="inlineStr">
        <is>
          <t>1.350</t>
        </is>
      </c>
    </row>
    <row r="538">
      <c r="A538" t="inlineStr">
        <is>
          <t>Antes de 2026</t>
        </is>
      </c>
      <c r="B538" t="inlineStr">
        <is>
          <t>Frete de venda</t>
        </is>
      </c>
      <c r="C538" t="inlineStr">
        <is>
          <t>Frete de venda (para clientes)</t>
        </is>
      </c>
      <c r="D538" t="inlineStr">
        <is>
          <t>CT-e</t>
        </is>
      </c>
      <c r="E538" t="inlineStr">
        <is>
          <t>000003753</t>
        </is>
      </c>
      <c r="F538" t="inlineStr">
        <is>
          <t>R&amp;R TRANSPORTE E LOGISTICA</t>
        </is>
      </c>
      <c r="G538" s="27" t="n">
        <v>45714</v>
      </c>
      <c r="H538" s="14" t="n">
        <v>60.48</v>
      </c>
      <c r="I538" s="14" t="n">
        <v>0</v>
      </c>
      <c r="J538" s="14" t="n">
        <v>0</v>
      </c>
      <c r="K538" s="14" t="n">
        <v>0</v>
      </c>
      <c r="L538" s="14" t="n">
        <v>0</v>
      </c>
      <c r="M538" s="14">
        <f>IF(B538="Frete de venda",0,(1-ISNUMBER(SEARCH("556",P538)))*(I538*VLOOKUP($B538,Premissas!$A$4:$E$7,2,0)+J538*VLOOKUP($B538,Premissas!$A$4:$E$7,3,0))+K538*VLOOKUP($B538,Premissas!$A$4:$E$7,4,0)+L538*VLOOKUP($B538,Premissas!$A$4:$E$7,5,0))</f>
        <v/>
      </c>
      <c r="N538" s="14">
        <f>H538-M538</f>
        <v/>
      </c>
      <c r="O538" t="inlineStr">
        <is>
          <t>Não</t>
        </is>
      </c>
      <c r="P538" t="inlineStr">
        <is>
          <t>1.350</t>
        </is>
      </c>
    </row>
    <row r="539">
      <c r="A539" t="inlineStr">
        <is>
          <t>Antes de 2026</t>
        </is>
      </c>
      <c r="B539" t="inlineStr">
        <is>
          <t>Frete de venda</t>
        </is>
      </c>
      <c r="C539" t="inlineStr">
        <is>
          <t>Frete de venda (para clientes)</t>
        </is>
      </c>
      <c r="D539" t="inlineStr">
        <is>
          <t>CT-e</t>
        </is>
      </c>
      <c r="E539" t="inlineStr">
        <is>
          <t>000000071</t>
        </is>
      </c>
      <c r="F539" t="inlineStr">
        <is>
          <t>ADIL CARLOS DA SILVA</t>
        </is>
      </c>
      <c r="G539" s="27" t="n">
        <v>45667</v>
      </c>
      <c r="H539" s="14" t="n">
        <v>10</v>
      </c>
      <c r="I539" s="14" t="n">
        <v>0</v>
      </c>
      <c r="J539" s="14" t="n">
        <v>0</v>
      </c>
      <c r="K539" s="14" t="n">
        <v>0</v>
      </c>
      <c r="L539" s="14" t="n">
        <v>0</v>
      </c>
      <c r="M539" s="14">
        <f>IF(B539="Frete de venda",0,(1-ISNUMBER(SEARCH("556",P539)))*(I539*VLOOKUP($B539,Premissas!$A$4:$E$7,2,0)+J539*VLOOKUP($B539,Premissas!$A$4:$E$7,3,0))+K539*VLOOKUP($B539,Premissas!$A$4:$E$7,4,0)+L539*VLOOKUP($B539,Premissas!$A$4:$E$7,5,0))</f>
        <v/>
      </c>
      <c r="N539" s="14">
        <f>H539-M539</f>
        <v/>
      </c>
      <c r="O539" t="inlineStr">
        <is>
          <t>Não</t>
        </is>
      </c>
      <c r="P539" t="inlineStr">
        <is>
          <t>2.350</t>
        </is>
      </c>
    </row>
    <row r="540">
      <c r="A540" t="inlineStr">
        <is>
          <t>Antes de 2026</t>
        </is>
      </c>
      <c r="B540" t="inlineStr">
        <is>
          <t>Frete de venda</t>
        </is>
      </c>
      <c r="C540" t="inlineStr">
        <is>
          <t>Frete de venda (para clientes)</t>
        </is>
      </c>
      <c r="D540" t="inlineStr">
        <is>
          <t>CT-e</t>
        </is>
      </c>
      <c r="E540" t="inlineStr">
        <is>
          <t>000003741</t>
        </is>
      </c>
      <c r="F540" t="inlineStr">
        <is>
          <t>R&amp;R TRANSPORTE E LOGISTICA</t>
        </is>
      </c>
      <c r="G540" s="27" t="n">
        <v>45710</v>
      </c>
      <c r="H540" s="14" t="n">
        <v>30</v>
      </c>
      <c r="I540" s="14" t="n">
        <v>0</v>
      </c>
      <c r="J540" s="14" t="n">
        <v>0</v>
      </c>
      <c r="K540" s="14" t="n">
        <v>0</v>
      </c>
      <c r="L540" s="14" t="n">
        <v>0</v>
      </c>
      <c r="M540" s="14">
        <f>IF(B540="Frete de venda",0,(1-ISNUMBER(SEARCH("556",P540)))*(I540*VLOOKUP($B540,Premissas!$A$4:$E$7,2,0)+J540*VLOOKUP($B540,Premissas!$A$4:$E$7,3,0))+K540*VLOOKUP($B540,Premissas!$A$4:$E$7,4,0)+L540*VLOOKUP($B540,Premissas!$A$4:$E$7,5,0))</f>
        <v/>
      </c>
      <c r="N540" s="14">
        <f>H540-M540</f>
        <v/>
      </c>
      <c r="O540" t="inlineStr">
        <is>
          <t>Não</t>
        </is>
      </c>
      <c r="P540" t="inlineStr">
        <is>
          <t>1.350</t>
        </is>
      </c>
    </row>
    <row r="541">
      <c r="A541" t="inlineStr">
        <is>
          <t>Antes de 2026</t>
        </is>
      </c>
      <c r="B541" t="inlineStr">
        <is>
          <t>Frete de venda</t>
        </is>
      </c>
      <c r="C541" t="inlineStr">
        <is>
          <t>Frete de venda (para clientes)</t>
        </is>
      </c>
      <c r="D541" t="inlineStr">
        <is>
          <t>CT-e</t>
        </is>
      </c>
      <c r="E541" t="inlineStr">
        <is>
          <t>000003673</t>
        </is>
      </c>
      <c r="F541" t="inlineStr">
        <is>
          <t>R&amp;R TRANSPORTE E LOGISTICA</t>
        </is>
      </c>
      <c r="G541" s="27" t="n">
        <v>45702</v>
      </c>
      <c r="H541" s="14" t="n">
        <v>129.81</v>
      </c>
      <c r="I541" s="14" t="n">
        <v>0</v>
      </c>
      <c r="J541" s="14" t="n">
        <v>0</v>
      </c>
      <c r="K541" s="14" t="n">
        <v>0</v>
      </c>
      <c r="L541" s="14" t="n">
        <v>0</v>
      </c>
      <c r="M541" s="14">
        <f>IF(B541="Frete de venda",0,(1-ISNUMBER(SEARCH("556",P541)))*(I541*VLOOKUP($B541,Premissas!$A$4:$E$7,2,0)+J541*VLOOKUP($B541,Premissas!$A$4:$E$7,3,0))+K541*VLOOKUP($B541,Premissas!$A$4:$E$7,4,0)+L541*VLOOKUP($B541,Premissas!$A$4:$E$7,5,0))</f>
        <v/>
      </c>
      <c r="N541" s="14">
        <f>H541-M541</f>
        <v/>
      </c>
      <c r="O541" t="inlineStr">
        <is>
          <t>Não</t>
        </is>
      </c>
      <c r="P541" t="inlineStr">
        <is>
          <t>1.350</t>
        </is>
      </c>
    </row>
    <row r="542">
      <c r="A542" t="inlineStr">
        <is>
          <t>Antes de 2026</t>
        </is>
      </c>
      <c r="B542" t="inlineStr">
        <is>
          <t>Frete de venda</t>
        </is>
      </c>
      <c r="C542" t="inlineStr">
        <is>
          <t>Frete de venda (para clientes)</t>
        </is>
      </c>
      <c r="D542" t="inlineStr">
        <is>
          <t>CT-e</t>
        </is>
      </c>
      <c r="E542" t="inlineStr">
        <is>
          <t>000003765</t>
        </is>
      </c>
      <c r="F542" t="inlineStr">
        <is>
          <t>R&amp;R TRANSPORTE E LOGISTICA</t>
        </is>
      </c>
      <c r="G542" s="27" t="n">
        <v>45716</v>
      </c>
      <c r="H542" s="14" t="n">
        <v>75.54000000000001</v>
      </c>
      <c r="I542" s="14" t="n">
        <v>0</v>
      </c>
      <c r="J542" s="14" t="n">
        <v>0</v>
      </c>
      <c r="K542" s="14" t="n">
        <v>0</v>
      </c>
      <c r="L542" s="14" t="n">
        <v>0</v>
      </c>
      <c r="M542" s="14">
        <f>IF(B542="Frete de venda",0,(1-ISNUMBER(SEARCH("556",P542)))*(I542*VLOOKUP($B542,Premissas!$A$4:$E$7,2,0)+J542*VLOOKUP($B542,Premissas!$A$4:$E$7,3,0))+K542*VLOOKUP($B542,Premissas!$A$4:$E$7,4,0)+L542*VLOOKUP($B542,Premissas!$A$4:$E$7,5,0))</f>
        <v/>
      </c>
      <c r="N542" s="14">
        <f>H542-M542</f>
        <v/>
      </c>
      <c r="O542" t="inlineStr">
        <is>
          <t>Não</t>
        </is>
      </c>
      <c r="P542" t="inlineStr">
        <is>
          <t>1.350</t>
        </is>
      </c>
    </row>
    <row r="543">
      <c r="A543" t="inlineStr">
        <is>
          <t>Antes de 2026</t>
        </is>
      </c>
      <c r="B543" t="inlineStr">
        <is>
          <t>Frete de venda</t>
        </is>
      </c>
      <c r="C543" t="inlineStr">
        <is>
          <t>Frete de venda (para clientes)</t>
        </is>
      </c>
      <c r="D543" t="inlineStr">
        <is>
          <t>CT-e</t>
        </is>
      </c>
      <c r="E543" t="inlineStr">
        <is>
          <t>000003827</t>
        </is>
      </c>
      <c r="F543" t="inlineStr">
        <is>
          <t>R&amp;R TRANSPORTE E LOGISTICA</t>
        </is>
      </c>
      <c r="G543" s="27" t="n">
        <v>45730</v>
      </c>
      <c r="H543" s="14" t="n">
        <v>38.32</v>
      </c>
      <c r="I543" s="14" t="n">
        <v>0</v>
      </c>
      <c r="J543" s="14" t="n">
        <v>0</v>
      </c>
      <c r="K543" s="14" t="n">
        <v>0</v>
      </c>
      <c r="L543" s="14" t="n">
        <v>0</v>
      </c>
      <c r="M543" s="14">
        <f>IF(B543="Frete de venda",0,(1-ISNUMBER(SEARCH("556",P543)))*(I543*VLOOKUP($B543,Premissas!$A$4:$E$7,2,0)+J543*VLOOKUP($B543,Premissas!$A$4:$E$7,3,0))+K543*VLOOKUP($B543,Premissas!$A$4:$E$7,4,0)+L543*VLOOKUP($B543,Premissas!$A$4:$E$7,5,0))</f>
        <v/>
      </c>
      <c r="N543" s="14">
        <f>H543-M543</f>
        <v/>
      </c>
      <c r="O543" t="inlineStr">
        <is>
          <t>Não</t>
        </is>
      </c>
      <c r="P543" t="inlineStr">
        <is>
          <t>1.350</t>
        </is>
      </c>
    </row>
    <row r="544">
      <c r="A544" t="inlineStr">
        <is>
          <t>Antes de 2026</t>
        </is>
      </c>
      <c r="B544" t="inlineStr">
        <is>
          <t>Frete de venda</t>
        </is>
      </c>
      <c r="C544" t="inlineStr">
        <is>
          <t>Frete de venda (para clientes)</t>
        </is>
      </c>
      <c r="D544" t="inlineStr">
        <is>
          <t>CT-e</t>
        </is>
      </c>
      <c r="E544" t="inlineStr">
        <is>
          <t>000003684</t>
        </is>
      </c>
      <c r="F544" t="inlineStr">
        <is>
          <t>R&amp;R TRANSPORTE E LOGISTICA</t>
        </is>
      </c>
      <c r="G544" s="27" t="n">
        <v>45704</v>
      </c>
      <c r="H544" s="14" t="n">
        <v>600</v>
      </c>
      <c r="I544" s="14" t="n">
        <v>0</v>
      </c>
      <c r="J544" s="14" t="n">
        <v>0</v>
      </c>
      <c r="K544" s="14" t="n">
        <v>0</v>
      </c>
      <c r="L544" s="14" t="n">
        <v>0</v>
      </c>
      <c r="M544" s="14">
        <f>IF(B544="Frete de venda",0,(1-ISNUMBER(SEARCH("556",P544)))*(I544*VLOOKUP($B544,Premissas!$A$4:$E$7,2,0)+J544*VLOOKUP($B544,Premissas!$A$4:$E$7,3,0))+K544*VLOOKUP($B544,Premissas!$A$4:$E$7,4,0)+L544*VLOOKUP($B544,Premissas!$A$4:$E$7,5,0))</f>
        <v/>
      </c>
      <c r="N544" s="14">
        <f>H544-M544</f>
        <v/>
      </c>
      <c r="O544" t="inlineStr">
        <is>
          <t>Não</t>
        </is>
      </c>
      <c r="P544" t="inlineStr">
        <is>
          <t>1.350</t>
        </is>
      </c>
    </row>
    <row r="545">
      <c r="A545" t="inlineStr">
        <is>
          <t>Antes de 2026</t>
        </is>
      </c>
      <c r="B545" t="inlineStr">
        <is>
          <t>Frete de venda</t>
        </is>
      </c>
      <c r="C545" t="inlineStr">
        <is>
          <t>Frete de venda (para clientes)</t>
        </is>
      </c>
      <c r="D545" t="inlineStr">
        <is>
          <t>CT-e</t>
        </is>
      </c>
      <c r="E545" t="inlineStr">
        <is>
          <t>000003714</t>
        </is>
      </c>
      <c r="F545" t="inlineStr">
        <is>
          <t>R&amp;R TRANSPORTE E LOGISTICA</t>
        </is>
      </c>
      <c r="G545" s="27" t="n">
        <v>45707</v>
      </c>
      <c r="H545" s="14" t="n">
        <v>39.69</v>
      </c>
      <c r="I545" s="14" t="n">
        <v>0</v>
      </c>
      <c r="J545" s="14" t="n">
        <v>0</v>
      </c>
      <c r="K545" s="14" t="n">
        <v>0</v>
      </c>
      <c r="L545" s="14" t="n">
        <v>0</v>
      </c>
      <c r="M545" s="14">
        <f>IF(B545="Frete de venda",0,(1-ISNUMBER(SEARCH("556",P545)))*(I545*VLOOKUP($B545,Premissas!$A$4:$E$7,2,0)+J545*VLOOKUP($B545,Premissas!$A$4:$E$7,3,0))+K545*VLOOKUP($B545,Premissas!$A$4:$E$7,4,0)+L545*VLOOKUP($B545,Premissas!$A$4:$E$7,5,0))</f>
        <v/>
      </c>
      <c r="N545" s="14">
        <f>H545-M545</f>
        <v/>
      </c>
      <c r="O545" t="inlineStr">
        <is>
          <t>Não</t>
        </is>
      </c>
      <c r="P545" t="inlineStr">
        <is>
          <t>1.350</t>
        </is>
      </c>
    </row>
    <row r="546">
      <c r="A546" t="inlineStr">
        <is>
          <t>Antes de 2026</t>
        </is>
      </c>
      <c r="B546" t="inlineStr">
        <is>
          <t>Frete de venda</t>
        </is>
      </c>
      <c r="C546" t="inlineStr">
        <is>
          <t>Frete de venda (para clientes)</t>
        </is>
      </c>
      <c r="D546" t="inlineStr">
        <is>
          <t>CT-e</t>
        </is>
      </c>
      <c r="E546" t="inlineStr">
        <is>
          <t>000003600</t>
        </is>
      </c>
      <c r="F546" t="inlineStr">
        <is>
          <t>R&amp;R TRANSPORTE E LOGISTICA</t>
        </is>
      </c>
      <c r="G546" s="27" t="n">
        <v>45686</v>
      </c>
      <c r="H546" s="14" t="n">
        <v>1400</v>
      </c>
      <c r="I546" s="14" t="n">
        <v>0</v>
      </c>
      <c r="J546" s="14" t="n">
        <v>0</v>
      </c>
      <c r="K546" s="14" t="n">
        <v>0</v>
      </c>
      <c r="L546" s="14" t="n">
        <v>0</v>
      </c>
      <c r="M546" s="14">
        <f>IF(B546="Frete de venda",0,(1-ISNUMBER(SEARCH("556",P546)))*(I546*VLOOKUP($B546,Premissas!$A$4:$E$7,2,0)+J546*VLOOKUP($B546,Premissas!$A$4:$E$7,3,0))+K546*VLOOKUP($B546,Premissas!$A$4:$E$7,4,0)+L546*VLOOKUP($B546,Premissas!$A$4:$E$7,5,0))</f>
        <v/>
      </c>
      <c r="N546" s="14">
        <f>H546-M546</f>
        <v/>
      </c>
      <c r="O546" t="inlineStr">
        <is>
          <t>Não</t>
        </is>
      </c>
      <c r="P546" t="inlineStr">
        <is>
          <t>1.350</t>
        </is>
      </c>
    </row>
    <row r="547">
      <c r="A547" t="inlineStr">
        <is>
          <t>Antes de 2026</t>
        </is>
      </c>
      <c r="B547" t="inlineStr">
        <is>
          <t>Frete de venda</t>
        </is>
      </c>
      <c r="C547" t="inlineStr">
        <is>
          <t>Frete de venda (para clientes)</t>
        </is>
      </c>
      <c r="D547" t="inlineStr">
        <is>
          <t>CT-e</t>
        </is>
      </c>
      <c r="E547" t="inlineStr">
        <is>
          <t>000003540</t>
        </is>
      </c>
      <c r="F547" t="inlineStr">
        <is>
          <t>R&amp;R TRANSPORTE E LOGISTICA</t>
        </is>
      </c>
      <c r="G547" s="27" t="n">
        <v>45674</v>
      </c>
      <c r="H547" s="14" t="n">
        <v>596.29</v>
      </c>
      <c r="I547" s="14" t="n">
        <v>0</v>
      </c>
      <c r="J547" s="14" t="n">
        <v>0</v>
      </c>
      <c r="K547" s="14" t="n">
        <v>0</v>
      </c>
      <c r="L547" s="14" t="n">
        <v>0</v>
      </c>
      <c r="M547" s="14">
        <f>IF(B547="Frete de venda",0,(1-ISNUMBER(SEARCH("556",P547)))*(I547*VLOOKUP($B547,Premissas!$A$4:$E$7,2,0)+J547*VLOOKUP($B547,Premissas!$A$4:$E$7,3,0))+K547*VLOOKUP($B547,Premissas!$A$4:$E$7,4,0)+L547*VLOOKUP($B547,Premissas!$A$4:$E$7,5,0))</f>
        <v/>
      </c>
      <c r="N547" s="14">
        <f>H547-M547</f>
        <v/>
      </c>
      <c r="O547" t="inlineStr">
        <is>
          <t>Não</t>
        </is>
      </c>
      <c r="P547" t="inlineStr">
        <is>
          <t>1.350</t>
        </is>
      </c>
    </row>
    <row r="548">
      <c r="A548" t="inlineStr">
        <is>
          <t>Antes de 2026</t>
        </is>
      </c>
      <c r="B548" t="inlineStr">
        <is>
          <t>Frete de venda</t>
        </is>
      </c>
      <c r="C548" t="inlineStr">
        <is>
          <t>Frete de venda (para clientes)</t>
        </is>
      </c>
      <c r="D548" t="inlineStr">
        <is>
          <t>CT-e</t>
        </is>
      </c>
      <c r="E548" t="inlineStr">
        <is>
          <t>000003587</t>
        </is>
      </c>
      <c r="F548" t="inlineStr">
        <is>
          <t>R&amp;R TRANSPORTE E LOGISTICA</t>
        </is>
      </c>
      <c r="G548" s="27" t="n">
        <v>45685</v>
      </c>
      <c r="H548" s="14" t="n">
        <v>444.37</v>
      </c>
      <c r="I548" s="14" t="n">
        <v>0</v>
      </c>
      <c r="J548" s="14" t="n">
        <v>0</v>
      </c>
      <c r="K548" s="14" t="n">
        <v>0</v>
      </c>
      <c r="L548" s="14" t="n">
        <v>0</v>
      </c>
      <c r="M548" s="14">
        <f>IF(B548="Frete de venda",0,(1-ISNUMBER(SEARCH("556",P548)))*(I548*VLOOKUP($B548,Premissas!$A$4:$E$7,2,0)+J548*VLOOKUP($B548,Premissas!$A$4:$E$7,3,0))+K548*VLOOKUP($B548,Premissas!$A$4:$E$7,4,0)+L548*VLOOKUP($B548,Premissas!$A$4:$E$7,5,0))</f>
        <v/>
      </c>
      <c r="N548" s="14">
        <f>H548-M548</f>
        <v/>
      </c>
      <c r="O548" t="inlineStr">
        <is>
          <t>Não</t>
        </is>
      </c>
      <c r="P548" t="inlineStr">
        <is>
          <t>1.350</t>
        </is>
      </c>
    </row>
    <row r="549">
      <c r="A549" t="inlineStr">
        <is>
          <t>Antes de 2026</t>
        </is>
      </c>
      <c r="B549" t="inlineStr">
        <is>
          <t>Frete de venda</t>
        </is>
      </c>
      <c r="C549" t="inlineStr">
        <is>
          <t>Frete de venda (para clientes)</t>
        </is>
      </c>
      <c r="D549" t="inlineStr">
        <is>
          <t>CT-e</t>
        </is>
      </c>
      <c r="E549" t="inlineStr">
        <is>
          <t>000003758</t>
        </is>
      </c>
      <c r="F549" t="inlineStr">
        <is>
          <t>R&amp;R TRANSPORTE E LOGISTICA</t>
        </is>
      </c>
      <c r="G549" s="27" t="n">
        <v>45714</v>
      </c>
      <c r="H549" s="14" t="n">
        <v>462</v>
      </c>
      <c r="I549" s="14" t="n">
        <v>0</v>
      </c>
      <c r="J549" s="14" t="n">
        <v>0</v>
      </c>
      <c r="K549" s="14" t="n">
        <v>0</v>
      </c>
      <c r="L549" s="14" t="n">
        <v>0</v>
      </c>
      <c r="M549" s="14">
        <f>IF(B549="Frete de venda",0,(1-ISNUMBER(SEARCH("556",P549)))*(I549*VLOOKUP($B549,Premissas!$A$4:$E$7,2,0)+J549*VLOOKUP($B549,Premissas!$A$4:$E$7,3,0))+K549*VLOOKUP($B549,Premissas!$A$4:$E$7,4,0)+L549*VLOOKUP($B549,Premissas!$A$4:$E$7,5,0))</f>
        <v/>
      </c>
      <c r="N549" s="14">
        <f>H549-M549</f>
        <v/>
      </c>
      <c r="O549" t="inlineStr">
        <is>
          <t>Não</t>
        </is>
      </c>
      <c r="P549" t="inlineStr">
        <is>
          <t>1.350</t>
        </is>
      </c>
    </row>
    <row r="550">
      <c r="A550" t="inlineStr">
        <is>
          <t>Antes de 2026</t>
        </is>
      </c>
      <c r="B550" t="inlineStr">
        <is>
          <t>Frete de venda</t>
        </is>
      </c>
      <c r="C550" t="inlineStr">
        <is>
          <t>Frete de venda (para clientes)</t>
        </is>
      </c>
      <c r="D550" t="inlineStr">
        <is>
          <t>CT-e</t>
        </is>
      </c>
      <c r="E550" t="inlineStr">
        <is>
          <t>000003802</t>
        </is>
      </c>
      <c r="F550" t="inlineStr">
        <is>
          <t>R&amp;R TRANSPORTE E LOGISTICA</t>
        </is>
      </c>
      <c r="G550" s="27" t="n">
        <v>45723</v>
      </c>
      <c r="H550" s="14" t="n">
        <v>671.24</v>
      </c>
      <c r="I550" s="14" t="n">
        <v>0</v>
      </c>
      <c r="J550" s="14" t="n">
        <v>0</v>
      </c>
      <c r="K550" s="14" t="n">
        <v>0</v>
      </c>
      <c r="L550" s="14" t="n">
        <v>0</v>
      </c>
      <c r="M550" s="14">
        <f>IF(B550="Frete de venda",0,(1-ISNUMBER(SEARCH("556",P550)))*(I550*VLOOKUP($B550,Premissas!$A$4:$E$7,2,0)+J550*VLOOKUP($B550,Premissas!$A$4:$E$7,3,0))+K550*VLOOKUP($B550,Premissas!$A$4:$E$7,4,0)+L550*VLOOKUP($B550,Premissas!$A$4:$E$7,5,0))</f>
        <v/>
      </c>
      <c r="N550" s="14">
        <f>H550-M550</f>
        <v/>
      </c>
      <c r="O550" t="inlineStr">
        <is>
          <t>Não</t>
        </is>
      </c>
      <c r="P550" t="inlineStr">
        <is>
          <t>1.350</t>
        </is>
      </c>
    </row>
    <row r="551">
      <c r="A551" t="inlineStr">
        <is>
          <t>Antes de 2026</t>
        </is>
      </c>
      <c r="B551" t="inlineStr">
        <is>
          <t>Frete de venda</t>
        </is>
      </c>
      <c r="C551" t="inlineStr">
        <is>
          <t>Frete de venda (para clientes)</t>
        </is>
      </c>
      <c r="D551" t="inlineStr">
        <is>
          <t>CT-e</t>
        </is>
      </c>
      <c r="E551" t="inlineStr">
        <is>
          <t>000003805</t>
        </is>
      </c>
      <c r="F551" t="inlineStr">
        <is>
          <t>R&amp;R TRANSPORTE E LOGISTICA</t>
        </is>
      </c>
      <c r="G551" s="27" t="n">
        <v>45724</v>
      </c>
      <c r="H551" s="14" t="n">
        <v>100</v>
      </c>
      <c r="I551" s="14" t="n">
        <v>0</v>
      </c>
      <c r="J551" s="14" t="n">
        <v>0</v>
      </c>
      <c r="K551" s="14" t="n">
        <v>0</v>
      </c>
      <c r="L551" s="14" t="n">
        <v>0</v>
      </c>
      <c r="M551" s="14">
        <f>IF(B551="Frete de venda",0,(1-ISNUMBER(SEARCH("556",P551)))*(I551*VLOOKUP($B551,Premissas!$A$4:$E$7,2,0)+J551*VLOOKUP($B551,Premissas!$A$4:$E$7,3,0))+K551*VLOOKUP($B551,Premissas!$A$4:$E$7,4,0)+L551*VLOOKUP($B551,Premissas!$A$4:$E$7,5,0))</f>
        <v/>
      </c>
      <c r="N551" s="14">
        <f>H551-M551</f>
        <v/>
      </c>
      <c r="O551" t="inlineStr">
        <is>
          <t>Não</t>
        </is>
      </c>
      <c r="P551" t="inlineStr">
        <is>
          <t>1.350</t>
        </is>
      </c>
    </row>
    <row r="552">
      <c r="A552" t="inlineStr">
        <is>
          <t>Antes de 2026</t>
        </is>
      </c>
      <c r="B552" t="inlineStr">
        <is>
          <t>Frete de venda</t>
        </is>
      </c>
      <c r="C552" t="inlineStr">
        <is>
          <t>Frete de venda (para clientes)</t>
        </is>
      </c>
      <c r="D552" t="inlineStr">
        <is>
          <t>CT-e</t>
        </is>
      </c>
      <c r="E552" t="inlineStr">
        <is>
          <t>000003645</t>
        </is>
      </c>
      <c r="F552" t="inlineStr">
        <is>
          <t>R&amp;R TRANSPORTE E LOGISTICA</t>
        </is>
      </c>
      <c r="G552" s="27" t="n">
        <v>45695</v>
      </c>
      <c r="H552" s="14" t="n">
        <v>66</v>
      </c>
      <c r="I552" s="14" t="n">
        <v>0</v>
      </c>
      <c r="J552" s="14" t="n">
        <v>0</v>
      </c>
      <c r="K552" s="14" t="n">
        <v>0</v>
      </c>
      <c r="L552" s="14" t="n">
        <v>0</v>
      </c>
      <c r="M552" s="14">
        <f>IF(B552="Frete de venda",0,(1-ISNUMBER(SEARCH("556",P552)))*(I552*VLOOKUP($B552,Premissas!$A$4:$E$7,2,0)+J552*VLOOKUP($B552,Premissas!$A$4:$E$7,3,0))+K552*VLOOKUP($B552,Premissas!$A$4:$E$7,4,0)+L552*VLOOKUP($B552,Premissas!$A$4:$E$7,5,0))</f>
        <v/>
      </c>
      <c r="N552" s="14">
        <f>H552-M552</f>
        <v/>
      </c>
      <c r="O552" t="inlineStr">
        <is>
          <t>Não</t>
        </is>
      </c>
      <c r="P552" t="inlineStr">
        <is>
          <t>1.350</t>
        </is>
      </c>
    </row>
    <row r="553">
      <c r="A553" t="inlineStr">
        <is>
          <t>Antes de 2026</t>
        </is>
      </c>
      <c r="B553" t="inlineStr">
        <is>
          <t>Frete de venda</t>
        </is>
      </c>
      <c r="C553" t="inlineStr">
        <is>
          <t>Frete de venda (para clientes)</t>
        </is>
      </c>
      <c r="D553" t="inlineStr">
        <is>
          <t>CT-e</t>
        </is>
      </c>
      <c r="E553" t="inlineStr">
        <is>
          <t>000003890</t>
        </is>
      </c>
      <c r="F553" t="inlineStr">
        <is>
          <t>R&amp;R TRANSPORTE E LOGISTICA</t>
        </is>
      </c>
      <c r="G553" s="27" t="n">
        <v>45738</v>
      </c>
      <c r="H553" s="14" t="n">
        <v>52</v>
      </c>
      <c r="I553" s="14" t="n">
        <v>0</v>
      </c>
      <c r="J553" s="14" t="n">
        <v>0</v>
      </c>
      <c r="K553" s="14" t="n">
        <v>0</v>
      </c>
      <c r="L553" s="14" t="n">
        <v>0</v>
      </c>
      <c r="M553" s="14">
        <f>IF(B553="Frete de venda",0,(1-ISNUMBER(SEARCH("556",P553)))*(I553*VLOOKUP($B553,Premissas!$A$4:$E$7,2,0)+J553*VLOOKUP($B553,Premissas!$A$4:$E$7,3,0))+K553*VLOOKUP($B553,Premissas!$A$4:$E$7,4,0)+L553*VLOOKUP($B553,Premissas!$A$4:$E$7,5,0))</f>
        <v/>
      </c>
      <c r="N553" s="14">
        <f>H553-M553</f>
        <v/>
      </c>
      <c r="O553" t="inlineStr">
        <is>
          <t>Não</t>
        </is>
      </c>
      <c r="P553" t="inlineStr">
        <is>
          <t>1.350</t>
        </is>
      </c>
    </row>
    <row r="554">
      <c r="A554" t="inlineStr">
        <is>
          <t>Antes de 2026</t>
        </is>
      </c>
      <c r="B554" t="inlineStr">
        <is>
          <t>Frete de venda</t>
        </is>
      </c>
      <c r="C554" t="inlineStr">
        <is>
          <t>Frete de venda (para clientes)</t>
        </is>
      </c>
      <c r="D554" t="inlineStr">
        <is>
          <t>CT-e</t>
        </is>
      </c>
      <c r="E554" t="inlineStr">
        <is>
          <t>000003713</t>
        </is>
      </c>
      <c r="F554" t="inlineStr">
        <is>
          <t>R&amp;R TRANSPORTE E LOGISTICA</t>
        </is>
      </c>
      <c r="G554" s="27" t="n">
        <v>45707</v>
      </c>
      <c r="H554" s="14" t="n">
        <v>47.23</v>
      </c>
      <c r="I554" s="14" t="n">
        <v>0</v>
      </c>
      <c r="J554" s="14" t="n">
        <v>0</v>
      </c>
      <c r="K554" s="14" t="n">
        <v>0</v>
      </c>
      <c r="L554" s="14" t="n">
        <v>0</v>
      </c>
      <c r="M554" s="14">
        <f>IF(B554="Frete de venda",0,(1-ISNUMBER(SEARCH("556",P554)))*(I554*VLOOKUP($B554,Premissas!$A$4:$E$7,2,0)+J554*VLOOKUP($B554,Premissas!$A$4:$E$7,3,0))+K554*VLOOKUP($B554,Premissas!$A$4:$E$7,4,0)+L554*VLOOKUP($B554,Premissas!$A$4:$E$7,5,0))</f>
        <v/>
      </c>
      <c r="N554" s="14">
        <f>H554-M554</f>
        <v/>
      </c>
      <c r="O554" t="inlineStr">
        <is>
          <t>Não</t>
        </is>
      </c>
      <c r="P554" t="inlineStr">
        <is>
          <t>1.350</t>
        </is>
      </c>
    </row>
    <row r="555">
      <c r="A555" t="inlineStr">
        <is>
          <t>Antes de 2026</t>
        </is>
      </c>
      <c r="B555" t="inlineStr">
        <is>
          <t>Frete de venda</t>
        </is>
      </c>
      <c r="C555" t="inlineStr">
        <is>
          <t>Frete de venda (para clientes)</t>
        </is>
      </c>
      <c r="D555" t="inlineStr">
        <is>
          <t>CT-e</t>
        </is>
      </c>
      <c r="E555" t="inlineStr">
        <is>
          <t>000003882</t>
        </is>
      </c>
      <c r="F555" t="inlineStr">
        <is>
          <t>R&amp;R TRANSPORTE E LOGISTICA</t>
        </is>
      </c>
      <c r="G555" s="27" t="n">
        <v>45736</v>
      </c>
      <c r="H555" s="14" t="n">
        <v>64.52</v>
      </c>
      <c r="I555" s="14" t="n">
        <v>0</v>
      </c>
      <c r="J555" s="14" t="n">
        <v>0</v>
      </c>
      <c r="K555" s="14" t="n">
        <v>0</v>
      </c>
      <c r="L555" s="14" t="n">
        <v>0</v>
      </c>
      <c r="M555" s="14">
        <f>IF(B555="Frete de venda",0,(1-ISNUMBER(SEARCH("556",P555)))*(I555*VLOOKUP($B555,Premissas!$A$4:$E$7,2,0)+J555*VLOOKUP($B555,Premissas!$A$4:$E$7,3,0))+K555*VLOOKUP($B555,Premissas!$A$4:$E$7,4,0)+L555*VLOOKUP($B555,Premissas!$A$4:$E$7,5,0))</f>
        <v/>
      </c>
      <c r="N555" s="14">
        <f>H555-M555</f>
        <v/>
      </c>
      <c r="O555" t="inlineStr">
        <is>
          <t>Não</t>
        </is>
      </c>
      <c r="P555" t="inlineStr">
        <is>
          <t>1.350</t>
        </is>
      </c>
    </row>
    <row r="556">
      <c r="A556" t="inlineStr">
        <is>
          <t>Antes de 2026</t>
        </is>
      </c>
      <c r="B556" t="inlineStr">
        <is>
          <t>Frete de venda</t>
        </is>
      </c>
      <c r="C556" t="inlineStr">
        <is>
          <t>Frete de venda (para clientes)</t>
        </is>
      </c>
      <c r="D556" t="inlineStr">
        <is>
          <t>CT-e</t>
        </is>
      </c>
      <c r="E556" t="inlineStr">
        <is>
          <t>000003702</t>
        </is>
      </c>
      <c r="F556" t="inlineStr">
        <is>
          <t>R&amp;R TRANSPORTE E LOGISTICA</t>
        </is>
      </c>
      <c r="G556" s="27" t="n">
        <v>45707</v>
      </c>
      <c r="H556" s="14" t="n">
        <v>55</v>
      </c>
      <c r="I556" s="14" t="n">
        <v>0</v>
      </c>
      <c r="J556" s="14" t="n">
        <v>0</v>
      </c>
      <c r="K556" s="14" t="n">
        <v>0</v>
      </c>
      <c r="L556" s="14" t="n">
        <v>0</v>
      </c>
      <c r="M556" s="14">
        <f>IF(B556="Frete de venda",0,(1-ISNUMBER(SEARCH("556",P556)))*(I556*VLOOKUP($B556,Premissas!$A$4:$E$7,2,0)+J556*VLOOKUP($B556,Premissas!$A$4:$E$7,3,0))+K556*VLOOKUP($B556,Premissas!$A$4:$E$7,4,0)+L556*VLOOKUP($B556,Premissas!$A$4:$E$7,5,0))</f>
        <v/>
      </c>
      <c r="N556" s="14">
        <f>H556-M556</f>
        <v/>
      </c>
      <c r="O556" t="inlineStr">
        <is>
          <t>Não</t>
        </is>
      </c>
      <c r="P556" t="inlineStr">
        <is>
          <t>1.350</t>
        </is>
      </c>
    </row>
    <row r="557">
      <c r="A557" t="inlineStr">
        <is>
          <t>Antes de 2026</t>
        </is>
      </c>
      <c r="B557" t="inlineStr">
        <is>
          <t>Frete de venda</t>
        </is>
      </c>
      <c r="C557" t="inlineStr">
        <is>
          <t>Frete de venda (para clientes)</t>
        </is>
      </c>
      <c r="D557" t="inlineStr">
        <is>
          <t>CT-e</t>
        </is>
      </c>
      <c r="E557" t="inlineStr">
        <is>
          <t>000003670</t>
        </is>
      </c>
      <c r="F557" t="inlineStr">
        <is>
          <t>R&amp;R TRANSPORTE E LOGISTICA</t>
        </is>
      </c>
      <c r="G557" s="27" t="n">
        <v>45701</v>
      </c>
      <c r="H557" s="14" t="n">
        <v>500</v>
      </c>
      <c r="I557" s="14" t="n">
        <v>0</v>
      </c>
      <c r="J557" s="14" t="n">
        <v>0</v>
      </c>
      <c r="K557" s="14" t="n">
        <v>0</v>
      </c>
      <c r="L557" s="14" t="n">
        <v>0</v>
      </c>
      <c r="M557" s="14">
        <f>IF(B557="Frete de venda",0,(1-ISNUMBER(SEARCH("556",P557)))*(I557*VLOOKUP($B557,Premissas!$A$4:$E$7,2,0)+J557*VLOOKUP($B557,Premissas!$A$4:$E$7,3,0))+K557*VLOOKUP($B557,Premissas!$A$4:$E$7,4,0)+L557*VLOOKUP($B557,Premissas!$A$4:$E$7,5,0))</f>
        <v/>
      </c>
      <c r="N557" s="14">
        <f>H557-M557</f>
        <v/>
      </c>
      <c r="O557" t="inlineStr">
        <is>
          <t>Não</t>
        </is>
      </c>
      <c r="P557" t="inlineStr">
        <is>
          <t>1.350</t>
        </is>
      </c>
    </row>
    <row r="558">
      <c r="A558" t="inlineStr">
        <is>
          <t>Antes de 2026</t>
        </is>
      </c>
      <c r="B558" t="inlineStr">
        <is>
          <t>Frete de venda</t>
        </is>
      </c>
      <c r="C558" t="inlineStr">
        <is>
          <t>Frete de venda (para clientes)</t>
        </is>
      </c>
      <c r="D558" t="inlineStr">
        <is>
          <t>CT-e</t>
        </is>
      </c>
      <c r="E558" t="inlineStr">
        <is>
          <t>000003592</t>
        </is>
      </c>
      <c r="F558" t="inlineStr">
        <is>
          <t>R&amp;R TRANSPORTE E LOGISTICA</t>
        </is>
      </c>
      <c r="G558" s="27" t="n">
        <v>45685</v>
      </c>
      <c r="H558" s="14" t="n">
        <v>70.72</v>
      </c>
      <c r="I558" s="14" t="n">
        <v>0</v>
      </c>
      <c r="J558" s="14" t="n">
        <v>0</v>
      </c>
      <c r="K558" s="14" t="n">
        <v>0</v>
      </c>
      <c r="L558" s="14" t="n">
        <v>0</v>
      </c>
      <c r="M558" s="14">
        <f>IF(B558="Frete de venda",0,(1-ISNUMBER(SEARCH("556",P558)))*(I558*VLOOKUP($B558,Premissas!$A$4:$E$7,2,0)+J558*VLOOKUP($B558,Premissas!$A$4:$E$7,3,0))+K558*VLOOKUP($B558,Premissas!$A$4:$E$7,4,0)+L558*VLOOKUP($B558,Premissas!$A$4:$E$7,5,0))</f>
        <v/>
      </c>
      <c r="N558" s="14">
        <f>H558-M558</f>
        <v/>
      </c>
      <c r="O558" t="inlineStr">
        <is>
          <t>Não</t>
        </is>
      </c>
      <c r="P558" t="inlineStr">
        <is>
          <t>1.350</t>
        </is>
      </c>
    </row>
    <row r="559">
      <c r="A559" t="inlineStr">
        <is>
          <t>Antes de 2026</t>
        </is>
      </c>
      <c r="B559" t="inlineStr">
        <is>
          <t>Frete de venda</t>
        </is>
      </c>
      <c r="C559" t="inlineStr">
        <is>
          <t>Frete de venda (para clientes)</t>
        </is>
      </c>
      <c r="D559" t="inlineStr">
        <is>
          <t>CT-e</t>
        </is>
      </c>
      <c r="E559" t="inlineStr">
        <is>
          <t>000005742</t>
        </is>
      </c>
      <c r="F559" t="inlineStr">
        <is>
          <t>R&amp;R TRANSPORTE E LOGISTICA</t>
        </is>
      </c>
      <c r="G559" s="27" t="n">
        <v>45978</v>
      </c>
      <c r="H559" s="14" t="n">
        <v>786</v>
      </c>
      <c r="I559" s="14" t="n">
        <v>0</v>
      </c>
      <c r="J559" s="14" t="n">
        <v>0</v>
      </c>
      <c r="K559" s="14" t="n">
        <v>0</v>
      </c>
      <c r="L559" s="14" t="n">
        <v>0</v>
      </c>
      <c r="M559" s="14">
        <f>IF(B559="Frete de venda",0,(1-ISNUMBER(SEARCH("556",P559)))*(I559*VLOOKUP($B559,Premissas!$A$4:$E$7,2,0)+J559*VLOOKUP($B559,Premissas!$A$4:$E$7,3,0))+K559*VLOOKUP($B559,Premissas!$A$4:$E$7,4,0)+L559*VLOOKUP($B559,Premissas!$A$4:$E$7,5,0))</f>
        <v/>
      </c>
      <c r="N559" s="14">
        <f>H559-M559</f>
        <v/>
      </c>
      <c r="O559" t="inlineStr">
        <is>
          <t>Não</t>
        </is>
      </c>
      <c r="P559" t="inlineStr">
        <is>
          <t>1.350</t>
        </is>
      </c>
    </row>
    <row r="560">
      <c r="A560" t="inlineStr">
        <is>
          <t>Antes de 2026</t>
        </is>
      </c>
      <c r="B560" t="inlineStr">
        <is>
          <t>Frete de venda</t>
        </is>
      </c>
      <c r="C560" t="inlineStr">
        <is>
          <t>Frete de venda (para clientes)</t>
        </is>
      </c>
      <c r="D560" t="inlineStr">
        <is>
          <t>CT-e</t>
        </is>
      </c>
      <c r="E560" t="inlineStr">
        <is>
          <t>000005423</t>
        </is>
      </c>
      <c r="F560" t="inlineStr">
        <is>
          <t>R&amp;R TRANSPORTE E LOGISTICA</t>
        </is>
      </c>
      <c r="G560" s="27" t="n">
        <v>45939</v>
      </c>
      <c r="H560" s="14" t="n">
        <v>30.4</v>
      </c>
      <c r="I560" s="14" t="n">
        <v>0</v>
      </c>
      <c r="J560" s="14" t="n">
        <v>0</v>
      </c>
      <c r="K560" s="14" t="n">
        <v>0</v>
      </c>
      <c r="L560" s="14" t="n">
        <v>0</v>
      </c>
      <c r="M560" s="14">
        <f>IF(B560="Frete de venda",0,(1-ISNUMBER(SEARCH("556",P560)))*(I560*VLOOKUP($B560,Premissas!$A$4:$E$7,2,0)+J560*VLOOKUP($B560,Premissas!$A$4:$E$7,3,0))+K560*VLOOKUP($B560,Premissas!$A$4:$E$7,4,0)+L560*VLOOKUP($B560,Premissas!$A$4:$E$7,5,0))</f>
        <v/>
      </c>
      <c r="N560" s="14">
        <f>H560-M560</f>
        <v/>
      </c>
      <c r="O560" t="inlineStr">
        <is>
          <t>Não</t>
        </is>
      </c>
      <c r="P560" t="inlineStr">
        <is>
          <t>1.350</t>
        </is>
      </c>
    </row>
    <row r="561">
      <c r="A561" t="inlineStr">
        <is>
          <t>Antes de 2026</t>
        </is>
      </c>
      <c r="B561" t="inlineStr">
        <is>
          <t>Frete de venda</t>
        </is>
      </c>
      <c r="C561" t="inlineStr">
        <is>
          <t>Frete de venda (para clientes)</t>
        </is>
      </c>
      <c r="D561" t="inlineStr">
        <is>
          <t>CT-e</t>
        </is>
      </c>
      <c r="E561" t="inlineStr">
        <is>
          <t>000004117</t>
        </is>
      </c>
      <c r="F561" t="inlineStr">
        <is>
          <t>R&amp;R TRANSPORTE E LOGISTICA</t>
        </is>
      </c>
      <c r="G561" s="27" t="n">
        <v>45778</v>
      </c>
      <c r="H561" s="14" t="n">
        <v>215</v>
      </c>
      <c r="I561" s="14" t="n">
        <v>0</v>
      </c>
      <c r="J561" s="14" t="n">
        <v>0</v>
      </c>
      <c r="K561" s="14" t="n">
        <v>0</v>
      </c>
      <c r="L561" s="14" t="n">
        <v>0</v>
      </c>
      <c r="M561" s="14">
        <f>IF(B561="Frete de venda",0,(1-ISNUMBER(SEARCH("556",P561)))*(I561*VLOOKUP($B561,Premissas!$A$4:$E$7,2,0)+J561*VLOOKUP($B561,Premissas!$A$4:$E$7,3,0))+K561*VLOOKUP($B561,Premissas!$A$4:$E$7,4,0)+L561*VLOOKUP($B561,Premissas!$A$4:$E$7,5,0))</f>
        <v/>
      </c>
      <c r="N561" s="14">
        <f>H561-M561</f>
        <v/>
      </c>
      <c r="O561" t="inlineStr">
        <is>
          <t>Não</t>
        </is>
      </c>
      <c r="P561" t="inlineStr">
        <is>
          <t>1.350</t>
        </is>
      </c>
    </row>
    <row r="562">
      <c r="A562" t="inlineStr">
        <is>
          <t>Antes de 2026</t>
        </is>
      </c>
      <c r="B562" t="inlineStr">
        <is>
          <t>Frete de venda</t>
        </is>
      </c>
      <c r="C562" t="inlineStr">
        <is>
          <t>Frete de venda (para clientes)</t>
        </is>
      </c>
      <c r="D562" t="inlineStr">
        <is>
          <t>CT-e</t>
        </is>
      </c>
      <c r="E562" t="inlineStr">
        <is>
          <t>000004634</t>
        </is>
      </c>
      <c r="F562" t="inlineStr">
        <is>
          <t>R&amp;R TRANSPORTE E LOGISTICA</t>
        </is>
      </c>
      <c r="G562" s="27" t="n">
        <v>45850</v>
      </c>
      <c r="H562" s="14" t="n">
        <v>21.17</v>
      </c>
      <c r="I562" s="14" t="n">
        <v>0</v>
      </c>
      <c r="J562" s="14" t="n">
        <v>0</v>
      </c>
      <c r="K562" s="14" t="n">
        <v>0</v>
      </c>
      <c r="L562" s="14" t="n">
        <v>0</v>
      </c>
      <c r="M562" s="14">
        <f>IF(B562="Frete de venda",0,(1-ISNUMBER(SEARCH("556",P562)))*(I562*VLOOKUP($B562,Premissas!$A$4:$E$7,2,0)+J562*VLOOKUP($B562,Premissas!$A$4:$E$7,3,0))+K562*VLOOKUP($B562,Premissas!$A$4:$E$7,4,0)+L562*VLOOKUP($B562,Premissas!$A$4:$E$7,5,0))</f>
        <v/>
      </c>
      <c r="N562" s="14">
        <f>H562-M562</f>
        <v/>
      </c>
      <c r="O562" t="inlineStr">
        <is>
          <t>Não</t>
        </is>
      </c>
      <c r="P562" t="inlineStr">
        <is>
          <t>1.350</t>
        </is>
      </c>
    </row>
    <row r="563">
      <c r="A563" t="inlineStr">
        <is>
          <t>Antes de 2026</t>
        </is>
      </c>
      <c r="B563" t="inlineStr">
        <is>
          <t>Frete de venda</t>
        </is>
      </c>
      <c r="C563" t="inlineStr">
        <is>
          <t>Frete de venda (para clientes)</t>
        </is>
      </c>
      <c r="D563" t="inlineStr">
        <is>
          <t>CT-e</t>
        </is>
      </c>
      <c r="E563" t="inlineStr">
        <is>
          <t>000005333</t>
        </is>
      </c>
      <c r="F563" t="inlineStr">
        <is>
          <t>R&amp;R TRANSPORTE E LOGISTICA</t>
        </is>
      </c>
      <c r="G563" s="27" t="n">
        <v>45929</v>
      </c>
      <c r="H563" s="14" t="n">
        <v>26.56</v>
      </c>
      <c r="I563" s="14" t="n">
        <v>0</v>
      </c>
      <c r="J563" s="14" t="n">
        <v>0</v>
      </c>
      <c r="K563" s="14" t="n">
        <v>0</v>
      </c>
      <c r="L563" s="14" t="n">
        <v>0</v>
      </c>
      <c r="M563" s="14">
        <f>IF(B563="Frete de venda",0,(1-ISNUMBER(SEARCH("556",P563)))*(I563*VLOOKUP($B563,Premissas!$A$4:$E$7,2,0)+J563*VLOOKUP($B563,Premissas!$A$4:$E$7,3,0))+K563*VLOOKUP($B563,Premissas!$A$4:$E$7,4,0)+L563*VLOOKUP($B563,Premissas!$A$4:$E$7,5,0))</f>
        <v/>
      </c>
      <c r="N563" s="14">
        <f>H563-M563</f>
        <v/>
      </c>
      <c r="O563" t="inlineStr">
        <is>
          <t>Não</t>
        </is>
      </c>
      <c r="P563" t="inlineStr">
        <is>
          <t>1.350</t>
        </is>
      </c>
    </row>
    <row r="564">
      <c r="A564" t="inlineStr">
        <is>
          <t>Antes de 2026</t>
        </is>
      </c>
      <c r="B564" t="inlineStr">
        <is>
          <t>Frete de venda</t>
        </is>
      </c>
      <c r="C564" t="inlineStr">
        <is>
          <t>Frete de venda (para clientes)</t>
        </is>
      </c>
      <c r="D564" t="inlineStr">
        <is>
          <t>CT-e</t>
        </is>
      </c>
      <c r="E564" t="inlineStr">
        <is>
          <t>000004719</t>
        </is>
      </c>
      <c r="F564" t="inlineStr">
        <is>
          <t>R&amp;R TRANSPORTE E LOGISTICA</t>
        </is>
      </c>
      <c r="G564" s="27" t="n">
        <v>45861</v>
      </c>
      <c r="H564" s="14" t="n">
        <v>55.67</v>
      </c>
      <c r="I564" s="14" t="n">
        <v>0</v>
      </c>
      <c r="J564" s="14" t="n">
        <v>0</v>
      </c>
      <c r="K564" s="14" t="n">
        <v>0</v>
      </c>
      <c r="L564" s="14" t="n">
        <v>0</v>
      </c>
      <c r="M564" s="14">
        <f>IF(B564="Frete de venda",0,(1-ISNUMBER(SEARCH("556",P564)))*(I564*VLOOKUP($B564,Premissas!$A$4:$E$7,2,0)+J564*VLOOKUP($B564,Premissas!$A$4:$E$7,3,0))+K564*VLOOKUP($B564,Premissas!$A$4:$E$7,4,0)+L564*VLOOKUP($B564,Premissas!$A$4:$E$7,5,0))</f>
        <v/>
      </c>
      <c r="N564" s="14">
        <f>H564-M564</f>
        <v/>
      </c>
      <c r="O564" t="inlineStr">
        <is>
          <t>Não</t>
        </is>
      </c>
      <c r="P564" t="inlineStr">
        <is>
          <t>1.350</t>
        </is>
      </c>
    </row>
    <row r="565">
      <c r="A565" t="inlineStr">
        <is>
          <t>Antes de 2026</t>
        </is>
      </c>
      <c r="B565" t="inlineStr">
        <is>
          <t>Frete de venda</t>
        </is>
      </c>
      <c r="C565" t="inlineStr">
        <is>
          <t>Frete de venda (para clientes)</t>
        </is>
      </c>
      <c r="D565" t="inlineStr">
        <is>
          <t>CT-e</t>
        </is>
      </c>
      <c r="E565" t="inlineStr">
        <is>
          <t>000005159</t>
        </is>
      </c>
      <c r="F565" t="inlineStr">
        <is>
          <t>R&amp;R TRANSPORTE E LOGISTICA</t>
        </is>
      </c>
      <c r="G565" s="27" t="n">
        <v>45911</v>
      </c>
      <c r="H565" s="14" t="n">
        <v>23.48</v>
      </c>
      <c r="I565" s="14" t="n">
        <v>0</v>
      </c>
      <c r="J565" s="14" t="n">
        <v>0</v>
      </c>
      <c r="K565" s="14" t="n">
        <v>0</v>
      </c>
      <c r="L565" s="14" t="n">
        <v>0</v>
      </c>
      <c r="M565" s="14">
        <f>IF(B565="Frete de venda",0,(1-ISNUMBER(SEARCH("556",P565)))*(I565*VLOOKUP($B565,Premissas!$A$4:$E$7,2,0)+J565*VLOOKUP($B565,Premissas!$A$4:$E$7,3,0))+K565*VLOOKUP($B565,Premissas!$A$4:$E$7,4,0)+L565*VLOOKUP($B565,Premissas!$A$4:$E$7,5,0))</f>
        <v/>
      </c>
      <c r="N565" s="14">
        <f>H565-M565</f>
        <v/>
      </c>
      <c r="O565" t="inlineStr">
        <is>
          <t>Não</t>
        </is>
      </c>
      <c r="P565" t="inlineStr">
        <is>
          <t>1.350</t>
        </is>
      </c>
    </row>
    <row r="566">
      <c r="A566" t="inlineStr">
        <is>
          <t>Antes de 2026</t>
        </is>
      </c>
      <c r="B566" t="inlineStr">
        <is>
          <t>Frete de venda</t>
        </is>
      </c>
      <c r="C566" t="inlineStr">
        <is>
          <t>Frete de venda (para clientes)</t>
        </is>
      </c>
      <c r="D566" t="inlineStr">
        <is>
          <t>CT-e</t>
        </is>
      </c>
      <c r="E566" t="inlineStr">
        <is>
          <t>000004868</t>
        </is>
      </c>
      <c r="F566" t="inlineStr">
        <is>
          <t>R&amp;R TRANSPORTE E LOGISTICA</t>
        </is>
      </c>
      <c r="G566" s="27" t="n">
        <v>45877</v>
      </c>
      <c r="H566" s="14" t="n">
        <v>22.93</v>
      </c>
      <c r="I566" s="14" t="n">
        <v>0</v>
      </c>
      <c r="J566" s="14" t="n">
        <v>0</v>
      </c>
      <c r="K566" s="14" t="n">
        <v>0</v>
      </c>
      <c r="L566" s="14" t="n">
        <v>0</v>
      </c>
      <c r="M566" s="14">
        <f>IF(B566="Frete de venda",0,(1-ISNUMBER(SEARCH("556",P566)))*(I566*VLOOKUP($B566,Premissas!$A$4:$E$7,2,0)+J566*VLOOKUP($B566,Premissas!$A$4:$E$7,3,0))+K566*VLOOKUP($B566,Premissas!$A$4:$E$7,4,0)+L566*VLOOKUP($B566,Premissas!$A$4:$E$7,5,0))</f>
        <v/>
      </c>
      <c r="N566" s="14">
        <f>H566-M566</f>
        <v/>
      </c>
      <c r="O566" t="inlineStr">
        <is>
          <t>Não</t>
        </is>
      </c>
      <c r="P566" t="inlineStr">
        <is>
          <t>1.350</t>
        </is>
      </c>
    </row>
    <row r="567">
      <c r="A567" t="inlineStr">
        <is>
          <t>Antes de 2026</t>
        </is>
      </c>
      <c r="B567" t="inlineStr">
        <is>
          <t>Frete de venda</t>
        </is>
      </c>
      <c r="C567" t="inlineStr">
        <is>
          <t>Frete de venda (para clientes)</t>
        </is>
      </c>
      <c r="D567" t="inlineStr">
        <is>
          <t>CT-e</t>
        </is>
      </c>
      <c r="E567" t="inlineStr">
        <is>
          <t>000005926</t>
        </is>
      </c>
      <c r="F567" t="inlineStr">
        <is>
          <t>R&amp;R TRANSPORTE E LOGISTICA</t>
        </is>
      </c>
      <c r="G567" s="27" t="n">
        <v>45996</v>
      </c>
      <c r="H567" s="14" t="n">
        <v>23.78</v>
      </c>
      <c r="I567" s="14" t="n">
        <v>0</v>
      </c>
      <c r="J567" s="14" t="n">
        <v>0</v>
      </c>
      <c r="K567" s="14" t="n">
        <v>0</v>
      </c>
      <c r="L567" s="14" t="n">
        <v>0</v>
      </c>
      <c r="M567" s="14">
        <f>IF(B567="Frete de venda",0,(1-ISNUMBER(SEARCH("556",P567)))*(I567*VLOOKUP($B567,Premissas!$A$4:$E$7,2,0)+J567*VLOOKUP($B567,Premissas!$A$4:$E$7,3,0))+K567*VLOOKUP($B567,Premissas!$A$4:$E$7,4,0)+L567*VLOOKUP($B567,Premissas!$A$4:$E$7,5,0))</f>
        <v/>
      </c>
      <c r="N567" s="14">
        <f>H567-M567</f>
        <v/>
      </c>
      <c r="O567" t="inlineStr">
        <is>
          <t>Não</t>
        </is>
      </c>
      <c r="P567" t="inlineStr">
        <is>
          <t>1.350</t>
        </is>
      </c>
    </row>
    <row r="568">
      <c r="A568" t="inlineStr">
        <is>
          <t>Antes de 2026</t>
        </is>
      </c>
      <c r="B568" t="inlineStr">
        <is>
          <t>Frete de venda</t>
        </is>
      </c>
      <c r="C568" t="inlineStr">
        <is>
          <t>Frete de venda (para clientes)</t>
        </is>
      </c>
      <c r="D568" t="inlineStr">
        <is>
          <t>CT-e</t>
        </is>
      </c>
      <c r="E568" t="inlineStr">
        <is>
          <t>000004666</t>
        </is>
      </c>
      <c r="F568" t="inlineStr">
        <is>
          <t>R&amp;R TRANSPORTE E LOGISTICA</t>
        </is>
      </c>
      <c r="G568" s="27" t="n">
        <v>45855</v>
      </c>
      <c r="H568" s="14" t="n">
        <v>18.41</v>
      </c>
      <c r="I568" s="14" t="n">
        <v>0</v>
      </c>
      <c r="J568" s="14" t="n">
        <v>0</v>
      </c>
      <c r="K568" s="14" t="n">
        <v>0</v>
      </c>
      <c r="L568" s="14" t="n">
        <v>0</v>
      </c>
      <c r="M568" s="14">
        <f>IF(B568="Frete de venda",0,(1-ISNUMBER(SEARCH("556",P568)))*(I568*VLOOKUP($B568,Premissas!$A$4:$E$7,2,0)+J568*VLOOKUP($B568,Premissas!$A$4:$E$7,3,0))+K568*VLOOKUP($B568,Premissas!$A$4:$E$7,4,0)+L568*VLOOKUP($B568,Premissas!$A$4:$E$7,5,0))</f>
        <v/>
      </c>
      <c r="N568" s="14">
        <f>H568-M568</f>
        <v/>
      </c>
      <c r="O568" t="inlineStr">
        <is>
          <t>Não</t>
        </is>
      </c>
      <c r="P568" t="inlineStr">
        <is>
          <t>1.350</t>
        </is>
      </c>
    </row>
    <row r="569">
      <c r="A569" t="inlineStr">
        <is>
          <t>Antes de 2026</t>
        </is>
      </c>
      <c r="B569" t="inlineStr">
        <is>
          <t>Frete de venda</t>
        </is>
      </c>
      <c r="C569" t="inlineStr">
        <is>
          <t>Frete de venda (para clientes)</t>
        </is>
      </c>
      <c r="D569" t="inlineStr">
        <is>
          <t>CT-e</t>
        </is>
      </c>
      <c r="E569" t="inlineStr">
        <is>
          <t>000005084</t>
        </is>
      </c>
      <c r="F569" t="inlineStr">
        <is>
          <t>R&amp;R TRANSPORTE E LOGISTICA</t>
        </is>
      </c>
      <c r="G569" s="27" t="n">
        <v>45898</v>
      </c>
      <c r="H569" s="14" t="n">
        <v>44.68</v>
      </c>
      <c r="I569" s="14" t="n">
        <v>0</v>
      </c>
      <c r="J569" s="14" t="n">
        <v>0</v>
      </c>
      <c r="K569" s="14" t="n">
        <v>0</v>
      </c>
      <c r="L569" s="14" t="n">
        <v>0</v>
      </c>
      <c r="M569" s="14">
        <f>IF(B569="Frete de venda",0,(1-ISNUMBER(SEARCH("556",P569)))*(I569*VLOOKUP($B569,Premissas!$A$4:$E$7,2,0)+J569*VLOOKUP($B569,Premissas!$A$4:$E$7,3,0))+K569*VLOOKUP($B569,Premissas!$A$4:$E$7,4,0)+L569*VLOOKUP($B569,Premissas!$A$4:$E$7,5,0))</f>
        <v/>
      </c>
      <c r="N569" s="14">
        <f>H569-M569</f>
        <v/>
      </c>
      <c r="O569" t="inlineStr">
        <is>
          <t>Não</t>
        </is>
      </c>
      <c r="P569" t="inlineStr">
        <is>
          <t>1.350</t>
        </is>
      </c>
    </row>
    <row r="570">
      <c r="A570" t="inlineStr">
        <is>
          <t>Antes de 2026</t>
        </is>
      </c>
      <c r="B570" t="inlineStr">
        <is>
          <t>Frete de venda</t>
        </is>
      </c>
      <c r="C570" t="inlineStr">
        <is>
          <t>Frete de venda (para clientes)</t>
        </is>
      </c>
      <c r="D570" t="inlineStr">
        <is>
          <t>CT-e</t>
        </is>
      </c>
      <c r="E570" t="inlineStr">
        <is>
          <t>000006007</t>
        </is>
      </c>
      <c r="F570" t="inlineStr">
        <is>
          <t>R&amp;R TRANSPORTE E LOGISTICA</t>
        </is>
      </c>
      <c r="G570" s="27" t="n">
        <v>46010</v>
      </c>
      <c r="H570" s="14" t="n">
        <v>24.52</v>
      </c>
      <c r="I570" s="14" t="n">
        <v>0</v>
      </c>
      <c r="J570" s="14" t="n">
        <v>0</v>
      </c>
      <c r="K570" s="14" t="n">
        <v>0</v>
      </c>
      <c r="L570" s="14" t="n">
        <v>0</v>
      </c>
      <c r="M570" s="14">
        <f>IF(B570="Frete de venda",0,(1-ISNUMBER(SEARCH("556",P570)))*(I570*VLOOKUP($B570,Premissas!$A$4:$E$7,2,0)+J570*VLOOKUP($B570,Premissas!$A$4:$E$7,3,0))+K570*VLOOKUP($B570,Premissas!$A$4:$E$7,4,0)+L570*VLOOKUP($B570,Premissas!$A$4:$E$7,5,0))</f>
        <v/>
      </c>
      <c r="N570" s="14">
        <f>H570-M570</f>
        <v/>
      </c>
      <c r="O570" t="inlineStr">
        <is>
          <t>Não</t>
        </is>
      </c>
      <c r="P570" t="inlineStr">
        <is>
          <t>1.350</t>
        </is>
      </c>
    </row>
    <row r="571">
      <c r="A571" t="inlineStr">
        <is>
          <t>Antes de 2026</t>
        </is>
      </c>
      <c r="B571" t="inlineStr">
        <is>
          <t>Frete de venda</t>
        </is>
      </c>
      <c r="C571" t="inlineStr">
        <is>
          <t>Frete de venda (para clientes)</t>
        </is>
      </c>
      <c r="D571" t="inlineStr">
        <is>
          <t>CT-e</t>
        </is>
      </c>
      <c r="E571" t="inlineStr">
        <is>
          <t>000004088</t>
        </is>
      </c>
      <c r="F571" t="inlineStr">
        <is>
          <t>R&amp;R TRANSPORTE E LOGISTICA</t>
        </is>
      </c>
      <c r="G571" s="27" t="n">
        <v>45775</v>
      </c>
      <c r="H571" s="14" t="n">
        <v>35.31</v>
      </c>
      <c r="I571" s="14" t="n">
        <v>0</v>
      </c>
      <c r="J571" s="14" t="n">
        <v>0</v>
      </c>
      <c r="K571" s="14" t="n">
        <v>0</v>
      </c>
      <c r="L571" s="14" t="n">
        <v>0</v>
      </c>
      <c r="M571" s="14">
        <f>IF(B571="Frete de venda",0,(1-ISNUMBER(SEARCH("556",P571)))*(I571*VLOOKUP($B571,Premissas!$A$4:$E$7,2,0)+J571*VLOOKUP($B571,Premissas!$A$4:$E$7,3,0))+K571*VLOOKUP($B571,Premissas!$A$4:$E$7,4,0)+L571*VLOOKUP($B571,Premissas!$A$4:$E$7,5,0))</f>
        <v/>
      </c>
      <c r="N571" s="14">
        <f>H571-M571</f>
        <v/>
      </c>
      <c r="O571" t="inlineStr">
        <is>
          <t>Não</t>
        </is>
      </c>
      <c r="P571" t="inlineStr">
        <is>
          <t>1.350</t>
        </is>
      </c>
    </row>
    <row r="572">
      <c r="A572" t="inlineStr">
        <is>
          <t>Antes de 2026</t>
        </is>
      </c>
      <c r="B572" t="inlineStr">
        <is>
          <t>Frete de venda</t>
        </is>
      </c>
      <c r="C572" t="inlineStr">
        <is>
          <t>Frete de venda (para clientes)</t>
        </is>
      </c>
      <c r="D572" t="inlineStr">
        <is>
          <t>CT-e</t>
        </is>
      </c>
      <c r="E572" t="inlineStr">
        <is>
          <t>000005079</t>
        </is>
      </c>
      <c r="F572" t="inlineStr">
        <is>
          <t>R&amp;R TRANSPORTE E LOGISTICA</t>
        </is>
      </c>
      <c r="G572" s="27" t="n">
        <v>45898</v>
      </c>
      <c r="H572" s="14" t="n">
        <v>27.88</v>
      </c>
      <c r="I572" s="14" t="n">
        <v>0</v>
      </c>
      <c r="J572" s="14" t="n">
        <v>0</v>
      </c>
      <c r="K572" s="14" t="n">
        <v>0</v>
      </c>
      <c r="L572" s="14" t="n">
        <v>0</v>
      </c>
      <c r="M572" s="14">
        <f>IF(B572="Frete de venda",0,(1-ISNUMBER(SEARCH("556",P572)))*(I572*VLOOKUP($B572,Premissas!$A$4:$E$7,2,0)+J572*VLOOKUP($B572,Premissas!$A$4:$E$7,3,0))+K572*VLOOKUP($B572,Premissas!$A$4:$E$7,4,0)+L572*VLOOKUP($B572,Premissas!$A$4:$E$7,5,0))</f>
        <v/>
      </c>
      <c r="N572" s="14">
        <f>H572-M572</f>
        <v/>
      </c>
      <c r="O572" t="inlineStr">
        <is>
          <t>Não</t>
        </is>
      </c>
      <c r="P572" t="inlineStr">
        <is>
          <t>1.350</t>
        </is>
      </c>
    </row>
    <row r="573">
      <c r="A573" t="inlineStr">
        <is>
          <t>Antes de 2026</t>
        </is>
      </c>
      <c r="B573" t="inlineStr">
        <is>
          <t>Frete de venda</t>
        </is>
      </c>
      <c r="C573" t="inlineStr">
        <is>
          <t>Frete de venda (para clientes)</t>
        </is>
      </c>
      <c r="D573" t="inlineStr">
        <is>
          <t>CT-e</t>
        </is>
      </c>
      <c r="E573" t="inlineStr">
        <is>
          <t>000004272</t>
        </is>
      </c>
      <c r="F573" t="inlineStr">
        <is>
          <t>R&amp;R TRANSPORTE E LOGISTICA</t>
        </is>
      </c>
      <c r="G573" s="27" t="n">
        <v>45800</v>
      </c>
      <c r="H573" s="14" t="n">
        <v>46.92</v>
      </c>
      <c r="I573" s="14" t="n">
        <v>0</v>
      </c>
      <c r="J573" s="14" t="n">
        <v>0</v>
      </c>
      <c r="K573" s="14" t="n">
        <v>0</v>
      </c>
      <c r="L573" s="14" t="n">
        <v>0</v>
      </c>
      <c r="M573" s="14">
        <f>IF(B573="Frete de venda",0,(1-ISNUMBER(SEARCH("556",P573)))*(I573*VLOOKUP($B573,Premissas!$A$4:$E$7,2,0)+J573*VLOOKUP($B573,Premissas!$A$4:$E$7,3,0))+K573*VLOOKUP($B573,Premissas!$A$4:$E$7,4,0)+L573*VLOOKUP($B573,Premissas!$A$4:$E$7,5,0))</f>
        <v/>
      </c>
      <c r="N573" s="14">
        <f>H573-M573</f>
        <v/>
      </c>
      <c r="O573" t="inlineStr">
        <is>
          <t>Não</t>
        </is>
      </c>
      <c r="P573" t="inlineStr">
        <is>
          <t>1.350</t>
        </is>
      </c>
    </row>
    <row r="574">
      <c r="A574" t="inlineStr">
        <is>
          <t>Antes de 2026</t>
        </is>
      </c>
      <c r="B574" t="inlineStr">
        <is>
          <t>Frete de venda</t>
        </is>
      </c>
      <c r="C574" t="inlineStr">
        <is>
          <t>Frete de venda (para clientes)</t>
        </is>
      </c>
      <c r="D574" t="inlineStr">
        <is>
          <t>CT-e</t>
        </is>
      </c>
      <c r="E574" t="inlineStr">
        <is>
          <t>000020446</t>
        </is>
      </c>
      <c r="F574" t="inlineStr">
        <is>
          <t>TRANSPORTE OLIVEIRA E MELLOI - IDEALIZA TRANSPORTES</t>
        </is>
      </c>
      <c r="G574" s="27" t="n">
        <v>45600</v>
      </c>
      <c r="H574" s="14" t="n">
        <v>595</v>
      </c>
      <c r="I574" s="14" t="n">
        <v>0</v>
      </c>
      <c r="J574" s="14" t="n">
        <v>0</v>
      </c>
      <c r="K574" s="14" t="n">
        <v>0</v>
      </c>
      <c r="L574" s="14" t="n">
        <v>0</v>
      </c>
      <c r="M574" s="14">
        <f>IF(B574="Frete de venda",0,(1-ISNUMBER(SEARCH("556",P574)))*(I574*VLOOKUP($B574,Premissas!$A$4:$E$7,2,0)+J574*VLOOKUP($B574,Premissas!$A$4:$E$7,3,0))+K574*VLOOKUP($B574,Premissas!$A$4:$E$7,4,0)+L574*VLOOKUP($B574,Premissas!$A$4:$E$7,5,0))</f>
        <v/>
      </c>
      <c r="N574" s="14">
        <f>H574-M574</f>
        <v/>
      </c>
      <c r="O574" t="inlineStr">
        <is>
          <t>Não</t>
        </is>
      </c>
      <c r="P574" t="inlineStr">
        <is>
          <t>1.350</t>
        </is>
      </c>
    </row>
    <row r="575">
      <c r="A575" t="inlineStr">
        <is>
          <t>Antes de 2026</t>
        </is>
      </c>
      <c r="B575" t="inlineStr">
        <is>
          <t>Frete de venda</t>
        </is>
      </c>
      <c r="C575" t="inlineStr">
        <is>
          <t>Frete de venda (para clientes)</t>
        </is>
      </c>
      <c r="D575" t="inlineStr">
        <is>
          <t>CT-e</t>
        </is>
      </c>
      <c r="E575" t="inlineStr">
        <is>
          <t>000020888</t>
        </is>
      </c>
      <c r="F575" t="inlineStr">
        <is>
          <t>TRANSPORTE OLIVEIRA E MELLOI - IDEALIZA TRANSPORTES</t>
        </is>
      </c>
      <c r="G575" s="27" t="n">
        <v>45685</v>
      </c>
      <c r="H575" s="14" t="n">
        <v>189.35</v>
      </c>
      <c r="I575" s="14" t="n">
        <v>0</v>
      </c>
      <c r="J575" s="14" t="n">
        <v>0</v>
      </c>
      <c r="K575" s="14" t="n">
        <v>0</v>
      </c>
      <c r="L575" s="14" t="n">
        <v>0</v>
      </c>
      <c r="M575" s="14">
        <f>IF(B575="Frete de venda",0,(1-ISNUMBER(SEARCH("556",P575)))*(I575*VLOOKUP($B575,Premissas!$A$4:$E$7,2,0)+J575*VLOOKUP($B575,Premissas!$A$4:$E$7,3,0))+K575*VLOOKUP($B575,Premissas!$A$4:$E$7,4,0)+L575*VLOOKUP($B575,Premissas!$A$4:$E$7,5,0))</f>
        <v/>
      </c>
      <c r="N575" s="14">
        <f>H575-M575</f>
        <v/>
      </c>
      <c r="O575" t="inlineStr">
        <is>
          <t>Não</t>
        </is>
      </c>
      <c r="P575" t="inlineStr">
        <is>
          <t>1.350</t>
        </is>
      </c>
    </row>
    <row r="576">
      <c r="A576" t="inlineStr">
        <is>
          <t>Antes de 2026</t>
        </is>
      </c>
      <c r="B576" t="inlineStr">
        <is>
          <t>Frete de venda</t>
        </is>
      </c>
      <c r="C576" t="inlineStr">
        <is>
          <t>Frete de venda (para clientes)</t>
        </is>
      </c>
      <c r="D576" t="inlineStr">
        <is>
          <t>CT-e</t>
        </is>
      </c>
      <c r="E576" t="inlineStr">
        <is>
          <t>000004093</t>
        </is>
      </c>
      <c r="F576" t="inlineStr">
        <is>
          <t>R&amp;R TRANSPORTE E LOGISTICA</t>
        </is>
      </c>
      <c r="G576" s="27" t="n">
        <v>45775</v>
      </c>
      <c r="H576" s="14" t="n">
        <v>50.91</v>
      </c>
      <c r="I576" s="14" t="n">
        <v>0</v>
      </c>
      <c r="J576" s="14" t="n">
        <v>0</v>
      </c>
      <c r="K576" s="14" t="n">
        <v>0</v>
      </c>
      <c r="L576" s="14" t="n">
        <v>0</v>
      </c>
      <c r="M576" s="14">
        <f>IF(B576="Frete de venda",0,(1-ISNUMBER(SEARCH("556",P576)))*(I576*VLOOKUP($B576,Premissas!$A$4:$E$7,2,0)+J576*VLOOKUP($B576,Premissas!$A$4:$E$7,3,0))+K576*VLOOKUP($B576,Premissas!$A$4:$E$7,4,0)+L576*VLOOKUP($B576,Premissas!$A$4:$E$7,5,0))</f>
        <v/>
      </c>
      <c r="N576" s="14">
        <f>H576-M576</f>
        <v/>
      </c>
      <c r="O576" t="inlineStr">
        <is>
          <t>Não</t>
        </is>
      </c>
      <c r="P576" t="inlineStr">
        <is>
          <t>1.350</t>
        </is>
      </c>
    </row>
    <row r="577">
      <c r="A577" t="inlineStr">
        <is>
          <t>Antes de 2026</t>
        </is>
      </c>
      <c r="B577" t="inlineStr">
        <is>
          <t>Frete de venda</t>
        </is>
      </c>
      <c r="C577" t="inlineStr">
        <is>
          <t>Frete de venda (para clientes)</t>
        </is>
      </c>
      <c r="D577" t="inlineStr">
        <is>
          <t>CT-e</t>
        </is>
      </c>
      <c r="E577" t="inlineStr">
        <is>
          <t>000005482</t>
        </is>
      </c>
      <c r="F577" t="inlineStr">
        <is>
          <t>R&amp;R TRANSPORTE E LOGISTICA</t>
        </is>
      </c>
      <c r="G577" s="27" t="n">
        <v>45945</v>
      </c>
      <c r="H577" s="14" t="n">
        <v>60.29</v>
      </c>
      <c r="I577" s="14" t="n">
        <v>0</v>
      </c>
      <c r="J577" s="14" t="n">
        <v>0</v>
      </c>
      <c r="K577" s="14" t="n">
        <v>0</v>
      </c>
      <c r="L577" s="14" t="n">
        <v>0</v>
      </c>
      <c r="M577" s="14">
        <f>IF(B577="Frete de venda",0,(1-ISNUMBER(SEARCH("556",P577)))*(I577*VLOOKUP($B577,Premissas!$A$4:$E$7,2,0)+J577*VLOOKUP($B577,Premissas!$A$4:$E$7,3,0))+K577*VLOOKUP($B577,Premissas!$A$4:$E$7,4,0)+L577*VLOOKUP($B577,Premissas!$A$4:$E$7,5,0))</f>
        <v/>
      </c>
      <c r="N577" s="14">
        <f>H577-M577</f>
        <v/>
      </c>
      <c r="O577" t="inlineStr">
        <is>
          <t>Não</t>
        </is>
      </c>
      <c r="P577" t="inlineStr">
        <is>
          <t>1.350</t>
        </is>
      </c>
    </row>
    <row r="578">
      <c r="A578" t="inlineStr">
        <is>
          <t>Antes de 2026</t>
        </is>
      </c>
      <c r="B578" t="inlineStr">
        <is>
          <t>Frete de venda</t>
        </is>
      </c>
      <c r="C578" t="inlineStr">
        <is>
          <t>Frete de venda (para clientes)</t>
        </is>
      </c>
      <c r="D578" t="inlineStr">
        <is>
          <t>CT-e</t>
        </is>
      </c>
      <c r="E578" t="inlineStr">
        <is>
          <t>000006013</t>
        </is>
      </c>
      <c r="F578" t="inlineStr">
        <is>
          <t>R&amp;R TRANSPORTE E LOGISTICA</t>
        </is>
      </c>
      <c r="G578" s="27" t="n">
        <v>46010</v>
      </c>
      <c r="H578" s="14" t="n">
        <v>17.29</v>
      </c>
      <c r="I578" s="14" t="n">
        <v>0</v>
      </c>
      <c r="J578" s="14" t="n">
        <v>0</v>
      </c>
      <c r="K578" s="14" t="n">
        <v>0</v>
      </c>
      <c r="L578" s="14" t="n">
        <v>0</v>
      </c>
      <c r="M578" s="14">
        <f>IF(B578="Frete de venda",0,(1-ISNUMBER(SEARCH("556",P578)))*(I578*VLOOKUP($B578,Premissas!$A$4:$E$7,2,0)+J578*VLOOKUP($B578,Premissas!$A$4:$E$7,3,0))+K578*VLOOKUP($B578,Premissas!$A$4:$E$7,4,0)+L578*VLOOKUP($B578,Premissas!$A$4:$E$7,5,0))</f>
        <v/>
      </c>
      <c r="N578" s="14">
        <f>H578-M578</f>
        <v/>
      </c>
      <c r="O578" t="inlineStr">
        <is>
          <t>Não</t>
        </is>
      </c>
      <c r="P578" t="inlineStr">
        <is>
          <t>1.350</t>
        </is>
      </c>
    </row>
    <row r="579">
      <c r="A579" t="inlineStr">
        <is>
          <t>Antes de 2026</t>
        </is>
      </c>
      <c r="B579" t="inlineStr">
        <is>
          <t>Frete de venda</t>
        </is>
      </c>
      <c r="C579" t="inlineStr">
        <is>
          <t>Frete de venda (para clientes)</t>
        </is>
      </c>
      <c r="D579" t="inlineStr">
        <is>
          <t>CT-e</t>
        </is>
      </c>
      <c r="E579" t="inlineStr">
        <is>
          <t>000005044</t>
        </is>
      </c>
      <c r="F579" t="inlineStr">
        <is>
          <t>R&amp;R TRANSPORTE E LOGISTICA</t>
        </is>
      </c>
      <c r="G579" s="27" t="n">
        <v>45896</v>
      </c>
      <c r="H579" s="14" t="n">
        <v>30.55</v>
      </c>
      <c r="I579" s="14" t="n">
        <v>0</v>
      </c>
      <c r="J579" s="14" t="n">
        <v>0</v>
      </c>
      <c r="K579" s="14" t="n">
        <v>0</v>
      </c>
      <c r="L579" s="14" t="n">
        <v>0</v>
      </c>
      <c r="M579" s="14">
        <f>IF(B579="Frete de venda",0,(1-ISNUMBER(SEARCH("556",P579)))*(I579*VLOOKUP($B579,Premissas!$A$4:$E$7,2,0)+J579*VLOOKUP($B579,Premissas!$A$4:$E$7,3,0))+K579*VLOOKUP($B579,Premissas!$A$4:$E$7,4,0)+L579*VLOOKUP($B579,Premissas!$A$4:$E$7,5,0))</f>
        <v/>
      </c>
      <c r="N579" s="14">
        <f>H579-M579</f>
        <v/>
      </c>
      <c r="O579" t="inlineStr">
        <is>
          <t>Não</t>
        </is>
      </c>
      <c r="P579" t="inlineStr">
        <is>
          <t>1.350</t>
        </is>
      </c>
    </row>
    <row r="580">
      <c r="A580" t="inlineStr">
        <is>
          <t>Antes de 2026</t>
        </is>
      </c>
      <c r="B580" t="inlineStr">
        <is>
          <t>Frete de venda</t>
        </is>
      </c>
      <c r="C580" t="inlineStr">
        <is>
          <t>Frete de venda (para clientes)</t>
        </is>
      </c>
      <c r="D580" t="inlineStr">
        <is>
          <t>CT-e</t>
        </is>
      </c>
      <c r="E580" t="inlineStr">
        <is>
          <t>000005762</t>
        </is>
      </c>
      <c r="F580" t="inlineStr">
        <is>
          <t>R&amp;R TRANSPORTE E LOGISTICA</t>
        </is>
      </c>
      <c r="G580" s="27" t="n">
        <v>45981</v>
      </c>
      <c r="H580" s="14" t="n">
        <v>14.17</v>
      </c>
      <c r="I580" s="14" t="n">
        <v>0</v>
      </c>
      <c r="J580" s="14" t="n">
        <v>0</v>
      </c>
      <c r="K580" s="14" t="n">
        <v>0</v>
      </c>
      <c r="L580" s="14" t="n">
        <v>0</v>
      </c>
      <c r="M580" s="14">
        <f>IF(B580="Frete de venda",0,(1-ISNUMBER(SEARCH("556",P580)))*(I580*VLOOKUP($B580,Premissas!$A$4:$E$7,2,0)+J580*VLOOKUP($B580,Premissas!$A$4:$E$7,3,0))+K580*VLOOKUP($B580,Premissas!$A$4:$E$7,4,0)+L580*VLOOKUP($B580,Premissas!$A$4:$E$7,5,0))</f>
        <v/>
      </c>
      <c r="N580" s="14">
        <f>H580-M580</f>
        <v/>
      </c>
      <c r="O580" t="inlineStr">
        <is>
          <t>Não</t>
        </is>
      </c>
      <c r="P580" t="inlineStr">
        <is>
          <t>1.350</t>
        </is>
      </c>
    </row>
    <row r="581">
      <c r="A581" t="inlineStr">
        <is>
          <t>Antes de 2026</t>
        </is>
      </c>
      <c r="B581" t="inlineStr">
        <is>
          <t>Frete de venda</t>
        </is>
      </c>
      <c r="C581" t="inlineStr">
        <is>
          <t>Frete de venda (para clientes)</t>
        </is>
      </c>
      <c r="D581" t="inlineStr">
        <is>
          <t>CT-e</t>
        </is>
      </c>
      <c r="E581" t="inlineStr">
        <is>
          <t>000006071</t>
        </is>
      </c>
      <c r="F581" t="inlineStr">
        <is>
          <t>R&amp;R TRANSPORTE E LOGISTICA</t>
        </is>
      </c>
      <c r="G581" s="27" t="n">
        <v>46021</v>
      </c>
      <c r="H581" s="14" t="n">
        <v>25.19</v>
      </c>
      <c r="I581" s="14" t="n">
        <v>0</v>
      </c>
      <c r="J581" s="14" t="n">
        <v>0</v>
      </c>
      <c r="K581" s="14" t="n">
        <v>0</v>
      </c>
      <c r="L581" s="14" t="n">
        <v>0</v>
      </c>
      <c r="M581" s="14">
        <f>IF(B581="Frete de venda",0,(1-ISNUMBER(SEARCH("556",P581)))*(I581*VLOOKUP($B581,Premissas!$A$4:$E$7,2,0)+J581*VLOOKUP($B581,Premissas!$A$4:$E$7,3,0))+K581*VLOOKUP($B581,Premissas!$A$4:$E$7,4,0)+L581*VLOOKUP($B581,Premissas!$A$4:$E$7,5,0))</f>
        <v/>
      </c>
      <c r="N581" s="14">
        <f>H581-M581</f>
        <v/>
      </c>
      <c r="O581" t="inlineStr">
        <is>
          <t>Não</t>
        </is>
      </c>
      <c r="P581" t="inlineStr">
        <is>
          <t>1.350</t>
        </is>
      </c>
    </row>
    <row r="582">
      <c r="A582" t="inlineStr">
        <is>
          <t>Antes de 2026</t>
        </is>
      </c>
      <c r="B582" t="inlineStr">
        <is>
          <t>Frete de venda</t>
        </is>
      </c>
      <c r="C582" t="inlineStr">
        <is>
          <t>Frete de venda (para clientes)</t>
        </is>
      </c>
      <c r="D582" t="inlineStr">
        <is>
          <t>CT-e</t>
        </is>
      </c>
      <c r="E582" t="inlineStr">
        <is>
          <t>000020458</t>
        </is>
      </c>
      <c r="F582" t="inlineStr">
        <is>
          <t>TRANSPORTE OLIVEIRA E MELLOI - IDEALIZA TRANSPORTES</t>
        </is>
      </c>
      <c r="G582" s="27" t="n">
        <v>45600</v>
      </c>
      <c r="H582" s="14" t="n">
        <v>318.63</v>
      </c>
      <c r="I582" s="14" t="n">
        <v>0</v>
      </c>
      <c r="J582" s="14" t="n">
        <v>0</v>
      </c>
      <c r="K582" s="14" t="n">
        <v>0</v>
      </c>
      <c r="L582" s="14" t="n">
        <v>0</v>
      </c>
      <c r="M582" s="14">
        <f>IF(B582="Frete de venda",0,(1-ISNUMBER(SEARCH("556",P582)))*(I582*VLOOKUP($B582,Premissas!$A$4:$E$7,2,0)+J582*VLOOKUP($B582,Premissas!$A$4:$E$7,3,0))+K582*VLOOKUP($B582,Premissas!$A$4:$E$7,4,0)+L582*VLOOKUP($B582,Premissas!$A$4:$E$7,5,0))</f>
        <v/>
      </c>
      <c r="N582" s="14">
        <f>H582-M582</f>
        <v/>
      </c>
      <c r="O582" t="inlineStr">
        <is>
          <t>Não</t>
        </is>
      </c>
      <c r="P582" t="inlineStr">
        <is>
          <t>1.350</t>
        </is>
      </c>
    </row>
    <row r="583">
      <c r="A583" t="inlineStr">
        <is>
          <t>Antes de 2026</t>
        </is>
      </c>
      <c r="B583" t="inlineStr">
        <is>
          <t>Frete de venda</t>
        </is>
      </c>
      <c r="C583" t="inlineStr">
        <is>
          <t>Frete de venda (para clientes)</t>
        </is>
      </c>
      <c r="D583" t="inlineStr">
        <is>
          <t>CT-e</t>
        </is>
      </c>
      <c r="E583" t="inlineStr">
        <is>
          <t>000005064</t>
        </is>
      </c>
      <c r="F583" t="inlineStr">
        <is>
          <t>R&amp;R TRANSPORTE E LOGISTICA</t>
        </is>
      </c>
      <c r="G583" s="27" t="n">
        <v>45897</v>
      </c>
      <c r="H583" s="14" t="n">
        <v>48.87</v>
      </c>
      <c r="I583" s="14" t="n">
        <v>0</v>
      </c>
      <c r="J583" s="14" t="n">
        <v>0</v>
      </c>
      <c r="K583" s="14" t="n">
        <v>0</v>
      </c>
      <c r="L583" s="14" t="n">
        <v>0</v>
      </c>
      <c r="M583" s="14">
        <f>IF(B583="Frete de venda",0,(1-ISNUMBER(SEARCH("556",P583)))*(I583*VLOOKUP($B583,Premissas!$A$4:$E$7,2,0)+J583*VLOOKUP($B583,Premissas!$A$4:$E$7,3,0))+K583*VLOOKUP($B583,Premissas!$A$4:$E$7,4,0)+L583*VLOOKUP($B583,Premissas!$A$4:$E$7,5,0))</f>
        <v/>
      </c>
      <c r="N583" s="14">
        <f>H583-M583</f>
        <v/>
      </c>
      <c r="O583" t="inlineStr">
        <is>
          <t>Não</t>
        </is>
      </c>
      <c r="P583" t="inlineStr">
        <is>
          <t>1.350</t>
        </is>
      </c>
    </row>
    <row r="584">
      <c r="A584" t="inlineStr">
        <is>
          <t>Antes de 2026</t>
        </is>
      </c>
      <c r="B584" t="inlineStr">
        <is>
          <t>Frete de venda</t>
        </is>
      </c>
      <c r="C584" t="inlineStr">
        <is>
          <t>Frete de venda (para clientes)</t>
        </is>
      </c>
      <c r="D584" t="inlineStr">
        <is>
          <t>CT-e</t>
        </is>
      </c>
      <c r="E584" t="inlineStr">
        <is>
          <t>000005467</t>
        </is>
      </c>
      <c r="F584" t="inlineStr">
        <is>
          <t>R&amp;R TRANSPORTE E LOGISTICA</t>
        </is>
      </c>
      <c r="G584" s="27" t="n">
        <v>45944</v>
      </c>
      <c r="H584" s="14" t="n">
        <v>49.39</v>
      </c>
      <c r="I584" s="14" t="n">
        <v>0</v>
      </c>
      <c r="J584" s="14" t="n">
        <v>0</v>
      </c>
      <c r="K584" s="14" t="n">
        <v>0</v>
      </c>
      <c r="L584" s="14" t="n">
        <v>0</v>
      </c>
      <c r="M584" s="14">
        <f>IF(B584="Frete de venda",0,(1-ISNUMBER(SEARCH("556",P584)))*(I584*VLOOKUP($B584,Premissas!$A$4:$E$7,2,0)+J584*VLOOKUP($B584,Premissas!$A$4:$E$7,3,0))+K584*VLOOKUP($B584,Premissas!$A$4:$E$7,4,0)+L584*VLOOKUP($B584,Premissas!$A$4:$E$7,5,0))</f>
        <v/>
      </c>
      <c r="N584" s="14">
        <f>H584-M584</f>
        <v/>
      </c>
      <c r="O584" t="inlineStr">
        <is>
          <t>Não</t>
        </is>
      </c>
      <c r="P584" t="inlineStr">
        <is>
          <t>1.350</t>
        </is>
      </c>
    </row>
    <row r="585">
      <c r="A585" t="inlineStr">
        <is>
          <t>Antes de 2026</t>
        </is>
      </c>
      <c r="B585" t="inlineStr">
        <is>
          <t>Frete de venda</t>
        </is>
      </c>
      <c r="C585" t="inlineStr">
        <is>
          <t>Frete de venda (para clientes)</t>
        </is>
      </c>
      <c r="D585" t="inlineStr">
        <is>
          <t>CT-e</t>
        </is>
      </c>
      <c r="E585" t="inlineStr">
        <is>
          <t>000006069</t>
        </is>
      </c>
      <c r="F585" t="inlineStr">
        <is>
          <t>R&amp;R TRANSPORTE E LOGISTICA</t>
        </is>
      </c>
      <c r="G585" s="27" t="n">
        <v>46021</v>
      </c>
      <c r="H585" s="14" t="n">
        <v>88.87</v>
      </c>
      <c r="I585" s="14" t="n">
        <v>0</v>
      </c>
      <c r="J585" s="14" t="n">
        <v>0</v>
      </c>
      <c r="K585" s="14" t="n">
        <v>0</v>
      </c>
      <c r="L585" s="14" t="n">
        <v>0</v>
      </c>
      <c r="M585" s="14">
        <f>IF(B585="Frete de venda",0,(1-ISNUMBER(SEARCH("556",P585)))*(I585*VLOOKUP($B585,Premissas!$A$4:$E$7,2,0)+J585*VLOOKUP($B585,Premissas!$A$4:$E$7,3,0))+K585*VLOOKUP($B585,Premissas!$A$4:$E$7,4,0)+L585*VLOOKUP($B585,Premissas!$A$4:$E$7,5,0))</f>
        <v/>
      </c>
      <c r="N585" s="14">
        <f>H585-M585</f>
        <v/>
      </c>
      <c r="O585" t="inlineStr">
        <is>
          <t>Não</t>
        </is>
      </c>
      <c r="P585" t="inlineStr">
        <is>
          <t>1.350</t>
        </is>
      </c>
    </row>
    <row r="586">
      <c r="A586" t="inlineStr">
        <is>
          <t>Antes de 2026</t>
        </is>
      </c>
      <c r="B586" t="inlineStr">
        <is>
          <t>Frete de venda</t>
        </is>
      </c>
      <c r="C586" t="inlineStr">
        <is>
          <t>Frete de venda (para clientes)</t>
        </is>
      </c>
      <c r="D586" t="inlineStr">
        <is>
          <t>CT-e</t>
        </is>
      </c>
      <c r="E586" t="inlineStr">
        <is>
          <t>000004434</t>
        </is>
      </c>
      <c r="F586" t="inlineStr">
        <is>
          <t>R&amp;R TRANSPORTE E LOGISTICA</t>
        </is>
      </c>
      <c r="G586" s="27" t="n">
        <v>45824</v>
      </c>
      <c r="H586" s="14" t="n">
        <v>27.45</v>
      </c>
      <c r="I586" s="14" t="n">
        <v>0</v>
      </c>
      <c r="J586" s="14" t="n">
        <v>0</v>
      </c>
      <c r="K586" s="14" t="n">
        <v>0</v>
      </c>
      <c r="L586" s="14" t="n">
        <v>0</v>
      </c>
      <c r="M586" s="14">
        <f>IF(B586="Frete de venda",0,(1-ISNUMBER(SEARCH("556",P586)))*(I586*VLOOKUP($B586,Premissas!$A$4:$E$7,2,0)+J586*VLOOKUP($B586,Premissas!$A$4:$E$7,3,0))+K586*VLOOKUP($B586,Premissas!$A$4:$E$7,4,0)+L586*VLOOKUP($B586,Premissas!$A$4:$E$7,5,0))</f>
        <v/>
      </c>
      <c r="N586" s="14">
        <f>H586-M586</f>
        <v/>
      </c>
      <c r="O586" t="inlineStr">
        <is>
          <t>Não</t>
        </is>
      </c>
      <c r="P586" t="inlineStr">
        <is>
          <t>1.350</t>
        </is>
      </c>
    </row>
    <row r="587">
      <c r="A587" t="inlineStr">
        <is>
          <t>Antes de 2026</t>
        </is>
      </c>
      <c r="B587" t="inlineStr">
        <is>
          <t>Frete de venda</t>
        </is>
      </c>
      <c r="C587" t="inlineStr">
        <is>
          <t>Frete de venda (para clientes)</t>
        </is>
      </c>
      <c r="D587" t="inlineStr">
        <is>
          <t>CT-e</t>
        </is>
      </c>
      <c r="E587" t="inlineStr">
        <is>
          <t>000005098</t>
        </is>
      </c>
      <c r="F587" t="inlineStr">
        <is>
          <t>R&amp;R TRANSPORTE E LOGISTICA</t>
        </is>
      </c>
      <c r="G587" s="27" t="n">
        <v>45901</v>
      </c>
      <c r="H587" s="14" t="n">
        <v>23.78</v>
      </c>
      <c r="I587" s="14" t="n">
        <v>0</v>
      </c>
      <c r="J587" s="14" t="n">
        <v>0</v>
      </c>
      <c r="K587" s="14" t="n">
        <v>0</v>
      </c>
      <c r="L587" s="14" t="n">
        <v>0</v>
      </c>
      <c r="M587" s="14">
        <f>IF(B587="Frete de venda",0,(1-ISNUMBER(SEARCH("556",P587)))*(I587*VLOOKUP($B587,Premissas!$A$4:$E$7,2,0)+J587*VLOOKUP($B587,Premissas!$A$4:$E$7,3,0))+K587*VLOOKUP($B587,Premissas!$A$4:$E$7,4,0)+L587*VLOOKUP($B587,Premissas!$A$4:$E$7,5,0))</f>
        <v/>
      </c>
      <c r="N587" s="14">
        <f>H587-M587</f>
        <v/>
      </c>
      <c r="O587" t="inlineStr">
        <is>
          <t>Não</t>
        </is>
      </c>
      <c r="P587" t="inlineStr">
        <is>
          <t>1.350</t>
        </is>
      </c>
    </row>
    <row r="588">
      <c r="A588" t="inlineStr">
        <is>
          <t>Antes de 2026</t>
        </is>
      </c>
      <c r="B588" t="inlineStr">
        <is>
          <t>Frete de venda</t>
        </is>
      </c>
      <c r="C588" t="inlineStr">
        <is>
          <t>Frete de venda (para clientes)</t>
        </is>
      </c>
      <c r="D588" t="inlineStr">
        <is>
          <t>CT-e</t>
        </is>
      </c>
      <c r="E588" t="inlineStr">
        <is>
          <t>000005359</t>
        </is>
      </c>
      <c r="F588" t="inlineStr">
        <is>
          <t>R&amp;R TRANSPORTE E LOGISTICA</t>
        </is>
      </c>
      <c r="G588" s="27" t="n">
        <v>45929</v>
      </c>
      <c r="H588" s="14" t="n">
        <v>600</v>
      </c>
      <c r="I588" s="14" t="n">
        <v>0</v>
      </c>
      <c r="J588" s="14" t="n">
        <v>0</v>
      </c>
      <c r="K588" s="14" t="n">
        <v>0</v>
      </c>
      <c r="L588" s="14" t="n">
        <v>0</v>
      </c>
      <c r="M588" s="14">
        <f>IF(B588="Frete de venda",0,(1-ISNUMBER(SEARCH("556",P588)))*(I588*VLOOKUP($B588,Premissas!$A$4:$E$7,2,0)+J588*VLOOKUP($B588,Premissas!$A$4:$E$7,3,0))+K588*VLOOKUP($B588,Premissas!$A$4:$E$7,4,0)+L588*VLOOKUP($B588,Premissas!$A$4:$E$7,5,0))</f>
        <v/>
      </c>
      <c r="N588" s="14">
        <f>H588-M588</f>
        <v/>
      </c>
      <c r="O588" t="inlineStr">
        <is>
          <t>Não</t>
        </is>
      </c>
      <c r="P588" t="inlineStr">
        <is>
          <t>1.350</t>
        </is>
      </c>
    </row>
    <row r="589">
      <c r="A589" t="inlineStr">
        <is>
          <t>Antes de 2026</t>
        </is>
      </c>
      <c r="B589" t="inlineStr">
        <is>
          <t>Frete de venda</t>
        </is>
      </c>
      <c r="C589" t="inlineStr">
        <is>
          <t>Frete de venda (para clientes)</t>
        </is>
      </c>
      <c r="D589" t="inlineStr">
        <is>
          <t>CT-e</t>
        </is>
      </c>
      <c r="E589" t="inlineStr">
        <is>
          <t>000005738</t>
        </is>
      </c>
      <c r="F589" t="inlineStr">
        <is>
          <t>R&amp;R TRANSPORTE E LOGISTICA</t>
        </is>
      </c>
      <c r="G589" s="27" t="n">
        <v>45978</v>
      </c>
      <c r="H589" s="14" t="n">
        <v>786</v>
      </c>
      <c r="I589" s="14" t="n">
        <v>0</v>
      </c>
      <c r="J589" s="14" t="n">
        <v>0</v>
      </c>
      <c r="K589" s="14" t="n">
        <v>0</v>
      </c>
      <c r="L589" s="14" t="n">
        <v>0</v>
      </c>
      <c r="M589" s="14">
        <f>IF(B589="Frete de venda",0,(1-ISNUMBER(SEARCH("556",P589)))*(I589*VLOOKUP($B589,Premissas!$A$4:$E$7,2,0)+J589*VLOOKUP($B589,Premissas!$A$4:$E$7,3,0))+K589*VLOOKUP($B589,Premissas!$A$4:$E$7,4,0)+L589*VLOOKUP($B589,Premissas!$A$4:$E$7,5,0))</f>
        <v/>
      </c>
      <c r="N589" s="14">
        <f>H589-M589</f>
        <v/>
      </c>
      <c r="O589" t="inlineStr">
        <is>
          <t>Não</t>
        </is>
      </c>
      <c r="P589" t="inlineStr">
        <is>
          <t>1.350</t>
        </is>
      </c>
    </row>
    <row r="590">
      <c r="A590" t="inlineStr">
        <is>
          <t>Antes de 2026</t>
        </is>
      </c>
      <c r="B590" t="inlineStr">
        <is>
          <t>Frete de venda</t>
        </is>
      </c>
      <c r="C590" t="inlineStr">
        <is>
          <t>Frete de venda (para clientes)</t>
        </is>
      </c>
      <c r="D590" t="inlineStr">
        <is>
          <t>CT-e</t>
        </is>
      </c>
      <c r="E590" t="inlineStr">
        <is>
          <t>000005358</t>
        </is>
      </c>
      <c r="F590" t="inlineStr">
        <is>
          <t>R&amp;R TRANSPORTE E LOGISTICA</t>
        </is>
      </c>
      <c r="G590" s="27" t="n">
        <v>45929</v>
      </c>
      <c r="H590" s="14" t="n">
        <v>600</v>
      </c>
      <c r="I590" s="14" t="n">
        <v>0</v>
      </c>
      <c r="J590" s="14" t="n">
        <v>0</v>
      </c>
      <c r="K590" s="14" t="n">
        <v>0</v>
      </c>
      <c r="L590" s="14" t="n">
        <v>0</v>
      </c>
      <c r="M590" s="14">
        <f>IF(B590="Frete de venda",0,(1-ISNUMBER(SEARCH("556",P590)))*(I590*VLOOKUP($B590,Premissas!$A$4:$E$7,2,0)+J590*VLOOKUP($B590,Premissas!$A$4:$E$7,3,0))+K590*VLOOKUP($B590,Premissas!$A$4:$E$7,4,0)+L590*VLOOKUP($B590,Premissas!$A$4:$E$7,5,0))</f>
        <v/>
      </c>
      <c r="N590" s="14">
        <f>H590-M590</f>
        <v/>
      </c>
      <c r="O590" t="inlineStr">
        <is>
          <t>Não</t>
        </is>
      </c>
      <c r="P590" t="inlineStr">
        <is>
          <t>1.350</t>
        </is>
      </c>
    </row>
    <row r="591">
      <c r="A591" t="inlineStr">
        <is>
          <t>Antes de 2026</t>
        </is>
      </c>
      <c r="B591" t="inlineStr">
        <is>
          <t>Frete de venda</t>
        </is>
      </c>
      <c r="C591" t="inlineStr">
        <is>
          <t>Frete de venda (para clientes)</t>
        </is>
      </c>
      <c r="D591" t="inlineStr">
        <is>
          <t>CT-e</t>
        </is>
      </c>
      <c r="E591" t="inlineStr">
        <is>
          <t>000005616</t>
        </is>
      </c>
      <c r="F591" t="inlineStr">
        <is>
          <t>R&amp;R TRANSPORTE E LOGISTICA</t>
        </is>
      </c>
      <c r="G591" s="27" t="n">
        <v>45959</v>
      </c>
      <c r="H591" s="14" t="n">
        <v>750</v>
      </c>
      <c r="I591" s="14" t="n">
        <v>0</v>
      </c>
      <c r="J591" s="14" t="n">
        <v>0</v>
      </c>
      <c r="K591" s="14" t="n">
        <v>0</v>
      </c>
      <c r="L591" s="14" t="n">
        <v>0</v>
      </c>
      <c r="M591" s="14">
        <f>IF(B591="Frete de venda",0,(1-ISNUMBER(SEARCH("556",P591)))*(I591*VLOOKUP($B591,Premissas!$A$4:$E$7,2,0)+J591*VLOOKUP($B591,Premissas!$A$4:$E$7,3,0))+K591*VLOOKUP($B591,Premissas!$A$4:$E$7,4,0)+L591*VLOOKUP($B591,Premissas!$A$4:$E$7,5,0))</f>
        <v/>
      </c>
      <c r="N591" s="14">
        <f>H591-M591</f>
        <v/>
      </c>
      <c r="O591" t="inlineStr">
        <is>
          <t>Não</t>
        </is>
      </c>
      <c r="P591" t="inlineStr">
        <is>
          <t>1.350</t>
        </is>
      </c>
    </row>
    <row r="592">
      <c r="A592" t="inlineStr">
        <is>
          <t>Antes de 2026</t>
        </is>
      </c>
      <c r="B592" t="inlineStr">
        <is>
          <t>Frete de venda</t>
        </is>
      </c>
      <c r="C592" t="inlineStr">
        <is>
          <t>Frete de venda (para clientes)</t>
        </is>
      </c>
      <c r="D592" t="inlineStr">
        <is>
          <t>CT-e</t>
        </is>
      </c>
      <c r="E592" t="inlineStr">
        <is>
          <t>000005715</t>
        </is>
      </c>
      <c r="F592" t="inlineStr">
        <is>
          <t>R&amp;R TRANSPORTE E LOGISTICA</t>
        </is>
      </c>
      <c r="G592" s="27" t="n">
        <v>45973</v>
      </c>
      <c r="H592" s="14" t="n">
        <v>61.58</v>
      </c>
      <c r="I592" s="14" t="n">
        <v>0</v>
      </c>
      <c r="J592" s="14" t="n">
        <v>0</v>
      </c>
      <c r="K592" s="14" t="n">
        <v>0</v>
      </c>
      <c r="L592" s="14" t="n">
        <v>0</v>
      </c>
      <c r="M592" s="14">
        <f>IF(B592="Frete de venda",0,(1-ISNUMBER(SEARCH("556",P592)))*(I592*VLOOKUP($B592,Premissas!$A$4:$E$7,2,0)+J592*VLOOKUP($B592,Premissas!$A$4:$E$7,3,0))+K592*VLOOKUP($B592,Premissas!$A$4:$E$7,4,0)+L592*VLOOKUP($B592,Premissas!$A$4:$E$7,5,0))</f>
        <v/>
      </c>
      <c r="N592" s="14">
        <f>H592-M592</f>
        <v/>
      </c>
      <c r="O592" t="inlineStr">
        <is>
          <t>Não</t>
        </is>
      </c>
      <c r="P592" t="inlineStr">
        <is>
          <t>1.350</t>
        </is>
      </c>
    </row>
    <row r="593">
      <c r="A593" t="inlineStr">
        <is>
          <t>Antes de 2026</t>
        </is>
      </c>
      <c r="B593" t="inlineStr">
        <is>
          <t>Frete de venda</t>
        </is>
      </c>
      <c r="C593" t="inlineStr">
        <is>
          <t>Frete de venda (para clientes)</t>
        </is>
      </c>
      <c r="D593" t="inlineStr">
        <is>
          <t>CT-e</t>
        </is>
      </c>
      <c r="E593" t="inlineStr">
        <is>
          <t>000004432</t>
        </is>
      </c>
      <c r="F593" t="inlineStr">
        <is>
          <t>R&amp;R TRANSPORTE E LOGISTICA</t>
        </is>
      </c>
      <c r="G593" s="27" t="n">
        <v>45824</v>
      </c>
      <c r="H593" s="14" t="n">
        <v>35.9</v>
      </c>
      <c r="I593" s="14" t="n">
        <v>0</v>
      </c>
      <c r="J593" s="14" t="n">
        <v>0</v>
      </c>
      <c r="K593" s="14" t="n">
        <v>0</v>
      </c>
      <c r="L593" s="14" t="n">
        <v>0</v>
      </c>
      <c r="M593" s="14">
        <f>IF(B593="Frete de venda",0,(1-ISNUMBER(SEARCH("556",P593)))*(I593*VLOOKUP($B593,Premissas!$A$4:$E$7,2,0)+J593*VLOOKUP($B593,Premissas!$A$4:$E$7,3,0))+K593*VLOOKUP($B593,Premissas!$A$4:$E$7,4,0)+L593*VLOOKUP($B593,Premissas!$A$4:$E$7,5,0))</f>
        <v/>
      </c>
      <c r="N593" s="14">
        <f>H593-M593</f>
        <v/>
      </c>
      <c r="O593" t="inlineStr">
        <is>
          <t>Não</t>
        </is>
      </c>
      <c r="P593" t="inlineStr">
        <is>
          <t>1.350</t>
        </is>
      </c>
    </row>
    <row r="594">
      <c r="A594" t="inlineStr">
        <is>
          <t>Antes de 2026</t>
        </is>
      </c>
      <c r="B594" t="inlineStr">
        <is>
          <t>Frete de venda</t>
        </is>
      </c>
      <c r="C594" t="inlineStr">
        <is>
          <t>Frete de venda (para clientes)</t>
        </is>
      </c>
      <c r="D594" t="inlineStr">
        <is>
          <t>CT-e</t>
        </is>
      </c>
      <c r="E594" t="inlineStr">
        <is>
          <t>000004433</t>
        </is>
      </c>
      <c r="F594" t="inlineStr">
        <is>
          <t>R&amp;R TRANSPORTE E LOGISTICA</t>
        </is>
      </c>
      <c r="G594" s="27" t="n">
        <v>45824</v>
      </c>
      <c r="H594" s="14" t="n">
        <v>40.25</v>
      </c>
      <c r="I594" s="14" t="n">
        <v>0</v>
      </c>
      <c r="J594" s="14" t="n">
        <v>0</v>
      </c>
      <c r="K594" s="14" t="n">
        <v>0</v>
      </c>
      <c r="L594" s="14" t="n">
        <v>0</v>
      </c>
      <c r="M594" s="14">
        <f>IF(B594="Frete de venda",0,(1-ISNUMBER(SEARCH("556",P594)))*(I594*VLOOKUP($B594,Premissas!$A$4:$E$7,2,0)+J594*VLOOKUP($B594,Premissas!$A$4:$E$7,3,0))+K594*VLOOKUP($B594,Premissas!$A$4:$E$7,4,0)+L594*VLOOKUP($B594,Premissas!$A$4:$E$7,5,0))</f>
        <v/>
      </c>
      <c r="N594" s="14">
        <f>H594-M594</f>
        <v/>
      </c>
      <c r="O594" t="inlineStr">
        <is>
          <t>Não</t>
        </is>
      </c>
      <c r="P594" t="inlineStr">
        <is>
          <t>1.350</t>
        </is>
      </c>
    </row>
    <row r="595">
      <c r="A595" t="inlineStr">
        <is>
          <t>Antes de 2026</t>
        </is>
      </c>
      <c r="B595" t="inlineStr">
        <is>
          <t>Frete de venda</t>
        </is>
      </c>
      <c r="C595" t="inlineStr">
        <is>
          <t>Frete de venda (para clientes)</t>
        </is>
      </c>
      <c r="D595" t="inlineStr">
        <is>
          <t>CT-e</t>
        </is>
      </c>
      <c r="E595" t="inlineStr">
        <is>
          <t>000004501</t>
        </is>
      </c>
      <c r="F595" t="inlineStr">
        <is>
          <t>R&amp;R TRANSPORTE E LOGISTICA</t>
        </is>
      </c>
      <c r="G595" s="27" t="n">
        <v>45832</v>
      </c>
      <c r="H595" s="14" t="n">
        <v>3950</v>
      </c>
      <c r="I595" s="14" t="n">
        <v>0</v>
      </c>
      <c r="J595" s="14" t="n">
        <v>0</v>
      </c>
      <c r="K595" s="14" t="n">
        <v>0</v>
      </c>
      <c r="L595" s="14" t="n">
        <v>0</v>
      </c>
      <c r="M595" s="14">
        <f>IF(B595="Frete de venda",0,(1-ISNUMBER(SEARCH("556",P595)))*(I595*VLOOKUP($B595,Premissas!$A$4:$E$7,2,0)+J595*VLOOKUP($B595,Premissas!$A$4:$E$7,3,0))+K595*VLOOKUP($B595,Premissas!$A$4:$E$7,4,0)+L595*VLOOKUP($B595,Premissas!$A$4:$E$7,5,0))</f>
        <v/>
      </c>
      <c r="N595" s="14">
        <f>H595-M595</f>
        <v/>
      </c>
      <c r="O595" t="inlineStr">
        <is>
          <t>Não</t>
        </is>
      </c>
      <c r="P595" t="inlineStr">
        <is>
          <t>1.350</t>
        </is>
      </c>
    </row>
    <row r="596">
      <c r="A596" t="inlineStr">
        <is>
          <t>Antes de 2026</t>
        </is>
      </c>
      <c r="B596" t="inlineStr">
        <is>
          <t>Frete de venda</t>
        </is>
      </c>
      <c r="C596" t="inlineStr">
        <is>
          <t>Frete de venda (para clientes)</t>
        </is>
      </c>
      <c r="D596" t="inlineStr">
        <is>
          <t>CT-e</t>
        </is>
      </c>
      <c r="E596" t="inlineStr">
        <is>
          <t>000005099</t>
        </is>
      </c>
      <c r="F596" t="inlineStr">
        <is>
          <t>R&amp;R TRANSPORTE E LOGISTICA</t>
        </is>
      </c>
      <c r="G596" s="27" t="n">
        <v>45901</v>
      </c>
      <c r="H596" s="14" t="n">
        <v>46.27</v>
      </c>
      <c r="I596" s="14" t="n">
        <v>0</v>
      </c>
      <c r="J596" s="14" t="n">
        <v>0</v>
      </c>
      <c r="K596" s="14" t="n">
        <v>0</v>
      </c>
      <c r="L596" s="14" t="n">
        <v>0</v>
      </c>
      <c r="M596" s="14">
        <f>IF(B596="Frete de venda",0,(1-ISNUMBER(SEARCH("556",P596)))*(I596*VLOOKUP($B596,Premissas!$A$4:$E$7,2,0)+J596*VLOOKUP($B596,Premissas!$A$4:$E$7,3,0))+K596*VLOOKUP($B596,Premissas!$A$4:$E$7,4,0)+L596*VLOOKUP($B596,Premissas!$A$4:$E$7,5,0))</f>
        <v/>
      </c>
      <c r="N596" s="14">
        <f>H596-M596</f>
        <v/>
      </c>
      <c r="O596" t="inlineStr">
        <is>
          <t>Não</t>
        </is>
      </c>
      <c r="P596" t="inlineStr">
        <is>
          <t>1.350</t>
        </is>
      </c>
    </row>
    <row r="597">
      <c r="A597" t="inlineStr">
        <is>
          <t>Antes de 2026</t>
        </is>
      </c>
      <c r="B597" t="inlineStr">
        <is>
          <t>Frete de venda</t>
        </is>
      </c>
      <c r="C597" t="inlineStr">
        <is>
          <t>Frete de venda (para clientes)</t>
        </is>
      </c>
      <c r="D597" t="inlineStr">
        <is>
          <t>CT-e</t>
        </is>
      </c>
      <c r="E597" t="inlineStr">
        <is>
          <t>000005357</t>
        </is>
      </c>
      <c r="F597" t="inlineStr">
        <is>
          <t>R&amp;R TRANSPORTE E LOGISTICA</t>
        </is>
      </c>
      <c r="G597" s="27" t="n">
        <v>45929</v>
      </c>
      <c r="H597" s="14" t="n">
        <v>600</v>
      </c>
      <c r="I597" s="14" t="n">
        <v>0</v>
      </c>
      <c r="J597" s="14" t="n">
        <v>0</v>
      </c>
      <c r="K597" s="14" t="n">
        <v>0</v>
      </c>
      <c r="L597" s="14" t="n">
        <v>0</v>
      </c>
      <c r="M597" s="14">
        <f>IF(B597="Frete de venda",0,(1-ISNUMBER(SEARCH("556",P597)))*(I597*VLOOKUP($B597,Premissas!$A$4:$E$7,2,0)+J597*VLOOKUP($B597,Premissas!$A$4:$E$7,3,0))+K597*VLOOKUP($B597,Premissas!$A$4:$E$7,4,0)+L597*VLOOKUP($B597,Premissas!$A$4:$E$7,5,0))</f>
        <v/>
      </c>
      <c r="N597" s="14">
        <f>H597-M597</f>
        <v/>
      </c>
      <c r="O597" t="inlineStr">
        <is>
          <t>Não</t>
        </is>
      </c>
      <c r="P597" t="inlineStr">
        <is>
          <t>1.350</t>
        </is>
      </c>
    </row>
    <row r="598">
      <c r="A598" t="inlineStr">
        <is>
          <t>Antes de 2026</t>
        </is>
      </c>
      <c r="B598" t="inlineStr">
        <is>
          <t>Frete de venda</t>
        </is>
      </c>
      <c r="C598" t="inlineStr">
        <is>
          <t>Frete de venda (para clientes)</t>
        </is>
      </c>
      <c r="D598" t="inlineStr">
        <is>
          <t>CT-e</t>
        </is>
      </c>
      <c r="E598" t="inlineStr">
        <is>
          <t>000005362</t>
        </is>
      </c>
      <c r="F598" t="inlineStr">
        <is>
          <t>R&amp;R TRANSPORTE E LOGISTICA</t>
        </is>
      </c>
      <c r="G598" s="27" t="n">
        <v>45929</v>
      </c>
      <c r="H598" s="14" t="n">
        <v>600</v>
      </c>
      <c r="I598" s="14" t="n">
        <v>0</v>
      </c>
      <c r="J598" s="14" t="n">
        <v>0</v>
      </c>
      <c r="K598" s="14" t="n">
        <v>0</v>
      </c>
      <c r="L598" s="14" t="n">
        <v>0</v>
      </c>
      <c r="M598" s="14">
        <f>IF(B598="Frete de venda",0,(1-ISNUMBER(SEARCH("556",P598)))*(I598*VLOOKUP($B598,Premissas!$A$4:$E$7,2,0)+J598*VLOOKUP($B598,Premissas!$A$4:$E$7,3,0))+K598*VLOOKUP($B598,Premissas!$A$4:$E$7,4,0)+L598*VLOOKUP($B598,Premissas!$A$4:$E$7,5,0))</f>
        <v/>
      </c>
      <c r="N598" s="14">
        <f>H598-M598</f>
        <v/>
      </c>
      <c r="O598" t="inlineStr">
        <is>
          <t>Não</t>
        </is>
      </c>
      <c r="P598" t="inlineStr">
        <is>
          <t>1.350</t>
        </is>
      </c>
    </row>
    <row r="599">
      <c r="A599" t="inlineStr">
        <is>
          <t>Antes de 2026</t>
        </is>
      </c>
      <c r="B599" t="inlineStr">
        <is>
          <t>Frete de venda</t>
        </is>
      </c>
      <c r="C599" t="inlineStr">
        <is>
          <t>Frete de venda (para clientes)</t>
        </is>
      </c>
      <c r="D599" t="inlineStr">
        <is>
          <t>CT-e</t>
        </is>
      </c>
      <c r="E599" t="inlineStr">
        <is>
          <t>000005613</t>
        </is>
      </c>
      <c r="F599" t="inlineStr">
        <is>
          <t>R&amp;R TRANSPORTE E LOGISTICA</t>
        </is>
      </c>
      <c r="G599" s="27" t="n">
        <v>45959</v>
      </c>
      <c r="H599" s="14" t="n">
        <v>750</v>
      </c>
      <c r="I599" s="14" t="n">
        <v>0</v>
      </c>
      <c r="J599" s="14" t="n">
        <v>0</v>
      </c>
      <c r="K599" s="14" t="n">
        <v>0</v>
      </c>
      <c r="L599" s="14" t="n">
        <v>0</v>
      </c>
      <c r="M599" s="14">
        <f>IF(B599="Frete de venda",0,(1-ISNUMBER(SEARCH("556",P599)))*(I599*VLOOKUP($B599,Premissas!$A$4:$E$7,2,0)+J599*VLOOKUP($B599,Premissas!$A$4:$E$7,3,0))+K599*VLOOKUP($B599,Premissas!$A$4:$E$7,4,0)+L599*VLOOKUP($B599,Premissas!$A$4:$E$7,5,0))</f>
        <v/>
      </c>
      <c r="N599" s="14">
        <f>H599-M599</f>
        <v/>
      </c>
      <c r="O599" t="inlineStr">
        <is>
          <t>Não</t>
        </is>
      </c>
      <c r="P599" t="inlineStr">
        <is>
          <t>1.350</t>
        </is>
      </c>
    </row>
    <row r="600">
      <c r="A600" t="inlineStr">
        <is>
          <t>Antes de 2026</t>
        </is>
      </c>
      <c r="B600" t="inlineStr">
        <is>
          <t>Frete de venda</t>
        </is>
      </c>
      <c r="C600" t="inlineStr">
        <is>
          <t>Frete de venda (para clientes)</t>
        </is>
      </c>
      <c r="D600" t="inlineStr">
        <is>
          <t>CT-e</t>
        </is>
      </c>
      <c r="E600" t="inlineStr">
        <is>
          <t>000005615</t>
        </is>
      </c>
      <c r="F600" t="inlineStr">
        <is>
          <t>R&amp;R TRANSPORTE E LOGISTICA</t>
        </is>
      </c>
      <c r="G600" s="27" t="n">
        <v>45959</v>
      </c>
      <c r="H600" s="14" t="n">
        <v>750</v>
      </c>
      <c r="I600" s="14" t="n">
        <v>0</v>
      </c>
      <c r="J600" s="14" t="n">
        <v>0</v>
      </c>
      <c r="K600" s="14" t="n">
        <v>0</v>
      </c>
      <c r="L600" s="14" t="n">
        <v>0</v>
      </c>
      <c r="M600" s="14">
        <f>IF(B600="Frete de venda",0,(1-ISNUMBER(SEARCH("556",P600)))*(I600*VLOOKUP($B600,Premissas!$A$4:$E$7,2,0)+J600*VLOOKUP($B600,Premissas!$A$4:$E$7,3,0))+K600*VLOOKUP($B600,Premissas!$A$4:$E$7,4,0)+L600*VLOOKUP($B600,Premissas!$A$4:$E$7,5,0))</f>
        <v/>
      </c>
      <c r="N600" s="14">
        <f>H600-M600</f>
        <v/>
      </c>
      <c r="O600" t="inlineStr">
        <is>
          <t>Não</t>
        </is>
      </c>
      <c r="P600" t="inlineStr">
        <is>
          <t>1.350</t>
        </is>
      </c>
    </row>
    <row r="601">
      <c r="A601" t="inlineStr">
        <is>
          <t>Antes de 2026</t>
        </is>
      </c>
      <c r="B601" t="inlineStr">
        <is>
          <t>Frete de venda</t>
        </is>
      </c>
      <c r="C601" t="inlineStr">
        <is>
          <t>Frete de venda (para clientes)</t>
        </is>
      </c>
      <c r="D601" t="inlineStr">
        <is>
          <t>CT-e</t>
        </is>
      </c>
      <c r="E601" t="inlineStr">
        <is>
          <t>000005716</t>
        </is>
      </c>
      <c r="F601" t="inlineStr">
        <is>
          <t>R&amp;R TRANSPORTE E LOGISTICA</t>
        </is>
      </c>
      <c r="G601" s="27" t="n">
        <v>45973</v>
      </c>
      <c r="H601" s="14" t="n">
        <v>61.1</v>
      </c>
      <c r="I601" s="14" t="n">
        <v>0</v>
      </c>
      <c r="J601" s="14" t="n">
        <v>0</v>
      </c>
      <c r="K601" s="14" t="n">
        <v>0</v>
      </c>
      <c r="L601" s="14" t="n">
        <v>0</v>
      </c>
      <c r="M601" s="14">
        <f>IF(B601="Frete de venda",0,(1-ISNUMBER(SEARCH("556",P601)))*(I601*VLOOKUP($B601,Premissas!$A$4:$E$7,2,0)+J601*VLOOKUP($B601,Premissas!$A$4:$E$7,3,0))+K601*VLOOKUP($B601,Premissas!$A$4:$E$7,4,0)+L601*VLOOKUP($B601,Premissas!$A$4:$E$7,5,0))</f>
        <v/>
      </c>
      <c r="N601" s="14">
        <f>H601-M601</f>
        <v/>
      </c>
      <c r="O601" t="inlineStr">
        <is>
          <t>Não</t>
        </is>
      </c>
      <c r="P601" t="inlineStr">
        <is>
          <t>1.350</t>
        </is>
      </c>
    </row>
    <row r="602">
      <c r="A602" t="inlineStr">
        <is>
          <t>Antes de 2026</t>
        </is>
      </c>
      <c r="B602" t="inlineStr">
        <is>
          <t>Frete de venda</t>
        </is>
      </c>
      <c r="C602" t="inlineStr">
        <is>
          <t>Frete de venda (para clientes)</t>
        </is>
      </c>
      <c r="D602" t="inlineStr">
        <is>
          <t>CT-e</t>
        </is>
      </c>
      <c r="E602" t="inlineStr">
        <is>
          <t>000005717</t>
        </is>
      </c>
      <c r="F602" t="inlineStr">
        <is>
          <t>R&amp;R TRANSPORTE E LOGISTICA</t>
        </is>
      </c>
      <c r="G602" s="27" t="n">
        <v>45973</v>
      </c>
      <c r="H602" s="14" t="n">
        <v>60.47</v>
      </c>
      <c r="I602" s="14" t="n">
        <v>0</v>
      </c>
      <c r="J602" s="14" t="n">
        <v>0</v>
      </c>
      <c r="K602" s="14" t="n">
        <v>0</v>
      </c>
      <c r="L602" s="14" t="n">
        <v>0</v>
      </c>
      <c r="M602" s="14">
        <f>IF(B602="Frete de venda",0,(1-ISNUMBER(SEARCH("556",P602)))*(I602*VLOOKUP($B602,Premissas!$A$4:$E$7,2,0)+J602*VLOOKUP($B602,Premissas!$A$4:$E$7,3,0))+K602*VLOOKUP($B602,Premissas!$A$4:$E$7,4,0)+L602*VLOOKUP($B602,Premissas!$A$4:$E$7,5,0))</f>
        <v/>
      </c>
      <c r="N602" s="14">
        <f>H602-M602</f>
        <v/>
      </c>
      <c r="O602" t="inlineStr">
        <is>
          <t>Não</t>
        </is>
      </c>
      <c r="P602" t="inlineStr">
        <is>
          <t>1.350</t>
        </is>
      </c>
    </row>
    <row r="603">
      <c r="A603" t="inlineStr">
        <is>
          <t>Antes de 2026</t>
        </is>
      </c>
      <c r="B603" t="inlineStr">
        <is>
          <t>Frete de venda</t>
        </is>
      </c>
      <c r="C603" t="inlineStr">
        <is>
          <t>Frete de venda (para clientes)</t>
        </is>
      </c>
      <c r="D603" t="inlineStr">
        <is>
          <t>CT-e</t>
        </is>
      </c>
      <c r="E603" t="inlineStr">
        <is>
          <t>000006010</t>
        </is>
      </c>
      <c r="F603" t="inlineStr">
        <is>
          <t>R&amp;R TRANSPORTE E LOGISTICA</t>
        </is>
      </c>
      <c r="G603" s="27" t="n">
        <v>46010</v>
      </c>
      <c r="H603" s="14" t="n">
        <v>15.48</v>
      </c>
      <c r="I603" s="14" t="n">
        <v>0</v>
      </c>
      <c r="J603" s="14" t="n">
        <v>0</v>
      </c>
      <c r="K603" s="14" t="n">
        <v>0</v>
      </c>
      <c r="L603" s="14" t="n">
        <v>0</v>
      </c>
      <c r="M603" s="14">
        <f>IF(B603="Frete de venda",0,(1-ISNUMBER(SEARCH("556",P603)))*(I603*VLOOKUP($B603,Premissas!$A$4:$E$7,2,0)+J603*VLOOKUP($B603,Premissas!$A$4:$E$7,3,0))+K603*VLOOKUP($B603,Premissas!$A$4:$E$7,4,0)+L603*VLOOKUP($B603,Premissas!$A$4:$E$7,5,0))</f>
        <v/>
      </c>
      <c r="N603" s="14">
        <f>H603-M603</f>
        <v/>
      </c>
      <c r="O603" t="inlineStr">
        <is>
          <t>Não</t>
        </is>
      </c>
      <c r="P603" t="inlineStr">
        <is>
          <t>1.350</t>
        </is>
      </c>
    </row>
    <row r="604">
      <c r="A604" t="inlineStr">
        <is>
          <t>Antes de 2026</t>
        </is>
      </c>
      <c r="B604" t="inlineStr">
        <is>
          <t>Frete de venda</t>
        </is>
      </c>
      <c r="C604" t="inlineStr">
        <is>
          <t>Frete de venda (para clientes)</t>
        </is>
      </c>
      <c r="D604" t="inlineStr">
        <is>
          <t>CT-e</t>
        </is>
      </c>
      <c r="E604" t="inlineStr">
        <is>
          <t>000004172</t>
        </is>
      </c>
      <c r="F604" t="inlineStr">
        <is>
          <t>R&amp;R TRANSPORTE E LOGISTICA</t>
        </is>
      </c>
      <c r="G604" s="27" t="n">
        <v>45786</v>
      </c>
      <c r="H604" s="14" t="n">
        <v>62.91</v>
      </c>
      <c r="I604" s="14" t="n">
        <v>0</v>
      </c>
      <c r="J604" s="14" t="n">
        <v>0</v>
      </c>
      <c r="K604" s="14" t="n">
        <v>0</v>
      </c>
      <c r="L604" s="14" t="n">
        <v>0</v>
      </c>
      <c r="M604" s="14">
        <f>IF(B604="Frete de venda",0,(1-ISNUMBER(SEARCH("556",P604)))*(I604*VLOOKUP($B604,Premissas!$A$4:$E$7,2,0)+J604*VLOOKUP($B604,Premissas!$A$4:$E$7,3,0))+K604*VLOOKUP($B604,Premissas!$A$4:$E$7,4,0)+L604*VLOOKUP($B604,Premissas!$A$4:$E$7,5,0))</f>
        <v/>
      </c>
      <c r="N604" s="14">
        <f>H604-M604</f>
        <v/>
      </c>
      <c r="O604" t="inlineStr">
        <is>
          <t>Não</t>
        </is>
      </c>
      <c r="P604" t="inlineStr">
        <is>
          <t>1.350</t>
        </is>
      </c>
    </row>
    <row r="605">
      <c r="A605" t="inlineStr">
        <is>
          <t>Antes de 2026</t>
        </is>
      </c>
      <c r="B605" t="inlineStr">
        <is>
          <t>Frete de venda</t>
        </is>
      </c>
      <c r="C605" t="inlineStr">
        <is>
          <t>Frete de venda (para clientes)</t>
        </is>
      </c>
      <c r="D605" t="inlineStr">
        <is>
          <t>CT-e</t>
        </is>
      </c>
      <c r="E605" t="inlineStr">
        <is>
          <t>000004781</t>
        </is>
      </c>
      <c r="F605" t="inlineStr">
        <is>
          <t>R&amp;R TRANSPORTE E LOGISTICA</t>
        </is>
      </c>
      <c r="G605" s="27" t="n">
        <v>45868</v>
      </c>
      <c r="H605" s="14" t="n">
        <v>39.57</v>
      </c>
      <c r="I605" s="14" t="n">
        <v>0</v>
      </c>
      <c r="J605" s="14" t="n">
        <v>0</v>
      </c>
      <c r="K605" s="14" t="n">
        <v>0</v>
      </c>
      <c r="L605" s="14" t="n">
        <v>0</v>
      </c>
      <c r="M605" s="14">
        <f>IF(B605="Frete de venda",0,(1-ISNUMBER(SEARCH("556",P605)))*(I605*VLOOKUP($B605,Premissas!$A$4:$E$7,2,0)+J605*VLOOKUP($B605,Premissas!$A$4:$E$7,3,0))+K605*VLOOKUP($B605,Premissas!$A$4:$E$7,4,0)+L605*VLOOKUP($B605,Premissas!$A$4:$E$7,5,0))</f>
        <v/>
      </c>
      <c r="N605" s="14">
        <f>H605-M605</f>
        <v/>
      </c>
      <c r="O605" t="inlineStr">
        <is>
          <t>Não</t>
        </is>
      </c>
      <c r="P605" t="inlineStr">
        <is>
          <t>1.350</t>
        </is>
      </c>
    </row>
    <row r="606">
      <c r="A606" t="inlineStr">
        <is>
          <t>Antes de 2026</t>
        </is>
      </c>
      <c r="B606" t="inlineStr">
        <is>
          <t>Frete de venda</t>
        </is>
      </c>
      <c r="C606" t="inlineStr">
        <is>
          <t>Frete de venda (para clientes)</t>
        </is>
      </c>
      <c r="D606" t="inlineStr">
        <is>
          <t>CT-e</t>
        </is>
      </c>
      <c r="E606" t="inlineStr">
        <is>
          <t>000004679</t>
        </is>
      </c>
      <c r="F606" t="inlineStr">
        <is>
          <t>R&amp;R TRANSPORTE E LOGISTICA</t>
        </is>
      </c>
      <c r="G606" s="27" t="n">
        <v>45856</v>
      </c>
      <c r="H606" s="14" t="n">
        <v>30.97</v>
      </c>
      <c r="I606" s="14" t="n">
        <v>0</v>
      </c>
      <c r="J606" s="14" t="n">
        <v>0</v>
      </c>
      <c r="K606" s="14" t="n">
        <v>0</v>
      </c>
      <c r="L606" s="14" t="n">
        <v>0</v>
      </c>
      <c r="M606" s="14">
        <f>IF(B606="Frete de venda",0,(1-ISNUMBER(SEARCH("556",P606)))*(I606*VLOOKUP($B606,Premissas!$A$4:$E$7,2,0)+J606*VLOOKUP($B606,Premissas!$A$4:$E$7,3,0))+K606*VLOOKUP($B606,Premissas!$A$4:$E$7,4,0)+L606*VLOOKUP($B606,Premissas!$A$4:$E$7,5,0))</f>
        <v/>
      </c>
      <c r="N606" s="14">
        <f>H606-M606</f>
        <v/>
      </c>
      <c r="O606" t="inlineStr">
        <is>
          <t>Não</t>
        </is>
      </c>
      <c r="P606" t="inlineStr">
        <is>
          <t>1.350</t>
        </is>
      </c>
    </row>
    <row r="607">
      <c r="A607" t="inlineStr">
        <is>
          <t>Antes de 2026</t>
        </is>
      </c>
      <c r="B607" t="inlineStr">
        <is>
          <t>Frete de venda</t>
        </is>
      </c>
      <c r="C607" t="inlineStr">
        <is>
          <t>Frete de venda (para clientes)</t>
        </is>
      </c>
      <c r="D607" t="inlineStr">
        <is>
          <t>CT-e</t>
        </is>
      </c>
      <c r="E607" t="inlineStr">
        <is>
          <t>000004730</t>
        </is>
      </c>
      <c r="F607" t="inlineStr">
        <is>
          <t>R&amp;R TRANSPORTE E LOGISTICA</t>
        </is>
      </c>
      <c r="G607" s="27" t="n">
        <v>45862</v>
      </c>
      <c r="H607" s="14" t="n">
        <v>26</v>
      </c>
      <c r="I607" s="14" t="n">
        <v>0</v>
      </c>
      <c r="J607" s="14" t="n">
        <v>0</v>
      </c>
      <c r="K607" s="14" t="n">
        <v>0</v>
      </c>
      <c r="L607" s="14" t="n">
        <v>0</v>
      </c>
      <c r="M607" s="14">
        <f>IF(B607="Frete de venda",0,(1-ISNUMBER(SEARCH("556",P607)))*(I607*VLOOKUP($B607,Premissas!$A$4:$E$7,2,0)+J607*VLOOKUP($B607,Premissas!$A$4:$E$7,3,0))+K607*VLOOKUP($B607,Premissas!$A$4:$E$7,4,0)+L607*VLOOKUP($B607,Premissas!$A$4:$E$7,5,0))</f>
        <v/>
      </c>
      <c r="N607" s="14">
        <f>H607-M607</f>
        <v/>
      </c>
      <c r="O607" t="inlineStr">
        <is>
          <t>Não</t>
        </is>
      </c>
      <c r="P607" t="inlineStr">
        <is>
          <t>1.350</t>
        </is>
      </c>
    </row>
    <row r="608">
      <c r="A608" t="inlineStr">
        <is>
          <t>Antes de 2026</t>
        </is>
      </c>
      <c r="B608" t="inlineStr">
        <is>
          <t>Frete de venda</t>
        </is>
      </c>
      <c r="C608" t="inlineStr">
        <is>
          <t>Frete de venda (para clientes)</t>
        </is>
      </c>
      <c r="D608" t="inlineStr">
        <is>
          <t>CT-e</t>
        </is>
      </c>
      <c r="E608" t="inlineStr">
        <is>
          <t>000004819</t>
        </is>
      </c>
      <c r="F608" t="inlineStr">
        <is>
          <t>R&amp;R TRANSPORTE E LOGISTICA</t>
        </is>
      </c>
      <c r="G608" s="27" t="n">
        <v>45870</v>
      </c>
      <c r="H608" s="14" t="n">
        <v>73.66</v>
      </c>
      <c r="I608" s="14" t="n">
        <v>0</v>
      </c>
      <c r="J608" s="14" t="n">
        <v>0</v>
      </c>
      <c r="K608" s="14" t="n">
        <v>0</v>
      </c>
      <c r="L608" s="14" t="n">
        <v>0</v>
      </c>
      <c r="M608" s="14">
        <f>IF(B608="Frete de venda",0,(1-ISNUMBER(SEARCH("556",P608)))*(I608*VLOOKUP($B608,Premissas!$A$4:$E$7,2,0)+J608*VLOOKUP($B608,Premissas!$A$4:$E$7,3,0))+K608*VLOOKUP($B608,Premissas!$A$4:$E$7,4,0)+L608*VLOOKUP($B608,Premissas!$A$4:$E$7,5,0))</f>
        <v/>
      </c>
      <c r="N608" s="14">
        <f>H608-M608</f>
        <v/>
      </c>
      <c r="O608" t="inlineStr">
        <is>
          <t>Não</t>
        </is>
      </c>
      <c r="P608" t="inlineStr">
        <is>
          <t>1.350</t>
        </is>
      </c>
    </row>
    <row r="609">
      <c r="A609" t="inlineStr">
        <is>
          <t>Antes de 2026</t>
        </is>
      </c>
      <c r="B609" t="inlineStr">
        <is>
          <t>Frete de venda</t>
        </is>
      </c>
      <c r="C609" t="inlineStr">
        <is>
          <t>Frete de venda (para clientes)</t>
        </is>
      </c>
      <c r="D609" t="inlineStr">
        <is>
          <t>CT-e</t>
        </is>
      </c>
      <c r="E609" t="inlineStr">
        <is>
          <t>000005803</t>
        </is>
      </c>
      <c r="F609" t="inlineStr">
        <is>
          <t>R&amp;R TRANSPORTE E LOGISTICA</t>
        </is>
      </c>
      <c r="G609" s="27" t="n">
        <v>45981</v>
      </c>
      <c r="H609" s="14" t="n">
        <v>55.45</v>
      </c>
      <c r="I609" s="14" t="n">
        <v>0</v>
      </c>
      <c r="J609" s="14" t="n">
        <v>0</v>
      </c>
      <c r="K609" s="14" t="n">
        <v>0</v>
      </c>
      <c r="L609" s="14" t="n">
        <v>0</v>
      </c>
      <c r="M609" s="14">
        <f>IF(B609="Frete de venda",0,(1-ISNUMBER(SEARCH("556",P609)))*(I609*VLOOKUP($B609,Premissas!$A$4:$E$7,2,0)+J609*VLOOKUP($B609,Premissas!$A$4:$E$7,3,0))+K609*VLOOKUP($B609,Premissas!$A$4:$E$7,4,0)+L609*VLOOKUP($B609,Premissas!$A$4:$E$7,5,0))</f>
        <v/>
      </c>
      <c r="N609" s="14">
        <f>H609-M609</f>
        <v/>
      </c>
      <c r="O609" t="inlineStr">
        <is>
          <t>Não</t>
        </is>
      </c>
      <c r="P609" t="inlineStr">
        <is>
          <t>1.350</t>
        </is>
      </c>
    </row>
    <row r="610">
      <c r="A610" t="inlineStr">
        <is>
          <t>Antes de 2026</t>
        </is>
      </c>
      <c r="B610" t="inlineStr">
        <is>
          <t>Frete de venda</t>
        </is>
      </c>
      <c r="C610" t="inlineStr">
        <is>
          <t>Frete de venda (para clientes)</t>
        </is>
      </c>
      <c r="D610" t="inlineStr">
        <is>
          <t>CT-e</t>
        </is>
      </c>
      <c r="E610" t="inlineStr">
        <is>
          <t>000004743</t>
        </is>
      </c>
      <c r="F610" t="inlineStr">
        <is>
          <t>R&amp;R TRANSPORTE E LOGISTICA</t>
        </is>
      </c>
      <c r="G610" s="27" t="n">
        <v>45863</v>
      </c>
      <c r="H610" s="14" t="n">
        <v>32.56</v>
      </c>
      <c r="I610" s="14" t="n">
        <v>0</v>
      </c>
      <c r="J610" s="14" t="n">
        <v>0</v>
      </c>
      <c r="K610" s="14" t="n">
        <v>0</v>
      </c>
      <c r="L610" s="14" t="n">
        <v>0</v>
      </c>
      <c r="M610" s="14">
        <f>IF(B610="Frete de venda",0,(1-ISNUMBER(SEARCH("556",P610)))*(I610*VLOOKUP($B610,Premissas!$A$4:$E$7,2,0)+J610*VLOOKUP($B610,Premissas!$A$4:$E$7,3,0))+K610*VLOOKUP($B610,Premissas!$A$4:$E$7,4,0)+L610*VLOOKUP($B610,Premissas!$A$4:$E$7,5,0))</f>
        <v/>
      </c>
      <c r="N610" s="14">
        <f>H610-M610</f>
        <v/>
      </c>
      <c r="O610" t="inlineStr">
        <is>
          <t>Não</t>
        </is>
      </c>
      <c r="P610" t="inlineStr">
        <is>
          <t>1.350</t>
        </is>
      </c>
    </row>
    <row r="611">
      <c r="A611" t="inlineStr">
        <is>
          <t>Antes de 2026</t>
        </is>
      </c>
      <c r="B611" t="inlineStr">
        <is>
          <t>Frete de venda</t>
        </is>
      </c>
      <c r="C611" t="inlineStr">
        <is>
          <t>Frete de venda (para clientes)</t>
        </is>
      </c>
      <c r="D611" t="inlineStr">
        <is>
          <t>CT-e</t>
        </is>
      </c>
      <c r="E611" t="inlineStr">
        <is>
          <t>000004508</t>
        </is>
      </c>
      <c r="F611" t="inlineStr">
        <is>
          <t>R&amp;R TRANSPORTE E LOGISTICA</t>
        </is>
      </c>
      <c r="G611" s="27" t="n">
        <v>45833</v>
      </c>
      <c r="H611" s="14" t="n">
        <v>39.51</v>
      </c>
      <c r="I611" s="14" t="n">
        <v>0</v>
      </c>
      <c r="J611" s="14" t="n">
        <v>0</v>
      </c>
      <c r="K611" s="14" t="n">
        <v>0</v>
      </c>
      <c r="L611" s="14" t="n">
        <v>0</v>
      </c>
      <c r="M611" s="14">
        <f>IF(B611="Frete de venda",0,(1-ISNUMBER(SEARCH("556",P611)))*(I611*VLOOKUP($B611,Premissas!$A$4:$E$7,2,0)+J611*VLOOKUP($B611,Premissas!$A$4:$E$7,3,0))+K611*VLOOKUP($B611,Premissas!$A$4:$E$7,4,0)+L611*VLOOKUP($B611,Premissas!$A$4:$E$7,5,0))</f>
        <v/>
      </c>
      <c r="N611" s="14">
        <f>H611-M611</f>
        <v/>
      </c>
      <c r="O611" t="inlineStr">
        <is>
          <t>Não</t>
        </is>
      </c>
      <c r="P611" t="inlineStr">
        <is>
          <t>1.350</t>
        </is>
      </c>
    </row>
    <row r="612">
      <c r="A612" t="inlineStr">
        <is>
          <t>Antes de 2026</t>
        </is>
      </c>
      <c r="B612" t="inlineStr">
        <is>
          <t>Frete de venda</t>
        </is>
      </c>
      <c r="C612" t="inlineStr">
        <is>
          <t>Frete de venda (para clientes)</t>
        </is>
      </c>
      <c r="D612" t="inlineStr">
        <is>
          <t>CT-e</t>
        </is>
      </c>
      <c r="E612" t="inlineStr">
        <is>
          <t>000005910</t>
        </is>
      </c>
      <c r="F612" t="inlineStr">
        <is>
          <t>R&amp;R TRANSPORTE E LOGISTICA</t>
        </is>
      </c>
      <c r="G612" s="27" t="n">
        <v>45994</v>
      </c>
      <c r="H612" s="14" t="n">
        <v>51.89</v>
      </c>
      <c r="I612" s="14" t="n">
        <v>0</v>
      </c>
      <c r="J612" s="14" t="n">
        <v>0</v>
      </c>
      <c r="K612" s="14" t="n">
        <v>0</v>
      </c>
      <c r="L612" s="14" t="n">
        <v>0</v>
      </c>
      <c r="M612" s="14">
        <f>IF(B612="Frete de venda",0,(1-ISNUMBER(SEARCH("556",P612)))*(I612*VLOOKUP($B612,Premissas!$A$4:$E$7,2,0)+J612*VLOOKUP($B612,Premissas!$A$4:$E$7,3,0))+K612*VLOOKUP($B612,Premissas!$A$4:$E$7,4,0)+L612*VLOOKUP($B612,Premissas!$A$4:$E$7,5,0))</f>
        <v/>
      </c>
      <c r="N612" s="14">
        <f>H612-M612</f>
        <v/>
      </c>
      <c r="O612" t="inlineStr">
        <is>
          <t>Não</t>
        </is>
      </c>
      <c r="P612" t="inlineStr">
        <is>
          <t>1.350</t>
        </is>
      </c>
    </row>
    <row r="613">
      <c r="A613" t="inlineStr">
        <is>
          <t>Antes de 2026</t>
        </is>
      </c>
      <c r="B613" t="inlineStr">
        <is>
          <t>Frete de venda</t>
        </is>
      </c>
      <c r="C613" t="inlineStr">
        <is>
          <t>Frete de venda (para clientes)</t>
        </is>
      </c>
      <c r="D613" t="inlineStr">
        <is>
          <t>CT-e</t>
        </is>
      </c>
      <c r="E613" t="inlineStr">
        <is>
          <t>000004820</t>
        </is>
      </c>
      <c r="F613" t="inlineStr">
        <is>
          <t>R&amp;R TRANSPORTE E LOGISTICA</t>
        </is>
      </c>
      <c r="G613" s="27" t="n">
        <v>45870</v>
      </c>
      <c r="H613" s="14" t="n">
        <v>15.92</v>
      </c>
      <c r="I613" s="14" t="n">
        <v>0</v>
      </c>
      <c r="J613" s="14" t="n">
        <v>0</v>
      </c>
      <c r="K613" s="14" t="n">
        <v>0</v>
      </c>
      <c r="L613" s="14" t="n">
        <v>0</v>
      </c>
      <c r="M613" s="14">
        <f>IF(B613="Frete de venda",0,(1-ISNUMBER(SEARCH("556",P613)))*(I613*VLOOKUP($B613,Premissas!$A$4:$E$7,2,0)+J613*VLOOKUP($B613,Premissas!$A$4:$E$7,3,0))+K613*VLOOKUP($B613,Premissas!$A$4:$E$7,4,0)+L613*VLOOKUP($B613,Premissas!$A$4:$E$7,5,0))</f>
        <v/>
      </c>
      <c r="N613" s="14">
        <f>H613-M613</f>
        <v/>
      </c>
      <c r="O613" t="inlineStr">
        <is>
          <t>Não</t>
        </is>
      </c>
      <c r="P613" t="inlineStr">
        <is>
          <t>1.350</t>
        </is>
      </c>
    </row>
    <row r="614">
      <c r="A614" t="inlineStr">
        <is>
          <t>Antes de 2026</t>
        </is>
      </c>
      <c r="B614" t="inlineStr">
        <is>
          <t>Frete de venda</t>
        </is>
      </c>
      <c r="C614" t="inlineStr">
        <is>
          <t>Frete de venda (para clientes)</t>
        </is>
      </c>
      <c r="D614" t="inlineStr">
        <is>
          <t>CT-e</t>
        </is>
      </c>
      <c r="E614" t="inlineStr">
        <is>
          <t>000006034</t>
        </is>
      </c>
      <c r="F614" t="inlineStr">
        <is>
          <t>R&amp;R TRANSPORTE E LOGISTICA</t>
        </is>
      </c>
      <c r="G614" s="27" t="n">
        <v>46011</v>
      </c>
      <c r="H614" s="14" t="n">
        <v>31</v>
      </c>
      <c r="I614" s="14" t="n">
        <v>0</v>
      </c>
      <c r="J614" s="14" t="n">
        <v>0</v>
      </c>
      <c r="K614" s="14" t="n">
        <v>0</v>
      </c>
      <c r="L614" s="14" t="n">
        <v>0</v>
      </c>
      <c r="M614" s="14">
        <f>IF(B614="Frete de venda",0,(1-ISNUMBER(SEARCH("556",P614)))*(I614*VLOOKUP($B614,Premissas!$A$4:$E$7,2,0)+J614*VLOOKUP($B614,Premissas!$A$4:$E$7,3,0))+K614*VLOOKUP($B614,Premissas!$A$4:$E$7,4,0)+L614*VLOOKUP($B614,Premissas!$A$4:$E$7,5,0))</f>
        <v/>
      </c>
      <c r="N614" s="14">
        <f>H614-M614</f>
        <v/>
      </c>
      <c r="O614" t="inlineStr">
        <is>
          <t>Não</t>
        </is>
      </c>
      <c r="P614" t="inlineStr">
        <is>
          <t>1.350</t>
        </is>
      </c>
    </row>
    <row r="615">
      <c r="A615" t="inlineStr">
        <is>
          <t>Antes de 2026</t>
        </is>
      </c>
      <c r="B615" t="inlineStr">
        <is>
          <t>Frete de venda</t>
        </is>
      </c>
      <c r="C615" t="inlineStr">
        <is>
          <t>Frete de venda (para clientes)</t>
        </is>
      </c>
      <c r="D615" t="inlineStr">
        <is>
          <t>CT-e</t>
        </is>
      </c>
      <c r="E615" t="inlineStr">
        <is>
          <t>000000095</t>
        </is>
      </c>
      <c r="F615" t="inlineStr">
        <is>
          <t>ADIL CARLOS DA SILVA</t>
        </is>
      </c>
      <c r="G615" s="27" t="n">
        <v>45782</v>
      </c>
      <c r="H615" s="14" t="n">
        <v>10</v>
      </c>
      <c r="I615" s="14" t="n">
        <v>0</v>
      </c>
      <c r="J615" s="14" t="n">
        <v>0</v>
      </c>
      <c r="K615" s="14" t="n">
        <v>0</v>
      </c>
      <c r="L615" s="14" t="n">
        <v>0</v>
      </c>
      <c r="M615" s="14">
        <f>IF(B615="Frete de venda",0,(1-ISNUMBER(SEARCH("556",P615)))*(I615*VLOOKUP($B615,Premissas!$A$4:$E$7,2,0)+J615*VLOOKUP($B615,Premissas!$A$4:$E$7,3,0))+K615*VLOOKUP($B615,Premissas!$A$4:$E$7,4,0)+L615*VLOOKUP($B615,Premissas!$A$4:$E$7,5,0))</f>
        <v/>
      </c>
      <c r="N615" s="14">
        <f>H615-M615</f>
        <v/>
      </c>
      <c r="O615" t="inlineStr">
        <is>
          <t>Não</t>
        </is>
      </c>
      <c r="P615" t="inlineStr">
        <is>
          <t>2.350</t>
        </is>
      </c>
    </row>
    <row r="616">
      <c r="A616" t="inlineStr">
        <is>
          <t>Antes de 2026</t>
        </is>
      </c>
      <c r="B616" t="inlineStr">
        <is>
          <t>Frete de venda</t>
        </is>
      </c>
      <c r="C616" t="inlineStr">
        <is>
          <t>Frete de venda (para clientes)</t>
        </is>
      </c>
      <c r="D616" t="inlineStr">
        <is>
          <t>CT-e</t>
        </is>
      </c>
      <c r="E616" t="inlineStr">
        <is>
          <t>000004331</t>
        </is>
      </c>
      <c r="F616" t="inlineStr">
        <is>
          <t>R&amp;R TRANSPORTE E LOGISTICA</t>
        </is>
      </c>
      <c r="G616" s="27" t="n">
        <v>45806</v>
      </c>
      <c r="H616" s="14" t="n">
        <v>825</v>
      </c>
      <c r="I616" s="14" t="n">
        <v>0</v>
      </c>
      <c r="J616" s="14" t="n">
        <v>0</v>
      </c>
      <c r="K616" s="14" t="n">
        <v>0</v>
      </c>
      <c r="L616" s="14" t="n">
        <v>0</v>
      </c>
      <c r="M616" s="14">
        <f>IF(B616="Frete de venda",0,(1-ISNUMBER(SEARCH("556",P616)))*(I616*VLOOKUP($B616,Premissas!$A$4:$E$7,2,0)+J616*VLOOKUP($B616,Premissas!$A$4:$E$7,3,0))+K616*VLOOKUP($B616,Premissas!$A$4:$E$7,4,0)+L616*VLOOKUP($B616,Premissas!$A$4:$E$7,5,0))</f>
        <v/>
      </c>
      <c r="N616" s="14">
        <f>H616-M616</f>
        <v/>
      </c>
      <c r="O616" t="inlineStr">
        <is>
          <t>Não</t>
        </is>
      </c>
      <c r="P616" t="inlineStr">
        <is>
          <t>1.350</t>
        </is>
      </c>
    </row>
    <row r="617">
      <c r="A617" t="inlineStr">
        <is>
          <t>Antes de 2026</t>
        </is>
      </c>
      <c r="B617" t="inlineStr">
        <is>
          <t>Frete de venda</t>
        </is>
      </c>
      <c r="C617" t="inlineStr">
        <is>
          <t>Frete de venda (para clientes)</t>
        </is>
      </c>
      <c r="D617" t="inlineStr">
        <is>
          <t>CT-e</t>
        </is>
      </c>
      <c r="E617" t="inlineStr">
        <is>
          <t>000004551</t>
        </is>
      </c>
      <c r="F617" t="inlineStr">
        <is>
          <t>R&amp;R TRANSPORTE E LOGISTICA</t>
        </is>
      </c>
      <c r="G617" s="27" t="n">
        <v>45838</v>
      </c>
      <c r="H617" s="14" t="n">
        <v>1650</v>
      </c>
      <c r="I617" s="14" t="n">
        <v>0</v>
      </c>
      <c r="J617" s="14" t="n">
        <v>0</v>
      </c>
      <c r="K617" s="14" t="n">
        <v>0</v>
      </c>
      <c r="L617" s="14" t="n">
        <v>0</v>
      </c>
      <c r="M617" s="14">
        <f>IF(B617="Frete de venda",0,(1-ISNUMBER(SEARCH("556",P617)))*(I617*VLOOKUP($B617,Premissas!$A$4:$E$7,2,0)+J617*VLOOKUP($B617,Premissas!$A$4:$E$7,3,0))+K617*VLOOKUP($B617,Premissas!$A$4:$E$7,4,0)+L617*VLOOKUP($B617,Premissas!$A$4:$E$7,5,0))</f>
        <v/>
      </c>
      <c r="N617" s="14">
        <f>H617-M617</f>
        <v/>
      </c>
      <c r="O617" t="inlineStr">
        <is>
          <t>Não</t>
        </is>
      </c>
      <c r="P617" t="inlineStr">
        <is>
          <t>1.350</t>
        </is>
      </c>
    </row>
    <row r="618">
      <c r="A618" t="inlineStr">
        <is>
          <t>Antes de 2026</t>
        </is>
      </c>
      <c r="B618" t="inlineStr">
        <is>
          <t>Frete de venda</t>
        </is>
      </c>
      <c r="C618" t="inlineStr">
        <is>
          <t>Frete de venda (para clientes)</t>
        </is>
      </c>
      <c r="D618" t="inlineStr">
        <is>
          <t>CT-e</t>
        </is>
      </c>
      <c r="E618" t="inlineStr">
        <is>
          <t>000004555</t>
        </is>
      </c>
      <c r="F618" t="inlineStr">
        <is>
          <t>R&amp;R TRANSPORTE E LOGISTICA</t>
        </is>
      </c>
      <c r="G618" s="27" t="n">
        <v>45839</v>
      </c>
      <c r="H618" s="14" t="n">
        <v>276</v>
      </c>
      <c r="I618" s="14" t="n">
        <v>0</v>
      </c>
      <c r="J618" s="14" t="n">
        <v>0</v>
      </c>
      <c r="K618" s="14" t="n">
        <v>0</v>
      </c>
      <c r="L618" s="14" t="n">
        <v>0</v>
      </c>
      <c r="M618" s="14">
        <f>IF(B618="Frete de venda",0,(1-ISNUMBER(SEARCH("556",P618)))*(I618*VLOOKUP($B618,Premissas!$A$4:$E$7,2,0)+J618*VLOOKUP($B618,Premissas!$A$4:$E$7,3,0))+K618*VLOOKUP($B618,Premissas!$A$4:$E$7,4,0)+L618*VLOOKUP($B618,Premissas!$A$4:$E$7,5,0))</f>
        <v/>
      </c>
      <c r="N618" s="14">
        <f>H618-M618</f>
        <v/>
      </c>
      <c r="O618" t="inlineStr">
        <is>
          <t>Não</t>
        </is>
      </c>
      <c r="P618" t="inlineStr">
        <is>
          <t>1.350</t>
        </is>
      </c>
    </row>
    <row r="619">
      <c r="A619" t="inlineStr">
        <is>
          <t>Antes de 2026</t>
        </is>
      </c>
      <c r="B619" t="inlineStr">
        <is>
          <t>Frete de venda</t>
        </is>
      </c>
      <c r="C619" t="inlineStr">
        <is>
          <t>Frete de venda (para clientes)</t>
        </is>
      </c>
      <c r="D619" t="inlineStr">
        <is>
          <t>CT-e</t>
        </is>
      </c>
      <c r="E619" t="inlineStr">
        <is>
          <t>000004917</t>
        </is>
      </c>
      <c r="F619" t="inlineStr">
        <is>
          <t>R&amp;R TRANSPORTE E LOGISTICA</t>
        </is>
      </c>
      <c r="G619" s="27" t="n">
        <v>45883</v>
      </c>
      <c r="H619" s="14" t="n">
        <v>1650</v>
      </c>
      <c r="I619" s="14" t="n">
        <v>0</v>
      </c>
      <c r="J619" s="14" t="n">
        <v>0</v>
      </c>
      <c r="K619" s="14" t="n">
        <v>0</v>
      </c>
      <c r="L619" s="14" t="n">
        <v>0</v>
      </c>
      <c r="M619" s="14">
        <f>IF(B619="Frete de venda",0,(1-ISNUMBER(SEARCH("556",P619)))*(I619*VLOOKUP($B619,Premissas!$A$4:$E$7,2,0)+J619*VLOOKUP($B619,Premissas!$A$4:$E$7,3,0))+K619*VLOOKUP($B619,Premissas!$A$4:$E$7,4,0)+L619*VLOOKUP($B619,Premissas!$A$4:$E$7,5,0))</f>
        <v/>
      </c>
      <c r="N619" s="14">
        <f>H619-M619</f>
        <v/>
      </c>
      <c r="O619" t="inlineStr">
        <is>
          <t>Não</t>
        </is>
      </c>
      <c r="P619" t="inlineStr">
        <is>
          <t>1.350</t>
        </is>
      </c>
    </row>
    <row r="620">
      <c r="A620" t="inlineStr">
        <is>
          <t>Antes de 2026</t>
        </is>
      </c>
      <c r="B620" t="inlineStr">
        <is>
          <t>Frete de venda</t>
        </is>
      </c>
      <c r="C620" t="inlineStr">
        <is>
          <t>Frete de venda (para clientes)</t>
        </is>
      </c>
      <c r="D620" t="inlineStr">
        <is>
          <t>CT-e</t>
        </is>
      </c>
      <c r="E620" t="inlineStr">
        <is>
          <t>000004944</t>
        </is>
      </c>
      <c r="F620" t="inlineStr">
        <is>
          <t>R&amp;R TRANSPORTE E LOGISTICA</t>
        </is>
      </c>
      <c r="G620" s="27" t="n">
        <v>45885</v>
      </c>
      <c r="H620" s="14" t="n">
        <v>350</v>
      </c>
      <c r="I620" s="14" t="n">
        <v>0</v>
      </c>
      <c r="J620" s="14" t="n">
        <v>0</v>
      </c>
      <c r="K620" s="14" t="n">
        <v>0</v>
      </c>
      <c r="L620" s="14" t="n">
        <v>0</v>
      </c>
      <c r="M620" s="14">
        <f>IF(B620="Frete de venda",0,(1-ISNUMBER(SEARCH("556",P620)))*(I620*VLOOKUP($B620,Premissas!$A$4:$E$7,2,0)+J620*VLOOKUP($B620,Premissas!$A$4:$E$7,3,0))+K620*VLOOKUP($B620,Premissas!$A$4:$E$7,4,0)+L620*VLOOKUP($B620,Premissas!$A$4:$E$7,5,0))</f>
        <v/>
      </c>
      <c r="N620" s="14">
        <f>H620-M620</f>
        <v/>
      </c>
      <c r="O620" t="inlineStr">
        <is>
          <t>Não</t>
        </is>
      </c>
      <c r="P620" t="inlineStr">
        <is>
          <t>1.350</t>
        </is>
      </c>
    </row>
    <row r="621">
      <c r="A621" t="inlineStr">
        <is>
          <t>Antes de 2026</t>
        </is>
      </c>
      <c r="B621" t="inlineStr">
        <is>
          <t>Frete de venda</t>
        </is>
      </c>
      <c r="C621" t="inlineStr">
        <is>
          <t>Frete de venda (para clientes)</t>
        </is>
      </c>
      <c r="D621" t="inlineStr">
        <is>
          <t>CT-e</t>
        </is>
      </c>
      <c r="E621" t="inlineStr">
        <is>
          <t>000000392</t>
        </is>
      </c>
      <c r="F621" t="inlineStr">
        <is>
          <t>ADIL CARLOS DA SILVA</t>
        </is>
      </c>
      <c r="G621" s="27" t="n">
        <v>45919</v>
      </c>
      <c r="H621" s="14" t="n">
        <v>1</v>
      </c>
      <c r="I621" s="14" t="n">
        <v>0</v>
      </c>
      <c r="J621" s="14" t="n">
        <v>0</v>
      </c>
      <c r="K621" s="14" t="n">
        <v>0</v>
      </c>
      <c r="L621" s="14" t="n">
        <v>0</v>
      </c>
      <c r="M621" s="14">
        <f>IF(B621="Frete de venda",0,(1-ISNUMBER(SEARCH("556",P621)))*(I621*VLOOKUP($B621,Premissas!$A$4:$E$7,2,0)+J621*VLOOKUP($B621,Premissas!$A$4:$E$7,3,0))+K621*VLOOKUP($B621,Premissas!$A$4:$E$7,4,0)+L621*VLOOKUP($B621,Premissas!$A$4:$E$7,5,0))</f>
        <v/>
      </c>
      <c r="N621" s="14">
        <f>H621-M621</f>
        <v/>
      </c>
      <c r="O621" t="inlineStr">
        <is>
          <t>Não</t>
        </is>
      </c>
      <c r="P621" t="inlineStr">
        <is>
          <t>2.350</t>
        </is>
      </c>
    </row>
    <row r="622">
      <c r="A622" t="inlineStr">
        <is>
          <t>Antes de 2026</t>
        </is>
      </c>
      <c r="B622" t="inlineStr">
        <is>
          <t>Frete de venda</t>
        </is>
      </c>
      <c r="C622" t="inlineStr">
        <is>
          <t>Frete de venda (para clientes)</t>
        </is>
      </c>
      <c r="D622" t="inlineStr">
        <is>
          <t>CT-e</t>
        </is>
      </c>
      <c r="E622" t="inlineStr">
        <is>
          <t>000004734</t>
        </is>
      </c>
      <c r="F622" t="inlineStr">
        <is>
          <t>R&amp;R TRANSPORTE E LOGISTICA</t>
        </is>
      </c>
      <c r="G622" s="27" t="n">
        <v>45862</v>
      </c>
      <c r="H622" s="14" t="n">
        <v>39</v>
      </c>
      <c r="I622" s="14" t="n">
        <v>0</v>
      </c>
      <c r="J622" s="14" t="n">
        <v>0</v>
      </c>
      <c r="K622" s="14" t="n">
        <v>0</v>
      </c>
      <c r="L622" s="14" t="n">
        <v>0</v>
      </c>
      <c r="M622" s="14">
        <f>IF(B622="Frete de venda",0,(1-ISNUMBER(SEARCH("556",P622)))*(I622*VLOOKUP($B622,Premissas!$A$4:$E$7,2,0)+J622*VLOOKUP($B622,Premissas!$A$4:$E$7,3,0))+K622*VLOOKUP($B622,Premissas!$A$4:$E$7,4,0)+L622*VLOOKUP($B622,Premissas!$A$4:$E$7,5,0))</f>
        <v/>
      </c>
      <c r="N622" s="14">
        <f>H622-M622</f>
        <v/>
      </c>
      <c r="O622" t="inlineStr">
        <is>
          <t>Não</t>
        </is>
      </c>
      <c r="P622" t="inlineStr">
        <is>
          <t>1.350</t>
        </is>
      </c>
    </row>
    <row r="623">
      <c r="A623" t="inlineStr">
        <is>
          <t>Antes de 2026</t>
        </is>
      </c>
      <c r="B623" t="inlineStr">
        <is>
          <t>Frete de venda</t>
        </is>
      </c>
      <c r="C623" t="inlineStr">
        <is>
          <t>Frete de venda (para clientes)</t>
        </is>
      </c>
      <c r="D623" t="inlineStr">
        <is>
          <t>CT-e</t>
        </is>
      </c>
      <c r="E623" t="inlineStr">
        <is>
          <t>000005096</t>
        </is>
      </c>
      <c r="F623" t="inlineStr">
        <is>
          <t>R&amp;R TRANSPORTE E LOGISTICA</t>
        </is>
      </c>
      <c r="G623" s="27" t="n">
        <v>45901</v>
      </c>
      <c r="H623" s="14" t="n">
        <v>31.48</v>
      </c>
      <c r="I623" s="14" t="n">
        <v>0</v>
      </c>
      <c r="J623" s="14" t="n">
        <v>0</v>
      </c>
      <c r="K623" s="14" t="n">
        <v>0</v>
      </c>
      <c r="L623" s="14" t="n">
        <v>0</v>
      </c>
      <c r="M623" s="14">
        <f>IF(B623="Frete de venda",0,(1-ISNUMBER(SEARCH("556",P623)))*(I623*VLOOKUP($B623,Premissas!$A$4:$E$7,2,0)+J623*VLOOKUP($B623,Premissas!$A$4:$E$7,3,0))+K623*VLOOKUP($B623,Premissas!$A$4:$E$7,4,0)+L623*VLOOKUP($B623,Premissas!$A$4:$E$7,5,0))</f>
        <v/>
      </c>
      <c r="N623" s="14">
        <f>H623-M623</f>
        <v/>
      </c>
      <c r="O623" t="inlineStr">
        <is>
          <t>Não</t>
        </is>
      </c>
      <c r="P623" t="inlineStr">
        <is>
          <t>1.350</t>
        </is>
      </c>
    </row>
    <row r="624">
      <c r="A624" t="inlineStr">
        <is>
          <t>Antes de 2026</t>
        </is>
      </c>
      <c r="B624" t="inlineStr">
        <is>
          <t>Frete de venda</t>
        </is>
      </c>
      <c r="C624" t="inlineStr">
        <is>
          <t>Frete de venda (para clientes)</t>
        </is>
      </c>
      <c r="D624" t="inlineStr">
        <is>
          <t>CT-e</t>
        </is>
      </c>
      <c r="E624" t="inlineStr">
        <is>
          <t>000005218</t>
        </is>
      </c>
      <c r="F624" t="inlineStr">
        <is>
          <t>R&amp;R TRANSPORTE E LOGISTICA</t>
        </is>
      </c>
      <c r="G624" s="27" t="n">
        <v>45917</v>
      </c>
      <c r="H624" s="14" t="n">
        <v>786</v>
      </c>
      <c r="I624" s="14" t="n">
        <v>0</v>
      </c>
      <c r="J624" s="14" t="n">
        <v>0</v>
      </c>
      <c r="K624" s="14" t="n">
        <v>0</v>
      </c>
      <c r="L624" s="14" t="n">
        <v>0</v>
      </c>
      <c r="M624" s="14">
        <f>IF(B624="Frete de venda",0,(1-ISNUMBER(SEARCH("556",P624)))*(I624*VLOOKUP($B624,Premissas!$A$4:$E$7,2,0)+J624*VLOOKUP($B624,Premissas!$A$4:$E$7,3,0))+K624*VLOOKUP($B624,Premissas!$A$4:$E$7,4,0)+L624*VLOOKUP($B624,Premissas!$A$4:$E$7,5,0))</f>
        <v/>
      </c>
      <c r="N624" s="14">
        <f>H624-M624</f>
        <v/>
      </c>
      <c r="O624" t="inlineStr">
        <is>
          <t>Não</t>
        </is>
      </c>
      <c r="P624" t="inlineStr">
        <is>
          <t>1.350</t>
        </is>
      </c>
    </row>
    <row r="625">
      <c r="A625" t="inlineStr">
        <is>
          <t>Antes de 2026</t>
        </is>
      </c>
      <c r="B625" t="inlineStr">
        <is>
          <t>Frete de venda</t>
        </is>
      </c>
      <c r="C625" t="inlineStr">
        <is>
          <t>Frete de venda (para clientes)</t>
        </is>
      </c>
      <c r="D625" t="inlineStr">
        <is>
          <t>CT-e</t>
        </is>
      </c>
      <c r="E625" t="inlineStr">
        <is>
          <t>000005929</t>
        </is>
      </c>
      <c r="F625" t="inlineStr">
        <is>
          <t>R&amp;R TRANSPORTE E LOGISTICA</t>
        </is>
      </c>
      <c r="G625" s="27" t="n">
        <v>45996</v>
      </c>
      <c r="H625" s="14" t="n">
        <v>24.11</v>
      </c>
      <c r="I625" s="14" t="n">
        <v>0</v>
      </c>
      <c r="J625" s="14" t="n">
        <v>0</v>
      </c>
      <c r="K625" s="14" t="n">
        <v>0</v>
      </c>
      <c r="L625" s="14" t="n">
        <v>0</v>
      </c>
      <c r="M625" s="14">
        <f>IF(B625="Frete de venda",0,(1-ISNUMBER(SEARCH("556",P625)))*(I625*VLOOKUP($B625,Premissas!$A$4:$E$7,2,0)+J625*VLOOKUP($B625,Premissas!$A$4:$E$7,3,0))+K625*VLOOKUP($B625,Premissas!$A$4:$E$7,4,0)+L625*VLOOKUP($B625,Premissas!$A$4:$E$7,5,0))</f>
        <v/>
      </c>
      <c r="N625" s="14">
        <f>H625-M625</f>
        <v/>
      </c>
      <c r="O625" t="inlineStr">
        <is>
          <t>Não</t>
        </is>
      </c>
      <c r="P625" t="inlineStr">
        <is>
          <t>1.350</t>
        </is>
      </c>
    </row>
    <row r="626">
      <c r="A626" t="inlineStr">
        <is>
          <t>Antes de 2026</t>
        </is>
      </c>
      <c r="B626" t="inlineStr">
        <is>
          <t>Frete de venda</t>
        </is>
      </c>
      <c r="C626" t="inlineStr">
        <is>
          <t>Frete de venda (para clientes)</t>
        </is>
      </c>
      <c r="D626" t="inlineStr">
        <is>
          <t>CT-e</t>
        </is>
      </c>
      <c r="E626" t="inlineStr">
        <is>
          <t>000023266</t>
        </is>
      </c>
      <c r="F626" t="inlineStr">
        <is>
          <t>PICCOLI LOGISTICA E TRANSPORTES LTDA</t>
        </is>
      </c>
      <c r="G626" s="27" t="n">
        <v>46002</v>
      </c>
      <c r="H626" s="14" t="n">
        <v>0.1</v>
      </c>
      <c r="I626" s="14" t="n">
        <v>0</v>
      </c>
      <c r="J626" s="14" t="n">
        <v>0.01</v>
      </c>
      <c r="K626" s="14" t="n">
        <v>0</v>
      </c>
      <c r="L626" s="14" t="n">
        <v>0</v>
      </c>
      <c r="M626" s="14">
        <f>IF(B626="Frete de venda",0,(1-ISNUMBER(SEARCH("556",P626)))*(I626*VLOOKUP($B626,Premissas!$A$4:$E$7,2,0)+J626*VLOOKUP($B626,Premissas!$A$4:$E$7,3,0))+K626*VLOOKUP($B626,Premissas!$A$4:$E$7,4,0)+L626*VLOOKUP($B626,Premissas!$A$4:$E$7,5,0))</f>
        <v/>
      </c>
      <c r="N626" s="14">
        <f>H626-M626</f>
        <v/>
      </c>
      <c r="O626" t="inlineStr">
        <is>
          <t>Não</t>
        </is>
      </c>
      <c r="P626" t="inlineStr">
        <is>
          <t>2.350</t>
        </is>
      </c>
    </row>
    <row r="627">
      <c r="A627" t="inlineStr">
        <is>
          <t>Antes de 2026</t>
        </is>
      </c>
      <c r="B627" t="inlineStr">
        <is>
          <t>Frete de venda</t>
        </is>
      </c>
      <c r="C627" t="inlineStr">
        <is>
          <t>Frete de venda (para clientes)</t>
        </is>
      </c>
      <c r="D627" t="inlineStr">
        <is>
          <t>CT-e</t>
        </is>
      </c>
      <c r="E627" t="inlineStr">
        <is>
          <t>000005629</t>
        </is>
      </c>
      <c r="F627" t="inlineStr">
        <is>
          <t>R&amp;R TRANSPORTE E LOGISTICA</t>
        </is>
      </c>
      <c r="G627" s="27" t="n">
        <v>45961</v>
      </c>
      <c r="H627" s="14" t="n">
        <v>23.24</v>
      </c>
      <c r="I627" s="14" t="n">
        <v>0</v>
      </c>
      <c r="J627" s="14" t="n">
        <v>0</v>
      </c>
      <c r="K627" s="14" t="n">
        <v>0</v>
      </c>
      <c r="L627" s="14" t="n">
        <v>0</v>
      </c>
      <c r="M627" s="14">
        <f>IF(B627="Frete de venda",0,(1-ISNUMBER(SEARCH("556",P627)))*(I627*VLOOKUP($B627,Premissas!$A$4:$E$7,2,0)+J627*VLOOKUP($B627,Premissas!$A$4:$E$7,3,0))+K627*VLOOKUP($B627,Premissas!$A$4:$E$7,4,0)+L627*VLOOKUP($B627,Premissas!$A$4:$E$7,5,0))</f>
        <v/>
      </c>
      <c r="N627" s="14">
        <f>H627-M627</f>
        <v/>
      </c>
      <c r="O627" t="inlineStr">
        <is>
          <t>Não</t>
        </is>
      </c>
      <c r="P627" t="inlineStr">
        <is>
          <t>1.350</t>
        </is>
      </c>
    </row>
    <row r="628">
      <c r="A628" t="inlineStr">
        <is>
          <t>Antes de 2026</t>
        </is>
      </c>
      <c r="B628" t="inlineStr">
        <is>
          <t>Frete de venda</t>
        </is>
      </c>
      <c r="C628" t="inlineStr">
        <is>
          <t>Frete de venda (para clientes)</t>
        </is>
      </c>
      <c r="D628" t="inlineStr">
        <is>
          <t>CT-e</t>
        </is>
      </c>
      <c r="E628" t="inlineStr">
        <is>
          <t>000004214</t>
        </is>
      </c>
      <c r="F628" t="inlineStr">
        <is>
          <t>R&amp;R TRANSPORTE E LOGISTICA</t>
        </is>
      </c>
      <c r="G628" s="27" t="n">
        <v>45790</v>
      </c>
      <c r="H628" s="14" t="n">
        <v>47.5</v>
      </c>
      <c r="I628" s="14" t="n">
        <v>0</v>
      </c>
      <c r="J628" s="14" t="n">
        <v>0</v>
      </c>
      <c r="K628" s="14" t="n">
        <v>0</v>
      </c>
      <c r="L628" s="14" t="n">
        <v>0</v>
      </c>
      <c r="M628" s="14">
        <f>IF(B628="Frete de venda",0,(1-ISNUMBER(SEARCH("556",P628)))*(I628*VLOOKUP($B628,Premissas!$A$4:$E$7,2,0)+J628*VLOOKUP($B628,Premissas!$A$4:$E$7,3,0))+K628*VLOOKUP($B628,Premissas!$A$4:$E$7,4,0)+L628*VLOOKUP($B628,Premissas!$A$4:$E$7,5,0))</f>
        <v/>
      </c>
      <c r="N628" s="14">
        <f>H628-M628</f>
        <v/>
      </c>
      <c r="O628" t="inlineStr">
        <is>
          <t>Não</t>
        </is>
      </c>
      <c r="P628" t="inlineStr">
        <is>
          <t>1.350</t>
        </is>
      </c>
    </row>
    <row r="629">
      <c r="A629" t="inlineStr">
        <is>
          <t>Antes de 2026</t>
        </is>
      </c>
      <c r="B629" t="inlineStr">
        <is>
          <t>Frete de venda</t>
        </is>
      </c>
      <c r="C629" t="inlineStr">
        <is>
          <t>Frete de venda (para clientes)</t>
        </is>
      </c>
      <c r="D629" t="inlineStr">
        <is>
          <t>CT-e</t>
        </is>
      </c>
      <c r="E629" t="inlineStr">
        <is>
          <t>000004598</t>
        </is>
      </c>
      <c r="F629" t="inlineStr">
        <is>
          <t>R&amp;R TRANSPORTE E LOGISTICA</t>
        </is>
      </c>
      <c r="G629" s="27" t="n">
        <v>45843</v>
      </c>
      <c r="H629" s="14" t="n">
        <v>53</v>
      </c>
      <c r="I629" s="14" t="n">
        <v>0</v>
      </c>
      <c r="J629" s="14" t="n">
        <v>0</v>
      </c>
      <c r="K629" s="14" t="n">
        <v>0</v>
      </c>
      <c r="L629" s="14" t="n">
        <v>0</v>
      </c>
      <c r="M629" s="14">
        <f>IF(B629="Frete de venda",0,(1-ISNUMBER(SEARCH("556",P629)))*(I629*VLOOKUP($B629,Premissas!$A$4:$E$7,2,0)+J629*VLOOKUP($B629,Premissas!$A$4:$E$7,3,0))+K629*VLOOKUP($B629,Premissas!$A$4:$E$7,4,0)+L629*VLOOKUP($B629,Premissas!$A$4:$E$7,5,0))</f>
        <v/>
      </c>
      <c r="N629" s="14">
        <f>H629-M629</f>
        <v/>
      </c>
      <c r="O629" t="inlineStr">
        <is>
          <t>Não</t>
        </is>
      </c>
      <c r="P629" t="inlineStr">
        <is>
          <t>1.350</t>
        </is>
      </c>
    </row>
    <row r="630">
      <c r="A630" t="inlineStr">
        <is>
          <t>Antes de 2026</t>
        </is>
      </c>
      <c r="B630" t="inlineStr">
        <is>
          <t>Frete de venda</t>
        </is>
      </c>
      <c r="C630" t="inlineStr">
        <is>
          <t>Frete de venda (para clientes)</t>
        </is>
      </c>
      <c r="D630" t="inlineStr">
        <is>
          <t>CT-e</t>
        </is>
      </c>
      <c r="E630" t="inlineStr">
        <is>
          <t>000005263</t>
        </is>
      </c>
      <c r="F630" t="inlineStr">
        <is>
          <t>R&amp;R TRANSPORTE E LOGISTICA</t>
        </is>
      </c>
      <c r="G630" s="27" t="n">
        <v>45922</v>
      </c>
      <c r="H630" s="14" t="n">
        <v>46.04</v>
      </c>
      <c r="I630" s="14" t="n">
        <v>0</v>
      </c>
      <c r="J630" s="14" t="n">
        <v>0</v>
      </c>
      <c r="K630" s="14" t="n">
        <v>0</v>
      </c>
      <c r="L630" s="14" t="n">
        <v>0</v>
      </c>
      <c r="M630" s="14">
        <f>IF(B630="Frete de venda",0,(1-ISNUMBER(SEARCH("556",P630)))*(I630*VLOOKUP($B630,Premissas!$A$4:$E$7,2,0)+J630*VLOOKUP($B630,Premissas!$A$4:$E$7,3,0))+K630*VLOOKUP($B630,Premissas!$A$4:$E$7,4,0)+L630*VLOOKUP($B630,Premissas!$A$4:$E$7,5,0))</f>
        <v/>
      </c>
      <c r="N630" s="14">
        <f>H630-M630</f>
        <v/>
      </c>
      <c r="O630" t="inlineStr">
        <is>
          <t>Não</t>
        </is>
      </c>
      <c r="P630" t="inlineStr">
        <is>
          <t>1.350</t>
        </is>
      </c>
    </row>
    <row r="631">
      <c r="A631" t="inlineStr">
        <is>
          <t>Antes de 2026</t>
        </is>
      </c>
      <c r="B631" t="inlineStr">
        <is>
          <t>Frete de venda</t>
        </is>
      </c>
      <c r="C631" t="inlineStr">
        <is>
          <t>Frete de venda (para clientes)</t>
        </is>
      </c>
      <c r="D631" t="inlineStr">
        <is>
          <t>CT-e</t>
        </is>
      </c>
      <c r="E631" t="inlineStr">
        <is>
          <t>000020451</t>
        </is>
      </c>
      <c r="F631" t="inlineStr">
        <is>
          <t>TRANSPORTE OLIVEIRA E MELLOI - IDEALIZA TRANSPORTES</t>
        </is>
      </c>
      <c r="G631" s="27" t="n">
        <v>45600</v>
      </c>
      <c r="H631" s="14" t="n">
        <v>340.2</v>
      </c>
      <c r="I631" s="14" t="n">
        <v>0</v>
      </c>
      <c r="J631" s="14" t="n">
        <v>0</v>
      </c>
      <c r="K631" s="14" t="n">
        <v>0</v>
      </c>
      <c r="L631" s="14" t="n">
        <v>0</v>
      </c>
      <c r="M631" s="14">
        <f>IF(B631="Frete de venda",0,(1-ISNUMBER(SEARCH("556",P631)))*(I631*VLOOKUP($B631,Premissas!$A$4:$E$7,2,0)+J631*VLOOKUP($B631,Premissas!$A$4:$E$7,3,0))+K631*VLOOKUP($B631,Premissas!$A$4:$E$7,4,0)+L631*VLOOKUP($B631,Premissas!$A$4:$E$7,5,0))</f>
        <v/>
      </c>
      <c r="N631" s="14">
        <f>H631-M631</f>
        <v/>
      </c>
      <c r="O631" t="inlineStr">
        <is>
          <t>Não</t>
        </is>
      </c>
      <c r="P631" t="inlineStr">
        <is>
          <t>1.350</t>
        </is>
      </c>
    </row>
    <row r="632">
      <c r="A632" t="inlineStr">
        <is>
          <t>Antes de 2026</t>
        </is>
      </c>
      <c r="B632" t="inlineStr">
        <is>
          <t>Frete de venda</t>
        </is>
      </c>
      <c r="C632" t="inlineStr">
        <is>
          <t>Frete de venda (para clientes)</t>
        </is>
      </c>
      <c r="D632" t="inlineStr">
        <is>
          <t>CT-e</t>
        </is>
      </c>
      <c r="E632" t="inlineStr">
        <is>
          <t>000005769</t>
        </is>
      </c>
      <c r="F632" t="inlineStr">
        <is>
          <t>R&amp;R TRANSPORTE E LOGISTICA</t>
        </is>
      </c>
      <c r="G632" s="27" t="n">
        <v>45981</v>
      </c>
      <c r="H632" s="14" t="n">
        <v>16.25</v>
      </c>
      <c r="I632" s="14" t="n">
        <v>0</v>
      </c>
      <c r="J632" s="14" t="n">
        <v>0</v>
      </c>
      <c r="K632" s="14" t="n">
        <v>0</v>
      </c>
      <c r="L632" s="14" t="n">
        <v>0</v>
      </c>
      <c r="M632" s="14">
        <f>IF(B632="Frete de venda",0,(1-ISNUMBER(SEARCH("556",P632)))*(I632*VLOOKUP($B632,Premissas!$A$4:$E$7,2,0)+J632*VLOOKUP($B632,Premissas!$A$4:$E$7,3,0))+K632*VLOOKUP($B632,Premissas!$A$4:$E$7,4,0)+L632*VLOOKUP($B632,Premissas!$A$4:$E$7,5,0))</f>
        <v/>
      </c>
      <c r="N632" s="14">
        <f>H632-M632</f>
        <v/>
      </c>
      <c r="O632" t="inlineStr">
        <is>
          <t>Não</t>
        </is>
      </c>
      <c r="P632" t="inlineStr">
        <is>
          <t>1.350</t>
        </is>
      </c>
    </row>
    <row r="633">
      <c r="A633" t="inlineStr">
        <is>
          <t>Antes de 2026</t>
        </is>
      </c>
      <c r="B633" t="inlineStr">
        <is>
          <t>Frete de venda</t>
        </is>
      </c>
      <c r="C633" t="inlineStr">
        <is>
          <t>Frete de venda (para clientes)</t>
        </is>
      </c>
      <c r="D633" t="inlineStr">
        <is>
          <t>CT-e</t>
        </is>
      </c>
      <c r="E633" t="inlineStr">
        <is>
          <t>000005761</t>
        </is>
      </c>
      <c r="F633" t="inlineStr">
        <is>
          <t>R&amp;R TRANSPORTE E LOGISTICA</t>
        </is>
      </c>
      <c r="G633" s="27" t="n">
        <v>45981</v>
      </c>
      <c r="H633" s="14" t="n">
        <v>16.25</v>
      </c>
      <c r="I633" s="14" t="n">
        <v>0</v>
      </c>
      <c r="J633" s="14" t="n">
        <v>0</v>
      </c>
      <c r="K633" s="14" t="n">
        <v>0</v>
      </c>
      <c r="L633" s="14" t="n">
        <v>0</v>
      </c>
      <c r="M633" s="14">
        <f>IF(B633="Frete de venda",0,(1-ISNUMBER(SEARCH("556",P633)))*(I633*VLOOKUP($B633,Premissas!$A$4:$E$7,2,0)+J633*VLOOKUP($B633,Premissas!$A$4:$E$7,3,0))+K633*VLOOKUP($B633,Premissas!$A$4:$E$7,4,0)+L633*VLOOKUP($B633,Premissas!$A$4:$E$7,5,0))</f>
        <v/>
      </c>
      <c r="N633" s="14">
        <f>H633-M633</f>
        <v/>
      </c>
      <c r="O633" t="inlineStr">
        <is>
          <t>Não</t>
        </is>
      </c>
      <c r="P633" t="inlineStr">
        <is>
          <t>1.350</t>
        </is>
      </c>
    </row>
    <row r="634">
      <c r="A634" t="inlineStr">
        <is>
          <t>Antes de 2026</t>
        </is>
      </c>
      <c r="B634" t="inlineStr">
        <is>
          <t>Frete de venda</t>
        </is>
      </c>
      <c r="C634" t="inlineStr">
        <is>
          <t>Frete de venda (para clientes)</t>
        </is>
      </c>
      <c r="D634" t="inlineStr">
        <is>
          <t>CT-e</t>
        </is>
      </c>
      <c r="E634" t="inlineStr">
        <is>
          <t>000005768</t>
        </is>
      </c>
      <c r="F634" t="inlineStr">
        <is>
          <t>R&amp;R TRANSPORTE E LOGISTICA</t>
        </is>
      </c>
      <c r="G634" s="27" t="n">
        <v>45981</v>
      </c>
      <c r="H634" s="14" t="n">
        <v>23.47</v>
      </c>
      <c r="I634" s="14" t="n">
        <v>0</v>
      </c>
      <c r="J634" s="14" t="n">
        <v>0</v>
      </c>
      <c r="K634" s="14" t="n">
        <v>0</v>
      </c>
      <c r="L634" s="14" t="n">
        <v>0</v>
      </c>
      <c r="M634" s="14">
        <f>IF(B634="Frete de venda",0,(1-ISNUMBER(SEARCH("556",P634)))*(I634*VLOOKUP($B634,Premissas!$A$4:$E$7,2,0)+J634*VLOOKUP($B634,Premissas!$A$4:$E$7,3,0))+K634*VLOOKUP($B634,Premissas!$A$4:$E$7,4,0)+L634*VLOOKUP($B634,Premissas!$A$4:$E$7,5,0))</f>
        <v/>
      </c>
      <c r="N634" s="14">
        <f>H634-M634</f>
        <v/>
      </c>
      <c r="O634" t="inlineStr">
        <is>
          <t>Não</t>
        </is>
      </c>
      <c r="P634" t="inlineStr">
        <is>
          <t>1.350</t>
        </is>
      </c>
    </row>
    <row r="635">
      <c r="A635" t="inlineStr">
        <is>
          <t>Antes de 2026</t>
        </is>
      </c>
      <c r="B635" t="inlineStr">
        <is>
          <t>Frete de venda</t>
        </is>
      </c>
      <c r="C635" t="inlineStr">
        <is>
          <t>Frete de venda (para clientes)</t>
        </is>
      </c>
      <c r="D635" t="inlineStr">
        <is>
          <t>CT-e</t>
        </is>
      </c>
      <c r="E635" t="inlineStr">
        <is>
          <t>000004477</t>
        </is>
      </c>
      <c r="F635" t="inlineStr">
        <is>
          <t>R&amp;R TRANSPORTE E LOGISTICA</t>
        </is>
      </c>
      <c r="G635" s="27" t="n">
        <v>45831</v>
      </c>
      <c r="H635" s="14" t="n">
        <v>25.21</v>
      </c>
      <c r="I635" s="14" t="n">
        <v>0</v>
      </c>
      <c r="J635" s="14" t="n">
        <v>0</v>
      </c>
      <c r="K635" s="14" t="n">
        <v>0</v>
      </c>
      <c r="L635" s="14" t="n">
        <v>0</v>
      </c>
      <c r="M635" s="14">
        <f>IF(B635="Frete de venda",0,(1-ISNUMBER(SEARCH("556",P635)))*(I635*VLOOKUP($B635,Premissas!$A$4:$E$7,2,0)+J635*VLOOKUP($B635,Premissas!$A$4:$E$7,3,0))+K635*VLOOKUP($B635,Premissas!$A$4:$E$7,4,0)+L635*VLOOKUP($B635,Premissas!$A$4:$E$7,5,0))</f>
        <v/>
      </c>
      <c r="N635" s="14">
        <f>H635-M635</f>
        <v/>
      </c>
      <c r="O635" t="inlineStr">
        <is>
          <t>Não</t>
        </is>
      </c>
      <c r="P635" t="inlineStr">
        <is>
          <t>1.350</t>
        </is>
      </c>
    </row>
    <row r="636">
      <c r="A636" t="inlineStr">
        <is>
          <t>Antes de 2026</t>
        </is>
      </c>
      <c r="B636" t="inlineStr">
        <is>
          <t>Frete de venda</t>
        </is>
      </c>
      <c r="C636" t="inlineStr">
        <is>
          <t>Frete de venda (para clientes)</t>
        </is>
      </c>
      <c r="D636" t="inlineStr">
        <is>
          <t>CT-e</t>
        </is>
      </c>
      <c r="E636" t="inlineStr">
        <is>
          <t>000005321</t>
        </is>
      </c>
      <c r="F636" t="inlineStr">
        <is>
          <t>R&amp;R TRANSPORTE E LOGISTICA</t>
        </is>
      </c>
      <c r="G636" s="27" t="n">
        <v>45929</v>
      </c>
      <c r="H636" s="14" t="n">
        <v>37.45</v>
      </c>
      <c r="I636" s="14" t="n">
        <v>0</v>
      </c>
      <c r="J636" s="14" t="n">
        <v>0</v>
      </c>
      <c r="K636" s="14" t="n">
        <v>0</v>
      </c>
      <c r="L636" s="14" t="n">
        <v>0</v>
      </c>
      <c r="M636" s="14">
        <f>IF(B636="Frete de venda",0,(1-ISNUMBER(SEARCH("556",P636)))*(I636*VLOOKUP($B636,Premissas!$A$4:$E$7,2,0)+J636*VLOOKUP($B636,Premissas!$A$4:$E$7,3,0))+K636*VLOOKUP($B636,Premissas!$A$4:$E$7,4,0)+L636*VLOOKUP($B636,Premissas!$A$4:$E$7,5,0))</f>
        <v/>
      </c>
      <c r="N636" s="14">
        <f>H636-M636</f>
        <v/>
      </c>
      <c r="O636" t="inlineStr">
        <is>
          <t>Não</t>
        </is>
      </c>
      <c r="P636" t="inlineStr">
        <is>
          <t>1.350</t>
        </is>
      </c>
    </row>
    <row r="637">
      <c r="A637" t="inlineStr">
        <is>
          <t>Antes de 2026</t>
        </is>
      </c>
      <c r="B637" t="inlineStr">
        <is>
          <t>Frete de venda</t>
        </is>
      </c>
      <c r="C637" t="inlineStr">
        <is>
          <t>Frete de venda (para clientes)</t>
        </is>
      </c>
      <c r="D637" t="inlineStr">
        <is>
          <t>CT-e</t>
        </is>
      </c>
      <c r="E637" t="inlineStr">
        <is>
          <t>000005581</t>
        </is>
      </c>
      <c r="F637" t="inlineStr">
        <is>
          <t>R&amp;R TRANSPORTE E LOGISTICA</t>
        </is>
      </c>
      <c r="G637" s="27" t="n">
        <v>45957</v>
      </c>
      <c r="H637" s="14" t="n">
        <v>83.68000000000001</v>
      </c>
      <c r="I637" s="14" t="n">
        <v>0</v>
      </c>
      <c r="J637" s="14" t="n">
        <v>0</v>
      </c>
      <c r="K637" s="14" t="n">
        <v>0</v>
      </c>
      <c r="L637" s="14" t="n">
        <v>0</v>
      </c>
      <c r="M637" s="14">
        <f>IF(B637="Frete de venda",0,(1-ISNUMBER(SEARCH("556",P637)))*(I637*VLOOKUP($B637,Premissas!$A$4:$E$7,2,0)+J637*VLOOKUP($B637,Premissas!$A$4:$E$7,3,0))+K637*VLOOKUP($B637,Premissas!$A$4:$E$7,4,0)+L637*VLOOKUP($B637,Premissas!$A$4:$E$7,5,0))</f>
        <v/>
      </c>
      <c r="N637" s="14">
        <f>H637-M637</f>
        <v/>
      </c>
      <c r="O637" t="inlineStr">
        <is>
          <t>Não</t>
        </is>
      </c>
      <c r="P637" t="inlineStr">
        <is>
          <t>1.350</t>
        </is>
      </c>
    </row>
    <row r="638">
      <c r="A638" t="inlineStr">
        <is>
          <t>Antes de 2026</t>
        </is>
      </c>
      <c r="B638" t="inlineStr">
        <is>
          <t>Frete de venda</t>
        </is>
      </c>
      <c r="C638" t="inlineStr">
        <is>
          <t>Frete de venda (para clientes)</t>
        </is>
      </c>
      <c r="D638" t="inlineStr">
        <is>
          <t>CT-e</t>
        </is>
      </c>
      <c r="E638" t="inlineStr">
        <is>
          <t>000005879</t>
        </is>
      </c>
      <c r="F638" t="inlineStr">
        <is>
          <t>R&amp;R TRANSPORTE E LOGISTICA</t>
        </is>
      </c>
      <c r="G638" s="27" t="n">
        <v>45990</v>
      </c>
      <c r="H638" s="14" t="n">
        <v>35.01</v>
      </c>
      <c r="I638" s="14" t="n">
        <v>0</v>
      </c>
      <c r="J638" s="14" t="n">
        <v>0</v>
      </c>
      <c r="K638" s="14" t="n">
        <v>0</v>
      </c>
      <c r="L638" s="14" t="n">
        <v>0</v>
      </c>
      <c r="M638" s="14">
        <f>IF(B638="Frete de venda",0,(1-ISNUMBER(SEARCH("556",P638)))*(I638*VLOOKUP($B638,Premissas!$A$4:$E$7,2,0)+J638*VLOOKUP($B638,Premissas!$A$4:$E$7,3,0))+K638*VLOOKUP($B638,Premissas!$A$4:$E$7,4,0)+L638*VLOOKUP($B638,Premissas!$A$4:$E$7,5,0))</f>
        <v/>
      </c>
      <c r="N638" s="14">
        <f>H638-M638</f>
        <v/>
      </c>
      <c r="O638" t="inlineStr">
        <is>
          <t>Não</t>
        </is>
      </c>
      <c r="P638" t="inlineStr">
        <is>
          <t>1.350</t>
        </is>
      </c>
    </row>
    <row r="639">
      <c r="A639" t="inlineStr">
        <is>
          <t>Antes de 2026</t>
        </is>
      </c>
      <c r="B639" t="inlineStr">
        <is>
          <t>Frete de venda</t>
        </is>
      </c>
      <c r="C639" t="inlineStr">
        <is>
          <t>Frete de venda (para clientes)</t>
        </is>
      </c>
      <c r="D639" t="inlineStr">
        <is>
          <t>CT-e</t>
        </is>
      </c>
      <c r="E639" t="inlineStr">
        <is>
          <t>000004783</t>
        </is>
      </c>
      <c r="F639" t="inlineStr">
        <is>
          <t>R&amp;R TRANSPORTE E LOGISTICA</t>
        </is>
      </c>
      <c r="G639" s="27" t="n">
        <v>45868</v>
      </c>
      <c r="H639" s="14" t="n">
        <v>31.03</v>
      </c>
      <c r="I639" s="14" t="n">
        <v>0</v>
      </c>
      <c r="J639" s="14" t="n">
        <v>0</v>
      </c>
      <c r="K639" s="14" t="n">
        <v>0</v>
      </c>
      <c r="L639" s="14" t="n">
        <v>0</v>
      </c>
      <c r="M639" s="14">
        <f>IF(B639="Frete de venda",0,(1-ISNUMBER(SEARCH("556",P639)))*(I639*VLOOKUP($B639,Premissas!$A$4:$E$7,2,0)+J639*VLOOKUP($B639,Premissas!$A$4:$E$7,3,0))+K639*VLOOKUP($B639,Premissas!$A$4:$E$7,4,0)+L639*VLOOKUP($B639,Premissas!$A$4:$E$7,5,0))</f>
        <v/>
      </c>
      <c r="N639" s="14">
        <f>H639-M639</f>
        <v/>
      </c>
      <c r="O639" t="inlineStr">
        <is>
          <t>Não</t>
        </is>
      </c>
      <c r="P639" t="inlineStr">
        <is>
          <t>1.350</t>
        </is>
      </c>
    </row>
    <row r="640">
      <c r="A640" t="inlineStr">
        <is>
          <t>Antes de 2026</t>
        </is>
      </c>
      <c r="B640" t="inlineStr">
        <is>
          <t>Frete de venda</t>
        </is>
      </c>
      <c r="C640" t="inlineStr">
        <is>
          <t>Frete de venda (para clientes)</t>
        </is>
      </c>
      <c r="D640" t="inlineStr">
        <is>
          <t>CT-e</t>
        </is>
      </c>
      <c r="E640" t="inlineStr">
        <is>
          <t>000005465</t>
        </is>
      </c>
      <c r="F640" t="inlineStr">
        <is>
          <t>R&amp;R TRANSPORTE E LOGISTICA</t>
        </is>
      </c>
      <c r="G640" s="27" t="n">
        <v>45944</v>
      </c>
      <c r="H640" s="14" t="n">
        <v>32.28</v>
      </c>
      <c r="I640" s="14" t="n">
        <v>0</v>
      </c>
      <c r="J640" s="14" t="n">
        <v>0</v>
      </c>
      <c r="K640" s="14" t="n">
        <v>0</v>
      </c>
      <c r="L640" s="14" t="n">
        <v>0</v>
      </c>
      <c r="M640" s="14">
        <f>IF(B640="Frete de venda",0,(1-ISNUMBER(SEARCH("556",P640)))*(I640*VLOOKUP($B640,Premissas!$A$4:$E$7,2,0)+J640*VLOOKUP($B640,Premissas!$A$4:$E$7,3,0))+K640*VLOOKUP($B640,Premissas!$A$4:$E$7,4,0)+L640*VLOOKUP($B640,Premissas!$A$4:$E$7,5,0))</f>
        <v/>
      </c>
      <c r="N640" s="14">
        <f>H640-M640</f>
        <v/>
      </c>
      <c r="O640" t="inlineStr">
        <is>
          <t>Não</t>
        </is>
      </c>
      <c r="P640" t="inlineStr">
        <is>
          <t>1.350</t>
        </is>
      </c>
    </row>
    <row r="641">
      <c r="A641" t="inlineStr">
        <is>
          <t>Antes de 2026</t>
        </is>
      </c>
      <c r="B641" t="inlineStr">
        <is>
          <t>Frete de venda</t>
        </is>
      </c>
      <c r="C641" t="inlineStr">
        <is>
          <t>Frete de venda (para clientes)</t>
        </is>
      </c>
      <c r="D641" t="inlineStr">
        <is>
          <t>CT-e</t>
        </is>
      </c>
      <c r="E641" t="inlineStr">
        <is>
          <t>000004569</t>
        </is>
      </c>
      <c r="F641" t="inlineStr">
        <is>
          <t>R&amp;R TRANSPORTE E LOGISTICA</t>
        </is>
      </c>
      <c r="G641" s="27" t="n">
        <v>45841</v>
      </c>
      <c r="H641" s="14" t="n">
        <v>67.09999999999999</v>
      </c>
      <c r="I641" s="14" t="n">
        <v>0</v>
      </c>
      <c r="J641" s="14" t="n">
        <v>0</v>
      </c>
      <c r="K641" s="14" t="n">
        <v>0</v>
      </c>
      <c r="L641" s="14" t="n">
        <v>0</v>
      </c>
      <c r="M641" s="14">
        <f>IF(B641="Frete de venda",0,(1-ISNUMBER(SEARCH("556",P641)))*(I641*VLOOKUP($B641,Premissas!$A$4:$E$7,2,0)+J641*VLOOKUP($B641,Premissas!$A$4:$E$7,3,0))+K641*VLOOKUP($B641,Premissas!$A$4:$E$7,4,0)+L641*VLOOKUP($B641,Premissas!$A$4:$E$7,5,0))</f>
        <v/>
      </c>
      <c r="N641" s="14">
        <f>H641-M641</f>
        <v/>
      </c>
      <c r="O641" t="inlineStr">
        <is>
          <t>Não</t>
        </is>
      </c>
      <c r="P641" t="inlineStr">
        <is>
          <t>1.350</t>
        </is>
      </c>
    </row>
    <row r="642">
      <c r="A642" t="inlineStr">
        <is>
          <t>Antes de 2026</t>
        </is>
      </c>
      <c r="B642" t="inlineStr">
        <is>
          <t>Frete de venda</t>
        </is>
      </c>
      <c r="C642" t="inlineStr">
        <is>
          <t>Frete de venda (para clientes)</t>
        </is>
      </c>
      <c r="D642" t="inlineStr">
        <is>
          <t>CT-e</t>
        </is>
      </c>
      <c r="E642" t="inlineStr">
        <is>
          <t>000004813</t>
        </is>
      </c>
      <c r="F642" t="inlineStr">
        <is>
          <t>R&amp;R TRANSPORTE E LOGISTICA</t>
        </is>
      </c>
      <c r="G642" s="27" t="n">
        <v>45870</v>
      </c>
      <c r="H642" s="14" t="n">
        <v>59.14</v>
      </c>
      <c r="I642" s="14" t="n">
        <v>0</v>
      </c>
      <c r="J642" s="14" t="n">
        <v>0</v>
      </c>
      <c r="K642" s="14" t="n">
        <v>0</v>
      </c>
      <c r="L642" s="14" t="n">
        <v>0</v>
      </c>
      <c r="M642" s="14">
        <f>IF(B642="Frete de venda",0,(1-ISNUMBER(SEARCH("556",P642)))*(I642*VLOOKUP($B642,Premissas!$A$4:$E$7,2,0)+J642*VLOOKUP($B642,Premissas!$A$4:$E$7,3,0))+K642*VLOOKUP($B642,Premissas!$A$4:$E$7,4,0)+L642*VLOOKUP($B642,Premissas!$A$4:$E$7,5,0))</f>
        <v/>
      </c>
      <c r="N642" s="14">
        <f>H642-M642</f>
        <v/>
      </c>
      <c r="O642" t="inlineStr">
        <is>
          <t>Não</t>
        </is>
      </c>
      <c r="P642" t="inlineStr">
        <is>
          <t>1.350</t>
        </is>
      </c>
    </row>
    <row r="643">
      <c r="A643" t="inlineStr">
        <is>
          <t>Antes de 2026</t>
        </is>
      </c>
      <c r="B643" t="inlineStr">
        <is>
          <t>Frete de venda</t>
        </is>
      </c>
      <c r="C643" t="inlineStr">
        <is>
          <t>Frete de venda (para clientes)</t>
        </is>
      </c>
      <c r="D643" t="inlineStr">
        <is>
          <t>CT-e</t>
        </is>
      </c>
      <c r="E643" t="inlineStr">
        <is>
          <t>000005320</t>
        </is>
      </c>
      <c r="F643" t="inlineStr">
        <is>
          <t>R&amp;R TRANSPORTE E LOGISTICA</t>
        </is>
      </c>
      <c r="G643" s="27" t="n">
        <v>45929</v>
      </c>
      <c r="H643" s="14" t="n">
        <v>52.64</v>
      </c>
      <c r="I643" s="14" t="n">
        <v>0</v>
      </c>
      <c r="J643" s="14" t="n">
        <v>0</v>
      </c>
      <c r="K643" s="14" t="n">
        <v>0</v>
      </c>
      <c r="L643" s="14" t="n">
        <v>0</v>
      </c>
      <c r="M643" s="14">
        <f>IF(B643="Frete de venda",0,(1-ISNUMBER(SEARCH("556",P643)))*(I643*VLOOKUP($B643,Premissas!$A$4:$E$7,2,0)+J643*VLOOKUP($B643,Premissas!$A$4:$E$7,3,0))+K643*VLOOKUP($B643,Premissas!$A$4:$E$7,4,0)+L643*VLOOKUP($B643,Premissas!$A$4:$E$7,5,0))</f>
        <v/>
      </c>
      <c r="N643" s="14">
        <f>H643-M643</f>
        <v/>
      </c>
      <c r="O643" t="inlineStr">
        <is>
          <t>Não</t>
        </is>
      </c>
      <c r="P643" t="inlineStr">
        <is>
          <t>1.350</t>
        </is>
      </c>
    </row>
    <row r="644">
      <c r="A644" t="inlineStr">
        <is>
          <t>Antes de 2026</t>
        </is>
      </c>
      <c r="B644" t="inlineStr">
        <is>
          <t>Frete de venda</t>
        </is>
      </c>
      <c r="C644" t="inlineStr">
        <is>
          <t>Frete de venda (para clientes)</t>
        </is>
      </c>
      <c r="D644" t="inlineStr">
        <is>
          <t>CT-e</t>
        </is>
      </c>
      <c r="E644" t="inlineStr">
        <is>
          <t>000006033</t>
        </is>
      </c>
      <c r="F644" t="inlineStr">
        <is>
          <t>R&amp;R TRANSPORTE E LOGISTICA</t>
        </is>
      </c>
      <c r="G644" s="27" t="n">
        <v>46011</v>
      </c>
      <c r="H644" s="14" t="n">
        <v>69</v>
      </c>
      <c r="I644" s="14" t="n">
        <v>0</v>
      </c>
      <c r="J644" s="14" t="n">
        <v>0</v>
      </c>
      <c r="K644" s="14" t="n">
        <v>0</v>
      </c>
      <c r="L644" s="14" t="n">
        <v>0</v>
      </c>
      <c r="M644" s="14">
        <f>IF(B644="Frete de venda",0,(1-ISNUMBER(SEARCH("556",P644)))*(I644*VLOOKUP($B644,Premissas!$A$4:$E$7,2,0)+J644*VLOOKUP($B644,Premissas!$A$4:$E$7,3,0))+K644*VLOOKUP($B644,Premissas!$A$4:$E$7,4,0)+L644*VLOOKUP($B644,Premissas!$A$4:$E$7,5,0))</f>
        <v/>
      </c>
      <c r="N644" s="14">
        <f>H644-M644</f>
        <v/>
      </c>
      <c r="O644" t="inlineStr">
        <is>
          <t>Não</t>
        </is>
      </c>
      <c r="P644" t="inlineStr">
        <is>
          <t>1.350</t>
        </is>
      </c>
    </row>
    <row r="645">
      <c r="A645" t="inlineStr">
        <is>
          <t>Antes de 2026</t>
        </is>
      </c>
      <c r="B645" t="inlineStr">
        <is>
          <t>Frete de venda</t>
        </is>
      </c>
      <c r="C645" t="inlineStr">
        <is>
          <t>Frete de venda (para clientes)</t>
        </is>
      </c>
      <c r="D645" t="inlineStr">
        <is>
          <t>CT-e</t>
        </is>
      </c>
      <c r="E645" t="inlineStr">
        <is>
          <t>000005365</t>
        </is>
      </c>
      <c r="F645" t="inlineStr">
        <is>
          <t>R&amp;R TRANSPORTE E LOGISTICA</t>
        </is>
      </c>
      <c r="G645" s="27" t="n">
        <v>45930</v>
      </c>
      <c r="H645" s="14" t="n">
        <v>83.19</v>
      </c>
      <c r="I645" s="14" t="n">
        <v>0</v>
      </c>
      <c r="J645" s="14" t="n">
        <v>0</v>
      </c>
      <c r="K645" s="14" t="n">
        <v>0</v>
      </c>
      <c r="L645" s="14" t="n">
        <v>0</v>
      </c>
      <c r="M645" s="14">
        <f>IF(B645="Frete de venda",0,(1-ISNUMBER(SEARCH("556",P645)))*(I645*VLOOKUP($B645,Premissas!$A$4:$E$7,2,0)+J645*VLOOKUP($B645,Premissas!$A$4:$E$7,3,0))+K645*VLOOKUP($B645,Premissas!$A$4:$E$7,4,0)+L645*VLOOKUP($B645,Premissas!$A$4:$E$7,5,0))</f>
        <v/>
      </c>
      <c r="N645" s="14">
        <f>H645-M645</f>
        <v/>
      </c>
      <c r="O645" t="inlineStr">
        <is>
          <t>Não</t>
        </is>
      </c>
      <c r="P645" t="inlineStr">
        <is>
          <t>1.350</t>
        </is>
      </c>
    </row>
    <row r="646">
      <c r="A646" t="inlineStr">
        <is>
          <t>Antes de 2026</t>
        </is>
      </c>
      <c r="B646" t="inlineStr">
        <is>
          <t>Frete de venda</t>
        </is>
      </c>
      <c r="C646" t="inlineStr">
        <is>
          <t>Frete de venda (para clientes)</t>
        </is>
      </c>
      <c r="D646" t="inlineStr">
        <is>
          <t>CT-e</t>
        </is>
      </c>
      <c r="E646" t="inlineStr">
        <is>
          <t>000005312</t>
        </is>
      </c>
      <c r="F646" t="inlineStr">
        <is>
          <t>R&amp;R TRANSPORTE E LOGISTICA</t>
        </is>
      </c>
      <c r="G646" s="27" t="n">
        <v>45929</v>
      </c>
      <c r="H646" s="14" t="n">
        <v>12.99</v>
      </c>
      <c r="I646" s="14" t="n">
        <v>0</v>
      </c>
      <c r="J646" s="14" t="n">
        <v>0</v>
      </c>
      <c r="K646" s="14" t="n">
        <v>0</v>
      </c>
      <c r="L646" s="14" t="n">
        <v>0</v>
      </c>
      <c r="M646" s="14">
        <f>IF(B646="Frete de venda",0,(1-ISNUMBER(SEARCH("556",P646)))*(I646*VLOOKUP($B646,Premissas!$A$4:$E$7,2,0)+J646*VLOOKUP($B646,Premissas!$A$4:$E$7,3,0))+K646*VLOOKUP($B646,Premissas!$A$4:$E$7,4,0)+L646*VLOOKUP($B646,Premissas!$A$4:$E$7,5,0))</f>
        <v/>
      </c>
      <c r="N646" s="14">
        <f>H646-M646</f>
        <v/>
      </c>
      <c r="O646" t="inlineStr">
        <is>
          <t>Não</t>
        </is>
      </c>
      <c r="P646" t="inlineStr">
        <is>
          <t>1.350</t>
        </is>
      </c>
    </row>
    <row r="647">
      <c r="A647" t="inlineStr">
        <is>
          <t>Antes de 2026</t>
        </is>
      </c>
      <c r="B647" t="inlineStr">
        <is>
          <t>Frete de venda</t>
        </is>
      </c>
      <c r="C647" t="inlineStr">
        <is>
          <t>Frete de venda (para clientes)</t>
        </is>
      </c>
      <c r="D647" t="inlineStr">
        <is>
          <t>CT-e</t>
        </is>
      </c>
      <c r="E647" t="inlineStr">
        <is>
          <t>000004683</t>
        </is>
      </c>
      <c r="F647" t="inlineStr">
        <is>
          <t>R&amp;R TRANSPORTE E LOGISTICA</t>
        </is>
      </c>
      <c r="G647" s="27" t="n">
        <v>45856</v>
      </c>
      <c r="H647" s="14" t="n">
        <v>20.15</v>
      </c>
      <c r="I647" s="14" t="n">
        <v>0</v>
      </c>
      <c r="J647" s="14" t="n">
        <v>0</v>
      </c>
      <c r="K647" s="14" t="n">
        <v>0</v>
      </c>
      <c r="L647" s="14" t="n">
        <v>0</v>
      </c>
      <c r="M647" s="14">
        <f>IF(B647="Frete de venda",0,(1-ISNUMBER(SEARCH("556",P647)))*(I647*VLOOKUP($B647,Premissas!$A$4:$E$7,2,0)+J647*VLOOKUP($B647,Premissas!$A$4:$E$7,3,0))+K647*VLOOKUP($B647,Premissas!$A$4:$E$7,4,0)+L647*VLOOKUP($B647,Premissas!$A$4:$E$7,5,0))</f>
        <v/>
      </c>
      <c r="N647" s="14">
        <f>H647-M647</f>
        <v/>
      </c>
      <c r="O647" t="inlineStr">
        <is>
          <t>Não</t>
        </is>
      </c>
      <c r="P647" t="inlineStr">
        <is>
          <t>1.350</t>
        </is>
      </c>
    </row>
    <row r="648">
      <c r="A648" t="inlineStr">
        <is>
          <t>Antes de 2026</t>
        </is>
      </c>
      <c r="B648" t="inlineStr">
        <is>
          <t>Frete de venda</t>
        </is>
      </c>
      <c r="C648" t="inlineStr">
        <is>
          <t>Frete de venda (para clientes)</t>
        </is>
      </c>
      <c r="D648" t="inlineStr">
        <is>
          <t>CT-e</t>
        </is>
      </c>
      <c r="E648" t="inlineStr">
        <is>
          <t>000004443</t>
        </is>
      </c>
      <c r="F648" t="inlineStr">
        <is>
          <t>R&amp;R TRANSPORTE E LOGISTICA</t>
        </is>
      </c>
      <c r="G648" s="27" t="n">
        <v>45825</v>
      </c>
      <c r="H648" s="14" t="n">
        <v>47</v>
      </c>
      <c r="I648" s="14" t="n">
        <v>0</v>
      </c>
      <c r="J648" s="14" t="n">
        <v>0</v>
      </c>
      <c r="K648" s="14" t="n">
        <v>0</v>
      </c>
      <c r="L648" s="14" t="n">
        <v>0</v>
      </c>
      <c r="M648" s="14">
        <f>IF(B648="Frete de venda",0,(1-ISNUMBER(SEARCH("556",P648)))*(I648*VLOOKUP($B648,Premissas!$A$4:$E$7,2,0)+J648*VLOOKUP($B648,Premissas!$A$4:$E$7,3,0))+K648*VLOOKUP($B648,Premissas!$A$4:$E$7,4,0)+L648*VLOOKUP($B648,Premissas!$A$4:$E$7,5,0))</f>
        <v/>
      </c>
      <c r="N648" s="14">
        <f>H648-M648</f>
        <v/>
      </c>
      <c r="O648" t="inlineStr">
        <is>
          <t>Não</t>
        </is>
      </c>
      <c r="P648" t="inlineStr">
        <is>
          <t>1.350</t>
        </is>
      </c>
    </row>
    <row r="649">
      <c r="A649" t="inlineStr">
        <is>
          <t>Antes de 2026</t>
        </is>
      </c>
      <c r="B649" t="inlineStr">
        <is>
          <t>Frete de venda</t>
        </is>
      </c>
      <c r="C649" t="inlineStr">
        <is>
          <t>Frete de venda (para clientes)</t>
        </is>
      </c>
      <c r="D649" t="inlineStr">
        <is>
          <t>CT-e</t>
        </is>
      </c>
      <c r="E649" t="inlineStr">
        <is>
          <t>000005241</t>
        </is>
      </c>
      <c r="F649" t="inlineStr">
        <is>
          <t>R&amp;R TRANSPORTE E LOGISTICA</t>
        </is>
      </c>
      <c r="G649" s="27" t="n">
        <v>45918</v>
      </c>
      <c r="H649" s="14" t="n">
        <v>20.49</v>
      </c>
      <c r="I649" s="14" t="n">
        <v>0</v>
      </c>
      <c r="J649" s="14" t="n">
        <v>0</v>
      </c>
      <c r="K649" s="14" t="n">
        <v>0</v>
      </c>
      <c r="L649" s="14" t="n">
        <v>0</v>
      </c>
      <c r="M649" s="14">
        <f>IF(B649="Frete de venda",0,(1-ISNUMBER(SEARCH("556",P649)))*(I649*VLOOKUP($B649,Premissas!$A$4:$E$7,2,0)+J649*VLOOKUP($B649,Premissas!$A$4:$E$7,3,0))+K649*VLOOKUP($B649,Premissas!$A$4:$E$7,4,0)+L649*VLOOKUP($B649,Premissas!$A$4:$E$7,5,0))</f>
        <v/>
      </c>
      <c r="N649" s="14">
        <f>H649-M649</f>
        <v/>
      </c>
      <c r="O649" t="inlineStr">
        <is>
          <t>Não</t>
        </is>
      </c>
      <c r="P649" t="inlineStr">
        <is>
          <t>1.350</t>
        </is>
      </c>
    </row>
    <row r="650">
      <c r="A650" t="inlineStr">
        <is>
          <t>Antes de 2026</t>
        </is>
      </c>
      <c r="B650" t="inlineStr">
        <is>
          <t>Frete de venda</t>
        </is>
      </c>
      <c r="C650" t="inlineStr">
        <is>
          <t>Frete de venda (para clientes)</t>
        </is>
      </c>
      <c r="D650" t="inlineStr">
        <is>
          <t>CT-e</t>
        </is>
      </c>
      <c r="E650" t="inlineStr">
        <is>
          <t>000005339</t>
        </is>
      </c>
      <c r="F650" t="inlineStr">
        <is>
          <t>R&amp;R TRANSPORTE E LOGISTICA</t>
        </is>
      </c>
      <c r="G650" s="27" t="n">
        <v>45929</v>
      </c>
      <c r="H650" s="14" t="n">
        <v>14.71</v>
      </c>
      <c r="I650" s="14" t="n">
        <v>0</v>
      </c>
      <c r="J650" s="14" t="n">
        <v>0</v>
      </c>
      <c r="K650" s="14" t="n">
        <v>0</v>
      </c>
      <c r="L650" s="14" t="n">
        <v>0</v>
      </c>
      <c r="M650" s="14">
        <f>IF(B650="Frete de venda",0,(1-ISNUMBER(SEARCH("556",P650)))*(I650*VLOOKUP($B650,Premissas!$A$4:$E$7,2,0)+J650*VLOOKUP($B650,Premissas!$A$4:$E$7,3,0))+K650*VLOOKUP($B650,Premissas!$A$4:$E$7,4,0)+L650*VLOOKUP($B650,Premissas!$A$4:$E$7,5,0))</f>
        <v/>
      </c>
      <c r="N650" s="14">
        <f>H650-M650</f>
        <v/>
      </c>
      <c r="O650" t="inlineStr">
        <is>
          <t>Não</t>
        </is>
      </c>
      <c r="P650" t="inlineStr">
        <is>
          <t>1.350</t>
        </is>
      </c>
    </row>
    <row r="651">
      <c r="A651" t="inlineStr">
        <is>
          <t>Antes de 2026</t>
        </is>
      </c>
      <c r="B651" t="inlineStr">
        <is>
          <t>Frete de venda</t>
        </is>
      </c>
      <c r="C651" t="inlineStr">
        <is>
          <t>Frete de venda (para clientes)</t>
        </is>
      </c>
      <c r="D651" t="inlineStr">
        <is>
          <t>CT-e</t>
        </is>
      </c>
      <c r="E651" t="inlineStr">
        <is>
          <t>000005573</t>
        </is>
      </c>
      <c r="F651" t="inlineStr">
        <is>
          <t>R&amp;R TRANSPORTE E LOGISTICA</t>
        </is>
      </c>
      <c r="G651" s="27" t="n">
        <v>45955</v>
      </c>
      <c r="H651" s="14" t="n">
        <v>17.08</v>
      </c>
      <c r="I651" s="14" t="n">
        <v>0</v>
      </c>
      <c r="J651" s="14" t="n">
        <v>0</v>
      </c>
      <c r="K651" s="14" t="n">
        <v>0</v>
      </c>
      <c r="L651" s="14" t="n">
        <v>0</v>
      </c>
      <c r="M651" s="14">
        <f>IF(B651="Frete de venda",0,(1-ISNUMBER(SEARCH("556",P651)))*(I651*VLOOKUP($B651,Premissas!$A$4:$E$7,2,0)+J651*VLOOKUP($B651,Premissas!$A$4:$E$7,3,0))+K651*VLOOKUP($B651,Premissas!$A$4:$E$7,4,0)+L651*VLOOKUP($B651,Premissas!$A$4:$E$7,5,0))</f>
        <v/>
      </c>
      <c r="N651" s="14">
        <f>H651-M651</f>
        <v/>
      </c>
      <c r="O651" t="inlineStr">
        <is>
          <t>Não</t>
        </is>
      </c>
      <c r="P651" t="inlineStr">
        <is>
          <t>1.350</t>
        </is>
      </c>
    </row>
    <row r="652">
      <c r="A652" t="inlineStr">
        <is>
          <t>Antes de 2026</t>
        </is>
      </c>
      <c r="B652" t="inlineStr">
        <is>
          <t>Frete de venda</t>
        </is>
      </c>
      <c r="C652" t="inlineStr">
        <is>
          <t>Frete de venda (para clientes)</t>
        </is>
      </c>
      <c r="D652" t="inlineStr">
        <is>
          <t>CT-e</t>
        </is>
      </c>
      <c r="E652" t="inlineStr">
        <is>
          <t>000020445</t>
        </is>
      </c>
      <c r="F652" t="inlineStr">
        <is>
          <t>TRANSPORTE OLIVEIRA E MELLOI - IDEALIZA TRANSPORTES</t>
        </is>
      </c>
      <c r="G652" s="27" t="n">
        <v>45600</v>
      </c>
      <c r="H652" s="14" t="n">
        <v>640</v>
      </c>
      <c r="I652" s="14" t="n">
        <v>0</v>
      </c>
      <c r="J652" s="14" t="n">
        <v>0</v>
      </c>
      <c r="K652" s="14" t="n">
        <v>0</v>
      </c>
      <c r="L652" s="14" t="n">
        <v>0</v>
      </c>
      <c r="M652" s="14">
        <f>IF(B652="Frete de venda",0,(1-ISNUMBER(SEARCH("556",P652)))*(I652*VLOOKUP($B652,Premissas!$A$4:$E$7,2,0)+J652*VLOOKUP($B652,Premissas!$A$4:$E$7,3,0))+K652*VLOOKUP($B652,Premissas!$A$4:$E$7,4,0)+L652*VLOOKUP($B652,Premissas!$A$4:$E$7,5,0))</f>
        <v/>
      </c>
      <c r="N652" s="14">
        <f>H652-M652</f>
        <v/>
      </c>
      <c r="O652" t="inlineStr">
        <is>
          <t>Não</t>
        </is>
      </c>
      <c r="P652" t="inlineStr">
        <is>
          <t>1.350</t>
        </is>
      </c>
    </row>
    <row r="653">
      <c r="A653" t="inlineStr">
        <is>
          <t>Antes de 2026</t>
        </is>
      </c>
      <c r="B653" t="inlineStr">
        <is>
          <t>Frete de venda</t>
        </is>
      </c>
      <c r="C653" t="inlineStr">
        <is>
          <t>Frete de venda (para clientes)</t>
        </is>
      </c>
      <c r="D653" t="inlineStr">
        <is>
          <t>CT-e</t>
        </is>
      </c>
      <c r="E653" t="inlineStr">
        <is>
          <t>000020889</t>
        </is>
      </c>
      <c r="F653" t="inlineStr">
        <is>
          <t>TRANSPORTE OLIVEIRA E MELLOI - IDEALIZA TRANSPORTES</t>
        </is>
      </c>
      <c r="G653" s="27" t="n">
        <v>45685</v>
      </c>
      <c r="H653" s="14" t="n">
        <v>369.95</v>
      </c>
      <c r="I653" s="14" t="n">
        <v>0</v>
      </c>
      <c r="J653" s="14" t="n">
        <v>0</v>
      </c>
      <c r="K653" s="14" t="n">
        <v>0</v>
      </c>
      <c r="L653" s="14" t="n">
        <v>0</v>
      </c>
      <c r="M653" s="14">
        <f>IF(B653="Frete de venda",0,(1-ISNUMBER(SEARCH("556",P653)))*(I653*VLOOKUP($B653,Premissas!$A$4:$E$7,2,0)+J653*VLOOKUP($B653,Premissas!$A$4:$E$7,3,0))+K653*VLOOKUP($B653,Premissas!$A$4:$E$7,4,0)+L653*VLOOKUP($B653,Premissas!$A$4:$E$7,5,0))</f>
        <v/>
      </c>
      <c r="N653" s="14">
        <f>H653-M653</f>
        <v/>
      </c>
      <c r="O653" t="inlineStr">
        <is>
          <t>Não</t>
        </is>
      </c>
      <c r="P653" t="inlineStr">
        <is>
          <t>1.350</t>
        </is>
      </c>
    </row>
    <row r="654">
      <c r="A654" t="inlineStr">
        <is>
          <t>Antes de 2026</t>
        </is>
      </c>
      <c r="B654" t="inlineStr">
        <is>
          <t>Frete de venda</t>
        </is>
      </c>
      <c r="C654" t="inlineStr">
        <is>
          <t>Frete de venda (para clientes)</t>
        </is>
      </c>
      <c r="D654" t="inlineStr">
        <is>
          <t>CT-e</t>
        </is>
      </c>
      <c r="E654" t="inlineStr">
        <is>
          <t>000004160</t>
        </is>
      </c>
      <c r="F654" t="inlineStr">
        <is>
          <t>R&amp;R TRANSPORTE E LOGISTICA</t>
        </is>
      </c>
      <c r="G654" s="27" t="n">
        <v>45784</v>
      </c>
      <c r="H654" s="14" t="n">
        <v>62.09</v>
      </c>
      <c r="I654" s="14" t="n">
        <v>0</v>
      </c>
      <c r="J654" s="14" t="n">
        <v>0</v>
      </c>
      <c r="K654" s="14" t="n">
        <v>0</v>
      </c>
      <c r="L654" s="14" t="n">
        <v>0</v>
      </c>
      <c r="M654" s="14">
        <f>IF(B654="Frete de venda",0,(1-ISNUMBER(SEARCH("556",P654)))*(I654*VLOOKUP($B654,Premissas!$A$4:$E$7,2,0)+J654*VLOOKUP($B654,Premissas!$A$4:$E$7,3,0))+K654*VLOOKUP($B654,Premissas!$A$4:$E$7,4,0)+L654*VLOOKUP($B654,Premissas!$A$4:$E$7,5,0))</f>
        <v/>
      </c>
      <c r="N654" s="14">
        <f>H654-M654</f>
        <v/>
      </c>
      <c r="O654" t="inlineStr">
        <is>
          <t>Não</t>
        </is>
      </c>
      <c r="P654" t="inlineStr">
        <is>
          <t>1.350</t>
        </is>
      </c>
    </row>
    <row r="655">
      <c r="A655" t="inlineStr">
        <is>
          <t>Antes de 2026</t>
        </is>
      </c>
      <c r="B655" t="inlineStr">
        <is>
          <t>Frete de venda</t>
        </is>
      </c>
      <c r="C655" t="inlineStr">
        <is>
          <t>Frete de venda (para clientes)</t>
        </is>
      </c>
      <c r="D655" t="inlineStr">
        <is>
          <t>CT-e</t>
        </is>
      </c>
      <c r="E655" t="inlineStr">
        <is>
          <t>000004123</t>
        </is>
      </c>
      <c r="F655" t="inlineStr">
        <is>
          <t>R&amp;R TRANSPORTE E LOGISTICA</t>
        </is>
      </c>
      <c r="G655" s="27" t="n">
        <v>45778</v>
      </c>
      <c r="H655" s="14" t="n">
        <v>44.5</v>
      </c>
      <c r="I655" s="14" t="n">
        <v>0</v>
      </c>
      <c r="J655" s="14" t="n">
        <v>0</v>
      </c>
      <c r="K655" s="14" t="n">
        <v>0</v>
      </c>
      <c r="L655" s="14" t="n">
        <v>0</v>
      </c>
      <c r="M655" s="14">
        <f>IF(B655="Frete de venda",0,(1-ISNUMBER(SEARCH("556",P655)))*(I655*VLOOKUP($B655,Premissas!$A$4:$E$7,2,0)+J655*VLOOKUP($B655,Premissas!$A$4:$E$7,3,0))+K655*VLOOKUP($B655,Premissas!$A$4:$E$7,4,0)+L655*VLOOKUP($B655,Premissas!$A$4:$E$7,5,0))</f>
        <v/>
      </c>
      <c r="N655" s="14">
        <f>H655-M655</f>
        <v/>
      </c>
      <c r="O655" t="inlineStr">
        <is>
          <t>Não</t>
        </is>
      </c>
      <c r="P655" t="inlineStr">
        <is>
          <t>1.350</t>
        </is>
      </c>
    </row>
    <row r="656">
      <c r="A656" t="inlineStr">
        <is>
          <t>Antes de 2026</t>
        </is>
      </c>
      <c r="B656" t="inlineStr">
        <is>
          <t>Frete de venda</t>
        </is>
      </c>
      <c r="C656" t="inlineStr">
        <is>
          <t>Frete de venda (para clientes)</t>
        </is>
      </c>
      <c r="D656" t="inlineStr">
        <is>
          <t>CT-e</t>
        </is>
      </c>
      <c r="E656" t="inlineStr">
        <is>
          <t>000004441</t>
        </is>
      </c>
      <c r="F656" t="inlineStr">
        <is>
          <t>R&amp;R TRANSPORTE E LOGISTICA</t>
        </is>
      </c>
      <c r="G656" s="27" t="n">
        <v>45825</v>
      </c>
      <c r="H656" s="14" t="n">
        <v>37.25</v>
      </c>
      <c r="I656" s="14" t="n">
        <v>0</v>
      </c>
      <c r="J656" s="14" t="n">
        <v>0</v>
      </c>
      <c r="K656" s="14" t="n">
        <v>0</v>
      </c>
      <c r="L656" s="14" t="n">
        <v>0</v>
      </c>
      <c r="M656" s="14">
        <f>IF(B656="Frete de venda",0,(1-ISNUMBER(SEARCH("556",P656)))*(I656*VLOOKUP($B656,Premissas!$A$4:$E$7,2,0)+J656*VLOOKUP($B656,Premissas!$A$4:$E$7,3,0))+K656*VLOOKUP($B656,Premissas!$A$4:$E$7,4,0)+L656*VLOOKUP($B656,Premissas!$A$4:$E$7,5,0))</f>
        <v/>
      </c>
      <c r="N656" s="14">
        <f>H656-M656</f>
        <v/>
      </c>
      <c r="O656" t="inlineStr">
        <is>
          <t>Não</t>
        </is>
      </c>
      <c r="P656" t="inlineStr">
        <is>
          <t>1.350</t>
        </is>
      </c>
    </row>
    <row r="657">
      <c r="A657" t="inlineStr">
        <is>
          <t>Antes de 2026</t>
        </is>
      </c>
      <c r="B657" t="inlineStr">
        <is>
          <t>Frete de venda</t>
        </is>
      </c>
      <c r="C657" t="inlineStr">
        <is>
          <t>Frete de venda (para clientes)</t>
        </is>
      </c>
      <c r="D657" t="inlineStr">
        <is>
          <t>CT-e</t>
        </is>
      </c>
      <c r="E657" t="inlineStr">
        <is>
          <t>000004733</t>
        </is>
      </c>
      <c r="F657" t="inlineStr">
        <is>
          <t>R&amp;R TRANSPORTE E LOGISTICA</t>
        </is>
      </c>
      <c r="G657" s="27" t="n">
        <v>45862</v>
      </c>
      <c r="H657" s="14" t="n">
        <v>25.45</v>
      </c>
      <c r="I657" s="14" t="n">
        <v>0</v>
      </c>
      <c r="J657" s="14" t="n">
        <v>0</v>
      </c>
      <c r="K657" s="14" t="n">
        <v>0</v>
      </c>
      <c r="L657" s="14" t="n">
        <v>0</v>
      </c>
      <c r="M657" s="14">
        <f>IF(B657="Frete de venda",0,(1-ISNUMBER(SEARCH("556",P657)))*(I657*VLOOKUP($B657,Premissas!$A$4:$E$7,2,0)+J657*VLOOKUP($B657,Premissas!$A$4:$E$7,3,0))+K657*VLOOKUP($B657,Premissas!$A$4:$E$7,4,0)+L657*VLOOKUP($B657,Premissas!$A$4:$E$7,5,0))</f>
        <v/>
      </c>
      <c r="N657" s="14">
        <f>H657-M657</f>
        <v/>
      </c>
      <c r="O657" t="inlineStr">
        <is>
          <t>Não</t>
        </is>
      </c>
      <c r="P657" t="inlineStr">
        <is>
          <t>1.350</t>
        </is>
      </c>
    </row>
    <row r="658">
      <c r="A658" t="inlineStr">
        <is>
          <t>Antes de 2026</t>
        </is>
      </c>
      <c r="B658" t="inlineStr">
        <is>
          <t>Frete de venda</t>
        </is>
      </c>
      <c r="C658" t="inlineStr">
        <is>
          <t>Frete de venda (para clientes)</t>
        </is>
      </c>
      <c r="D658" t="inlineStr">
        <is>
          <t>CT-e</t>
        </is>
      </c>
      <c r="E658" t="inlineStr">
        <is>
          <t>000004977</t>
        </is>
      </c>
      <c r="F658" t="inlineStr">
        <is>
          <t>R&amp;R TRANSPORTE E LOGISTICA</t>
        </is>
      </c>
      <c r="G658" s="27" t="n">
        <v>45891</v>
      </c>
      <c r="H658" s="14" t="n">
        <v>28.12</v>
      </c>
      <c r="I658" s="14" t="n">
        <v>0</v>
      </c>
      <c r="J658" s="14" t="n">
        <v>0</v>
      </c>
      <c r="K658" s="14" t="n">
        <v>0</v>
      </c>
      <c r="L658" s="14" t="n">
        <v>0</v>
      </c>
      <c r="M658" s="14">
        <f>IF(B658="Frete de venda",0,(1-ISNUMBER(SEARCH("556",P658)))*(I658*VLOOKUP($B658,Premissas!$A$4:$E$7,2,0)+J658*VLOOKUP($B658,Premissas!$A$4:$E$7,3,0))+K658*VLOOKUP($B658,Premissas!$A$4:$E$7,4,0)+L658*VLOOKUP($B658,Premissas!$A$4:$E$7,5,0))</f>
        <v/>
      </c>
      <c r="N658" s="14">
        <f>H658-M658</f>
        <v/>
      </c>
      <c r="O658" t="inlineStr">
        <is>
          <t>Não</t>
        </is>
      </c>
      <c r="P658" t="inlineStr">
        <is>
          <t>1.350</t>
        </is>
      </c>
    </row>
    <row r="659">
      <c r="A659" t="inlineStr">
        <is>
          <t>Antes de 2026</t>
        </is>
      </c>
      <c r="B659" t="inlineStr">
        <is>
          <t>Frete de venda</t>
        </is>
      </c>
      <c r="C659" t="inlineStr">
        <is>
          <t>Frete de venda (para clientes)</t>
        </is>
      </c>
      <c r="D659" t="inlineStr">
        <is>
          <t>CT-e</t>
        </is>
      </c>
      <c r="E659" t="inlineStr">
        <is>
          <t>000005438</t>
        </is>
      </c>
      <c r="F659" t="inlineStr">
        <is>
          <t>R&amp;R TRANSPORTE E LOGISTICA</t>
        </is>
      </c>
      <c r="G659" s="27" t="n">
        <v>45940</v>
      </c>
      <c r="H659" s="14" t="n">
        <v>22.47</v>
      </c>
      <c r="I659" s="14" t="n">
        <v>0</v>
      </c>
      <c r="J659" s="14" t="n">
        <v>0</v>
      </c>
      <c r="K659" s="14" t="n">
        <v>0</v>
      </c>
      <c r="L659" s="14" t="n">
        <v>0</v>
      </c>
      <c r="M659" s="14">
        <f>IF(B659="Frete de venda",0,(1-ISNUMBER(SEARCH("556",P659)))*(I659*VLOOKUP($B659,Premissas!$A$4:$E$7,2,0)+J659*VLOOKUP($B659,Premissas!$A$4:$E$7,3,0))+K659*VLOOKUP($B659,Premissas!$A$4:$E$7,4,0)+L659*VLOOKUP($B659,Premissas!$A$4:$E$7,5,0))</f>
        <v/>
      </c>
      <c r="N659" s="14">
        <f>H659-M659</f>
        <v/>
      </c>
      <c r="O659" t="inlineStr">
        <is>
          <t>Não</t>
        </is>
      </c>
      <c r="P659" t="inlineStr">
        <is>
          <t>1.350</t>
        </is>
      </c>
    </row>
    <row r="660">
      <c r="A660" t="inlineStr">
        <is>
          <t>Antes de 2026</t>
        </is>
      </c>
      <c r="B660" t="inlineStr">
        <is>
          <t>Frete de venda</t>
        </is>
      </c>
      <c r="C660" t="inlineStr">
        <is>
          <t>Frete de venda (para clientes)</t>
        </is>
      </c>
      <c r="D660" t="inlineStr">
        <is>
          <t>CT-e</t>
        </is>
      </c>
      <c r="E660" t="inlineStr">
        <is>
          <t>000005087</t>
        </is>
      </c>
      <c r="F660" t="inlineStr">
        <is>
          <t>R&amp;R TRANSPORTE E LOGISTICA</t>
        </is>
      </c>
      <c r="G660" s="27" t="n">
        <v>45898</v>
      </c>
      <c r="H660" s="14" t="n">
        <v>95.06999999999999</v>
      </c>
      <c r="I660" s="14" t="n">
        <v>0</v>
      </c>
      <c r="J660" s="14" t="n">
        <v>0</v>
      </c>
      <c r="K660" s="14" t="n">
        <v>0</v>
      </c>
      <c r="L660" s="14" t="n">
        <v>0</v>
      </c>
      <c r="M660" s="14">
        <f>IF(B660="Frete de venda",0,(1-ISNUMBER(SEARCH("556",P660)))*(I660*VLOOKUP($B660,Premissas!$A$4:$E$7,2,0)+J660*VLOOKUP($B660,Premissas!$A$4:$E$7,3,0))+K660*VLOOKUP($B660,Premissas!$A$4:$E$7,4,0)+L660*VLOOKUP($B660,Premissas!$A$4:$E$7,5,0))</f>
        <v/>
      </c>
      <c r="N660" s="14">
        <f>H660-M660</f>
        <v/>
      </c>
      <c r="O660" t="inlineStr">
        <is>
          <t>Não</t>
        </is>
      </c>
      <c r="P660" t="inlineStr">
        <is>
          <t>1.350</t>
        </is>
      </c>
    </row>
    <row r="661">
      <c r="A661" t="inlineStr">
        <is>
          <t>Antes de 2026</t>
        </is>
      </c>
      <c r="B661" t="inlineStr">
        <is>
          <t>Frete de venda</t>
        </is>
      </c>
      <c r="C661" t="inlineStr">
        <is>
          <t>Frete de venda (para clientes)</t>
        </is>
      </c>
      <c r="D661" t="inlineStr">
        <is>
          <t>CT-e</t>
        </is>
      </c>
      <c r="E661" t="inlineStr">
        <is>
          <t>000004318</t>
        </is>
      </c>
      <c r="F661" t="inlineStr">
        <is>
          <t>R&amp;R TRANSPORTE E LOGISTICA</t>
        </is>
      </c>
      <c r="G661" s="27" t="n">
        <v>45806</v>
      </c>
      <c r="H661" s="14" t="n">
        <v>23.53</v>
      </c>
      <c r="I661" s="14" t="n">
        <v>0</v>
      </c>
      <c r="J661" s="14" t="n">
        <v>0</v>
      </c>
      <c r="K661" s="14" t="n">
        <v>0</v>
      </c>
      <c r="L661" s="14" t="n">
        <v>0</v>
      </c>
      <c r="M661" s="14">
        <f>IF(B661="Frete de venda",0,(1-ISNUMBER(SEARCH("556",P661)))*(I661*VLOOKUP($B661,Premissas!$A$4:$E$7,2,0)+J661*VLOOKUP($B661,Premissas!$A$4:$E$7,3,0))+K661*VLOOKUP($B661,Premissas!$A$4:$E$7,4,0)+L661*VLOOKUP($B661,Premissas!$A$4:$E$7,5,0))</f>
        <v/>
      </c>
      <c r="N661" s="14">
        <f>H661-M661</f>
        <v/>
      </c>
      <c r="O661" t="inlineStr">
        <is>
          <t>Não</t>
        </is>
      </c>
      <c r="P661" t="inlineStr">
        <is>
          <t>1.350</t>
        </is>
      </c>
    </row>
    <row r="662">
      <c r="A662" t="inlineStr">
        <is>
          <t>Antes de 2026</t>
        </is>
      </c>
      <c r="B662" t="inlineStr">
        <is>
          <t>Frete de venda</t>
        </is>
      </c>
      <c r="C662" t="inlineStr">
        <is>
          <t>Frete de venda (para clientes)</t>
        </is>
      </c>
      <c r="D662" t="inlineStr">
        <is>
          <t>CT-e</t>
        </is>
      </c>
      <c r="E662" t="inlineStr">
        <is>
          <t>000005248</t>
        </is>
      </c>
      <c r="F662" t="inlineStr">
        <is>
          <t>R&amp;R TRANSPORTE E LOGISTICA</t>
        </is>
      </c>
      <c r="G662" s="27" t="n">
        <v>45918</v>
      </c>
      <c r="H662" s="14" t="n">
        <v>24.04</v>
      </c>
      <c r="I662" s="14" t="n">
        <v>0</v>
      </c>
      <c r="J662" s="14" t="n">
        <v>0</v>
      </c>
      <c r="K662" s="14" t="n">
        <v>0</v>
      </c>
      <c r="L662" s="14" t="n">
        <v>0</v>
      </c>
      <c r="M662" s="14">
        <f>IF(B662="Frete de venda",0,(1-ISNUMBER(SEARCH("556",P662)))*(I662*VLOOKUP($B662,Premissas!$A$4:$E$7,2,0)+J662*VLOOKUP($B662,Premissas!$A$4:$E$7,3,0))+K662*VLOOKUP($B662,Premissas!$A$4:$E$7,4,0)+L662*VLOOKUP($B662,Premissas!$A$4:$E$7,5,0))</f>
        <v/>
      </c>
      <c r="N662" s="14">
        <f>H662-M662</f>
        <v/>
      </c>
      <c r="O662" t="inlineStr">
        <is>
          <t>Não</t>
        </is>
      </c>
      <c r="P662" t="inlineStr">
        <is>
          <t>1.350</t>
        </is>
      </c>
    </row>
    <row r="663">
      <c r="A663" t="inlineStr">
        <is>
          <t>Antes de 2026</t>
        </is>
      </c>
      <c r="B663" t="inlineStr">
        <is>
          <t>Frete de venda</t>
        </is>
      </c>
      <c r="C663" t="inlineStr">
        <is>
          <t>Frete de venda (para clientes)</t>
        </is>
      </c>
      <c r="D663" t="inlineStr">
        <is>
          <t>CT-e</t>
        </is>
      </c>
      <c r="E663" t="inlineStr">
        <is>
          <t>000006082</t>
        </is>
      </c>
      <c r="F663" t="inlineStr">
        <is>
          <t>R&amp;R TRANSPORTE E LOGISTICA</t>
        </is>
      </c>
      <c r="G663" s="27" t="n">
        <v>46021</v>
      </c>
      <c r="H663" s="14" t="n">
        <v>9.08</v>
      </c>
      <c r="I663" s="14" t="n">
        <v>0</v>
      </c>
      <c r="J663" s="14" t="n">
        <v>0</v>
      </c>
      <c r="K663" s="14" t="n">
        <v>0</v>
      </c>
      <c r="L663" s="14" t="n">
        <v>0</v>
      </c>
      <c r="M663" s="14">
        <f>IF(B663="Frete de venda",0,(1-ISNUMBER(SEARCH("556",P663)))*(I663*VLOOKUP($B663,Premissas!$A$4:$E$7,2,0)+J663*VLOOKUP($B663,Premissas!$A$4:$E$7,3,0))+K663*VLOOKUP($B663,Premissas!$A$4:$E$7,4,0)+L663*VLOOKUP($B663,Premissas!$A$4:$E$7,5,0))</f>
        <v/>
      </c>
      <c r="N663" s="14">
        <f>H663-M663</f>
        <v/>
      </c>
      <c r="O663" t="inlineStr">
        <is>
          <t>Não</t>
        </is>
      </c>
      <c r="P663" t="inlineStr">
        <is>
          <t>1.350</t>
        </is>
      </c>
    </row>
    <row r="664">
      <c r="A664" t="inlineStr">
        <is>
          <t>Antes de 2026</t>
        </is>
      </c>
      <c r="B664" t="inlineStr">
        <is>
          <t>Frete de venda</t>
        </is>
      </c>
      <c r="C664" t="inlineStr">
        <is>
          <t>Frete de venda (para clientes)</t>
        </is>
      </c>
      <c r="D664" t="inlineStr">
        <is>
          <t>CT-e</t>
        </is>
      </c>
      <c r="E664" t="inlineStr">
        <is>
          <t>000000591</t>
        </is>
      </c>
      <c r="F664" t="inlineStr">
        <is>
          <t>REIMAG - REINALDO DOMINGUES BARROS DA SILVA</t>
        </is>
      </c>
      <c r="G664" s="27" t="n">
        <v>46010</v>
      </c>
      <c r="H664" s="14" t="n">
        <v>375</v>
      </c>
      <c r="I664" s="14" t="n">
        <v>0</v>
      </c>
      <c r="J664" s="14" t="n">
        <v>0</v>
      </c>
      <c r="K664" s="14" t="n">
        <v>0</v>
      </c>
      <c r="L664" s="14" t="n">
        <v>0</v>
      </c>
      <c r="M664" s="14">
        <f>IF(B664="Frete de venda",0,(1-ISNUMBER(SEARCH("556",P664)))*(I664*VLOOKUP($B664,Premissas!$A$4:$E$7,2,0)+J664*VLOOKUP($B664,Premissas!$A$4:$E$7,3,0))+K664*VLOOKUP($B664,Premissas!$A$4:$E$7,4,0)+L664*VLOOKUP($B664,Premissas!$A$4:$E$7,5,0))</f>
        <v/>
      </c>
      <c r="N664" s="14">
        <f>H664-M664</f>
        <v/>
      </c>
      <c r="O664" t="inlineStr">
        <is>
          <t>Não</t>
        </is>
      </c>
      <c r="P664" t="inlineStr">
        <is>
          <t>1.350</t>
        </is>
      </c>
    </row>
    <row r="665">
      <c r="A665" t="inlineStr">
        <is>
          <t>Antes de 2026</t>
        </is>
      </c>
      <c r="B665" t="inlineStr">
        <is>
          <t>Frete de venda</t>
        </is>
      </c>
      <c r="C665" t="inlineStr">
        <is>
          <t>Frete de venda (para clientes)</t>
        </is>
      </c>
      <c r="D665" t="inlineStr">
        <is>
          <t>CT-e</t>
        </is>
      </c>
      <c r="E665" t="inlineStr">
        <is>
          <t>000000598</t>
        </is>
      </c>
      <c r="F665" t="inlineStr">
        <is>
          <t>REIMAG - REINALDO DOMINGUES BARROS DA SILVA</t>
        </is>
      </c>
      <c r="G665" s="27" t="n">
        <v>46021</v>
      </c>
      <c r="H665" s="14" t="n">
        <v>800</v>
      </c>
      <c r="I665" s="14" t="n">
        <v>0</v>
      </c>
      <c r="J665" s="14" t="n">
        <v>0</v>
      </c>
      <c r="K665" s="14" t="n">
        <v>0</v>
      </c>
      <c r="L665" s="14" t="n">
        <v>0</v>
      </c>
      <c r="M665" s="14">
        <f>IF(B665="Frete de venda",0,(1-ISNUMBER(SEARCH("556",P665)))*(I665*VLOOKUP($B665,Premissas!$A$4:$E$7,2,0)+J665*VLOOKUP($B665,Premissas!$A$4:$E$7,3,0))+K665*VLOOKUP($B665,Premissas!$A$4:$E$7,4,0)+L665*VLOOKUP($B665,Premissas!$A$4:$E$7,5,0))</f>
        <v/>
      </c>
      <c r="N665" s="14">
        <f>H665-M665</f>
        <v/>
      </c>
      <c r="O665" t="inlineStr">
        <is>
          <t>Não</t>
        </is>
      </c>
      <c r="P665" t="inlineStr">
        <is>
          <t>1.350</t>
        </is>
      </c>
    </row>
    <row r="666">
      <c r="A666" t="inlineStr">
        <is>
          <t>Antes de 2026</t>
        </is>
      </c>
      <c r="B666" t="inlineStr">
        <is>
          <t>Frete de venda</t>
        </is>
      </c>
      <c r="C666" t="inlineStr">
        <is>
          <t>Frete de venda (para clientes)</t>
        </is>
      </c>
      <c r="D666" t="inlineStr">
        <is>
          <t>CT-e</t>
        </is>
      </c>
      <c r="E666" t="inlineStr">
        <is>
          <t>000004774</t>
        </is>
      </c>
      <c r="F666" t="inlineStr">
        <is>
          <t>R&amp;R TRANSPORTE E LOGISTICA</t>
        </is>
      </c>
      <c r="G666" s="27" t="n">
        <v>45867</v>
      </c>
      <c r="H666" s="14" t="n">
        <v>690.85</v>
      </c>
      <c r="I666" s="14" t="n">
        <v>0</v>
      </c>
      <c r="J666" s="14" t="n">
        <v>0</v>
      </c>
      <c r="K666" s="14" t="n">
        <v>0</v>
      </c>
      <c r="L666" s="14" t="n">
        <v>0</v>
      </c>
      <c r="M666" s="14">
        <f>IF(B666="Frete de venda",0,(1-ISNUMBER(SEARCH("556",P666)))*(I666*VLOOKUP($B666,Premissas!$A$4:$E$7,2,0)+J666*VLOOKUP($B666,Premissas!$A$4:$E$7,3,0))+K666*VLOOKUP($B666,Premissas!$A$4:$E$7,4,0)+L666*VLOOKUP($B666,Premissas!$A$4:$E$7,5,0))</f>
        <v/>
      </c>
      <c r="N666" s="14">
        <f>H666-M666</f>
        <v/>
      </c>
      <c r="O666" t="inlineStr">
        <is>
          <t>Não</t>
        </is>
      </c>
      <c r="P666" t="inlineStr">
        <is>
          <t>1.350</t>
        </is>
      </c>
    </row>
    <row r="667">
      <c r="A667" t="inlineStr">
        <is>
          <t>Antes de 2026</t>
        </is>
      </c>
      <c r="B667" t="inlineStr">
        <is>
          <t>Frete de venda</t>
        </is>
      </c>
      <c r="C667" t="inlineStr">
        <is>
          <t>Frete de venda (para clientes)</t>
        </is>
      </c>
      <c r="D667" t="inlineStr">
        <is>
          <t>CT-e</t>
        </is>
      </c>
      <c r="E667" t="inlineStr">
        <is>
          <t>000005070</t>
        </is>
      </c>
      <c r="F667" t="inlineStr">
        <is>
          <t>R&amp;R TRANSPORTE E LOGISTICA</t>
        </is>
      </c>
      <c r="G667" s="27" t="n">
        <v>45897</v>
      </c>
      <c r="H667" s="14" t="n">
        <v>34.92</v>
      </c>
      <c r="I667" s="14" t="n">
        <v>0</v>
      </c>
      <c r="J667" s="14" t="n">
        <v>0</v>
      </c>
      <c r="K667" s="14" t="n">
        <v>0</v>
      </c>
      <c r="L667" s="14" t="n">
        <v>0</v>
      </c>
      <c r="M667" s="14">
        <f>IF(B667="Frete de venda",0,(1-ISNUMBER(SEARCH("556",P667)))*(I667*VLOOKUP($B667,Premissas!$A$4:$E$7,2,0)+J667*VLOOKUP($B667,Premissas!$A$4:$E$7,3,0))+K667*VLOOKUP($B667,Premissas!$A$4:$E$7,4,0)+L667*VLOOKUP($B667,Premissas!$A$4:$E$7,5,0))</f>
        <v/>
      </c>
      <c r="N667" s="14">
        <f>H667-M667</f>
        <v/>
      </c>
      <c r="O667" t="inlineStr">
        <is>
          <t>Não</t>
        </is>
      </c>
      <c r="P667" t="inlineStr">
        <is>
          <t>1.350</t>
        </is>
      </c>
    </row>
    <row r="668">
      <c r="A668" t="inlineStr">
        <is>
          <t>Antes de 2026</t>
        </is>
      </c>
      <c r="B668" t="inlineStr">
        <is>
          <t>Frete de venda</t>
        </is>
      </c>
      <c r="C668" t="inlineStr">
        <is>
          <t>Frete de venda (para clientes)</t>
        </is>
      </c>
      <c r="D668" t="inlineStr">
        <is>
          <t>CT-e</t>
        </is>
      </c>
      <c r="E668" t="inlineStr">
        <is>
          <t>000005640</t>
        </is>
      </c>
      <c r="F668" t="inlineStr">
        <is>
          <t>R&amp;R TRANSPORTE E LOGISTICA</t>
        </is>
      </c>
      <c r="G668" s="27" t="n">
        <v>45961</v>
      </c>
      <c r="H668" s="14" t="n">
        <v>18.78</v>
      </c>
      <c r="I668" s="14" t="n">
        <v>0</v>
      </c>
      <c r="J668" s="14" t="n">
        <v>0</v>
      </c>
      <c r="K668" s="14" t="n">
        <v>0</v>
      </c>
      <c r="L668" s="14" t="n">
        <v>0</v>
      </c>
      <c r="M668" s="14">
        <f>IF(B668="Frete de venda",0,(1-ISNUMBER(SEARCH("556",P668)))*(I668*VLOOKUP($B668,Premissas!$A$4:$E$7,2,0)+J668*VLOOKUP($B668,Premissas!$A$4:$E$7,3,0))+K668*VLOOKUP($B668,Premissas!$A$4:$E$7,4,0)+L668*VLOOKUP($B668,Premissas!$A$4:$E$7,5,0))</f>
        <v/>
      </c>
      <c r="N668" s="14">
        <f>H668-M668</f>
        <v/>
      </c>
      <c r="O668" t="inlineStr">
        <is>
          <t>Não</t>
        </is>
      </c>
      <c r="P668" t="inlineStr">
        <is>
          <t>1.350</t>
        </is>
      </c>
    </row>
    <row r="669">
      <c r="A669" t="inlineStr">
        <is>
          <t>Antes de 2026</t>
        </is>
      </c>
      <c r="B669" t="inlineStr">
        <is>
          <t>Frete de venda</t>
        </is>
      </c>
      <c r="C669" t="inlineStr">
        <is>
          <t>Frete de venda (para clientes)</t>
        </is>
      </c>
      <c r="D669" t="inlineStr">
        <is>
          <t>CT-e</t>
        </is>
      </c>
      <c r="E669" t="inlineStr">
        <is>
          <t>000004473</t>
        </is>
      </c>
      <c r="F669" t="inlineStr">
        <is>
          <t>R&amp;R TRANSPORTE E LOGISTICA</t>
        </is>
      </c>
      <c r="G669" s="27" t="n">
        <v>45831</v>
      </c>
      <c r="H669" s="14" t="n">
        <v>41.55</v>
      </c>
      <c r="I669" s="14" t="n">
        <v>0</v>
      </c>
      <c r="J669" s="14" t="n">
        <v>0</v>
      </c>
      <c r="K669" s="14" t="n">
        <v>0</v>
      </c>
      <c r="L669" s="14" t="n">
        <v>0</v>
      </c>
      <c r="M669" s="14">
        <f>IF(B669="Frete de venda",0,(1-ISNUMBER(SEARCH("556",P669)))*(I669*VLOOKUP($B669,Premissas!$A$4:$E$7,2,0)+J669*VLOOKUP($B669,Premissas!$A$4:$E$7,3,0))+K669*VLOOKUP($B669,Premissas!$A$4:$E$7,4,0)+L669*VLOOKUP($B669,Premissas!$A$4:$E$7,5,0))</f>
        <v/>
      </c>
      <c r="N669" s="14">
        <f>H669-M669</f>
        <v/>
      </c>
      <c r="O669" t="inlineStr">
        <is>
          <t>Não</t>
        </is>
      </c>
      <c r="P669" t="inlineStr">
        <is>
          <t>1.350</t>
        </is>
      </c>
    </row>
    <row r="670">
      <c r="A670" t="inlineStr">
        <is>
          <t>Antes de 2026</t>
        </is>
      </c>
      <c r="B670" t="inlineStr">
        <is>
          <t>Frete de venda</t>
        </is>
      </c>
      <c r="C670" t="inlineStr">
        <is>
          <t>Frete de venda (para clientes)</t>
        </is>
      </c>
      <c r="D670" t="inlineStr">
        <is>
          <t>CT-e</t>
        </is>
      </c>
      <c r="E670" t="inlineStr">
        <is>
          <t>000004689</t>
        </is>
      </c>
      <c r="F670" t="inlineStr">
        <is>
          <t>R&amp;R TRANSPORTE E LOGISTICA</t>
        </is>
      </c>
      <c r="G670" s="27" t="n">
        <v>45856</v>
      </c>
      <c r="H670" s="14" t="n">
        <v>41</v>
      </c>
      <c r="I670" s="14" t="n">
        <v>0</v>
      </c>
      <c r="J670" s="14" t="n">
        <v>0</v>
      </c>
      <c r="K670" s="14" t="n">
        <v>0</v>
      </c>
      <c r="L670" s="14" t="n">
        <v>0</v>
      </c>
      <c r="M670" s="14">
        <f>IF(B670="Frete de venda",0,(1-ISNUMBER(SEARCH("556",P670)))*(I670*VLOOKUP($B670,Premissas!$A$4:$E$7,2,0)+J670*VLOOKUP($B670,Premissas!$A$4:$E$7,3,0))+K670*VLOOKUP($B670,Premissas!$A$4:$E$7,4,0)+L670*VLOOKUP($B670,Premissas!$A$4:$E$7,5,0))</f>
        <v/>
      </c>
      <c r="N670" s="14">
        <f>H670-M670</f>
        <v/>
      </c>
      <c r="O670" t="inlineStr">
        <is>
          <t>Não</t>
        </is>
      </c>
      <c r="P670" t="inlineStr">
        <is>
          <t>1.350</t>
        </is>
      </c>
    </row>
    <row r="671">
      <c r="A671" t="inlineStr">
        <is>
          <t>Antes de 2026</t>
        </is>
      </c>
      <c r="B671" t="inlineStr">
        <is>
          <t>Frete de venda</t>
        </is>
      </c>
      <c r="C671" t="inlineStr">
        <is>
          <t>Frete de venda (para clientes)</t>
        </is>
      </c>
      <c r="D671" t="inlineStr">
        <is>
          <t>CT-e</t>
        </is>
      </c>
      <c r="E671" t="inlineStr">
        <is>
          <t>000004832</t>
        </is>
      </c>
      <c r="F671" t="inlineStr">
        <is>
          <t>R&amp;R TRANSPORTE E LOGISTICA</t>
        </is>
      </c>
      <c r="G671" s="27" t="n">
        <v>45870</v>
      </c>
      <c r="H671" s="14" t="n">
        <v>16.06</v>
      </c>
      <c r="I671" s="14" t="n">
        <v>0</v>
      </c>
      <c r="J671" s="14" t="n">
        <v>0</v>
      </c>
      <c r="K671" s="14" t="n">
        <v>0</v>
      </c>
      <c r="L671" s="14" t="n">
        <v>0</v>
      </c>
      <c r="M671" s="14">
        <f>IF(B671="Frete de venda",0,(1-ISNUMBER(SEARCH("556",P671)))*(I671*VLOOKUP($B671,Premissas!$A$4:$E$7,2,0)+J671*VLOOKUP($B671,Premissas!$A$4:$E$7,3,0))+K671*VLOOKUP($B671,Premissas!$A$4:$E$7,4,0)+L671*VLOOKUP($B671,Premissas!$A$4:$E$7,5,0))</f>
        <v/>
      </c>
      <c r="N671" s="14">
        <f>H671-M671</f>
        <v/>
      </c>
      <c r="O671" t="inlineStr">
        <is>
          <t>Não</t>
        </is>
      </c>
      <c r="P671" t="inlineStr">
        <is>
          <t>1.350</t>
        </is>
      </c>
    </row>
    <row r="672">
      <c r="A672" t="inlineStr">
        <is>
          <t>Antes de 2026</t>
        </is>
      </c>
      <c r="B672" t="inlineStr">
        <is>
          <t>Frete de venda</t>
        </is>
      </c>
      <c r="C672" t="inlineStr">
        <is>
          <t>Frete de venda (para clientes)</t>
        </is>
      </c>
      <c r="D672" t="inlineStr">
        <is>
          <t>CT-e</t>
        </is>
      </c>
      <c r="E672" t="inlineStr">
        <is>
          <t>000005032</t>
        </is>
      </c>
      <c r="F672" t="inlineStr">
        <is>
          <t>R&amp;R TRANSPORTE E LOGISTICA</t>
        </is>
      </c>
      <c r="G672" s="27" t="n">
        <v>45895</v>
      </c>
      <c r="H672" s="14" t="n">
        <v>14.4</v>
      </c>
      <c r="I672" s="14" t="n">
        <v>0</v>
      </c>
      <c r="J672" s="14" t="n">
        <v>0</v>
      </c>
      <c r="K672" s="14" t="n">
        <v>0</v>
      </c>
      <c r="L672" s="14" t="n">
        <v>0</v>
      </c>
      <c r="M672" s="14">
        <f>IF(B672="Frete de venda",0,(1-ISNUMBER(SEARCH("556",P672)))*(I672*VLOOKUP($B672,Premissas!$A$4:$E$7,2,0)+J672*VLOOKUP($B672,Premissas!$A$4:$E$7,3,0))+K672*VLOOKUP($B672,Premissas!$A$4:$E$7,4,0)+L672*VLOOKUP($B672,Premissas!$A$4:$E$7,5,0))</f>
        <v/>
      </c>
      <c r="N672" s="14">
        <f>H672-M672</f>
        <v/>
      </c>
      <c r="O672" t="inlineStr">
        <is>
          <t>Não</t>
        </is>
      </c>
      <c r="P672" t="inlineStr">
        <is>
          <t>1.350</t>
        </is>
      </c>
    </row>
    <row r="673">
      <c r="A673" t="inlineStr">
        <is>
          <t>Antes de 2026</t>
        </is>
      </c>
      <c r="B673" t="inlineStr">
        <is>
          <t>Frete de venda</t>
        </is>
      </c>
      <c r="C673" t="inlineStr">
        <is>
          <t>Frete de venda (para clientes)</t>
        </is>
      </c>
      <c r="D673" t="inlineStr">
        <is>
          <t>CT-e</t>
        </is>
      </c>
      <c r="E673" t="inlineStr">
        <is>
          <t>000005327</t>
        </is>
      </c>
      <c r="F673" t="inlineStr">
        <is>
          <t>R&amp;R TRANSPORTE E LOGISTICA</t>
        </is>
      </c>
      <c r="G673" s="27" t="n">
        <v>45929</v>
      </c>
      <c r="H673" s="14" t="n">
        <v>24.96</v>
      </c>
      <c r="I673" s="14" t="n">
        <v>0</v>
      </c>
      <c r="J673" s="14" t="n">
        <v>0</v>
      </c>
      <c r="K673" s="14" t="n">
        <v>0</v>
      </c>
      <c r="L673" s="14" t="n">
        <v>0</v>
      </c>
      <c r="M673" s="14">
        <f>IF(B673="Frete de venda",0,(1-ISNUMBER(SEARCH("556",P673)))*(I673*VLOOKUP($B673,Premissas!$A$4:$E$7,2,0)+J673*VLOOKUP($B673,Premissas!$A$4:$E$7,3,0))+K673*VLOOKUP($B673,Premissas!$A$4:$E$7,4,0)+L673*VLOOKUP($B673,Premissas!$A$4:$E$7,5,0))</f>
        <v/>
      </c>
      <c r="N673" s="14">
        <f>H673-M673</f>
        <v/>
      </c>
      <c r="O673" t="inlineStr">
        <is>
          <t>Não</t>
        </is>
      </c>
      <c r="P673" t="inlineStr">
        <is>
          <t>1.350</t>
        </is>
      </c>
    </row>
    <row r="674">
      <c r="A674" t="inlineStr">
        <is>
          <t>Antes de 2026</t>
        </is>
      </c>
      <c r="B674" t="inlineStr">
        <is>
          <t>Frete de venda</t>
        </is>
      </c>
      <c r="C674" t="inlineStr">
        <is>
          <t>Frete de venda (para clientes)</t>
        </is>
      </c>
      <c r="D674" t="inlineStr">
        <is>
          <t>CT-e</t>
        </is>
      </c>
      <c r="E674" t="inlineStr">
        <is>
          <t>000005559</t>
        </is>
      </c>
      <c r="F674" t="inlineStr">
        <is>
          <t>R&amp;R TRANSPORTE E LOGISTICA</t>
        </is>
      </c>
      <c r="G674" s="27" t="n">
        <v>45955</v>
      </c>
      <c r="H674" s="14" t="n">
        <v>79.63</v>
      </c>
      <c r="I674" s="14" t="n">
        <v>0</v>
      </c>
      <c r="J674" s="14" t="n">
        <v>0</v>
      </c>
      <c r="K674" s="14" t="n">
        <v>0</v>
      </c>
      <c r="L674" s="14" t="n">
        <v>0</v>
      </c>
      <c r="M674" s="14">
        <f>IF(B674="Frete de venda",0,(1-ISNUMBER(SEARCH("556",P674)))*(I674*VLOOKUP($B674,Premissas!$A$4:$E$7,2,0)+J674*VLOOKUP($B674,Premissas!$A$4:$E$7,3,0))+K674*VLOOKUP($B674,Premissas!$A$4:$E$7,4,0)+L674*VLOOKUP($B674,Premissas!$A$4:$E$7,5,0))</f>
        <v/>
      </c>
      <c r="N674" s="14">
        <f>H674-M674</f>
        <v/>
      </c>
      <c r="O674" t="inlineStr">
        <is>
          <t>Não</t>
        </is>
      </c>
      <c r="P674" t="inlineStr">
        <is>
          <t>1.350</t>
        </is>
      </c>
    </row>
    <row r="675">
      <c r="A675" t="inlineStr">
        <is>
          <t>Antes de 2026</t>
        </is>
      </c>
      <c r="B675" t="inlineStr">
        <is>
          <t>Frete de venda</t>
        </is>
      </c>
      <c r="C675" t="inlineStr">
        <is>
          <t>Frete de venda (para clientes)</t>
        </is>
      </c>
      <c r="D675" t="inlineStr">
        <is>
          <t>CT-e</t>
        </is>
      </c>
      <c r="E675" t="inlineStr">
        <is>
          <t>000004341</t>
        </is>
      </c>
      <c r="F675" t="inlineStr">
        <is>
          <t>R&amp;R TRANSPORTE E LOGISTICA</t>
        </is>
      </c>
      <c r="G675" s="27" t="n">
        <v>45807</v>
      </c>
      <c r="H675" s="14" t="n">
        <v>26.65</v>
      </c>
      <c r="I675" s="14" t="n">
        <v>0</v>
      </c>
      <c r="J675" s="14" t="n">
        <v>0</v>
      </c>
      <c r="K675" s="14" t="n">
        <v>0</v>
      </c>
      <c r="L675" s="14" t="n">
        <v>0</v>
      </c>
      <c r="M675" s="14">
        <f>IF(B675="Frete de venda",0,(1-ISNUMBER(SEARCH("556",P675)))*(I675*VLOOKUP($B675,Premissas!$A$4:$E$7,2,0)+J675*VLOOKUP($B675,Premissas!$A$4:$E$7,3,0))+K675*VLOOKUP($B675,Premissas!$A$4:$E$7,4,0)+L675*VLOOKUP($B675,Premissas!$A$4:$E$7,5,0))</f>
        <v/>
      </c>
      <c r="N675" s="14">
        <f>H675-M675</f>
        <v/>
      </c>
      <c r="O675" t="inlineStr">
        <is>
          <t>Não</t>
        </is>
      </c>
      <c r="P675" t="inlineStr">
        <is>
          <t>1.350</t>
        </is>
      </c>
    </row>
    <row r="676">
      <c r="A676" t="inlineStr">
        <is>
          <t>Antes de 2026</t>
        </is>
      </c>
      <c r="B676" t="inlineStr">
        <is>
          <t>Frete de venda</t>
        </is>
      </c>
      <c r="C676" t="inlineStr">
        <is>
          <t>Frete de venda (para clientes)</t>
        </is>
      </c>
      <c r="D676" t="inlineStr">
        <is>
          <t>CT-e</t>
        </is>
      </c>
      <c r="E676" t="inlineStr">
        <is>
          <t>000004687</t>
        </is>
      </c>
      <c r="F676" t="inlineStr">
        <is>
          <t>R&amp;R TRANSPORTE E LOGISTICA</t>
        </is>
      </c>
      <c r="G676" s="27" t="n">
        <v>45856</v>
      </c>
      <c r="H676" s="14" t="n">
        <v>26.48</v>
      </c>
      <c r="I676" s="14" t="n">
        <v>0</v>
      </c>
      <c r="J676" s="14" t="n">
        <v>0</v>
      </c>
      <c r="K676" s="14" t="n">
        <v>0</v>
      </c>
      <c r="L676" s="14" t="n">
        <v>0</v>
      </c>
      <c r="M676" s="14">
        <f>IF(B676="Frete de venda",0,(1-ISNUMBER(SEARCH("556",P676)))*(I676*VLOOKUP($B676,Premissas!$A$4:$E$7,2,0)+J676*VLOOKUP($B676,Premissas!$A$4:$E$7,3,0))+K676*VLOOKUP($B676,Premissas!$A$4:$E$7,4,0)+L676*VLOOKUP($B676,Premissas!$A$4:$E$7,5,0))</f>
        <v/>
      </c>
      <c r="N676" s="14">
        <f>H676-M676</f>
        <v/>
      </c>
      <c r="O676" t="inlineStr">
        <is>
          <t>Não</t>
        </is>
      </c>
      <c r="P676" t="inlineStr">
        <is>
          <t>1.350</t>
        </is>
      </c>
    </row>
    <row r="677">
      <c r="A677" t="inlineStr">
        <is>
          <t>Antes de 2026</t>
        </is>
      </c>
      <c r="B677" t="inlineStr">
        <is>
          <t>Frete de venda</t>
        </is>
      </c>
      <c r="C677" t="inlineStr">
        <is>
          <t>Frete de venda (para clientes)</t>
        </is>
      </c>
      <c r="D677" t="inlineStr">
        <is>
          <t>CT-e</t>
        </is>
      </c>
      <c r="E677" t="inlineStr">
        <is>
          <t>000005794</t>
        </is>
      </c>
      <c r="F677" t="inlineStr">
        <is>
          <t>R&amp;R TRANSPORTE E LOGISTICA</t>
        </is>
      </c>
      <c r="G677" s="27" t="n">
        <v>45981</v>
      </c>
      <c r="H677" s="14" t="n">
        <v>19.28</v>
      </c>
      <c r="I677" s="14" t="n">
        <v>0</v>
      </c>
      <c r="J677" s="14" t="n">
        <v>0</v>
      </c>
      <c r="K677" s="14" t="n">
        <v>0</v>
      </c>
      <c r="L677" s="14" t="n">
        <v>0</v>
      </c>
      <c r="M677" s="14">
        <f>IF(B677="Frete de venda",0,(1-ISNUMBER(SEARCH("556",P677)))*(I677*VLOOKUP($B677,Premissas!$A$4:$E$7,2,0)+J677*VLOOKUP($B677,Premissas!$A$4:$E$7,3,0))+K677*VLOOKUP($B677,Premissas!$A$4:$E$7,4,0)+L677*VLOOKUP($B677,Premissas!$A$4:$E$7,5,0))</f>
        <v/>
      </c>
      <c r="N677" s="14">
        <f>H677-M677</f>
        <v/>
      </c>
      <c r="O677" t="inlineStr">
        <is>
          <t>Não</t>
        </is>
      </c>
      <c r="P677" t="inlineStr">
        <is>
          <t>1.350</t>
        </is>
      </c>
    </row>
    <row r="678">
      <c r="A678" t="inlineStr">
        <is>
          <t>Antes de 2026</t>
        </is>
      </c>
      <c r="B678" t="inlineStr">
        <is>
          <t>Frete de venda</t>
        </is>
      </c>
      <c r="C678" t="inlineStr">
        <is>
          <t>Frete de venda (para clientes)</t>
        </is>
      </c>
      <c r="D678" t="inlineStr">
        <is>
          <t>CT-e</t>
        </is>
      </c>
      <c r="E678" t="inlineStr">
        <is>
          <t>000004676</t>
        </is>
      </c>
      <c r="F678" t="inlineStr">
        <is>
          <t>R&amp;R TRANSPORTE E LOGISTICA</t>
        </is>
      </c>
      <c r="G678" s="27" t="n">
        <v>45855</v>
      </c>
      <c r="H678" s="14" t="n">
        <v>26.39</v>
      </c>
      <c r="I678" s="14" t="n">
        <v>0</v>
      </c>
      <c r="J678" s="14" t="n">
        <v>0</v>
      </c>
      <c r="K678" s="14" t="n">
        <v>0</v>
      </c>
      <c r="L678" s="14" t="n">
        <v>0</v>
      </c>
      <c r="M678" s="14">
        <f>IF(B678="Frete de venda",0,(1-ISNUMBER(SEARCH("556",P678)))*(I678*VLOOKUP($B678,Premissas!$A$4:$E$7,2,0)+J678*VLOOKUP($B678,Premissas!$A$4:$E$7,3,0))+K678*VLOOKUP($B678,Premissas!$A$4:$E$7,4,0)+L678*VLOOKUP($B678,Premissas!$A$4:$E$7,5,0))</f>
        <v/>
      </c>
      <c r="N678" s="14">
        <f>H678-M678</f>
        <v/>
      </c>
      <c r="O678" t="inlineStr">
        <is>
          <t>Não</t>
        </is>
      </c>
      <c r="P678" t="inlineStr">
        <is>
          <t>1.350</t>
        </is>
      </c>
    </row>
    <row r="679">
      <c r="A679" t="inlineStr">
        <is>
          <t>Antes de 2026</t>
        </is>
      </c>
      <c r="B679" t="inlineStr">
        <is>
          <t>Frete de venda</t>
        </is>
      </c>
      <c r="C679" t="inlineStr">
        <is>
          <t>Frete de venda (para clientes)</t>
        </is>
      </c>
      <c r="D679" t="inlineStr">
        <is>
          <t>CT-e</t>
        </is>
      </c>
      <c r="E679" t="inlineStr">
        <is>
          <t>000005127</t>
        </is>
      </c>
      <c r="F679" t="inlineStr">
        <is>
          <t>R&amp;R TRANSPORTE E LOGISTICA</t>
        </is>
      </c>
      <c r="G679" s="27" t="n">
        <v>45908</v>
      </c>
      <c r="H679" s="14" t="n">
        <v>25.34</v>
      </c>
      <c r="I679" s="14" t="n">
        <v>0</v>
      </c>
      <c r="J679" s="14" t="n">
        <v>0</v>
      </c>
      <c r="K679" s="14" t="n">
        <v>0</v>
      </c>
      <c r="L679" s="14" t="n">
        <v>0</v>
      </c>
      <c r="M679" s="14">
        <f>IF(B679="Frete de venda",0,(1-ISNUMBER(SEARCH("556",P679)))*(I679*VLOOKUP($B679,Premissas!$A$4:$E$7,2,0)+J679*VLOOKUP($B679,Premissas!$A$4:$E$7,3,0))+K679*VLOOKUP($B679,Premissas!$A$4:$E$7,4,0)+L679*VLOOKUP($B679,Premissas!$A$4:$E$7,5,0))</f>
        <v/>
      </c>
      <c r="N679" s="14">
        <f>H679-M679</f>
        <v/>
      </c>
      <c r="O679" t="inlineStr">
        <is>
          <t>Não</t>
        </is>
      </c>
      <c r="P679" t="inlineStr">
        <is>
          <t>1.350</t>
        </is>
      </c>
    </row>
    <row r="680">
      <c r="A680" t="inlineStr">
        <is>
          <t>Antes de 2026</t>
        </is>
      </c>
      <c r="B680" t="inlineStr">
        <is>
          <t>Frete de venda</t>
        </is>
      </c>
      <c r="C680" t="inlineStr">
        <is>
          <t>Frete de venda (para clientes)</t>
        </is>
      </c>
      <c r="D680" t="inlineStr">
        <is>
          <t>CT-e</t>
        </is>
      </c>
      <c r="E680" t="inlineStr">
        <is>
          <t>000005639</t>
        </is>
      </c>
      <c r="F680" t="inlineStr">
        <is>
          <t>R&amp;R TRANSPORTE E LOGISTICA</t>
        </is>
      </c>
      <c r="G680" s="27" t="n">
        <v>45961</v>
      </c>
      <c r="H680" s="14" t="n">
        <v>20.36</v>
      </c>
      <c r="I680" s="14" t="n">
        <v>0</v>
      </c>
      <c r="J680" s="14" t="n">
        <v>0</v>
      </c>
      <c r="K680" s="14" t="n">
        <v>0</v>
      </c>
      <c r="L680" s="14" t="n">
        <v>0</v>
      </c>
      <c r="M680" s="14">
        <f>IF(B680="Frete de venda",0,(1-ISNUMBER(SEARCH("556",P680)))*(I680*VLOOKUP($B680,Premissas!$A$4:$E$7,2,0)+J680*VLOOKUP($B680,Premissas!$A$4:$E$7,3,0))+K680*VLOOKUP($B680,Premissas!$A$4:$E$7,4,0)+L680*VLOOKUP($B680,Premissas!$A$4:$E$7,5,0))</f>
        <v/>
      </c>
      <c r="N680" s="14">
        <f>H680-M680</f>
        <v/>
      </c>
      <c r="O680" t="inlineStr">
        <is>
          <t>Não</t>
        </is>
      </c>
      <c r="P680" t="inlineStr">
        <is>
          <t>1.350</t>
        </is>
      </c>
    </row>
    <row r="681">
      <c r="A681" t="inlineStr">
        <is>
          <t>Antes de 2026</t>
        </is>
      </c>
      <c r="B681" t="inlineStr">
        <is>
          <t>Frete de venda</t>
        </is>
      </c>
      <c r="C681" t="inlineStr">
        <is>
          <t>Frete de venda (para clientes)</t>
        </is>
      </c>
      <c r="D681" t="inlineStr">
        <is>
          <t>CT-e</t>
        </is>
      </c>
      <c r="E681" t="inlineStr">
        <is>
          <t>000004221</t>
        </is>
      </c>
      <c r="F681" t="inlineStr">
        <is>
          <t>R&amp;R TRANSPORTE E LOGISTICA</t>
        </is>
      </c>
      <c r="G681" s="27" t="n">
        <v>45791</v>
      </c>
      <c r="H681" s="14" t="n">
        <v>55.26</v>
      </c>
      <c r="I681" s="14" t="n">
        <v>0</v>
      </c>
      <c r="J681" s="14" t="n">
        <v>0</v>
      </c>
      <c r="K681" s="14" t="n">
        <v>0</v>
      </c>
      <c r="L681" s="14" t="n">
        <v>0</v>
      </c>
      <c r="M681" s="14">
        <f>IF(B681="Frete de venda",0,(1-ISNUMBER(SEARCH("556",P681)))*(I681*VLOOKUP($B681,Premissas!$A$4:$E$7,2,0)+J681*VLOOKUP($B681,Premissas!$A$4:$E$7,3,0))+K681*VLOOKUP($B681,Premissas!$A$4:$E$7,4,0)+L681*VLOOKUP($B681,Premissas!$A$4:$E$7,5,0))</f>
        <v/>
      </c>
      <c r="N681" s="14">
        <f>H681-M681</f>
        <v/>
      </c>
      <c r="O681" t="inlineStr">
        <is>
          <t>Não</t>
        </is>
      </c>
      <c r="P681" t="inlineStr">
        <is>
          <t>1.350</t>
        </is>
      </c>
    </row>
    <row r="682">
      <c r="A682" t="inlineStr">
        <is>
          <t>Antes de 2026</t>
        </is>
      </c>
      <c r="B682" t="inlineStr">
        <is>
          <t>Frete de venda</t>
        </is>
      </c>
      <c r="C682" t="inlineStr">
        <is>
          <t>Frete de venda (para clientes)</t>
        </is>
      </c>
      <c r="D682" t="inlineStr">
        <is>
          <t>CT-e</t>
        </is>
      </c>
      <c r="E682" t="inlineStr">
        <is>
          <t>000004507</t>
        </is>
      </c>
      <c r="F682" t="inlineStr">
        <is>
          <t>R&amp;R TRANSPORTE E LOGISTICA</t>
        </is>
      </c>
      <c r="G682" s="27" t="n">
        <v>45833</v>
      </c>
      <c r="H682" s="14" t="n">
        <v>35.08</v>
      </c>
      <c r="I682" s="14" t="n">
        <v>0</v>
      </c>
      <c r="J682" s="14" t="n">
        <v>0</v>
      </c>
      <c r="K682" s="14" t="n">
        <v>0</v>
      </c>
      <c r="L682" s="14" t="n">
        <v>0</v>
      </c>
      <c r="M682" s="14">
        <f>IF(B682="Frete de venda",0,(1-ISNUMBER(SEARCH("556",P682)))*(I682*VLOOKUP($B682,Premissas!$A$4:$E$7,2,0)+J682*VLOOKUP($B682,Premissas!$A$4:$E$7,3,0))+K682*VLOOKUP($B682,Premissas!$A$4:$E$7,4,0)+L682*VLOOKUP($B682,Premissas!$A$4:$E$7,5,0))</f>
        <v/>
      </c>
      <c r="N682" s="14">
        <f>H682-M682</f>
        <v/>
      </c>
      <c r="O682" t="inlineStr">
        <is>
          <t>Não</t>
        </is>
      </c>
      <c r="P682" t="inlineStr">
        <is>
          <t>1.350</t>
        </is>
      </c>
    </row>
    <row r="683">
      <c r="A683" t="inlineStr">
        <is>
          <t>Antes de 2026</t>
        </is>
      </c>
      <c r="B683" t="inlineStr">
        <is>
          <t>Frete de venda</t>
        </is>
      </c>
      <c r="C683" t="inlineStr">
        <is>
          <t>Frete de venda (para clientes)</t>
        </is>
      </c>
      <c r="D683" t="inlineStr">
        <is>
          <t>CT-e</t>
        </is>
      </c>
      <c r="E683" t="inlineStr">
        <is>
          <t>000004144</t>
        </is>
      </c>
      <c r="F683" t="inlineStr">
        <is>
          <t>R&amp;R TRANSPORTE E LOGISTICA</t>
        </is>
      </c>
      <c r="G683" s="27" t="n">
        <v>45783</v>
      </c>
      <c r="H683" s="14" t="n">
        <v>32.05</v>
      </c>
      <c r="I683" s="14" t="n">
        <v>0</v>
      </c>
      <c r="J683" s="14" t="n">
        <v>0</v>
      </c>
      <c r="K683" s="14" t="n">
        <v>0</v>
      </c>
      <c r="L683" s="14" t="n">
        <v>0</v>
      </c>
      <c r="M683" s="14">
        <f>IF(B683="Frete de venda",0,(1-ISNUMBER(SEARCH("556",P683)))*(I683*VLOOKUP($B683,Premissas!$A$4:$E$7,2,0)+J683*VLOOKUP($B683,Premissas!$A$4:$E$7,3,0))+K683*VLOOKUP($B683,Premissas!$A$4:$E$7,4,0)+L683*VLOOKUP($B683,Premissas!$A$4:$E$7,5,0))</f>
        <v/>
      </c>
      <c r="N683" s="14">
        <f>H683-M683</f>
        <v/>
      </c>
      <c r="O683" t="inlineStr">
        <is>
          <t>Não</t>
        </is>
      </c>
      <c r="P683" t="inlineStr">
        <is>
          <t>1.350</t>
        </is>
      </c>
    </row>
    <row r="684">
      <c r="A684" t="inlineStr">
        <is>
          <t>Antes de 2026</t>
        </is>
      </c>
      <c r="B684" t="inlineStr">
        <is>
          <t>Frete de venda</t>
        </is>
      </c>
      <c r="C684" t="inlineStr">
        <is>
          <t>Frete de venda (para clientes)</t>
        </is>
      </c>
      <c r="D684" t="inlineStr">
        <is>
          <t>CT-e</t>
        </is>
      </c>
      <c r="E684" t="inlineStr">
        <is>
          <t>000005177</t>
        </is>
      </c>
      <c r="F684" t="inlineStr">
        <is>
          <t>R&amp;R TRANSPORTE E LOGISTICA</t>
        </is>
      </c>
      <c r="G684" s="27" t="n">
        <v>45913</v>
      </c>
      <c r="H684" s="14" t="n">
        <v>31.34</v>
      </c>
      <c r="I684" s="14" t="n">
        <v>0</v>
      </c>
      <c r="J684" s="14" t="n">
        <v>0</v>
      </c>
      <c r="K684" s="14" t="n">
        <v>0</v>
      </c>
      <c r="L684" s="14" t="n">
        <v>0</v>
      </c>
      <c r="M684" s="14">
        <f>IF(B684="Frete de venda",0,(1-ISNUMBER(SEARCH("556",P684)))*(I684*VLOOKUP($B684,Premissas!$A$4:$E$7,2,0)+J684*VLOOKUP($B684,Premissas!$A$4:$E$7,3,0))+K684*VLOOKUP($B684,Premissas!$A$4:$E$7,4,0)+L684*VLOOKUP($B684,Premissas!$A$4:$E$7,5,0))</f>
        <v/>
      </c>
      <c r="N684" s="14">
        <f>H684-M684</f>
        <v/>
      </c>
      <c r="O684" t="inlineStr">
        <is>
          <t>Não</t>
        </is>
      </c>
      <c r="P684" t="inlineStr">
        <is>
          <t>1.350</t>
        </is>
      </c>
    </row>
    <row r="685">
      <c r="A685" t="inlineStr">
        <is>
          <t>Antes de 2026</t>
        </is>
      </c>
      <c r="B685" t="inlineStr">
        <is>
          <t>Frete de venda</t>
        </is>
      </c>
      <c r="C685" t="inlineStr">
        <is>
          <t>Frete de venda (para clientes)</t>
        </is>
      </c>
      <c r="D685" t="inlineStr">
        <is>
          <t>CT-e</t>
        </is>
      </c>
      <c r="E685" t="inlineStr">
        <is>
          <t>000004354</t>
        </is>
      </c>
      <c r="F685" t="inlineStr">
        <is>
          <t>R&amp;R TRANSPORTE E LOGISTICA</t>
        </is>
      </c>
      <c r="G685" s="27" t="n">
        <v>45808</v>
      </c>
      <c r="H685" s="14" t="n">
        <v>96</v>
      </c>
      <c r="I685" s="14" t="n">
        <v>0</v>
      </c>
      <c r="J685" s="14" t="n">
        <v>0</v>
      </c>
      <c r="K685" s="14" t="n">
        <v>0</v>
      </c>
      <c r="L685" s="14" t="n">
        <v>0</v>
      </c>
      <c r="M685" s="14">
        <f>IF(B685="Frete de venda",0,(1-ISNUMBER(SEARCH("556",P685)))*(I685*VLOOKUP($B685,Premissas!$A$4:$E$7,2,0)+J685*VLOOKUP($B685,Premissas!$A$4:$E$7,3,0))+K685*VLOOKUP($B685,Premissas!$A$4:$E$7,4,0)+L685*VLOOKUP($B685,Premissas!$A$4:$E$7,5,0))</f>
        <v/>
      </c>
      <c r="N685" s="14">
        <f>H685-M685</f>
        <v/>
      </c>
      <c r="O685" t="inlineStr">
        <is>
          <t>Não</t>
        </is>
      </c>
      <c r="P685" t="inlineStr">
        <is>
          <t>1.350</t>
        </is>
      </c>
    </row>
    <row r="686">
      <c r="A686" t="inlineStr">
        <is>
          <t>Antes de 2026</t>
        </is>
      </c>
      <c r="B686" t="inlineStr">
        <is>
          <t>Frete de venda</t>
        </is>
      </c>
      <c r="C686" t="inlineStr">
        <is>
          <t>Frete de venda (para clientes)</t>
        </is>
      </c>
      <c r="D686" t="inlineStr">
        <is>
          <t>CT-e</t>
        </is>
      </c>
      <c r="E686" t="inlineStr">
        <is>
          <t>000005973</t>
        </is>
      </c>
      <c r="F686" t="inlineStr">
        <is>
          <t>R&amp;R TRANSPORTE E LOGISTICA</t>
        </is>
      </c>
      <c r="G686" s="27" t="n">
        <v>46004</v>
      </c>
      <c r="H686" s="14" t="n">
        <v>31.3</v>
      </c>
      <c r="I686" s="14" t="n">
        <v>0</v>
      </c>
      <c r="J686" s="14" t="n">
        <v>0</v>
      </c>
      <c r="K686" s="14" t="n">
        <v>0</v>
      </c>
      <c r="L686" s="14" t="n">
        <v>0</v>
      </c>
      <c r="M686" s="14">
        <f>IF(B686="Frete de venda",0,(1-ISNUMBER(SEARCH("556",P686)))*(I686*VLOOKUP($B686,Premissas!$A$4:$E$7,2,0)+J686*VLOOKUP($B686,Premissas!$A$4:$E$7,3,0))+K686*VLOOKUP($B686,Premissas!$A$4:$E$7,4,0)+L686*VLOOKUP($B686,Premissas!$A$4:$E$7,5,0))</f>
        <v/>
      </c>
      <c r="N686" s="14">
        <f>H686-M686</f>
        <v/>
      </c>
      <c r="O686" t="inlineStr">
        <is>
          <t>Não</t>
        </is>
      </c>
      <c r="P686" t="inlineStr">
        <is>
          <t>1.350</t>
        </is>
      </c>
    </row>
    <row r="687">
      <c r="A687" t="inlineStr">
        <is>
          <t>Antes de 2026</t>
        </is>
      </c>
      <c r="B687" t="inlineStr">
        <is>
          <t>Frete de venda</t>
        </is>
      </c>
      <c r="C687" t="inlineStr">
        <is>
          <t>Frete de venda (para clientes)</t>
        </is>
      </c>
      <c r="D687" t="inlineStr">
        <is>
          <t>CT-e</t>
        </is>
      </c>
      <c r="E687" t="inlineStr">
        <is>
          <t>000005701</t>
        </is>
      </c>
      <c r="F687" t="inlineStr">
        <is>
          <t>R&amp;R TRANSPORTE E LOGISTICA</t>
        </is>
      </c>
      <c r="G687" s="27" t="n">
        <v>45968</v>
      </c>
      <c r="H687" s="14" t="n">
        <v>873.6</v>
      </c>
      <c r="I687" s="14" t="n">
        <v>0</v>
      </c>
      <c r="J687" s="14" t="n">
        <v>0</v>
      </c>
      <c r="K687" s="14" t="n">
        <v>0</v>
      </c>
      <c r="L687" s="14" t="n">
        <v>0</v>
      </c>
      <c r="M687" s="14">
        <f>IF(B687="Frete de venda",0,(1-ISNUMBER(SEARCH("556",P687)))*(I687*VLOOKUP($B687,Premissas!$A$4:$E$7,2,0)+J687*VLOOKUP($B687,Premissas!$A$4:$E$7,3,0))+K687*VLOOKUP($B687,Premissas!$A$4:$E$7,4,0)+L687*VLOOKUP($B687,Premissas!$A$4:$E$7,5,0))</f>
        <v/>
      </c>
      <c r="N687" s="14">
        <f>H687-M687</f>
        <v/>
      </c>
      <c r="O687" t="inlineStr">
        <is>
          <t>Não</t>
        </is>
      </c>
      <c r="P687" t="inlineStr">
        <is>
          <t>1.350</t>
        </is>
      </c>
    </row>
    <row r="688">
      <c r="A688" t="inlineStr">
        <is>
          <t>Antes de 2026</t>
        </is>
      </c>
      <c r="B688" t="inlineStr">
        <is>
          <t>Frete de venda</t>
        </is>
      </c>
      <c r="C688" t="inlineStr">
        <is>
          <t>Frete de venda (para clientes)</t>
        </is>
      </c>
      <c r="D688" t="inlineStr">
        <is>
          <t>CT-e</t>
        </is>
      </c>
      <c r="E688" t="inlineStr">
        <is>
          <t>000005728</t>
        </is>
      </c>
      <c r="F688" t="inlineStr">
        <is>
          <t>R&amp;R TRANSPORTE E LOGISTICA</t>
        </is>
      </c>
      <c r="G688" s="27" t="n">
        <v>45974</v>
      </c>
      <c r="H688" s="14" t="n">
        <v>1462.15</v>
      </c>
      <c r="I688" s="14" t="n">
        <v>0</v>
      </c>
      <c r="J688" s="14" t="n">
        <v>0</v>
      </c>
      <c r="K688" s="14" t="n">
        <v>0</v>
      </c>
      <c r="L688" s="14" t="n">
        <v>0</v>
      </c>
      <c r="M688" s="14">
        <f>IF(B688="Frete de venda",0,(1-ISNUMBER(SEARCH("556",P688)))*(I688*VLOOKUP($B688,Premissas!$A$4:$E$7,2,0)+J688*VLOOKUP($B688,Premissas!$A$4:$E$7,3,0))+K688*VLOOKUP($B688,Premissas!$A$4:$E$7,4,0)+L688*VLOOKUP($B688,Premissas!$A$4:$E$7,5,0))</f>
        <v/>
      </c>
      <c r="N688" s="14">
        <f>H688-M688</f>
        <v/>
      </c>
      <c r="O688" t="inlineStr">
        <is>
          <t>Não</t>
        </is>
      </c>
      <c r="P688" t="inlineStr">
        <is>
          <t>1.350</t>
        </is>
      </c>
    </row>
    <row r="689">
      <c r="A689" t="inlineStr">
        <is>
          <t>Antes de 2026</t>
        </is>
      </c>
      <c r="B689" t="inlineStr">
        <is>
          <t>Frete de venda</t>
        </is>
      </c>
      <c r="C689" t="inlineStr">
        <is>
          <t>Frete de venda (para clientes)</t>
        </is>
      </c>
      <c r="D689" t="inlineStr">
        <is>
          <t>CT-e</t>
        </is>
      </c>
      <c r="E689" t="inlineStr">
        <is>
          <t>000004385</t>
        </is>
      </c>
      <c r="F689" t="inlineStr">
        <is>
          <t>R&amp;R TRANSPORTE E LOGISTICA</t>
        </is>
      </c>
      <c r="G689" s="27" t="n">
        <v>45813</v>
      </c>
      <c r="H689" s="14" t="n">
        <v>172.67</v>
      </c>
      <c r="I689" s="14" t="n">
        <v>0</v>
      </c>
      <c r="J689" s="14" t="n">
        <v>0</v>
      </c>
      <c r="K689" s="14" t="n">
        <v>0</v>
      </c>
      <c r="L689" s="14" t="n">
        <v>0</v>
      </c>
      <c r="M689" s="14">
        <f>IF(B689="Frete de venda",0,(1-ISNUMBER(SEARCH("556",P689)))*(I689*VLOOKUP($B689,Premissas!$A$4:$E$7,2,0)+J689*VLOOKUP($B689,Premissas!$A$4:$E$7,3,0))+K689*VLOOKUP($B689,Premissas!$A$4:$E$7,4,0)+L689*VLOOKUP($B689,Premissas!$A$4:$E$7,5,0))</f>
        <v/>
      </c>
      <c r="N689" s="14">
        <f>H689-M689</f>
        <v/>
      </c>
      <c r="O689" t="inlineStr">
        <is>
          <t>Não</t>
        </is>
      </c>
      <c r="P689" t="inlineStr">
        <is>
          <t>1.350</t>
        </is>
      </c>
    </row>
    <row r="690">
      <c r="A690" t="inlineStr">
        <is>
          <t>Antes de 2026</t>
        </is>
      </c>
      <c r="B690" t="inlineStr">
        <is>
          <t>Frete de venda</t>
        </is>
      </c>
      <c r="C690" t="inlineStr">
        <is>
          <t>Frete de venda (para clientes)</t>
        </is>
      </c>
      <c r="D690" t="inlineStr">
        <is>
          <t>CT-e</t>
        </is>
      </c>
      <c r="E690" t="inlineStr">
        <is>
          <t>000005174</t>
        </is>
      </c>
      <c r="F690" t="inlineStr">
        <is>
          <t>R&amp;R TRANSPORTE E LOGISTICA</t>
        </is>
      </c>
      <c r="G690" s="27" t="n">
        <v>45913</v>
      </c>
      <c r="H690" s="14" t="n">
        <v>167.53</v>
      </c>
      <c r="I690" s="14" t="n">
        <v>0</v>
      </c>
      <c r="J690" s="14" t="n">
        <v>0</v>
      </c>
      <c r="K690" s="14" t="n">
        <v>0</v>
      </c>
      <c r="L690" s="14" t="n">
        <v>0</v>
      </c>
      <c r="M690" s="14">
        <f>IF(B690="Frete de venda",0,(1-ISNUMBER(SEARCH("556",P690)))*(I690*VLOOKUP($B690,Premissas!$A$4:$E$7,2,0)+J690*VLOOKUP($B690,Premissas!$A$4:$E$7,3,0))+K690*VLOOKUP($B690,Premissas!$A$4:$E$7,4,0)+L690*VLOOKUP($B690,Premissas!$A$4:$E$7,5,0))</f>
        <v/>
      </c>
      <c r="N690" s="14">
        <f>H690-M690</f>
        <v/>
      </c>
      <c r="O690" t="inlineStr">
        <is>
          <t>Não</t>
        </is>
      </c>
      <c r="P690" t="inlineStr">
        <is>
          <t>1.350</t>
        </is>
      </c>
    </row>
    <row r="691">
      <c r="A691" t="inlineStr">
        <is>
          <t>Antes de 2026</t>
        </is>
      </c>
      <c r="B691" t="inlineStr">
        <is>
          <t>Frete de venda</t>
        </is>
      </c>
      <c r="C691" t="inlineStr">
        <is>
          <t>Frete de venda (para clientes)</t>
        </is>
      </c>
      <c r="D691" t="inlineStr">
        <is>
          <t>CT-e</t>
        </is>
      </c>
      <c r="E691" t="inlineStr">
        <is>
          <t>000005904</t>
        </is>
      </c>
      <c r="F691" t="inlineStr">
        <is>
          <t>R&amp;R TRANSPORTE E LOGISTICA</t>
        </is>
      </c>
      <c r="G691" s="27" t="n">
        <v>45993</v>
      </c>
      <c r="H691" s="14" t="n">
        <v>95.37</v>
      </c>
      <c r="I691" s="14" t="n">
        <v>0</v>
      </c>
      <c r="J691" s="14" t="n">
        <v>0</v>
      </c>
      <c r="K691" s="14" t="n">
        <v>0</v>
      </c>
      <c r="L691" s="14" t="n">
        <v>0</v>
      </c>
      <c r="M691" s="14">
        <f>IF(B691="Frete de venda",0,(1-ISNUMBER(SEARCH("556",P691)))*(I691*VLOOKUP($B691,Premissas!$A$4:$E$7,2,0)+J691*VLOOKUP($B691,Premissas!$A$4:$E$7,3,0))+K691*VLOOKUP($B691,Premissas!$A$4:$E$7,4,0)+L691*VLOOKUP($B691,Premissas!$A$4:$E$7,5,0))</f>
        <v/>
      </c>
      <c r="N691" s="14">
        <f>H691-M691</f>
        <v/>
      </c>
      <c r="O691" t="inlineStr">
        <is>
          <t>Não</t>
        </is>
      </c>
      <c r="P691" t="inlineStr">
        <is>
          <t>1.350</t>
        </is>
      </c>
    </row>
    <row r="692">
      <c r="A692" t="inlineStr">
        <is>
          <t>Antes de 2026</t>
        </is>
      </c>
      <c r="B692" t="inlineStr">
        <is>
          <t>Frete de venda</t>
        </is>
      </c>
      <c r="C692" t="inlineStr">
        <is>
          <t>Frete de venda (para clientes)</t>
        </is>
      </c>
      <c r="D692" t="inlineStr">
        <is>
          <t>CT-e</t>
        </is>
      </c>
      <c r="E692" t="inlineStr">
        <is>
          <t>000005932</t>
        </is>
      </c>
      <c r="F692" t="inlineStr">
        <is>
          <t>R&amp;R TRANSPORTE E LOGISTICA</t>
        </is>
      </c>
      <c r="G692" s="27" t="n">
        <v>45996</v>
      </c>
      <c r="H692" s="14" t="n">
        <v>44.64</v>
      </c>
      <c r="I692" s="14" t="n">
        <v>0</v>
      </c>
      <c r="J692" s="14" t="n">
        <v>0</v>
      </c>
      <c r="K692" s="14" t="n">
        <v>0</v>
      </c>
      <c r="L692" s="14" t="n">
        <v>0</v>
      </c>
      <c r="M692" s="14">
        <f>IF(B692="Frete de venda",0,(1-ISNUMBER(SEARCH("556",P692)))*(I692*VLOOKUP($B692,Premissas!$A$4:$E$7,2,0)+J692*VLOOKUP($B692,Premissas!$A$4:$E$7,3,0))+K692*VLOOKUP($B692,Premissas!$A$4:$E$7,4,0)+L692*VLOOKUP($B692,Premissas!$A$4:$E$7,5,0))</f>
        <v/>
      </c>
      <c r="N692" s="14">
        <f>H692-M692</f>
        <v/>
      </c>
      <c r="O692" t="inlineStr">
        <is>
          <t>Não</t>
        </is>
      </c>
      <c r="P692" t="inlineStr">
        <is>
          <t>1.350</t>
        </is>
      </c>
    </row>
    <row r="693">
      <c r="A693" t="inlineStr">
        <is>
          <t>Antes de 2026</t>
        </is>
      </c>
      <c r="B693" t="inlineStr">
        <is>
          <t>Frete de venda</t>
        </is>
      </c>
      <c r="C693" t="inlineStr">
        <is>
          <t>Frete de venda (para clientes)</t>
        </is>
      </c>
      <c r="D693" t="inlineStr">
        <is>
          <t>CT-e</t>
        </is>
      </c>
      <c r="E693" t="inlineStr">
        <is>
          <t>000006042</t>
        </is>
      </c>
      <c r="F693" t="inlineStr">
        <is>
          <t>R&amp;R TRANSPORTE E LOGISTICA</t>
        </is>
      </c>
      <c r="G693" s="27" t="n">
        <v>46014</v>
      </c>
      <c r="H693" s="14" t="n">
        <v>217.05</v>
      </c>
      <c r="I693" s="14" t="n">
        <v>0</v>
      </c>
      <c r="J693" s="14" t="n">
        <v>0</v>
      </c>
      <c r="K693" s="14" t="n">
        <v>0</v>
      </c>
      <c r="L693" s="14" t="n">
        <v>0</v>
      </c>
      <c r="M693" s="14">
        <f>IF(B693="Frete de venda",0,(1-ISNUMBER(SEARCH("556",P693)))*(I693*VLOOKUP($B693,Premissas!$A$4:$E$7,2,0)+J693*VLOOKUP($B693,Premissas!$A$4:$E$7,3,0))+K693*VLOOKUP($B693,Premissas!$A$4:$E$7,4,0)+L693*VLOOKUP($B693,Premissas!$A$4:$E$7,5,0))</f>
        <v/>
      </c>
      <c r="N693" s="14">
        <f>H693-M693</f>
        <v/>
      </c>
      <c r="O693" t="inlineStr">
        <is>
          <t>Não</t>
        </is>
      </c>
      <c r="P693" t="inlineStr">
        <is>
          <t>1.350</t>
        </is>
      </c>
    </row>
    <row r="694">
      <c r="A694" t="inlineStr">
        <is>
          <t>Antes de 2026</t>
        </is>
      </c>
      <c r="B694" t="inlineStr">
        <is>
          <t>Frete de venda</t>
        </is>
      </c>
      <c r="C694" t="inlineStr">
        <is>
          <t>Frete de venda (para clientes)</t>
        </is>
      </c>
      <c r="D694" t="inlineStr">
        <is>
          <t>CT-e</t>
        </is>
      </c>
      <c r="E694" t="inlineStr">
        <is>
          <t>000005095</t>
        </is>
      </c>
      <c r="F694" t="inlineStr">
        <is>
          <t>R&amp;R TRANSPORTE E LOGISTICA</t>
        </is>
      </c>
      <c r="G694" s="27" t="n">
        <v>45901</v>
      </c>
      <c r="H694" s="14" t="n">
        <v>29.37</v>
      </c>
      <c r="I694" s="14" t="n">
        <v>0</v>
      </c>
      <c r="J694" s="14" t="n">
        <v>0</v>
      </c>
      <c r="K694" s="14" t="n">
        <v>0</v>
      </c>
      <c r="L694" s="14" t="n">
        <v>0</v>
      </c>
      <c r="M694" s="14">
        <f>IF(B694="Frete de venda",0,(1-ISNUMBER(SEARCH("556",P694)))*(I694*VLOOKUP($B694,Premissas!$A$4:$E$7,2,0)+J694*VLOOKUP($B694,Premissas!$A$4:$E$7,3,0))+K694*VLOOKUP($B694,Premissas!$A$4:$E$7,4,0)+L694*VLOOKUP($B694,Premissas!$A$4:$E$7,5,0))</f>
        <v/>
      </c>
      <c r="N694" s="14">
        <f>H694-M694</f>
        <v/>
      </c>
      <c r="O694" t="inlineStr">
        <is>
          <t>Não</t>
        </is>
      </c>
      <c r="P694" t="inlineStr">
        <is>
          <t>1.350</t>
        </is>
      </c>
    </row>
    <row r="695">
      <c r="A695" t="inlineStr">
        <is>
          <t>Antes de 2026</t>
        </is>
      </c>
      <c r="B695" t="inlineStr">
        <is>
          <t>Frete de venda</t>
        </is>
      </c>
      <c r="C695" t="inlineStr">
        <is>
          <t>Frete de venda (para clientes)</t>
        </is>
      </c>
      <c r="D695" t="inlineStr">
        <is>
          <t>CT-e</t>
        </is>
      </c>
      <c r="E695" t="inlineStr">
        <is>
          <t>000005111</t>
        </is>
      </c>
      <c r="F695" t="inlineStr">
        <is>
          <t>R&amp;R TRANSPORTE E LOGISTICA</t>
        </is>
      </c>
      <c r="G695" s="27" t="n">
        <v>45903</v>
      </c>
      <c r="H695" s="14" t="n">
        <v>6200</v>
      </c>
      <c r="I695" s="14" t="n">
        <v>0</v>
      </c>
      <c r="J695" s="14" t="n">
        <v>0</v>
      </c>
      <c r="K695" s="14" t="n">
        <v>0</v>
      </c>
      <c r="L695" s="14" t="n">
        <v>0</v>
      </c>
      <c r="M695" s="14">
        <f>IF(B695="Frete de venda",0,(1-ISNUMBER(SEARCH("556",P695)))*(I695*VLOOKUP($B695,Premissas!$A$4:$E$7,2,0)+J695*VLOOKUP($B695,Premissas!$A$4:$E$7,3,0))+K695*VLOOKUP($B695,Premissas!$A$4:$E$7,4,0)+L695*VLOOKUP($B695,Premissas!$A$4:$E$7,5,0))</f>
        <v/>
      </c>
      <c r="N695" s="14">
        <f>H695-M695</f>
        <v/>
      </c>
      <c r="O695" t="inlineStr">
        <is>
          <t>Não</t>
        </is>
      </c>
      <c r="P695" t="inlineStr">
        <is>
          <t>1.350</t>
        </is>
      </c>
    </row>
    <row r="696">
      <c r="A696" t="inlineStr">
        <is>
          <t>Antes de 2026</t>
        </is>
      </c>
      <c r="B696" t="inlineStr">
        <is>
          <t>Frete de venda</t>
        </is>
      </c>
      <c r="C696" t="inlineStr">
        <is>
          <t>Frete de venda (para clientes)</t>
        </is>
      </c>
      <c r="D696" t="inlineStr">
        <is>
          <t>CT-e</t>
        </is>
      </c>
      <c r="E696" t="inlineStr">
        <is>
          <t>000005123</t>
        </is>
      </c>
      <c r="F696" t="inlineStr">
        <is>
          <t>R&amp;R TRANSPORTE E LOGISTICA</t>
        </is>
      </c>
      <c r="G696" s="27" t="n">
        <v>45907</v>
      </c>
      <c r="H696" s="14" t="n">
        <v>700</v>
      </c>
      <c r="I696" s="14" t="n">
        <v>0</v>
      </c>
      <c r="J696" s="14" t="n">
        <v>0</v>
      </c>
      <c r="K696" s="14" t="n">
        <v>0</v>
      </c>
      <c r="L696" s="14" t="n">
        <v>0</v>
      </c>
      <c r="M696" s="14">
        <f>IF(B696="Frete de venda",0,(1-ISNUMBER(SEARCH("556",P696)))*(I696*VLOOKUP($B696,Premissas!$A$4:$E$7,2,0)+J696*VLOOKUP($B696,Premissas!$A$4:$E$7,3,0))+K696*VLOOKUP($B696,Premissas!$A$4:$E$7,4,0)+L696*VLOOKUP($B696,Premissas!$A$4:$E$7,5,0))</f>
        <v/>
      </c>
      <c r="N696" s="14">
        <f>H696-M696</f>
        <v/>
      </c>
      <c r="O696" t="inlineStr">
        <is>
          <t>Não</t>
        </is>
      </c>
      <c r="P696" t="inlineStr">
        <is>
          <t>1.350</t>
        </is>
      </c>
    </row>
    <row r="697">
      <c r="A697" t="inlineStr">
        <is>
          <t>Antes de 2026</t>
        </is>
      </c>
      <c r="B697" t="inlineStr">
        <is>
          <t>Frete de venda</t>
        </is>
      </c>
      <c r="C697" t="inlineStr">
        <is>
          <t>Frete de venda (para clientes)</t>
        </is>
      </c>
      <c r="D697" t="inlineStr">
        <is>
          <t>CT-e</t>
        </is>
      </c>
      <c r="E697" t="inlineStr">
        <is>
          <t>000006062</t>
        </is>
      </c>
      <c r="F697" t="inlineStr">
        <is>
          <t>R&amp;R TRANSPORTE E LOGISTICA</t>
        </is>
      </c>
      <c r="G697" s="27" t="n">
        <v>46017</v>
      </c>
      <c r="H697" s="14" t="n">
        <v>51.55</v>
      </c>
      <c r="I697" s="14" t="n">
        <v>0</v>
      </c>
      <c r="J697" s="14" t="n">
        <v>0</v>
      </c>
      <c r="K697" s="14" t="n">
        <v>0</v>
      </c>
      <c r="L697" s="14" t="n">
        <v>0</v>
      </c>
      <c r="M697" s="14">
        <f>IF(B697="Frete de venda",0,(1-ISNUMBER(SEARCH("556",P697)))*(I697*VLOOKUP($B697,Premissas!$A$4:$E$7,2,0)+J697*VLOOKUP($B697,Premissas!$A$4:$E$7,3,0))+K697*VLOOKUP($B697,Premissas!$A$4:$E$7,4,0)+L697*VLOOKUP($B697,Premissas!$A$4:$E$7,5,0))</f>
        <v/>
      </c>
      <c r="N697" s="14">
        <f>H697-M697</f>
        <v/>
      </c>
      <c r="O697" t="inlineStr">
        <is>
          <t>Não</t>
        </is>
      </c>
      <c r="P697" t="inlineStr">
        <is>
          <t>1.350</t>
        </is>
      </c>
    </row>
    <row r="698">
      <c r="A698" t="inlineStr">
        <is>
          <t>Antes de 2026</t>
        </is>
      </c>
      <c r="B698" t="inlineStr">
        <is>
          <t>Frete de venda</t>
        </is>
      </c>
      <c r="C698" t="inlineStr">
        <is>
          <t>Frete de venda (para clientes)</t>
        </is>
      </c>
      <c r="D698" t="inlineStr">
        <is>
          <t>CT-e</t>
        </is>
      </c>
      <c r="E698" t="inlineStr">
        <is>
          <t>000005727</t>
        </is>
      </c>
      <c r="F698" t="inlineStr">
        <is>
          <t>R&amp;R TRANSPORTE E LOGISTICA</t>
        </is>
      </c>
      <c r="G698" s="27" t="n">
        <v>45974</v>
      </c>
      <c r="H698" s="14" t="n">
        <v>35</v>
      </c>
      <c r="I698" s="14" t="n">
        <v>0</v>
      </c>
      <c r="J698" s="14" t="n">
        <v>0</v>
      </c>
      <c r="K698" s="14" t="n">
        <v>0</v>
      </c>
      <c r="L698" s="14" t="n">
        <v>0</v>
      </c>
      <c r="M698" s="14">
        <f>IF(B698="Frete de venda",0,(1-ISNUMBER(SEARCH("556",P698)))*(I698*VLOOKUP($B698,Premissas!$A$4:$E$7,2,0)+J698*VLOOKUP($B698,Premissas!$A$4:$E$7,3,0))+K698*VLOOKUP($B698,Premissas!$A$4:$E$7,4,0)+L698*VLOOKUP($B698,Premissas!$A$4:$E$7,5,0))</f>
        <v/>
      </c>
      <c r="N698" s="14">
        <f>H698-M698</f>
        <v/>
      </c>
      <c r="O698" t="inlineStr">
        <is>
          <t>Não</t>
        </is>
      </c>
      <c r="P698" t="inlineStr">
        <is>
          <t>1.350</t>
        </is>
      </c>
    </row>
    <row r="699">
      <c r="A699" t="inlineStr">
        <is>
          <t>Antes de 2026</t>
        </is>
      </c>
      <c r="B699" t="inlineStr">
        <is>
          <t>Frete de venda</t>
        </is>
      </c>
      <c r="C699" t="inlineStr">
        <is>
          <t>Frete de venda (para clientes)</t>
        </is>
      </c>
      <c r="D699" t="inlineStr">
        <is>
          <t>CT-e</t>
        </is>
      </c>
      <c r="E699" t="inlineStr">
        <is>
          <t>000005341</t>
        </is>
      </c>
      <c r="F699" t="inlineStr">
        <is>
          <t>R&amp;R TRANSPORTE E LOGISTICA</t>
        </is>
      </c>
      <c r="G699" s="27" t="n">
        <v>45929</v>
      </c>
      <c r="H699" s="14" t="n">
        <v>15.81</v>
      </c>
      <c r="I699" s="14" t="n">
        <v>0</v>
      </c>
      <c r="J699" s="14" t="n">
        <v>0</v>
      </c>
      <c r="K699" s="14" t="n">
        <v>0</v>
      </c>
      <c r="L699" s="14" t="n">
        <v>0</v>
      </c>
      <c r="M699" s="14">
        <f>IF(B699="Frete de venda",0,(1-ISNUMBER(SEARCH("556",P699)))*(I699*VLOOKUP($B699,Premissas!$A$4:$E$7,2,0)+J699*VLOOKUP($B699,Premissas!$A$4:$E$7,3,0))+K699*VLOOKUP($B699,Premissas!$A$4:$E$7,4,0)+L699*VLOOKUP($B699,Premissas!$A$4:$E$7,5,0))</f>
        <v/>
      </c>
      <c r="N699" s="14">
        <f>H699-M699</f>
        <v/>
      </c>
      <c r="O699" t="inlineStr">
        <is>
          <t>Não</t>
        </is>
      </c>
      <c r="P699" t="inlineStr">
        <is>
          <t>1.350</t>
        </is>
      </c>
    </row>
    <row r="700">
      <c r="A700" t="inlineStr">
        <is>
          <t>Antes de 2026</t>
        </is>
      </c>
      <c r="B700" t="inlineStr">
        <is>
          <t>Frete de venda</t>
        </is>
      </c>
      <c r="C700" t="inlineStr">
        <is>
          <t>Frete de venda (para clientes)</t>
        </is>
      </c>
      <c r="D700" t="inlineStr">
        <is>
          <t>CT-e</t>
        </is>
      </c>
      <c r="E700" t="inlineStr">
        <is>
          <t>000005897</t>
        </is>
      </c>
      <c r="F700" t="inlineStr">
        <is>
          <t>R&amp;R TRANSPORTE E LOGISTICA</t>
        </is>
      </c>
      <c r="G700" s="27" t="n">
        <v>45993</v>
      </c>
      <c r="H700" s="14" t="n">
        <v>21</v>
      </c>
      <c r="I700" s="14" t="n">
        <v>0</v>
      </c>
      <c r="J700" s="14" t="n">
        <v>0</v>
      </c>
      <c r="K700" s="14" t="n">
        <v>0</v>
      </c>
      <c r="L700" s="14" t="n">
        <v>0</v>
      </c>
      <c r="M700" s="14">
        <f>IF(B700="Frete de venda",0,(1-ISNUMBER(SEARCH("556",P700)))*(I700*VLOOKUP($B700,Premissas!$A$4:$E$7,2,0)+J700*VLOOKUP($B700,Premissas!$A$4:$E$7,3,0))+K700*VLOOKUP($B700,Premissas!$A$4:$E$7,4,0)+L700*VLOOKUP($B700,Premissas!$A$4:$E$7,5,0))</f>
        <v/>
      </c>
      <c r="N700" s="14">
        <f>H700-M700</f>
        <v/>
      </c>
      <c r="O700" t="inlineStr">
        <is>
          <t>Não</t>
        </is>
      </c>
      <c r="P700" t="inlineStr">
        <is>
          <t>1.350</t>
        </is>
      </c>
    </row>
    <row r="701">
      <c r="A701" t="inlineStr">
        <is>
          <t>Antes de 2026</t>
        </is>
      </c>
      <c r="B701" t="inlineStr">
        <is>
          <t>Frete de venda</t>
        </is>
      </c>
      <c r="C701" t="inlineStr">
        <is>
          <t>Frete de venda (para clientes)</t>
        </is>
      </c>
      <c r="D701" t="inlineStr">
        <is>
          <t>CT-e</t>
        </is>
      </c>
      <c r="E701" t="inlineStr">
        <is>
          <t>000005343</t>
        </is>
      </c>
      <c r="F701" t="inlineStr">
        <is>
          <t>R&amp;R TRANSPORTE E LOGISTICA</t>
        </is>
      </c>
      <c r="G701" s="27" t="n">
        <v>45929</v>
      </c>
      <c r="H701" s="14" t="n">
        <v>23.96</v>
      </c>
      <c r="I701" s="14" t="n">
        <v>0</v>
      </c>
      <c r="J701" s="14" t="n">
        <v>0</v>
      </c>
      <c r="K701" s="14" t="n">
        <v>0</v>
      </c>
      <c r="L701" s="14" t="n">
        <v>0</v>
      </c>
      <c r="M701" s="14">
        <f>IF(B701="Frete de venda",0,(1-ISNUMBER(SEARCH("556",P701)))*(I701*VLOOKUP($B701,Premissas!$A$4:$E$7,2,0)+J701*VLOOKUP($B701,Premissas!$A$4:$E$7,3,0))+K701*VLOOKUP($B701,Premissas!$A$4:$E$7,4,0)+L701*VLOOKUP($B701,Premissas!$A$4:$E$7,5,0))</f>
        <v/>
      </c>
      <c r="N701" s="14">
        <f>H701-M701</f>
        <v/>
      </c>
      <c r="O701" t="inlineStr">
        <is>
          <t>Não</t>
        </is>
      </c>
      <c r="P701" t="inlineStr">
        <is>
          <t>1.350</t>
        </is>
      </c>
    </row>
    <row r="702">
      <c r="A702" t="inlineStr">
        <is>
          <t>Antes de 2026</t>
        </is>
      </c>
      <c r="B702" t="inlineStr">
        <is>
          <t>Frete de venda</t>
        </is>
      </c>
      <c r="C702" t="inlineStr">
        <is>
          <t>Frete de venda (para clientes)</t>
        </is>
      </c>
      <c r="D702" t="inlineStr">
        <is>
          <t>CT-e</t>
        </is>
      </c>
      <c r="E702" t="inlineStr">
        <is>
          <t>000004588</t>
        </is>
      </c>
      <c r="F702" t="inlineStr">
        <is>
          <t>R&amp;R TRANSPORTE E LOGISTICA</t>
        </is>
      </c>
      <c r="G702" s="27" t="n">
        <v>45842</v>
      </c>
      <c r="H702" s="14" t="n">
        <v>20.4</v>
      </c>
      <c r="I702" s="14" t="n">
        <v>0</v>
      </c>
      <c r="J702" s="14" t="n">
        <v>0</v>
      </c>
      <c r="K702" s="14" t="n">
        <v>0</v>
      </c>
      <c r="L702" s="14" t="n">
        <v>0</v>
      </c>
      <c r="M702" s="14">
        <f>IF(B702="Frete de venda",0,(1-ISNUMBER(SEARCH("556",P702)))*(I702*VLOOKUP($B702,Premissas!$A$4:$E$7,2,0)+J702*VLOOKUP($B702,Premissas!$A$4:$E$7,3,0))+K702*VLOOKUP($B702,Premissas!$A$4:$E$7,4,0)+L702*VLOOKUP($B702,Premissas!$A$4:$E$7,5,0))</f>
        <v/>
      </c>
      <c r="N702" s="14">
        <f>H702-M702</f>
        <v/>
      </c>
      <c r="O702" t="inlineStr">
        <is>
          <t>Não</t>
        </is>
      </c>
      <c r="P702" t="inlineStr">
        <is>
          <t>1.350</t>
        </is>
      </c>
    </row>
    <row r="703">
      <c r="A703" t="inlineStr">
        <is>
          <t>Antes de 2026</t>
        </is>
      </c>
      <c r="B703" t="inlineStr">
        <is>
          <t>Frete de venda</t>
        </is>
      </c>
      <c r="C703" t="inlineStr">
        <is>
          <t>Frete de venda (para clientes)</t>
        </is>
      </c>
      <c r="D703" t="inlineStr">
        <is>
          <t>CT-e</t>
        </is>
      </c>
      <c r="E703" t="inlineStr">
        <is>
          <t>000005274</t>
        </is>
      </c>
      <c r="F703" t="inlineStr">
        <is>
          <t>R&amp;R TRANSPORTE E LOGISTICA</t>
        </is>
      </c>
      <c r="G703" s="27" t="n">
        <v>45924</v>
      </c>
      <c r="H703" s="14" t="n">
        <v>1750</v>
      </c>
      <c r="I703" s="14" t="n">
        <v>0</v>
      </c>
      <c r="J703" s="14" t="n">
        <v>0</v>
      </c>
      <c r="K703" s="14" t="n">
        <v>0</v>
      </c>
      <c r="L703" s="14" t="n">
        <v>0</v>
      </c>
      <c r="M703" s="14">
        <f>IF(B703="Frete de venda",0,(1-ISNUMBER(SEARCH("556",P703)))*(I703*VLOOKUP($B703,Premissas!$A$4:$E$7,2,0)+J703*VLOOKUP($B703,Premissas!$A$4:$E$7,3,0))+K703*VLOOKUP($B703,Premissas!$A$4:$E$7,4,0)+L703*VLOOKUP($B703,Premissas!$A$4:$E$7,5,0))</f>
        <v/>
      </c>
      <c r="N703" s="14">
        <f>H703-M703</f>
        <v/>
      </c>
      <c r="O703" t="inlineStr">
        <is>
          <t>Não</t>
        </is>
      </c>
      <c r="P703" t="inlineStr">
        <is>
          <t>1.350</t>
        </is>
      </c>
    </row>
    <row r="704">
      <c r="A704" t="inlineStr">
        <is>
          <t>Antes de 2026</t>
        </is>
      </c>
      <c r="B704" t="inlineStr">
        <is>
          <t>Frete de venda</t>
        </is>
      </c>
      <c r="C704" t="inlineStr">
        <is>
          <t>Frete de venda (para clientes)</t>
        </is>
      </c>
      <c r="D704" t="inlineStr">
        <is>
          <t>CT-e</t>
        </is>
      </c>
      <c r="E704" t="inlineStr">
        <is>
          <t>000004106</t>
        </is>
      </c>
      <c r="F704" t="inlineStr">
        <is>
          <t>R&amp;R TRANSPORTE E LOGISTICA</t>
        </is>
      </c>
      <c r="G704" s="27" t="n">
        <v>45776</v>
      </c>
      <c r="H704" s="14" t="n">
        <v>700</v>
      </c>
      <c r="I704" s="14" t="n">
        <v>0</v>
      </c>
      <c r="J704" s="14" t="n">
        <v>0</v>
      </c>
      <c r="K704" s="14" t="n">
        <v>0</v>
      </c>
      <c r="L704" s="14" t="n">
        <v>0</v>
      </c>
      <c r="M704" s="14">
        <f>IF(B704="Frete de venda",0,(1-ISNUMBER(SEARCH("556",P704)))*(I704*VLOOKUP($B704,Premissas!$A$4:$E$7,2,0)+J704*VLOOKUP($B704,Premissas!$A$4:$E$7,3,0))+K704*VLOOKUP($B704,Premissas!$A$4:$E$7,4,0)+L704*VLOOKUP($B704,Premissas!$A$4:$E$7,5,0))</f>
        <v/>
      </c>
      <c r="N704" s="14">
        <f>H704-M704</f>
        <v/>
      </c>
      <c r="O704" t="inlineStr">
        <is>
          <t>Não</t>
        </is>
      </c>
      <c r="P704" t="inlineStr">
        <is>
          <t>1.350</t>
        </is>
      </c>
    </row>
    <row r="705">
      <c r="A705" t="inlineStr">
        <is>
          <t>Antes de 2026</t>
        </is>
      </c>
      <c r="B705" t="inlineStr">
        <is>
          <t>Frete de venda</t>
        </is>
      </c>
      <c r="C705" t="inlineStr">
        <is>
          <t>Frete de venda (para clientes)</t>
        </is>
      </c>
      <c r="D705" t="inlineStr">
        <is>
          <t>CT-e</t>
        </is>
      </c>
      <c r="E705" t="inlineStr">
        <is>
          <t>000004364</t>
        </is>
      </c>
      <c r="F705" t="inlineStr">
        <is>
          <t>R&amp;R TRANSPORTE E LOGISTICA</t>
        </is>
      </c>
      <c r="G705" s="27" t="n">
        <v>45810</v>
      </c>
      <c r="H705" s="14" t="n">
        <v>700</v>
      </c>
      <c r="I705" s="14" t="n">
        <v>0</v>
      </c>
      <c r="J705" s="14" t="n">
        <v>0</v>
      </c>
      <c r="K705" s="14" t="n">
        <v>0</v>
      </c>
      <c r="L705" s="14" t="n">
        <v>0</v>
      </c>
      <c r="M705" s="14">
        <f>IF(B705="Frete de venda",0,(1-ISNUMBER(SEARCH("556",P705)))*(I705*VLOOKUP($B705,Premissas!$A$4:$E$7,2,0)+J705*VLOOKUP($B705,Premissas!$A$4:$E$7,3,0))+K705*VLOOKUP($B705,Premissas!$A$4:$E$7,4,0)+L705*VLOOKUP($B705,Premissas!$A$4:$E$7,5,0))</f>
        <v/>
      </c>
      <c r="N705" s="14">
        <f>H705-M705</f>
        <v/>
      </c>
      <c r="O705" t="inlineStr">
        <is>
          <t>Não</t>
        </is>
      </c>
      <c r="P705" t="inlineStr">
        <is>
          <t>1.350</t>
        </is>
      </c>
    </row>
    <row r="706">
      <c r="A706" t="inlineStr">
        <is>
          <t>Antes de 2026</t>
        </is>
      </c>
      <c r="B706" t="inlineStr">
        <is>
          <t>Frete de venda</t>
        </is>
      </c>
      <c r="C706" t="inlineStr">
        <is>
          <t>Frete de venda (para clientes)</t>
        </is>
      </c>
      <c r="D706" t="inlineStr">
        <is>
          <t>CT-e</t>
        </is>
      </c>
      <c r="E706" t="inlineStr">
        <is>
          <t>000004748</t>
        </is>
      </c>
      <c r="F706" t="inlineStr">
        <is>
          <t>R&amp;R TRANSPORTE E LOGISTICA</t>
        </is>
      </c>
      <c r="G706" s="27" t="n">
        <v>45864</v>
      </c>
      <c r="H706" s="14" t="n">
        <v>700</v>
      </c>
      <c r="I706" s="14" t="n">
        <v>0</v>
      </c>
      <c r="J706" s="14" t="n">
        <v>0</v>
      </c>
      <c r="K706" s="14" t="n">
        <v>0</v>
      </c>
      <c r="L706" s="14" t="n">
        <v>0</v>
      </c>
      <c r="M706" s="14">
        <f>IF(B706="Frete de venda",0,(1-ISNUMBER(SEARCH("556",P706)))*(I706*VLOOKUP($B706,Premissas!$A$4:$E$7,2,0)+J706*VLOOKUP($B706,Premissas!$A$4:$E$7,3,0))+K706*VLOOKUP($B706,Premissas!$A$4:$E$7,4,0)+L706*VLOOKUP($B706,Premissas!$A$4:$E$7,5,0))</f>
        <v/>
      </c>
      <c r="N706" s="14">
        <f>H706-M706</f>
        <v/>
      </c>
      <c r="O706" t="inlineStr">
        <is>
          <t>Não</t>
        </is>
      </c>
      <c r="P706" t="inlineStr">
        <is>
          <t>1.350</t>
        </is>
      </c>
    </row>
    <row r="707">
      <c r="A707" t="inlineStr">
        <is>
          <t>Antes de 2026</t>
        </is>
      </c>
      <c r="B707" t="inlineStr">
        <is>
          <t>Frete de venda</t>
        </is>
      </c>
      <c r="C707" t="inlineStr">
        <is>
          <t>Frete de venda (para clientes)</t>
        </is>
      </c>
      <c r="D707" t="inlineStr">
        <is>
          <t>CT-e</t>
        </is>
      </c>
      <c r="E707" t="inlineStr">
        <is>
          <t>000004753</t>
        </is>
      </c>
      <c r="F707" t="inlineStr">
        <is>
          <t>R&amp;R TRANSPORTE E LOGISTICA</t>
        </is>
      </c>
      <c r="G707" s="27" t="n">
        <v>45866</v>
      </c>
      <c r="H707" s="14" t="n">
        <v>320</v>
      </c>
      <c r="I707" s="14" t="n">
        <v>0</v>
      </c>
      <c r="J707" s="14" t="n">
        <v>0</v>
      </c>
      <c r="K707" s="14" t="n">
        <v>0</v>
      </c>
      <c r="L707" s="14" t="n">
        <v>0</v>
      </c>
      <c r="M707" s="14">
        <f>IF(B707="Frete de venda",0,(1-ISNUMBER(SEARCH("556",P707)))*(I707*VLOOKUP($B707,Premissas!$A$4:$E$7,2,0)+J707*VLOOKUP($B707,Premissas!$A$4:$E$7,3,0))+K707*VLOOKUP($B707,Premissas!$A$4:$E$7,4,0)+L707*VLOOKUP($B707,Premissas!$A$4:$E$7,5,0))</f>
        <v/>
      </c>
      <c r="N707" s="14">
        <f>H707-M707</f>
        <v/>
      </c>
      <c r="O707" t="inlineStr">
        <is>
          <t>Não</t>
        </is>
      </c>
      <c r="P707" t="inlineStr">
        <is>
          <t>1.350</t>
        </is>
      </c>
    </row>
    <row r="708">
      <c r="A708" t="inlineStr">
        <is>
          <t>Antes de 2026</t>
        </is>
      </c>
      <c r="B708" t="inlineStr">
        <is>
          <t>Frete de venda</t>
        </is>
      </c>
      <c r="C708" t="inlineStr">
        <is>
          <t>Frete de venda (para clientes)</t>
        </is>
      </c>
      <c r="D708" t="inlineStr">
        <is>
          <t>CT-e</t>
        </is>
      </c>
      <c r="E708" t="inlineStr">
        <is>
          <t>000005451</t>
        </is>
      </c>
      <c r="F708" t="inlineStr">
        <is>
          <t>R&amp;R TRANSPORTE E LOGISTICA</t>
        </is>
      </c>
      <c r="G708" s="27" t="n">
        <v>45943</v>
      </c>
      <c r="H708" s="14" t="n">
        <v>467</v>
      </c>
      <c r="I708" s="14" t="n">
        <v>0</v>
      </c>
      <c r="J708" s="14" t="n">
        <v>0</v>
      </c>
      <c r="K708" s="14" t="n">
        <v>0</v>
      </c>
      <c r="L708" s="14" t="n">
        <v>0</v>
      </c>
      <c r="M708" s="14">
        <f>IF(B708="Frete de venda",0,(1-ISNUMBER(SEARCH("556",P708)))*(I708*VLOOKUP($B708,Premissas!$A$4:$E$7,2,0)+J708*VLOOKUP($B708,Premissas!$A$4:$E$7,3,0))+K708*VLOOKUP($B708,Premissas!$A$4:$E$7,4,0)+L708*VLOOKUP($B708,Premissas!$A$4:$E$7,5,0))</f>
        <v/>
      </c>
      <c r="N708" s="14">
        <f>H708-M708</f>
        <v/>
      </c>
      <c r="O708" t="inlineStr">
        <is>
          <t>Não</t>
        </is>
      </c>
      <c r="P708" t="inlineStr">
        <is>
          <t>1.350</t>
        </is>
      </c>
    </row>
    <row r="709">
      <c r="A709" t="inlineStr">
        <is>
          <t>Antes de 2026</t>
        </is>
      </c>
      <c r="B709" t="inlineStr">
        <is>
          <t>Frete de venda</t>
        </is>
      </c>
      <c r="C709" t="inlineStr">
        <is>
          <t>Frete de venda (para clientes)</t>
        </is>
      </c>
      <c r="D709" t="inlineStr">
        <is>
          <t>CT-e</t>
        </is>
      </c>
      <c r="E709" t="inlineStr">
        <is>
          <t>000005965</t>
        </is>
      </c>
      <c r="F709" t="inlineStr">
        <is>
          <t>R&amp;R TRANSPORTE E LOGISTICA</t>
        </is>
      </c>
      <c r="G709" s="27" t="n">
        <v>46002</v>
      </c>
      <c r="H709" s="14" t="n">
        <v>1400</v>
      </c>
      <c r="I709" s="14" t="n">
        <v>0</v>
      </c>
      <c r="J709" s="14" t="n">
        <v>0</v>
      </c>
      <c r="K709" s="14" t="n">
        <v>0</v>
      </c>
      <c r="L709" s="14" t="n">
        <v>0</v>
      </c>
      <c r="M709" s="14">
        <f>IF(B709="Frete de venda",0,(1-ISNUMBER(SEARCH("556",P709)))*(I709*VLOOKUP($B709,Premissas!$A$4:$E$7,2,0)+J709*VLOOKUP($B709,Premissas!$A$4:$E$7,3,0))+K709*VLOOKUP($B709,Premissas!$A$4:$E$7,4,0)+L709*VLOOKUP($B709,Premissas!$A$4:$E$7,5,0))</f>
        <v/>
      </c>
      <c r="N709" s="14">
        <f>H709-M709</f>
        <v/>
      </c>
      <c r="O709" t="inlineStr">
        <is>
          <t>Não</t>
        </is>
      </c>
      <c r="P709" t="inlineStr">
        <is>
          <t>1.350</t>
        </is>
      </c>
    </row>
    <row r="710">
      <c r="A710" t="inlineStr">
        <is>
          <t>Antes de 2026</t>
        </is>
      </c>
      <c r="B710" t="inlineStr">
        <is>
          <t>Frete de venda</t>
        </is>
      </c>
      <c r="C710" t="inlineStr">
        <is>
          <t>Frete de venda (para clientes)</t>
        </is>
      </c>
      <c r="D710" t="inlineStr">
        <is>
          <t>CT-e</t>
        </is>
      </c>
      <c r="E710" t="inlineStr">
        <is>
          <t>000004175</t>
        </is>
      </c>
      <c r="F710" t="inlineStr">
        <is>
          <t>R&amp;R TRANSPORTE E LOGISTICA</t>
        </is>
      </c>
      <c r="G710" s="27" t="n">
        <v>45788</v>
      </c>
      <c r="H710" s="14" t="n">
        <v>150</v>
      </c>
      <c r="I710" s="14" t="n">
        <v>0</v>
      </c>
      <c r="J710" s="14" t="n">
        <v>0</v>
      </c>
      <c r="K710" s="14" t="n">
        <v>0</v>
      </c>
      <c r="L710" s="14" t="n">
        <v>0</v>
      </c>
      <c r="M710" s="14">
        <f>IF(B710="Frete de venda",0,(1-ISNUMBER(SEARCH("556",P710)))*(I710*VLOOKUP($B710,Premissas!$A$4:$E$7,2,0)+J710*VLOOKUP($B710,Premissas!$A$4:$E$7,3,0))+K710*VLOOKUP($B710,Premissas!$A$4:$E$7,4,0)+L710*VLOOKUP($B710,Premissas!$A$4:$E$7,5,0))</f>
        <v/>
      </c>
      <c r="N710" s="14">
        <f>H710-M710</f>
        <v/>
      </c>
      <c r="O710" t="inlineStr">
        <is>
          <t>Não</t>
        </is>
      </c>
      <c r="P710" t="inlineStr">
        <is>
          <t>1.350</t>
        </is>
      </c>
    </row>
    <row r="711">
      <c r="A711" t="inlineStr">
        <is>
          <t>Antes de 2026</t>
        </is>
      </c>
      <c r="B711" t="inlineStr">
        <is>
          <t>Frete de venda</t>
        </is>
      </c>
      <c r="C711" t="inlineStr">
        <is>
          <t>Frete de venda (para clientes)</t>
        </is>
      </c>
      <c r="D711" t="inlineStr">
        <is>
          <t>CT-e</t>
        </is>
      </c>
      <c r="E711" t="inlineStr">
        <is>
          <t>000004721</t>
        </is>
      </c>
      <c r="F711" t="inlineStr">
        <is>
          <t>R&amp;R TRANSPORTE E LOGISTICA</t>
        </is>
      </c>
      <c r="G711" s="27" t="n">
        <v>45861</v>
      </c>
      <c r="H711" s="14" t="n">
        <v>46.87</v>
      </c>
      <c r="I711" s="14" t="n">
        <v>0</v>
      </c>
      <c r="J711" s="14" t="n">
        <v>0</v>
      </c>
      <c r="K711" s="14" t="n">
        <v>0</v>
      </c>
      <c r="L711" s="14" t="n">
        <v>0</v>
      </c>
      <c r="M711" s="14">
        <f>IF(B711="Frete de venda",0,(1-ISNUMBER(SEARCH("556",P711)))*(I711*VLOOKUP($B711,Premissas!$A$4:$E$7,2,0)+J711*VLOOKUP($B711,Premissas!$A$4:$E$7,3,0))+K711*VLOOKUP($B711,Premissas!$A$4:$E$7,4,0)+L711*VLOOKUP($B711,Premissas!$A$4:$E$7,5,0))</f>
        <v/>
      </c>
      <c r="N711" s="14">
        <f>H711-M711</f>
        <v/>
      </c>
      <c r="O711" t="inlineStr">
        <is>
          <t>Não</t>
        </is>
      </c>
      <c r="P711" t="inlineStr">
        <is>
          <t>1.350</t>
        </is>
      </c>
    </row>
    <row r="712">
      <c r="A712" t="inlineStr">
        <is>
          <t>Antes de 2026</t>
        </is>
      </c>
      <c r="B712" t="inlineStr">
        <is>
          <t>Frete de venda</t>
        </is>
      </c>
      <c r="C712" t="inlineStr">
        <is>
          <t>Frete de venda (para clientes)</t>
        </is>
      </c>
      <c r="D712" t="inlineStr">
        <is>
          <t>CT-e</t>
        </is>
      </c>
      <c r="E712" t="inlineStr">
        <is>
          <t>000004083</t>
        </is>
      </c>
      <c r="F712" t="inlineStr">
        <is>
          <t>R&amp;R TRANSPORTE E LOGISTICA</t>
        </is>
      </c>
      <c r="G712" s="27" t="n">
        <v>45772</v>
      </c>
      <c r="H712" s="14" t="n">
        <v>700</v>
      </c>
      <c r="I712" s="14" t="n">
        <v>0</v>
      </c>
      <c r="J712" s="14" t="n">
        <v>0</v>
      </c>
      <c r="K712" s="14" t="n">
        <v>0</v>
      </c>
      <c r="L712" s="14" t="n">
        <v>0</v>
      </c>
      <c r="M712" s="14">
        <f>IF(B712="Frete de venda",0,(1-ISNUMBER(SEARCH("556",P712)))*(I712*VLOOKUP($B712,Premissas!$A$4:$E$7,2,0)+J712*VLOOKUP($B712,Premissas!$A$4:$E$7,3,0))+K712*VLOOKUP($B712,Premissas!$A$4:$E$7,4,0)+L712*VLOOKUP($B712,Premissas!$A$4:$E$7,5,0))</f>
        <v/>
      </c>
      <c r="N712" s="14">
        <f>H712-M712</f>
        <v/>
      </c>
      <c r="O712" t="inlineStr">
        <is>
          <t>Não</t>
        </is>
      </c>
      <c r="P712" t="inlineStr">
        <is>
          <t>1.350</t>
        </is>
      </c>
    </row>
    <row r="713">
      <c r="A713" t="inlineStr">
        <is>
          <t>Antes de 2026</t>
        </is>
      </c>
      <c r="B713" t="inlineStr">
        <is>
          <t>Frete de venda</t>
        </is>
      </c>
      <c r="C713" t="inlineStr">
        <is>
          <t>Frete de venda (para clientes)</t>
        </is>
      </c>
      <c r="D713" t="inlineStr">
        <is>
          <t>CT-e</t>
        </is>
      </c>
      <c r="E713" t="inlineStr">
        <is>
          <t>000004177</t>
        </is>
      </c>
      <c r="F713" t="inlineStr">
        <is>
          <t>R&amp;R TRANSPORTE E LOGISTICA</t>
        </is>
      </c>
      <c r="G713" s="27" t="n">
        <v>45788</v>
      </c>
      <c r="H713" s="14" t="n">
        <v>400</v>
      </c>
      <c r="I713" s="14" t="n">
        <v>0</v>
      </c>
      <c r="J713" s="14" t="n">
        <v>0</v>
      </c>
      <c r="K713" s="14" t="n">
        <v>0</v>
      </c>
      <c r="L713" s="14" t="n">
        <v>0</v>
      </c>
      <c r="M713" s="14">
        <f>IF(B713="Frete de venda",0,(1-ISNUMBER(SEARCH("556",P713)))*(I713*VLOOKUP($B713,Premissas!$A$4:$E$7,2,0)+J713*VLOOKUP($B713,Premissas!$A$4:$E$7,3,0))+K713*VLOOKUP($B713,Premissas!$A$4:$E$7,4,0)+L713*VLOOKUP($B713,Premissas!$A$4:$E$7,5,0))</f>
        <v/>
      </c>
      <c r="N713" s="14">
        <f>H713-M713</f>
        <v/>
      </c>
      <c r="O713" t="inlineStr">
        <is>
          <t>Não</t>
        </is>
      </c>
      <c r="P713" t="inlineStr">
        <is>
          <t>1.350</t>
        </is>
      </c>
    </row>
    <row r="714">
      <c r="A714" t="inlineStr">
        <is>
          <t>Antes de 2026</t>
        </is>
      </c>
      <c r="B714" t="inlineStr">
        <is>
          <t>Frete de venda</t>
        </is>
      </c>
      <c r="C714" t="inlineStr">
        <is>
          <t>Frete de venda (para clientes)</t>
        </is>
      </c>
      <c r="D714" t="inlineStr">
        <is>
          <t>CT-e</t>
        </is>
      </c>
      <c r="E714" t="inlineStr">
        <is>
          <t>000004179</t>
        </is>
      </c>
      <c r="F714" t="inlineStr">
        <is>
          <t>R&amp;R TRANSPORTE E LOGISTICA</t>
        </is>
      </c>
      <c r="G714" s="27" t="n">
        <v>45789</v>
      </c>
      <c r="H714" s="14" t="n">
        <v>140</v>
      </c>
      <c r="I714" s="14" t="n">
        <v>0</v>
      </c>
      <c r="J714" s="14" t="n">
        <v>0</v>
      </c>
      <c r="K714" s="14" t="n">
        <v>0</v>
      </c>
      <c r="L714" s="14" t="n">
        <v>0</v>
      </c>
      <c r="M714" s="14">
        <f>IF(B714="Frete de venda",0,(1-ISNUMBER(SEARCH("556",P714)))*(I714*VLOOKUP($B714,Premissas!$A$4:$E$7,2,0)+J714*VLOOKUP($B714,Premissas!$A$4:$E$7,3,0))+K714*VLOOKUP($B714,Premissas!$A$4:$E$7,4,0)+L714*VLOOKUP($B714,Premissas!$A$4:$E$7,5,0))</f>
        <v/>
      </c>
      <c r="N714" s="14">
        <f>H714-M714</f>
        <v/>
      </c>
      <c r="O714" t="inlineStr">
        <is>
          <t>Não</t>
        </is>
      </c>
      <c r="P714" t="inlineStr">
        <is>
          <t>1.350</t>
        </is>
      </c>
    </row>
    <row r="715">
      <c r="A715" t="inlineStr">
        <is>
          <t>Antes de 2026</t>
        </is>
      </c>
      <c r="B715" t="inlineStr">
        <is>
          <t>Frete de venda</t>
        </is>
      </c>
      <c r="C715" t="inlineStr">
        <is>
          <t>Frete de venda (para clientes)</t>
        </is>
      </c>
      <c r="D715" t="inlineStr">
        <is>
          <t>CT-e</t>
        </is>
      </c>
      <c r="E715" t="inlineStr">
        <is>
          <t>000004236</t>
        </is>
      </c>
      <c r="F715" t="inlineStr">
        <is>
          <t>R&amp;R TRANSPORTE E LOGISTICA</t>
        </is>
      </c>
      <c r="G715" s="27" t="n">
        <v>45793</v>
      </c>
      <c r="H715" s="14" t="n">
        <v>140</v>
      </c>
      <c r="I715" s="14" t="n">
        <v>0</v>
      </c>
      <c r="J715" s="14" t="n">
        <v>0</v>
      </c>
      <c r="K715" s="14" t="n">
        <v>0</v>
      </c>
      <c r="L715" s="14" t="n">
        <v>0</v>
      </c>
      <c r="M715" s="14">
        <f>IF(B715="Frete de venda",0,(1-ISNUMBER(SEARCH("556",P715)))*(I715*VLOOKUP($B715,Premissas!$A$4:$E$7,2,0)+J715*VLOOKUP($B715,Premissas!$A$4:$E$7,3,0))+K715*VLOOKUP($B715,Premissas!$A$4:$E$7,4,0)+L715*VLOOKUP($B715,Premissas!$A$4:$E$7,5,0))</f>
        <v/>
      </c>
      <c r="N715" s="14">
        <f>H715-M715</f>
        <v/>
      </c>
      <c r="O715" t="inlineStr">
        <is>
          <t>Não</t>
        </is>
      </c>
      <c r="P715" t="inlineStr">
        <is>
          <t>1.350</t>
        </is>
      </c>
    </row>
    <row r="716">
      <c r="A716" t="inlineStr">
        <is>
          <t>Antes de 2026</t>
        </is>
      </c>
      <c r="B716" t="inlineStr">
        <is>
          <t>Frete de venda</t>
        </is>
      </c>
      <c r="C716" t="inlineStr">
        <is>
          <t>Frete de venda (para clientes)</t>
        </is>
      </c>
      <c r="D716" t="inlineStr">
        <is>
          <t>CT-e</t>
        </is>
      </c>
      <c r="E716" t="inlineStr">
        <is>
          <t>000004389</t>
        </is>
      </c>
      <c r="F716" t="inlineStr">
        <is>
          <t>R&amp;R TRANSPORTE E LOGISTICA</t>
        </is>
      </c>
      <c r="G716" s="27" t="n">
        <v>45814</v>
      </c>
      <c r="H716" s="14" t="n">
        <v>1000</v>
      </c>
      <c r="I716" s="14" t="n">
        <v>0</v>
      </c>
      <c r="J716" s="14" t="n">
        <v>0</v>
      </c>
      <c r="K716" s="14" t="n">
        <v>0</v>
      </c>
      <c r="L716" s="14" t="n">
        <v>0</v>
      </c>
      <c r="M716" s="14">
        <f>IF(B716="Frete de venda",0,(1-ISNUMBER(SEARCH("556",P716)))*(I716*VLOOKUP($B716,Premissas!$A$4:$E$7,2,0)+J716*VLOOKUP($B716,Premissas!$A$4:$E$7,3,0))+K716*VLOOKUP($B716,Premissas!$A$4:$E$7,4,0)+L716*VLOOKUP($B716,Premissas!$A$4:$E$7,5,0))</f>
        <v/>
      </c>
      <c r="N716" s="14">
        <f>H716-M716</f>
        <v/>
      </c>
      <c r="O716" t="inlineStr">
        <is>
          <t>Não</t>
        </is>
      </c>
      <c r="P716" t="inlineStr">
        <is>
          <t>1.350</t>
        </is>
      </c>
    </row>
    <row r="717">
      <c r="A717" t="inlineStr">
        <is>
          <t>Antes de 2026</t>
        </is>
      </c>
      <c r="B717" t="inlineStr">
        <is>
          <t>Frete de venda</t>
        </is>
      </c>
      <c r="C717" t="inlineStr">
        <is>
          <t>Frete de venda (para clientes)</t>
        </is>
      </c>
      <c r="D717" t="inlineStr">
        <is>
          <t>CT-e</t>
        </is>
      </c>
      <c r="E717" t="inlineStr">
        <is>
          <t>000004408</t>
        </is>
      </c>
      <c r="F717" t="inlineStr">
        <is>
          <t>R&amp;R TRANSPORTE E LOGISTICA</t>
        </is>
      </c>
      <c r="G717" s="27" t="n">
        <v>45818</v>
      </c>
      <c r="H717" s="14" t="n">
        <v>150</v>
      </c>
      <c r="I717" s="14" t="n">
        <v>0</v>
      </c>
      <c r="J717" s="14" t="n">
        <v>0</v>
      </c>
      <c r="K717" s="14" t="n">
        <v>0</v>
      </c>
      <c r="L717" s="14" t="n">
        <v>0</v>
      </c>
      <c r="M717" s="14">
        <f>IF(B717="Frete de venda",0,(1-ISNUMBER(SEARCH("556",P717)))*(I717*VLOOKUP($B717,Premissas!$A$4:$E$7,2,0)+J717*VLOOKUP($B717,Premissas!$A$4:$E$7,3,0))+K717*VLOOKUP($B717,Premissas!$A$4:$E$7,4,0)+L717*VLOOKUP($B717,Premissas!$A$4:$E$7,5,0))</f>
        <v/>
      </c>
      <c r="N717" s="14">
        <f>H717-M717</f>
        <v/>
      </c>
      <c r="O717" t="inlineStr">
        <is>
          <t>Não</t>
        </is>
      </c>
      <c r="P717" t="inlineStr">
        <is>
          <t>1.350</t>
        </is>
      </c>
    </row>
    <row r="718">
      <c r="A718" t="inlineStr">
        <is>
          <t>Antes de 2026</t>
        </is>
      </c>
      <c r="B718" t="inlineStr">
        <is>
          <t>Frete de venda</t>
        </is>
      </c>
      <c r="C718" t="inlineStr">
        <is>
          <t>Frete de venda (para clientes)</t>
        </is>
      </c>
      <c r="D718" t="inlineStr">
        <is>
          <t>CT-e</t>
        </is>
      </c>
      <c r="E718" t="inlineStr">
        <is>
          <t>000004211</t>
        </is>
      </c>
      <c r="F718" t="inlineStr">
        <is>
          <t>R&amp;R TRANSPORTE E LOGISTICA</t>
        </is>
      </c>
      <c r="G718" s="27" t="n">
        <v>45790</v>
      </c>
      <c r="H718" s="14" t="n">
        <v>21.86</v>
      </c>
      <c r="I718" s="14" t="n">
        <v>0</v>
      </c>
      <c r="J718" s="14" t="n">
        <v>0</v>
      </c>
      <c r="K718" s="14" t="n">
        <v>0</v>
      </c>
      <c r="L718" s="14" t="n">
        <v>0</v>
      </c>
      <c r="M718" s="14">
        <f>IF(B718="Frete de venda",0,(1-ISNUMBER(SEARCH("556",P718)))*(I718*VLOOKUP($B718,Premissas!$A$4:$E$7,2,0)+J718*VLOOKUP($B718,Premissas!$A$4:$E$7,3,0))+K718*VLOOKUP($B718,Premissas!$A$4:$E$7,4,0)+L718*VLOOKUP($B718,Premissas!$A$4:$E$7,5,0))</f>
        <v/>
      </c>
      <c r="N718" s="14">
        <f>H718-M718</f>
        <v/>
      </c>
      <c r="O718" t="inlineStr">
        <is>
          <t>Não</t>
        </is>
      </c>
      <c r="P718" t="inlineStr">
        <is>
          <t>1.350</t>
        </is>
      </c>
    </row>
    <row r="719">
      <c r="A719" t="inlineStr">
        <is>
          <t>Antes de 2026</t>
        </is>
      </c>
      <c r="B719" t="inlineStr">
        <is>
          <t>Frete de venda</t>
        </is>
      </c>
      <c r="C719" t="inlineStr">
        <is>
          <t>Frete de venda (para clientes)</t>
        </is>
      </c>
      <c r="D719" t="inlineStr">
        <is>
          <t>CT-e</t>
        </is>
      </c>
      <c r="E719" t="inlineStr">
        <is>
          <t>000004997</t>
        </is>
      </c>
      <c r="F719" t="inlineStr">
        <is>
          <t>R&amp;R TRANSPORTE E LOGISTICA</t>
        </is>
      </c>
      <c r="G719" s="27" t="n">
        <v>45894</v>
      </c>
      <c r="H719" s="14" t="n">
        <v>30.03</v>
      </c>
      <c r="I719" s="14" t="n">
        <v>0</v>
      </c>
      <c r="J719" s="14" t="n">
        <v>0</v>
      </c>
      <c r="K719" s="14" t="n">
        <v>0</v>
      </c>
      <c r="L719" s="14" t="n">
        <v>0</v>
      </c>
      <c r="M719" s="14">
        <f>IF(B719="Frete de venda",0,(1-ISNUMBER(SEARCH("556",P719)))*(I719*VLOOKUP($B719,Premissas!$A$4:$E$7,2,0)+J719*VLOOKUP($B719,Premissas!$A$4:$E$7,3,0))+K719*VLOOKUP($B719,Premissas!$A$4:$E$7,4,0)+L719*VLOOKUP($B719,Premissas!$A$4:$E$7,5,0))</f>
        <v/>
      </c>
      <c r="N719" s="14">
        <f>H719-M719</f>
        <v/>
      </c>
      <c r="O719" t="inlineStr">
        <is>
          <t>Não</t>
        </is>
      </c>
      <c r="P719" t="inlineStr">
        <is>
          <t>1.350</t>
        </is>
      </c>
    </row>
    <row r="720">
      <c r="A720" t="inlineStr">
        <is>
          <t>Antes de 2026</t>
        </is>
      </c>
      <c r="B720" t="inlineStr">
        <is>
          <t>Frete de venda</t>
        </is>
      </c>
      <c r="C720" t="inlineStr">
        <is>
          <t>Frete de venda (para clientes)</t>
        </is>
      </c>
      <c r="D720" t="inlineStr">
        <is>
          <t>CT-e</t>
        </is>
      </c>
      <c r="E720" t="inlineStr">
        <is>
          <t>000005873</t>
        </is>
      </c>
      <c r="F720" t="inlineStr">
        <is>
          <t>R&amp;R TRANSPORTE E LOGISTICA</t>
        </is>
      </c>
      <c r="G720" s="27" t="n">
        <v>45990</v>
      </c>
      <c r="H720" s="14" t="n">
        <v>24.18</v>
      </c>
      <c r="I720" s="14" t="n">
        <v>0</v>
      </c>
      <c r="J720" s="14" t="n">
        <v>0</v>
      </c>
      <c r="K720" s="14" t="n">
        <v>0</v>
      </c>
      <c r="L720" s="14" t="n">
        <v>0</v>
      </c>
      <c r="M720" s="14">
        <f>IF(B720="Frete de venda",0,(1-ISNUMBER(SEARCH("556",P720)))*(I720*VLOOKUP($B720,Premissas!$A$4:$E$7,2,0)+J720*VLOOKUP($B720,Premissas!$A$4:$E$7,3,0))+K720*VLOOKUP($B720,Premissas!$A$4:$E$7,4,0)+L720*VLOOKUP($B720,Premissas!$A$4:$E$7,5,0))</f>
        <v/>
      </c>
      <c r="N720" s="14">
        <f>H720-M720</f>
        <v/>
      </c>
      <c r="O720" t="inlineStr">
        <is>
          <t>Não</t>
        </is>
      </c>
      <c r="P720" t="inlineStr">
        <is>
          <t>1.350</t>
        </is>
      </c>
    </row>
    <row r="721">
      <c r="A721" t="inlineStr">
        <is>
          <t>Antes de 2026</t>
        </is>
      </c>
      <c r="B721" t="inlineStr">
        <is>
          <t>Frete de venda</t>
        </is>
      </c>
      <c r="C721" t="inlineStr">
        <is>
          <t>Frete de venda (para clientes)</t>
        </is>
      </c>
      <c r="D721" t="inlineStr">
        <is>
          <t>CT-e</t>
        </is>
      </c>
      <c r="E721" t="inlineStr">
        <is>
          <t>000004621</t>
        </is>
      </c>
      <c r="F721" t="inlineStr">
        <is>
          <t>R&amp;R TRANSPORTE E LOGISTICA</t>
        </is>
      </c>
      <c r="G721" s="27" t="n">
        <v>45848</v>
      </c>
      <c r="H721" s="14" t="n">
        <v>81.40000000000001</v>
      </c>
      <c r="I721" s="14" t="n">
        <v>0</v>
      </c>
      <c r="J721" s="14" t="n">
        <v>0</v>
      </c>
      <c r="K721" s="14" t="n">
        <v>0</v>
      </c>
      <c r="L721" s="14" t="n">
        <v>0</v>
      </c>
      <c r="M721" s="14">
        <f>IF(B721="Frete de venda",0,(1-ISNUMBER(SEARCH("556",P721)))*(I721*VLOOKUP($B721,Premissas!$A$4:$E$7,2,0)+J721*VLOOKUP($B721,Premissas!$A$4:$E$7,3,0))+K721*VLOOKUP($B721,Premissas!$A$4:$E$7,4,0)+L721*VLOOKUP($B721,Premissas!$A$4:$E$7,5,0))</f>
        <v/>
      </c>
      <c r="N721" s="14">
        <f>H721-M721</f>
        <v/>
      </c>
      <c r="O721" t="inlineStr">
        <is>
          <t>Não</t>
        </is>
      </c>
      <c r="P721" t="inlineStr">
        <is>
          <t>1.350</t>
        </is>
      </c>
    </row>
    <row r="722">
      <c r="A722" t="inlineStr">
        <is>
          <t>Antes de 2026</t>
        </is>
      </c>
      <c r="B722" t="inlineStr">
        <is>
          <t>Frete de venda</t>
        </is>
      </c>
      <c r="C722" t="inlineStr">
        <is>
          <t>Frete de venda (para clientes)</t>
        </is>
      </c>
      <c r="D722" t="inlineStr">
        <is>
          <t>CT-e</t>
        </is>
      </c>
      <c r="E722" t="inlineStr">
        <is>
          <t>000004720</t>
        </is>
      </c>
      <c r="F722" t="inlineStr">
        <is>
          <t>R&amp;R TRANSPORTE E LOGISTICA</t>
        </is>
      </c>
      <c r="G722" s="27" t="n">
        <v>45861</v>
      </c>
      <c r="H722" s="14" t="n">
        <v>58.04</v>
      </c>
      <c r="I722" s="14" t="n">
        <v>0</v>
      </c>
      <c r="J722" s="14" t="n">
        <v>0</v>
      </c>
      <c r="K722" s="14" t="n">
        <v>0</v>
      </c>
      <c r="L722" s="14" t="n">
        <v>0</v>
      </c>
      <c r="M722" s="14">
        <f>IF(B722="Frete de venda",0,(1-ISNUMBER(SEARCH("556",P722)))*(I722*VLOOKUP($B722,Premissas!$A$4:$E$7,2,0)+J722*VLOOKUP($B722,Premissas!$A$4:$E$7,3,0))+K722*VLOOKUP($B722,Premissas!$A$4:$E$7,4,0)+L722*VLOOKUP($B722,Premissas!$A$4:$E$7,5,0))</f>
        <v/>
      </c>
      <c r="N722" s="14">
        <f>H722-M722</f>
        <v/>
      </c>
      <c r="O722" t="inlineStr">
        <is>
          <t>Não</t>
        </is>
      </c>
      <c r="P722" t="inlineStr">
        <is>
          <t>1.350</t>
        </is>
      </c>
    </row>
    <row r="723">
      <c r="A723" t="inlineStr">
        <is>
          <t>Antes de 2026</t>
        </is>
      </c>
      <c r="B723" t="inlineStr">
        <is>
          <t>Frete de venda</t>
        </is>
      </c>
      <c r="C723" t="inlineStr">
        <is>
          <t>Frete de venda (para clientes)</t>
        </is>
      </c>
      <c r="D723" t="inlineStr">
        <is>
          <t>CT-e</t>
        </is>
      </c>
      <c r="E723" t="inlineStr">
        <is>
          <t>000005261</t>
        </is>
      </c>
      <c r="F723" t="inlineStr">
        <is>
          <t>R&amp;R TRANSPORTE E LOGISTICA</t>
        </is>
      </c>
      <c r="G723" s="27" t="n">
        <v>45922</v>
      </c>
      <c r="H723" s="14" t="n">
        <v>53.73</v>
      </c>
      <c r="I723" s="14" t="n">
        <v>0</v>
      </c>
      <c r="J723" s="14" t="n">
        <v>0</v>
      </c>
      <c r="K723" s="14" t="n">
        <v>0</v>
      </c>
      <c r="L723" s="14" t="n">
        <v>0</v>
      </c>
      <c r="M723" s="14">
        <f>IF(B723="Frete de venda",0,(1-ISNUMBER(SEARCH("556",P723)))*(I723*VLOOKUP($B723,Premissas!$A$4:$E$7,2,0)+J723*VLOOKUP($B723,Premissas!$A$4:$E$7,3,0))+K723*VLOOKUP($B723,Premissas!$A$4:$E$7,4,0)+L723*VLOOKUP($B723,Premissas!$A$4:$E$7,5,0))</f>
        <v/>
      </c>
      <c r="N723" s="14">
        <f>H723-M723</f>
        <v/>
      </c>
      <c r="O723" t="inlineStr">
        <is>
          <t>Não</t>
        </is>
      </c>
      <c r="P723" t="inlineStr">
        <is>
          <t>1.350</t>
        </is>
      </c>
    </row>
    <row r="724">
      <c r="A724" t="inlineStr">
        <is>
          <t>Antes de 2026</t>
        </is>
      </c>
      <c r="B724" t="inlineStr">
        <is>
          <t>Frete de venda</t>
        </is>
      </c>
      <c r="C724" t="inlineStr">
        <is>
          <t>Frete de venda (para clientes)</t>
        </is>
      </c>
      <c r="D724" t="inlineStr">
        <is>
          <t>CT-e</t>
        </is>
      </c>
      <c r="E724" t="inlineStr">
        <is>
          <t>000004498</t>
        </is>
      </c>
      <c r="F724" t="inlineStr">
        <is>
          <t>R&amp;R TRANSPORTE E LOGISTICA</t>
        </is>
      </c>
      <c r="G724" s="27" t="n">
        <v>45831</v>
      </c>
      <c r="H724" s="14" t="n">
        <v>21.79</v>
      </c>
      <c r="I724" s="14" t="n">
        <v>0</v>
      </c>
      <c r="J724" s="14" t="n">
        <v>0</v>
      </c>
      <c r="K724" s="14" t="n">
        <v>0</v>
      </c>
      <c r="L724" s="14" t="n">
        <v>0</v>
      </c>
      <c r="M724" s="14">
        <f>IF(B724="Frete de venda",0,(1-ISNUMBER(SEARCH("556",P724)))*(I724*VLOOKUP($B724,Premissas!$A$4:$E$7,2,0)+J724*VLOOKUP($B724,Premissas!$A$4:$E$7,3,0))+K724*VLOOKUP($B724,Premissas!$A$4:$E$7,4,0)+L724*VLOOKUP($B724,Premissas!$A$4:$E$7,5,0))</f>
        <v/>
      </c>
      <c r="N724" s="14">
        <f>H724-M724</f>
        <v/>
      </c>
      <c r="O724" t="inlineStr">
        <is>
          <t>Não</t>
        </is>
      </c>
      <c r="P724" t="inlineStr">
        <is>
          <t>1.350</t>
        </is>
      </c>
    </row>
    <row r="725">
      <c r="A725" t="inlineStr">
        <is>
          <t>Antes de 2026</t>
        </is>
      </c>
      <c r="B725" t="inlineStr">
        <is>
          <t>Frete de venda</t>
        </is>
      </c>
      <c r="C725" t="inlineStr">
        <is>
          <t>Frete de venda (para clientes)</t>
        </is>
      </c>
      <c r="D725" t="inlineStr">
        <is>
          <t>CT-e</t>
        </is>
      </c>
      <c r="E725" t="inlineStr">
        <is>
          <t>000005800</t>
        </is>
      </c>
      <c r="F725" t="inlineStr">
        <is>
          <t>R&amp;R TRANSPORTE E LOGISTICA</t>
        </is>
      </c>
      <c r="G725" s="27" t="n">
        <v>45981</v>
      </c>
      <c r="H725" s="14" t="n">
        <v>23.03</v>
      </c>
      <c r="I725" s="14" t="n">
        <v>0</v>
      </c>
      <c r="J725" s="14" t="n">
        <v>0</v>
      </c>
      <c r="K725" s="14" t="n">
        <v>0</v>
      </c>
      <c r="L725" s="14" t="n">
        <v>0</v>
      </c>
      <c r="M725" s="14">
        <f>IF(B725="Frete de venda",0,(1-ISNUMBER(SEARCH("556",P725)))*(I725*VLOOKUP($B725,Premissas!$A$4:$E$7,2,0)+J725*VLOOKUP($B725,Premissas!$A$4:$E$7,3,0))+K725*VLOOKUP($B725,Premissas!$A$4:$E$7,4,0)+L725*VLOOKUP($B725,Premissas!$A$4:$E$7,5,0))</f>
        <v/>
      </c>
      <c r="N725" s="14">
        <f>H725-M725</f>
        <v/>
      </c>
      <c r="O725" t="inlineStr">
        <is>
          <t>Não</t>
        </is>
      </c>
      <c r="P725" t="inlineStr">
        <is>
          <t>1.350</t>
        </is>
      </c>
    </row>
    <row r="726">
      <c r="A726" t="inlineStr">
        <is>
          <t>Antes de 2026</t>
        </is>
      </c>
      <c r="B726" t="inlineStr">
        <is>
          <t>Frete de venda</t>
        </is>
      </c>
      <c r="C726" t="inlineStr">
        <is>
          <t>Frete de venda (para clientes)</t>
        </is>
      </c>
      <c r="D726" t="inlineStr">
        <is>
          <t>CT-e</t>
        </is>
      </c>
      <c r="E726" t="inlineStr">
        <is>
          <t>000005160</t>
        </is>
      </c>
      <c r="F726" t="inlineStr">
        <is>
          <t>R&amp;R TRANSPORTE E LOGISTICA</t>
        </is>
      </c>
      <c r="G726" s="27" t="n">
        <v>45911</v>
      </c>
      <c r="H726" s="14" t="n">
        <v>46.58</v>
      </c>
      <c r="I726" s="14" t="n">
        <v>0</v>
      </c>
      <c r="J726" s="14" t="n">
        <v>0</v>
      </c>
      <c r="K726" s="14" t="n">
        <v>0</v>
      </c>
      <c r="L726" s="14" t="n">
        <v>0</v>
      </c>
      <c r="M726" s="14">
        <f>IF(B726="Frete de venda",0,(1-ISNUMBER(SEARCH("556",P726)))*(I726*VLOOKUP($B726,Premissas!$A$4:$E$7,2,0)+J726*VLOOKUP($B726,Premissas!$A$4:$E$7,3,0))+K726*VLOOKUP($B726,Premissas!$A$4:$E$7,4,0)+L726*VLOOKUP($B726,Premissas!$A$4:$E$7,5,0))</f>
        <v/>
      </c>
      <c r="N726" s="14">
        <f>H726-M726</f>
        <v/>
      </c>
      <c r="O726" t="inlineStr">
        <is>
          <t>Não</t>
        </is>
      </c>
      <c r="P726" t="inlineStr">
        <is>
          <t>1.350</t>
        </is>
      </c>
    </row>
    <row r="727">
      <c r="A727" t="inlineStr">
        <is>
          <t>Antes de 2026</t>
        </is>
      </c>
      <c r="B727" t="inlineStr">
        <is>
          <t>Frete de venda</t>
        </is>
      </c>
      <c r="C727" t="inlineStr">
        <is>
          <t>Frete de venda (para clientes)</t>
        </is>
      </c>
      <c r="D727" t="inlineStr">
        <is>
          <t>CT-e</t>
        </is>
      </c>
      <c r="E727" t="inlineStr">
        <is>
          <t>000005724</t>
        </is>
      </c>
      <c r="F727" t="inlineStr">
        <is>
          <t>R&amp;R TRANSPORTE E LOGISTICA</t>
        </is>
      </c>
      <c r="G727" s="27" t="n">
        <v>45974</v>
      </c>
      <c r="H727" s="14" t="n">
        <v>35</v>
      </c>
      <c r="I727" s="14" t="n">
        <v>0</v>
      </c>
      <c r="J727" s="14" t="n">
        <v>0</v>
      </c>
      <c r="K727" s="14" t="n">
        <v>0</v>
      </c>
      <c r="L727" s="14" t="n">
        <v>0</v>
      </c>
      <c r="M727" s="14">
        <f>IF(B727="Frete de venda",0,(1-ISNUMBER(SEARCH("556",P727)))*(I727*VLOOKUP($B727,Premissas!$A$4:$E$7,2,0)+J727*VLOOKUP($B727,Premissas!$A$4:$E$7,3,0))+K727*VLOOKUP($B727,Premissas!$A$4:$E$7,4,0)+L727*VLOOKUP($B727,Premissas!$A$4:$E$7,5,0))</f>
        <v/>
      </c>
      <c r="N727" s="14">
        <f>H727-M727</f>
        <v/>
      </c>
      <c r="O727" t="inlineStr">
        <is>
          <t>Não</t>
        </is>
      </c>
      <c r="P727" t="inlineStr">
        <is>
          <t>1.350</t>
        </is>
      </c>
    </row>
    <row r="728">
      <c r="A728" t="inlineStr">
        <is>
          <t>Antes de 2026</t>
        </is>
      </c>
      <c r="B728" t="inlineStr">
        <is>
          <t>Frete de venda</t>
        </is>
      </c>
      <c r="C728" t="inlineStr">
        <is>
          <t>Frete de venda (para clientes)</t>
        </is>
      </c>
      <c r="D728" t="inlineStr">
        <is>
          <t>CT-e</t>
        </is>
      </c>
      <c r="E728" t="inlineStr">
        <is>
          <t>000005016</t>
        </is>
      </c>
      <c r="F728" t="inlineStr">
        <is>
          <t>R&amp;R TRANSPORTE E LOGISTICA</t>
        </is>
      </c>
      <c r="G728" s="27" t="n">
        <v>45895</v>
      </c>
      <c r="H728" s="14" t="n">
        <v>13.8</v>
      </c>
      <c r="I728" s="14" t="n">
        <v>0</v>
      </c>
      <c r="J728" s="14" t="n">
        <v>0</v>
      </c>
      <c r="K728" s="14" t="n">
        <v>0</v>
      </c>
      <c r="L728" s="14" t="n">
        <v>0</v>
      </c>
      <c r="M728" s="14">
        <f>IF(B728="Frete de venda",0,(1-ISNUMBER(SEARCH("556",P728)))*(I728*VLOOKUP($B728,Premissas!$A$4:$E$7,2,0)+J728*VLOOKUP($B728,Premissas!$A$4:$E$7,3,0))+K728*VLOOKUP($B728,Premissas!$A$4:$E$7,4,0)+L728*VLOOKUP($B728,Premissas!$A$4:$E$7,5,0))</f>
        <v/>
      </c>
      <c r="N728" s="14">
        <f>H728-M728</f>
        <v/>
      </c>
      <c r="O728" t="inlineStr">
        <is>
          <t>Não</t>
        </is>
      </c>
      <c r="P728" t="inlineStr">
        <is>
          <t>1.350</t>
        </is>
      </c>
    </row>
    <row r="729">
      <c r="A729" t="inlineStr">
        <is>
          <t>Antes de 2026</t>
        </is>
      </c>
      <c r="B729" t="inlineStr">
        <is>
          <t>Frete de venda</t>
        </is>
      </c>
      <c r="C729" t="inlineStr">
        <is>
          <t>Frete de venda (para clientes)</t>
        </is>
      </c>
      <c r="D729" t="inlineStr">
        <is>
          <t>CT-e</t>
        </is>
      </c>
      <c r="E729" t="inlineStr">
        <is>
          <t>000005579</t>
        </is>
      </c>
      <c r="F729" t="inlineStr">
        <is>
          <t>R&amp;R TRANSPORTE E LOGISTICA</t>
        </is>
      </c>
      <c r="G729" s="27" t="n">
        <v>45957</v>
      </c>
      <c r="H729" s="14" t="n">
        <v>23.57</v>
      </c>
      <c r="I729" s="14" t="n">
        <v>0</v>
      </c>
      <c r="J729" s="14" t="n">
        <v>0</v>
      </c>
      <c r="K729" s="14" t="n">
        <v>0</v>
      </c>
      <c r="L729" s="14" t="n">
        <v>0</v>
      </c>
      <c r="M729" s="14">
        <f>IF(B729="Frete de venda",0,(1-ISNUMBER(SEARCH("556",P729)))*(I729*VLOOKUP($B729,Premissas!$A$4:$E$7,2,0)+J729*VLOOKUP($B729,Premissas!$A$4:$E$7,3,0))+K729*VLOOKUP($B729,Premissas!$A$4:$E$7,4,0)+L729*VLOOKUP($B729,Premissas!$A$4:$E$7,5,0))</f>
        <v/>
      </c>
      <c r="N729" s="14">
        <f>H729-M729</f>
        <v/>
      </c>
      <c r="O729" t="inlineStr">
        <is>
          <t>Não</t>
        </is>
      </c>
      <c r="P729" t="inlineStr">
        <is>
          <t>1.350</t>
        </is>
      </c>
    </row>
    <row r="730">
      <c r="A730" t="inlineStr">
        <is>
          <t>Antes de 2026</t>
        </is>
      </c>
      <c r="B730" t="inlineStr">
        <is>
          <t>Frete de venda</t>
        </is>
      </c>
      <c r="C730" t="inlineStr">
        <is>
          <t>Frete de venda (para clientes)</t>
        </is>
      </c>
      <c r="D730" t="inlineStr">
        <is>
          <t>CT-e</t>
        </is>
      </c>
      <c r="E730" t="inlineStr">
        <is>
          <t>000004323</t>
        </is>
      </c>
      <c r="F730" t="inlineStr">
        <is>
          <t>R&amp;R TRANSPORTE E LOGISTICA</t>
        </is>
      </c>
      <c r="G730" s="27" t="n">
        <v>45806</v>
      </c>
      <c r="H730" s="14" t="n">
        <v>28.92</v>
      </c>
      <c r="I730" s="14" t="n">
        <v>0</v>
      </c>
      <c r="J730" s="14" t="n">
        <v>0</v>
      </c>
      <c r="K730" s="14" t="n">
        <v>0</v>
      </c>
      <c r="L730" s="14" t="n">
        <v>0</v>
      </c>
      <c r="M730" s="14">
        <f>IF(B730="Frete de venda",0,(1-ISNUMBER(SEARCH("556",P730)))*(I730*VLOOKUP($B730,Premissas!$A$4:$E$7,2,0)+J730*VLOOKUP($B730,Premissas!$A$4:$E$7,3,0))+K730*VLOOKUP($B730,Premissas!$A$4:$E$7,4,0)+L730*VLOOKUP($B730,Premissas!$A$4:$E$7,5,0))</f>
        <v/>
      </c>
      <c r="N730" s="14">
        <f>H730-M730</f>
        <v/>
      </c>
      <c r="O730" t="inlineStr">
        <is>
          <t>Não</t>
        </is>
      </c>
      <c r="P730" t="inlineStr">
        <is>
          <t>1.350</t>
        </is>
      </c>
    </row>
    <row r="731">
      <c r="A731" t="inlineStr">
        <is>
          <t>Antes de 2026</t>
        </is>
      </c>
      <c r="B731" t="inlineStr">
        <is>
          <t>Frete de venda</t>
        </is>
      </c>
      <c r="C731" t="inlineStr">
        <is>
          <t>Frete de venda (para clientes)</t>
        </is>
      </c>
      <c r="D731" t="inlineStr">
        <is>
          <t>CT-e</t>
        </is>
      </c>
      <c r="E731" t="inlineStr">
        <is>
          <t>000004380</t>
        </is>
      </c>
      <c r="F731" t="inlineStr">
        <is>
          <t>R&amp;R TRANSPORTE E LOGISTICA</t>
        </is>
      </c>
      <c r="G731" s="27" t="n">
        <v>45812</v>
      </c>
      <c r="H731" s="14" t="n">
        <v>18.29</v>
      </c>
      <c r="I731" s="14" t="n">
        <v>0</v>
      </c>
      <c r="J731" s="14" t="n">
        <v>0</v>
      </c>
      <c r="K731" s="14" t="n">
        <v>0</v>
      </c>
      <c r="L731" s="14" t="n">
        <v>0</v>
      </c>
      <c r="M731" s="14">
        <f>IF(B731="Frete de venda",0,(1-ISNUMBER(SEARCH("556",P731)))*(I731*VLOOKUP($B731,Premissas!$A$4:$E$7,2,0)+J731*VLOOKUP($B731,Premissas!$A$4:$E$7,3,0))+K731*VLOOKUP($B731,Premissas!$A$4:$E$7,4,0)+L731*VLOOKUP($B731,Premissas!$A$4:$E$7,5,0))</f>
        <v/>
      </c>
      <c r="N731" s="14">
        <f>H731-M731</f>
        <v/>
      </c>
      <c r="O731" t="inlineStr">
        <is>
          <t>Não</t>
        </is>
      </c>
      <c r="P731" t="inlineStr">
        <is>
          <t>1.350</t>
        </is>
      </c>
    </row>
    <row r="732">
      <c r="A732" t="inlineStr">
        <is>
          <t>Antes de 2026</t>
        </is>
      </c>
      <c r="B732" t="inlineStr">
        <is>
          <t>Frete de venda</t>
        </is>
      </c>
      <c r="C732" t="inlineStr">
        <is>
          <t>Frete de venda (para clientes)</t>
        </is>
      </c>
      <c r="D732" t="inlineStr">
        <is>
          <t>CT-e</t>
        </is>
      </c>
      <c r="E732" t="inlineStr">
        <is>
          <t>000004900</t>
        </is>
      </c>
      <c r="F732" t="inlineStr">
        <is>
          <t>R&amp;R TRANSPORTE E LOGISTICA</t>
        </is>
      </c>
      <c r="G732" s="27" t="n">
        <v>45881</v>
      </c>
      <c r="H732" s="14" t="n">
        <v>27.22</v>
      </c>
      <c r="I732" s="14" t="n">
        <v>0</v>
      </c>
      <c r="J732" s="14" t="n">
        <v>0</v>
      </c>
      <c r="K732" s="14" t="n">
        <v>0</v>
      </c>
      <c r="L732" s="14" t="n">
        <v>0</v>
      </c>
      <c r="M732" s="14">
        <f>IF(B732="Frete de venda",0,(1-ISNUMBER(SEARCH("556",P732)))*(I732*VLOOKUP($B732,Premissas!$A$4:$E$7,2,0)+J732*VLOOKUP($B732,Premissas!$A$4:$E$7,3,0))+K732*VLOOKUP($B732,Premissas!$A$4:$E$7,4,0)+L732*VLOOKUP($B732,Premissas!$A$4:$E$7,5,0))</f>
        <v/>
      </c>
      <c r="N732" s="14">
        <f>H732-M732</f>
        <v/>
      </c>
      <c r="O732" t="inlineStr">
        <is>
          <t>Não</t>
        </is>
      </c>
      <c r="P732" t="inlineStr">
        <is>
          <t>1.350</t>
        </is>
      </c>
    </row>
    <row r="733">
      <c r="A733" t="inlineStr">
        <is>
          <t>Antes de 2026</t>
        </is>
      </c>
      <c r="B733" t="inlineStr">
        <is>
          <t>Frete de venda</t>
        </is>
      </c>
      <c r="C733" t="inlineStr">
        <is>
          <t>Frete de venda (para clientes)</t>
        </is>
      </c>
      <c r="D733" t="inlineStr">
        <is>
          <t>CT-e</t>
        </is>
      </c>
      <c r="E733" t="inlineStr">
        <is>
          <t>000004741</t>
        </is>
      </c>
      <c r="F733" t="inlineStr">
        <is>
          <t>R&amp;R TRANSPORTE E LOGISTICA</t>
        </is>
      </c>
      <c r="G733" s="27" t="n">
        <v>45863</v>
      </c>
      <c r="H733" s="14" t="n">
        <v>30.39</v>
      </c>
      <c r="I733" s="14" t="n">
        <v>0</v>
      </c>
      <c r="J733" s="14" t="n">
        <v>0</v>
      </c>
      <c r="K733" s="14" t="n">
        <v>0</v>
      </c>
      <c r="L733" s="14" t="n">
        <v>0</v>
      </c>
      <c r="M733" s="14">
        <f>IF(B733="Frete de venda",0,(1-ISNUMBER(SEARCH("556",P733)))*(I733*VLOOKUP($B733,Premissas!$A$4:$E$7,2,0)+J733*VLOOKUP($B733,Premissas!$A$4:$E$7,3,0))+K733*VLOOKUP($B733,Premissas!$A$4:$E$7,4,0)+L733*VLOOKUP($B733,Premissas!$A$4:$E$7,5,0))</f>
        <v/>
      </c>
      <c r="N733" s="14">
        <f>H733-M733</f>
        <v/>
      </c>
      <c r="O733" t="inlineStr">
        <is>
          <t>Não</t>
        </is>
      </c>
      <c r="P733" t="inlineStr">
        <is>
          <t>1.350</t>
        </is>
      </c>
    </row>
    <row r="734">
      <c r="A734" t="inlineStr">
        <is>
          <t>Antes de 2026</t>
        </is>
      </c>
      <c r="B734" t="inlineStr">
        <is>
          <t>Frete de venda</t>
        </is>
      </c>
      <c r="C734" t="inlineStr">
        <is>
          <t>Frete de venda (para clientes)</t>
        </is>
      </c>
      <c r="D734" t="inlineStr">
        <is>
          <t>CT-e</t>
        </is>
      </c>
      <c r="E734" t="inlineStr">
        <is>
          <t>000005683</t>
        </is>
      </c>
      <c r="F734" t="inlineStr">
        <is>
          <t>R&amp;R TRANSPORTE E LOGISTICA</t>
        </is>
      </c>
      <c r="G734" s="27" t="n">
        <v>45967</v>
      </c>
      <c r="H734" s="14" t="n">
        <v>15</v>
      </c>
      <c r="I734" s="14" t="n">
        <v>0</v>
      </c>
      <c r="J734" s="14" t="n">
        <v>0</v>
      </c>
      <c r="K734" s="14" t="n">
        <v>0</v>
      </c>
      <c r="L734" s="14" t="n">
        <v>0</v>
      </c>
      <c r="M734" s="14">
        <f>IF(B734="Frete de venda",0,(1-ISNUMBER(SEARCH("556",P734)))*(I734*VLOOKUP($B734,Premissas!$A$4:$E$7,2,0)+J734*VLOOKUP($B734,Premissas!$A$4:$E$7,3,0))+K734*VLOOKUP($B734,Premissas!$A$4:$E$7,4,0)+L734*VLOOKUP($B734,Premissas!$A$4:$E$7,5,0))</f>
        <v/>
      </c>
      <c r="N734" s="14">
        <f>H734-M734</f>
        <v/>
      </c>
      <c r="O734" t="inlineStr">
        <is>
          <t>Não</t>
        </is>
      </c>
      <c r="P734" t="inlineStr">
        <is>
          <t>1.350</t>
        </is>
      </c>
    </row>
    <row r="735">
      <c r="A735" t="inlineStr">
        <is>
          <t>Antes de 2026</t>
        </is>
      </c>
      <c r="B735" t="inlineStr">
        <is>
          <t>Frete de venda</t>
        </is>
      </c>
      <c r="C735" t="inlineStr">
        <is>
          <t>Frete de venda (para clientes)</t>
        </is>
      </c>
      <c r="D735" t="inlineStr">
        <is>
          <t>CT-e</t>
        </is>
      </c>
      <c r="E735" t="inlineStr">
        <is>
          <t>000004572</t>
        </is>
      </c>
      <c r="F735" t="inlineStr">
        <is>
          <t>R&amp;R TRANSPORTE E LOGISTICA</t>
        </is>
      </c>
      <c r="G735" s="27" t="n">
        <v>45841</v>
      </c>
      <c r="H735" s="14" t="n">
        <v>46.77</v>
      </c>
      <c r="I735" s="14" t="n">
        <v>0</v>
      </c>
      <c r="J735" s="14" t="n">
        <v>0</v>
      </c>
      <c r="K735" s="14" t="n">
        <v>0</v>
      </c>
      <c r="L735" s="14" t="n">
        <v>0</v>
      </c>
      <c r="M735" s="14">
        <f>IF(B735="Frete de venda",0,(1-ISNUMBER(SEARCH("556",P735)))*(I735*VLOOKUP($B735,Premissas!$A$4:$E$7,2,0)+J735*VLOOKUP($B735,Premissas!$A$4:$E$7,3,0))+K735*VLOOKUP($B735,Premissas!$A$4:$E$7,4,0)+L735*VLOOKUP($B735,Premissas!$A$4:$E$7,5,0))</f>
        <v/>
      </c>
      <c r="N735" s="14">
        <f>H735-M735</f>
        <v/>
      </c>
      <c r="O735" t="inlineStr">
        <is>
          <t>Não</t>
        </is>
      </c>
      <c r="P735" t="inlineStr">
        <is>
          <t>1.350</t>
        </is>
      </c>
    </row>
    <row r="736">
      <c r="A736" t="inlineStr">
        <is>
          <t>Antes de 2026</t>
        </is>
      </c>
      <c r="B736" t="inlineStr">
        <is>
          <t>Frete de venda</t>
        </is>
      </c>
      <c r="C736" t="inlineStr">
        <is>
          <t>Frete de venda (para clientes)</t>
        </is>
      </c>
      <c r="D736" t="inlineStr">
        <is>
          <t>CT-e</t>
        </is>
      </c>
      <c r="E736" t="inlineStr">
        <is>
          <t>000005238</t>
        </is>
      </c>
      <c r="F736" t="inlineStr">
        <is>
          <t>R&amp;R TRANSPORTE E LOGISTICA</t>
        </is>
      </c>
      <c r="G736" s="27" t="n">
        <v>45918</v>
      </c>
      <c r="H736" s="14" t="n">
        <v>52.1</v>
      </c>
      <c r="I736" s="14" t="n">
        <v>0</v>
      </c>
      <c r="J736" s="14" t="n">
        <v>0</v>
      </c>
      <c r="K736" s="14" t="n">
        <v>0</v>
      </c>
      <c r="L736" s="14" t="n">
        <v>0</v>
      </c>
      <c r="M736" s="14">
        <f>IF(B736="Frete de venda",0,(1-ISNUMBER(SEARCH("556",P736)))*(I736*VLOOKUP($B736,Premissas!$A$4:$E$7,2,0)+J736*VLOOKUP($B736,Premissas!$A$4:$E$7,3,0))+K736*VLOOKUP($B736,Premissas!$A$4:$E$7,4,0)+L736*VLOOKUP($B736,Premissas!$A$4:$E$7,5,0))</f>
        <v/>
      </c>
      <c r="N736" s="14">
        <f>H736-M736</f>
        <v/>
      </c>
      <c r="O736" t="inlineStr">
        <is>
          <t>Não</t>
        </is>
      </c>
      <c r="P736" t="inlineStr">
        <is>
          <t>1.350</t>
        </is>
      </c>
    </row>
    <row r="737">
      <c r="A737" t="inlineStr">
        <is>
          <t>Antes de 2026</t>
        </is>
      </c>
      <c r="B737" t="inlineStr">
        <is>
          <t>Frete de venda</t>
        </is>
      </c>
      <c r="C737" t="inlineStr">
        <is>
          <t>Frete de venda (para clientes)</t>
        </is>
      </c>
      <c r="D737" t="inlineStr">
        <is>
          <t>CT-e</t>
        </is>
      </c>
      <c r="E737" t="inlineStr">
        <is>
          <t>000005420</t>
        </is>
      </c>
      <c r="F737" t="inlineStr">
        <is>
          <t>R&amp;R TRANSPORTE E LOGISTICA</t>
        </is>
      </c>
      <c r="G737" s="27" t="n">
        <v>45939</v>
      </c>
      <c r="H737" s="14" t="n">
        <v>45.38</v>
      </c>
      <c r="I737" s="14" t="n">
        <v>0</v>
      </c>
      <c r="J737" s="14" t="n">
        <v>0</v>
      </c>
      <c r="K737" s="14" t="n">
        <v>0</v>
      </c>
      <c r="L737" s="14" t="n">
        <v>0</v>
      </c>
      <c r="M737" s="14">
        <f>IF(B737="Frete de venda",0,(1-ISNUMBER(SEARCH("556",P737)))*(I737*VLOOKUP($B737,Premissas!$A$4:$E$7,2,0)+J737*VLOOKUP($B737,Premissas!$A$4:$E$7,3,0))+K737*VLOOKUP($B737,Premissas!$A$4:$E$7,4,0)+L737*VLOOKUP($B737,Premissas!$A$4:$E$7,5,0))</f>
        <v/>
      </c>
      <c r="N737" s="14">
        <f>H737-M737</f>
        <v/>
      </c>
      <c r="O737" t="inlineStr">
        <is>
          <t>Não</t>
        </is>
      </c>
      <c r="P737" t="inlineStr">
        <is>
          <t>1.350</t>
        </is>
      </c>
    </row>
    <row r="738">
      <c r="A738" t="inlineStr">
        <is>
          <t>Antes de 2026</t>
        </is>
      </c>
      <c r="B738" t="inlineStr">
        <is>
          <t>Frete de venda</t>
        </is>
      </c>
      <c r="C738" t="inlineStr">
        <is>
          <t>Frete de venda (para clientes)</t>
        </is>
      </c>
      <c r="D738" t="inlineStr">
        <is>
          <t>CT-e</t>
        </is>
      </c>
      <c r="E738" t="inlineStr">
        <is>
          <t>000004713</t>
        </is>
      </c>
      <c r="F738" t="inlineStr">
        <is>
          <t>R&amp;R TRANSPORTE E LOGISTICA</t>
        </is>
      </c>
      <c r="G738" s="27" t="n">
        <v>45860</v>
      </c>
      <c r="H738" s="14" t="n">
        <v>32.86</v>
      </c>
      <c r="I738" s="14" t="n">
        <v>0</v>
      </c>
      <c r="J738" s="14" t="n">
        <v>0</v>
      </c>
      <c r="K738" s="14" t="n">
        <v>0</v>
      </c>
      <c r="L738" s="14" t="n">
        <v>0</v>
      </c>
      <c r="M738" s="14">
        <f>IF(B738="Frete de venda",0,(1-ISNUMBER(SEARCH("556",P738)))*(I738*VLOOKUP($B738,Premissas!$A$4:$E$7,2,0)+J738*VLOOKUP($B738,Premissas!$A$4:$E$7,3,0))+K738*VLOOKUP($B738,Premissas!$A$4:$E$7,4,0)+L738*VLOOKUP($B738,Premissas!$A$4:$E$7,5,0))</f>
        <v/>
      </c>
      <c r="N738" s="14">
        <f>H738-M738</f>
        <v/>
      </c>
      <c r="O738" t="inlineStr">
        <is>
          <t>Não</t>
        </is>
      </c>
      <c r="P738" t="inlineStr">
        <is>
          <t>1.350</t>
        </is>
      </c>
    </row>
    <row r="739">
      <c r="A739" t="inlineStr">
        <is>
          <t>Antes de 2026</t>
        </is>
      </c>
      <c r="B739" t="inlineStr">
        <is>
          <t>Frete de venda</t>
        </is>
      </c>
      <c r="C739" t="inlineStr">
        <is>
          <t>Frete de venda (para clientes)</t>
        </is>
      </c>
      <c r="D739" t="inlineStr">
        <is>
          <t>CT-e</t>
        </is>
      </c>
      <c r="E739" t="inlineStr">
        <is>
          <t>000005536</t>
        </is>
      </c>
      <c r="F739" t="inlineStr">
        <is>
          <t>R&amp;R TRANSPORTE E LOGISTICA</t>
        </is>
      </c>
      <c r="G739" s="27" t="n">
        <v>45953</v>
      </c>
      <c r="H739" s="14" t="n">
        <v>24.51</v>
      </c>
      <c r="I739" s="14" t="n">
        <v>0</v>
      </c>
      <c r="J739" s="14" t="n">
        <v>0</v>
      </c>
      <c r="K739" s="14" t="n">
        <v>0</v>
      </c>
      <c r="L739" s="14" t="n">
        <v>0</v>
      </c>
      <c r="M739" s="14">
        <f>IF(B739="Frete de venda",0,(1-ISNUMBER(SEARCH("556",P739)))*(I739*VLOOKUP($B739,Premissas!$A$4:$E$7,2,0)+J739*VLOOKUP($B739,Premissas!$A$4:$E$7,3,0))+K739*VLOOKUP($B739,Premissas!$A$4:$E$7,4,0)+L739*VLOOKUP($B739,Premissas!$A$4:$E$7,5,0))</f>
        <v/>
      </c>
      <c r="N739" s="14">
        <f>H739-M739</f>
        <v/>
      </c>
      <c r="O739" t="inlineStr">
        <is>
          <t>Não</t>
        </is>
      </c>
      <c r="P739" t="inlineStr">
        <is>
          <t>1.350</t>
        </is>
      </c>
    </row>
    <row r="740">
      <c r="A740" t="inlineStr">
        <is>
          <t>Antes de 2026</t>
        </is>
      </c>
      <c r="B740" t="inlineStr">
        <is>
          <t>Frete de venda</t>
        </is>
      </c>
      <c r="C740" t="inlineStr">
        <is>
          <t>Frete de venda (para clientes)</t>
        </is>
      </c>
      <c r="D740" t="inlineStr">
        <is>
          <t>CT-e</t>
        </is>
      </c>
      <c r="E740" t="inlineStr">
        <is>
          <t>000004709</t>
        </is>
      </c>
      <c r="F740" t="inlineStr">
        <is>
          <t>R&amp;R TRANSPORTE E LOGISTICA</t>
        </is>
      </c>
      <c r="G740" s="27" t="n">
        <v>45860</v>
      </c>
      <c r="H740" s="14" t="n">
        <v>26.47</v>
      </c>
      <c r="I740" s="14" t="n">
        <v>0</v>
      </c>
      <c r="J740" s="14" t="n">
        <v>0</v>
      </c>
      <c r="K740" s="14" t="n">
        <v>0</v>
      </c>
      <c r="L740" s="14" t="n">
        <v>0</v>
      </c>
      <c r="M740" s="14">
        <f>IF(B740="Frete de venda",0,(1-ISNUMBER(SEARCH("556",P740)))*(I740*VLOOKUP($B740,Premissas!$A$4:$E$7,2,0)+J740*VLOOKUP($B740,Premissas!$A$4:$E$7,3,0))+K740*VLOOKUP($B740,Premissas!$A$4:$E$7,4,0)+L740*VLOOKUP($B740,Premissas!$A$4:$E$7,5,0))</f>
        <v/>
      </c>
      <c r="N740" s="14">
        <f>H740-M740</f>
        <v/>
      </c>
      <c r="O740" t="inlineStr">
        <is>
          <t>Não</t>
        </is>
      </c>
      <c r="P740" t="inlineStr">
        <is>
          <t>1.350</t>
        </is>
      </c>
    </row>
    <row r="741">
      <c r="A741" t="inlineStr">
        <is>
          <t>Antes de 2026</t>
        </is>
      </c>
      <c r="B741" t="inlineStr">
        <is>
          <t>Frete de venda</t>
        </is>
      </c>
      <c r="C741" t="inlineStr">
        <is>
          <t>Frete de venda (para clientes)</t>
        </is>
      </c>
      <c r="D741" t="inlineStr">
        <is>
          <t>CT-e</t>
        </is>
      </c>
      <c r="E741" t="inlineStr">
        <is>
          <t>000005532</t>
        </is>
      </c>
      <c r="F741" t="inlineStr">
        <is>
          <t>R&amp;R TRANSPORTE E LOGISTICA</t>
        </is>
      </c>
      <c r="G741" s="27" t="n">
        <v>45953</v>
      </c>
      <c r="H741" s="14" t="n">
        <v>21.19</v>
      </c>
      <c r="I741" s="14" t="n">
        <v>0</v>
      </c>
      <c r="J741" s="14" t="n">
        <v>0</v>
      </c>
      <c r="K741" s="14" t="n">
        <v>0</v>
      </c>
      <c r="L741" s="14" t="n">
        <v>0</v>
      </c>
      <c r="M741" s="14">
        <f>IF(B741="Frete de venda",0,(1-ISNUMBER(SEARCH("556",P741)))*(I741*VLOOKUP($B741,Premissas!$A$4:$E$7,2,0)+J741*VLOOKUP($B741,Premissas!$A$4:$E$7,3,0))+K741*VLOOKUP($B741,Premissas!$A$4:$E$7,4,0)+L741*VLOOKUP($B741,Premissas!$A$4:$E$7,5,0))</f>
        <v/>
      </c>
      <c r="N741" s="14">
        <f>H741-M741</f>
        <v/>
      </c>
      <c r="O741" t="inlineStr">
        <is>
          <t>Não</t>
        </is>
      </c>
      <c r="P741" t="inlineStr">
        <is>
          <t>1.350</t>
        </is>
      </c>
    </row>
    <row r="742">
      <c r="A742" t="inlineStr">
        <is>
          <t>Antes de 2026</t>
        </is>
      </c>
      <c r="B742" t="inlineStr">
        <is>
          <t>Frete de venda</t>
        </is>
      </c>
      <c r="C742" t="inlineStr">
        <is>
          <t>Frete de venda (para clientes)</t>
        </is>
      </c>
      <c r="D742" t="inlineStr">
        <is>
          <t>CT-e</t>
        </is>
      </c>
      <c r="E742" t="inlineStr">
        <is>
          <t>000004486</t>
        </is>
      </c>
      <c r="F742" t="inlineStr">
        <is>
          <t>R&amp;R TRANSPORTE E LOGISTICA</t>
        </is>
      </c>
      <c r="G742" s="27" t="n">
        <v>45831</v>
      </c>
      <c r="H742" s="14" t="n">
        <v>25.78</v>
      </c>
      <c r="I742" s="14" t="n">
        <v>0</v>
      </c>
      <c r="J742" s="14" t="n">
        <v>0</v>
      </c>
      <c r="K742" s="14" t="n">
        <v>0</v>
      </c>
      <c r="L742" s="14" t="n">
        <v>0</v>
      </c>
      <c r="M742" s="14">
        <f>IF(B742="Frete de venda",0,(1-ISNUMBER(SEARCH("556",P742)))*(I742*VLOOKUP($B742,Premissas!$A$4:$E$7,2,0)+J742*VLOOKUP($B742,Premissas!$A$4:$E$7,3,0))+K742*VLOOKUP($B742,Premissas!$A$4:$E$7,4,0)+L742*VLOOKUP($B742,Premissas!$A$4:$E$7,5,0))</f>
        <v/>
      </c>
      <c r="N742" s="14">
        <f>H742-M742</f>
        <v/>
      </c>
      <c r="O742" t="inlineStr">
        <is>
          <t>Não</t>
        </is>
      </c>
      <c r="P742" t="inlineStr">
        <is>
          <t>1.350</t>
        </is>
      </c>
    </row>
    <row r="743">
      <c r="A743" t="inlineStr">
        <is>
          <t>Antes de 2026</t>
        </is>
      </c>
      <c r="B743" t="inlineStr">
        <is>
          <t>Frete de venda</t>
        </is>
      </c>
      <c r="C743" t="inlineStr">
        <is>
          <t>Frete de venda (para clientes)</t>
        </is>
      </c>
      <c r="D743" t="inlineStr">
        <is>
          <t>CT-e</t>
        </is>
      </c>
      <c r="E743" t="inlineStr">
        <is>
          <t>000005030</t>
        </is>
      </c>
      <c r="F743" t="inlineStr">
        <is>
          <t>R&amp;R TRANSPORTE E LOGISTICA</t>
        </is>
      </c>
      <c r="G743" s="27" t="n">
        <v>45895</v>
      </c>
      <c r="H743" s="14" t="n">
        <v>16.61</v>
      </c>
      <c r="I743" s="14" t="n">
        <v>0</v>
      </c>
      <c r="J743" s="14" t="n">
        <v>0</v>
      </c>
      <c r="K743" s="14" t="n">
        <v>0</v>
      </c>
      <c r="L743" s="14" t="n">
        <v>0</v>
      </c>
      <c r="M743" s="14">
        <f>IF(B743="Frete de venda",0,(1-ISNUMBER(SEARCH("556",P743)))*(I743*VLOOKUP($B743,Premissas!$A$4:$E$7,2,0)+J743*VLOOKUP($B743,Premissas!$A$4:$E$7,3,0))+K743*VLOOKUP($B743,Premissas!$A$4:$E$7,4,0)+L743*VLOOKUP($B743,Premissas!$A$4:$E$7,5,0))</f>
        <v/>
      </c>
      <c r="N743" s="14">
        <f>H743-M743</f>
        <v/>
      </c>
      <c r="O743" t="inlineStr">
        <is>
          <t>Não</t>
        </is>
      </c>
      <c r="P743" t="inlineStr">
        <is>
          <t>1.350</t>
        </is>
      </c>
    </row>
    <row r="744">
      <c r="A744" t="inlineStr">
        <is>
          <t>Antes de 2026</t>
        </is>
      </c>
      <c r="B744" t="inlineStr">
        <is>
          <t>Frete de venda</t>
        </is>
      </c>
      <c r="C744" t="inlineStr">
        <is>
          <t>Frete de venda (para clientes)</t>
        </is>
      </c>
      <c r="D744" t="inlineStr">
        <is>
          <t>CT-e</t>
        </is>
      </c>
      <c r="E744" t="inlineStr">
        <is>
          <t>000005330</t>
        </is>
      </c>
      <c r="F744" t="inlineStr">
        <is>
          <t>R&amp;R TRANSPORTE E LOGISTICA</t>
        </is>
      </c>
      <c r="G744" s="27" t="n">
        <v>45929</v>
      </c>
      <c r="H744" s="14" t="n">
        <v>21.74</v>
      </c>
      <c r="I744" s="14" t="n">
        <v>0</v>
      </c>
      <c r="J744" s="14" t="n">
        <v>0</v>
      </c>
      <c r="K744" s="14" t="n">
        <v>0</v>
      </c>
      <c r="L744" s="14" t="n">
        <v>0</v>
      </c>
      <c r="M744" s="14">
        <f>IF(B744="Frete de venda",0,(1-ISNUMBER(SEARCH("556",P744)))*(I744*VLOOKUP($B744,Premissas!$A$4:$E$7,2,0)+J744*VLOOKUP($B744,Premissas!$A$4:$E$7,3,0))+K744*VLOOKUP($B744,Premissas!$A$4:$E$7,4,0)+L744*VLOOKUP($B744,Premissas!$A$4:$E$7,5,0))</f>
        <v/>
      </c>
      <c r="N744" s="14">
        <f>H744-M744</f>
        <v/>
      </c>
      <c r="O744" t="inlineStr">
        <is>
          <t>Não</t>
        </is>
      </c>
      <c r="P744" t="inlineStr">
        <is>
          <t>1.350</t>
        </is>
      </c>
    </row>
    <row r="745">
      <c r="A745" t="inlineStr">
        <is>
          <t>Antes de 2026</t>
        </is>
      </c>
      <c r="B745" t="inlineStr">
        <is>
          <t>Frete de venda</t>
        </is>
      </c>
      <c r="C745" t="inlineStr">
        <is>
          <t>Frete de venda (para clientes)</t>
        </is>
      </c>
      <c r="D745" t="inlineStr">
        <is>
          <t>CT-e</t>
        </is>
      </c>
      <c r="E745" t="inlineStr">
        <is>
          <t>000005795</t>
        </is>
      </c>
      <c r="F745" t="inlineStr">
        <is>
          <t>R&amp;R TRANSPORTE E LOGISTICA</t>
        </is>
      </c>
      <c r="G745" s="27" t="n">
        <v>45981</v>
      </c>
      <c r="H745" s="14" t="n">
        <v>51.64</v>
      </c>
      <c r="I745" s="14" t="n">
        <v>0</v>
      </c>
      <c r="J745" s="14" t="n">
        <v>0</v>
      </c>
      <c r="K745" s="14" t="n">
        <v>0</v>
      </c>
      <c r="L745" s="14" t="n">
        <v>0</v>
      </c>
      <c r="M745" s="14">
        <f>IF(B745="Frete de venda",0,(1-ISNUMBER(SEARCH("556",P745)))*(I745*VLOOKUP($B745,Premissas!$A$4:$E$7,2,0)+J745*VLOOKUP($B745,Premissas!$A$4:$E$7,3,0))+K745*VLOOKUP($B745,Premissas!$A$4:$E$7,4,0)+L745*VLOOKUP($B745,Premissas!$A$4:$E$7,5,0))</f>
        <v/>
      </c>
      <c r="N745" s="14">
        <f>H745-M745</f>
        <v/>
      </c>
      <c r="O745" t="inlineStr">
        <is>
          <t>Não</t>
        </is>
      </c>
      <c r="P745" t="inlineStr">
        <is>
          <t>1.350</t>
        </is>
      </c>
    </row>
    <row r="746">
      <c r="A746" t="inlineStr">
        <is>
          <t>Antes de 2026</t>
        </is>
      </c>
      <c r="B746" t="inlineStr">
        <is>
          <t>Frete de venda</t>
        </is>
      </c>
      <c r="C746" t="inlineStr">
        <is>
          <t>Frete de venda (para clientes)</t>
        </is>
      </c>
      <c r="D746" t="inlineStr">
        <is>
          <t>CT-e</t>
        </is>
      </c>
      <c r="E746" t="inlineStr">
        <is>
          <t>000004534</t>
        </is>
      </c>
      <c r="F746" t="inlineStr">
        <is>
          <t>R&amp;R TRANSPORTE E LOGISTICA</t>
        </is>
      </c>
      <c r="G746" s="27" t="n">
        <v>45835</v>
      </c>
      <c r="H746" s="14" t="n">
        <v>56.24</v>
      </c>
      <c r="I746" s="14" t="n">
        <v>0</v>
      </c>
      <c r="J746" s="14" t="n">
        <v>0</v>
      </c>
      <c r="K746" s="14" t="n">
        <v>0</v>
      </c>
      <c r="L746" s="14" t="n">
        <v>0</v>
      </c>
      <c r="M746" s="14">
        <f>IF(B746="Frete de venda",0,(1-ISNUMBER(SEARCH("556",P746)))*(I746*VLOOKUP($B746,Premissas!$A$4:$E$7,2,0)+J746*VLOOKUP($B746,Premissas!$A$4:$E$7,3,0))+K746*VLOOKUP($B746,Premissas!$A$4:$E$7,4,0)+L746*VLOOKUP($B746,Premissas!$A$4:$E$7,5,0))</f>
        <v/>
      </c>
      <c r="N746" s="14">
        <f>H746-M746</f>
        <v/>
      </c>
      <c r="O746" t="inlineStr">
        <is>
          <t>Não</t>
        </is>
      </c>
      <c r="P746" t="inlineStr">
        <is>
          <t>1.350</t>
        </is>
      </c>
    </row>
    <row r="747">
      <c r="A747" t="inlineStr">
        <is>
          <t>Antes de 2026</t>
        </is>
      </c>
      <c r="B747" t="inlineStr">
        <is>
          <t>Frete de venda</t>
        </is>
      </c>
      <c r="C747" t="inlineStr">
        <is>
          <t>Frete de venda (para clientes)</t>
        </is>
      </c>
      <c r="D747" t="inlineStr">
        <is>
          <t>CT-e</t>
        </is>
      </c>
      <c r="E747" t="inlineStr">
        <is>
          <t>000004930</t>
        </is>
      </c>
      <c r="F747" t="inlineStr">
        <is>
          <t>R&amp;R TRANSPORTE E LOGISTICA</t>
        </is>
      </c>
      <c r="G747" s="27" t="n">
        <v>45884</v>
      </c>
      <c r="H747" s="14" t="n">
        <v>11.13</v>
      </c>
      <c r="I747" s="14" t="n">
        <v>0</v>
      </c>
      <c r="J747" s="14" t="n">
        <v>0</v>
      </c>
      <c r="K747" s="14" t="n">
        <v>0</v>
      </c>
      <c r="L747" s="14" t="n">
        <v>0</v>
      </c>
      <c r="M747" s="14">
        <f>IF(B747="Frete de venda",0,(1-ISNUMBER(SEARCH("556",P747)))*(I747*VLOOKUP($B747,Premissas!$A$4:$E$7,2,0)+J747*VLOOKUP($B747,Premissas!$A$4:$E$7,3,0))+K747*VLOOKUP($B747,Premissas!$A$4:$E$7,4,0)+L747*VLOOKUP($B747,Premissas!$A$4:$E$7,5,0))</f>
        <v/>
      </c>
      <c r="N747" s="14">
        <f>H747-M747</f>
        <v/>
      </c>
      <c r="O747" t="inlineStr">
        <is>
          <t>Não</t>
        </is>
      </c>
      <c r="P747" t="inlineStr">
        <is>
          <t>1.350</t>
        </is>
      </c>
    </row>
    <row r="748">
      <c r="A748" t="inlineStr">
        <is>
          <t>Antes de 2026</t>
        </is>
      </c>
      <c r="B748" t="inlineStr">
        <is>
          <t>Frete de venda</t>
        </is>
      </c>
      <c r="C748" t="inlineStr">
        <is>
          <t>Frete de venda (para clientes)</t>
        </is>
      </c>
      <c r="D748" t="inlineStr">
        <is>
          <t>CT-e</t>
        </is>
      </c>
      <c r="E748" t="inlineStr">
        <is>
          <t>000005292</t>
        </is>
      </c>
      <c r="F748" t="inlineStr">
        <is>
          <t>R&amp;R TRANSPORTE E LOGISTICA</t>
        </is>
      </c>
      <c r="G748" s="27" t="n">
        <v>45926</v>
      </c>
      <c r="H748" s="14" t="n">
        <v>100.3</v>
      </c>
      <c r="I748" s="14" t="n">
        <v>0</v>
      </c>
      <c r="J748" s="14" t="n">
        <v>0</v>
      </c>
      <c r="K748" s="14" t="n">
        <v>0</v>
      </c>
      <c r="L748" s="14" t="n">
        <v>0</v>
      </c>
      <c r="M748" s="14">
        <f>IF(B748="Frete de venda",0,(1-ISNUMBER(SEARCH("556",P748)))*(I748*VLOOKUP($B748,Premissas!$A$4:$E$7,2,0)+J748*VLOOKUP($B748,Premissas!$A$4:$E$7,3,0))+K748*VLOOKUP($B748,Premissas!$A$4:$E$7,4,0)+L748*VLOOKUP($B748,Premissas!$A$4:$E$7,5,0))</f>
        <v/>
      </c>
      <c r="N748" s="14">
        <f>H748-M748</f>
        <v/>
      </c>
      <c r="O748" t="inlineStr">
        <is>
          <t>Não</t>
        </is>
      </c>
      <c r="P748" t="inlineStr">
        <is>
          <t>1.350</t>
        </is>
      </c>
    </row>
    <row r="749">
      <c r="A749" t="inlineStr">
        <is>
          <t>Antes de 2026</t>
        </is>
      </c>
      <c r="B749" t="inlineStr">
        <is>
          <t>Frete de venda</t>
        </is>
      </c>
      <c r="C749" t="inlineStr">
        <is>
          <t>Frete de venda (para clientes)</t>
        </is>
      </c>
      <c r="D749" t="inlineStr">
        <is>
          <t>CT-e</t>
        </is>
      </c>
      <c r="E749" t="inlineStr">
        <is>
          <t>000005771</t>
        </is>
      </c>
      <c r="F749" t="inlineStr">
        <is>
          <t>R&amp;R TRANSPORTE E LOGISTICA</t>
        </is>
      </c>
      <c r="G749" s="27" t="n">
        <v>45981</v>
      </c>
      <c r="H749" s="14" t="n">
        <v>115.21</v>
      </c>
      <c r="I749" s="14" t="n">
        <v>0</v>
      </c>
      <c r="J749" s="14" t="n">
        <v>0</v>
      </c>
      <c r="K749" s="14" t="n">
        <v>0</v>
      </c>
      <c r="L749" s="14" t="n">
        <v>0</v>
      </c>
      <c r="M749" s="14">
        <f>IF(B749="Frete de venda",0,(1-ISNUMBER(SEARCH("556",P749)))*(I749*VLOOKUP($B749,Premissas!$A$4:$E$7,2,0)+J749*VLOOKUP($B749,Premissas!$A$4:$E$7,3,0))+K749*VLOOKUP($B749,Premissas!$A$4:$E$7,4,0)+L749*VLOOKUP($B749,Premissas!$A$4:$E$7,5,0))</f>
        <v/>
      </c>
      <c r="N749" s="14">
        <f>H749-M749</f>
        <v/>
      </c>
      <c r="O749" t="inlineStr">
        <is>
          <t>Não</t>
        </is>
      </c>
      <c r="P749" t="inlineStr">
        <is>
          <t>1.350</t>
        </is>
      </c>
    </row>
    <row r="750">
      <c r="A750" t="inlineStr">
        <is>
          <t>Antes de 2026</t>
        </is>
      </c>
      <c r="B750" t="inlineStr">
        <is>
          <t>Frete de venda</t>
        </is>
      </c>
      <c r="C750" t="inlineStr">
        <is>
          <t>Frete de venda (para clientes)</t>
        </is>
      </c>
      <c r="D750" t="inlineStr">
        <is>
          <t>CT-e</t>
        </is>
      </c>
      <c r="E750" t="inlineStr">
        <is>
          <t>000004591</t>
        </is>
      </c>
      <c r="F750" t="inlineStr">
        <is>
          <t>R&amp;R TRANSPORTE E LOGISTICA</t>
        </is>
      </c>
      <c r="G750" s="27" t="n">
        <v>45842</v>
      </c>
      <c r="H750" s="14" t="n">
        <v>33.75</v>
      </c>
      <c r="I750" s="14" t="n">
        <v>0</v>
      </c>
      <c r="J750" s="14" t="n">
        <v>0</v>
      </c>
      <c r="K750" s="14" t="n">
        <v>0</v>
      </c>
      <c r="L750" s="14" t="n">
        <v>0</v>
      </c>
      <c r="M750" s="14">
        <f>IF(B750="Frete de venda",0,(1-ISNUMBER(SEARCH("556",P750)))*(I750*VLOOKUP($B750,Premissas!$A$4:$E$7,2,0)+J750*VLOOKUP($B750,Premissas!$A$4:$E$7,3,0))+K750*VLOOKUP($B750,Premissas!$A$4:$E$7,4,0)+L750*VLOOKUP($B750,Premissas!$A$4:$E$7,5,0))</f>
        <v/>
      </c>
      <c r="N750" s="14">
        <f>H750-M750</f>
        <v/>
      </c>
      <c r="O750" t="inlineStr">
        <is>
          <t>Não</t>
        </is>
      </c>
      <c r="P750" t="inlineStr">
        <is>
          <t>1.350</t>
        </is>
      </c>
    </row>
    <row r="751">
      <c r="A751" t="inlineStr">
        <is>
          <t>Antes de 2026</t>
        </is>
      </c>
      <c r="B751" t="inlineStr">
        <is>
          <t>Frete de venda</t>
        </is>
      </c>
      <c r="C751" t="inlineStr">
        <is>
          <t>Frete de venda (para clientes)</t>
        </is>
      </c>
      <c r="D751" t="inlineStr">
        <is>
          <t>CT-e</t>
        </is>
      </c>
      <c r="E751" t="inlineStr">
        <is>
          <t>000004796</t>
        </is>
      </c>
      <c r="F751" t="inlineStr">
        <is>
          <t>R&amp;R TRANSPORTE E LOGISTICA</t>
        </is>
      </c>
      <c r="G751" s="27" t="n">
        <v>45869</v>
      </c>
      <c r="H751" s="14" t="n">
        <v>58.06</v>
      </c>
      <c r="I751" s="14" t="n">
        <v>0</v>
      </c>
      <c r="J751" s="14" t="n">
        <v>0</v>
      </c>
      <c r="K751" s="14" t="n">
        <v>0</v>
      </c>
      <c r="L751" s="14" t="n">
        <v>0</v>
      </c>
      <c r="M751" s="14">
        <f>IF(B751="Frete de venda",0,(1-ISNUMBER(SEARCH("556",P751)))*(I751*VLOOKUP($B751,Premissas!$A$4:$E$7,2,0)+J751*VLOOKUP($B751,Premissas!$A$4:$E$7,3,0))+K751*VLOOKUP($B751,Premissas!$A$4:$E$7,4,0)+L751*VLOOKUP($B751,Premissas!$A$4:$E$7,5,0))</f>
        <v/>
      </c>
      <c r="N751" s="14">
        <f>H751-M751</f>
        <v/>
      </c>
      <c r="O751" t="inlineStr">
        <is>
          <t>Não</t>
        </is>
      </c>
      <c r="P751" t="inlineStr">
        <is>
          <t>1.350</t>
        </is>
      </c>
    </row>
    <row r="752">
      <c r="A752" t="inlineStr">
        <is>
          <t>Antes de 2026</t>
        </is>
      </c>
      <c r="B752" t="inlineStr">
        <is>
          <t>Frete de venda</t>
        </is>
      </c>
      <c r="C752" t="inlineStr">
        <is>
          <t>Frete de venda (para clientes)</t>
        </is>
      </c>
      <c r="D752" t="inlineStr">
        <is>
          <t>CT-e</t>
        </is>
      </c>
      <c r="E752" t="inlineStr">
        <is>
          <t>000005142</t>
        </is>
      </c>
      <c r="F752" t="inlineStr">
        <is>
          <t>R&amp;R TRANSPORTE E LOGISTICA</t>
        </is>
      </c>
      <c r="G752" s="27" t="n">
        <v>45908</v>
      </c>
      <c r="H752" s="14" t="n">
        <v>61.72</v>
      </c>
      <c r="I752" s="14" t="n">
        <v>0</v>
      </c>
      <c r="J752" s="14" t="n">
        <v>0</v>
      </c>
      <c r="K752" s="14" t="n">
        <v>0</v>
      </c>
      <c r="L752" s="14" t="n">
        <v>0</v>
      </c>
      <c r="M752" s="14">
        <f>IF(B752="Frete de venda",0,(1-ISNUMBER(SEARCH("556",P752)))*(I752*VLOOKUP($B752,Premissas!$A$4:$E$7,2,0)+J752*VLOOKUP($B752,Premissas!$A$4:$E$7,3,0))+K752*VLOOKUP($B752,Premissas!$A$4:$E$7,4,0)+L752*VLOOKUP($B752,Premissas!$A$4:$E$7,5,0))</f>
        <v/>
      </c>
      <c r="N752" s="14">
        <f>H752-M752</f>
        <v/>
      </c>
      <c r="O752" t="inlineStr">
        <is>
          <t>Não</t>
        </is>
      </c>
      <c r="P752" t="inlineStr">
        <is>
          <t>1.350</t>
        </is>
      </c>
    </row>
    <row r="753">
      <c r="A753" t="inlineStr">
        <is>
          <t>Antes de 2026</t>
        </is>
      </c>
      <c r="B753" t="inlineStr">
        <is>
          <t>Frete de venda</t>
        </is>
      </c>
      <c r="C753" t="inlineStr">
        <is>
          <t>Frete de venda (para clientes)</t>
        </is>
      </c>
      <c r="D753" t="inlineStr">
        <is>
          <t>CT-e</t>
        </is>
      </c>
      <c r="E753" t="inlineStr">
        <is>
          <t>000005535</t>
        </is>
      </c>
      <c r="F753" t="inlineStr">
        <is>
          <t>R&amp;R TRANSPORTE E LOGISTICA</t>
        </is>
      </c>
      <c r="G753" s="27" t="n">
        <v>45953</v>
      </c>
      <c r="H753" s="14" t="n">
        <v>35.11</v>
      </c>
      <c r="I753" s="14" t="n">
        <v>0</v>
      </c>
      <c r="J753" s="14" t="n">
        <v>0</v>
      </c>
      <c r="K753" s="14" t="n">
        <v>0</v>
      </c>
      <c r="L753" s="14" t="n">
        <v>0</v>
      </c>
      <c r="M753" s="14">
        <f>IF(B753="Frete de venda",0,(1-ISNUMBER(SEARCH("556",P753)))*(I753*VLOOKUP($B753,Premissas!$A$4:$E$7,2,0)+J753*VLOOKUP($B753,Premissas!$A$4:$E$7,3,0))+K753*VLOOKUP($B753,Premissas!$A$4:$E$7,4,0)+L753*VLOOKUP($B753,Premissas!$A$4:$E$7,5,0))</f>
        <v/>
      </c>
      <c r="N753" s="14">
        <f>H753-M753</f>
        <v/>
      </c>
      <c r="O753" t="inlineStr">
        <is>
          <t>Não</t>
        </is>
      </c>
      <c r="P753" t="inlineStr">
        <is>
          <t>1.350</t>
        </is>
      </c>
    </row>
    <row r="754">
      <c r="A754" t="inlineStr">
        <is>
          <t>Antes de 2026</t>
        </is>
      </c>
      <c r="B754" t="inlineStr">
        <is>
          <t>Frete de venda</t>
        </is>
      </c>
      <c r="C754" t="inlineStr">
        <is>
          <t>Frete de venda (para clientes)</t>
        </is>
      </c>
      <c r="D754" t="inlineStr">
        <is>
          <t>CT-e</t>
        </is>
      </c>
      <c r="E754" t="inlineStr">
        <is>
          <t>000005829</t>
        </is>
      </c>
      <c r="F754" t="inlineStr">
        <is>
          <t>R&amp;R TRANSPORTE E LOGISTICA</t>
        </is>
      </c>
      <c r="G754" s="27" t="n">
        <v>45987</v>
      </c>
      <c r="H754" s="14" t="n">
        <v>78.58</v>
      </c>
      <c r="I754" s="14" t="n">
        <v>0</v>
      </c>
      <c r="J754" s="14" t="n">
        <v>0</v>
      </c>
      <c r="K754" s="14" t="n">
        <v>0</v>
      </c>
      <c r="L754" s="14" t="n">
        <v>0</v>
      </c>
      <c r="M754" s="14">
        <f>IF(B754="Frete de venda",0,(1-ISNUMBER(SEARCH("556",P754)))*(I754*VLOOKUP($B754,Premissas!$A$4:$E$7,2,0)+J754*VLOOKUP($B754,Premissas!$A$4:$E$7,3,0))+K754*VLOOKUP($B754,Premissas!$A$4:$E$7,4,0)+L754*VLOOKUP($B754,Premissas!$A$4:$E$7,5,0))</f>
        <v/>
      </c>
      <c r="N754" s="14">
        <f>H754-M754</f>
        <v/>
      </c>
      <c r="O754" t="inlineStr">
        <is>
          <t>Não</t>
        </is>
      </c>
      <c r="P754" t="inlineStr">
        <is>
          <t>1.350</t>
        </is>
      </c>
    </row>
    <row r="755">
      <c r="A755" t="inlineStr">
        <is>
          <t>Antes de 2026</t>
        </is>
      </c>
      <c r="B755" t="inlineStr">
        <is>
          <t>Frete de venda</t>
        </is>
      </c>
      <c r="C755" t="inlineStr">
        <is>
          <t>Frete de venda (para clientes)</t>
        </is>
      </c>
      <c r="D755" t="inlineStr">
        <is>
          <t>CT-e</t>
        </is>
      </c>
      <c r="E755" t="inlineStr">
        <is>
          <t>000020455</t>
        </is>
      </c>
      <c r="F755" t="inlineStr">
        <is>
          <t>TRANSPORTE OLIVEIRA E MELLOI - IDEALIZA TRANSPORTES</t>
        </is>
      </c>
      <c r="G755" s="27" t="n">
        <v>45600</v>
      </c>
      <c r="H755" s="14" t="n">
        <v>473.93</v>
      </c>
      <c r="I755" s="14" t="n">
        <v>0</v>
      </c>
      <c r="J755" s="14" t="n">
        <v>0</v>
      </c>
      <c r="K755" s="14" t="n">
        <v>0</v>
      </c>
      <c r="L755" s="14" t="n">
        <v>0</v>
      </c>
      <c r="M755" s="14">
        <f>IF(B755="Frete de venda",0,(1-ISNUMBER(SEARCH("556",P755)))*(I755*VLOOKUP($B755,Premissas!$A$4:$E$7,2,0)+J755*VLOOKUP($B755,Premissas!$A$4:$E$7,3,0))+K755*VLOOKUP($B755,Premissas!$A$4:$E$7,4,0)+L755*VLOOKUP($B755,Premissas!$A$4:$E$7,5,0))</f>
        <v/>
      </c>
      <c r="N755" s="14">
        <f>H755-M755</f>
        <v/>
      </c>
      <c r="O755" t="inlineStr">
        <is>
          <t>Não</t>
        </is>
      </c>
      <c r="P755" t="inlineStr">
        <is>
          <t>1.350</t>
        </is>
      </c>
    </row>
    <row r="756">
      <c r="A756" t="inlineStr">
        <is>
          <t>Antes de 2026</t>
        </is>
      </c>
      <c r="B756" t="inlineStr">
        <is>
          <t>Frete de venda</t>
        </is>
      </c>
      <c r="C756" t="inlineStr">
        <is>
          <t>Frete de venda (para clientes)</t>
        </is>
      </c>
      <c r="D756" t="inlineStr">
        <is>
          <t>CT-e</t>
        </is>
      </c>
      <c r="E756" t="inlineStr">
        <is>
          <t>000004416</t>
        </is>
      </c>
      <c r="F756" t="inlineStr">
        <is>
          <t>R&amp;R TRANSPORTE E LOGISTICA</t>
        </is>
      </c>
      <c r="G756" s="27" t="n">
        <v>45820</v>
      </c>
      <c r="H756" s="14" t="n">
        <v>44.9</v>
      </c>
      <c r="I756" s="14" t="n">
        <v>0</v>
      </c>
      <c r="J756" s="14" t="n">
        <v>0</v>
      </c>
      <c r="K756" s="14" t="n">
        <v>0</v>
      </c>
      <c r="L756" s="14" t="n">
        <v>0</v>
      </c>
      <c r="M756" s="14">
        <f>IF(B756="Frete de venda",0,(1-ISNUMBER(SEARCH("556",P756)))*(I756*VLOOKUP($B756,Premissas!$A$4:$E$7,2,0)+J756*VLOOKUP($B756,Premissas!$A$4:$E$7,3,0))+K756*VLOOKUP($B756,Premissas!$A$4:$E$7,4,0)+L756*VLOOKUP($B756,Premissas!$A$4:$E$7,5,0))</f>
        <v/>
      </c>
      <c r="N756" s="14">
        <f>H756-M756</f>
        <v/>
      </c>
      <c r="O756" t="inlineStr">
        <is>
          <t>Não</t>
        </is>
      </c>
      <c r="P756" t="inlineStr">
        <is>
          <t>1.350</t>
        </is>
      </c>
    </row>
    <row r="757">
      <c r="A757" t="inlineStr">
        <is>
          <t>Antes de 2026</t>
        </is>
      </c>
      <c r="B757" t="inlineStr">
        <is>
          <t>Frete de venda</t>
        </is>
      </c>
      <c r="C757" t="inlineStr">
        <is>
          <t>Frete de venda (para clientes)</t>
        </is>
      </c>
      <c r="D757" t="inlineStr">
        <is>
          <t>CT-e</t>
        </is>
      </c>
      <c r="E757" t="inlineStr">
        <is>
          <t>000004517</t>
        </is>
      </c>
      <c r="F757" t="inlineStr">
        <is>
          <t>R&amp;R TRANSPORTE E LOGISTICA</t>
        </is>
      </c>
      <c r="G757" s="27" t="n">
        <v>45834</v>
      </c>
      <c r="H757" s="14" t="n">
        <v>1400</v>
      </c>
      <c r="I757" s="14" t="n">
        <v>0</v>
      </c>
      <c r="J757" s="14" t="n">
        <v>0</v>
      </c>
      <c r="K757" s="14" t="n">
        <v>0</v>
      </c>
      <c r="L757" s="14" t="n">
        <v>0</v>
      </c>
      <c r="M757" s="14">
        <f>IF(B757="Frete de venda",0,(1-ISNUMBER(SEARCH("556",P757)))*(I757*VLOOKUP($B757,Premissas!$A$4:$E$7,2,0)+J757*VLOOKUP($B757,Premissas!$A$4:$E$7,3,0))+K757*VLOOKUP($B757,Premissas!$A$4:$E$7,4,0)+L757*VLOOKUP($B757,Premissas!$A$4:$E$7,5,0))</f>
        <v/>
      </c>
      <c r="N757" s="14">
        <f>H757-M757</f>
        <v/>
      </c>
      <c r="O757" t="inlineStr">
        <is>
          <t>Não</t>
        </is>
      </c>
      <c r="P757" t="inlineStr">
        <is>
          <t>1.350</t>
        </is>
      </c>
    </row>
    <row r="758">
      <c r="A758" t="inlineStr">
        <is>
          <t>Antes de 2026</t>
        </is>
      </c>
      <c r="B758" t="inlineStr">
        <is>
          <t>Frete de venda</t>
        </is>
      </c>
      <c r="C758" t="inlineStr">
        <is>
          <t>Frete de venda (para clientes)</t>
        </is>
      </c>
      <c r="D758" t="inlineStr">
        <is>
          <t>CT-e</t>
        </is>
      </c>
      <c r="E758" t="inlineStr">
        <is>
          <t>000004552</t>
        </is>
      </c>
      <c r="F758" t="inlineStr">
        <is>
          <t>R&amp;R TRANSPORTE E LOGISTICA</t>
        </is>
      </c>
      <c r="G758" s="27" t="n">
        <v>45839</v>
      </c>
      <c r="H758" s="14" t="n">
        <v>339</v>
      </c>
      <c r="I758" s="14" t="n">
        <v>0</v>
      </c>
      <c r="J758" s="14" t="n">
        <v>0</v>
      </c>
      <c r="K758" s="14" t="n">
        <v>0</v>
      </c>
      <c r="L758" s="14" t="n">
        <v>0</v>
      </c>
      <c r="M758" s="14">
        <f>IF(B758="Frete de venda",0,(1-ISNUMBER(SEARCH("556",P758)))*(I758*VLOOKUP($B758,Premissas!$A$4:$E$7,2,0)+J758*VLOOKUP($B758,Premissas!$A$4:$E$7,3,0))+K758*VLOOKUP($B758,Premissas!$A$4:$E$7,4,0)+L758*VLOOKUP($B758,Premissas!$A$4:$E$7,5,0))</f>
        <v/>
      </c>
      <c r="N758" s="14">
        <f>H758-M758</f>
        <v/>
      </c>
      <c r="O758" t="inlineStr">
        <is>
          <t>Não</t>
        </is>
      </c>
      <c r="P758" t="inlineStr">
        <is>
          <t>1.350</t>
        </is>
      </c>
    </row>
    <row r="759">
      <c r="A759" t="inlineStr">
        <is>
          <t>Antes de 2026</t>
        </is>
      </c>
      <c r="B759" t="inlineStr">
        <is>
          <t>Frete de venda</t>
        </is>
      </c>
      <c r="C759" t="inlineStr">
        <is>
          <t>Frete de venda (para clientes)</t>
        </is>
      </c>
      <c r="D759" t="inlineStr">
        <is>
          <t>CT-e</t>
        </is>
      </c>
      <c r="E759" t="inlineStr">
        <is>
          <t>000004543</t>
        </is>
      </c>
      <c r="F759" t="inlineStr">
        <is>
          <t>R&amp;R TRANSPORTE E LOGISTICA</t>
        </is>
      </c>
      <c r="G759" s="27" t="n">
        <v>45836</v>
      </c>
      <c r="H759" s="14" t="n">
        <v>25</v>
      </c>
      <c r="I759" s="14" t="n">
        <v>0</v>
      </c>
      <c r="J759" s="14" t="n">
        <v>0</v>
      </c>
      <c r="K759" s="14" t="n">
        <v>0</v>
      </c>
      <c r="L759" s="14" t="n">
        <v>0</v>
      </c>
      <c r="M759" s="14">
        <f>IF(B759="Frete de venda",0,(1-ISNUMBER(SEARCH("556",P759)))*(I759*VLOOKUP($B759,Premissas!$A$4:$E$7,2,0)+J759*VLOOKUP($B759,Premissas!$A$4:$E$7,3,0))+K759*VLOOKUP($B759,Premissas!$A$4:$E$7,4,0)+L759*VLOOKUP($B759,Premissas!$A$4:$E$7,5,0))</f>
        <v/>
      </c>
      <c r="N759" s="14">
        <f>H759-M759</f>
        <v/>
      </c>
      <c r="O759" t="inlineStr">
        <is>
          <t>Não</t>
        </is>
      </c>
      <c r="P759" t="inlineStr">
        <is>
          <t>1.350</t>
        </is>
      </c>
    </row>
    <row r="760">
      <c r="A760" t="inlineStr">
        <is>
          <t>Antes de 2026</t>
        </is>
      </c>
      <c r="B760" t="inlineStr">
        <is>
          <t>Frete de venda</t>
        </is>
      </c>
      <c r="C760" t="inlineStr">
        <is>
          <t>Frete de venda (para clientes)</t>
        </is>
      </c>
      <c r="D760" t="inlineStr">
        <is>
          <t>CT-e</t>
        </is>
      </c>
      <c r="E760" t="inlineStr">
        <is>
          <t>000005846</t>
        </is>
      </c>
      <c r="F760" t="inlineStr">
        <is>
          <t>R&amp;R TRANSPORTE E LOGISTICA</t>
        </is>
      </c>
      <c r="G760" s="27" t="n">
        <v>45988</v>
      </c>
      <c r="H760" s="14" t="n">
        <v>10.51</v>
      </c>
      <c r="I760" s="14" t="n">
        <v>0</v>
      </c>
      <c r="J760" s="14" t="n">
        <v>0</v>
      </c>
      <c r="K760" s="14" t="n">
        <v>0</v>
      </c>
      <c r="L760" s="14" t="n">
        <v>0</v>
      </c>
      <c r="M760" s="14">
        <f>IF(B760="Frete de venda",0,(1-ISNUMBER(SEARCH("556",P760)))*(I760*VLOOKUP($B760,Premissas!$A$4:$E$7,2,0)+J760*VLOOKUP($B760,Premissas!$A$4:$E$7,3,0))+K760*VLOOKUP($B760,Premissas!$A$4:$E$7,4,0)+L760*VLOOKUP($B760,Premissas!$A$4:$E$7,5,0))</f>
        <v/>
      </c>
      <c r="N760" s="14">
        <f>H760-M760</f>
        <v/>
      </c>
      <c r="O760" t="inlineStr">
        <is>
          <t>Não</t>
        </is>
      </c>
      <c r="P760" t="inlineStr">
        <is>
          <t>1.350</t>
        </is>
      </c>
    </row>
    <row r="761">
      <c r="A761" t="inlineStr">
        <is>
          <t>Antes de 2026</t>
        </is>
      </c>
      <c r="B761" t="inlineStr">
        <is>
          <t>Frete de venda</t>
        </is>
      </c>
      <c r="C761" t="inlineStr">
        <is>
          <t>Frete de venda (para clientes)</t>
        </is>
      </c>
      <c r="D761" t="inlineStr">
        <is>
          <t>CT-e</t>
        </is>
      </c>
      <c r="E761" t="inlineStr">
        <is>
          <t>000004207</t>
        </is>
      </c>
      <c r="F761" t="inlineStr">
        <is>
          <t>R&amp;R TRANSPORTE E LOGISTICA</t>
        </is>
      </c>
      <c r="G761" s="27" t="n">
        <v>45790</v>
      </c>
      <c r="H761" s="14" t="n">
        <v>19.12</v>
      </c>
      <c r="I761" s="14" t="n">
        <v>0</v>
      </c>
      <c r="J761" s="14" t="n">
        <v>0</v>
      </c>
      <c r="K761" s="14" t="n">
        <v>0</v>
      </c>
      <c r="L761" s="14" t="n">
        <v>0</v>
      </c>
      <c r="M761" s="14">
        <f>IF(B761="Frete de venda",0,(1-ISNUMBER(SEARCH("556",P761)))*(I761*VLOOKUP($B761,Premissas!$A$4:$E$7,2,0)+J761*VLOOKUP($B761,Premissas!$A$4:$E$7,3,0))+K761*VLOOKUP($B761,Premissas!$A$4:$E$7,4,0)+L761*VLOOKUP($B761,Premissas!$A$4:$E$7,5,0))</f>
        <v/>
      </c>
      <c r="N761" s="14">
        <f>H761-M761</f>
        <v/>
      </c>
      <c r="O761" t="inlineStr">
        <is>
          <t>Não</t>
        </is>
      </c>
      <c r="P761" t="inlineStr">
        <is>
          <t>1.350</t>
        </is>
      </c>
    </row>
    <row r="762">
      <c r="A762" t="inlineStr">
        <is>
          <t>Antes de 2026</t>
        </is>
      </c>
      <c r="B762" t="inlineStr">
        <is>
          <t>Frete de venda</t>
        </is>
      </c>
      <c r="C762" t="inlineStr">
        <is>
          <t>Frete de venda (para clientes)</t>
        </is>
      </c>
      <c r="D762" t="inlineStr">
        <is>
          <t>CT-e</t>
        </is>
      </c>
      <c r="E762" t="inlineStr">
        <is>
          <t>000004490</t>
        </is>
      </c>
      <c r="F762" t="inlineStr">
        <is>
          <t>R&amp;R TRANSPORTE E LOGISTICA</t>
        </is>
      </c>
      <c r="G762" s="27" t="n">
        <v>45831</v>
      </c>
      <c r="H762" s="14" t="n">
        <v>14.01</v>
      </c>
      <c r="I762" s="14" t="n">
        <v>0</v>
      </c>
      <c r="J762" s="14" t="n">
        <v>0</v>
      </c>
      <c r="K762" s="14" t="n">
        <v>0</v>
      </c>
      <c r="L762" s="14" t="n">
        <v>0</v>
      </c>
      <c r="M762" s="14">
        <f>IF(B762="Frete de venda",0,(1-ISNUMBER(SEARCH("556",P762)))*(I762*VLOOKUP($B762,Premissas!$A$4:$E$7,2,0)+J762*VLOOKUP($B762,Premissas!$A$4:$E$7,3,0))+K762*VLOOKUP($B762,Premissas!$A$4:$E$7,4,0)+L762*VLOOKUP($B762,Premissas!$A$4:$E$7,5,0))</f>
        <v/>
      </c>
      <c r="N762" s="14">
        <f>H762-M762</f>
        <v/>
      </c>
      <c r="O762" t="inlineStr">
        <is>
          <t>Não</t>
        </is>
      </c>
      <c r="P762" t="inlineStr">
        <is>
          <t>1.350</t>
        </is>
      </c>
    </row>
    <row r="763">
      <c r="A763" t="inlineStr">
        <is>
          <t>Antes de 2026</t>
        </is>
      </c>
      <c r="B763" t="inlineStr">
        <is>
          <t>Frete de venda</t>
        </is>
      </c>
      <c r="C763" t="inlineStr">
        <is>
          <t>Frete de venda (para clientes)</t>
        </is>
      </c>
      <c r="D763" t="inlineStr">
        <is>
          <t>CT-e</t>
        </is>
      </c>
      <c r="E763" t="inlineStr">
        <is>
          <t>000005560</t>
        </is>
      </c>
      <c r="F763" t="inlineStr">
        <is>
          <t>R&amp;R TRANSPORTE E LOGISTICA</t>
        </is>
      </c>
      <c r="G763" s="27" t="n">
        <v>45955</v>
      </c>
      <c r="H763" s="14" t="n">
        <v>21.85</v>
      </c>
      <c r="I763" s="14" t="n">
        <v>0</v>
      </c>
      <c r="J763" s="14" t="n">
        <v>0</v>
      </c>
      <c r="K763" s="14" t="n">
        <v>0</v>
      </c>
      <c r="L763" s="14" t="n">
        <v>0</v>
      </c>
      <c r="M763" s="14">
        <f>IF(B763="Frete de venda",0,(1-ISNUMBER(SEARCH("556",P763)))*(I763*VLOOKUP($B763,Premissas!$A$4:$E$7,2,0)+J763*VLOOKUP($B763,Premissas!$A$4:$E$7,3,0))+K763*VLOOKUP($B763,Premissas!$A$4:$E$7,4,0)+L763*VLOOKUP($B763,Premissas!$A$4:$E$7,5,0))</f>
        <v/>
      </c>
      <c r="N763" s="14">
        <f>H763-M763</f>
        <v/>
      </c>
      <c r="O763" t="inlineStr">
        <is>
          <t>Não</t>
        </is>
      </c>
      <c r="P763" t="inlineStr">
        <is>
          <t>1.350</t>
        </is>
      </c>
    </row>
    <row r="764">
      <c r="A764" t="inlineStr">
        <is>
          <t>Antes de 2026</t>
        </is>
      </c>
      <c r="B764" t="inlineStr">
        <is>
          <t>Frete de venda</t>
        </is>
      </c>
      <c r="C764" t="inlineStr">
        <is>
          <t>Frete de venda (para clientes)</t>
        </is>
      </c>
      <c r="D764" t="inlineStr">
        <is>
          <t>CT-e</t>
        </is>
      </c>
      <c r="E764" t="inlineStr">
        <is>
          <t>000005538</t>
        </is>
      </c>
      <c r="F764" t="inlineStr">
        <is>
          <t>R&amp;R TRANSPORTE E LOGISTICA</t>
        </is>
      </c>
      <c r="G764" s="27" t="n">
        <v>45953</v>
      </c>
      <c r="H764" s="14" t="n">
        <v>66.48</v>
      </c>
      <c r="I764" s="14" t="n">
        <v>0</v>
      </c>
      <c r="J764" s="14" t="n">
        <v>0</v>
      </c>
      <c r="K764" s="14" t="n">
        <v>0</v>
      </c>
      <c r="L764" s="14" t="n">
        <v>0</v>
      </c>
      <c r="M764" s="14">
        <f>IF(B764="Frete de venda",0,(1-ISNUMBER(SEARCH("556",P764)))*(I764*VLOOKUP($B764,Premissas!$A$4:$E$7,2,0)+J764*VLOOKUP($B764,Premissas!$A$4:$E$7,3,0))+K764*VLOOKUP($B764,Premissas!$A$4:$E$7,4,0)+L764*VLOOKUP($B764,Premissas!$A$4:$E$7,5,0))</f>
        <v/>
      </c>
      <c r="N764" s="14">
        <f>H764-M764</f>
        <v/>
      </c>
      <c r="O764" t="inlineStr">
        <is>
          <t>Não</t>
        </is>
      </c>
      <c r="P764" t="inlineStr">
        <is>
          <t>1.350</t>
        </is>
      </c>
    </row>
    <row r="765">
      <c r="A765" t="inlineStr">
        <is>
          <t>Antes de 2026</t>
        </is>
      </c>
      <c r="B765" t="inlineStr">
        <is>
          <t>Frete de venda</t>
        </is>
      </c>
      <c r="C765" t="inlineStr">
        <is>
          <t>Frete de venda (para clientes)</t>
        </is>
      </c>
      <c r="D765" t="inlineStr">
        <is>
          <t>CT-e</t>
        </is>
      </c>
      <c r="E765" t="inlineStr">
        <is>
          <t>000004111</t>
        </is>
      </c>
      <c r="F765" t="inlineStr">
        <is>
          <t>R&amp;R TRANSPORTE E LOGISTICA</t>
        </is>
      </c>
      <c r="G765" s="27" t="n">
        <v>45776</v>
      </c>
      <c r="H765" s="14" t="n">
        <v>130.38</v>
      </c>
      <c r="I765" s="14" t="n">
        <v>0</v>
      </c>
      <c r="J765" s="14" t="n">
        <v>0</v>
      </c>
      <c r="K765" s="14" t="n">
        <v>0</v>
      </c>
      <c r="L765" s="14" t="n">
        <v>0</v>
      </c>
      <c r="M765" s="14">
        <f>IF(B765="Frete de venda",0,(1-ISNUMBER(SEARCH("556",P765)))*(I765*VLOOKUP($B765,Premissas!$A$4:$E$7,2,0)+J765*VLOOKUP($B765,Premissas!$A$4:$E$7,3,0))+K765*VLOOKUP($B765,Premissas!$A$4:$E$7,4,0)+L765*VLOOKUP($B765,Premissas!$A$4:$E$7,5,0))</f>
        <v/>
      </c>
      <c r="N765" s="14">
        <f>H765-M765</f>
        <v/>
      </c>
      <c r="O765" t="inlineStr">
        <is>
          <t>Não</t>
        </is>
      </c>
      <c r="P765" t="inlineStr">
        <is>
          <t>1.350</t>
        </is>
      </c>
    </row>
    <row r="766">
      <c r="A766" t="inlineStr">
        <is>
          <t>Antes de 2026</t>
        </is>
      </c>
      <c r="B766" t="inlineStr">
        <is>
          <t>Frete de venda</t>
        </is>
      </c>
      <c r="C766" t="inlineStr">
        <is>
          <t>Frete de venda (para clientes)</t>
        </is>
      </c>
      <c r="D766" t="inlineStr">
        <is>
          <t>CT-e</t>
        </is>
      </c>
      <c r="E766" t="inlineStr">
        <is>
          <t>000004524</t>
        </is>
      </c>
      <c r="F766" t="inlineStr">
        <is>
          <t>R&amp;R TRANSPORTE E LOGISTICA</t>
        </is>
      </c>
      <c r="G766" s="27" t="n">
        <v>45835</v>
      </c>
      <c r="H766" s="14" t="n">
        <v>29.66</v>
      </c>
      <c r="I766" s="14" t="n">
        <v>0</v>
      </c>
      <c r="J766" s="14" t="n">
        <v>0</v>
      </c>
      <c r="K766" s="14" t="n">
        <v>0</v>
      </c>
      <c r="L766" s="14" t="n">
        <v>0</v>
      </c>
      <c r="M766" s="14">
        <f>IF(B766="Frete de venda",0,(1-ISNUMBER(SEARCH("556",P766)))*(I766*VLOOKUP($B766,Premissas!$A$4:$E$7,2,0)+J766*VLOOKUP($B766,Premissas!$A$4:$E$7,3,0))+K766*VLOOKUP($B766,Premissas!$A$4:$E$7,4,0)+L766*VLOOKUP($B766,Premissas!$A$4:$E$7,5,0))</f>
        <v/>
      </c>
      <c r="N766" s="14">
        <f>H766-M766</f>
        <v/>
      </c>
      <c r="O766" t="inlineStr">
        <is>
          <t>Não</t>
        </is>
      </c>
      <c r="P766" t="inlineStr">
        <is>
          <t>1.350</t>
        </is>
      </c>
    </row>
    <row r="767">
      <c r="A767" t="inlineStr">
        <is>
          <t>Antes de 2026</t>
        </is>
      </c>
      <c r="B767" t="inlineStr">
        <is>
          <t>Frete de venda</t>
        </is>
      </c>
      <c r="C767" t="inlineStr">
        <is>
          <t>Frete de venda (para clientes)</t>
        </is>
      </c>
      <c r="D767" t="inlineStr">
        <is>
          <t>CT-e</t>
        </is>
      </c>
      <c r="E767" t="inlineStr">
        <is>
          <t>000005216</t>
        </is>
      </c>
      <c r="F767" t="inlineStr">
        <is>
          <t>R&amp;R TRANSPORTE E LOGISTICA</t>
        </is>
      </c>
      <c r="G767" s="27" t="n">
        <v>45917</v>
      </c>
      <c r="H767" s="14" t="n">
        <v>786</v>
      </c>
      <c r="I767" s="14" t="n">
        <v>0</v>
      </c>
      <c r="J767" s="14" t="n">
        <v>0</v>
      </c>
      <c r="K767" s="14" t="n">
        <v>0</v>
      </c>
      <c r="L767" s="14" t="n">
        <v>0</v>
      </c>
      <c r="M767" s="14">
        <f>IF(B767="Frete de venda",0,(1-ISNUMBER(SEARCH("556",P767)))*(I767*VLOOKUP($B767,Premissas!$A$4:$E$7,2,0)+J767*VLOOKUP($B767,Premissas!$A$4:$E$7,3,0))+K767*VLOOKUP($B767,Premissas!$A$4:$E$7,4,0)+L767*VLOOKUP($B767,Premissas!$A$4:$E$7,5,0))</f>
        <v/>
      </c>
      <c r="N767" s="14">
        <f>H767-M767</f>
        <v/>
      </c>
      <c r="O767" t="inlineStr">
        <is>
          <t>Não</t>
        </is>
      </c>
      <c r="P767" t="inlineStr">
        <is>
          <t>1.350</t>
        </is>
      </c>
    </row>
    <row r="768">
      <c r="A768" t="inlineStr">
        <is>
          <t>Antes de 2026</t>
        </is>
      </c>
      <c r="B768" t="inlineStr">
        <is>
          <t>Frete de venda</t>
        </is>
      </c>
      <c r="C768" t="inlineStr">
        <is>
          <t>Frete de venda (para clientes)</t>
        </is>
      </c>
      <c r="D768" t="inlineStr">
        <is>
          <t>CT-e</t>
        </is>
      </c>
      <c r="E768" t="inlineStr">
        <is>
          <t>000005266</t>
        </is>
      </c>
      <c r="F768" t="inlineStr">
        <is>
          <t>R&amp;R TRANSPORTE E LOGISTICA</t>
        </is>
      </c>
      <c r="G768" s="27" t="n">
        <v>45923</v>
      </c>
      <c r="H768" s="14" t="n">
        <v>850</v>
      </c>
      <c r="I768" s="14" t="n">
        <v>0</v>
      </c>
      <c r="J768" s="14" t="n">
        <v>0</v>
      </c>
      <c r="K768" s="14" t="n">
        <v>0</v>
      </c>
      <c r="L768" s="14" t="n">
        <v>0</v>
      </c>
      <c r="M768" s="14">
        <f>IF(B768="Frete de venda",0,(1-ISNUMBER(SEARCH("556",P768)))*(I768*VLOOKUP($B768,Premissas!$A$4:$E$7,2,0)+J768*VLOOKUP($B768,Premissas!$A$4:$E$7,3,0))+K768*VLOOKUP($B768,Premissas!$A$4:$E$7,4,0)+L768*VLOOKUP($B768,Premissas!$A$4:$E$7,5,0))</f>
        <v/>
      </c>
      <c r="N768" s="14">
        <f>H768-M768</f>
        <v/>
      </c>
      <c r="O768" t="inlineStr">
        <is>
          <t>Não</t>
        </is>
      </c>
      <c r="P768" t="inlineStr">
        <is>
          <t>1.350</t>
        </is>
      </c>
    </row>
    <row r="769">
      <c r="A769" t="inlineStr">
        <is>
          <t>Antes de 2026</t>
        </is>
      </c>
      <c r="B769" t="inlineStr">
        <is>
          <t>Frete de venda</t>
        </is>
      </c>
      <c r="C769" t="inlineStr">
        <is>
          <t>Frete de venda (para clientes)</t>
        </is>
      </c>
      <c r="D769" t="inlineStr">
        <is>
          <t>CT-e</t>
        </is>
      </c>
      <c r="E769" t="inlineStr">
        <is>
          <t>000004682</t>
        </is>
      </c>
      <c r="F769" t="inlineStr">
        <is>
          <t>R&amp;R TRANSPORTE E LOGISTICA</t>
        </is>
      </c>
      <c r="G769" s="27" t="n">
        <v>45856</v>
      </c>
      <c r="H769" s="14" t="n">
        <v>22.1</v>
      </c>
      <c r="I769" s="14" t="n">
        <v>0</v>
      </c>
      <c r="J769" s="14" t="n">
        <v>0</v>
      </c>
      <c r="K769" s="14" t="n">
        <v>0</v>
      </c>
      <c r="L769" s="14" t="n">
        <v>0</v>
      </c>
      <c r="M769" s="14">
        <f>IF(B769="Frete de venda",0,(1-ISNUMBER(SEARCH("556",P769)))*(I769*VLOOKUP($B769,Premissas!$A$4:$E$7,2,0)+J769*VLOOKUP($B769,Premissas!$A$4:$E$7,3,0))+K769*VLOOKUP($B769,Premissas!$A$4:$E$7,4,0)+L769*VLOOKUP($B769,Premissas!$A$4:$E$7,5,0))</f>
        <v/>
      </c>
      <c r="N769" s="14">
        <f>H769-M769</f>
        <v/>
      </c>
      <c r="O769" t="inlineStr">
        <is>
          <t>Não</t>
        </is>
      </c>
      <c r="P769" t="inlineStr">
        <is>
          <t>1.350</t>
        </is>
      </c>
    </row>
    <row r="770">
      <c r="A770" t="inlineStr">
        <is>
          <t>Antes de 2026</t>
        </is>
      </c>
      <c r="B770" t="inlineStr">
        <is>
          <t>Frete de venda</t>
        </is>
      </c>
      <c r="C770" t="inlineStr">
        <is>
          <t>Frete de venda (para clientes)</t>
        </is>
      </c>
      <c r="D770" t="inlineStr">
        <is>
          <t>CT-e</t>
        </is>
      </c>
      <c r="E770" t="inlineStr">
        <is>
          <t>000004499</t>
        </is>
      </c>
      <c r="F770" t="inlineStr">
        <is>
          <t>R&amp;R TRANSPORTE E LOGISTICA</t>
        </is>
      </c>
      <c r="G770" s="27" t="n">
        <v>45831</v>
      </c>
      <c r="H770" s="14" t="n">
        <v>25.49</v>
      </c>
      <c r="I770" s="14" t="n">
        <v>0</v>
      </c>
      <c r="J770" s="14" t="n">
        <v>0</v>
      </c>
      <c r="K770" s="14" t="n">
        <v>0</v>
      </c>
      <c r="L770" s="14" t="n">
        <v>0</v>
      </c>
      <c r="M770" s="14">
        <f>IF(B770="Frete de venda",0,(1-ISNUMBER(SEARCH("556",P770)))*(I770*VLOOKUP($B770,Premissas!$A$4:$E$7,2,0)+J770*VLOOKUP($B770,Premissas!$A$4:$E$7,3,0))+K770*VLOOKUP($B770,Premissas!$A$4:$E$7,4,0)+L770*VLOOKUP($B770,Premissas!$A$4:$E$7,5,0))</f>
        <v/>
      </c>
      <c r="N770" s="14">
        <f>H770-M770</f>
        <v/>
      </c>
      <c r="O770" t="inlineStr">
        <is>
          <t>Não</t>
        </is>
      </c>
      <c r="P770" t="inlineStr">
        <is>
          <t>1.350</t>
        </is>
      </c>
    </row>
    <row r="771">
      <c r="A771" t="inlineStr">
        <is>
          <t>Antes de 2026</t>
        </is>
      </c>
      <c r="B771" t="inlineStr">
        <is>
          <t>Frete de venda</t>
        </is>
      </c>
      <c r="C771" t="inlineStr">
        <is>
          <t>Frete de venda (para clientes)</t>
        </is>
      </c>
      <c r="D771" t="inlineStr">
        <is>
          <t>CT-e</t>
        </is>
      </c>
      <c r="E771" t="inlineStr">
        <is>
          <t>000005338</t>
        </is>
      </c>
      <c r="F771" t="inlineStr">
        <is>
          <t>R&amp;R TRANSPORTE E LOGISTICA</t>
        </is>
      </c>
      <c r="G771" s="27" t="n">
        <v>45929</v>
      </c>
      <c r="H771" s="14" t="n">
        <v>13.13</v>
      </c>
      <c r="I771" s="14" t="n">
        <v>0</v>
      </c>
      <c r="J771" s="14" t="n">
        <v>0</v>
      </c>
      <c r="K771" s="14" t="n">
        <v>0</v>
      </c>
      <c r="L771" s="14" t="n">
        <v>0</v>
      </c>
      <c r="M771" s="14">
        <f>IF(B771="Frete de venda",0,(1-ISNUMBER(SEARCH("556",P771)))*(I771*VLOOKUP($B771,Premissas!$A$4:$E$7,2,0)+J771*VLOOKUP($B771,Premissas!$A$4:$E$7,3,0))+K771*VLOOKUP($B771,Premissas!$A$4:$E$7,4,0)+L771*VLOOKUP($B771,Premissas!$A$4:$E$7,5,0))</f>
        <v/>
      </c>
      <c r="N771" s="14">
        <f>H771-M771</f>
        <v/>
      </c>
      <c r="O771" t="inlineStr">
        <is>
          <t>Não</t>
        </is>
      </c>
      <c r="P771" t="inlineStr">
        <is>
          <t>1.350</t>
        </is>
      </c>
    </row>
    <row r="772">
      <c r="A772" t="inlineStr">
        <is>
          <t>Antes de 2026</t>
        </is>
      </c>
      <c r="B772" t="inlineStr">
        <is>
          <t>Frete de venda</t>
        </is>
      </c>
      <c r="C772" t="inlineStr">
        <is>
          <t>Frete de venda (para clientes)</t>
        </is>
      </c>
      <c r="D772" t="inlineStr">
        <is>
          <t>CT-e</t>
        </is>
      </c>
      <c r="E772" t="inlineStr">
        <is>
          <t>000006036</t>
        </is>
      </c>
      <c r="F772" t="inlineStr">
        <is>
          <t>R&amp;R TRANSPORTE E LOGISTICA</t>
        </is>
      </c>
      <c r="G772" s="27" t="n">
        <v>46011</v>
      </c>
      <c r="H772" s="14" t="n">
        <v>33</v>
      </c>
      <c r="I772" s="14" t="n">
        <v>0</v>
      </c>
      <c r="J772" s="14" t="n">
        <v>0</v>
      </c>
      <c r="K772" s="14" t="n">
        <v>0</v>
      </c>
      <c r="L772" s="14" t="n">
        <v>0</v>
      </c>
      <c r="M772" s="14">
        <f>IF(B772="Frete de venda",0,(1-ISNUMBER(SEARCH("556",P772)))*(I772*VLOOKUP($B772,Premissas!$A$4:$E$7,2,0)+J772*VLOOKUP($B772,Premissas!$A$4:$E$7,3,0))+K772*VLOOKUP($B772,Premissas!$A$4:$E$7,4,0)+L772*VLOOKUP($B772,Premissas!$A$4:$E$7,5,0))</f>
        <v/>
      </c>
      <c r="N772" s="14">
        <f>H772-M772</f>
        <v/>
      </c>
      <c r="O772" t="inlineStr">
        <is>
          <t>Não</t>
        </is>
      </c>
      <c r="P772" t="inlineStr">
        <is>
          <t>1.350</t>
        </is>
      </c>
    </row>
    <row r="773">
      <c r="A773" t="inlineStr">
        <is>
          <t>Antes de 2026</t>
        </is>
      </c>
      <c r="B773" t="inlineStr">
        <is>
          <t>Frete de venda</t>
        </is>
      </c>
      <c r="C773" t="inlineStr">
        <is>
          <t>Frete de venda (para clientes)</t>
        </is>
      </c>
      <c r="D773" t="inlineStr">
        <is>
          <t>CT-e</t>
        </is>
      </c>
      <c r="E773" t="inlineStr">
        <is>
          <t>000004897</t>
        </is>
      </c>
      <c r="F773" t="inlineStr">
        <is>
          <t>R&amp;R TRANSPORTE E LOGISTICA</t>
        </is>
      </c>
      <c r="G773" s="27" t="n">
        <v>45881</v>
      </c>
      <c r="H773" s="14" t="n">
        <v>25.46</v>
      </c>
      <c r="I773" s="14" t="n">
        <v>0</v>
      </c>
      <c r="J773" s="14" t="n">
        <v>0</v>
      </c>
      <c r="K773" s="14" t="n">
        <v>0</v>
      </c>
      <c r="L773" s="14" t="n">
        <v>0</v>
      </c>
      <c r="M773" s="14">
        <f>IF(B773="Frete de venda",0,(1-ISNUMBER(SEARCH("556",P773)))*(I773*VLOOKUP($B773,Premissas!$A$4:$E$7,2,0)+J773*VLOOKUP($B773,Premissas!$A$4:$E$7,3,0))+K773*VLOOKUP($B773,Premissas!$A$4:$E$7,4,0)+L773*VLOOKUP($B773,Premissas!$A$4:$E$7,5,0))</f>
        <v/>
      </c>
      <c r="N773" s="14">
        <f>H773-M773</f>
        <v/>
      </c>
      <c r="O773" t="inlineStr">
        <is>
          <t>Não</t>
        </is>
      </c>
      <c r="P773" t="inlineStr">
        <is>
          <t>1.350</t>
        </is>
      </c>
    </row>
    <row r="774">
      <c r="A774" t="inlineStr">
        <is>
          <t>Antes de 2026</t>
        </is>
      </c>
      <c r="B774" t="inlineStr">
        <is>
          <t>Frete de venda</t>
        </is>
      </c>
      <c r="C774" t="inlineStr">
        <is>
          <t>Frete de venda (para clientes)</t>
        </is>
      </c>
      <c r="D774" t="inlineStr">
        <is>
          <t>CT-e</t>
        </is>
      </c>
      <c r="E774" t="inlineStr">
        <is>
          <t>000005684</t>
        </is>
      </c>
      <c r="F774" t="inlineStr">
        <is>
          <t>R&amp;R TRANSPORTE E LOGISTICA</t>
        </is>
      </c>
      <c r="G774" s="27" t="n">
        <v>45967</v>
      </c>
      <c r="H774" s="14" t="n">
        <v>16</v>
      </c>
      <c r="I774" s="14" t="n">
        <v>0</v>
      </c>
      <c r="J774" s="14" t="n">
        <v>0</v>
      </c>
      <c r="K774" s="14" t="n">
        <v>0</v>
      </c>
      <c r="L774" s="14" t="n">
        <v>0</v>
      </c>
      <c r="M774" s="14">
        <f>IF(B774="Frete de venda",0,(1-ISNUMBER(SEARCH("556",P774)))*(I774*VLOOKUP($B774,Premissas!$A$4:$E$7,2,0)+J774*VLOOKUP($B774,Premissas!$A$4:$E$7,3,0))+K774*VLOOKUP($B774,Premissas!$A$4:$E$7,4,0)+L774*VLOOKUP($B774,Premissas!$A$4:$E$7,5,0))</f>
        <v/>
      </c>
      <c r="N774" s="14">
        <f>H774-M774</f>
        <v/>
      </c>
      <c r="O774" t="inlineStr">
        <is>
          <t>Não</t>
        </is>
      </c>
      <c r="P774" t="inlineStr">
        <is>
          <t>1.350</t>
        </is>
      </c>
    </row>
    <row r="775">
      <c r="A775" t="inlineStr">
        <is>
          <t>Antes de 2026</t>
        </is>
      </c>
      <c r="B775" t="inlineStr">
        <is>
          <t>Frete de venda</t>
        </is>
      </c>
      <c r="C775" t="inlineStr">
        <is>
          <t>Frete de venda (para clientes)</t>
        </is>
      </c>
      <c r="D775" t="inlineStr">
        <is>
          <t>CT-e</t>
        </is>
      </c>
      <c r="E775" t="inlineStr">
        <is>
          <t>000005244</t>
        </is>
      </c>
      <c r="F775" t="inlineStr">
        <is>
          <t>R&amp;R TRANSPORTE E LOGISTICA</t>
        </is>
      </c>
      <c r="G775" s="27" t="n">
        <v>45918</v>
      </c>
      <c r="H775" s="14" t="n">
        <v>14.61</v>
      </c>
      <c r="I775" s="14" t="n">
        <v>0</v>
      </c>
      <c r="J775" s="14" t="n">
        <v>0</v>
      </c>
      <c r="K775" s="14" t="n">
        <v>0</v>
      </c>
      <c r="L775" s="14" t="n">
        <v>0</v>
      </c>
      <c r="M775" s="14">
        <f>IF(B775="Frete de venda",0,(1-ISNUMBER(SEARCH("556",P775)))*(I775*VLOOKUP($B775,Premissas!$A$4:$E$7,2,0)+J775*VLOOKUP($B775,Premissas!$A$4:$E$7,3,0))+K775*VLOOKUP($B775,Premissas!$A$4:$E$7,4,0)+L775*VLOOKUP($B775,Premissas!$A$4:$E$7,5,0))</f>
        <v/>
      </c>
      <c r="N775" s="14">
        <f>H775-M775</f>
        <v/>
      </c>
      <c r="O775" t="inlineStr">
        <is>
          <t>Não</t>
        </is>
      </c>
      <c r="P775" t="inlineStr">
        <is>
          <t>1.350</t>
        </is>
      </c>
    </row>
    <row r="776">
      <c r="A776" t="inlineStr">
        <is>
          <t>Antes de 2026</t>
        </is>
      </c>
      <c r="B776" t="inlineStr">
        <is>
          <t>Frete de venda</t>
        </is>
      </c>
      <c r="C776" t="inlineStr">
        <is>
          <t>Frete de venda (para clientes)</t>
        </is>
      </c>
      <c r="D776" t="inlineStr">
        <is>
          <t>CT-e</t>
        </is>
      </c>
      <c r="E776" t="inlineStr">
        <is>
          <t>000005554</t>
        </is>
      </c>
      <c r="F776" t="inlineStr">
        <is>
          <t>R&amp;R TRANSPORTE E LOGISTICA</t>
        </is>
      </c>
      <c r="G776" s="27" t="n">
        <v>45955</v>
      </c>
      <c r="H776" s="14" t="n">
        <v>44.89</v>
      </c>
      <c r="I776" s="14" t="n">
        <v>0</v>
      </c>
      <c r="J776" s="14" t="n">
        <v>0</v>
      </c>
      <c r="K776" s="14" t="n">
        <v>0</v>
      </c>
      <c r="L776" s="14" t="n">
        <v>0</v>
      </c>
      <c r="M776" s="14">
        <f>IF(B776="Frete de venda",0,(1-ISNUMBER(SEARCH("556",P776)))*(I776*VLOOKUP($B776,Premissas!$A$4:$E$7,2,0)+J776*VLOOKUP($B776,Premissas!$A$4:$E$7,3,0))+K776*VLOOKUP($B776,Premissas!$A$4:$E$7,4,0)+L776*VLOOKUP($B776,Premissas!$A$4:$E$7,5,0))</f>
        <v/>
      </c>
      <c r="N776" s="14">
        <f>H776-M776</f>
        <v/>
      </c>
      <c r="O776" t="inlineStr">
        <is>
          <t>Não</t>
        </is>
      </c>
      <c r="P776" t="inlineStr">
        <is>
          <t>1.350</t>
        </is>
      </c>
    </row>
    <row r="777">
      <c r="A777" t="inlineStr">
        <is>
          <t>Antes de 2026</t>
        </is>
      </c>
      <c r="B777" t="inlineStr">
        <is>
          <t>Frete de venda</t>
        </is>
      </c>
      <c r="C777" t="inlineStr">
        <is>
          <t>Frete de venda (para clientes)</t>
        </is>
      </c>
      <c r="D777" t="inlineStr">
        <is>
          <t>CT-e</t>
        </is>
      </c>
      <c r="E777" t="inlineStr">
        <is>
          <t>000004707</t>
        </is>
      </c>
      <c r="F777" t="inlineStr">
        <is>
          <t>R&amp;R TRANSPORTE E LOGISTICA</t>
        </is>
      </c>
      <c r="G777" s="27" t="n">
        <v>45860</v>
      </c>
      <c r="H777" s="14" t="n">
        <v>31.32</v>
      </c>
      <c r="I777" s="14" t="n">
        <v>0</v>
      </c>
      <c r="J777" s="14" t="n">
        <v>0</v>
      </c>
      <c r="K777" s="14" t="n">
        <v>0</v>
      </c>
      <c r="L777" s="14" t="n">
        <v>0</v>
      </c>
      <c r="M777" s="14">
        <f>IF(B777="Frete de venda",0,(1-ISNUMBER(SEARCH("556",P777)))*(I777*VLOOKUP($B777,Premissas!$A$4:$E$7,2,0)+J777*VLOOKUP($B777,Premissas!$A$4:$E$7,3,0))+K777*VLOOKUP($B777,Premissas!$A$4:$E$7,4,0)+L777*VLOOKUP($B777,Premissas!$A$4:$E$7,5,0))</f>
        <v/>
      </c>
      <c r="N777" s="14">
        <f>H777-M777</f>
        <v/>
      </c>
      <c r="O777" t="inlineStr">
        <is>
          <t>Não</t>
        </is>
      </c>
      <c r="P777" t="inlineStr">
        <is>
          <t>1.350</t>
        </is>
      </c>
    </row>
    <row r="778">
      <c r="A778" t="inlineStr">
        <is>
          <t>Antes de 2026</t>
        </is>
      </c>
      <c r="B778" t="inlineStr">
        <is>
          <t>Frete de venda</t>
        </is>
      </c>
      <c r="C778" t="inlineStr">
        <is>
          <t>Frete de venda (para clientes)</t>
        </is>
      </c>
      <c r="D778" t="inlineStr">
        <is>
          <t>CT-e</t>
        </is>
      </c>
      <c r="E778" t="inlineStr">
        <is>
          <t>000005531</t>
        </is>
      </c>
      <c r="F778" t="inlineStr">
        <is>
          <t>R&amp;R TRANSPORTE E LOGISTICA</t>
        </is>
      </c>
      <c r="G778" s="27" t="n">
        <v>45953</v>
      </c>
      <c r="H778" s="14" t="n">
        <v>35.71</v>
      </c>
      <c r="I778" s="14" t="n">
        <v>0</v>
      </c>
      <c r="J778" s="14" t="n">
        <v>0</v>
      </c>
      <c r="K778" s="14" t="n">
        <v>0</v>
      </c>
      <c r="L778" s="14" t="n">
        <v>0</v>
      </c>
      <c r="M778" s="14">
        <f>IF(B778="Frete de venda",0,(1-ISNUMBER(SEARCH("556",P778)))*(I778*VLOOKUP($B778,Premissas!$A$4:$E$7,2,0)+J778*VLOOKUP($B778,Premissas!$A$4:$E$7,3,0))+K778*VLOOKUP($B778,Premissas!$A$4:$E$7,4,0)+L778*VLOOKUP($B778,Premissas!$A$4:$E$7,5,0))</f>
        <v/>
      </c>
      <c r="N778" s="14">
        <f>H778-M778</f>
        <v/>
      </c>
      <c r="O778" t="inlineStr">
        <is>
          <t>Não</t>
        </is>
      </c>
      <c r="P778" t="inlineStr">
        <is>
          <t>1.350</t>
        </is>
      </c>
    </row>
    <row r="779">
      <c r="A779" t="inlineStr">
        <is>
          <t>Antes de 2026</t>
        </is>
      </c>
      <c r="B779" t="inlineStr">
        <is>
          <t>Frete de venda</t>
        </is>
      </c>
      <c r="C779" t="inlineStr">
        <is>
          <t>Frete de venda (para clientes)</t>
        </is>
      </c>
      <c r="D779" t="inlineStr">
        <is>
          <t>CT-e</t>
        </is>
      </c>
      <c r="E779" t="inlineStr">
        <is>
          <t>000005425</t>
        </is>
      </c>
      <c r="F779" t="inlineStr">
        <is>
          <t>R&amp;R TRANSPORTE E LOGISTICA</t>
        </is>
      </c>
      <c r="G779" s="27" t="n">
        <v>45939</v>
      </c>
      <c r="H779" s="14" t="n">
        <v>156.47</v>
      </c>
      <c r="I779" s="14" t="n">
        <v>0</v>
      </c>
      <c r="J779" s="14" t="n">
        <v>0</v>
      </c>
      <c r="K779" s="14" t="n">
        <v>0</v>
      </c>
      <c r="L779" s="14" t="n">
        <v>0</v>
      </c>
      <c r="M779" s="14">
        <f>IF(B779="Frete de venda",0,(1-ISNUMBER(SEARCH("556",P779)))*(I779*VLOOKUP($B779,Premissas!$A$4:$E$7,2,0)+J779*VLOOKUP($B779,Premissas!$A$4:$E$7,3,0))+K779*VLOOKUP($B779,Premissas!$A$4:$E$7,4,0)+L779*VLOOKUP($B779,Premissas!$A$4:$E$7,5,0))</f>
        <v/>
      </c>
      <c r="N779" s="14">
        <f>H779-M779</f>
        <v/>
      </c>
      <c r="O779" t="inlineStr">
        <is>
          <t>Não</t>
        </is>
      </c>
      <c r="P779" t="inlineStr">
        <is>
          <t>1.350</t>
        </is>
      </c>
    </row>
    <row r="780">
      <c r="A780" t="inlineStr">
        <is>
          <t>Antes de 2026</t>
        </is>
      </c>
      <c r="B780" t="inlineStr">
        <is>
          <t>Frete de venda</t>
        </is>
      </c>
      <c r="C780" t="inlineStr">
        <is>
          <t>Frete de venda (para clientes)</t>
        </is>
      </c>
      <c r="D780" t="inlineStr">
        <is>
          <t>CT-e</t>
        </is>
      </c>
      <c r="E780" t="inlineStr">
        <is>
          <t>000005744</t>
        </is>
      </c>
      <c r="F780" t="inlineStr">
        <is>
          <t>R&amp;R TRANSPORTE E LOGISTICA</t>
        </is>
      </c>
      <c r="G780" s="27" t="n">
        <v>45979</v>
      </c>
      <c r="H780" s="14" t="n">
        <v>68.12</v>
      </c>
      <c r="I780" s="14" t="n">
        <v>0</v>
      </c>
      <c r="J780" s="14" t="n">
        <v>0</v>
      </c>
      <c r="K780" s="14" t="n">
        <v>0</v>
      </c>
      <c r="L780" s="14" t="n">
        <v>0</v>
      </c>
      <c r="M780" s="14">
        <f>IF(B780="Frete de venda",0,(1-ISNUMBER(SEARCH("556",P780)))*(I780*VLOOKUP($B780,Premissas!$A$4:$E$7,2,0)+J780*VLOOKUP($B780,Premissas!$A$4:$E$7,3,0))+K780*VLOOKUP($B780,Premissas!$A$4:$E$7,4,0)+L780*VLOOKUP($B780,Premissas!$A$4:$E$7,5,0))</f>
        <v/>
      </c>
      <c r="N780" s="14">
        <f>H780-M780</f>
        <v/>
      </c>
      <c r="O780" t="inlineStr">
        <is>
          <t>Não</t>
        </is>
      </c>
      <c r="P780" t="inlineStr">
        <is>
          <t>1.350</t>
        </is>
      </c>
    </row>
    <row r="781">
      <c r="A781" t="inlineStr">
        <is>
          <t>Antes de 2026</t>
        </is>
      </c>
      <c r="B781" t="inlineStr">
        <is>
          <t>Frete de venda</t>
        </is>
      </c>
      <c r="C781" t="inlineStr">
        <is>
          <t>Frete de venda (para clientes)</t>
        </is>
      </c>
      <c r="D781" t="inlineStr">
        <is>
          <t>CT-e</t>
        </is>
      </c>
      <c r="E781" t="inlineStr">
        <is>
          <t>000004387</t>
        </is>
      </c>
      <c r="F781" t="inlineStr">
        <is>
          <t>R&amp;R TRANSPORTE E LOGISTICA</t>
        </is>
      </c>
      <c r="G781" s="27" t="n">
        <v>45813</v>
      </c>
      <c r="H781" s="14" t="n">
        <v>650</v>
      </c>
      <c r="I781" s="14" t="n">
        <v>0</v>
      </c>
      <c r="J781" s="14" t="n">
        <v>0</v>
      </c>
      <c r="K781" s="14" t="n">
        <v>0</v>
      </c>
      <c r="L781" s="14" t="n">
        <v>0</v>
      </c>
      <c r="M781" s="14">
        <f>IF(B781="Frete de venda",0,(1-ISNUMBER(SEARCH("556",P781)))*(I781*VLOOKUP($B781,Premissas!$A$4:$E$7,2,0)+J781*VLOOKUP($B781,Premissas!$A$4:$E$7,3,0))+K781*VLOOKUP($B781,Premissas!$A$4:$E$7,4,0)+L781*VLOOKUP($B781,Premissas!$A$4:$E$7,5,0))</f>
        <v/>
      </c>
      <c r="N781" s="14">
        <f>H781-M781</f>
        <v/>
      </c>
      <c r="O781" t="inlineStr">
        <is>
          <t>Não</t>
        </is>
      </c>
      <c r="P781" t="inlineStr">
        <is>
          <t>1.350</t>
        </is>
      </c>
    </row>
    <row r="782">
      <c r="A782" t="inlineStr">
        <is>
          <t>Antes de 2026</t>
        </is>
      </c>
      <c r="B782" t="inlineStr">
        <is>
          <t>Frete de venda</t>
        </is>
      </c>
      <c r="C782" t="inlineStr">
        <is>
          <t>Frete de venda (para clientes)</t>
        </is>
      </c>
      <c r="D782" t="inlineStr">
        <is>
          <t>CT-e</t>
        </is>
      </c>
      <c r="E782" t="inlineStr">
        <is>
          <t>000004754</t>
        </is>
      </c>
      <c r="F782" t="inlineStr">
        <is>
          <t>R&amp;R TRANSPORTE E LOGISTICA</t>
        </is>
      </c>
      <c r="G782" s="27" t="n">
        <v>45866</v>
      </c>
      <c r="H782" s="14" t="n">
        <v>350</v>
      </c>
      <c r="I782" s="14" t="n">
        <v>0</v>
      </c>
      <c r="J782" s="14" t="n">
        <v>0</v>
      </c>
      <c r="K782" s="14" t="n">
        <v>0</v>
      </c>
      <c r="L782" s="14" t="n">
        <v>0</v>
      </c>
      <c r="M782" s="14">
        <f>IF(B782="Frete de venda",0,(1-ISNUMBER(SEARCH("556",P782)))*(I782*VLOOKUP($B782,Premissas!$A$4:$E$7,2,0)+J782*VLOOKUP($B782,Premissas!$A$4:$E$7,3,0))+K782*VLOOKUP($B782,Premissas!$A$4:$E$7,4,0)+L782*VLOOKUP($B782,Premissas!$A$4:$E$7,5,0))</f>
        <v/>
      </c>
      <c r="N782" s="14">
        <f>H782-M782</f>
        <v/>
      </c>
      <c r="O782" t="inlineStr">
        <is>
          <t>Não</t>
        </is>
      </c>
      <c r="P782" t="inlineStr">
        <is>
          <t>1.350</t>
        </is>
      </c>
    </row>
    <row r="783">
      <c r="A783" t="inlineStr">
        <is>
          <t>Antes de 2026</t>
        </is>
      </c>
      <c r="B783" t="inlineStr">
        <is>
          <t>Frete de venda</t>
        </is>
      </c>
      <c r="C783" t="inlineStr">
        <is>
          <t>Frete de venda (para clientes)</t>
        </is>
      </c>
      <c r="D783" t="inlineStr">
        <is>
          <t>CT-e</t>
        </is>
      </c>
      <c r="E783" t="inlineStr">
        <is>
          <t>000004848</t>
        </is>
      </c>
      <c r="F783" t="inlineStr">
        <is>
          <t>R&amp;R TRANSPORTE E LOGISTICA</t>
        </is>
      </c>
      <c r="G783" s="27" t="n">
        <v>45874</v>
      </c>
      <c r="H783" s="14" t="n">
        <v>600</v>
      </c>
      <c r="I783" s="14" t="n">
        <v>0</v>
      </c>
      <c r="J783" s="14" t="n">
        <v>0</v>
      </c>
      <c r="K783" s="14" t="n">
        <v>0</v>
      </c>
      <c r="L783" s="14" t="n">
        <v>0</v>
      </c>
      <c r="M783" s="14">
        <f>IF(B783="Frete de venda",0,(1-ISNUMBER(SEARCH("556",P783)))*(I783*VLOOKUP($B783,Premissas!$A$4:$E$7,2,0)+J783*VLOOKUP($B783,Premissas!$A$4:$E$7,3,0))+K783*VLOOKUP($B783,Premissas!$A$4:$E$7,4,0)+L783*VLOOKUP($B783,Premissas!$A$4:$E$7,5,0))</f>
        <v/>
      </c>
      <c r="N783" s="14">
        <f>H783-M783</f>
        <v/>
      </c>
      <c r="O783" t="inlineStr">
        <is>
          <t>Não</t>
        </is>
      </c>
      <c r="P783" t="inlineStr">
        <is>
          <t>1.350</t>
        </is>
      </c>
    </row>
    <row r="784">
      <c r="A784" t="inlineStr">
        <is>
          <t>Antes de 2026</t>
        </is>
      </c>
      <c r="B784" t="inlineStr">
        <is>
          <t>Frete de venda</t>
        </is>
      </c>
      <c r="C784" t="inlineStr">
        <is>
          <t>Frete de venda (para clientes)</t>
        </is>
      </c>
      <c r="D784" t="inlineStr">
        <is>
          <t>CT-e</t>
        </is>
      </c>
      <c r="E784" t="inlineStr">
        <is>
          <t>000005735</t>
        </is>
      </c>
      <c r="F784" t="inlineStr">
        <is>
          <t>R&amp;R TRANSPORTE E LOGISTICA</t>
        </is>
      </c>
      <c r="G784" s="27" t="n">
        <v>45975</v>
      </c>
      <c r="H784" s="14" t="n">
        <v>700</v>
      </c>
      <c r="I784" s="14" t="n">
        <v>0</v>
      </c>
      <c r="J784" s="14" t="n">
        <v>0</v>
      </c>
      <c r="K784" s="14" t="n">
        <v>0</v>
      </c>
      <c r="L784" s="14" t="n">
        <v>0</v>
      </c>
      <c r="M784" s="14">
        <f>IF(B784="Frete de venda",0,(1-ISNUMBER(SEARCH("556",P784)))*(I784*VLOOKUP($B784,Premissas!$A$4:$E$7,2,0)+J784*VLOOKUP($B784,Premissas!$A$4:$E$7,3,0))+K784*VLOOKUP($B784,Premissas!$A$4:$E$7,4,0)+L784*VLOOKUP($B784,Premissas!$A$4:$E$7,5,0))</f>
        <v/>
      </c>
      <c r="N784" s="14">
        <f>H784-M784</f>
        <v/>
      </c>
      <c r="O784" t="inlineStr">
        <is>
          <t>Não</t>
        </is>
      </c>
      <c r="P784" t="inlineStr">
        <is>
          <t>1.350</t>
        </is>
      </c>
    </row>
    <row r="785">
      <c r="A785" t="inlineStr">
        <is>
          <t>Antes de 2026</t>
        </is>
      </c>
      <c r="B785" t="inlineStr">
        <is>
          <t>Frete de venda</t>
        </is>
      </c>
      <c r="C785" t="inlineStr">
        <is>
          <t>Frete de venda (para clientes)</t>
        </is>
      </c>
      <c r="D785" t="inlineStr">
        <is>
          <t>CT-e</t>
        </is>
      </c>
      <c r="E785" t="inlineStr">
        <is>
          <t>000005923</t>
        </is>
      </c>
      <c r="F785" t="inlineStr">
        <is>
          <t>R&amp;R TRANSPORTE E LOGISTICA</t>
        </is>
      </c>
      <c r="G785" s="27" t="n">
        <v>45996</v>
      </c>
      <c r="H785" s="14" t="n">
        <v>1600</v>
      </c>
      <c r="I785" s="14" t="n">
        <v>0</v>
      </c>
      <c r="J785" s="14" t="n">
        <v>0</v>
      </c>
      <c r="K785" s="14" t="n">
        <v>0</v>
      </c>
      <c r="L785" s="14" t="n">
        <v>0</v>
      </c>
      <c r="M785" s="14">
        <f>IF(B785="Frete de venda",0,(1-ISNUMBER(SEARCH("556",P785)))*(I785*VLOOKUP($B785,Premissas!$A$4:$E$7,2,0)+J785*VLOOKUP($B785,Premissas!$A$4:$E$7,3,0))+K785*VLOOKUP($B785,Premissas!$A$4:$E$7,4,0)+L785*VLOOKUP($B785,Premissas!$A$4:$E$7,5,0))</f>
        <v/>
      </c>
      <c r="N785" s="14">
        <f>H785-M785</f>
        <v/>
      </c>
      <c r="O785" t="inlineStr">
        <is>
          <t>Não</t>
        </is>
      </c>
      <c r="P785" t="inlineStr">
        <is>
          <t>1.350</t>
        </is>
      </c>
    </row>
    <row r="786">
      <c r="A786" t="inlineStr">
        <is>
          <t>Antes de 2026</t>
        </is>
      </c>
      <c r="B786" t="inlineStr">
        <is>
          <t>Frete de venda</t>
        </is>
      </c>
      <c r="C786" t="inlineStr">
        <is>
          <t>Frete de venda (para clientes)</t>
        </is>
      </c>
      <c r="D786" t="inlineStr">
        <is>
          <t>CT-e</t>
        </is>
      </c>
      <c r="E786" t="inlineStr">
        <is>
          <t>000004205</t>
        </is>
      </c>
      <c r="F786" t="inlineStr">
        <is>
          <t>R&amp;R TRANSPORTE E LOGISTICA</t>
        </is>
      </c>
      <c r="G786" s="27" t="n">
        <v>45790</v>
      </c>
      <c r="H786" s="14" t="n">
        <v>38.6</v>
      </c>
      <c r="I786" s="14" t="n">
        <v>0</v>
      </c>
      <c r="J786" s="14" t="n">
        <v>0</v>
      </c>
      <c r="K786" s="14" t="n">
        <v>0</v>
      </c>
      <c r="L786" s="14" t="n">
        <v>0</v>
      </c>
      <c r="M786" s="14">
        <f>IF(B786="Frete de venda",0,(1-ISNUMBER(SEARCH("556",P786)))*(I786*VLOOKUP($B786,Premissas!$A$4:$E$7,2,0)+J786*VLOOKUP($B786,Premissas!$A$4:$E$7,3,0))+K786*VLOOKUP($B786,Premissas!$A$4:$E$7,4,0)+L786*VLOOKUP($B786,Premissas!$A$4:$E$7,5,0))</f>
        <v/>
      </c>
      <c r="N786" s="14">
        <f>H786-M786</f>
        <v/>
      </c>
      <c r="O786" t="inlineStr">
        <is>
          <t>Não</t>
        </is>
      </c>
      <c r="P786" t="inlineStr">
        <is>
          <t>1.350</t>
        </is>
      </c>
    </row>
    <row r="787">
      <c r="A787" t="inlineStr">
        <is>
          <t>Antes de 2026</t>
        </is>
      </c>
      <c r="B787" t="inlineStr">
        <is>
          <t>Frete de venda</t>
        </is>
      </c>
      <c r="C787" t="inlineStr">
        <is>
          <t>Frete de venda (para clientes)</t>
        </is>
      </c>
      <c r="D787" t="inlineStr">
        <is>
          <t>CT-e</t>
        </is>
      </c>
      <c r="E787" t="inlineStr">
        <is>
          <t>000005019</t>
        </is>
      </c>
      <c r="F787" t="inlineStr">
        <is>
          <t>R&amp;R TRANSPORTE E LOGISTICA</t>
        </is>
      </c>
      <c r="G787" s="27" t="n">
        <v>45895</v>
      </c>
      <c r="H787" s="14" t="n">
        <v>20.03</v>
      </c>
      <c r="I787" s="14" t="n">
        <v>0</v>
      </c>
      <c r="J787" s="14" t="n">
        <v>0</v>
      </c>
      <c r="K787" s="14" t="n">
        <v>0</v>
      </c>
      <c r="L787" s="14" t="n">
        <v>0</v>
      </c>
      <c r="M787" s="14">
        <f>IF(B787="Frete de venda",0,(1-ISNUMBER(SEARCH("556",P787)))*(I787*VLOOKUP($B787,Premissas!$A$4:$E$7,2,0)+J787*VLOOKUP($B787,Premissas!$A$4:$E$7,3,0))+K787*VLOOKUP($B787,Premissas!$A$4:$E$7,4,0)+L787*VLOOKUP($B787,Premissas!$A$4:$E$7,5,0))</f>
        <v/>
      </c>
      <c r="N787" s="14">
        <f>H787-M787</f>
        <v/>
      </c>
      <c r="O787" t="inlineStr">
        <is>
          <t>Não</t>
        </is>
      </c>
      <c r="P787" t="inlineStr">
        <is>
          <t>1.350</t>
        </is>
      </c>
    </row>
    <row r="788">
      <c r="A788" t="inlineStr">
        <is>
          <t>Antes de 2026</t>
        </is>
      </c>
      <c r="B788" t="inlineStr">
        <is>
          <t>Frete de venda</t>
        </is>
      </c>
      <c r="C788" t="inlineStr">
        <is>
          <t>Frete de venda (para clientes)</t>
        </is>
      </c>
      <c r="D788" t="inlineStr">
        <is>
          <t>CT-e</t>
        </is>
      </c>
      <c r="E788" t="inlineStr">
        <is>
          <t>000005782</t>
        </is>
      </c>
      <c r="F788" t="inlineStr">
        <is>
          <t>R&amp;R TRANSPORTE E LOGISTICA</t>
        </is>
      </c>
      <c r="G788" s="27" t="n">
        <v>45981</v>
      </c>
      <c r="H788" s="14" t="n">
        <v>18.72</v>
      </c>
      <c r="I788" s="14" t="n">
        <v>0</v>
      </c>
      <c r="J788" s="14" t="n">
        <v>0</v>
      </c>
      <c r="K788" s="14" t="n">
        <v>0</v>
      </c>
      <c r="L788" s="14" t="n">
        <v>0</v>
      </c>
      <c r="M788" s="14">
        <f>IF(B788="Frete de venda",0,(1-ISNUMBER(SEARCH("556",P788)))*(I788*VLOOKUP($B788,Premissas!$A$4:$E$7,2,0)+J788*VLOOKUP($B788,Premissas!$A$4:$E$7,3,0))+K788*VLOOKUP($B788,Premissas!$A$4:$E$7,4,0)+L788*VLOOKUP($B788,Premissas!$A$4:$E$7,5,0))</f>
        <v/>
      </c>
      <c r="N788" s="14">
        <f>H788-M788</f>
        <v/>
      </c>
      <c r="O788" t="inlineStr">
        <is>
          <t>Não</t>
        </is>
      </c>
      <c r="P788" t="inlineStr">
        <is>
          <t>1.350</t>
        </is>
      </c>
    </row>
    <row r="789">
      <c r="A789" t="inlineStr">
        <is>
          <t>Antes de 2026</t>
        </is>
      </c>
      <c r="B789" t="inlineStr">
        <is>
          <t>Frete de venda</t>
        </is>
      </c>
      <c r="C789" t="inlineStr">
        <is>
          <t>Frete de venda (para clientes)</t>
        </is>
      </c>
      <c r="D789" t="inlineStr">
        <is>
          <t>CT-e</t>
        </is>
      </c>
      <c r="E789" t="inlineStr">
        <is>
          <t>000004831</t>
        </is>
      </c>
      <c r="F789" t="inlineStr">
        <is>
          <t>R&amp;R TRANSPORTE E LOGISTICA</t>
        </is>
      </c>
      <c r="G789" s="27" t="n">
        <v>45870</v>
      </c>
      <c r="H789" s="14" t="n">
        <v>17.27</v>
      </c>
      <c r="I789" s="14" t="n">
        <v>0</v>
      </c>
      <c r="J789" s="14" t="n">
        <v>0</v>
      </c>
      <c r="K789" s="14" t="n">
        <v>0</v>
      </c>
      <c r="L789" s="14" t="n">
        <v>0</v>
      </c>
      <c r="M789" s="14">
        <f>IF(B789="Frete de venda",0,(1-ISNUMBER(SEARCH("556",P789)))*(I789*VLOOKUP($B789,Premissas!$A$4:$E$7,2,0)+J789*VLOOKUP($B789,Premissas!$A$4:$E$7,3,0))+K789*VLOOKUP($B789,Premissas!$A$4:$E$7,4,0)+L789*VLOOKUP($B789,Premissas!$A$4:$E$7,5,0))</f>
        <v/>
      </c>
      <c r="N789" s="14">
        <f>H789-M789</f>
        <v/>
      </c>
      <c r="O789" t="inlineStr">
        <is>
          <t>Não</t>
        </is>
      </c>
      <c r="P789" t="inlineStr">
        <is>
          <t>1.350</t>
        </is>
      </c>
    </row>
    <row r="790">
      <c r="A790" t="inlineStr">
        <is>
          <t>Antes de 2026</t>
        </is>
      </c>
      <c r="B790" t="inlineStr">
        <is>
          <t>Frete de venda</t>
        </is>
      </c>
      <c r="C790" t="inlineStr">
        <is>
          <t>Frete de venda (para clientes)</t>
        </is>
      </c>
      <c r="D790" t="inlineStr">
        <is>
          <t>CT-e</t>
        </is>
      </c>
      <c r="E790" t="inlineStr">
        <is>
          <t>000005632</t>
        </is>
      </c>
      <c r="F790" t="inlineStr">
        <is>
          <t>R&amp;R TRANSPORTE E LOGISTICA</t>
        </is>
      </c>
      <c r="G790" s="27" t="n">
        <v>45961</v>
      </c>
      <c r="H790" s="14" t="n">
        <v>21.59</v>
      </c>
      <c r="I790" s="14" t="n">
        <v>0</v>
      </c>
      <c r="J790" s="14" t="n">
        <v>0</v>
      </c>
      <c r="K790" s="14" t="n">
        <v>0</v>
      </c>
      <c r="L790" s="14" t="n">
        <v>0</v>
      </c>
      <c r="M790" s="14">
        <f>IF(B790="Frete de venda",0,(1-ISNUMBER(SEARCH("556",P790)))*(I790*VLOOKUP($B790,Premissas!$A$4:$E$7,2,0)+J790*VLOOKUP($B790,Premissas!$A$4:$E$7,3,0))+K790*VLOOKUP($B790,Premissas!$A$4:$E$7,4,0)+L790*VLOOKUP($B790,Premissas!$A$4:$E$7,5,0))</f>
        <v/>
      </c>
      <c r="N790" s="14">
        <f>H790-M790</f>
        <v/>
      </c>
      <c r="O790" t="inlineStr">
        <is>
          <t>Não</t>
        </is>
      </c>
      <c r="P790" t="inlineStr">
        <is>
          <t>1.350</t>
        </is>
      </c>
    </row>
    <row r="791">
      <c r="A791" t="inlineStr">
        <is>
          <t>Antes de 2026</t>
        </is>
      </c>
      <c r="B791" t="inlineStr">
        <is>
          <t>Frete de venda</t>
        </is>
      </c>
      <c r="C791" t="inlineStr">
        <is>
          <t>Frete de venda (para clientes)</t>
        </is>
      </c>
      <c r="D791" t="inlineStr">
        <is>
          <t>CT-e</t>
        </is>
      </c>
      <c r="E791" t="inlineStr">
        <is>
          <t>000004478</t>
        </is>
      </c>
      <c r="F791" t="inlineStr">
        <is>
          <t>R&amp;R TRANSPORTE E LOGISTICA</t>
        </is>
      </c>
      <c r="G791" s="27" t="n">
        <v>45831</v>
      </c>
      <c r="H791" s="14" t="n">
        <v>37.52</v>
      </c>
      <c r="I791" s="14" t="n">
        <v>0</v>
      </c>
      <c r="J791" s="14" t="n">
        <v>0</v>
      </c>
      <c r="K791" s="14" t="n">
        <v>0</v>
      </c>
      <c r="L791" s="14" t="n">
        <v>0</v>
      </c>
      <c r="M791" s="14">
        <f>IF(B791="Frete de venda",0,(1-ISNUMBER(SEARCH("556",P791)))*(I791*VLOOKUP($B791,Premissas!$A$4:$E$7,2,0)+J791*VLOOKUP($B791,Premissas!$A$4:$E$7,3,0))+K791*VLOOKUP($B791,Premissas!$A$4:$E$7,4,0)+L791*VLOOKUP($B791,Premissas!$A$4:$E$7,5,0))</f>
        <v/>
      </c>
      <c r="N791" s="14">
        <f>H791-M791</f>
        <v/>
      </c>
      <c r="O791" t="inlineStr">
        <is>
          <t>Não</t>
        </is>
      </c>
      <c r="P791" t="inlineStr">
        <is>
          <t>1.350</t>
        </is>
      </c>
    </row>
    <row r="792">
      <c r="A792" t="inlineStr">
        <is>
          <t>Antes de 2026</t>
        </is>
      </c>
      <c r="B792" t="inlineStr">
        <is>
          <t>Frete de venda</t>
        </is>
      </c>
      <c r="C792" t="inlineStr">
        <is>
          <t>Frete de venda (para clientes)</t>
        </is>
      </c>
      <c r="D792" t="inlineStr">
        <is>
          <t>CT-e</t>
        </is>
      </c>
      <c r="E792" t="inlineStr">
        <is>
          <t>000005497</t>
        </is>
      </c>
      <c r="F792" t="inlineStr">
        <is>
          <t>R&amp;R TRANSPORTE E LOGISTICA</t>
        </is>
      </c>
      <c r="G792" s="27" t="n">
        <v>45947</v>
      </c>
      <c r="H792" s="14" t="n">
        <v>108.3</v>
      </c>
      <c r="I792" s="14" t="n">
        <v>0</v>
      </c>
      <c r="J792" s="14" t="n">
        <v>0</v>
      </c>
      <c r="K792" s="14" t="n">
        <v>0</v>
      </c>
      <c r="L792" s="14" t="n">
        <v>0</v>
      </c>
      <c r="M792" s="14">
        <f>IF(B792="Frete de venda",0,(1-ISNUMBER(SEARCH("556",P792)))*(I792*VLOOKUP($B792,Premissas!$A$4:$E$7,2,0)+J792*VLOOKUP($B792,Premissas!$A$4:$E$7,3,0))+K792*VLOOKUP($B792,Premissas!$A$4:$E$7,4,0)+L792*VLOOKUP($B792,Premissas!$A$4:$E$7,5,0))</f>
        <v/>
      </c>
      <c r="N792" s="14">
        <f>H792-M792</f>
        <v/>
      </c>
      <c r="O792" t="inlineStr">
        <is>
          <t>Não</t>
        </is>
      </c>
      <c r="P792" t="inlineStr">
        <is>
          <t>1.350</t>
        </is>
      </c>
    </row>
    <row r="793">
      <c r="A793" t="inlineStr">
        <is>
          <t>Antes de 2026</t>
        </is>
      </c>
      <c r="B793" t="inlineStr">
        <is>
          <t>Frete de venda</t>
        </is>
      </c>
      <c r="C793" t="inlineStr">
        <is>
          <t>Frete de venda (para clientes)</t>
        </is>
      </c>
      <c r="D793" t="inlineStr">
        <is>
          <t>CT-e</t>
        </is>
      </c>
      <c r="E793" t="inlineStr">
        <is>
          <t>000005622</t>
        </is>
      </c>
      <c r="F793" t="inlineStr">
        <is>
          <t>R&amp;R TRANSPORTE E LOGISTICA</t>
        </is>
      </c>
      <c r="G793" s="27" t="n">
        <v>45960</v>
      </c>
      <c r="H793" s="14" t="n">
        <v>99.67</v>
      </c>
      <c r="I793" s="14" t="n">
        <v>0</v>
      </c>
      <c r="J793" s="14" t="n">
        <v>0</v>
      </c>
      <c r="K793" s="14" t="n">
        <v>0</v>
      </c>
      <c r="L793" s="14" t="n">
        <v>0</v>
      </c>
      <c r="M793" s="14">
        <f>IF(B793="Frete de venda",0,(1-ISNUMBER(SEARCH("556",P793)))*(I793*VLOOKUP($B793,Premissas!$A$4:$E$7,2,0)+J793*VLOOKUP($B793,Premissas!$A$4:$E$7,3,0))+K793*VLOOKUP($B793,Premissas!$A$4:$E$7,4,0)+L793*VLOOKUP($B793,Premissas!$A$4:$E$7,5,0))</f>
        <v/>
      </c>
      <c r="N793" s="14">
        <f>H793-M793</f>
        <v/>
      </c>
      <c r="O793" t="inlineStr">
        <is>
          <t>Não</t>
        </is>
      </c>
      <c r="P793" t="inlineStr">
        <is>
          <t>1.350</t>
        </is>
      </c>
    </row>
    <row r="794">
      <c r="A794" t="inlineStr">
        <is>
          <t>Antes de 2026</t>
        </is>
      </c>
      <c r="B794" t="inlineStr">
        <is>
          <t>Frete de venda</t>
        </is>
      </c>
      <c r="C794" t="inlineStr">
        <is>
          <t>Frete de venda (para clientes)</t>
        </is>
      </c>
      <c r="D794" t="inlineStr">
        <is>
          <t>CT-e</t>
        </is>
      </c>
      <c r="E794" t="inlineStr">
        <is>
          <t>000005928</t>
        </is>
      </c>
      <c r="F794" t="inlineStr">
        <is>
          <t>R&amp;R TRANSPORTE E LOGISTICA</t>
        </is>
      </c>
      <c r="G794" s="27" t="n">
        <v>45996</v>
      </c>
      <c r="H794" s="14" t="n">
        <v>62.55</v>
      </c>
      <c r="I794" s="14" t="n">
        <v>0</v>
      </c>
      <c r="J794" s="14" t="n">
        <v>0</v>
      </c>
      <c r="K794" s="14" t="n">
        <v>0</v>
      </c>
      <c r="L794" s="14" t="n">
        <v>0</v>
      </c>
      <c r="M794" s="14">
        <f>IF(B794="Frete de venda",0,(1-ISNUMBER(SEARCH("556",P794)))*(I794*VLOOKUP($B794,Premissas!$A$4:$E$7,2,0)+J794*VLOOKUP($B794,Premissas!$A$4:$E$7,3,0))+K794*VLOOKUP($B794,Premissas!$A$4:$E$7,4,0)+L794*VLOOKUP($B794,Premissas!$A$4:$E$7,5,0))</f>
        <v/>
      </c>
      <c r="N794" s="14">
        <f>H794-M794</f>
        <v/>
      </c>
      <c r="O794" t="inlineStr">
        <is>
          <t>Não</t>
        </is>
      </c>
      <c r="P794" t="inlineStr">
        <is>
          <t>1.350</t>
        </is>
      </c>
    </row>
    <row r="795">
      <c r="A795" t="inlineStr">
        <is>
          <t>Antes de 2026</t>
        </is>
      </c>
      <c r="B795" t="inlineStr">
        <is>
          <t>Frete de venda</t>
        </is>
      </c>
      <c r="C795" t="inlineStr">
        <is>
          <t>Frete de venda (para clientes)</t>
        </is>
      </c>
      <c r="D795" t="inlineStr">
        <is>
          <t>CT-e</t>
        </is>
      </c>
      <c r="E795" t="inlineStr">
        <is>
          <t>000004203</t>
        </is>
      </c>
      <c r="F795" t="inlineStr">
        <is>
          <t>R&amp;R TRANSPORTE E LOGISTICA</t>
        </is>
      </c>
      <c r="G795" s="27" t="n">
        <v>45790</v>
      </c>
      <c r="H795" s="14" t="n">
        <v>31.4</v>
      </c>
      <c r="I795" s="14" t="n">
        <v>0</v>
      </c>
      <c r="J795" s="14" t="n">
        <v>0</v>
      </c>
      <c r="K795" s="14" t="n">
        <v>0</v>
      </c>
      <c r="L795" s="14" t="n">
        <v>0</v>
      </c>
      <c r="M795" s="14">
        <f>IF(B795="Frete de venda",0,(1-ISNUMBER(SEARCH("556",P795)))*(I795*VLOOKUP($B795,Premissas!$A$4:$E$7,2,0)+J795*VLOOKUP($B795,Premissas!$A$4:$E$7,3,0))+K795*VLOOKUP($B795,Premissas!$A$4:$E$7,4,0)+L795*VLOOKUP($B795,Premissas!$A$4:$E$7,5,0))</f>
        <v/>
      </c>
      <c r="N795" s="14">
        <f>H795-M795</f>
        <v/>
      </c>
      <c r="O795" t="inlineStr">
        <is>
          <t>Não</t>
        </is>
      </c>
      <c r="P795" t="inlineStr">
        <is>
          <t>1.350</t>
        </is>
      </c>
    </row>
    <row r="796">
      <c r="A796" t="inlineStr">
        <is>
          <t>Antes de 2026</t>
        </is>
      </c>
      <c r="B796" t="inlineStr">
        <is>
          <t>Frete de venda</t>
        </is>
      </c>
      <c r="C796" t="inlineStr">
        <is>
          <t>Frete de venda (para clientes)</t>
        </is>
      </c>
      <c r="D796" t="inlineStr">
        <is>
          <t>CT-e</t>
        </is>
      </c>
      <c r="E796" t="inlineStr">
        <is>
          <t>000004822</t>
        </is>
      </c>
      <c r="F796" t="inlineStr">
        <is>
          <t>R&amp;R TRANSPORTE E LOGISTICA</t>
        </is>
      </c>
      <c r="G796" s="27" t="n">
        <v>45870</v>
      </c>
      <c r="H796" s="14" t="n">
        <v>13.12</v>
      </c>
      <c r="I796" s="14" t="n">
        <v>0</v>
      </c>
      <c r="J796" s="14" t="n">
        <v>0</v>
      </c>
      <c r="K796" s="14" t="n">
        <v>0</v>
      </c>
      <c r="L796" s="14" t="n">
        <v>0</v>
      </c>
      <c r="M796" s="14">
        <f>IF(B796="Frete de venda",0,(1-ISNUMBER(SEARCH("556",P796)))*(I796*VLOOKUP($B796,Premissas!$A$4:$E$7,2,0)+J796*VLOOKUP($B796,Premissas!$A$4:$E$7,3,0))+K796*VLOOKUP($B796,Premissas!$A$4:$E$7,4,0)+L796*VLOOKUP($B796,Premissas!$A$4:$E$7,5,0))</f>
        <v/>
      </c>
      <c r="N796" s="14">
        <f>H796-M796</f>
        <v/>
      </c>
      <c r="O796" t="inlineStr">
        <is>
          <t>Não</t>
        </is>
      </c>
      <c r="P796" t="inlineStr">
        <is>
          <t>1.350</t>
        </is>
      </c>
    </row>
    <row r="797">
      <c r="A797" t="inlineStr">
        <is>
          <t>Antes de 2026</t>
        </is>
      </c>
      <c r="B797" t="inlineStr">
        <is>
          <t>Frete de venda</t>
        </is>
      </c>
      <c r="C797" t="inlineStr">
        <is>
          <t>Frete de venda (para clientes)</t>
        </is>
      </c>
      <c r="D797" t="inlineStr">
        <is>
          <t>CT-e</t>
        </is>
      </c>
      <c r="E797" t="inlineStr">
        <is>
          <t>000004345</t>
        </is>
      </c>
      <c r="F797" t="inlineStr">
        <is>
          <t>R&amp;R TRANSPORTE E LOGISTICA</t>
        </is>
      </c>
      <c r="G797" s="27" t="n">
        <v>45807</v>
      </c>
      <c r="H797" s="14" t="n">
        <v>41.33</v>
      </c>
      <c r="I797" s="14" t="n">
        <v>0</v>
      </c>
      <c r="J797" s="14" t="n">
        <v>0</v>
      </c>
      <c r="K797" s="14" t="n">
        <v>0</v>
      </c>
      <c r="L797" s="14" t="n">
        <v>0</v>
      </c>
      <c r="M797" s="14">
        <f>IF(B797="Frete de venda",0,(1-ISNUMBER(SEARCH("556",P797)))*(I797*VLOOKUP($B797,Premissas!$A$4:$E$7,2,0)+J797*VLOOKUP($B797,Premissas!$A$4:$E$7,3,0))+K797*VLOOKUP($B797,Premissas!$A$4:$E$7,4,0)+L797*VLOOKUP($B797,Premissas!$A$4:$E$7,5,0))</f>
        <v/>
      </c>
      <c r="N797" s="14">
        <f>H797-M797</f>
        <v/>
      </c>
      <c r="O797" t="inlineStr">
        <is>
          <t>Não</t>
        </is>
      </c>
      <c r="P797" t="inlineStr">
        <is>
          <t>1.350</t>
        </is>
      </c>
    </row>
    <row r="798">
      <c r="A798" t="inlineStr">
        <is>
          <t>Antes de 2026</t>
        </is>
      </c>
      <c r="B798" t="inlineStr">
        <is>
          <t>Frete de venda</t>
        </is>
      </c>
      <c r="C798" t="inlineStr">
        <is>
          <t>Frete de venda (para clientes)</t>
        </is>
      </c>
      <c r="D798" t="inlineStr">
        <is>
          <t>CT-e</t>
        </is>
      </c>
      <c r="E798" t="inlineStr">
        <is>
          <t>000004785</t>
        </is>
      </c>
      <c r="F798" t="inlineStr">
        <is>
          <t>R&amp;R TRANSPORTE E LOGISTICA</t>
        </is>
      </c>
      <c r="G798" s="27" t="n">
        <v>45868</v>
      </c>
      <c r="H798" s="14" t="n">
        <v>31.77</v>
      </c>
      <c r="I798" s="14" t="n">
        <v>0</v>
      </c>
      <c r="J798" s="14" t="n">
        <v>0</v>
      </c>
      <c r="K798" s="14" t="n">
        <v>0</v>
      </c>
      <c r="L798" s="14" t="n">
        <v>0</v>
      </c>
      <c r="M798" s="14">
        <f>IF(B798="Frete de venda",0,(1-ISNUMBER(SEARCH("556",P798)))*(I798*VLOOKUP($B798,Premissas!$A$4:$E$7,2,0)+J798*VLOOKUP($B798,Premissas!$A$4:$E$7,3,0))+K798*VLOOKUP($B798,Premissas!$A$4:$E$7,4,0)+L798*VLOOKUP($B798,Premissas!$A$4:$E$7,5,0))</f>
        <v/>
      </c>
      <c r="N798" s="14">
        <f>H798-M798</f>
        <v/>
      </c>
      <c r="O798" t="inlineStr">
        <is>
          <t>Não</t>
        </is>
      </c>
      <c r="P798" t="inlineStr">
        <is>
          <t>1.350</t>
        </is>
      </c>
    </row>
    <row r="799">
      <c r="A799" t="inlineStr">
        <is>
          <t>Antes de 2026</t>
        </is>
      </c>
      <c r="B799" t="inlineStr">
        <is>
          <t>Frete de venda</t>
        </is>
      </c>
      <c r="C799" t="inlineStr">
        <is>
          <t>Frete de venda (para clientes)</t>
        </is>
      </c>
      <c r="D799" t="inlineStr">
        <is>
          <t>CT-e</t>
        </is>
      </c>
      <c r="E799" t="inlineStr">
        <is>
          <t>000005288</t>
        </is>
      </c>
      <c r="F799" t="inlineStr">
        <is>
          <t>R&amp;R TRANSPORTE E LOGISTICA</t>
        </is>
      </c>
      <c r="G799" s="27" t="n">
        <v>45926</v>
      </c>
      <c r="H799" s="14" t="n">
        <v>25.64</v>
      </c>
      <c r="I799" s="14" t="n">
        <v>0</v>
      </c>
      <c r="J799" s="14" t="n">
        <v>0</v>
      </c>
      <c r="K799" s="14" t="n">
        <v>0</v>
      </c>
      <c r="L799" s="14" t="n">
        <v>0</v>
      </c>
      <c r="M799" s="14">
        <f>IF(B799="Frete de venda",0,(1-ISNUMBER(SEARCH("556",P799)))*(I799*VLOOKUP($B799,Premissas!$A$4:$E$7,2,0)+J799*VLOOKUP($B799,Premissas!$A$4:$E$7,3,0))+K799*VLOOKUP($B799,Premissas!$A$4:$E$7,4,0)+L799*VLOOKUP($B799,Premissas!$A$4:$E$7,5,0))</f>
        <v/>
      </c>
      <c r="N799" s="14">
        <f>H799-M799</f>
        <v/>
      </c>
      <c r="O799" t="inlineStr">
        <is>
          <t>Não</t>
        </is>
      </c>
      <c r="P799" t="inlineStr">
        <is>
          <t>1.350</t>
        </is>
      </c>
    </row>
    <row r="800">
      <c r="A800" t="inlineStr">
        <is>
          <t>Antes de 2026</t>
        </is>
      </c>
      <c r="B800" t="inlineStr">
        <is>
          <t>Frete de venda</t>
        </is>
      </c>
      <c r="C800" t="inlineStr">
        <is>
          <t>Frete de venda (para clientes)</t>
        </is>
      </c>
      <c r="D800" t="inlineStr">
        <is>
          <t>CT-e</t>
        </is>
      </c>
      <c r="E800" t="inlineStr">
        <is>
          <t>000006072</t>
        </is>
      </c>
      <c r="F800" t="inlineStr">
        <is>
          <t>R&amp;R TRANSPORTE E LOGISTICA</t>
        </is>
      </c>
      <c r="G800" s="27" t="n">
        <v>46021</v>
      </c>
      <c r="H800" s="14" t="n">
        <v>29.61</v>
      </c>
      <c r="I800" s="14" t="n">
        <v>0</v>
      </c>
      <c r="J800" s="14" t="n">
        <v>0</v>
      </c>
      <c r="K800" s="14" t="n">
        <v>0</v>
      </c>
      <c r="L800" s="14" t="n">
        <v>0</v>
      </c>
      <c r="M800" s="14">
        <f>IF(B800="Frete de venda",0,(1-ISNUMBER(SEARCH("556",P800)))*(I800*VLOOKUP($B800,Premissas!$A$4:$E$7,2,0)+J800*VLOOKUP($B800,Premissas!$A$4:$E$7,3,0))+K800*VLOOKUP($B800,Premissas!$A$4:$E$7,4,0)+L800*VLOOKUP($B800,Premissas!$A$4:$E$7,5,0))</f>
        <v/>
      </c>
      <c r="N800" s="14">
        <f>H800-M800</f>
        <v/>
      </c>
      <c r="O800" t="inlineStr">
        <is>
          <t>Não</t>
        </is>
      </c>
      <c r="P800" t="inlineStr">
        <is>
          <t>1.350</t>
        </is>
      </c>
    </row>
    <row r="801">
      <c r="A801" t="inlineStr">
        <is>
          <t>Antes de 2026</t>
        </is>
      </c>
      <c r="B801" t="inlineStr">
        <is>
          <t>Frete de venda</t>
        </is>
      </c>
      <c r="C801" t="inlineStr">
        <is>
          <t>Frete de venda (para clientes)</t>
        </is>
      </c>
      <c r="D801" t="inlineStr">
        <is>
          <t>CT-e</t>
        </is>
      </c>
      <c r="E801" t="inlineStr">
        <is>
          <t>000004332</t>
        </is>
      </c>
      <c r="F801" t="inlineStr">
        <is>
          <t>R&amp;R TRANSPORTE E LOGISTICA</t>
        </is>
      </c>
      <c r="G801" s="27" t="n">
        <v>45807</v>
      </c>
      <c r="H801" s="14" t="n">
        <v>77.77</v>
      </c>
      <c r="I801" s="14" t="n">
        <v>0</v>
      </c>
      <c r="J801" s="14" t="n">
        <v>0</v>
      </c>
      <c r="K801" s="14" t="n">
        <v>0</v>
      </c>
      <c r="L801" s="14" t="n">
        <v>0</v>
      </c>
      <c r="M801" s="14">
        <f>IF(B801="Frete de venda",0,(1-ISNUMBER(SEARCH("556",P801)))*(I801*VLOOKUP($B801,Premissas!$A$4:$E$7,2,0)+J801*VLOOKUP($B801,Premissas!$A$4:$E$7,3,0))+K801*VLOOKUP($B801,Premissas!$A$4:$E$7,4,0)+L801*VLOOKUP($B801,Premissas!$A$4:$E$7,5,0))</f>
        <v/>
      </c>
      <c r="N801" s="14">
        <f>H801-M801</f>
        <v/>
      </c>
      <c r="O801" t="inlineStr">
        <is>
          <t>Não</t>
        </is>
      </c>
      <c r="P801" t="inlineStr">
        <is>
          <t>1.350</t>
        </is>
      </c>
    </row>
    <row r="802">
      <c r="A802" t="inlineStr">
        <is>
          <t>Antes de 2026</t>
        </is>
      </c>
      <c r="B802" t="inlineStr">
        <is>
          <t>Frete de venda</t>
        </is>
      </c>
      <c r="C802" t="inlineStr">
        <is>
          <t>Frete de venda (para clientes)</t>
        </is>
      </c>
      <c r="D802" t="inlineStr">
        <is>
          <t>CT-e</t>
        </is>
      </c>
      <c r="E802" t="inlineStr">
        <is>
          <t>000004940</t>
        </is>
      </c>
      <c r="F802" t="inlineStr">
        <is>
          <t>R&amp;R TRANSPORTE E LOGISTICA</t>
        </is>
      </c>
      <c r="G802" s="27" t="n">
        <v>45884</v>
      </c>
      <c r="H802" s="14" t="n">
        <v>40.15</v>
      </c>
      <c r="I802" s="14" t="n">
        <v>0</v>
      </c>
      <c r="J802" s="14" t="n">
        <v>0</v>
      </c>
      <c r="K802" s="14" t="n">
        <v>0</v>
      </c>
      <c r="L802" s="14" t="n">
        <v>0</v>
      </c>
      <c r="M802" s="14">
        <f>IF(B802="Frete de venda",0,(1-ISNUMBER(SEARCH("556",P802)))*(I802*VLOOKUP($B802,Premissas!$A$4:$E$7,2,0)+J802*VLOOKUP($B802,Premissas!$A$4:$E$7,3,0))+K802*VLOOKUP($B802,Premissas!$A$4:$E$7,4,0)+L802*VLOOKUP($B802,Premissas!$A$4:$E$7,5,0))</f>
        <v/>
      </c>
      <c r="N802" s="14">
        <f>H802-M802</f>
        <v/>
      </c>
      <c r="O802" t="inlineStr">
        <is>
          <t>Não</t>
        </is>
      </c>
      <c r="P802" t="inlineStr">
        <is>
          <t>1.350</t>
        </is>
      </c>
    </row>
    <row r="803">
      <c r="A803" t="inlineStr">
        <is>
          <t>Antes de 2026</t>
        </is>
      </c>
      <c r="B803" t="inlineStr">
        <is>
          <t>Frete de venda</t>
        </is>
      </c>
      <c r="C803" t="inlineStr">
        <is>
          <t>Frete de venda (para clientes)</t>
        </is>
      </c>
      <c r="D803" t="inlineStr">
        <is>
          <t>CT-e</t>
        </is>
      </c>
      <c r="E803" t="inlineStr">
        <is>
          <t>000005533</t>
        </is>
      </c>
      <c r="F803" t="inlineStr">
        <is>
          <t>R&amp;R TRANSPORTE E LOGISTICA</t>
        </is>
      </c>
      <c r="G803" s="27" t="n">
        <v>45953</v>
      </c>
      <c r="H803" s="14" t="n">
        <v>44.46</v>
      </c>
      <c r="I803" s="14" t="n">
        <v>0</v>
      </c>
      <c r="J803" s="14" t="n">
        <v>0</v>
      </c>
      <c r="K803" s="14" t="n">
        <v>0</v>
      </c>
      <c r="L803" s="14" t="n">
        <v>0</v>
      </c>
      <c r="M803" s="14">
        <f>IF(B803="Frete de venda",0,(1-ISNUMBER(SEARCH("556",P803)))*(I803*VLOOKUP($B803,Premissas!$A$4:$E$7,2,0)+J803*VLOOKUP($B803,Premissas!$A$4:$E$7,3,0))+K803*VLOOKUP($B803,Premissas!$A$4:$E$7,4,0)+L803*VLOOKUP($B803,Premissas!$A$4:$E$7,5,0))</f>
        <v/>
      </c>
      <c r="N803" s="14">
        <f>H803-M803</f>
        <v/>
      </c>
      <c r="O803" t="inlineStr">
        <is>
          <t>Não</t>
        </is>
      </c>
      <c r="P803" t="inlineStr">
        <is>
          <t>1.350</t>
        </is>
      </c>
    </row>
    <row r="804">
      <c r="A804" t="inlineStr">
        <is>
          <t>Antes de 2026</t>
        </is>
      </c>
      <c r="B804" t="inlineStr">
        <is>
          <t>Frete de venda</t>
        </is>
      </c>
      <c r="C804" t="inlineStr">
        <is>
          <t>Frete de venda (para clientes)</t>
        </is>
      </c>
      <c r="D804" t="inlineStr">
        <is>
          <t>CT-e</t>
        </is>
      </c>
      <c r="E804" t="inlineStr">
        <is>
          <t>000005959</t>
        </is>
      </c>
      <c r="F804" t="inlineStr">
        <is>
          <t>R&amp;R TRANSPORTE E LOGISTICA</t>
        </is>
      </c>
      <c r="G804" s="27" t="n">
        <v>46002</v>
      </c>
      <c r="H804" s="14" t="n">
        <v>32.55</v>
      </c>
      <c r="I804" s="14" t="n">
        <v>0</v>
      </c>
      <c r="J804" s="14" t="n">
        <v>0</v>
      </c>
      <c r="K804" s="14" t="n">
        <v>0</v>
      </c>
      <c r="L804" s="14" t="n">
        <v>0</v>
      </c>
      <c r="M804" s="14">
        <f>IF(B804="Frete de venda",0,(1-ISNUMBER(SEARCH("556",P804)))*(I804*VLOOKUP($B804,Premissas!$A$4:$E$7,2,0)+J804*VLOOKUP($B804,Premissas!$A$4:$E$7,3,0))+K804*VLOOKUP($B804,Premissas!$A$4:$E$7,4,0)+L804*VLOOKUP($B804,Premissas!$A$4:$E$7,5,0))</f>
        <v/>
      </c>
      <c r="N804" s="14">
        <f>H804-M804</f>
        <v/>
      </c>
      <c r="O804" t="inlineStr">
        <is>
          <t>Não</t>
        </is>
      </c>
      <c r="P804" t="inlineStr">
        <is>
          <t>1.350</t>
        </is>
      </c>
    </row>
    <row r="805">
      <c r="A805" t="inlineStr">
        <is>
          <t>Antes de 2026</t>
        </is>
      </c>
      <c r="B805" t="inlineStr">
        <is>
          <t>Frete de venda</t>
        </is>
      </c>
      <c r="C805" t="inlineStr">
        <is>
          <t>Frete de venda (para clientes)</t>
        </is>
      </c>
      <c r="D805" t="inlineStr">
        <is>
          <t>CT-e</t>
        </is>
      </c>
      <c r="E805" t="inlineStr">
        <is>
          <t>000005915</t>
        </is>
      </c>
      <c r="F805" t="inlineStr">
        <is>
          <t>R&amp;R TRANSPORTE E LOGISTICA</t>
        </is>
      </c>
      <c r="G805" s="27" t="n">
        <v>45995</v>
      </c>
      <c r="H805" s="14" t="n">
        <v>188.97</v>
      </c>
      <c r="I805" s="14" t="n">
        <v>0</v>
      </c>
      <c r="J805" s="14" t="n">
        <v>0</v>
      </c>
      <c r="K805" s="14" t="n">
        <v>0</v>
      </c>
      <c r="L805" s="14" t="n">
        <v>0</v>
      </c>
      <c r="M805" s="14">
        <f>IF(B805="Frete de venda",0,(1-ISNUMBER(SEARCH("556",P805)))*(I805*VLOOKUP($B805,Premissas!$A$4:$E$7,2,0)+J805*VLOOKUP($B805,Premissas!$A$4:$E$7,3,0))+K805*VLOOKUP($B805,Premissas!$A$4:$E$7,4,0)+L805*VLOOKUP($B805,Premissas!$A$4:$E$7,5,0))</f>
        <v/>
      </c>
      <c r="N805" s="14">
        <f>H805-M805</f>
        <v/>
      </c>
      <c r="O805" t="inlineStr">
        <is>
          <t>Não</t>
        </is>
      </c>
      <c r="P805" t="inlineStr">
        <is>
          <t>1.350</t>
        </is>
      </c>
    </row>
    <row r="806">
      <c r="A806" t="inlineStr">
        <is>
          <t>Antes de 2026</t>
        </is>
      </c>
      <c r="B806" t="inlineStr">
        <is>
          <t>Frete de venda</t>
        </is>
      </c>
      <c r="C806" t="inlineStr">
        <is>
          <t>Frete de venda (para clientes)</t>
        </is>
      </c>
      <c r="D806" t="inlineStr">
        <is>
          <t>CT-e</t>
        </is>
      </c>
      <c r="E806" t="inlineStr">
        <is>
          <t>000005382</t>
        </is>
      </c>
      <c r="F806" t="inlineStr">
        <is>
          <t>R&amp;R TRANSPORTE E LOGISTICA</t>
        </is>
      </c>
      <c r="G806" s="27" t="n">
        <v>45932</v>
      </c>
      <c r="H806" s="14" t="n">
        <v>31.54</v>
      </c>
      <c r="I806" s="14" t="n">
        <v>0</v>
      </c>
      <c r="J806" s="14" t="n">
        <v>0</v>
      </c>
      <c r="K806" s="14" t="n">
        <v>0</v>
      </c>
      <c r="L806" s="14" t="n">
        <v>0</v>
      </c>
      <c r="M806" s="14">
        <f>IF(B806="Frete de venda",0,(1-ISNUMBER(SEARCH("556",P806)))*(I806*VLOOKUP($B806,Premissas!$A$4:$E$7,2,0)+J806*VLOOKUP($B806,Premissas!$A$4:$E$7,3,0))+K806*VLOOKUP($B806,Premissas!$A$4:$E$7,4,0)+L806*VLOOKUP($B806,Premissas!$A$4:$E$7,5,0))</f>
        <v/>
      </c>
      <c r="N806" s="14">
        <f>H806-M806</f>
        <v/>
      </c>
      <c r="O806" t="inlineStr">
        <is>
          <t>Não</t>
        </is>
      </c>
      <c r="P806" t="inlineStr">
        <is>
          <t>1.350</t>
        </is>
      </c>
    </row>
    <row r="807">
      <c r="A807" t="inlineStr">
        <is>
          <t>Antes de 2026</t>
        </is>
      </c>
      <c r="B807" t="inlineStr">
        <is>
          <t>Frete de venda</t>
        </is>
      </c>
      <c r="C807" t="inlineStr">
        <is>
          <t>Frete de venda (para clientes)</t>
        </is>
      </c>
      <c r="D807" t="inlineStr">
        <is>
          <t>CT-e</t>
        </is>
      </c>
      <c r="E807" t="inlineStr">
        <is>
          <t>000004740</t>
        </is>
      </c>
      <c r="F807" t="inlineStr">
        <is>
          <t>R&amp;R TRANSPORTE E LOGISTICA</t>
        </is>
      </c>
      <c r="G807" s="27" t="n">
        <v>45863</v>
      </c>
      <c r="H807" s="14" t="n">
        <v>29.54</v>
      </c>
      <c r="I807" s="14" t="n">
        <v>0</v>
      </c>
      <c r="J807" s="14" t="n">
        <v>0</v>
      </c>
      <c r="K807" s="14" t="n">
        <v>0</v>
      </c>
      <c r="L807" s="14" t="n">
        <v>0</v>
      </c>
      <c r="M807" s="14">
        <f>IF(B807="Frete de venda",0,(1-ISNUMBER(SEARCH("556",P807)))*(I807*VLOOKUP($B807,Premissas!$A$4:$E$7,2,0)+J807*VLOOKUP($B807,Premissas!$A$4:$E$7,3,0))+K807*VLOOKUP($B807,Premissas!$A$4:$E$7,4,0)+L807*VLOOKUP($B807,Premissas!$A$4:$E$7,5,0))</f>
        <v/>
      </c>
      <c r="N807" s="14">
        <f>H807-M807</f>
        <v/>
      </c>
      <c r="O807" t="inlineStr">
        <is>
          <t>Não</t>
        </is>
      </c>
      <c r="P807" t="inlineStr">
        <is>
          <t>1.350</t>
        </is>
      </c>
    </row>
    <row r="808">
      <c r="A808" t="inlineStr">
        <is>
          <t>Antes de 2026</t>
        </is>
      </c>
      <c r="B808" t="inlineStr">
        <is>
          <t>Frete de venda</t>
        </is>
      </c>
      <c r="C808" t="inlineStr">
        <is>
          <t>Frete de venda (para clientes)</t>
        </is>
      </c>
      <c r="D808" t="inlineStr">
        <is>
          <t>CT-e</t>
        </is>
      </c>
      <c r="E808" t="inlineStr">
        <is>
          <t>000004844</t>
        </is>
      </c>
      <c r="F808" t="inlineStr">
        <is>
          <t>R&amp;R TRANSPORTE E LOGISTICA</t>
        </is>
      </c>
      <c r="G808" s="27" t="n">
        <v>45874</v>
      </c>
      <c r="H808" s="14" t="n">
        <v>350</v>
      </c>
      <c r="I808" s="14" t="n">
        <v>0</v>
      </c>
      <c r="J808" s="14" t="n">
        <v>0</v>
      </c>
      <c r="K808" s="14" t="n">
        <v>0</v>
      </c>
      <c r="L808" s="14" t="n">
        <v>0</v>
      </c>
      <c r="M808" s="14">
        <f>IF(B808="Frete de venda",0,(1-ISNUMBER(SEARCH("556",P808)))*(I808*VLOOKUP($B808,Premissas!$A$4:$E$7,2,0)+J808*VLOOKUP($B808,Premissas!$A$4:$E$7,3,0))+K808*VLOOKUP($B808,Premissas!$A$4:$E$7,4,0)+L808*VLOOKUP($B808,Premissas!$A$4:$E$7,5,0))</f>
        <v/>
      </c>
      <c r="N808" s="14">
        <f>H808-M808</f>
        <v/>
      </c>
      <c r="O808" t="inlineStr">
        <is>
          <t>Não</t>
        </is>
      </c>
      <c r="P808" t="inlineStr">
        <is>
          <t>1.350</t>
        </is>
      </c>
    </row>
    <row r="809">
      <c r="A809" t="inlineStr">
        <is>
          <t>Antes de 2026</t>
        </is>
      </c>
      <c r="B809" t="inlineStr">
        <is>
          <t>Frete de venda</t>
        </is>
      </c>
      <c r="C809" t="inlineStr">
        <is>
          <t>Frete de venda (para clientes)</t>
        </is>
      </c>
      <c r="D809" t="inlineStr">
        <is>
          <t>CT-e</t>
        </is>
      </c>
      <c r="E809" t="inlineStr">
        <is>
          <t>000004873</t>
        </is>
      </c>
      <c r="F809" t="inlineStr">
        <is>
          <t>R&amp;R TRANSPORTE E LOGISTICA</t>
        </is>
      </c>
      <c r="G809" s="27" t="n">
        <v>45877</v>
      </c>
      <c r="H809" s="14" t="n">
        <v>478</v>
      </c>
      <c r="I809" s="14" t="n">
        <v>0</v>
      </c>
      <c r="J809" s="14" t="n">
        <v>0</v>
      </c>
      <c r="K809" s="14" t="n">
        <v>0</v>
      </c>
      <c r="L809" s="14" t="n">
        <v>0</v>
      </c>
      <c r="M809" s="14">
        <f>IF(B809="Frete de venda",0,(1-ISNUMBER(SEARCH("556",P809)))*(I809*VLOOKUP($B809,Premissas!$A$4:$E$7,2,0)+J809*VLOOKUP($B809,Premissas!$A$4:$E$7,3,0))+K809*VLOOKUP($B809,Premissas!$A$4:$E$7,4,0)+L809*VLOOKUP($B809,Premissas!$A$4:$E$7,5,0))</f>
        <v/>
      </c>
      <c r="N809" s="14">
        <f>H809-M809</f>
        <v/>
      </c>
      <c r="O809" t="inlineStr">
        <is>
          <t>Não</t>
        </is>
      </c>
      <c r="P809" t="inlineStr">
        <is>
          <t>1.350</t>
        </is>
      </c>
    </row>
    <row r="810">
      <c r="A810" t="inlineStr">
        <is>
          <t>Antes de 2026</t>
        </is>
      </c>
      <c r="B810" t="inlineStr">
        <is>
          <t>Frete de venda</t>
        </is>
      </c>
      <c r="C810" t="inlineStr">
        <is>
          <t>Frete de venda (para clientes)</t>
        </is>
      </c>
      <c r="D810" t="inlineStr">
        <is>
          <t>CT-e</t>
        </is>
      </c>
      <c r="E810" t="inlineStr">
        <is>
          <t>000005089</t>
        </is>
      </c>
      <c r="F810" t="inlineStr">
        <is>
          <t>R&amp;R TRANSPORTE E LOGISTICA</t>
        </is>
      </c>
      <c r="G810" s="27" t="n">
        <v>45899</v>
      </c>
      <c r="H810" s="14" t="n">
        <v>235</v>
      </c>
      <c r="I810" s="14" t="n">
        <v>0</v>
      </c>
      <c r="J810" s="14" t="n">
        <v>0</v>
      </c>
      <c r="K810" s="14" t="n">
        <v>0</v>
      </c>
      <c r="L810" s="14" t="n">
        <v>0</v>
      </c>
      <c r="M810" s="14">
        <f>IF(B810="Frete de venda",0,(1-ISNUMBER(SEARCH("556",P810)))*(I810*VLOOKUP($B810,Premissas!$A$4:$E$7,2,0)+J810*VLOOKUP($B810,Premissas!$A$4:$E$7,3,0))+K810*VLOOKUP($B810,Premissas!$A$4:$E$7,4,0)+L810*VLOOKUP($B810,Premissas!$A$4:$E$7,5,0))</f>
        <v/>
      </c>
      <c r="N810" s="14">
        <f>H810-M810</f>
        <v/>
      </c>
      <c r="O810" t="inlineStr">
        <is>
          <t>Não</t>
        </is>
      </c>
      <c r="P810" t="inlineStr">
        <is>
          <t>1.350</t>
        </is>
      </c>
    </row>
    <row r="811">
      <c r="A811" t="inlineStr">
        <is>
          <t>Antes de 2026</t>
        </is>
      </c>
      <c r="B811" t="inlineStr">
        <is>
          <t>Frete de venda</t>
        </is>
      </c>
      <c r="C811" t="inlineStr">
        <is>
          <t>Frete de venda (para clientes)</t>
        </is>
      </c>
      <c r="D811" t="inlineStr">
        <is>
          <t>CT-e</t>
        </is>
      </c>
      <c r="E811" t="inlineStr">
        <is>
          <t>000005364</t>
        </is>
      </c>
      <c r="F811" t="inlineStr">
        <is>
          <t>R&amp;R TRANSPORTE E LOGISTICA</t>
        </is>
      </c>
      <c r="G811" s="27" t="n">
        <v>45930</v>
      </c>
      <c r="H811" s="14" t="n">
        <v>66.81</v>
      </c>
      <c r="I811" s="14" t="n">
        <v>0</v>
      </c>
      <c r="J811" s="14" t="n">
        <v>0</v>
      </c>
      <c r="K811" s="14" t="n">
        <v>0</v>
      </c>
      <c r="L811" s="14" t="n">
        <v>0</v>
      </c>
      <c r="M811" s="14">
        <f>IF(B811="Frete de venda",0,(1-ISNUMBER(SEARCH("556",P811)))*(I811*VLOOKUP($B811,Premissas!$A$4:$E$7,2,0)+J811*VLOOKUP($B811,Premissas!$A$4:$E$7,3,0))+K811*VLOOKUP($B811,Premissas!$A$4:$E$7,4,0)+L811*VLOOKUP($B811,Premissas!$A$4:$E$7,5,0))</f>
        <v/>
      </c>
      <c r="N811" s="14">
        <f>H811-M811</f>
        <v/>
      </c>
      <c r="O811" t="inlineStr">
        <is>
          <t>Não</t>
        </is>
      </c>
      <c r="P811" t="inlineStr">
        <is>
          <t>1.350</t>
        </is>
      </c>
    </row>
    <row r="812">
      <c r="A812" t="inlineStr">
        <is>
          <t>Antes de 2026</t>
        </is>
      </c>
      <c r="B812" t="inlineStr">
        <is>
          <t>Frete de venda</t>
        </is>
      </c>
      <c r="C812" t="inlineStr">
        <is>
          <t>Frete de venda (para clientes)</t>
        </is>
      </c>
      <c r="D812" t="inlineStr">
        <is>
          <t>CT-e</t>
        </is>
      </c>
      <c r="E812" t="inlineStr">
        <is>
          <t>000005452</t>
        </is>
      </c>
      <c r="F812" t="inlineStr">
        <is>
          <t>R&amp;R TRANSPORTE E LOGISTICA</t>
        </is>
      </c>
      <c r="G812" s="27" t="n">
        <v>45943</v>
      </c>
      <c r="H812" s="14" t="n">
        <v>467</v>
      </c>
      <c r="I812" s="14" t="n">
        <v>0</v>
      </c>
      <c r="J812" s="14" t="n">
        <v>0</v>
      </c>
      <c r="K812" s="14" t="n">
        <v>0</v>
      </c>
      <c r="L812" s="14" t="n">
        <v>0</v>
      </c>
      <c r="M812" s="14">
        <f>IF(B812="Frete de venda",0,(1-ISNUMBER(SEARCH("556",P812)))*(I812*VLOOKUP($B812,Premissas!$A$4:$E$7,2,0)+J812*VLOOKUP($B812,Premissas!$A$4:$E$7,3,0))+K812*VLOOKUP($B812,Premissas!$A$4:$E$7,4,0)+L812*VLOOKUP($B812,Premissas!$A$4:$E$7,5,0))</f>
        <v/>
      </c>
      <c r="N812" s="14">
        <f>H812-M812</f>
        <v/>
      </c>
      <c r="O812" t="inlineStr">
        <is>
          <t>Não</t>
        </is>
      </c>
      <c r="P812" t="inlineStr">
        <is>
          <t>1.350</t>
        </is>
      </c>
    </row>
    <row r="813">
      <c r="A813" t="inlineStr">
        <is>
          <t>Antes de 2026</t>
        </is>
      </c>
      <c r="B813" t="inlineStr">
        <is>
          <t>Frete de venda</t>
        </is>
      </c>
      <c r="C813" t="inlineStr">
        <is>
          <t>Frete de venda (para clientes)</t>
        </is>
      </c>
      <c r="D813" t="inlineStr">
        <is>
          <t>CT-e</t>
        </is>
      </c>
      <c r="E813" t="inlineStr">
        <is>
          <t>000005709</t>
        </is>
      </c>
      <c r="F813" t="inlineStr">
        <is>
          <t>R&amp;R TRANSPORTE E LOGISTICA</t>
        </is>
      </c>
      <c r="G813" s="27" t="n">
        <v>45972</v>
      </c>
      <c r="H813" s="14" t="n">
        <v>467</v>
      </c>
      <c r="I813" s="14" t="n">
        <v>0</v>
      </c>
      <c r="J813" s="14" t="n">
        <v>0</v>
      </c>
      <c r="K813" s="14" t="n">
        <v>0</v>
      </c>
      <c r="L813" s="14" t="n">
        <v>0</v>
      </c>
      <c r="M813" s="14">
        <f>IF(B813="Frete de venda",0,(1-ISNUMBER(SEARCH("556",P813)))*(I813*VLOOKUP($B813,Premissas!$A$4:$E$7,2,0)+J813*VLOOKUP($B813,Premissas!$A$4:$E$7,3,0))+K813*VLOOKUP($B813,Premissas!$A$4:$E$7,4,0)+L813*VLOOKUP($B813,Premissas!$A$4:$E$7,5,0))</f>
        <v/>
      </c>
      <c r="N813" s="14">
        <f>H813-M813</f>
        <v/>
      </c>
      <c r="O813" t="inlineStr">
        <is>
          <t>Não</t>
        </is>
      </c>
      <c r="P813" t="inlineStr">
        <is>
          <t>1.350</t>
        </is>
      </c>
    </row>
    <row r="814">
      <c r="A814" t="inlineStr">
        <is>
          <t>Antes de 2026</t>
        </is>
      </c>
      <c r="B814" t="inlineStr">
        <is>
          <t>Frete de venda</t>
        </is>
      </c>
      <c r="C814" t="inlineStr">
        <is>
          <t>Frete de venda (para clientes)</t>
        </is>
      </c>
      <c r="D814" t="inlineStr">
        <is>
          <t>CT-e</t>
        </is>
      </c>
      <c r="E814" t="inlineStr">
        <is>
          <t>000005734</t>
        </is>
      </c>
      <c r="F814" t="inlineStr">
        <is>
          <t>R&amp;R TRANSPORTE E LOGISTICA</t>
        </is>
      </c>
      <c r="G814" s="27" t="n">
        <v>45975</v>
      </c>
      <c r="H814" s="14" t="n">
        <v>570</v>
      </c>
      <c r="I814" s="14" t="n">
        <v>0</v>
      </c>
      <c r="J814" s="14" t="n">
        <v>0</v>
      </c>
      <c r="K814" s="14" t="n">
        <v>0</v>
      </c>
      <c r="L814" s="14" t="n">
        <v>0</v>
      </c>
      <c r="M814" s="14">
        <f>IF(B814="Frete de venda",0,(1-ISNUMBER(SEARCH("556",P814)))*(I814*VLOOKUP($B814,Premissas!$A$4:$E$7,2,0)+J814*VLOOKUP($B814,Premissas!$A$4:$E$7,3,0))+K814*VLOOKUP($B814,Premissas!$A$4:$E$7,4,0)+L814*VLOOKUP($B814,Premissas!$A$4:$E$7,5,0))</f>
        <v/>
      </c>
      <c r="N814" s="14">
        <f>H814-M814</f>
        <v/>
      </c>
      <c r="O814" t="inlineStr">
        <is>
          <t>Não</t>
        </is>
      </c>
      <c r="P814" t="inlineStr">
        <is>
          <t>1.350</t>
        </is>
      </c>
    </row>
    <row r="815">
      <c r="A815" t="inlineStr">
        <is>
          <t>Antes de 2026</t>
        </is>
      </c>
      <c r="B815" t="inlineStr">
        <is>
          <t>Frete de venda</t>
        </is>
      </c>
      <c r="C815" t="inlineStr">
        <is>
          <t>Frete de venda (para clientes)</t>
        </is>
      </c>
      <c r="D815" t="inlineStr">
        <is>
          <t>CT-e</t>
        </is>
      </c>
      <c r="E815" t="inlineStr">
        <is>
          <t>000004925</t>
        </is>
      </c>
      <c r="F815" t="inlineStr">
        <is>
          <t>R&amp;R TRANSPORTE E LOGISTICA</t>
        </is>
      </c>
      <c r="G815" s="27" t="n">
        <v>45884</v>
      </c>
      <c r="H815" s="14" t="n">
        <v>33.82</v>
      </c>
      <c r="I815" s="14" t="n">
        <v>0</v>
      </c>
      <c r="J815" s="14" t="n">
        <v>0</v>
      </c>
      <c r="K815" s="14" t="n">
        <v>0</v>
      </c>
      <c r="L815" s="14" t="n">
        <v>0</v>
      </c>
      <c r="M815" s="14">
        <f>IF(B815="Frete de venda",0,(1-ISNUMBER(SEARCH("556",P815)))*(I815*VLOOKUP($B815,Premissas!$A$4:$E$7,2,0)+J815*VLOOKUP($B815,Premissas!$A$4:$E$7,3,0))+K815*VLOOKUP($B815,Premissas!$A$4:$E$7,4,0)+L815*VLOOKUP($B815,Premissas!$A$4:$E$7,5,0))</f>
        <v/>
      </c>
      <c r="N815" s="14">
        <f>H815-M815</f>
        <v/>
      </c>
      <c r="O815" t="inlineStr">
        <is>
          <t>Não</t>
        </is>
      </c>
      <c r="P815" t="inlineStr">
        <is>
          <t>1.350</t>
        </is>
      </c>
    </row>
    <row r="816">
      <c r="A816" t="inlineStr">
        <is>
          <t>Antes de 2026</t>
        </is>
      </c>
      <c r="B816" t="inlineStr">
        <is>
          <t>Frete de venda</t>
        </is>
      </c>
      <c r="C816" t="inlineStr">
        <is>
          <t>Frete de venda (para clientes)</t>
        </is>
      </c>
      <c r="D816" t="inlineStr">
        <is>
          <t>CT-e</t>
        </is>
      </c>
      <c r="E816" t="inlineStr">
        <is>
          <t>000005896</t>
        </is>
      </c>
      <c r="F816" t="inlineStr">
        <is>
          <t>R&amp;R TRANSPORTE E LOGISTICA</t>
        </is>
      </c>
      <c r="G816" s="27" t="n">
        <v>45993</v>
      </c>
      <c r="H816" s="14" t="n">
        <v>40.69</v>
      </c>
      <c r="I816" s="14" t="n">
        <v>0</v>
      </c>
      <c r="J816" s="14" t="n">
        <v>0</v>
      </c>
      <c r="K816" s="14" t="n">
        <v>0</v>
      </c>
      <c r="L816" s="14" t="n">
        <v>0</v>
      </c>
      <c r="M816" s="14">
        <f>IF(B816="Frete de venda",0,(1-ISNUMBER(SEARCH("556",P816)))*(I816*VLOOKUP($B816,Premissas!$A$4:$E$7,2,0)+J816*VLOOKUP($B816,Premissas!$A$4:$E$7,3,0))+K816*VLOOKUP($B816,Premissas!$A$4:$E$7,4,0)+L816*VLOOKUP($B816,Premissas!$A$4:$E$7,5,0))</f>
        <v/>
      </c>
      <c r="N816" s="14">
        <f>H816-M816</f>
        <v/>
      </c>
      <c r="O816" t="inlineStr">
        <is>
          <t>Não</t>
        </is>
      </c>
      <c r="P816" t="inlineStr">
        <is>
          <t>1.350</t>
        </is>
      </c>
    </row>
    <row r="817">
      <c r="A817" t="inlineStr">
        <is>
          <t>Antes de 2026</t>
        </is>
      </c>
      <c r="B817" t="inlineStr">
        <is>
          <t>Frete de venda</t>
        </is>
      </c>
      <c r="C817" t="inlineStr">
        <is>
          <t>Frete de venda (para clientes)</t>
        </is>
      </c>
      <c r="D817" t="inlineStr">
        <is>
          <t>CT-e</t>
        </is>
      </c>
      <c r="E817" t="inlineStr">
        <is>
          <t>000005245</t>
        </is>
      </c>
      <c r="F817" t="inlineStr">
        <is>
          <t>R&amp;R TRANSPORTE E LOGISTICA</t>
        </is>
      </c>
      <c r="G817" s="27" t="n">
        <v>45918</v>
      </c>
      <c r="H817" s="14" t="n">
        <v>18.88</v>
      </c>
      <c r="I817" s="14" t="n">
        <v>0</v>
      </c>
      <c r="J817" s="14" t="n">
        <v>0</v>
      </c>
      <c r="K817" s="14" t="n">
        <v>0</v>
      </c>
      <c r="L817" s="14" t="n">
        <v>0</v>
      </c>
      <c r="M817" s="14">
        <f>IF(B817="Frete de venda",0,(1-ISNUMBER(SEARCH("556",P817)))*(I817*VLOOKUP($B817,Premissas!$A$4:$E$7,2,0)+J817*VLOOKUP($B817,Premissas!$A$4:$E$7,3,0))+K817*VLOOKUP($B817,Premissas!$A$4:$E$7,4,0)+L817*VLOOKUP($B817,Premissas!$A$4:$E$7,5,0))</f>
        <v/>
      </c>
      <c r="N817" s="14">
        <f>H817-M817</f>
        <v/>
      </c>
      <c r="O817" t="inlineStr">
        <is>
          <t>Não</t>
        </is>
      </c>
      <c r="P817" t="inlineStr">
        <is>
          <t>1.350</t>
        </is>
      </c>
    </row>
    <row r="818">
      <c r="A818" t="inlineStr">
        <is>
          <t>Antes de 2026</t>
        </is>
      </c>
      <c r="B818" t="inlineStr">
        <is>
          <t>Frete de venda</t>
        </is>
      </c>
      <c r="C818" t="inlineStr">
        <is>
          <t>Frete de venda (para clientes)</t>
        </is>
      </c>
      <c r="D818" t="inlineStr">
        <is>
          <t>CT-e</t>
        </is>
      </c>
      <c r="E818" t="inlineStr">
        <is>
          <t>000005916</t>
        </is>
      </c>
      <c r="F818" t="inlineStr">
        <is>
          <t>R&amp;R TRANSPORTE E LOGISTICA</t>
        </is>
      </c>
      <c r="G818" s="27" t="n">
        <v>45995</v>
      </c>
      <c r="H818" s="14" t="n">
        <v>190.67</v>
      </c>
      <c r="I818" s="14" t="n">
        <v>0</v>
      </c>
      <c r="J818" s="14" t="n">
        <v>0</v>
      </c>
      <c r="K818" s="14" t="n">
        <v>0</v>
      </c>
      <c r="L818" s="14" t="n">
        <v>0</v>
      </c>
      <c r="M818" s="14">
        <f>IF(B818="Frete de venda",0,(1-ISNUMBER(SEARCH("556",P818)))*(I818*VLOOKUP($B818,Premissas!$A$4:$E$7,2,0)+J818*VLOOKUP($B818,Premissas!$A$4:$E$7,3,0))+K818*VLOOKUP($B818,Premissas!$A$4:$E$7,4,0)+L818*VLOOKUP($B818,Premissas!$A$4:$E$7,5,0))</f>
        <v/>
      </c>
      <c r="N818" s="14">
        <f>H818-M818</f>
        <v/>
      </c>
      <c r="O818" t="inlineStr">
        <is>
          <t>Não</t>
        </is>
      </c>
      <c r="P818" t="inlineStr">
        <is>
          <t>1.350</t>
        </is>
      </c>
    </row>
    <row r="819">
      <c r="A819" t="inlineStr">
        <is>
          <t>Antes de 2026</t>
        </is>
      </c>
      <c r="B819" t="inlineStr">
        <is>
          <t>Frete de venda</t>
        </is>
      </c>
      <c r="C819" t="inlineStr">
        <is>
          <t>Frete de venda (para clientes)</t>
        </is>
      </c>
      <c r="D819" t="inlineStr">
        <is>
          <t>CT-e</t>
        </is>
      </c>
      <c r="E819" t="inlineStr">
        <is>
          <t>000005987</t>
        </is>
      </c>
      <c r="F819" t="inlineStr">
        <is>
          <t>R&amp;R TRANSPORTE E LOGISTICA</t>
        </is>
      </c>
      <c r="G819" s="27" t="n">
        <v>46006</v>
      </c>
      <c r="H819" s="14" t="n">
        <v>348.11</v>
      </c>
      <c r="I819" s="14" t="n">
        <v>0</v>
      </c>
      <c r="J819" s="14" t="n">
        <v>0</v>
      </c>
      <c r="K819" s="14" t="n">
        <v>0</v>
      </c>
      <c r="L819" s="14" t="n">
        <v>0</v>
      </c>
      <c r="M819" s="14">
        <f>IF(B819="Frete de venda",0,(1-ISNUMBER(SEARCH("556",P819)))*(I819*VLOOKUP($B819,Premissas!$A$4:$E$7,2,0)+J819*VLOOKUP($B819,Premissas!$A$4:$E$7,3,0))+K819*VLOOKUP($B819,Premissas!$A$4:$E$7,4,0)+L819*VLOOKUP($B819,Premissas!$A$4:$E$7,5,0))</f>
        <v/>
      </c>
      <c r="N819" s="14">
        <f>H819-M819</f>
        <v/>
      </c>
      <c r="O819" t="inlineStr">
        <is>
          <t>Não</t>
        </is>
      </c>
      <c r="P819" t="inlineStr">
        <is>
          <t>1.350</t>
        </is>
      </c>
    </row>
    <row r="820">
      <c r="A820" t="inlineStr">
        <is>
          <t>Antes de 2026</t>
        </is>
      </c>
      <c r="B820" t="inlineStr">
        <is>
          <t>Frete de venda</t>
        </is>
      </c>
      <c r="C820" t="inlineStr">
        <is>
          <t>Frete de venda (para clientes)</t>
        </is>
      </c>
      <c r="D820" t="inlineStr">
        <is>
          <t>CT-e</t>
        </is>
      </c>
      <c r="E820" t="inlineStr">
        <is>
          <t>000004268</t>
        </is>
      </c>
      <c r="F820" t="inlineStr">
        <is>
          <t>R&amp;R TRANSPORTE E LOGISTICA</t>
        </is>
      </c>
      <c r="G820" s="27" t="n">
        <v>45800</v>
      </c>
      <c r="H820" s="14" t="n">
        <v>40.58</v>
      </c>
      <c r="I820" s="14" t="n">
        <v>0</v>
      </c>
      <c r="J820" s="14" t="n">
        <v>0</v>
      </c>
      <c r="K820" s="14" t="n">
        <v>0</v>
      </c>
      <c r="L820" s="14" t="n">
        <v>0</v>
      </c>
      <c r="M820" s="14">
        <f>IF(B820="Frete de venda",0,(1-ISNUMBER(SEARCH("556",P820)))*(I820*VLOOKUP($B820,Premissas!$A$4:$E$7,2,0)+J820*VLOOKUP($B820,Premissas!$A$4:$E$7,3,0))+K820*VLOOKUP($B820,Premissas!$A$4:$E$7,4,0)+L820*VLOOKUP($B820,Premissas!$A$4:$E$7,5,0))</f>
        <v/>
      </c>
      <c r="N820" s="14">
        <f>H820-M820</f>
        <v/>
      </c>
      <c r="O820" t="inlineStr">
        <is>
          <t>Não</t>
        </is>
      </c>
      <c r="P820" t="inlineStr">
        <is>
          <t>1.350</t>
        </is>
      </c>
    </row>
    <row r="821">
      <c r="A821" t="inlineStr">
        <is>
          <t>Antes de 2026</t>
        </is>
      </c>
      <c r="B821" t="inlineStr">
        <is>
          <t>Frete de venda</t>
        </is>
      </c>
      <c r="C821" t="inlineStr">
        <is>
          <t>Frete de venda (para clientes)</t>
        </is>
      </c>
      <c r="D821" t="inlineStr">
        <is>
          <t>CT-e</t>
        </is>
      </c>
      <c r="E821" t="inlineStr">
        <is>
          <t>000005931</t>
        </is>
      </c>
      <c r="F821" t="inlineStr">
        <is>
          <t>R&amp;R TRANSPORTE E LOGISTICA</t>
        </is>
      </c>
      <c r="G821" s="27" t="n">
        <v>45996</v>
      </c>
      <c r="H821" s="14" t="n">
        <v>35.18</v>
      </c>
      <c r="I821" s="14" t="n">
        <v>0</v>
      </c>
      <c r="J821" s="14" t="n">
        <v>0</v>
      </c>
      <c r="K821" s="14" t="n">
        <v>0</v>
      </c>
      <c r="L821" s="14" t="n">
        <v>0</v>
      </c>
      <c r="M821" s="14">
        <f>IF(B821="Frete de venda",0,(1-ISNUMBER(SEARCH("556",P821)))*(I821*VLOOKUP($B821,Premissas!$A$4:$E$7,2,0)+J821*VLOOKUP($B821,Premissas!$A$4:$E$7,3,0))+K821*VLOOKUP($B821,Premissas!$A$4:$E$7,4,0)+L821*VLOOKUP($B821,Premissas!$A$4:$E$7,5,0))</f>
        <v/>
      </c>
      <c r="N821" s="14">
        <f>H821-M821</f>
        <v/>
      </c>
      <c r="O821" t="inlineStr">
        <is>
          <t>Não</t>
        </is>
      </c>
      <c r="P821" t="inlineStr">
        <is>
          <t>1.350</t>
        </is>
      </c>
    </row>
    <row r="822">
      <c r="A822" t="inlineStr">
        <is>
          <t>Antes de 2026</t>
        </is>
      </c>
      <c r="B822" t="inlineStr">
        <is>
          <t>Frete de venda</t>
        </is>
      </c>
      <c r="C822" t="inlineStr">
        <is>
          <t>Frete de venda (para clientes)</t>
        </is>
      </c>
      <c r="D822" t="inlineStr">
        <is>
          <t>CT-e</t>
        </is>
      </c>
      <c r="E822" t="inlineStr">
        <is>
          <t>000004821</t>
        </is>
      </c>
      <c r="F822" t="inlineStr">
        <is>
          <t>R&amp;R TRANSPORTE E LOGISTICA</t>
        </is>
      </c>
      <c r="G822" s="27" t="n">
        <v>45870</v>
      </c>
      <c r="H822" s="14" t="n">
        <v>39.21</v>
      </c>
      <c r="I822" s="14" t="n">
        <v>0</v>
      </c>
      <c r="J822" s="14" t="n">
        <v>0</v>
      </c>
      <c r="K822" s="14" t="n">
        <v>0</v>
      </c>
      <c r="L822" s="14" t="n">
        <v>0</v>
      </c>
      <c r="M822" s="14">
        <f>IF(B822="Frete de venda",0,(1-ISNUMBER(SEARCH("556",P822)))*(I822*VLOOKUP($B822,Premissas!$A$4:$E$7,2,0)+J822*VLOOKUP($B822,Premissas!$A$4:$E$7,3,0))+K822*VLOOKUP($B822,Premissas!$A$4:$E$7,4,0)+L822*VLOOKUP($B822,Premissas!$A$4:$E$7,5,0))</f>
        <v/>
      </c>
      <c r="N822" s="14">
        <f>H822-M822</f>
        <v/>
      </c>
      <c r="O822" t="inlineStr">
        <is>
          <t>Não</t>
        </is>
      </c>
      <c r="P822" t="inlineStr">
        <is>
          <t>1.350</t>
        </is>
      </c>
    </row>
    <row r="823">
      <c r="A823" t="inlineStr">
        <is>
          <t>Antes de 2026</t>
        </is>
      </c>
      <c r="B823" t="inlineStr">
        <is>
          <t>Frete de venda</t>
        </is>
      </c>
      <c r="C823" t="inlineStr">
        <is>
          <t>Frete de venda (para clientes)</t>
        </is>
      </c>
      <c r="D823" t="inlineStr">
        <is>
          <t>CT-e</t>
        </is>
      </c>
      <c r="E823" t="inlineStr">
        <is>
          <t>000004244</t>
        </is>
      </c>
      <c r="F823" t="inlineStr">
        <is>
          <t>R&amp;R TRANSPORTE E LOGISTICA</t>
        </is>
      </c>
      <c r="G823" s="27" t="n">
        <v>45793</v>
      </c>
      <c r="H823" s="14" t="n">
        <v>32.5</v>
      </c>
      <c r="I823" s="14" t="n">
        <v>0</v>
      </c>
      <c r="J823" s="14" t="n">
        <v>0</v>
      </c>
      <c r="K823" s="14" t="n">
        <v>0</v>
      </c>
      <c r="L823" s="14" t="n">
        <v>0</v>
      </c>
      <c r="M823" s="14">
        <f>IF(B823="Frete de venda",0,(1-ISNUMBER(SEARCH("556",P823)))*(I823*VLOOKUP($B823,Premissas!$A$4:$E$7,2,0)+J823*VLOOKUP($B823,Premissas!$A$4:$E$7,3,0))+K823*VLOOKUP($B823,Premissas!$A$4:$E$7,4,0)+L823*VLOOKUP($B823,Premissas!$A$4:$E$7,5,0))</f>
        <v/>
      </c>
      <c r="N823" s="14">
        <f>H823-M823</f>
        <v/>
      </c>
      <c r="O823" t="inlineStr">
        <is>
          <t>Não</t>
        </is>
      </c>
      <c r="P823" t="inlineStr">
        <is>
          <t>1.350</t>
        </is>
      </c>
    </row>
    <row r="824">
      <c r="A824" t="inlineStr">
        <is>
          <t>Antes de 2026</t>
        </is>
      </c>
      <c r="B824" t="inlineStr">
        <is>
          <t>Frete de venda</t>
        </is>
      </c>
      <c r="C824" t="inlineStr">
        <is>
          <t>Frete de venda (para clientes)</t>
        </is>
      </c>
      <c r="D824" t="inlineStr">
        <is>
          <t>CT-e</t>
        </is>
      </c>
      <c r="E824" t="inlineStr">
        <is>
          <t>000004282</t>
        </is>
      </c>
      <c r="F824" t="inlineStr">
        <is>
          <t>R&amp;R TRANSPORTE E LOGISTICA</t>
        </is>
      </c>
      <c r="G824" s="27" t="n">
        <v>45803</v>
      </c>
      <c r="H824" s="14" t="n">
        <v>1230</v>
      </c>
      <c r="I824" s="14" t="n">
        <v>0</v>
      </c>
      <c r="J824" s="14" t="n">
        <v>0</v>
      </c>
      <c r="K824" s="14" t="n">
        <v>0</v>
      </c>
      <c r="L824" s="14" t="n">
        <v>0</v>
      </c>
      <c r="M824" s="14">
        <f>IF(B824="Frete de venda",0,(1-ISNUMBER(SEARCH("556",P824)))*(I824*VLOOKUP($B824,Premissas!$A$4:$E$7,2,0)+J824*VLOOKUP($B824,Premissas!$A$4:$E$7,3,0))+K824*VLOOKUP($B824,Premissas!$A$4:$E$7,4,0)+L824*VLOOKUP($B824,Premissas!$A$4:$E$7,5,0))</f>
        <v/>
      </c>
      <c r="N824" s="14">
        <f>H824-M824</f>
        <v/>
      </c>
      <c r="O824" t="inlineStr">
        <is>
          <t>Não</t>
        </is>
      </c>
      <c r="P824" t="inlineStr">
        <is>
          <t>1.350</t>
        </is>
      </c>
    </row>
    <row r="825">
      <c r="A825" t="inlineStr">
        <is>
          <t>Antes de 2026</t>
        </is>
      </c>
      <c r="B825" t="inlineStr">
        <is>
          <t>Frete de venda</t>
        </is>
      </c>
      <c r="C825" t="inlineStr">
        <is>
          <t>Frete de venda (para clientes)</t>
        </is>
      </c>
      <c r="D825" t="inlineStr">
        <is>
          <t>CT-e</t>
        </is>
      </c>
      <c r="E825" t="inlineStr">
        <is>
          <t>000004442</t>
        </is>
      </c>
      <c r="F825" t="inlineStr">
        <is>
          <t>R&amp;R TRANSPORTE E LOGISTICA</t>
        </is>
      </c>
      <c r="G825" s="27" t="n">
        <v>45825</v>
      </c>
      <c r="H825" s="14" t="n">
        <v>40</v>
      </c>
      <c r="I825" s="14" t="n">
        <v>0</v>
      </c>
      <c r="J825" s="14" t="n">
        <v>0</v>
      </c>
      <c r="K825" s="14" t="n">
        <v>0</v>
      </c>
      <c r="L825" s="14" t="n">
        <v>0</v>
      </c>
      <c r="M825" s="14">
        <f>IF(B825="Frete de venda",0,(1-ISNUMBER(SEARCH("556",P825)))*(I825*VLOOKUP($B825,Premissas!$A$4:$E$7,2,0)+J825*VLOOKUP($B825,Premissas!$A$4:$E$7,3,0))+K825*VLOOKUP($B825,Premissas!$A$4:$E$7,4,0)+L825*VLOOKUP($B825,Premissas!$A$4:$E$7,5,0))</f>
        <v/>
      </c>
      <c r="N825" s="14">
        <f>H825-M825</f>
        <v/>
      </c>
      <c r="O825" t="inlineStr">
        <is>
          <t>Não</t>
        </is>
      </c>
      <c r="P825" t="inlineStr">
        <is>
          <t>1.350</t>
        </is>
      </c>
    </row>
    <row r="826">
      <c r="A826" t="inlineStr">
        <is>
          <t>Antes de 2026</t>
        </is>
      </c>
      <c r="B826" t="inlineStr">
        <is>
          <t>Frete de venda</t>
        </is>
      </c>
      <c r="C826" t="inlineStr">
        <is>
          <t>Frete de venda (para clientes)</t>
        </is>
      </c>
      <c r="D826" t="inlineStr">
        <is>
          <t>CT-e</t>
        </is>
      </c>
      <c r="E826" t="inlineStr">
        <is>
          <t>000005249</t>
        </is>
      </c>
      <c r="F826" t="inlineStr">
        <is>
          <t>R&amp;R TRANSPORTE E LOGISTICA</t>
        </is>
      </c>
      <c r="G826" s="27" t="n">
        <v>45918</v>
      </c>
      <c r="H826" s="14" t="n">
        <v>13.95</v>
      </c>
      <c r="I826" s="14" t="n">
        <v>0</v>
      </c>
      <c r="J826" s="14" t="n">
        <v>0</v>
      </c>
      <c r="K826" s="14" t="n">
        <v>0</v>
      </c>
      <c r="L826" s="14" t="n">
        <v>0</v>
      </c>
      <c r="M826" s="14">
        <f>IF(B826="Frete de venda",0,(1-ISNUMBER(SEARCH("556",P826)))*(I826*VLOOKUP($B826,Premissas!$A$4:$E$7,2,0)+J826*VLOOKUP($B826,Premissas!$A$4:$E$7,3,0))+K826*VLOOKUP($B826,Premissas!$A$4:$E$7,4,0)+L826*VLOOKUP($B826,Premissas!$A$4:$E$7,5,0))</f>
        <v/>
      </c>
      <c r="N826" s="14">
        <f>H826-M826</f>
        <v/>
      </c>
      <c r="O826" t="inlineStr">
        <is>
          <t>Não</t>
        </is>
      </c>
      <c r="P826" t="inlineStr">
        <is>
          <t>1.350</t>
        </is>
      </c>
    </row>
    <row r="827">
      <c r="A827" t="inlineStr">
        <is>
          <t>Antes de 2026</t>
        </is>
      </c>
      <c r="B827" t="inlineStr">
        <is>
          <t>Frete de venda</t>
        </is>
      </c>
      <c r="C827" t="inlineStr">
        <is>
          <t>Frete de venda (para clientes)</t>
        </is>
      </c>
      <c r="D827" t="inlineStr">
        <is>
          <t>CT-e</t>
        </is>
      </c>
      <c r="E827" t="inlineStr">
        <is>
          <t>000006086</t>
        </is>
      </c>
      <c r="F827" t="inlineStr">
        <is>
          <t>R&amp;R TRANSPORTE E LOGISTICA</t>
        </is>
      </c>
      <c r="G827" s="27" t="n">
        <v>46021</v>
      </c>
      <c r="H827" s="14" t="n">
        <v>11.28</v>
      </c>
      <c r="I827" s="14" t="n">
        <v>0</v>
      </c>
      <c r="J827" s="14" t="n">
        <v>0</v>
      </c>
      <c r="K827" s="14" t="n">
        <v>0</v>
      </c>
      <c r="L827" s="14" t="n">
        <v>0</v>
      </c>
      <c r="M827" s="14">
        <f>IF(B827="Frete de venda",0,(1-ISNUMBER(SEARCH("556",P827)))*(I827*VLOOKUP($B827,Premissas!$A$4:$E$7,2,0)+J827*VLOOKUP($B827,Premissas!$A$4:$E$7,3,0))+K827*VLOOKUP($B827,Premissas!$A$4:$E$7,4,0)+L827*VLOOKUP($B827,Premissas!$A$4:$E$7,5,0))</f>
        <v/>
      </c>
      <c r="N827" s="14">
        <f>H827-M827</f>
        <v/>
      </c>
      <c r="O827" t="inlineStr">
        <is>
          <t>Não</t>
        </is>
      </c>
      <c r="P827" t="inlineStr">
        <is>
          <t>1.350</t>
        </is>
      </c>
    </row>
    <row r="828">
      <c r="A828" t="inlineStr">
        <is>
          <t>Antes de 2026</t>
        </is>
      </c>
      <c r="B828" t="inlineStr">
        <is>
          <t>Frete de venda</t>
        </is>
      </c>
      <c r="C828" t="inlineStr">
        <is>
          <t>Frete de venda (para clientes)</t>
        </is>
      </c>
      <c r="D828" t="inlineStr">
        <is>
          <t>CT-e</t>
        </is>
      </c>
      <c r="E828" t="inlineStr">
        <is>
          <t>000005313</t>
        </is>
      </c>
      <c r="F828" t="inlineStr">
        <is>
          <t>R&amp;R TRANSPORTE E LOGISTICA</t>
        </is>
      </c>
      <c r="G828" s="27" t="n">
        <v>45929</v>
      </c>
      <c r="H828" s="14" t="n">
        <v>13.96</v>
      </c>
      <c r="I828" s="14" t="n">
        <v>0</v>
      </c>
      <c r="J828" s="14" t="n">
        <v>0</v>
      </c>
      <c r="K828" s="14" t="n">
        <v>0</v>
      </c>
      <c r="L828" s="14" t="n">
        <v>0</v>
      </c>
      <c r="M828" s="14">
        <f>IF(B828="Frete de venda",0,(1-ISNUMBER(SEARCH("556",P828)))*(I828*VLOOKUP($B828,Premissas!$A$4:$E$7,2,0)+J828*VLOOKUP($B828,Premissas!$A$4:$E$7,3,0))+K828*VLOOKUP($B828,Premissas!$A$4:$E$7,4,0)+L828*VLOOKUP($B828,Premissas!$A$4:$E$7,5,0))</f>
        <v/>
      </c>
      <c r="N828" s="14">
        <f>H828-M828</f>
        <v/>
      </c>
      <c r="O828" t="inlineStr">
        <is>
          <t>Não</t>
        </is>
      </c>
      <c r="P828" t="inlineStr">
        <is>
          <t>1.350</t>
        </is>
      </c>
    </row>
    <row r="829">
      <c r="A829" t="inlineStr">
        <is>
          <t>Antes de 2026</t>
        </is>
      </c>
      <c r="B829" t="inlineStr">
        <is>
          <t>Frete de venda</t>
        </is>
      </c>
      <c r="C829" t="inlineStr">
        <is>
          <t>Frete de venda (para clientes)</t>
        </is>
      </c>
      <c r="D829" t="inlineStr">
        <is>
          <t>CT-e</t>
        </is>
      </c>
      <c r="E829" t="inlineStr">
        <is>
          <t>000005784</t>
        </is>
      </c>
      <c r="F829" t="inlineStr">
        <is>
          <t>R&amp;R TRANSPORTE E LOGISTICA</t>
        </is>
      </c>
      <c r="G829" s="27" t="n">
        <v>45981</v>
      </c>
      <c r="H829" s="14" t="n">
        <v>18.44</v>
      </c>
      <c r="I829" s="14" t="n">
        <v>0</v>
      </c>
      <c r="J829" s="14" t="n">
        <v>0</v>
      </c>
      <c r="K829" s="14" t="n">
        <v>0</v>
      </c>
      <c r="L829" s="14" t="n">
        <v>0</v>
      </c>
      <c r="M829" s="14">
        <f>IF(B829="Frete de venda",0,(1-ISNUMBER(SEARCH("556",P829)))*(I829*VLOOKUP($B829,Premissas!$A$4:$E$7,2,0)+J829*VLOOKUP($B829,Premissas!$A$4:$E$7,3,0))+K829*VLOOKUP($B829,Premissas!$A$4:$E$7,4,0)+L829*VLOOKUP($B829,Premissas!$A$4:$E$7,5,0))</f>
        <v/>
      </c>
      <c r="N829" s="14">
        <f>H829-M829</f>
        <v/>
      </c>
      <c r="O829" t="inlineStr">
        <is>
          <t>Não</t>
        </is>
      </c>
      <c r="P829" t="inlineStr">
        <is>
          <t>1.350</t>
        </is>
      </c>
    </row>
    <row r="830">
      <c r="A830" t="inlineStr">
        <is>
          <t>Antes de 2026</t>
        </is>
      </c>
      <c r="B830" t="inlineStr">
        <is>
          <t>Frete de venda</t>
        </is>
      </c>
      <c r="C830" t="inlineStr">
        <is>
          <t>Frete de venda (para clientes)</t>
        </is>
      </c>
      <c r="D830" t="inlineStr">
        <is>
          <t>CT-e</t>
        </is>
      </c>
      <c r="E830" t="inlineStr">
        <is>
          <t>000006032</t>
        </is>
      </c>
      <c r="F830" t="inlineStr">
        <is>
          <t>R&amp;R TRANSPORTE E LOGISTICA</t>
        </is>
      </c>
      <c r="G830" s="27" t="n">
        <v>46011</v>
      </c>
      <c r="H830" s="14" t="n">
        <v>34.26</v>
      </c>
      <c r="I830" s="14" t="n">
        <v>0</v>
      </c>
      <c r="J830" s="14" t="n">
        <v>0</v>
      </c>
      <c r="K830" s="14" t="n">
        <v>0</v>
      </c>
      <c r="L830" s="14" t="n">
        <v>0</v>
      </c>
      <c r="M830" s="14">
        <f>IF(B830="Frete de venda",0,(1-ISNUMBER(SEARCH("556",P830)))*(I830*VLOOKUP($B830,Premissas!$A$4:$E$7,2,0)+J830*VLOOKUP($B830,Premissas!$A$4:$E$7,3,0))+K830*VLOOKUP($B830,Premissas!$A$4:$E$7,4,0)+L830*VLOOKUP($B830,Premissas!$A$4:$E$7,5,0))</f>
        <v/>
      </c>
      <c r="N830" s="14">
        <f>H830-M830</f>
        <v/>
      </c>
      <c r="O830" t="inlineStr">
        <is>
          <t>Não</t>
        </is>
      </c>
      <c r="P830" t="inlineStr">
        <is>
          <t>1.350</t>
        </is>
      </c>
    </row>
    <row r="831">
      <c r="A831" t="inlineStr">
        <is>
          <t>Antes de 2026</t>
        </is>
      </c>
      <c r="B831" t="inlineStr">
        <is>
          <t>Frete de venda</t>
        </is>
      </c>
      <c r="C831" t="inlineStr">
        <is>
          <t>Frete de venda (para clientes)</t>
        </is>
      </c>
      <c r="D831" t="inlineStr">
        <is>
          <t>CT-e</t>
        </is>
      </c>
      <c r="E831" t="inlineStr">
        <is>
          <t>000005131</t>
        </is>
      </c>
      <c r="F831" t="inlineStr">
        <is>
          <t>R&amp;R TRANSPORTE E LOGISTICA</t>
        </is>
      </c>
      <c r="G831" s="27" t="n">
        <v>45908</v>
      </c>
      <c r="H831" s="14" t="n">
        <v>25.03</v>
      </c>
      <c r="I831" s="14" t="n">
        <v>0</v>
      </c>
      <c r="J831" s="14" t="n">
        <v>0</v>
      </c>
      <c r="K831" s="14" t="n">
        <v>0</v>
      </c>
      <c r="L831" s="14" t="n">
        <v>0</v>
      </c>
      <c r="M831" s="14">
        <f>IF(B831="Frete de venda",0,(1-ISNUMBER(SEARCH("556",P831)))*(I831*VLOOKUP($B831,Premissas!$A$4:$E$7,2,0)+J831*VLOOKUP($B831,Premissas!$A$4:$E$7,3,0))+K831*VLOOKUP($B831,Premissas!$A$4:$E$7,4,0)+L831*VLOOKUP($B831,Premissas!$A$4:$E$7,5,0))</f>
        <v/>
      </c>
      <c r="N831" s="14">
        <f>H831-M831</f>
        <v/>
      </c>
      <c r="O831" t="inlineStr">
        <is>
          <t>Não</t>
        </is>
      </c>
      <c r="P831" t="inlineStr">
        <is>
          <t>1.350</t>
        </is>
      </c>
    </row>
    <row r="832">
      <c r="A832" t="inlineStr">
        <is>
          <t>Antes de 2026</t>
        </is>
      </c>
      <c r="B832" t="inlineStr">
        <is>
          <t>Frete de venda</t>
        </is>
      </c>
      <c r="C832" t="inlineStr">
        <is>
          <t>Frete de venda (para clientes)</t>
        </is>
      </c>
      <c r="D832" t="inlineStr">
        <is>
          <t>CT-e</t>
        </is>
      </c>
      <c r="E832" t="inlineStr">
        <is>
          <t>000005637</t>
        </is>
      </c>
      <c r="F832" t="inlineStr">
        <is>
          <t>R&amp;R TRANSPORTE E LOGISTICA</t>
        </is>
      </c>
      <c r="G832" s="27" t="n">
        <v>45961</v>
      </c>
      <c r="H832" s="14" t="n">
        <v>42.56</v>
      </c>
      <c r="I832" s="14" t="n">
        <v>0</v>
      </c>
      <c r="J832" s="14" t="n">
        <v>0</v>
      </c>
      <c r="K832" s="14" t="n">
        <v>0</v>
      </c>
      <c r="L832" s="14" t="n">
        <v>0</v>
      </c>
      <c r="M832" s="14">
        <f>IF(B832="Frete de venda",0,(1-ISNUMBER(SEARCH("556",P832)))*(I832*VLOOKUP($B832,Premissas!$A$4:$E$7,2,0)+J832*VLOOKUP($B832,Premissas!$A$4:$E$7,3,0))+K832*VLOOKUP($B832,Premissas!$A$4:$E$7,4,0)+L832*VLOOKUP($B832,Premissas!$A$4:$E$7,5,0))</f>
        <v/>
      </c>
      <c r="N832" s="14">
        <f>H832-M832</f>
        <v/>
      </c>
      <c r="O832" t="inlineStr">
        <is>
          <t>Não</t>
        </is>
      </c>
      <c r="P832" t="inlineStr">
        <is>
          <t>1.350</t>
        </is>
      </c>
    </row>
    <row r="833">
      <c r="A833" t="inlineStr">
        <is>
          <t>Antes de 2026</t>
        </is>
      </c>
      <c r="B833" t="inlineStr">
        <is>
          <t>Frete de venda</t>
        </is>
      </c>
      <c r="C833" t="inlineStr">
        <is>
          <t>Frete de venda (para clientes)</t>
        </is>
      </c>
      <c r="D833" t="inlineStr">
        <is>
          <t>CT-e</t>
        </is>
      </c>
      <c r="E833" t="inlineStr">
        <is>
          <t>000005891</t>
        </is>
      </c>
      <c r="F833" t="inlineStr">
        <is>
          <t>R&amp;R TRANSPORTE E LOGISTICA</t>
        </is>
      </c>
      <c r="G833" s="27" t="n">
        <v>45993</v>
      </c>
      <c r="H833" s="14" t="n">
        <v>62.67</v>
      </c>
      <c r="I833" s="14" t="n">
        <v>0</v>
      </c>
      <c r="J833" s="14" t="n">
        <v>0</v>
      </c>
      <c r="K833" s="14" t="n">
        <v>0</v>
      </c>
      <c r="L833" s="14" t="n">
        <v>0</v>
      </c>
      <c r="M833" s="14">
        <f>IF(B833="Frete de venda",0,(1-ISNUMBER(SEARCH("556",P833)))*(I833*VLOOKUP($B833,Premissas!$A$4:$E$7,2,0)+J833*VLOOKUP($B833,Premissas!$A$4:$E$7,3,0))+K833*VLOOKUP($B833,Premissas!$A$4:$E$7,4,0)+L833*VLOOKUP($B833,Premissas!$A$4:$E$7,5,0))</f>
        <v/>
      </c>
      <c r="N833" s="14">
        <f>H833-M833</f>
        <v/>
      </c>
      <c r="O833" t="inlineStr">
        <is>
          <t>Não</t>
        </is>
      </c>
      <c r="P833" t="inlineStr">
        <is>
          <t>1.350</t>
        </is>
      </c>
    </row>
    <row r="834">
      <c r="A834" t="inlineStr">
        <is>
          <t>Antes de 2026</t>
        </is>
      </c>
      <c r="B834" t="inlineStr">
        <is>
          <t>Frete de venda</t>
        </is>
      </c>
      <c r="C834" t="inlineStr">
        <is>
          <t>Frete de venda (para clientes)</t>
        </is>
      </c>
      <c r="D834" t="inlineStr">
        <is>
          <t>CT-e</t>
        </is>
      </c>
      <c r="E834" t="inlineStr">
        <is>
          <t>000004811</t>
        </is>
      </c>
      <c r="F834" t="inlineStr">
        <is>
          <t>R&amp;R TRANSPORTE E LOGISTICA</t>
        </is>
      </c>
      <c r="G834" s="27" t="n">
        <v>45870</v>
      </c>
      <c r="H834" s="14" t="n">
        <v>25.86</v>
      </c>
      <c r="I834" s="14" t="n">
        <v>0</v>
      </c>
      <c r="J834" s="14" t="n">
        <v>0</v>
      </c>
      <c r="K834" s="14" t="n">
        <v>0</v>
      </c>
      <c r="L834" s="14" t="n">
        <v>0</v>
      </c>
      <c r="M834" s="14">
        <f>IF(B834="Frete de venda",0,(1-ISNUMBER(SEARCH("556",P834)))*(I834*VLOOKUP($B834,Premissas!$A$4:$E$7,2,0)+J834*VLOOKUP($B834,Premissas!$A$4:$E$7,3,0))+K834*VLOOKUP($B834,Premissas!$A$4:$E$7,4,0)+L834*VLOOKUP($B834,Premissas!$A$4:$E$7,5,0))</f>
        <v/>
      </c>
      <c r="N834" s="14">
        <f>H834-M834</f>
        <v/>
      </c>
      <c r="O834" t="inlineStr">
        <is>
          <t>Não</t>
        </is>
      </c>
      <c r="P834" t="inlineStr">
        <is>
          <t>1.350</t>
        </is>
      </c>
    </row>
    <row r="835">
      <c r="A835" t="inlineStr">
        <is>
          <t>Antes de 2026</t>
        </is>
      </c>
      <c r="B835" t="inlineStr">
        <is>
          <t>Frete de venda</t>
        </is>
      </c>
      <c r="C835" t="inlineStr">
        <is>
          <t>Frete de venda (para clientes)</t>
        </is>
      </c>
      <c r="D835" t="inlineStr">
        <is>
          <t>CT-e</t>
        </is>
      </c>
      <c r="E835" t="inlineStr">
        <is>
          <t>000005005</t>
        </is>
      </c>
      <c r="F835" t="inlineStr">
        <is>
          <t>R&amp;R TRANSPORTE E LOGISTICA</t>
        </is>
      </c>
      <c r="G835" s="27" t="n">
        <v>45895</v>
      </c>
      <c r="H835" s="14" t="n">
        <v>8.32</v>
      </c>
      <c r="I835" s="14" t="n">
        <v>0</v>
      </c>
      <c r="J835" s="14" t="n">
        <v>0</v>
      </c>
      <c r="K835" s="14" t="n">
        <v>0</v>
      </c>
      <c r="L835" s="14" t="n">
        <v>0</v>
      </c>
      <c r="M835" s="14">
        <f>IF(B835="Frete de venda",0,(1-ISNUMBER(SEARCH("556",P835)))*(I835*VLOOKUP($B835,Premissas!$A$4:$E$7,2,0)+J835*VLOOKUP($B835,Premissas!$A$4:$E$7,3,0))+K835*VLOOKUP($B835,Premissas!$A$4:$E$7,4,0)+L835*VLOOKUP($B835,Premissas!$A$4:$E$7,5,0))</f>
        <v/>
      </c>
      <c r="N835" s="14">
        <f>H835-M835</f>
        <v/>
      </c>
      <c r="O835" t="inlineStr">
        <is>
          <t>Não</t>
        </is>
      </c>
      <c r="P835" t="inlineStr">
        <is>
          <t>1.350</t>
        </is>
      </c>
    </row>
    <row r="836">
      <c r="A836" t="inlineStr">
        <is>
          <t>Antes de 2026</t>
        </is>
      </c>
      <c r="B836" t="inlineStr">
        <is>
          <t>Frete de venda</t>
        </is>
      </c>
      <c r="C836" t="inlineStr">
        <is>
          <t>Frete de venda (para clientes)</t>
        </is>
      </c>
      <c r="D836" t="inlineStr">
        <is>
          <t>CT-e</t>
        </is>
      </c>
      <c r="E836" t="inlineStr">
        <is>
          <t>000004121</t>
        </is>
      </c>
      <c r="F836" t="inlineStr">
        <is>
          <t>R&amp;R TRANSPORTE E LOGISTICA</t>
        </is>
      </c>
      <c r="G836" s="27" t="n">
        <v>45778</v>
      </c>
      <c r="H836" s="14" t="n">
        <v>48</v>
      </c>
      <c r="I836" s="14" t="n">
        <v>0</v>
      </c>
      <c r="J836" s="14" t="n">
        <v>0</v>
      </c>
      <c r="K836" s="14" t="n">
        <v>0</v>
      </c>
      <c r="L836" s="14" t="n">
        <v>0</v>
      </c>
      <c r="M836" s="14">
        <f>IF(B836="Frete de venda",0,(1-ISNUMBER(SEARCH("556",P836)))*(I836*VLOOKUP($B836,Premissas!$A$4:$E$7,2,0)+J836*VLOOKUP($B836,Premissas!$A$4:$E$7,3,0))+K836*VLOOKUP($B836,Premissas!$A$4:$E$7,4,0)+L836*VLOOKUP($B836,Premissas!$A$4:$E$7,5,0))</f>
        <v/>
      </c>
      <c r="N836" s="14">
        <f>H836-M836</f>
        <v/>
      </c>
      <c r="O836" t="inlineStr">
        <is>
          <t>Não</t>
        </is>
      </c>
      <c r="P836" t="inlineStr">
        <is>
          <t>1.350</t>
        </is>
      </c>
    </row>
    <row r="837">
      <c r="A837" t="inlineStr">
        <is>
          <t>Antes de 2026</t>
        </is>
      </c>
      <c r="B837" t="inlineStr">
        <is>
          <t>Frete de venda</t>
        </is>
      </c>
      <c r="C837" t="inlineStr">
        <is>
          <t>Frete de venda (para clientes)</t>
        </is>
      </c>
      <c r="D837" t="inlineStr">
        <is>
          <t>CT-e</t>
        </is>
      </c>
      <c r="E837" t="inlineStr">
        <is>
          <t>000004539</t>
        </is>
      </c>
      <c r="F837" t="inlineStr">
        <is>
          <t>R&amp;R TRANSPORTE E LOGISTICA</t>
        </is>
      </c>
      <c r="G837" s="27" t="n">
        <v>45836</v>
      </c>
      <c r="H837" s="14" t="n">
        <v>28.2</v>
      </c>
      <c r="I837" s="14" t="n">
        <v>0</v>
      </c>
      <c r="J837" s="14" t="n">
        <v>0</v>
      </c>
      <c r="K837" s="14" t="n">
        <v>0</v>
      </c>
      <c r="L837" s="14" t="n">
        <v>0</v>
      </c>
      <c r="M837" s="14">
        <f>IF(B837="Frete de venda",0,(1-ISNUMBER(SEARCH("556",P837)))*(I837*VLOOKUP($B837,Premissas!$A$4:$E$7,2,0)+J837*VLOOKUP($B837,Premissas!$A$4:$E$7,3,0))+K837*VLOOKUP($B837,Premissas!$A$4:$E$7,4,0)+L837*VLOOKUP($B837,Premissas!$A$4:$E$7,5,0))</f>
        <v/>
      </c>
      <c r="N837" s="14">
        <f>H837-M837</f>
        <v/>
      </c>
      <c r="O837" t="inlineStr">
        <is>
          <t>Não</t>
        </is>
      </c>
      <c r="P837" t="inlineStr">
        <is>
          <t>1.350</t>
        </is>
      </c>
    </row>
    <row r="838">
      <c r="A838" t="inlineStr">
        <is>
          <t>Antes de 2026</t>
        </is>
      </c>
      <c r="B838" t="inlineStr">
        <is>
          <t>Frete de venda</t>
        </is>
      </c>
      <c r="C838" t="inlineStr">
        <is>
          <t>Frete de venda (para clientes)</t>
        </is>
      </c>
      <c r="D838" t="inlineStr">
        <is>
          <t>CT-e</t>
        </is>
      </c>
      <c r="E838" t="inlineStr">
        <is>
          <t>000004976</t>
        </is>
      </c>
      <c r="F838" t="inlineStr">
        <is>
          <t>R&amp;R TRANSPORTE E LOGISTICA</t>
        </is>
      </c>
      <c r="G838" s="27" t="n">
        <v>45891</v>
      </c>
      <c r="H838" s="14" t="n">
        <v>30.4</v>
      </c>
      <c r="I838" s="14" t="n">
        <v>0</v>
      </c>
      <c r="J838" s="14" t="n">
        <v>0</v>
      </c>
      <c r="K838" s="14" t="n">
        <v>0</v>
      </c>
      <c r="L838" s="14" t="n">
        <v>0</v>
      </c>
      <c r="M838" s="14">
        <f>IF(B838="Frete de venda",0,(1-ISNUMBER(SEARCH("556",P838)))*(I838*VLOOKUP($B838,Premissas!$A$4:$E$7,2,0)+J838*VLOOKUP($B838,Premissas!$A$4:$E$7,3,0))+K838*VLOOKUP($B838,Premissas!$A$4:$E$7,4,0)+L838*VLOOKUP($B838,Premissas!$A$4:$E$7,5,0))</f>
        <v/>
      </c>
      <c r="N838" s="14">
        <f>H838-M838</f>
        <v/>
      </c>
      <c r="O838" t="inlineStr">
        <is>
          <t>Não</t>
        </is>
      </c>
      <c r="P838" t="inlineStr">
        <is>
          <t>1.350</t>
        </is>
      </c>
    </row>
    <row r="839">
      <c r="A839" t="inlineStr">
        <is>
          <t>Antes de 2026</t>
        </is>
      </c>
      <c r="B839" t="inlineStr">
        <is>
          <t>Frete de venda</t>
        </is>
      </c>
      <c r="C839" t="inlineStr">
        <is>
          <t>Frete de venda (para clientes)</t>
        </is>
      </c>
      <c r="D839" t="inlineStr">
        <is>
          <t>CT-e</t>
        </is>
      </c>
      <c r="E839" t="inlineStr">
        <is>
          <t>000005682</t>
        </is>
      </c>
      <c r="F839" t="inlineStr">
        <is>
          <t>R&amp;R TRANSPORTE E LOGISTICA</t>
        </is>
      </c>
      <c r="G839" s="27" t="n">
        <v>45967</v>
      </c>
      <c r="H839" s="14" t="n">
        <v>22</v>
      </c>
      <c r="I839" s="14" t="n">
        <v>0</v>
      </c>
      <c r="J839" s="14" t="n">
        <v>0</v>
      </c>
      <c r="K839" s="14" t="n">
        <v>0</v>
      </c>
      <c r="L839" s="14" t="n">
        <v>0</v>
      </c>
      <c r="M839" s="14">
        <f>IF(B839="Frete de venda",0,(1-ISNUMBER(SEARCH("556",P839)))*(I839*VLOOKUP($B839,Premissas!$A$4:$E$7,2,0)+J839*VLOOKUP($B839,Premissas!$A$4:$E$7,3,0))+K839*VLOOKUP($B839,Premissas!$A$4:$E$7,4,0)+L839*VLOOKUP($B839,Premissas!$A$4:$E$7,5,0))</f>
        <v/>
      </c>
      <c r="N839" s="14">
        <f>H839-M839</f>
        <v/>
      </c>
      <c r="O839" t="inlineStr">
        <is>
          <t>Não</t>
        </is>
      </c>
      <c r="P839" t="inlineStr">
        <is>
          <t>1.350</t>
        </is>
      </c>
    </row>
    <row r="840">
      <c r="A840" t="inlineStr">
        <is>
          <t>Antes de 2026</t>
        </is>
      </c>
      <c r="B840" t="inlineStr">
        <is>
          <t>Frete de venda</t>
        </is>
      </c>
      <c r="C840" t="inlineStr">
        <is>
          <t>Frete de venda (para clientes)</t>
        </is>
      </c>
      <c r="D840" t="inlineStr">
        <is>
          <t>CT-e</t>
        </is>
      </c>
      <c r="E840" t="inlineStr">
        <is>
          <t>000006089</t>
        </is>
      </c>
      <c r="F840" t="inlineStr">
        <is>
          <t>R&amp;R TRANSPORTE E LOGISTICA</t>
        </is>
      </c>
      <c r="G840" s="27" t="n">
        <v>46021</v>
      </c>
      <c r="H840" s="14" t="n">
        <v>16.07</v>
      </c>
      <c r="I840" s="14" t="n">
        <v>0</v>
      </c>
      <c r="J840" s="14" t="n">
        <v>0</v>
      </c>
      <c r="K840" s="14" t="n">
        <v>0</v>
      </c>
      <c r="L840" s="14" t="n">
        <v>0</v>
      </c>
      <c r="M840" s="14">
        <f>IF(B840="Frete de venda",0,(1-ISNUMBER(SEARCH("556",P840)))*(I840*VLOOKUP($B840,Premissas!$A$4:$E$7,2,0)+J840*VLOOKUP($B840,Premissas!$A$4:$E$7,3,0))+K840*VLOOKUP($B840,Premissas!$A$4:$E$7,4,0)+L840*VLOOKUP($B840,Premissas!$A$4:$E$7,5,0))</f>
        <v/>
      </c>
      <c r="N840" s="14">
        <f>H840-M840</f>
        <v/>
      </c>
      <c r="O840" t="inlineStr">
        <is>
          <t>Não</t>
        </is>
      </c>
      <c r="P840" t="inlineStr">
        <is>
          <t>1.350</t>
        </is>
      </c>
    </row>
    <row r="841">
      <c r="A841" t="inlineStr">
        <is>
          <t>Antes de 2026</t>
        </is>
      </c>
      <c r="B841" t="inlineStr">
        <is>
          <t>Frete de venda</t>
        </is>
      </c>
      <c r="C841" t="inlineStr">
        <is>
          <t>Frete de venda (para clientes)</t>
        </is>
      </c>
      <c r="D841" t="inlineStr">
        <is>
          <t>CT-e</t>
        </is>
      </c>
      <c r="E841" t="inlineStr">
        <is>
          <t>000004735</t>
        </is>
      </c>
      <c r="F841" t="inlineStr">
        <is>
          <t>R&amp;R TRANSPORTE E LOGISTICA</t>
        </is>
      </c>
      <c r="G841" s="27" t="n">
        <v>45862</v>
      </c>
      <c r="H841" s="14" t="n">
        <v>38</v>
      </c>
      <c r="I841" s="14" t="n">
        <v>0</v>
      </c>
      <c r="J841" s="14" t="n">
        <v>0</v>
      </c>
      <c r="K841" s="14" t="n">
        <v>0</v>
      </c>
      <c r="L841" s="14" t="n">
        <v>0</v>
      </c>
      <c r="M841" s="14">
        <f>IF(B841="Frete de venda",0,(1-ISNUMBER(SEARCH("556",P841)))*(I841*VLOOKUP($B841,Premissas!$A$4:$E$7,2,0)+J841*VLOOKUP($B841,Premissas!$A$4:$E$7,3,0))+K841*VLOOKUP($B841,Premissas!$A$4:$E$7,4,0)+L841*VLOOKUP($B841,Premissas!$A$4:$E$7,5,0))</f>
        <v/>
      </c>
      <c r="N841" s="14">
        <f>H841-M841</f>
        <v/>
      </c>
      <c r="O841" t="inlineStr">
        <is>
          <t>Não</t>
        </is>
      </c>
      <c r="P841" t="inlineStr">
        <is>
          <t>1.350</t>
        </is>
      </c>
    </row>
    <row r="842">
      <c r="A842" t="inlineStr">
        <is>
          <t>Antes de 2026</t>
        </is>
      </c>
      <c r="B842" t="inlineStr">
        <is>
          <t>Frete de venda</t>
        </is>
      </c>
      <c r="C842" t="inlineStr">
        <is>
          <t>Frete de venda (para clientes)</t>
        </is>
      </c>
      <c r="D842" t="inlineStr">
        <is>
          <t>CT-e</t>
        </is>
      </c>
      <c r="E842" t="inlineStr">
        <is>
          <t>000004481</t>
        </is>
      </c>
      <c r="F842" t="inlineStr">
        <is>
          <t>R&amp;R TRANSPORTE E LOGISTICA</t>
        </is>
      </c>
      <c r="G842" s="27" t="n">
        <v>45831</v>
      </c>
      <c r="H842" s="14" t="n">
        <v>23.82</v>
      </c>
      <c r="I842" s="14" t="n">
        <v>0</v>
      </c>
      <c r="J842" s="14" t="n">
        <v>0</v>
      </c>
      <c r="K842" s="14" t="n">
        <v>0</v>
      </c>
      <c r="L842" s="14" t="n">
        <v>0</v>
      </c>
      <c r="M842" s="14">
        <f>IF(B842="Frete de venda",0,(1-ISNUMBER(SEARCH("556",P842)))*(I842*VLOOKUP($B842,Premissas!$A$4:$E$7,2,0)+J842*VLOOKUP($B842,Premissas!$A$4:$E$7,3,0))+K842*VLOOKUP($B842,Premissas!$A$4:$E$7,4,0)+L842*VLOOKUP($B842,Premissas!$A$4:$E$7,5,0))</f>
        <v/>
      </c>
      <c r="N842" s="14">
        <f>H842-M842</f>
        <v/>
      </c>
      <c r="O842" t="inlineStr">
        <is>
          <t>Não</t>
        </is>
      </c>
      <c r="P842" t="inlineStr">
        <is>
          <t>1.350</t>
        </is>
      </c>
    </row>
    <row r="843">
      <c r="A843" t="inlineStr">
        <is>
          <t>Antes de 2026</t>
        </is>
      </c>
      <c r="B843" t="inlineStr">
        <is>
          <t>Frete de venda</t>
        </is>
      </c>
      <c r="C843" t="inlineStr">
        <is>
          <t>Frete de venda (para clientes)</t>
        </is>
      </c>
      <c r="D843" t="inlineStr">
        <is>
          <t>CT-e</t>
        </is>
      </c>
      <c r="E843" t="inlineStr">
        <is>
          <t>000005078</t>
        </is>
      </c>
      <c r="F843" t="inlineStr">
        <is>
          <t>R&amp;R TRANSPORTE E LOGISTICA</t>
        </is>
      </c>
      <c r="G843" s="27" t="n">
        <v>45898</v>
      </c>
      <c r="H843" s="14" t="n">
        <v>34.1</v>
      </c>
      <c r="I843" s="14" t="n">
        <v>0</v>
      </c>
      <c r="J843" s="14" t="n">
        <v>0</v>
      </c>
      <c r="K843" s="14" t="n">
        <v>0</v>
      </c>
      <c r="L843" s="14" t="n">
        <v>0</v>
      </c>
      <c r="M843" s="14">
        <f>IF(B843="Frete de venda",0,(1-ISNUMBER(SEARCH("556",P843)))*(I843*VLOOKUP($B843,Premissas!$A$4:$E$7,2,0)+J843*VLOOKUP($B843,Premissas!$A$4:$E$7,3,0))+K843*VLOOKUP($B843,Premissas!$A$4:$E$7,4,0)+L843*VLOOKUP($B843,Premissas!$A$4:$E$7,5,0))</f>
        <v/>
      </c>
      <c r="N843" s="14">
        <f>H843-M843</f>
        <v/>
      </c>
      <c r="O843" t="inlineStr">
        <is>
          <t>Não</t>
        </is>
      </c>
      <c r="P843" t="inlineStr">
        <is>
          <t>1.350</t>
        </is>
      </c>
    </row>
    <row r="844">
      <c r="A844" t="inlineStr">
        <is>
          <t>Antes de 2026</t>
        </is>
      </c>
      <c r="B844" t="inlineStr">
        <is>
          <t>Frete de venda</t>
        </is>
      </c>
      <c r="C844" t="inlineStr">
        <is>
          <t>Frete de venda (para clientes)</t>
        </is>
      </c>
      <c r="D844" t="inlineStr">
        <is>
          <t>CT-e</t>
        </is>
      </c>
      <c r="E844" t="inlineStr">
        <is>
          <t>000004092</t>
        </is>
      </c>
      <c r="F844" t="inlineStr">
        <is>
          <t>R&amp;R TRANSPORTE E LOGISTICA</t>
        </is>
      </c>
      <c r="G844" s="27" t="n">
        <v>45775</v>
      </c>
      <c r="H844" s="14" t="n">
        <v>42.16</v>
      </c>
      <c r="I844" s="14" t="n">
        <v>0</v>
      </c>
      <c r="J844" s="14" t="n">
        <v>0</v>
      </c>
      <c r="K844" s="14" t="n">
        <v>0</v>
      </c>
      <c r="L844" s="14" t="n">
        <v>0</v>
      </c>
      <c r="M844" s="14">
        <f>IF(B844="Frete de venda",0,(1-ISNUMBER(SEARCH("556",P844)))*(I844*VLOOKUP($B844,Premissas!$A$4:$E$7,2,0)+J844*VLOOKUP($B844,Premissas!$A$4:$E$7,3,0))+K844*VLOOKUP($B844,Premissas!$A$4:$E$7,4,0)+L844*VLOOKUP($B844,Premissas!$A$4:$E$7,5,0))</f>
        <v/>
      </c>
      <c r="N844" s="14">
        <f>H844-M844</f>
        <v/>
      </c>
      <c r="O844" t="inlineStr">
        <is>
          <t>Não</t>
        </is>
      </c>
      <c r="P844" t="inlineStr">
        <is>
          <t>1.350</t>
        </is>
      </c>
    </row>
    <row r="845">
      <c r="A845" t="inlineStr">
        <is>
          <t>Antes de 2026</t>
        </is>
      </c>
      <c r="B845" t="inlineStr">
        <is>
          <t>Frete de venda</t>
        </is>
      </c>
      <c r="C845" t="inlineStr">
        <is>
          <t>Frete de venda (para clientes)</t>
        </is>
      </c>
      <c r="D845" t="inlineStr">
        <is>
          <t>CT-e</t>
        </is>
      </c>
      <c r="E845" t="inlineStr">
        <is>
          <t>000004584</t>
        </is>
      </c>
      <c r="F845" t="inlineStr">
        <is>
          <t>R&amp;R TRANSPORTE E LOGISTICA</t>
        </is>
      </c>
      <c r="G845" s="27" t="n">
        <v>45842</v>
      </c>
      <c r="H845" s="14" t="n">
        <v>25.14</v>
      </c>
      <c r="I845" s="14" t="n">
        <v>0</v>
      </c>
      <c r="J845" s="14" t="n">
        <v>0</v>
      </c>
      <c r="K845" s="14" t="n">
        <v>0</v>
      </c>
      <c r="L845" s="14" t="n">
        <v>0</v>
      </c>
      <c r="M845" s="14">
        <f>IF(B845="Frete de venda",0,(1-ISNUMBER(SEARCH("556",P845)))*(I845*VLOOKUP($B845,Premissas!$A$4:$E$7,2,0)+J845*VLOOKUP($B845,Premissas!$A$4:$E$7,3,0))+K845*VLOOKUP($B845,Premissas!$A$4:$E$7,4,0)+L845*VLOOKUP($B845,Premissas!$A$4:$E$7,5,0))</f>
        <v/>
      </c>
      <c r="N845" s="14">
        <f>H845-M845</f>
        <v/>
      </c>
      <c r="O845" t="inlineStr">
        <is>
          <t>Não</t>
        </is>
      </c>
      <c r="P845" t="inlineStr">
        <is>
          <t>1.350</t>
        </is>
      </c>
    </row>
    <row r="846">
      <c r="A846" t="inlineStr">
        <is>
          <t>Antes de 2026</t>
        </is>
      </c>
      <c r="B846" t="inlineStr">
        <is>
          <t>Frete de venda</t>
        </is>
      </c>
      <c r="C846" t="inlineStr">
        <is>
          <t>Frete de venda (para clientes)</t>
        </is>
      </c>
      <c r="D846" t="inlineStr">
        <is>
          <t>CT-e</t>
        </is>
      </c>
      <c r="E846" t="inlineStr">
        <is>
          <t>000004960</t>
        </is>
      </c>
      <c r="F846" t="inlineStr">
        <is>
          <t>R&amp;R TRANSPORTE E LOGISTICA</t>
        </is>
      </c>
      <c r="G846" s="27" t="n">
        <v>45889</v>
      </c>
      <c r="H846" s="14" t="n">
        <v>54.31</v>
      </c>
      <c r="I846" s="14" t="n">
        <v>0</v>
      </c>
      <c r="J846" s="14" t="n">
        <v>0</v>
      </c>
      <c r="K846" s="14" t="n">
        <v>0</v>
      </c>
      <c r="L846" s="14" t="n">
        <v>0</v>
      </c>
      <c r="M846" s="14">
        <f>IF(B846="Frete de venda",0,(1-ISNUMBER(SEARCH("556",P846)))*(I846*VLOOKUP($B846,Premissas!$A$4:$E$7,2,0)+J846*VLOOKUP($B846,Premissas!$A$4:$E$7,3,0))+K846*VLOOKUP($B846,Premissas!$A$4:$E$7,4,0)+L846*VLOOKUP($B846,Premissas!$A$4:$E$7,5,0))</f>
        <v/>
      </c>
      <c r="N846" s="14">
        <f>H846-M846</f>
        <v/>
      </c>
      <c r="O846" t="inlineStr">
        <is>
          <t>Não</t>
        </is>
      </c>
      <c r="P846" t="inlineStr">
        <is>
          <t>1.350</t>
        </is>
      </c>
    </row>
    <row r="847">
      <c r="A847" t="inlineStr">
        <is>
          <t>Antes de 2026</t>
        </is>
      </c>
      <c r="B847" t="inlineStr">
        <is>
          <t>Frete de venda</t>
        </is>
      </c>
      <c r="C847" t="inlineStr">
        <is>
          <t>Frete de venda (para clientes)</t>
        </is>
      </c>
      <c r="D847" t="inlineStr">
        <is>
          <t>CT-e</t>
        </is>
      </c>
      <c r="E847" t="inlineStr">
        <is>
          <t>000005402</t>
        </is>
      </c>
      <c r="F847" t="inlineStr">
        <is>
          <t>R&amp;R TRANSPORTE E LOGISTICA</t>
        </is>
      </c>
      <c r="G847" s="27" t="n">
        <v>45937</v>
      </c>
      <c r="H847" s="14" t="n">
        <v>25.58</v>
      </c>
      <c r="I847" s="14" t="n">
        <v>0</v>
      </c>
      <c r="J847" s="14" t="n">
        <v>0</v>
      </c>
      <c r="K847" s="14" t="n">
        <v>0</v>
      </c>
      <c r="L847" s="14" t="n">
        <v>0</v>
      </c>
      <c r="M847" s="14">
        <f>IF(B847="Frete de venda",0,(1-ISNUMBER(SEARCH("556",P847)))*(I847*VLOOKUP($B847,Premissas!$A$4:$E$7,2,0)+J847*VLOOKUP($B847,Premissas!$A$4:$E$7,3,0))+K847*VLOOKUP($B847,Premissas!$A$4:$E$7,4,0)+L847*VLOOKUP($B847,Premissas!$A$4:$E$7,5,0))</f>
        <v/>
      </c>
      <c r="N847" s="14">
        <f>H847-M847</f>
        <v/>
      </c>
      <c r="O847" t="inlineStr">
        <is>
          <t>Não</t>
        </is>
      </c>
      <c r="P847" t="inlineStr">
        <is>
          <t>1.350</t>
        </is>
      </c>
    </row>
    <row r="848">
      <c r="A848" t="inlineStr">
        <is>
          <t>Antes de 2026</t>
        </is>
      </c>
      <c r="B848" t="inlineStr">
        <is>
          <t>Frete de venda</t>
        </is>
      </c>
      <c r="C848" t="inlineStr">
        <is>
          <t>Frete de venda (para clientes)</t>
        </is>
      </c>
      <c r="D848" t="inlineStr">
        <is>
          <t>CT-e</t>
        </is>
      </c>
      <c r="E848" t="inlineStr">
        <is>
          <t>000006014</t>
        </is>
      </c>
      <c r="F848" t="inlineStr">
        <is>
          <t>R&amp;R TRANSPORTE E LOGISTICA</t>
        </is>
      </c>
      <c r="G848" s="27" t="n">
        <v>46010</v>
      </c>
      <c r="H848" s="14" t="n">
        <v>18.61</v>
      </c>
      <c r="I848" s="14" t="n">
        <v>0</v>
      </c>
      <c r="J848" s="14" t="n">
        <v>0</v>
      </c>
      <c r="K848" s="14" t="n">
        <v>0</v>
      </c>
      <c r="L848" s="14" t="n">
        <v>0</v>
      </c>
      <c r="M848" s="14">
        <f>IF(B848="Frete de venda",0,(1-ISNUMBER(SEARCH("556",P848)))*(I848*VLOOKUP($B848,Premissas!$A$4:$E$7,2,0)+J848*VLOOKUP($B848,Premissas!$A$4:$E$7,3,0))+K848*VLOOKUP($B848,Premissas!$A$4:$E$7,4,0)+L848*VLOOKUP($B848,Premissas!$A$4:$E$7,5,0))</f>
        <v/>
      </c>
      <c r="N848" s="14">
        <f>H848-M848</f>
        <v/>
      </c>
      <c r="O848" t="inlineStr">
        <is>
          <t>Não</t>
        </is>
      </c>
      <c r="P848" t="inlineStr">
        <is>
          <t>1.350</t>
        </is>
      </c>
    </row>
    <row r="849">
      <c r="A849" t="inlineStr">
        <is>
          <t>Antes de 2026</t>
        </is>
      </c>
      <c r="B849" t="inlineStr">
        <is>
          <t>Frete de venda</t>
        </is>
      </c>
      <c r="C849" t="inlineStr">
        <is>
          <t>Frete de venda (para clientes)</t>
        </is>
      </c>
      <c r="D849" t="inlineStr">
        <is>
          <t>CT-e</t>
        </is>
      </c>
      <c r="E849" t="inlineStr">
        <is>
          <t>000005908</t>
        </is>
      </c>
      <c r="F849" t="inlineStr">
        <is>
          <t>R&amp;R TRANSPORTE E LOGISTICA</t>
        </is>
      </c>
      <c r="G849" s="27" t="n">
        <v>45994</v>
      </c>
      <c r="H849" s="14" t="n">
        <v>82.41</v>
      </c>
      <c r="I849" s="14" t="n">
        <v>0</v>
      </c>
      <c r="J849" s="14" t="n">
        <v>0</v>
      </c>
      <c r="K849" s="14" t="n">
        <v>0</v>
      </c>
      <c r="L849" s="14" t="n">
        <v>0</v>
      </c>
      <c r="M849" s="14">
        <f>IF(B849="Frete de venda",0,(1-ISNUMBER(SEARCH("556",P849)))*(I849*VLOOKUP($B849,Premissas!$A$4:$E$7,2,0)+J849*VLOOKUP($B849,Premissas!$A$4:$E$7,3,0))+K849*VLOOKUP($B849,Premissas!$A$4:$E$7,4,0)+L849*VLOOKUP($B849,Premissas!$A$4:$E$7,5,0))</f>
        <v/>
      </c>
      <c r="N849" s="14">
        <f>H849-M849</f>
        <v/>
      </c>
      <c r="O849" t="inlineStr">
        <is>
          <t>Não</t>
        </is>
      </c>
      <c r="P849" t="inlineStr">
        <is>
          <t>1.350</t>
        </is>
      </c>
    </row>
    <row r="850">
      <c r="A850" t="inlineStr">
        <is>
          <t>Antes de 2026</t>
        </is>
      </c>
      <c r="B850" t="inlineStr">
        <is>
          <t>Frete de venda</t>
        </is>
      </c>
      <c r="C850" t="inlineStr">
        <is>
          <t>Frete de venda (para clientes)</t>
        </is>
      </c>
      <c r="D850" t="inlineStr">
        <is>
          <t>CT-e</t>
        </is>
      </c>
      <c r="E850" t="inlineStr">
        <is>
          <t>000004974</t>
        </is>
      </c>
      <c r="F850" t="inlineStr">
        <is>
          <t>R&amp;R TRANSPORTE E LOGISTICA</t>
        </is>
      </c>
      <c r="G850" s="27" t="n">
        <v>45891</v>
      </c>
      <c r="H850" s="14" t="n">
        <v>24.84</v>
      </c>
      <c r="I850" s="14" t="n">
        <v>0</v>
      </c>
      <c r="J850" s="14" t="n">
        <v>0</v>
      </c>
      <c r="K850" s="14" t="n">
        <v>0</v>
      </c>
      <c r="L850" s="14" t="n">
        <v>0</v>
      </c>
      <c r="M850" s="14">
        <f>IF(B850="Frete de venda",0,(1-ISNUMBER(SEARCH("556",P850)))*(I850*VLOOKUP($B850,Premissas!$A$4:$E$7,2,0)+J850*VLOOKUP($B850,Premissas!$A$4:$E$7,3,0))+K850*VLOOKUP($B850,Premissas!$A$4:$E$7,4,0)+L850*VLOOKUP($B850,Premissas!$A$4:$E$7,5,0))</f>
        <v/>
      </c>
      <c r="N850" s="14">
        <f>H850-M850</f>
        <v/>
      </c>
      <c r="O850" t="inlineStr">
        <is>
          <t>Não</t>
        </is>
      </c>
      <c r="P850" t="inlineStr">
        <is>
          <t>1.350</t>
        </is>
      </c>
    </row>
    <row r="851">
      <c r="A851" t="inlineStr">
        <is>
          <t>Antes de 2026</t>
        </is>
      </c>
      <c r="B851" t="inlineStr">
        <is>
          <t>Frete de venda</t>
        </is>
      </c>
      <c r="C851" t="inlineStr">
        <is>
          <t>Frete de venda (para clientes)</t>
        </is>
      </c>
      <c r="D851" t="inlineStr">
        <is>
          <t>CT-e</t>
        </is>
      </c>
      <c r="E851" t="inlineStr">
        <is>
          <t>000004224</t>
        </is>
      </c>
      <c r="F851" t="inlineStr">
        <is>
          <t>R&amp;R TRANSPORTE E LOGISTICA</t>
        </is>
      </c>
      <c r="G851" s="27" t="n">
        <v>45791</v>
      </c>
      <c r="H851" s="14" t="n">
        <v>46.61</v>
      </c>
      <c r="I851" s="14" t="n">
        <v>0</v>
      </c>
      <c r="J851" s="14" t="n">
        <v>0</v>
      </c>
      <c r="K851" s="14" t="n">
        <v>0</v>
      </c>
      <c r="L851" s="14" t="n">
        <v>0</v>
      </c>
      <c r="M851" s="14">
        <f>IF(B851="Frete de venda",0,(1-ISNUMBER(SEARCH("556",P851)))*(I851*VLOOKUP($B851,Premissas!$A$4:$E$7,2,0)+J851*VLOOKUP($B851,Premissas!$A$4:$E$7,3,0))+K851*VLOOKUP($B851,Premissas!$A$4:$E$7,4,0)+L851*VLOOKUP($B851,Premissas!$A$4:$E$7,5,0))</f>
        <v/>
      </c>
      <c r="N851" s="14">
        <f>H851-M851</f>
        <v/>
      </c>
      <c r="O851" t="inlineStr">
        <is>
          <t>Não</t>
        </is>
      </c>
      <c r="P851" t="inlineStr">
        <is>
          <t>1.350</t>
        </is>
      </c>
    </row>
    <row r="852">
      <c r="A852" t="inlineStr">
        <is>
          <t>Antes de 2026</t>
        </is>
      </c>
      <c r="B852" t="inlineStr">
        <is>
          <t>Frete de venda</t>
        </is>
      </c>
      <c r="C852" t="inlineStr">
        <is>
          <t>Frete de venda (para clientes)</t>
        </is>
      </c>
      <c r="D852" t="inlineStr">
        <is>
          <t>CT-e</t>
        </is>
      </c>
      <c r="E852" t="inlineStr">
        <is>
          <t>000004521</t>
        </is>
      </c>
      <c r="F852" t="inlineStr">
        <is>
          <t>R&amp;R TRANSPORTE E LOGISTICA</t>
        </is>
      </c>
      <c r="G852" s="27" t="n">
        <v>45835</v>
      </c>
      <c r="H852" s="14" t="n">
        <v>31.76</v>
      </c>
      <c r="I852" s="14" t="n">
        <v>0</v>
      </c>
      <c r="J852" s="14" t="n">
        <v>0</v>
      </c>
      <c r="K852" s="14" t="n">
        <v>0</v>
      </c>
      <c r="L852" s="14" t="n">
        <v>0</v>
      </c>
      <c r="M852" s="14">
        <f>IF(B852="Frete de venda",0,(1-ISNUMBER(SEARCH("556",P852)))*(I852*VLOOKUP($B852,Premissas!$A$4:$E$7,2,0)+J852*VLOOKUP($B852,Premissas!$A$4:$E$7,3,0))+K852*VLOOKUP($B852,Premissas!$A$4:$E$7,4,0)+L852*VLOOKUP($B852,Premissas!$A$4:$E$7,5,0))</f>
        <v/>
      </c>
      <c r="N852" s="14">
        <f>H852-M852</f>
        <v/>
      </c>
      <c r="O852" t="inlineStr">
        <is>
          <t>Não</t>
        </is>
      </c>
      <c r="P852" t="inlineStr">
        <is>
          <t>1.350</t>
        </is>
      </c>
    </row>
    <row r="853">
      <c r="A853" t="inlineStr">
        <is>
          <t>Antes de 2026</t>
        </is>
      </c>
      <c r="B853" t="inlineStr">
        <is>
          <t>Frete de venda</t>
        </is>
      </c>
      <c r="C853" t="inlineStr">
        <is>
          <t>Frete de venda (para clientes)</t>
        </is>
      </c>
      <c r="D853" t="inlineStr">
        <is>
          <t>CT-e</t>
        </is>
      </c>
      <c r="E853" t="inlineStr">
        <is>
          <t>000005279</t>
        </is>
      </c>
      <c r="F853" t="inlineStr">
        <is>
          <t>R&amp;R TRANSPORTE E LOGISTICA</t>
        </is>
      </c>
      <c r="G853" s="27" t="n">
        <v>45926</v>
      </c>
      <c r="H853" s="14" t="n">
        <v>40.81</v>
      </c>
      <c r="I853" s="14" t="n">
        <v>0</v>
      </c>
      <c r="J853" s="14" t="n">
        <v>0</v>
      </c>
      <c r="K853" s="14" t="n">
        <v>0</v>
      </c>
      <c r="L853" s="14" t="n">
        <v>0</v>
      </c>
      <c r="M853" s="14">
        <f>IF(B853="Frete de venda",0,(1-ISNUMBER(SEARCH("556",P853)))*(I853*VLOOKUP($B853,Premissas!$A$4:$E$7,2,0)+J853*VLOOKUP($B853,Premissas!$A$4:$E$7,3,0))+K853*VLOOKUP($B853,Premissas!$A$4:$E$7,4,0)+L853*VLOOKUP($B853,Premissas!$A$4:$E$7,5,0))</f>
        <v/>
      </c>
      <c r="N853" s="14">
        <f>H853-M853</f>
        <v/>
      </c>
      <c r="O853" t="inlineStr">
        <is>
          <t>Não</t>
        </is>
      </c>
      <c r="P853" t="inlineStr">
        <is>
          <t>1.350</t>
        </is>
      </c>
    </row>
    <row r="854">
      <c r="A854" t="inlineStr">
        <is>
          <t>Antes de 2026</t>
        </is>
      </c>
      <c r="B854" t="inlineStr">
        <is>
          <t>Frete de venda</t>
        </is>
      </c>
      <c r="C854" t="inlineStr">
        <is>
          <t>Frete de venda (para clientes)</t>
        </is>
      </c>
      <c r="D854" t="inlineStr">
        <is>
          <t>CT-e</t>
        </is>
      </c>
      <c r="E854" t="inlineStr">
        <is>
          <t>000005472</t>
        </is>
      </c>
      <c r="F854" t="inlineStr">
        <is>
          <t>R&amp;R TRANSPORTE E LOGISTICA</t>
        </is>
      </c>
      <c r="G854" s="27" t="n">
        <v>45944</v>
      </c>
      <c r="H854" s="14" t="n">
        <v>49.52</v>
      </c>
      <c r="I854" s="14" t="n">
        <v>0</v>
      </c>
      <c r="J854" s="14" t="n">
        <v>0</v>
      </c>
      <c r="K854" s="14" t="n">
        <v>0</v>
      </c>
      <c r="L854" s="14" t="n">
        <v>0</v>
      </c>
      <c r="M854" s="14">
        <f>IF(B854="Frete de venda",0,(1-ISNUMBER(SEARCH("556",P854)))*(I854*VLOOKUP($B854,Premissas!$A$4:$E$7,2,0)+J854*VLOOKUP($B854,Premissas!$A$4:$E$7,3,0))+K854*VLOOKUP($B854,Premissas!$A$4:$E$7,4,0)+L854*VLOOKUP($B854,Premissas!$A$4:$E$7,5,0))</f>
        <v/>
      </c>
      <c r="N854" s="14">
        <f>H854-M854</f>
        <v/>
      </c>
      <c r="O854" t="inlineStr">
        <is>
          <t>Não</t>
        </is>
      </c>
      <c r="P854" t="inlineStr">
        <is>
          <t>1.350</t>
        </is>
      </c>
    </row>
    <row r="855">
      <c r="A855" t="inlineStr">
        <is>
          <t>Antes de 2026</t>
        </is>
      </c>
      <c r="B855" t="inlineStr">
        <is>
          <t>Frete de venda</t>
        </is>
      </c>
      <c r="C855" t="inlineStr">
        <is>
          <t>Frete de venda (para clientes)</t>
        </is>
      </c>
      <c r="D855" t="inlineStr">
        <is>
          <t>CT-e</t>
        </is>
      </c>
      <c r="E855" t="inlineStr">
        <is>
          <t>000004153</t>
        </is>
      </c>
      <c r="F855" t="inlineStr">
        <is>
          <t>R&amp;R TRANSPORTE E LOGISTICA</t>
        </is>
      </c>
      <c r="G855" s="27" t="n">
        <v>45783</v>
      </c>
      <c r="H855" s="14" t="n">
        <v>27.77</v>
      </c>
      <c r="I855" s="14" t="n">
        <v>0</v>
      </c>
      <c r="J855" s="14" t="n">
        <v>0</v>
      </c>
      <c r="K855" s="14" t="n">
        <v>0</v>
      </c>
      <c r="L855" s="14" t="n">
        <v>0</v>
      </c>
      <c r="M855" s="14">
        <f>IF(B855="Frete de venda",0,(1-ISNUMBER(SEARCH("556",P855)))*(I855*VLOOKUP($B855,Premissas!$A$4:$E$7,2,0)+J855*VLOOKUP($B855,Premissas!$A$4:$E$7,3,0))+K855*VLOOKUP($B855,Premissas!$A$4:$E$7,4,0)+L855*VLOOKUP($B855,Premissas!$A$4:$E$7,5,0))</f>
        <v/>
      </c>
      <c r="N855" s="14">
        <f>H855-M855</f>
        <v/>
      </c>
      <c r="O855" t="inlineStr">
        <is>
          <t>Não</t>
        </is>
      </c>
      <c r="P855" t="inlineStr">
        <is>
          <t>1.350</t>
        </is>
      </c>
    </row>
    <row r="856">
      <c r="A856" t="inlineStr">
        <is>
          <t>Antes de 2026</t>
        </is>
      </c>
      <c r="B856" t="inlineStr">
        <is>
          <t>Frete de venda</t>
        </is>
      </c>
      <c r="C856" t="inlineStr">
        <is>
          <t>Frete de venda (para clientes)</t>
        </is>
      </c>
      <c r="D856" t="inlineStr">
        <is>
          <t>CT-e</t>
        </is>
      </c>
      <c r="E856" t="inlineStr">
        <is>
          <t>000004372</t>
        </is>
      </c>
      <c r="F856" t="inlineStr">
        <is>
          <t>R&amp;R TRANSPORTE E LOGISTICA</t>
        </is>
      </c>
      <c r="G856" s="27" t="n">
        <v>45812</v>
      </c>
      <c r="H856" s="14" t="n">
        <v>44.7</v>
      </c>
      <c r="I856" s="14" t="n">
        <v>0</v>
      </c>
      <c r="J856" s="14" t="n">
        <v>0</v>
      </c>
      <c r="K856" s="14" t="n">
        <v>0</v>
      </c>
      <c r="L856" s="14" t="n">
        <v>0</v>
      </c>
      <c r="M856" s="14">
        <f>IF(B856="Frete de venda",0,(1-ISNUMBER(SEARCH("556",P856)))*(I856*VLOOKUP($B856,Premissas!$A$4:$E$7,2,0)+J856*VLOOKUP($B856,Premissas!$A$4:$E$7,3,0))+K856*VLOOKUP($B856,Premissas!$A$4:$E$7,4,0)+L856*VLOOKUP($B856,Premissas!$A$4:$E$7,5,0))</f>
        <v/>
      </c>
      <c r="N856" s="14">
        <f>H856-M856</f>
        <v/>
      </c>
      <c r="O856" t="inlineStr">
        <is>
          <t>Não</t>
        </is>
      </c>
      <c r="P856" t="inlineStr">
        <is>
          <t>1.350</t>
        </is>
      </c>
    </row>
    <row r="857">
      <c r="A857" t="inlineStr">
        <is>
          <t>Antes de 2026</t>
        </is>
      </c>
      <c r="B857" t="inlineStr">
        <is>
          <t>Frete de venda</t>
        </is>
      </c>
      <c r="C857" t="inlineStr">
        <is>
          <t>Frete de venda (para clientes)</t>
        </is>
      </c>
      <c r="D857" t="inlineStr">
        <is>
          <t>CT-e</t>
        </is>
      </c>
      <c r="E857" t="inlineStr">
        <is>
          <t>000005121</t>
        </is>
      </c>
      <c r="F857" t="inlineStr">
        <is>
          <t>R&amp;R TRANSPORTE E LOGISTICA</t>
        </is>
      </c>
      <c r="G857" s="27" t="n">
        <v>45905</v>
      </c>
      <c r="H857" s="14" t="n">
        <v>206.08</v>
      </c>
      <c r="I857" s="14" t="n">
        <v>0</v>
      </c>
      <c r="J857" s="14" t="n">
        <v>0</v>
      </c>
      <c r="K857" s="14" t="n">
        <v>0</v>
      </c>
      <c r="L857" s="14" t="n">
        <v>0</v>
      </c>
      <c r="M857" s="14">
        <f>IF(B857="Frete de venda",0,(1-ISNUMBER(SEARCH("556",P857)))*(I857*VLOOKUP($B857,Premissas!$A$4:$E$7,2,0)+J857*VLOOKUP($B857,Premissas!$A$4:$E$7,3,0))+K857*VLOOKUP($B857,Premissas!$A$4:$E$7,4,0)+L857*VLOOKUP($B857,Premissas!$A$4:$E$7,5,0))</f>
        <v/>
      </c>
      <c r="N857" s="14">
        <f>H857-M857</f>
        <v/>
      </c>
      <c r="O857" t="inlineStr">
        <is>
          <t>Não</t>
        </is>
      </c>
      <c r="P857" t="inlineStr">
        <is>
          <t>1.350</t>
        </is>
      </c>
    </row>
    <row r="858">
      <c r="A858" t="inlineStr">
        <is>
          <t>Antes de 2026</t>
        </is>
      </c>
      <c r="B858" t="inlineStr">
        <is>
          <t>Frete de venda</t>
        </is>
      </c>
      <c r="C858" t="inlineStr">
        <is>
          <t>Frete de venda (para clientes)</t>
        </is>
      </c>
      <c r="D858" t="inlineStr">
        <is>
          <t>CT-e</t>
        </is>
      </c>
      <c r="E858" t="inlineStr">
        <is>
          <t>000004776</t>
        </is>
      </c>
      <c r="F858" t="inlineStr">
        <is>
          <t>R&amp;R TRANSPORTE E LOGISTICA</t>
        </is>
      </c>
      <c r="G858" s="27" t="n">
        <v>45867</v>
      </c>
      <c r="H858" s="14" t="n">
        <v>696.0700000000001</v>
      </c>
      <c r="I858" s="14" t="n">
        <v>0</v>
      </c>
      <c r="J858" s="14" t="n">
        <v>0</v>
      </c>
      <c r="K858" s="14" t="n">
        <v>0</v>
      </c>
      <c r="L858" s="14" t="n">
        <v>0</v>
      </c>
      <c r="M858" s="14">
        <f>IF(B858="Frete de venda",0,(1-ISNUMBER(SEARCH("556",P858)))*(I858*VLOOKUP($B858,Premissas!$A$4:$E$7,2,0)+J858*VLOOKUP($B858,Premissas!$A$4:$E$7,3,0))+K858*VLOOKUP($B858,Premissas!$A$4:$E$7,4,0)+L858*VLOOKUP($B858,Premissas!$A$4:$E$7,5,0))</f>
        <v/>
      </c>
      <c r="N858" s="14">
        <f>H858-M858</f>
        <v/>
      </c>
      <c r="O858" t="inlineStr">
        <is>
          <t>Não</t>
        </is>
      </c>
      <c r="P858" t="inlineStr">
        <is>
          <t>1.350</t>
        </is>
      </c>
    </row>
    <row r="859">
      <c r="A859" t="inlineStr">
        <is>
          <t>Antes de 2026</t>
        </is>
      </c>
      <c r="B859" t="inlineStr">
        <is>
          <t>Frete de venda</t>
        </is>
      </c>
      <c r="C859" t="inlineStr">
        <is>
          <t>Frete de venda (para clientes)</t>
        </is>
      </c>
      <c r="D859" t="inlineStr">
        <is>
          <t>CT-e</t>
        </is>
      </c>
      <c r="E859" t="inlineStr">
        <is>
          <t>000004590</t>
        </is>
      </c>
      <c r="F859" t="inlineStr">
        <is>
          <t>R&amp;R TRANSPORTE E LOGISTICA</t>
        </is>
      </c>
      <c r="G859" s="27" t="n">
        <v>45842</v>
      </c>
      <c r="H859" s="14" t="n">
        <v>24.29</v>
      </c>
      <c r="I859" s="14" t="n">
        <v>0</v>
      </c>
      <c r="J859" s="14" t="n">
        <v>0</v>
      </c>
      <c r="K859" s="14" t="n">
        <v>0</v>
      </c>
      <c r="L859" s="14" t="n">
        <v>0</v>
      </c>
      <c r="M859" s="14">
        <f>IF(B859="Frete de venda",0,(1-ISNUMBER(SEARCH("556",P859)))*(I859*VLOOKUP($B859,Premissas!$A$4:$E$7,2,0)+J859*VLOOKUP($B859,Premissas!$A$4:$E$7,3,0))+K859*VLOOKUP($B859,Premissas!$A$4:$E$7,4,0)+L859*VLOOKUP($B859,Premissas!$A$4:$E$7,5,0))</f>
        <v/>
      </c>
      <c r="N859" s="14">
        <f>H859-M859</f>
        <v/>
      </c>
      <c r="O859" t="inlineStr">
        <is>
          <t>Não</t>
        </is>
      </c>
      <c r="P859" t="inlineStr">
        <is>
          <t>1.350</t>
        </is>
      </c>
    </row>
    <row r="860">
      <c r="A860" t="inlineStr">
        <is>
          <t>Antes de 2026</t>
        </is>
      </c>
      <c r="B860" t="inlineStr">
        <is>
          <t>Frete de venda</t>
        </is>
      </c>
      <c r="C860" t="inlineStr">
        <is>
          <t>Frete de venda (para clientes)</t>
        </is>
      </c>
      <c r="D860" t="inlineStr">
        <is>
          <t>CT-e</t>
        </is>
      </c>
      <c r="E860" t="inlineStr">
        <is>
          <t>000005351</t>
        </is>
      </c>
      <c r="F860" t="inlineStr">
        <is>
          <t>R&amp;R TRANSPORTE E LOGISTICA</t>
        </is>
      </c>
      <c r="G860" s="27" t="n">
        <v>45929</v>
      </c>
      <c r="H860" s="14" t="n">
        <v>12.28</v>
      </c>
      <c r="I860" s="14" t="n">
        <v>0</v>
      </c>
      <c r="J860" s="14" t="n">
        <v>0</v>
      </c>
      <c r="K860" s="14" t="n">
        <v>0</v>
      </c>
      <c r="L860" s="14" t="n">
        <v>0</v>
      </c>
      <c r="M860" s="14">
        <f>IF(B860="Frete de venda",0,(1-ISNUMBER(SEARCH("556",P860)))*(I860*VLOOKUP($B860,Premissas!$A$4:$E$7,2,0)+J860*VLOOKUP($B860,Premissas!$A$4:$E$7,3,0))+K860*VLOOKUP($B860,Premissas!$A$4:$E$7,4,0)+L860*VLOOKUP($B860,Premissas!$A$4:$E$7,5,0))</f>
        <v/>
      </c>
      <c r="N860" s="14">
        <f>H860-M860</f>
        <v/>
      </c>
      <c r="O860" t="inlineStr">
        <is>
          <t>Não</t>
        </is>
      </c>
      <c r="P860" t="inlineStr">
        <is>
          <t>1.350</t>
        </is>
      </c>
    </row>
    <row r="861">
      <c r="A861" t="inlineStr">
        <is>
          <t>Antes de 2026</t>
        </is>
      </c>
      <c r="B861" t="inlineStr">
        <is>
          <t>Frete de venda</t>
        </is>
      </c>
      <c r="C861" t="inlineStr">
        <is>
          <t>Frete de venda (para clientes)</t>
        </is>
      </c>
      <c r="D861" t="inlineStr">
        <is>
          <t>CT-e</t>
        </is>
      </c>
      <c r="E861" t="inlineStr">
        <is>
          <t>000004959</t>
        </is>
      </c>
      <c r="F861" t="inlineStr">
        <is>
          <t>R&amp;R TRANSPORTE E LOGISTICA</t>
        </is>
      </c>
      <c r="G861" s="27" t="n">
        <v>45889</v>
      </c>
      <c r="H861" s="14" t="n">
        <v>56.46</v>
      </c>
      <c r="I861" s="14" t="n">
        <v>0</v>
      </c>
      <c r="J861" s="14" t="n">
        <v>0</v>
      </c>
      <c r="K861" s="14" t="n">
        <v>0</v>
      </c>
      <c r="L861" s="14" t="n">
        <v>0</v>
      </c>
      <c r="M861" s="14">
        <f>IF(B861="Frete de venda",0,(1-ISNUMBER(SEARCH("556",P861)))*(I861*VLOOKUP($B861,Premissas!$A$4:$E$7,2,0)+J861*VLOOKUP($B861,Premissas!$A$4:$E$7,3,0))+K861*VLOOKUP($B861,Premissas!$A$4:$E$7,4,0)+L861*VLOOKUP($B861,Premissas!$A$4:$E$7,5,0))</f>
        <v/>
      </c>
      <c r="N861" s="14">
        <f>H861-M861</f>
        <v/>
      </c>
      <c r="O861" t="inlineStr">
        <is>
          <t>Não</t>
        </is>
      </c>
      <c r="P861" t="inlineStr">
        <is>
          <t>1.350</t>
        </is>
      </c>
    </row>
    <row r="862">
      <c r="A862" t="inlineStr">
        <is>
          <t>Antes de 2026</t>
        </is>
      </c>
      <c r="B862" t="inlineStr">
        <is>
          <t>Frete de venda</t>
        </is>
      </c>
      <c r="C862" t="inlineStr">
        <is>
          <t>Frete de venda (para clientes)</t>
        </is>
      </c>
      <c r="D862" t="inlineStr">
        <is>
          <t>CT-e</t>
        </is>
      </c>
      <c r="E862" t="inlineStr">
        <is>
          <t>000004333</t>
        </is>
      </c>
      <c r="F862" t="inlineStr">
        <is>
          <t>R&amp;R TRANSPORTE E LOGISTICA</t>
        </is>
      </c>
      <c r="G862" s="27" t="n">
        <v>45807</v>
      </c>
      <c r="H862" s="14" t="n">
        <v>69.93000000000001</v>
      </c>
      <c r="I862" s="14" t="n">
        <v>0</v>
      </c>
      <c r="J862" s="14" t="n">
        <v>0</v>
      </c>
      <c r="K862" s="14" t="n">
        <v>0</v>
      </c>
      <c r="L862" s="14" t="n">
        <v>0</v>
      </c>
      <c r="M862" s="14">
        <f>IF(B862="Frete de venda",0,(1-ISNUMBER(SEARCH("556",P862)))*(I862*VLOOKUP($B862,Premissas!$A$4:$E$7,2,0)+J862*VLOOKUP($B862,Premissas!$A$4:$E$7,3,0))+K862*VLOOKUP($B862,Premissas!$A$4:$E$7,4,0)+L862*VLOOKUP($B862,Premissas!$A$4:$E$7,5,0))</f>
        <v/>
      </c>
      <c r="N862" s="14">
        <f>H862-M862</f>
        <v/>
      </c>
      <c r="O862" t="inlineStr">
        <is>
          <t>Não</t>
        </is>
      </c>
      <c r="P862" t="inlineStr">
        <is>
          <t>1.350</t>
        </is>
      </c>
    </row>
    <row r="863">
      <c r="A863" t="inlineStr">
        <is>
          <t>Antes de 2026</t>
        </is>
      </c>
      <c r="B863" t="inlineStr">
        <is>
          <t>Frete de venda</t>
        </is>
      </c>
      <c r="C863" t="inlineStr">
        <is>
          <t>Frete de venda (para clientes)</t>
        </is>
      </c>
      <c r="D863" t="inlineStr">
        <is>
          <t>CT-e</t>
        </is>
      </c>
      <c r="E863" t="inlineStr">
        <is>
          <t>000004865</t>
        </is>
      </c>
      <c r="F863" t="inlineStr">
        <is>
          <t>R&amp;R TRANSPORTE E LOGISTICA</t>
        </is>
      </c>
      <c r="G863" s="27" t="n">
        <v>45877</v>
      </c>
      <c r="H863" s="14" t="n">
        <v>38.11</v>
      </c>
      <c r="I863" s="14" t="n">
        <v>0</v>
      </c>
      <c r="J863" s="14" t="n">
        <v>0</v>
      </c>
      <c r="K863" s="14" t="n">
        <v>0</v>
      </c>
      <c r="L863" s="14" t="n">
        <v>0</v>
      </c>
      <c r="M863" s="14">
        <f>IF(B863="Frete de venda",0,(1-ISNUMBER(SEARCH("556",P863)))*(I863*VLOOKUP($B863,Premissas!$A$4:$E$7,2,0)+J863*VLOOKUP($B863,Premissas!$A$4:$E$7,3,0))+K863*VLOOKUP($B863,Premissas!$A$4:$E$7,4,0)+L863*VLOOKUP($B863,Premissas!$A$4:$E$7,5,0))</f>
        <v/>
      </c>
      <c r="N863" s="14">
        <f>H863-M863</f>
        <v/>
      </c>
      <c r="O863" t="inlineStr">
        <is>
          <t>Não</t>
        </is>
      </c>
      <c r="P863" t="inlineStr">
        <is>
          <t>1.350</t>
        </is>
      </c>
    </row>
    <row r="864">
      <c r="A864" t="inlineStr">
        <is>
          <t>Antes de 2026</t>
        </is>
      </c>
      <c r="B864" t="inlineStr">
        <is>
          <t>Frete de venda</t>
        </is>
      </c>
      <c r="C864" t="inlineStr">
        <is>
          <t>Frete de venda (para clientes)</t>
        </is>
      </c>
      <c r="D864" t="inlineStr">
        <is>
          <t>CT-e</t>
        </is>
      </c>
      <c r="E864" t="inlineStr">
        <is>
          <t>000005529</t>
        </is>
      </c>
      <c r="F864" t="inlineStr">
        <is>
          <t>R&amp;R TRANSPORTE E LOGISTICA</t>
        </is>
      </c>
      <c r="G864" s="27" t="n">
        <v>45953</v>
      </c>
      <c r="H864" s="14" t="n">
        <v>33.91</v>
      </c>
      <c r="I864" s="14" t="n">
        <v>0</v>
      </c>
      <c r="J864" s="14" t="n">
        <v>0</v>
      </c>
      <c r="K864" s="14" t="n">
        <v>0</v>
      </c>
      <c r="L864" s="14" t="n">
        <v>0</v>
      </c>
      <c r="M864" s="14">
        <f>IF(B864="Frete de venda",0,(1-ISNUMBER(SEARCH("556",P864)))*(I864*VLOOKUP($B864,Premissas!$A$4:$E$7,2,0)+J864*VLOOKUP($B864,Premissas!$A$4:$E$7,3,0))+K864*VLOOKUP($B864,Premissas!$A$4:$E$7,4,0)+L864*VLOOKUP($B864,Premissas!$A$4:$E$7,5,0))</f>
        <v/>
      </c>
      <c r="N864" s="14">
        <f>H864-M864</f>
        <v/>
      </c>
      <c r="O864" t="inlineStr">
        <is>
          <t>Não</t>
        </is>
      </c>
      <c r="P864" t="inlineStr">
        <is>
          <t>1.350</t>
        </is>
      </c>
    </row>
    <row r="865">
      <c r="A865" t="inlineStr">
        <is>
          <t>Antes de 2026</t>
        </is>
      </c>
      <c r="B865" t="inlineStr">
        <is>
          <t>Frete de venda</t>
        </is>
      </c>
      <c r="C865" t="inlineStr">
        <is>
          <t>Frete de venda (para clientes)</t>
        </is>
      </c>
      <c r="D865" t="inlineStr">
        <is>
          <t>CT-e</t>
        </is>
      </c>
      <c r="E865" t="inlineStr">
        <is>
          <t>000005500</t>
        </is>
      </c>
      <c r="F865" t="inlineStr">
        <is>
          <t>R&amp;R TRANSPORTE E LOGISTICA</t>
        </is>
      </c>
      <c r="G865" s="27" t="n">
        <v>45947</v>
      </c>
      <c r="H865" s="14" t="n">
        <v>173.46</v>
      </c>
      <c r="I865" s="14" t="n">
        <v>0</v>
      </c>
      <c r="J865" s="14" t="n">
        <v>0</v>
      </c>
      <c r="K865" s="14" t="n">
        <v>0</v>
      </c>
      <c r="L865" s="14" t="n">
        <v>0</v>
      </c>
      <c r="M865" s="14">
        <f>IF(B865="Frete de venda",0,(1-ISNUMBER(SEARCH("556",P865)))*(I865*VLOOKUP($B865,Premissas!$A$4:$E$7,2,0)+J865*VLOOKUP($B865,Premissas!$A$4:$E$7,3,0))+K865*VLOOKUP($B865,Premissas!$A$4:$E$7,4,0)+L865*VLOOKUP($B865,Premissas!$A$4:$E$7,5,0))</f>
        <v/>
      </c>
      <c r="N865" s="14">
        <f>H865-M865</f>
        <v/>
      </c>
      <c r="O865" t="inlineStr">
        <is>
          <t>Não</t>
        </is>
      </c>
      <c r="P865" t="inlineStr">
        <is>
          <t>1.350</t>
        </is>
      </c>
    </row>
    <row r="866">
      <c r="A866" t="inlineStr">
        <is>
          <t>Antes de 2026</t>
        </is>
      </c>
      <c r="B866" t="inlineStr">
        <is>
          <t>Frete de venda</t>
        </is>
      </c>
      <c r="C866" t="inlineStr">
        <is>
          <t>Frete de venda (para clientes)</t>
        </is>
      </c>
      <c r="D866" t="inlineStr">
        <is>
          <t>CT-e</t>
        </is>
      </c>
      <c r="E866" t="inlineStr">
        <is>
          <t>000005927</t>
        </is>
      </c>
      <c r="F866" t="inlineStr">
        <is>
          <t>R&amp;R TRANSPORTE E LOGISTICA</t>
        </is>
      </c>
      <c r="G866" s="27" t="n">
        <v>45996</v>
      </c>
      <c r="H866" s="14" t="n">
        <v>160.56</v>
      </c>
      <c r="I866" s="14" t="n">
        <v>0</v>
      </c>
      <c r="J866" s="14" t="n">
        <v>0</v>
      </c>
      <c r="K866" s="14" t="n">
        <v>0</v>
      </c>
      <c r="L866" s="14" t="n">
        <v>0</v>
      </c>
      <c r="M866" s="14">
        <f>IF(B866="Frete de venda",0,(1-ISNUMBER(SEARCH("556",P866)))*(I866*VLOOKUP($B866,Premissas!$A$4:$E$7,2,0)+J866*VLOOKUP($B866,Premissas!$A$4:$E$7,3,0))+K866*VLOOKUP($B866,Premissas!$A$4:$E$7,4,0)+L866*VLOOKUP($B866,Premissas!$A$4:$E$7,5,0))</f>
        <v/>
      </c>
      <c r="N866" s="14">
        <f>H866-M866</f>
        <v/>
      </c>
      <c r="O866" t="inlineStr">
        <is>
          <t>Não</t>
        </is>
      </c>
      <c r="P866" t="inlineStr">
        <is>
          <t>1.350</t>
        </is>
      </c>
    </row>
    <row r="867">
      <c r="A867" t="inlineStr">
        <is>
          <t>Antes de 2026</t>
        </is>
      </c>
      <c r="B867" t="inlineStr">
        <is>
          <t>Frete de venda</t>
        </is>
      </c>
      <c r="C867" t="inlineStr">
        <is>
          <t>Frete de venda (para clientes)</t>
        </is>
      </c>
      <c r="D867" t="inlineStr">
        <is>
          <t>CT-e</t>
        </is>
      </c>
      <c r="E867" t="inlineStr">
        <is>
          <t>000006047</t>
        </is>
      </c>
      <c r="F867" t="inlineStr">
        <is>
          <t>R&amp;R TRANSPORTE E LOGISTICA</t>
        </is>
      </c>
      <c r="G867" s="27" t="n">
        <v>46014</v>
      </c>
      <c r="H867" s="14" t="n">
        <v>142.21</v>
      </c>
      <c r="I867" s="14" t="n">
        <v>0</v>
      </c>
      <c r="J867" s="14" t="n">
        <v>0</v>
      </c>
      <c r="K867" s="14" t="n">
        <v>0</v>
      </c>
      <c r="L867" s="14" t="n">
        <v>0</v>
      </c>
      <c r="M867" s="14">
        <f>IF(B867="Frete de venda",0,(1-ISNUMBER(SEARCH("556",P867)))*(I867*VLOOKUP($B867,Premissas!$A$4:$E$7,2,0)+J867*VLOOKUP($B867,Premissas!$A$4:$E$7,3,0))+K867*VLOOKUP($B867,Premissas!$A$4:$E$7,4,0)+L867*VLOOKUP($B867,Premissas!$A$4:$E$7,5,0))</f>
        <v/>
      </c>
      <c r="N867" s="14">
        <f>H867-M867</f>
        <v/>
      </c>
      <c r="O867" t="inlineStr">
        <is>
          <t>Não</t>
        </is>
      </c>
      <c r="P867" t="inlineStr">
        <is>
          <t>1.350</t>
        </is>
      </c>
    </row>
    <row r="868">
      <c r="A868" t="inlineStr">
        <is>
          <t>Antes de 2026</t>
        </is>
      </c>
      <c r="B868" t="inlineStr">
        <is>
          <t>Frete de venda</t>
        </is>
      </c>
      <c r="C868" t="inlineStr">
        <is>
          <t>Frete de venda (para clientes)</t>
        </is>
      </c>
      <c r="D868" t="inlineStr">
        <is>
          <t>CT-e</t>
        </is>
      </c>
      <c r="E868" t="inlineStr">
        <is>
          <t>000023853</t>
        </is>
      </c>
      <c r="F868" t="inlineStr">
        <is>
          <t>PICCOLI LOGISTICA E TRANSPORTES LTDA</t>
        </is>
      </c>
      <c r="G868" s="27" t="n">
        <v>46014</v>
      </c>
      <c r="H868" s="14" t="n">
        <v>147.7</v>
      </c>
      <c r="I868" s="14" t="n">
        <v>0</v>
      </c>
      <c r="J868" s="14" t="n">
        <v>10.34</v>
      </c>
      <c r="K868" s="14" t="n">
        <v>0</v>
      </c>
      <c r="L868" s="14" t="n">
        <v>0</v>
      </c>
      <c r="M868" s="14">
        <f>IF(B868="Frete de venda",0,(1-ISNUMBER(SEARCH("556",P868)))*(I868*VLOOKUP($B868,Premissas!$A$4:$E$7,2,0)+J868*VLOOKUP($B868,Premissas!$A$4:$E$7,3,0))+K868*VLOOKUP($B868,Premissas!$A$4:$E$7,4,0)+L868*VLOOKUP($B868,Premissas!$A$4:$E$7,5,0))</f>
        <v/>
      </c>
      <c r="N868" s="14">
        <f>H868-M868</f>
        <v/>
      </c>
      <c r="O868" t="inlineStr">
        <is>
          <t>Sim</t>
        </is>
      </c>
      <c r="P868" t="inlineStr">
        <is>
          <t>1.350</t>
        </is>
      </c>
    </row>
    <row r="869">
      <c r="A869" t="inlineStr">
        <is>
          <t>Antes de 2026</t>
        </is>
      </c>
      <c r="B869" t="inlineStr">
        <is>
          <t>Frete de venda</t>
        </is>
      </c>
      <c r="C869" t="inlineStr">
        <is>
          <t>Frete de venda (para clientes)</t>
        </is>
      </c>
      <c r="D869" t="inlineStr">
        <is>
          <t>CT-e</t>
        </is>
      </c>
      <c r="E869" t="inlineStr">
        <is>
          <t>000004269</t>
        </is>
      </c>
      <c r="F869" t="inlineStr">
        <is>
          <t>R&amp;R TRANSPORTE E LOGISTICA</t>
        </is>
      </c>
      <c r="G869" s="27" t="n">
        <v>45800</v>
      </c>
      <c r="H869" s="14" t="n">
        <v>140.43</v>
      </c>
      <c r="I869" s="14" t="n">
        <v>0</v>
      </c>
      <c r="J869" s="14" t="n">
        <v>0</v>
      </c>
      <c r="K869" s="14" t="n">
        <v>0</v>
      </c>
      <c r="L869" s="14" t="n">
        <v>0</v>
      </c>
      <c r="M869" s="14">
        <f>IF(B869="Frete de venda",0,(1-ISNUMBER(SEARCH("556",P869)))*(I869*VLOOKUP($B869,Premissas!$A$4:$E$7,2,0)+J869*VLOOKUP($B869,Premissas!$A$4:$E$7,3,0))+K869*VLOOKUP($B869,Premissas!$A$4:$E$7,4,0)+L869*VLOOKUP($B869,Premissas!$A$4:$E$7,5,0))</f>
        <v/>
      </c>
      <c r="N869" s="14">
        <f>H869-M869</f>
        <v/>
      </c>
      <c r="O869" t="inlineStr">
        <is>
          <t>Não</t>
        </is>
      </c>
      <c r="P869" t="inlineStr">
        <is>
          <t>1.350</t>
        </is>
      </c>
    </row>
    <row r="870">
      <c r="A870" t="inlineStr">
        <is>
          <t>Antes de 2026</t>
        </is>
      </c>
      <c r="B870" t="inlineStr">
        <is>
          <t>Frete de venda</t>
        </is>
      </c>
      <c r="C870" t="inlineStr">
        <is>
          <t>Frete de venda (para clientes)</t>
        </is>
      </c>
      <c r="D870" t="inlineStr">
        <is>
          <t>CT-e</t>
        </is>
      </c>
      <c r="E870" t="inlineStr">
        <is>
          <t>000004596</t>
        </is>
      </c>
      <c r="F870" t="inlineStr">
        <is>
          <t>R&amp;R TRANSPORTE E LOGISTICA</t>
        </is>
      </c>
      <c r="G870" s="27" t="n">
        <v>45843</v>
      </c>
      <c r="H870" s="14" t="n">
        <v>100.7</v>
      </c>
      <c r="I870" s="14" t="n">
        <v>0</v>
      </c>
      <c r="J870" s="14" t="n">
        <v>0</v>
      </c>
      <c r="K870" s="14" t="n">
        <v>0</v>
      </c>
      <c r="L870" s="14" t="n">
        <v>0</v>
      </c>
      <c r="M870" s="14">
        <f>IF(B870="Frete de venda",0,(1-ISNUMBER(SEARCH("556",P870)))*(I870*VLOOKUP($B870,Premissas!$A$4:$E$7,2,0)+J870*VLOOKUP($B870,Premissas!$A$4:$E$7,3,0))+K870*VLOOKUP($B870,Premissas!$A$4:$E$7,4,0)+L870*VLOOKUP($B870,Premissas!$A$4:$E$7,5,0))</f>
        <v/>
      </c>
      <c r="N870" s="14">
        <f>H870-M870</f>
        <v/>
      </c>
      <c r="O870" t="inlineStr">
        <is>
          <t>Não</t>
        </is>
      </c>
      <c r="P870" t="inlineStr">
        <is>
          <t>1.350</t>
        </is>
      </c>
    </row>
    <row r="871">
      <c r="A871" t="inlineStr">
        <is>
          <t>Antes de 2026</t>
        </is>
      </c>
      <c r="B871" t="inlineStr">
        <is>
          <t>Frete de venda</t>
        </is>
      </c>
      <c r="C871" t="inlineStr">
        <is>
          <t>Frete de venda (para clientes)</t>
        </is>
      </c>
      <c r="D871" t="inlineStr">
        <is>
          <t>CT-e</t>
        </is>
      </c>
      <c r="E871" t="inlineStr">
        <is>
          <t>000005498</t>
        </is>
      </c>
      <c r="F871" t="inlineStr">
        <is>
          <t>R&amp;R TRANSPORTE E LOGISTICA</t>
        </is>
      </c>
      <c r="G871" s="27" t="n">
        <v>45947</v>
      </c>
      <c r="H871" s="14" t="n">
        <v>137.61</v>
      </c>
      <c r="I871" s="14" t="n">
        <v>0</v>
      </c>
      <c r="J871" s="14" t="n">
        <v>0</v>
      </c>
      <c r="K871" s="14" t="n">
        <v>0</v>
      </c>
      <c r="L871" s="14" t="n">
        <v>0</v>
      </c>
      <c r="M871" s="14">
        <f>IF(B871="Frete de venda",0,(1-ISNUMBER(SEARCH("556",P871)))*(I871*VLOOKUP($B871,Premissas!$A$4:$E$7,2,0)+J871*VLOOKUP($B871,Premissas!$A$4:$E$7,3,0))+K871*VLOOKUP($B871,Premissas!$A$4:$E$7,4,0)+L871*VLOOKUP($B871,Premissas!$A$4:$E$7,5,0))</f>
        <v/>
      </c>
      <c r="N871" s="14">
        <f>H871-M871</f>
        <v/>
      </c>
      <c r="O871" t="inlineStr">
        <is>
          <t>Não</t>
        </is>
      </c>
      <c r="P871" t="inlineStr">
        <is>
          <t>1.350</t>
        </is>
      </c>
    </row>
    <row r="872">
      <c r="A872" t="inlineStr">
        <is>
          <t>Antes de 2026</t>
        </is>
      </c>
      <c r="B872" t="inlineStr">
        <is>
          <t>Frete de venda</t>
        </is>
      </c>
      <c r="C872" t="inlineStr">
        <is>
          <t>Frete de venda (para clientes)</t>
        </is>
      </c>
      <c r="D872" t="inlineStr">
        <is>
          <t>CT-e</t>
        </is>
      </c>
      <c r="E872" t="inlineStr">
        <is>
          <t>000005960</t>
        </is>
      </c>
      <c r="F872" t="inlineStr">
        <is>
          <t>R&amp;R TRANSPORTE E LOGISTICA</t>
        </is>
      </c>
      <c r="G872" s="27" t="n">
        <v>46002</v>
      </c>
      <c r="H872" s="14" t="n">
        <v>24.81</v>
      </c>
      <c r="I872" s="14" t="n">
        <v>0</v>
      </c>
      <c r="J872" s="14" t="n">
        <v>0</v>
      </c>
      <c r="K872" s="14" t="n">
        <v>0</v>
      </c>
      <c r="L872" s="14" t="n">
        <v>0</v>
      </c>
      <c r="M872" s="14">
        <f>IF(B872="Frete de venda",0,(1-ISNUMBER(SEARCH("556",P872)))*(I872*VLOOKUP($B872,Premissas!$A$4:$E$7,2,0)+J872*VLOOKUP($B872,Premissas!$A$4:$E$7,3,0))+K872*VLOOKUP($B872,Premissas!$A$4:$E$7,4,0)+L872*VLOOKUP($B872,Premissas!$A$4:$E$7,5,0))</f>
        <v/>
      </c>
      <c r="N872" s="14">
        <f>H872-M872</f>
        <v/>
      </c>
      <c r="O872" t="inlineStr">
        <is>
          <t>Não</t>
        </is>
      </c>
      <c r="P872" t="inlineStr">
        <is>
          <t>1.350</t>
        </is>
      </c>
    </row>
    <row r="873">
      <c r="A873" t="inlineStr">
        <is>
          <t>Antes de 2026</t>
        </is>
      </c>
      <c r="B873" t="inlineStr">
        <is>
          <t>Frete de venda</t>
        </is>
      </c>
      <c r="C873" t="inlineStr">
        <is>
          <t>Frete de venda (para clientes)</t>
        </is>
      </c>
      <c r="D873" t="inlineStr">
        <is>
          <t>CT-e</t>
        </is>
      </c>
      <c r="E873" t="inlineStr">
        <is>
          <t>000005178</t>
        </is>
      </c>
      <c r="F873" t="inlineStr">
        <is>
          <t>R&amp;R TRANSPORTE E LOGISTICA</t>
        </is>
      </c>
      <c r="G873" s="27" t="n">
        <v>45913</v>
      </c>
      <c r="H873" s="14" t="n">
        <v>52.09</v>
      </c>
      <c r="I873" s="14" t="n">
        <v>0</v>
      </c>
      <c r="J873" s="14" t="n">
        <v>0</v>
      </c>
      <c r="K873" s="14" t="n">
        <v>0</v>
      </c>
      <c r="L873" s="14" t="n">
        <v>0</v>
      </c>
      <c r="M873" s="14">
        <f>IF(B873="Frete de venda",0,(1-ISNUMBER(SEARCH("556",P873)))*(I873*VLOOKUP($B873,Premissas!$A$4:$E$7,2,0)+J873*VLOOKUP($B873,Premissas!$A$4:$E$7,3,0))+K873*VLOOKUP($B873,Premissas!$A$4:$E$7,4,0)+L873*VLOOKUP($B873,Premissas!$A$4:$E$7,5,0))</f>
        <v/>
      </c>
      <c r="N873" s="14">
        <f>H873-M873</f>
        <v/>
      </c>
      <c r="O873" t="inlineStr">
        <is>
          <t>Não</t>
        </is>
      </c>
      <c r="P873" t="inlineStr">
        <is>
          <t>1.350</t>
        </is>
      </c>
    </row>
    <row r="874">
      <c r="A874" t="inlineStr">
        <is>
          <t>Antes de 2026</t>
        </is>
      </c>
      <c r="B874" t="inlineStr">
        <is>
          <t>Frete de venda</t>
        </is>
      </c>
      <c r="C874" t="inlineStr">
        <is>
          <t>Frete de venda (para clientes)</t>
        </is>
      </c>
      <c r="D874" t="inlineStr">
        <is>
          <t>CT-e</t>
        </is>
      </c>
      <c r="E874" t="inlineStr">
        <is>
          <t>000004693</t>
        </is>
      </c>
      <c r="F874" t="inlineStr">
        <is>
          <t>R&amp;R TRANSPORTE E LOGISTICA</t>
        </is>
      </c>
      <c r="G874" s="27" t="n">
        <v>45856</v>
      </c>
      <c r="H874" s="14" t="n">
        <v>33.36</v>
      </c>
      <c r="I874" s="14" t="n">
        <v>0</v>
      </c>
      <c r="J874" s="14" t="n">
        <v>0</v>
      </c>
      <c r="K874" s="14" t="n">
        <v>0</v>
      </c>
      <c r="L874" s="14" t="n">
        <v>0</v>
      </c>
      <c r="M874" s="14">
        <f>IF(B874="Frete de venda",0,(1-ISNUMBER(SEARCH("556",P874)))*(I874*VLOOKUP($B874,Premissas!$A$4:$E$7,2,0)+J874*VLOOKUP($B874,Premissas!$A$4:$E$7,3,0))+K874*VLOOKUP($B874,Premissas!$A$4:$E$7,4,0)+L874*VLOOKUP($B874,Premissas!$A$4:$E$7,5,0))</f>
        <v/>
      </c>
      <c r="N874" s="14">
        <f>H874-M874</f>
        <v/>
      </c>
      <c r="O874" t="inlineStr">
        <is>
          <t>Não</t>
        </is>
      </c>
      <c r="P874" t="inlineStr">
        <is>
          <t>1.350</t>
        </is>
      </c>
    </row>
    <row r="875">
      <c r="A875" t="inlineStr">
        <is>
          <t>Antes de 2026</t>
        </is>
      </c>
      <c r="B875" t="inlineStr">
        <is>
          <t>Frete de venda</t>
        </is>
      </c>
      <c r="C875" t="inlineStr">
        <is>
          <t>Frete de venda (para clientes)</t>
        </is>
      </c>
      <c r="D875" t="inlineStr">
        <is>
          <t>CT-e</t>
        </is>
      </c>
      <c r="E875" t="inlineStr">
        <is>
          <t>000004941</t>
        </is>
      </c>
      <c r="F875" t="inlineStr">
        <is>
          <t>R&amp;R TRANSPORTE E LOGISTICA</t>
        </is>
      </c>
      <c r="G875" s="27" t="n">
        <v>45884</v>
      </c>
      <c r="H875" s="14" t="n">
        <v>21.44</v>
      </c>
      <c r="I875" s="14" t="n">
        <v>0</v>
      </c>
      <c r="J875" s="14" t="n">
        <v>0</v>
      </c>
      <c r="K875" s="14" t="n">
        <v>0</v>
      </c>
      <c r="L875" s="14" t="n">
        <v>0</v>
      </c>
      <c r="M875" s="14">
        <f>IF(B875="Frete de venda",0,(1-ISNUMBER(SEARCH("556",P875)))*(I875*VLOOKUP($B875,Premissas!$A$4:$E$7,2,0)+J875*VLOOKUP($B875,Premissas!$A$4:$E$7,3,0))+K875*VLOOKUP($B875,Premissas!$A$4:$E$7,4,0)+L875*VLOOKUP($B875,Premissas!$A$4:$E$7,5,0))</f>
        <v/>
      </c>
      <c r="N875" s="14">
        <f>H875-M875</f>
        <v/>
      </c>
      <c r="O875" t="inlineStr">
        <is>
          <t>Não</t>
        </is>
      </c>
      <c r="P875" t="inlineStr">
        <is>
          <t>1.350</t>
        </is>
      </c>
    </row>
    <row r="876">
      <c r="A876" t="inlineStr">
        <is>
          <t>Antes de 2026</t>
        </is>
      </c>
      <c r="B876" t="inlineStr">
        <is>
          <t>Frete de venda</t>
        </is>
      </c>
      <c r="C876" t="inlineStr">
        <is>
          <t>Frete de venda (para clientes)</t>
        </is>
      </c>
      <c r="D876" t="inlineStr">
        <is>
          <t>CT-e</t>
        </is>
      </c>
      <c r="E876" t="inlineStr">
        <is>
          <t>000005424</t>
        </is>
      </c>
      <c r="F876" t="inlineStr">
        <is>
          <t>R&amp;R TRANSPORTE E LOGISTICA</t>
        </is>
      </c>
      <c r="G876" s="27" t="n">
        <v>45939</v>
      </c>
      <c r="H876" s="14" t="n">
        <v>39.53</v>
      </c>
      <c r="I876" s="14" t="n">
        <v>0</v>
      </c>
      <c r="J876" s="14" t="n">
        <v>0</v>
      </c>
      <c r="K876" s="14" t="n">
        <v>0</v>
      </c>
      <c r="L876" s="14" t="n">
        <v>0</v>
      </c>
      <c r="M876" s="14">
        <f>IF(B876="Frete de venda",0,(1-ISNUMBER(SEARCH("556",P876)))*(I876*VLOOKUP($B876,Premissas!$A$4:$E$7,2,0)+J876*VLOOKUP($B876,Premissas!$A$4:$E$7,3,0))+K876*VLOOKUP($B876,Premissas!$A$4:$E$7,4,0)+L876*VLOOKUP($B876,Premissas!$A$4:$E$7,5,0))</f>
        <v/>
      </c>
      <c r="N876" s="14">
        <f>H876-M876</f>
        <v/>
      </c>
      <c r="O876" t="inlineStr">
        <is>
          <t>Não</t>
        </is>
      </c>
      <c r="P876" t="inlineStr">
        <is>
          <t>1.350</t>
        </is>
      </c>
    </row>
    <row r="877">
      <c r="A877" t="inlineStr">
        <is>
          <t>Antes de 2026</t>
        </is>
      </c>
      <c r="B877" t="inlineStr">
        <is>
          <t>Frete de venda</t>
        </is>
      </c>
      <c r="C877" t="inlineStr">
        <is>
          <t>Frete de venda (para clientes)</t>
        </is>
      </c>
      <c r="D877" t="inlineStr">
        <is>
          <t>CT-e</t>
        </is>
      </c>
      <c r="E877" t="inlineStr">
        <is>
          <t>000005748</t>
        </is>
      </c>
      <c r="F877" t="inlineStr">
        <is>
          <t>R&amp;R TRANSPORTE E LOGISTICA</t>
        </is>
      </c>
      <c r="G877" s="27" t="n">
        <v>45979</v>
      </c>
      <c r="H877" s="14" t="n">
        <v>49.8</v>
      </c>
      <c r="I877" s="14" t="n">
        <v>0</v>
      </c>
      <c r="J877" s="14" t="n">
        <v>0</v>
      </c>
      <c r="K877" s="14" t="n">
        <v>0</v>
      </c>
      <c r="L877" s="14" t="n">
        <v>0</v>
      </c>
      <c r="M877" s="14">
        <f>IF(B877="Frete de venda",0,(1-ISNUMBER(SEARCH("556",P877)))*(I877*VLOOKUP($B877,Premissas!$A$4:$E$7,2,0)+J877*VLOOKUP($B877,Premissas!$A$4:$E$7,3,0))+K877*VLOOKUP($B877,Premissas!$A$4:$E$7,4,0)+L877*VLOOKUP($B877,Premissas!$A$4:$E$7,5,0))</f>
        <v/>
      </c>
      <c r="N877" s="14">
        <f>H877-M877</f>
        <v/>
      </c>
      <c r="O877" t="inlineStr">
        <is>
          <t>Não</t>
        </is>
      </c>
      <c r="P877" t="inlineStr">
        <is>
          <t>1.350</t>
        </is>
      </c>
    </row>
    <row r="878">
      <c r="A878" t="inlineStr">
        <is>
          <t>Antes de 2026</t>
        </is>
      </c>
      <c r="B878" t="inlineStr">
        <is>
          <t>Frete de venda</t>
        </is>
      </c>
      <c r="C878" t="inlineStr">
        <is>
          <t>Frete de venda (para clientes)</t>
        </is>
      </c>
      <c r="D878" t="inlineStr">
        <is>
          <t>CT-e</t>
        </is>
      </c>
      <c r="E878" t="inlineStr">
        <is>
          <t>000004139</t>
        </is>
      </c>
      <c r="F878" t="inlineStr">
        <is>
          <t>R&amp;R TRANSPORTE E LOGISTICA</t>
        </is>
      </c>
      <c r="G878" s="27" t="n">
        <v>45783</v>
      </c>
      <c r="H878" s="14" t="n">
        <v>36.43</v>
      </c>
      <c r="I878" s="14" t="n">
        <v>0</v>
      </c>
      <c r="J878" s="14" t="n">
        <v>0</v>
      </c>
      <c r="K878" s="14" t="n">
        <v>0</v>
      </c>
      <c r="L878" s="14" t="n">
        <v>0</v>
      </c>
      <c r="M878" s="14">
        <f>IF(B878="Frete de venda",0,(1-ISNUMBER(SEARCH("556",P878)))*(I878*VLOOKUP($B878,Premissas!$A$4:$E$7,2,0)+J878*VLOOKUP($B878,Premissas!$A$4:$E$7,3,0))+K878*VLOOKUP($B878,Premissas!$A$4:$E$7,4,0)+L878*VLOOKUP($B878,Premissas!$A$4:$E$7,5,0))</f>
        <v/>
      </c>
      <c r="N878" s="14">
        <f>H878-M878</f>
        <v/>
      </c>
      <c r="O878" t="inlineStr">
        <is>
          <t>Não</t>
        </is>
      </c>
      <c r="P878" t="inlineStr">
        <is>
          <t>1.350</t>
        </is>
      </c>
    </row>
    <row r="879">
      <c r="A879" t="inlineStr">
        <is>
          <t>Antes de 2026</t>
        </is>
      </c>
      <c r="B879" t="inlineStr">
        <is>
          <t>Frete de venda</t>
        </is>
      </c>
      <c r="C879" t="inlineStr">
        <is>
          <t>Frete de venda (para clientes)</t>
        </is>
      </c>
      <c r="D879" t="inlineStr">
        <is>
          <t>CT-e</t>
        </is>
      </c>
      <c r="E879" t="inlineStr">
        <is>
          <t>000005631</t>
        </is>
      </c>
      <c r="F879" t="inlineStr">
        <is>
          <t>R&amp;R TRANSPORTE E LOGISTICA</t>
        </is>
      </c>
      <c r="G879" s="27" t="n">
        <v>45961</v>
      </c>
      <c r="H879" s="14" t="n">
        <v>46.33</v>
      </c>
      <c r="I879" s="14" t="n">
        <v>0</v>
      </c>
      <c r="J879" s="14" t="n">
        <v>0</v>
      </c>
      <c r="K879" s="14" t="n">
        <v>0</v>
      </c>
      <c r="L879" s="14" t="n">
        <v>0</v>
      </c>
      <c r="M879" s="14">
        <f>IF(B879="Frete de venda",0,(1-ISNUMBER(SEARCH("556",P879)))*(I879*VLOOKUP($B879,Premissas!$A$4:$E$7,2,0)+J879*VLOOKUP($B879,Premissas!$A$4:$E$7,3,0))+K879*VLOOKUP($B879,Premissas!$A$4:$E$7,4,0)+L879*VLOOKUP($B879,Premissas!$A$4:$E$7,5,0))</f>
        <v/>
      </c>
      <c r="N879" s="14">
        <f>H879-M879</f>
        <v/>
      </c>
      <c r="O879" t="inlineStr">
        <is>
          <t>Não</t>
        </is>
      </c>
      <c r="P879" t="inlineStr">
        <is>
          <t>1.350</t>
        </is>
      </c>
    </row>
    <row r="880">
      <c r="A880" t="inlineStr">
        <is>
          <t>Antes de 2026</t>
        </is>
      </c>
      <c r="B880" t="inlineStr">
        <is>
          <t>Frete de venda</t>
        </is>
      </c>
      <c r="C880" t="inlineStr">
        <is>
          <t>Frete de venda (para clientes)</t>
        </is>
      </c>
      <c r="D880" t="inlineStr">
        <is>
          <t>CT-e</t>
        </is>
      </c>
      <c r="E880" t="inlineStr">
        <is>
          <t>000005774</t>
        </is>
      </c>
      <c r="F880" t="inlineStr">
        <is>
          <t>R&amp;R TRANSPORTE E LOGISTICA</t>
        </is>
      </c>
      <c r="G880" s="27" t="n">
        <v>45981</v>
      </c>
      <c r="H880" s="14" t="n">
        <v>23.09</v>
      </c>
      <c r="I880" s="14" t="n">
        <v>0</v>
      </c>
      <c r="J880" s="14" t="n">
        <v>0</v>
      </c>
      <c r="K880" s="14" t="n">
        <v>0</v>
      </c>
      <c r="L880" s="14" t="n">
        <v>0</v>
      </c>
      <c r="M880" s="14">
        <f>IF(B880="Frete de venda",0,(1-ISNUMBER(SEARCH("556",P880)))*(I880*VLOOKUP($B880,Premissas!$A$4:$E$7,2,0)+J880*VLOOKUP($B880,Premissas!$A$4:$E$7,3,0))+K880*VLOOKUP($B880,Premissas!$A$4:$E$7,4,0)+L880*VLOOKUP($B880,Premissas!$A$4:$E$7,5,0))</f>
        <v/>
      </c>
      <c r="N880" s="14">
        <f>H880-M880</f>
        <v/>
      </c>
      <c r="O880" t="inlineStr">
        <is>
          <t>Não</t>
        </is>
      </c>
      <c r="P880" t="inlineStr">
        <is>
          <t>1.350</t>
        </is>
      </c>
    </row>
    <row r="881">
      <c r="A881" t="inlineStr">
        <is>
          <t>Antes de 2026</t>
        </is>
      </c>
      <c r="B881" t="inlineStr">
        <is>
          <t>Frete de venda</t>
        </is>
      </c>
      <c r="C881" t="inlineStr">
        <is>
          <t>Frete de venda (para clientes)</t>
        </is>
      </c>
      <c r="D881" t="inlineStr">
        <is>
          <t>CT-e</t>
        </is>
      </c>
      <c r="E881" t="inlineStr">
        <is>
          <t>000004495</t>
        </is>
      </c>
      <c r="F881" t="inlineStr">
        <is>
          <t>R&amp;R TRANSPORTE E LOGISTICA</t>
        </is>
      </c>
      <c r="G881" s="27" t="n">
        <v>45831</v>
      </c>
      <c r="H881" s="14" t="n">
        <v>17.41</v>
      </c>
      <c r="I881" s="14" t="n">
        <v>0</v>
      </c>
      <c r="J881" s="14" t="n">
        <v>0</v>
      </c>
      <c r="K881" s="14" t="n">
        <v>0</v>
      </c>
      <c r="L881" s="14" t="n">
        <v>0</v>
      </c>
      <c r="M881" s="14">
        <f>IF(B881="Frete de venda",0,(1-ISNUMBER(SEARCH("556",P881)))*(I881*VLOOKUP($B881,Premissas!$A$4:$E$7,2,0)+J881*VLOOKUP($B881,Premissas!$A$4:$E$7,3,0))+K881*VLOOKUP($B881,Premissas!$A$4:$E$7,4,0)+L881*VLOOKUP($B881,Premissas!$A$4:$E$7,5,0))</f>
        <v/>
      </c>
      <c r="N881" s="14">
        <f>H881-M881</f>
        <v/>
      </c>
      <c r="O881" t="inlineStr">
        <is>
          <t>Não</t>
        </is>
      </c>
      <c r="P881" t="inlineStr">
        <is>
          <t>1.350</t>
        </is>
      </c>
    </row>
    <row r="882">
      <c r="A882" t="inlineStr">
        <is>
          <t>Antes de 2026</t>
        </is>
      </c>
      <c r="B882" t="inlineStr">
        <is>
          <t>Frete de venda</t>
        </is>
      </c>
      <c r="C882" t="inlineStr">
        <is>
          <t>Frete de venda (para clientes)</t>
        </is>
      </c>
      <c r="D882" t="inlineStr">
        <is>
          <t>CT-e</t>
        </is>
      </c>
      <c r="E882" t="inlineStr">
        <is>
          <t>000004686</t>
        </is>
      </c>
      <c r="F882" t="inlineStr">
        <is>
          <t>R&amp;R TRANSPORTE E LOGISTICA</t>
        </is>
      </c>
      <c r="G882" s="27" t="n">
        <v>45856</v>
      </c>
      <c r="H882" s="14" t="n">
        <v>21.68</v>
      </c>
      <c r="I882" s="14" t="n">
        <v>0</v>
      </c>
      <c r="J882" s="14" t="n">
        <v>0</v>
      </c>
      <c r="K882" s="14" t="n">
        <v>0</v>
      </c>
      <c r="L882" s="14" t="n">
        <v>0</v>
      </c>
      <c r="M882" s="14">
        <f>IF(B882="Frete de venda",0,(1-ISNUMBER(SEARCH("556",P882)))*(I882*VLOOKUP($B882,Premissas!$A$4:$E$7,2,0)+J882*VLOOKUP($B882,Premissas!$A$4:$E$7,3,0))+K882*VLOOKUP($B882,Premissas!$A$4:$E$7,4,0)+L882*VLOOKUP($B882,Premissas!$A$4:$E$7,5,0))</f>
        <v/>
      </c>
      <c r="N882" s="14">
        <f>H882-M882</f>
        <v/>
      </c>
      <c r="O882" t="inlineStr">
        <is>
          <t>Não</t>
        </is>
      </c>
      <c r="P882" t="inlineStr">
        <is>
          <t>1.350</t>
        </is>
      </c>
    </row>
    <row r="883">
      <c r="A883" t="inlineStr">
        <is>
          <t>Antes de 2026</t>
        </is>
      </c>
      <c r="B883" t="inlineStr">
        <is>
          <t>Frete de venda</t>
        </is>
      </c>
      <c r="C883" t="inlineStr">
        <is>
          <t>Frete de venda (para clientes)</t>
        </is>
      </c>
      <c r="D883" t="inlineStr">
        <is>
          <t>CT-e</t>
        </is>
      </c>
      <c r="E883" t="inlineStr">
        <is>
          <t>000005033</t>
        </is>
      </c>
      <c r="F883" t="inlineStr">
        <is>
          <t>R&amp;R TRANSPORTE E LOGISTICA</t>
        </is>
      </c>
      <c r="G883" s="27" t="n">
        <v>45895</v>
      </c>
      <c r="H883" s="14" t="n">
        <v>17.12</v>
      </c>
      <c r="I883" s="14" t="n">
        <v>0</v>
      </c>
      <c r="J883" s="14" t="n">
        <v>0</v>
      </c>
      <c r="K883" s="14" t="n">
        <v>0</v>
      </c>
      <c r="L883" s="14" t="n">
        <v>0</v>
      </c>
      <c r="M883" s="14">
        <f>IF(B883="Frete de venda",0,(1-ISNUMBER(SEARCH("556",P883)))*(I883*VLOOKUP($B883,Premissas!$A$4:$E$7,2,0)+J883*VLOOKUP($B883,Premissas!$A$4:$E$7,3,0))+K883*VLOOKUP($B883,Premissas!$A$4:$E$7,4,0)+L883*VLOOKUP($B883,Premissas!$A$4:$E$7,5,0))</f>
        <v/>
      </c>
      <c r="N883" s="14">
        <f>H883-M883</f>
        <v/>
      </c>
      <c r="O883" t="inlineStr">
        <is>
          <t>Não</t>
        </is>
      </c>
      <c r="P883" t="inlineStr">
        <is>
          <t>1.350</t>
        </is>
      </c>
    </row>
    <row r="884">
      <c r="A884" t="inlineStr">
        <is>
          <t>Antes de 2026</t>
        </is>
      </c>
      <c r="B884" t="inlineStr">
        <is>
          <t>Frete de venda</t>
        </is>
      </c>
      <c r="C884" t="inlineStr">
        <is>
          <t>Frete de venda (para clientes)</t>
        </is>
      </c>
      <c r="D884" t="inlineStr">
        <is>
          <t>CT-e</t>
        </is>
      </c>
      <c r="E884" t="inlineStr">
        <is>
          <t>000005043</t>
        </is>
      </c>
      <c r="F884" t="inlineStr">
        <is>
          <t>R&amp;R TRANSPORTE E LOGISTICA</t>
        </is>
      </c>
      <c r="G884" s="27" t="n">
        <v>45896</v>
      </c>
      <c r="H884" s="14" t="n">
        <v>16.5</v>
      </c>
      <c r="I884" s="14" t="n">
        <v>0</v>
      </c>
      <c r="J884" s="14" t="n">
        <v>0</v>
      </c>
      <c r="K884" s="14" t="n">
        <v>0</v>
      </c>
      <c r="L884" s="14" t="n">
        <v>0</v>
      </c>
      <c r="M884" s="14">
        <f>IF(B884="Frete de venda",0,(1-ISNUMBER(SEARCH("556",P884)))*(I884*VLOOKUP($B884,Premissas!$A$4:$E$7,2,0)+J884*VLOOKUP($B884,Premissas!$A$4:$E$7,3,0))+K884*VLOOKUP($B884,Premissas!$A$4:$E$7,4,0)+L884*VLOOKUP($B884,Premissas!$A$4:$E$7,5,0))</f>
        <v/>
      </c>
      <c r="N884" s="14">
        <f>H884-M884</f>
        <v/>
      </c>
      <c r="O884" t="inlineStr">
        <is>
          <t>Não</t>
        </is>
      </c>
      <c r="P884" t="inlineStr">
        <is>
          <t>1.350</t>
        </is>
      </c>
    </row>
    <row r="885">
      <c r="A885" t="inlineStr">
        <is>
          <t>Antes de 2026</t>
        </is>
      </c>
      <c r="B885" t="inlineStr">
        <is>
          <t>Frete de venda</t>
        </is>
      </c>
      <c r="C885" t="inlineStr">
        <is>
          <t>Frete de venda (para clientes)</t>
        </is>
      </c>
      <c r="D885" t="inlineStr">
        <is>
          <t>CT-e</t>
        </is>
      </c>
      <c r="E885" t="inlineStr">
        <is>
          <t>000005421</t>
        </is>
      </c>
      <c r="F885" t="inlineStr">
        <is>
          <t>R&amp;R TRANSPORTE E LOGISTICA</t>
        </is>
      </c>
      <c r="G885" s="27" t="n">
        <v>45939</v>
      </c>
      <c r="H885" s="14" t="n">
        <v>36.42</v>
      </c>
      <c r="I885" s="14" t="n">
        <v>0</v>
      </c>
      <c r="J885" s="14" t="n">
        <v>0</v>
      </c>
      <c r="K885" s="14" t="n">
        <v>0</v>
      </c>
      <c r="L885" s="14" t="n">
        <v>0</v>
      </c>
      <c r="M885" s="14">
        <f>IF(B885="Frete de venda",0,(1-ISNUMBER(SEARCH("556",P885)))*(I885*VLOOKUP($B885,Premissas!$A$4:$E$7,2,0)+J885*VLOOKUP($B885,Premissas!$A$4:$E$7,3,0))+K885*VLOOKUP($B885,Premissas!$A$4:$E$7,4,0)+L885*VLOOKUP($B885,Premissas!$A$4:$E$7,5,0))</f>
        <v/>
      </c>
      <c r="N885" s="14">
        <f>H885-M885</f>
        <v/>
      </c>
      <c r="O885" t="inlineStr">
        <is>
          <t>Não</t>
        </is>
      </c>
      <c r="P885" t="inlineStr">
        <is>
          <t>1.350</t>
        </is>
      </c>
    </row>
    <row r="886">
      <c r="A886" t="inlineStr">
        <is>
          <t>Antes de 2026</t>
        </is>
      </c>
      <c r="B886" t="inlineStr">
        <is>
          <t>Frete de venda</t>
        </is>
      </c>
      <c r="C886" t="inlineStr">
        <is>
          <t>Frete de venda (para clientes)</t>
        </is>
      </c>
      <c r="D886" t="inlineStr">
        <is>
          <t>CT-e</t>
        </is>
      </c>
      <c r="E886" t="inlineStr">
        <is>
          <t>000005958</t>
        </is>
      </c>
      <c r="F886" t="inlineStr">
        <is>
          <t>R&amp;R TRANSPORTE E LOGISTICA</t>
        </is>
      </c>
      <c r="G886" s="27" t="n">
        <v>46002</v>
      </c>
      <c r="H886" s="14" t="n">
        <v>26.33</v>
      </c>
      <c r="I886" s="14" t="n">
        <v>0</v>
      </c>
      <c r="J886" s="14" t="n">
        <v>0</v>
      </c>
      <c r="K886" s="14" t="n">
        <v>0</v>
      </c>
      <c r="L886" s="14" t="n">
        <v>0</v>
      </c>
      <c r="M886" s="14">
        <f>IF(B886="Frete de venda",0,(1-ISNUMBER(SEARCH("556",P886)))*(I886*VLOOKUP($B886,Premissas!$A$4:$E$7,2,0)+J886*VLOOKUP($B886,Premissas!$A$4:$E$7,3,0))+K886*VLOOKUP($B886,Premissas!$A$4:$E$7,4,0)+L886*VLOOKUP($B886,Premissas!$A$4:$E$7,5,0))</f>
        <v/>
      </c>
      <c r="N886" s="14">
        <f>H886-M886</f>
        <v/>
      </c>
      <c r="O886" t="inlineStr">
        <is>
          <t>Não</t>
        </is>
      </c>
      <c r="P886" t="inlineStr">
        <is>
          <t>1.350</t>
        </is>
      </c>
    </row>
    <row r="887">
      <c r="A887" t="inlineStr">
        <is>
          <t>Antes de 2026</t>
        </is>
      </c>
      <c r="B887" t="inlineStr">
        <is>
          <t>Frete de venda</t>
        </is>
      </c>
      <c r="C887" t="inlineStr">
        <is>
          <t>Frete de venda (para clientes)</t>
        </is>
      </c>
      <c r="D887" t="inlineStr">
        <is>
          <t>CT-e</t>
        </is>
      </c>
      <c r="E887" t="inlineStr">
        <is>
          <t>000004541</t>
        </is>
      </c>
      <c r="F887" t="inlineStr">
        <is>
          <t>R&amp;R TRANSPORTE E LOGISTICA</t>
        </is>
      </c>
      <c r="G887" s="27" t="n">
        <v>45836</v>
      </c>
      <c r="H887" s="14" t="n">
        <v>30</v>
      </c>
      <c r="I887" s="14" t="n">
        <v>0</v>
      </c>
      <c r="J887" s="14" t="n">
        <v>0</v>
      </c>
      <c r="K887" s="14" t="n">
        <v>0</v>
      </c>
      <c r="L887" s="14" t="n">
        <v>0</v>
      </c>
      <c r="M887" s="14">
        <f>IF(B887="Frete de venda",0,(1-ISNUMBER(SEARCH("556",P887)))*(I887*VLOOKUP($B887,Premissas!$A$4:$E$7,2,0)+J887*VLOOKUP($B887,Premissas!$A$4:$E$7,3,0))+K887*VLOOKUP($B887,Premissas!$A$4:$E$7,4,0)+L887*VLOOKUP($B887,Premissas!$A$4:$E$7,5,0))</f>
        <v/>
      </c>
      <c r="N887" s="14">
        <f>H887-M887</f>
        <v/>
      </c>
      <c r="O887" t="inlineStr">
        <is>
          <t>Não</t>
        </is>
      </c>
      <c r="P887" t="inlineStr">
        <is>
          <t>1.350</t>
        </is>
      </c>
    </row>
    <row r="888">
      <c r="A888" t="inlineStr">
        <is>
          <t>Antes de 2026</t>
        </is>
      </c>
      <c r="B888" t="inlineStr">
        <is>
          <t>Frete de venda</t>
        </is>
      </c>
      <c r="C888" t="inlineStr">
        <is>
          <t>Frete de venda (para clientes)</t>
        </is>
      </c>
      <c r="D888" t="inlineStr">
        <is>
          <t>CT-e</t>
        </is>
      </c>
      <c r="E888" t="inlineStr">
        <is>
          <t>000004589</t>
        </is>
      </c>
      <c r="F888" t="inlineStr">
        <is>
          <t>R&amp;R TRANSPORTE E LOGISTICA</t>
        </is>
      </c>
      <c r="G888" s="27" t="n">
        <v>45842</v>
      </c>
      <c r="H888" s="14" t="n">
        <v>30.38</v>
      </c>
      <c r="I888" s="14" t="n">
        <v>0</v>
      </c>
      <c r="J888" s="14" t="n">
        <v>0</v>
      </c>
      <c r="K888" s="14" t="n">
        <v>0</v>
      </c>
      <c r="L888" s="14" t="n">
        <v>0</v>
      </c>
      <c r="M888" s="14">
        <f>IF(B888="Frete de venda",0,(1-ISNUMBER(SEARCH("556",P888)))*(I888*VLOOKUP($B888,Premissas!$A$4:$E$7,2,0)+J888*VLOOKUP($B888,Premissas!$A$4:$E$7,3,0))+K888*VLOOKUP($B888,Premissas!$A$4:$E$7,4,0)+L888*VLOOKUP($B888,Premissas!$A$4:$E$7,5,0))</f>
        <v/>
      </c>
      <c r="N888" s="14">
        <f>H888-M888</f>
        <v/>
      </c>
      <c r="O888" t="inlineStr">
        <is>
          <t>Não</t>
        </is>
      </c>
      <c r="P888" t="inlineStr">
        <is>
          <t>1.350</t>
        </is>
      </c>
    </row>
    <row r="889">
      <c r="A889" t="inlineStr">
        <is>
          <t>Antes de 2026</t>
        </is>
      </c>
      <c r="B889" t="inlineStr">
        <is>
          <t>Frete de venda</t>
        </is>
      </c>
      <c r="C889" t="inlineStr">
        <is>
          <t>Frete de venda (para clientes)</t>
        </is>
      </c>
      <c r="D889" t="inlineStr">
        <is>
          <t>CT-e</t>
        </is>
      </c>
      <c r="E889" t="inlineStr">
        <is>
          <t>000004510</t>
        </is>
      </c>
      <c r="F889" t="inlineStr">
        <is>
          <t>R&amp;R TRANSPORTE E LOGISTICA</t>
        </is>
      </c>
      <c r="G889" s="27" t="n">
        <v>45833</v>
      </c>
      <c r="H889" s="14" t="n">
        <v>25.49</v>
      </c>
      <c r="I889" s="14" t="n">
        <v>0</v>
      </c>
      <c r="J889" s="14" t="n">
        <v>0</v>
      </c>
      <c r="K889" s="14" t="n">
        <v>0</v>
      </c>
      <c r="L889" s="14" t="n">
        <v>0</v>
      </c>
      <c r="M889" s="14">
        <f>IF(B889="Frete de venda",0,(1-ISNUMBER(SEARCH("556",P889)))*(I889*VLOOKUP($B889,Premissas!$A$4:$E$7,2,0)+J889*VLOOKUP($B889,Premissas!$A$4:$E$7,3,0))+K889*VLOOKUP($B889,Premissas!$A$4:$E$7,4,0)+L889*VLOOKUP($B889,Premissas!$A$4:$E$7,5,0))</f>
        <v/>
      </c>
      <c r="N889" s="14">
        <f>H889-M889</f>
        <v/>
      </c>
      <c r="O889" t="inlineStr">
        <is>
          <t>Não</t>
        </is>
      </c>
      <c r="P889" t="inlineStr">
        <is>
          <t>1.350</t>
        </is>
      </c>
    </row>
    <row r="890">
      <c r="A890" t="inlineStr">
        <is>
          <t>Antes de 2026</t>
        </is>
      </c>
      <c r="B890" t="inlineStr">
        <is>
          <t>Frete de venda</t>
        </is>
      </c>
      <c r="C890" t="inlineStr">
        <is>
          <t>Frete de venda (para clientes)</t>
        </is>
      </c>
      <c r="D890" t="inlineStr">
        <is>
          <t>CT-e</t>
        </is>
      </c>
      <c r="E890" t="inlineStr">
        <is>
          <t>000005963</t>
        </is>
      </c>
      <c r="F890" t="inlineStr">
        <is>
          <t>R&amp;R TRANSPORTE E LOGISTICA</t>
        </is>
      </c>
      <c r="G890" s="27" t="n">
        <v>46002</v>
      </c>
      <c r="H890" s="14" t="n">
        <v>42.01</v>
      </c>
      <c r="I890" s="14" t="n">
        <v>0</v>
      </c>
      <c r="J890" s="14" t="n">
        <v>0</v>
      </c>
      <c r="K890" s="14" t="n">
        <v>0</v>
      </c>
      <c r="L890" s="14" t="n">
        <v>0</v>
      </c>
      <c r="M890" s="14">
        <f>IF(B890="Frete de venda",0,(1-ISNUMBER(SEARCH("556",P890)))*(I890*VLOOKUP($B890,Premissas!$A$4:$E$7,2,0)+J890*VLOOKUP($B890,Premissas!$A$4:$E$7,3,0))+K890*VLOOKUP($B890,Premissas!$A$4:$E$7,4,0)+L890*VLOOKUP($B890,Premissas!$A$4:$E$7,5,0))</f>
        <v/>
      </c>
      <c r="N890" s="14">
        <f>H890-M890</f>
        <v/>
      </c>
      <c r="O890" t="inlineStr">
        <is>
          <t>Não</t>
        </is>
      </c>
      <c r="P890" t="inlineStr">
        <is>
          <t>1.350</t>
        </is>
      </c>
    </row>
    <row r="891">
      <c r="A891" t="inlineStr">
        <is>
          <t>Antes de 2026</t>
        </is>
      </c>
      <c r="B891" t="inlineStr">
        <is>
          <t>Frete de venda</t>
        </is>
      </c>
      <c r="C891" t="inlineStr">
        <is>
          <t>Frete de venda (para clientes)</t>
        </is>
      </c>
      <c r="D891" t="inlineStr">
        <is>
          <t>CT-e</t>
        </is>
      </c>
      <c r="E891" t="inlineStr">
        <is>
          <t>000004504</t>
        </is>
      </c>
      <c r="F891" t="inlineStr">
        <is>
          <t>R&amp;R TRANSPORTE E LOGISTICA</t>
        </is>
      </c>
      <c r="G891" s="27" t="n">
        <v>45833</v>
      </c>
      <c r="H891" s="14" t="n">
        <v>26.14</v>
      </c>
      <c r="I891" s="14" t="n">
        <v>0</v>
      </c>
      <c r="J891" s="14" t="n">
        <v>0</v>
      </c>
      <c r="K891" s="14" t="n">
        <v>0</v>
      </c>
      <c r="L891" s="14" t="n">
        <v>0</v>
      </c>
      <c r="M891" s="14">
        <f>IF(B891="Frete de venda",0,(1-ISNUMBER(SEARCH("556",P891)))*(I891*VLOOKUP($B891,Premissas!$A$4:$E$7,2,0)+J891*VLOOKUP($B891,Premissas!$A$4:$E$7,3,0))+K891*VLOOKUP($B891,Premissas!$A$4:$E$7,4,0)+L891*VLOOKUP($B891,Premissas!$A$4:$E$7,5,0))</f>
        <v/>
      </c>
      <c r="N891" s="14">
        <f>H891-M891</f>
        <v/>
      </c>
      <c r="O891" t="inlineStr">
        <is>
          <t>Não</t>
        </is>
      </c>
      <c r="P891" t="inlineStr">
        <is>
          <t>1.350</t>
        </is>
      </c>
    </row>
    <row r="892">
      <c r="A892" t="inlineStr">
        <is>
          <t>Antes de 2026</t>
        </is>
      </c>
      <c r="B892" t="inlineStr">
        <is>
          <t>Frete de venda</t>
        </is>
      </c>
      <c r="C892" t="inlineStr">
        <is>
          <t>Frete de venda (para clientes)</t>
        </is>
      </c>
      <c r="D892" t="inlineStr">
        <is>
          <t>CT-e</t>
        </is>
      </c>
      <c r="E892" t="inlineStr">
        <is>
          <t>000005000</t>
        </is>
      </c>
      <c r="F892" t="inlineStr">
        <is>
          <t>R&amp;R TRANSPORTE E LOGISTICA</t>
        </is>
      </c>
      <c r="G892" s="27" t="n">
        <v>45894</v>
      </c>
      <c r="H892" s="14" t="n">
        <v>34.25</v>
      </c>
      <c r="I892" s="14" t="n">
        <v>0</v>
      </c>
      <c r="J892" s="14" t="n">
        <v>0</v>
      </c>
      <c r="K892" s="14" t="n">
        <v>0</v>
      </c>
      <c r="L892" s="14" t="n">
        <v>0</v>
      </c>
      <c r="M892" s="14">
        <f>IF(B892="Frete de venda",0,(1-ISNUMBER(SEARCH("556",P892)))*(I892*VLOOKUP($B892,Premissas!$A$4:$E$7,2,0)+J892*VLOOKUP($B892,Premissas!$A$4:$E$7,3,0))+K892*VLOOKUP($B892,Premissas!$A$4:$E$7,4,0)+L892*VLOOKUP($B892,Premissas!$A$4:$E$7,5,0))</f>
        <v/>
      </c>
      <c r="N892" s="14">
        <f>H892-M892</f>
        <v/>
      </c>
      <c r="O892" t="inlineStr">
        <is>
          <t>Não</t>
        </is>
      </c>
      <c r="P892" t="inlineStr">
        <is>
          <t>1.350</t>
        </is>
      </c>
    </row>
    <row r="893">
      <c r="A893" t="inlineStr">
        <is>
          <t>Antes de 2026</t>
        </is>
      </c>
      <c r="B893" t="inlineStr">
        <is>
          <t>Frete de venda</t>
        </is>
      </c>
      <c r="C893" t="inlineStr">
        <is>
          <t>Frete de venda (para clientes)</t>
        </is>
      </c>
      <c r="D893" t="inlineStr">
        <is>
          <t>CT-e</t>
        </is>
      </c>
      <c r="E893" t="inlineStr">
        <is>
          <t>000005335</t>
        </is>
      </c>
      <c r="F893" t="inlineStr">
        <is>
          <t>R&amp;R TRANSPORTE E LOGISTICA</t>
        </is>
      </c>
      <c r="G893" s="27" t="n">
        <v>45929</v>
      </c>
      <c r="H893" s="14" t="n">
        <v>11.51</v>
      </c>
      <c r="I893" s="14" t="n">
        <v>0</v>
      </c>
      <c r="J893" s="14" t="n">
        <v>0</v>
      </c>
      <c r="K893" s="14" t="n">
        <v>0</v>
      </c>
      <c r="L893" s="14" t="n">
        <v>0</v>
      </c>
      <c r="M893" s="14">
        <f>IF(B893="Frete de venda",0,(1-ISNUMBER(SEARCH("556",P893)))*(I893*VLOOKUP($B893,Premissas!$A$4:$E$7,2,0)+J893*VLOOKUP($B893,Premissas!$A$4:$E$7,3,0))+K893*VLOOKUP($B893,Premissas!$A$4:$E$7,4,0)+L893*VLOOKUP($B893,Premissas!$A$4:$E$7,5,0))</f>
        <v/>
      </c>
      <c r="N893" s="14">
        <f>H893-M893</f>
        <v/>
      </c>
      <c r="O893" t="inlineStr">
        <is>
          <t>Não</t>
        </is>
      </c>
      <c r="P893" t="inlineStr">
        <is>
          <t>1.350</t>
        </is>
      </c>
    </row>
    <row r="894">
      <c r="A894" t="inlineStr">
        <is>
          <t>Antes de 2026</t>
        </is>
      </c>
      <c r="B894" t="inlineStr">
        <is>
          <t>Frete de venda</t>
        </is>
      </c>
      <c r="C894" t="inlineStr">
        <is>
          <t>Frete de venda (para clientes)</t>
        </is>
      </c>
      <c r="D894" t="inlineStr">
        <is>
          <t>CT-e</t>
        </is>
      </c>
      <c r="E894" t="inlineStr">
        <is>
          <t>000005469</t>
        </is>
      </c>
      <c r="F894" t="inlineStr">
        <is>
          <t>R&amp;R TRANSPORTE E LOGISTICA</t>
        </is>
      </c>
      <c r="G894" s="27" t="n">
        <v>45944</v>
      </c>
      <c r="H894" s="14" t="n">
        <v>33.28</v>
      </c>
      <c r="I894" s="14" t="n">
        <v>0</v>
      </c>
      <c r="J894" s="14" t="n">
        <v>0</v>
      </c>
      <c r="K894" s="14" t="n">
        <v>0</v>
      </c>
      <c r="L894" s="14" t="n">
        <v>0</v>
      </c>
      <c r="M894" s="14">
        <f>IF(B894="Frete de venda",0,(1-ISNUMBER(SEARCH("556",P894)))*(I894*VLOOKUP($B894,Premissas!$A$4:$E$7,2,0)+J894*VLOOKUP($B894,Premissas!$A$4:$E$7,3,0))+K894*VLOOKUP($B894,Premissas!$A$4:$E$7,4,0)+L894*VLOOKUP($B894,Premissas!$A$4:$E$7,5,0))</f>
        <v/>
      </c>
      <c r="N894" s="14">
        <f>H894-M894</f>
        <v/>
      </c>
      <c r="O894" t="inlineStr">
        <is>
          <t>Não</t>
        </is>
      </c>
      <c r="P894" t="inlineStr">
        <is>
          <t>1.350</t>
        </is>
      </c>
    </row>
    <row r="895">
      <c r="A895" t="inlineStr">
        <is>
          <t>Antes de 2026</t>
        </is>
      </c>
      <c r="B895" t="inlineStr">
        <is>
          <t>Frete de venda</t>
        </is>
      </c>
      <c r="C895" t="inlineStr">
        <is>
          <t>Frete de venda (para clientes)</t>
        </is>
      </c>
      <c r="D895" t="inlineStr">
        <is>
          <t>CT-e</t>
        </is>
      </c>
      <c r="E895" t="inlineStr">
        <is>
          <t>000005506</t>
        </is>
      </c>
      <c r="F895" t="inlineStr">
        <is>
          <t>R&amp;R TRANSPORTE E LOGISTICA</t>
        </is>
      </c>
      <c r="G895" s="27" t="n">
        <v>45948</v>
      </c>
      <c r="H895" s="14" t="n">
        <v>786</v>
      </c>
      <c r="I895" s="14" t="n">
        <v>0</v>
      </c>
      <c r="J895" s="14" t="n">
        <v>0</v>
      </c>
      <c r="K895" s="14" t="n">
        <v>0</v>
      </c>
      <c r="L895" s="14" t="n">
        <v>0</v>
      </c>
      <c r="M895" s="14">
        <f>IF(B895="Frete de venda",0,(1-ISNUMBER(SEARCH("556",P895)))*(I895*VLOOKUP($B895,Premissas!$A$4:$E$7,2,0)+J895*VLOOKUP($B895,Premissas!$A$4:$E$7,3,0))+K895*VLOOKUP($B895,Premissas!$A$4:$E$7,4,0)+L895*VLOOKUP($B895,Premissas!$A$4:$E$7,5,0))</f>
        <v/>
      </c>
      <c r="N895" s="14">
        <f>H895-M895</f>
        <v/>
      </c>
      <c r="O895" t="inlineStr">
        <is>
          <t>Não</t>
        </is>
      </c>
      <c r="P895" t="inlineStr">
        <is>
          <t>1.350</t>
        </is>
      </c>
    </row>
    <row r="896">
      <c r="A896" t="inlineStr">
        <is>
          <t>Antes de 2026</t>
        </is>
      </c>
      <c r="B896" t="inlineStr">
        <is>
          <t>Frete de venda</t>
        </is>
      </c>
      <c r="C896" t="inlineStr">
        <is>
          <t>Frete de venda (para clientes)</t>
        </is>
      </c>
      <c r="D896" t="inlineStr">
        <is>
          <t>CT-e</t>
        </is>
      </c>
      <c r="E896" t="inlineStr">
        <is>
          <t>000005672</t>
        </is>
      </c>
      <c r="F896" t="inlineStr">
        <is>
          <t>R&amp;R TRANSPORTE E LOGISTICA</t>
        </is>
      </c>
      <c r="G896" s="27" t="n">
        <v>45966</v>
      </c>
      <c r="H896" s="14" t="n">
        <v>640.76</v>
      </c>
      <c r="I896" s="14" t="n">
        <v>0</v>
      </c>
      <c r="J896" s="14" t="n">
        <v>0</v>
      </c>
      <c r="K896" s="14" t="n">
        <v>0</v>
      </c>
      <c r="L896" s="14" t="n">
        <v>0</v>
      </c>
      <c r="M896" s="14">
        <f>IF(B896="Frete de venda",0,(1-ISNUMBER(SEARCH("556",P896)))*(I896*VLOOKUP($B896,Premissas!$A$4:$E$7,2,0)+J896*VLOOKUP($B896,Premissas!$A$4:$E$7,3,0))+K896*VLOOKUP($B896,Premissas!$A$4:$E$7,4,0)+L896*VLOOKUP($B896,Premissas!$A$4:$E$7,5,0))</f>
        <v/>
      </c>
      <c r="N896" s="14">
        <f>H896-M896</f>
        <v/>
      </c>
      <c r="O896" t="inlineStr">
        <is>
          <t>Não</t>
        </is>
      </c>
      <c r="P896" t="inlineStr">
        <is>
          <t>1.350</t>
        </is>
      </c>
    </row>
    <row r="897">
      <c r="A897" t="inlineStr">
        <is>
          <t>Antes de 2026</t>
        </is>
      </c>
      <c r="B897" t="inlineStr">
        <is>
          <t>Frete de venda</t>
        </is>
      </c>
      <c r="C897" t="inlineStr">
        <is>
          <t>Frete de venda (para clientes)</t>
        </is>
      </c>
      <c r="D897" t="inlineStr">
        <is>
          <t>CT-e</t>
        </is>
      </c>
      <c r="E897" t="inlineStr">
        <is>
          <t>000005691</t>
        </is>
      </c>
      <c r="F897" t="inlineStr">
        <is>
          <t>R&amp;R TRANSPORTE E LOGISTICA</t>
        </is>
      </c>
      <c r="G897" s="27" t="n">
        <v>45968</v>
      </c>
      <c r="H897" s="14" t="n">
        <v>515.91</v>
      </c>
      <c r="I897" s="14" t="n">
        <v>0</v>
      </c>
      <c r="J897" s="14" t="n">
        <v>0</v>
      </c>
      <c r="K897" s="14" t="n">
        <v>0</v>
      </c>
      <c r="L897" s="14" t="n">
        <v>0</v>
      </c>
      <c r="M897" s="14">
        <f>IF(B897="Frete de venda",0,(1-ISNUMBER(SEARCH("556",P897)))*(I897*VLOOKUP($B897,Premissas!$A$4:$E$7,2,0)+J897*VLOOKUP($B897,Premissas!$A$4:$E$7,3,0))+K897*VLOOKUP($B897,Premissas!$A$4:$E$7,4,0)+L897*VLOOKUP($B897,Premissas!$A$4:$E$7,5,0))</f>
        <v/>
      </c>
      <c r="N897" s="14">
        <f>H897-M897</f>
        <v/>
      </c>
      <c r="O897" t="inlineStr">
        <is>
          <t>Não</t>
        </is>
      </c>
      <c r="P897" t="inlineStr">
        <is>
          <t>1.350</t>
        </is>
      </c>
    </row>
    <row r="898">
      <c r="A898" t="inlineStr">
        <is>
          <t>Antes de 2026</t>
        </is>
      </c>
      <c r="B898" t="inlineStr">
        <is>
          <t>Frete de venda</t>
        </is>
      </c>
      <c r="C898" t="inlineStr">
        <is>
          <t>Frete de venda (para clientes)</t>
        </is>
      </c>
      <c r="D898" t="inlineStr">
        <is>
          <t>CT-e</t>
        </is>
      </c>
      <c r="E898" t="inlineStr">
        <is>
          <t>000005884</t>
        </is>
      </c>
      <c r="F898" t="inlineStr">
        <is>
          <t>R&amp;R TRANSPORTE E LOGISTICA</t>
        </is>
      </c>
      <c r="G898" s="27" t="n">
        <v>45992</v>
      </c>
      <c r="H898" s="14" t="n">
        <v>596.8200000000001</v>
      </c>
      <c r="I898" s="14" t="n">
        <v>0</v>
      </c>
      <c r="J898" s="14" t="n">
        <v>0</v>
      </c>
      <c r="K898" s="14" t="n">
        <v>0</v>
      </c>
      <c r="L898" s="14" t="n">
        <v>0</v>
      </c>
      <c r="M898" s="14">
        <f>IF(B898="Frete de venda",0,(1-ISNUMBER(SEARCH("556",P898)))*(I898*VLOOKUP($B898,Premissas!$A$4:$E$7,2,0)+J898*VLOOKUP($B898,Premissas!$A$4:$E$7,3,0))+K898*VLOOKUP($B898,Premissas!$A$4:$E$7,4,0)+L898*VLOOKUP($B898,Premissas!$A$4:$E$7,5,0))</f>
        <v/>
      </c>
      <c r="N898" s="14">
        <f>H898-M898</f>
        <v/>
      </c>
      <c r="O898" t="inlineStr">
        <is>
          <t>Não</t>
        </is>
      </c>
      <c r="P898" t="inlineStr">
        <is>
          <t>1.350</t>
        </is>
      </c>
    </row>
    <row r="899">
      <c r="A899" t="inlineStr">
        <is>
          <t>Antes de 2026</t>
        </is>
      </c>
      <c r="B899" t="inlineStr">
        <is>
          <t>Frete de venda</t>
        </is>
      </c>
      <c r="C899" t="inlineStr">
        <is>
          <t>Frete de venda (para clientes)</t>
        </is>
      </c>
      <c r="D899" t="inlineStr">
        <is>
          <t>CT-e</t>
        </is>
      </c>
      <c r="E899" t="inlineStr">
        <is>
          <t>000005914</t>
        </is>
      </c>
      <c r="F899" t="inlineStr">
        <is>
          <t>R&amp;R TRANSPORTE E LOGISTICA</t>
        </is>
      </c>
      <c r="G899" s="27" t="n">
        <v>45995</v>
      </c>
      <c r="H899" s="14" t="n">
        <v>616.6799999999999</v>
      </c>
      <c r="I899" s="14" t="n">
        <v>0</v>
      </c>
      <c r="J899" s="14" t="n">
        <v>0</v>
      </c>
      <c r="K899" s="14" t="n">
        <v>0</v>
      </c>
      <c r="L899" s="14" t="n">
        <v>0</v>
      </c>
      <c r="M899" s="14">
        <f>IF(B899="Frete de venda",0,(1-ISNUMBER(SEARCH("556",P899)))*(I899*VLOOKUP($B899,Premissas!$A$4:$E$7,2,0)+J899*VLOOKUP($B899,Premissas!$A$4:$E$7,3,0))+K899*VLOOKUP($B899,Premissas!$A$4:$E$7,4,0)+L899*VLOOKUP($B899,Premissas!$A$4:$E$7,5,0))</f>
        <v/>
      </c>
      <c r="N899" s="14">
        <f>H899-M899</f>
        <v/>
      </c>
      <c r="O899" t="inlineStr">
        <is>
          <t>Não</t>
        </is>
      </c>
      <c r="P899" t="inlineStr">
        <is>
          <t>1.350</t>
        </is>
      </c>
    </row>
    <row r="900">
      <c r="A900" t="inlineStr">
        <is>
          <t>Antes de 2026</t>
        </is>
      </c>
      <c r="B900" t="inlineStr">
        <is>
          <t>Frete de venda</t>
        </is>
      </c>
      <c r="C900" t="inlineStr">
        <is>
          <t>Frete de venda (para clientes)</t>
        </is>
      </c>
      <c r="D900" t="inlineStr">
        <is>
          <t>CT-e</t>
        </is>
      </c>
      <c r="E900" t="inlineStr">
        <is>
          <t>000006039</t>
        </is>
      </c>
      <c r="F900" t="inlineStr">
        <is>
          <t>R&amp;R TRANSPORTE E LOGISTICA</t>
        </is>
      </c>
      <c r="G900" s="27" t="n">
        <v>46011</v>
      </c>
      <c r="H900" s="14" t="n">
        <v>598</v>
      </c>
      <c r="I900" s="14" t="n">
        <v>0</v>
      </c>
      <c r="J900" s="14" t="n">
        <v>0</v>
      </c>
      <c r="K900" s="14" t="n">
        <v>0</v>
      </c>
      <c r="L900" s="14" t="n">
        <v>0</v>
      </c>
      <c r="M900" s="14">
        <f>IF(B900="Frete de venda",0,(1-ISNUMBER(SEARCH("556",P900)))*(I900*VLOOKUP($B900,Premissas!$A$4:$E$7,2,0)+J900*VLOOKUP($B900,Premissas!$A$4:$E$7,3,0))+K900*VLOOKUP($B900,Premissas!$A$4:$E$7,4,0)+L900*VLOOKUP($B900,Premissas!$A$4:$E$7,5,0))</f>
        <v/>
      </c>
      <c r="N900" s="14">
        <f>H900-M900</f>
        <v/>
      </c>
      <c r="O900" t="inlineStr">
        <is>
          <t>Não</t>
        </is>
      </c>
      <c r="P900" t="inlineStr">
        <is>
          <t>1.350</t>
        </is>
      </c>
    </row>
    <row r="901">
      <c r="A901" t="inlineStr">
        <is>
          <t>Antes de 2026</t>
        </is>
      </c>
      <c r="B901" t="inlineStr">
        <is>
          <t>Frete de venda</t>
        </is>
      </c>
      <c r="C901" t="inlineStr">
        <is>
          <t>Frete de venda (para clientes)</t>
        </is>
      </c>
      <c r="D901" t="inlineStr">
        <is>
          <t>CT-e</t>
        </is>
      </c>
      <c r="E901" t="inlineStr">
        <is>
          <t>000005571</t>
        </is>
      </c>
      <c r="F901" t="inlineStr">
        <is>
          <t>R&amp;R TRANSPORTE E LOGISTICA</t>
        </is>
      </c>
      <c r="G901" s="27" t="n">
        <v>45955</v>
      </c>
      <c r="H901" s="14" t="n">
        <v>22.42</v>
      </c>
      <c r="I901" s="14" t="n">
        <v>0</v>
      </c>
      <c r="J901" s="14" t="n">
        <v>0</v>
      </c>
      <c r="K901" s="14" t="n">
        <v>0</v>
      </c>
      <c r="L901" s="14" t="n">
        <v>0</v>
      </c>
      <c r="M901" s="14">
        <f>IF(B901="Frete de venda",0,(1-ISNUMBER(SEARCH("556",P901)))*(I901*VLOOKUP($B901,Premissas!$A$4:$E$7,2,0)+J901*VLOOKUP($B901,Premissas!$A$4:$E$7,3,0))+K901*VLOOKUP($B901,Premissas!$A$4:$E$7,4,0)+L901*VLOOKUP($B901,Premissas!$A$4:$E$7,5,0))</f>
        <v/>
      </c>
      <c r="N901" s="14">
        <f>H901-M901</f>
        <v/>
      </c>
      <c r="O901" t="inlineStr">
        <is>
          <t>Não</t>
        </is>
      </c>
      <c r="P901" t="inlineStr">
        <is>
          <t>1.350</t>
        </is>
      </c>
    </row>
    <row r="902">
      <c r="A902" t="inlineStr">
        <is>
          <t>Antes de 2026</t>
        </is>
      </c>
      <c r="B902" t="inlineStr">
        <is>
          <t>Frete de venda</t>
        </is>
      </c>
      <c r="C902" t="inlineStr">
        <is>
          <t>Frete de venda (para clientes)</t>
        </is>
      </c>
      <c r="D902" t="inlineStr">
        <is>
          <t>CT-e</t>
        </is>
      </c>
      <c r="E902" t="inlineStr">
        <is>
          <t>000005260</t>
        </is>
      </c>
      <c r="F902" t="inlineStr">
        <is>
          <t>R&amp;R TRANSPORTE E LOGISTICA</t>
        </is>
      </c>
      <c r="G902" s="27" t="n">
        <v>45922</v>
      </c>
      <c r="H902" s="14" t="n">
        <v>60.9</v>
      </c>
      <c r="I902" s="14" t="n">
        <v>0</v>
      </c>
      <c r="J902" s="14" t="n">
        <v>0</v>
      </c>
      <c r="K902" s="14" t="n">
        <v>0</v>
      </c>
      <c r="L902" s="14" t="n">
        <v>0</v>
      </c>
      <c r="M902" s="14">
        <f>IF(B902="Frete de venda",0,(1-ISNUMBER(SEARCH("556",P902)))*(I902*VLOOKUP($B902,Premissas!$A$4:$E$7,2,0)+J902*VLOOKUP($B902,Premissas!$A$4:$E$7,3,0))+K902*VLOOKUP($B902,Premissas!$A$4:$E$7,4,0)+L902*VLOOKUP($B902,Premissas!$A$4:$E$7,5,0))</f>
        <v/>
      </c>
      <c r="N902" s="14">
        <f>H902-M902</f>
        <v/>
      </c>
      <c r="O902" t="inlineStr">
        <is>
          <t>Não</t>
        </is>
      </c>
      <c r="P902" t="inlineStr">
        <is>
          <t>1.350</t>
        </is>
      </c>
    </row>
    <row r="903">
      <c r="A903" t="inlineStr">
        <is>
          <t>Antes de 2026</t>
        </is>
      </c>
      <c r="B903" t="inlineStr">
        <is>
          <t>Frete de venda</t>
        </is>
      </c>
      <c r="C903" t="inlineStr">
        <is>
          <t>Frete de venda (para clientes)</t>
        </is>
      </c>
      <c r="D903" t="inlineStr">
        <is>
          <t>CT-e</t>
        </is>
      </c>
      <c r="E903" t="inlineStr">
        <is>
          <t>000004338</t>
        </is>
      </c>
      <c r="F903" t="inlineStr">
        <is>
          <t>R&amp;R TRANSPORTE E LOGISTICA</t>
        </is>
      </c>
      <c r="G903" s="27" t="n">
        <v>45807</v>
      </c>
      <c r="H903" s="14" t="n">
        <v>37.48</v>
      </c>
      <c r="I903" s="14" t="n">
        <v>0</v>
      </c>
      <c r="J903" s="14" t="n">
        <v>0</v>
      </c>
      <c r="K903" s="14" t="n">
        <v>0</v>
      </c>
      <c r="L903" s="14" t="n">
        <v>0</v>
      </c>
      <c r="M903" s="14">
        <f>IF(B903="Frete de venda",0,(1-ISNUMBER(SEARCH("556",P903)))*(I903*VLOOKUP($B903,Premissas!$A$4:$E$7,2,0)+J903*VLOOKUP($B903,Premissas!$A$4:$E$7,3,0))+K903*VLOOKUP($B903,Premissas!$A$4:$E$7,4,0)+L903*VLOOKUP($B903,Premissas!$A$4:$E$7,5,0))</f>
        <v/>
      </c>
      <c r="N903" s="14">
        <f>H903-M903</f>
        <v/>
      </c>
      <c r="O903" t="inlineStr">
        <is>
          <t>Não</t>
        </is>
      </c>
      <c r="P903" t="inlineStr">
        <is>
          <t>1.350</t>
        </is>
      </c>
    </row>
    <row r="904">
      <c r="A904" t="inlineStr">
        <is>
          <t>Antes de 2026</t>
        </is>
      </c>
      <c r="B904" t="inlineStr">
        <is>
          <t>Frete de venda</t>
        </is>
      </c>
      <c r="C904" t="inlineStr">
        <is>
          <t>Frete de venda (para clientes)</t>
        </is>
      </c>
      <c r="D904" t="inlineStr">
        <is>
          <t>CT-e</t>
        </is>
      </c>
      <c r="E904" t="inlineStr">
        <is>
          <t>000004181</t>
        </is>
      </c>
      <c r="F904" t="inlineStr">
        <is>
          <t>R&amp;R TRANSPORTE E LOGISTICA</t>
        </is>
      </c>
      <c r="G904" s="27" t="n">
        <v>45789</v>
      </c>
      <c r="H904" s="14" t="n">
        <v>1400</v>
      </c>
      <c r="I904" s="14" t="n">
        <v>0</v>
      </c>
      <c r="J904" s="14" t="n">
        <v>0</v>
      </c>
      <c r="K904" s="14" t="n">
        <v>0</v>
      </c>
      <c r="L904" s="14" t="n">
        <v>0</v>
      </c>
      <c r="M904" s="14">
        <f>IF(B904="Frete de venda",0,(1-ISNUMBER(SEARCH("556",P904)))*(I904*VLOOKUP($B904,Premissas!$A$4:$E$7,2,0)+J904*VLOOKUP($B904,Premissas!$A$4:$E$7,3,0))+K904*VLOOKUP($B904,Premissas!$A$4:$E$7,4,0)+L904*VLOOKUP($B904,Premissas!$A$4:$E$7,5,0))</f>
        <v/>
      </c>
      <c r="N904" s="14">
        <f>H904-M904</f>
        <v/>
      </c>
      <c r="O904" t="inlineStr">
        <is>
          <t>Não</t>
        </is>
      </c>
      <c r="P904" t="inlineStr">
        <is>
          <t>1.350</t>
        </is>
      </c>
    </row>
    <row r="905">
      <c r="A905" t="inlineStr">
        <is>
          <t>Antes de 2026</t>
        </is>
      </c>
      <c r="B905" t="inlineStr">
        <is>
          <t>Frete de venda</t>
        </is>
      </c>
      <c r="C905" t="inlineStr">
        <is>
          <t>Frete de venda (para clientes)</t>
        </is>
      </c>
      <c r="D905" t="inlineStr">
        <is>
          <t>CT-e</t>
        </is>
      </c>
      <c r="E905" t="inlineStr">
        <is>
          <t>000004237</t>
        </is>
      </c>
      <c r="F905" t="inlineStr">
        <is>
          <t>R&amp;R TRANSPORTE E LOGISTICA</t>
        </is>
      </c>
      <c r="G905" s="27" t="n">
        <v>45793</v>
      </c>
      <c r="H905" s="14" t="n">
        <v>558</v>
      </c>
      <c r="I905" s="14" t="n">
        <v>0</v>
      </c>
      <c r="J905" s="14" t="n">
        <v>0</v>
      </c>
      <c r="K905" s="14" t="n">
        <v>0</v>
      </c>
      <c r="L905" s="14" t="n">
        <v>0</v>
      </c>
      <c r="M905" s="14">
        <f>IF(B905="Frete de venda",0,(1-ISNUMBER(SEARCH("556",P905)))*(I905*VLOOKUP($B905,Premissas!$A$4:$E$7,2,0)+J905*VLOOKUP($B905,Premissas!$A$4:$E$7,3,0))+K905*VLOOKUP($B905,Premissas!$A$4:$E$7,4,0)+L905*VLOOKUP($B905,Premissas!$A$4:$E$7,5,0))</f>
        <v/>
      </c>
      <c r="N905" s="14">
        <f>H905-M905</f>
        <v/>
      </c>
      <c r="O905" t="inlineStr">
        <is>
          <t>Não</t>
        </is>
      </c>
      <c r="P905" t="inlineStr">
        <is>
          <t>1.350</t>
        </is>
      </c>
    </row>
    <row r="906">
      <c r="A906" t="inlineStr">
        <is>
          <t>Antes de 2026</t>
        </is>
      </c>
      <c r="B906" t="inlineStr">
        <is>
          <t>Frete de venda</t>
        </is>
      </c>
      <c r="C906" t="inlineStr">
        <is>
          <t>Frete de venda (para clientes)</t>
        </is>
      </c>
      <c r="D906" t="inlineStr">
        <is>
          <t>CT-e</t>
        </is>
      </c>
      <c r="E906" t="inlineStr">
        <is>
          <t>000004846</t>
        </is>
      </c>
      <c r="F906" t="inlineStr">
        <is>
          <t>R&amp;R TRANSPORTE E LOGISTICA</t>
        </is>
      </c>
      <c r="G906" s="27" t="n">
        <v>45874</v>
      </c>
      <c r="H906" s="14" t="n">
        <v>350</v>
      </c>
      <c r="I906" s="14" t="n">
        <v>0</v>
      </c>
      <c r="J906" s="14" t="n">
        <v>0</v>
      </c>
      <c r="K906" s="14" t="n">
        <v>0</v>
      </c>
      <c r="L906" s="14" t="n">
        <v>0</v>
      </c>
      <c r="M906" s="14">
        <f>IF(B906="Frete de venda",0,(1-ISNUMBER(SEARCH("556",P906)))*(I906*VLOOKUP($B906,Premissas!$A$4:$E$7,2,0)+J906*VLOOKUP($B906,Premissas!$A$4:$E$7,3,0))+K906*VLOOKUP($B906,Premissas!$A$4:$E$7,4,0)+L906*VLOOKUP($B906,Premissas!$A$4:$E$7,5,0))</f>
        <v/>
      </c>
      <c r="N906" s="14">
        <f>H906-M906</f>
        <v/>
      </c>
      <c r="O906" t="inlineStr">
        <is>
          <t>Não</t>
        </is>
      </c>
      <c r="P906" t="inlineStr">
        <is>
          <t>1.350</t>
        </is>
      </c>
    </row>
    <row r="907">
      <c r="A907" t="inlineStr">
        <is>
          <t>Antes de 2026</t>
        </is>
      </c>
      <c r="B907" t="inlineStr">
        <is>
          <t>Frete de venda</t>
        </is>
      </c>
      <c r="C907" t="inlineStr">
        <is>
          <t>Frete de venda (para clientes)</t>
        </is>
      </c>
      <c r="D907" t="inlineStr">
        <is>
          <t>CT-e</t>
        </is>
      </c>
      <c r="E907" t="inlineStr">
        <is>
          <t>000005088</t>
        </is>
      </c>
      <c r="F907" t="inlineStr">
        <is>
          <t>R&amp;R TRANSPORTE E LOGISTICA</t>
        </is>
      </c>
      <c r="G907" s="27" t="n">
        <v>45899</v>
      </c>
      <c r="H907" s="14" t="n">
        <v>235</v>
      </c>
      <c r="I907" s="14" t="n">
        <v>0</v>
      </c>
      <c r="J907" s="14" t="n">
        <v>0</v>
      </c>
      <c r="K907" s="14" t="n">
        <v>0</v>
      </c>
      <c r="L907" s="14" t="n">
        <v>0</v>
      </c>
      <c r="M907" s="14">
        <f>IF(B907="Frete de venda",0,(1-ISNUMBER(SEARCH("556",P907)))*(I907*VLOOKUP($B907,Premissas!$A$4:$E$7,2,0)+J907*VLOOKUP($B907,Premissas!$A$4:$E$7,3,0))+K907*VLOOKUP($B907,Premissas!$A$4:$E$7,4,0)+L907*VLOOKUP($B907,Premissas!$A$4:$E$7,5,0))</f>
        <v/>
      </c>
      <c r="N907" s="14">
        <f>H907-M907</f>
        <v/>
      </c>
      <c r="O907" t="inlineStr">
        <is>
          <t>Não</t>
        </is>
      </c>
      <c r="P907" t="inlineStr">
        <is>
          <t>1.350</t>
        </is>
      </c>
    </row>
    <row r="908">
      <c r="A908" t="inlineStr">
        <is>
          <t>Antes de 2026</t>
        </is>
      </c>
      <c r="B908" t="inlineStr">
        <is>
          <t>Frete de venda</t>
        </is>
      </c>
      <c r="C908" t="inlineStr">
        <is>
          <t>Frete de venda (para clientes)</t>
        </is>
      </c>
      <c r="D908" t="inlineStr">
        <is>
          <t>CT-e</t>
        </is>
      </c>
      <c r="E908" t="inlineStr">
        <is>
          <t>000005387</t>
        </is>
      </c>
      <c r="F908" t="inlineStr">
        <is>
          <t>R&amp;R TRANSPORTE E LOGISTICA</t>
        </is>
      </c>
      <c r="G908" s="27" t="n">
        <v>45932</v>
      </c>
      <c r="H908" s="14" t="n">
        <v>1000</v>
      </c>
      <c r="I908" s="14" t="n">
        <v>0</v>
      </c>
      <c r="J908" s="14" t="n">
        <v>0</v>
      </c>
      <c r="K908" s="14" t="n">
        <v>0</v>
      </c>
      <c r="L908" s="14" t="n">
        <v>0</v>
      </c>
      <c r="M908" s="14">
        <f>IF(B908="Frete de venda",0,(1-ISNUMBER(SEARCH("556",P908)))*(I908*VLOOKUP($B908,Premissas!$A$4:$E$7,2,0)+J908*VLOOKUP($B908,Premissas!$A$4:$E$7,3,0))+K908*VLOOKUP($B908,Premissas!$A$4:$E$7,4,0)+L908*VLOOKUP($B908,Premissas!$A$4:$E$7,5,0))</f>
        <v/>
      </c>
      <c r="N908" s="14">
        <f>H908-M908</f>
        <v/>
      </c>
      <c r="O908" t="inlineStr">
        <is>
          <t>Não</t>
        </is>
      </c>
      <c r="P908" t="inlineStr">
        <is>
          <t>1.350</t>
        </is>
      </c>
    </row>
    <row r="909">
      <c r="A909" t="inlineStr">
        <is>
          <t>Antes de 2026</t>
        </is>
      </c>
      <c r="B909" t="inlineStr">
        <is>
          <t>Frete de venda</t>
        </is>
      </c>
      <c r="C909" t="inlineStr">
        <is>
          <t>Frete de venda (para clientes)</t>
        </is>
      </c>
      <c r="D909" t="inlineStr">
        <is>
          <t>CT-e</t>
        </is>
      </c>
      <c r="E909" t="inlineStr">
        <is>
          <t>000005435</t>
        </is>
      </c>
      <c r="F909" t="inlineStr">
        <is>
          <t>R&amp;R TRANSPORTE E LOGISTICA</t>
        </is>
      </c>
      <c r="G909" s="27" t="n">
        <v>45939</v>
      </c>
      <c r="H909" s="14" t="n">
        <v>276</v>
      </c>
      <c r="I909" s="14" t="n">
        <v>0</v>
      </c>
      <c r="J909" s="14" t="n">
        <v>0</v>
      </c>
      <c r="K909" s="14" t="n">
        <v>0</v>
      </c>
      <c r="L909" s="14" t="n">
        <v>0</v>
      </c>
      <c r="M909" s="14">
        <f>IF(B909="Frete de venda",0,(1-ISNUMBER(SEARCH("556",P909)))*(I909*VLOOKUP($B909,Premissas!$A$4:$E$7,2,0)+J909*VLOOKUP($B909,Premissas!$A$4:$E$7,3,0))+K909*VLOOKUP($B909,Premissas!$A$4:$E$7,4,0)+L909*VLOOKUP($B909,Premissas!$A$4:$E$7,5,0))</f>
        <v/>
      </c>
      <c r="N909" s="14">
        <f>H909-M909</f>
        <v/>
      </c>
      <c r="O909" t="inlineStr">
        <is>
          <t>Não</t>
        </is>
      </c>
      <c r="P909" t="inlineStr">
        <is>
          <t>1.350</t>
        </is>
      </c>
    </row>
    <row r="910">
      <c r="A910" t="inlineStr">
        <is>
          <t>Antes de 2026</t>
        </is>
      </c>
      <c r="B910" t="inlineStr">
        <is>
          <t>Frete de venda</t>
        </is>
      </c>
      <c r="C910" t="inlineStr">
        <is>
          <t>Frete de venda (para clientes)</t>
        </is>
      </c>
      <c r="D910" t="inlineStr">
        <is>
          <t>CT-e</t>
        </is>
      </c>
      <c r="E910" t="inlineStr">
        <is>
          <t>000005711</t>
        </is>
      </c>
      <c r="F910" t="inlineStr">
        <is>
          <t>R&amp;R TRANSPORTE E LOGISTICA</t>
        </is>
      </c>
      <c r="G910" s="27" t="n">
        <v>45972</v>
      </c>
      <c r="H910" s="14" t="n">
        <v>467</v>
      </c>
      <c r="I910" s="14" t="n">
        <v>0</v>
      </c>
      <c r="J910" s="14" t="n">
        <v>0</v>
      </c>
      <c r="K910" s="14" t="n">
        <v>0</v>
      </c>
      <c r="L910" s="14" t="n">
        <v>0</v>
      </c>
      <c r="M910" s="14">
        <f>IF(B910="Frete de venda",0,(1-ISNUMBER(SEARCH("556",P910)))*(I910*VLOOKUP($B910,Premissas!$A$4:$E$7,2,0)+J910*VLOOKUP($B910,Premissas!$A$4:$E$7,3,0))+K910*VLOOKUP($B910,Premissas!$A$4:$E$7,4,0)+L910*VLOOKUP($B910,Premissas!$A$4:$E$7,5,0))</f>
        <v/>
      </c>
      <c r="N910" s="14">
        <f>H910-M910</f>
        <v/>
      </c>
      <c r="O910" t="inlineStr">
        <is>
          <t>Não</t>
        </is>
      </c>
      <c r="P910" t="inlineStr">
        <is>
          <t>1.350</t>
        </is>
      </c>
    </row>
    <row r="911">
      <c r="A911" t="inlineStr">
        <is>
          <t>Antes de 2026</t>
        </is>
      </c>
      <c r="B911" t="inlineStr">
        <is>
          <t>Frete de venda</t>
        </is>
      </c>
      <c r="C911" t="inlineStr">
        <is>
          <t>Frete de venda (para clientes)</t>
        </is>
      </c>
      <c r="D911" t="inlineStr">
        <is>
          <t>CT-e</t>
        </is>
      </c>
      <c r="E911" t="inlineStr">
        <is>
          <t>000006048</t>
        </is>
      </c>
      <c r="F911" t="inlineStr">
        <is>
          <t>R&amp;R TRANSPORTE E LOGISTICA</t>
        </is>
      </c>
      <c r="G911" s="27" t="n">
        <v>46014</v>
      </c>
      <c r="H911" s="14" t="n">
        <v>470</v>
      </c>
      <c r="I911" s="14" t="n">
        <v>0</v>
      </c>
      <c r="J911" s="14" t="n">
        <v>0</v>
      </c>
      <c r="K911" s="14" t="n">
        <v>0</v>
      </c>
      <c r="L911" s="14" t="n">
        <v>0</v>
      </c>
      <c r="M911" s="14">
        <f>IF(B911="Frete de venda",0,(1-ISNUMBER(SEARCH("556",P911)))*(I911*VLOOKUP($B911,Premissas!$A$4:$E$7,2,0)+J911*VLOOKUP($B911,Premissas!$A$4:$E$7,3,0))+K911*VLOOKUP($B911,Premissas!$A$4:$E$7,4,0)+L911*VLOOKUP($B911,Premissas!$A$4:$E$7,5,0))</f>
        <v/>
      </c>
      <c r="N911" s="14">
        <f>H911-M911</f>
        <v/>
      </c>
      <c r="O911" t="inlineStr">
        <is>
          <t>Não</t>
        </is>
      </c>
      <c r="P911" t="inlineStr">
        <is>
          <t>1.350</t>
        </is>
      </c>
    </row>
    <row r="912">
      <c r="A912" t="inlineStr">
        <is>
          <t>Antes de 2026</t>
        </is>
      </c>
      <c r="B912" t="inlineStr">
        <is>
          <t>Frete de venda</t>
        </is>
      </c>
      <c r="C912" t="inlineStr">
        <is>
          <t>Frete de venda (para clientes)</t>
        </is>
      </c>
      <c r="D912" t="inlineStr">
        <is>
          <t>CT-e</t>
        </is>
      </c>
      <c r="E912" t="inlineStr">
        <is>
          <t>000005605</t>
        </is>
      </c>
      <c r="F912" t="inlineStr">
        <is>
          <t>R&amp;R TRANSPORTE E LOGISTICA</t>
        </is>
      </c>
      <c r="G912" s="27" t="n">
        <v>45959</v>
      </c>
      <c r="H912" s="14" t="n">
        <v>34.42</v>
      </c>
      <c r="I912" s="14" t="n">
        <v>0</v>
      </c>
      <c r="J912" s="14" t="n">
        <v>0</v>
      </c>
      <c r="K912" s="14" t="n">
        <v>0</v>
      </c>
      <c r="L912" s="14" t="n">
        <v>0</v>
      </c>
      <c r="M912" s="14">
        <f>IF(B912="Frete de venda",0,(1-ISNUMBER(SEARCH("556",P912)))*(I912*VLOOKUP($B912,Premissas!$A$4:$E$7,2,0)+J912*VLOOKUP($B912,Premissas!$A$4:$E$7,3,0))+K912*VLOOKUP($B912,Premissas!$A$4:$E$7,4,0)+L912*VLOOKUP($B912,Premissas!$A$4:$E$7,5,0))</f>
        <v/>
      </c>
      <c r="N912" s="14">
        <f>H912-M912</f>
        <v/>
      </c>
      <c r="O912" t="inlineStr">
        <is>
          <t>Não</t>
        </is>
      </c>
      <c r="P912" t="inlineStr">
        <is>
          <t>1.350</t>
        </is>
      </c>
    </row>
    <row r="913">
      <c r="A913" t="inlineStr">
        <is>
          <t>Antes de 2026</t>
        </is>
      </c>
      <c r="B913" t="inlineStr">
        <is>
          <t>Frete de venda</t>
        </is>
      </c>
      <c r="C913" t="inlineStr">
        <is>
          <t>Frete de venda (para clientes)</t>
        </is>
      </c>
      <c r="D913" t="inlineStr">
        <is>
          <t>CT-e</t>
        </is>
      </c>
      <c r="E913" t="inlineStr">
        <is>
          <t>000004080</t>
        </is>
      </c>
      <c r="F913" t="inlineStr">
        <is>
          <t>R&amp;R TRANSPORTE E LOGISTICA</t>
        </is>
      </c>
      <c r="G913" s="27" t="n">
        <v>45771</v>
      </c>
      <c r="H913" s="14" t="n">
        <v>97.16</v>
      </c>
      <c r="I913" s="14" t="n">
        <v>0</v>
      </c>
      <c r="J913" s="14" t="n">
        <v>0</v>
      </c>
      <c r="K913" s="14" t="n">
        <v>0</v>
      </c>
      <c r="L913" s="14" t="n">
        <v>0</v>
      </c>
      <c r="M913" s="14">
        <f>IF(B913="Frete de venda",0,(1-ISNUMBER(SEARCH("556",P913)))*(I913*VLOOKUP($B913,Premissas!$A$4:$E$7,2,0)+J913*VLOOKUP($B913,Premissas!$A$4:$E$7,3,0))+K913*VLOOKUP($B913,Premissas!$A$4:$E$7,4,0)+L913*VLOOKUP($B913,Premissas!$A$4:$E$7,5,0))</f>
        <v/>
      </c>
      <c r="N913" s="14">
        <f>H913-M913</f>
        <v/>
      </c>
      <c r="O913" t="inlineStr">
        <is>
          <t>Não</t>
        </is>
      </c>
      <c r="P913" t="inlineStr">
        <is>
          <t>1.350</t>
        </is>
      </c>
    </row>
    <row r="914">
      <c r="A914" t="inlineStr">
        <is>
          <t>Antes de 2026</t>
        </is>
      </c>
      <c r="B914" t="inlineStr">
        <is>
          <t>Frete de venda</t>
        </is>
      </c>
      <c r="C914" t="inlineStr">
        <is>
          <t>Frete de venda (para clientes)</t>
        </is>
      </c>
      <c r="D914" t="inlineStr">
        <is>
          <t>CT-e</t>
        </is>
      </c>
      <c r="E914" t="inlineStr">
        <is>
          <t>000004300</t>
        </is>
      </c>
      <c r="F914" t="inlineStr">
        <is>
          <t>R&amp;R TRANSPORTE E LOGISTICA</t>
        </is>
      </c>
      <c r="G914" s="27" t="n">
        <v>45805</v>
      </c>
      <c r="H914" s="14" t="n">
        <v>5</v>
      </c>
      <c r="I914" s="14" t="n">
        <v>0</v>
      </c>
      <c r="J914" s="14" t="n">
        <v>0</v>
      </c>
      <c r="K914" s="14" t="n">
        <v>0</v>
      </c>
      <c r="L914" s="14" t="n">
        <v>0</v>
      </c>
      <c r="M914" s="14">
        <f>IF(B914="Frete de venda",0,(1-ISNUMBER(SEARCH("556",P914)))*(I914*VLOOKUP($B914,Premissas!$A$4:$E$7,2,0)+J914*VLOOKUP($B914,Premissas!$A$4:$E$7,3,0))+K914*VLOOKUP($B914,Premissas!$A$4:$E$7,4,0)+L914*VLOOKUP($B914,Premissas!$A$4:$E$7,5,0))</f>
        <v/>
      </c>
      <c r="N914" s="14">
        <f>H914-M914</f>
        <v/>
      </c>
      <c r="O914" t="inlineStr">
        <is>
          <t>Não</t>
        </is>
      </c>
      <c r="P914" t="inlineStr">
        <is>
          <t>1.350</t>
        </is>
      </c>
    </row>
    <row r="915">
      <c r="A915" t="inlineStr">
        <is>
          <t>Antes de 2026</t>
        </is>
      </c>
      <c r="B915" t="inlineStr">
        <is>
          <t>Frete de venda</t>
        </is>
      </c>
      <c r="C915" t="inlineStr">
        <is>
          <t>Frete de venda (para clientes)</t>
        </is>
      </c>
      <c r="D915" t="inlineStr">
        <is>
          <t>CT-e</t>
        </is>
      </c>
      <c r="E915" t="inlineStr">
        <is>
          <t>000004457</t>
        </is>
      </c>
      <c r="F915" t="inlineStr">
        <is>
          <t>R&amp;R TRANSPORTE E LOGISTICA</t>
        </is>
      </c>
      <c r="G915" s="27" t="n">
        <v>45827</v>
      </c>
      <c r="H915" s="14" t="n">
        <v>63</v>
      </c>
      <c r="I915" s="14" t="n">
        <v>0</v>
      </c>
      <c r="J915" s="14" t="n">
        <v>0</v>
      </c>
      <c r="K915" s="14" t="n">
        <v>0</v>
      </c>
      <c r="L915" s="14" t="n">
        <v>0</v>
      </c>
      <c r="M915" s="14">
        <f>IF(B915="Frete de venda",0,(1-ISNUMBER(SEARCH("556",P915)))*(I915*VLOOKUP($B915,Premissas!$A$4:$E$7,2,0)+J915*VLOOKUP($B915,Premissas!$A$4:$E$7,3,0))+K915*VLOOKUP($B915,Premissas!$A$4:$E$7,4,0)+L915*VLOOKUP($B915,Premissas!$A$4:$E$7,5,0))</f>
        <v/>
      </c>
      <c r="N915" s="14">
        <f>H915-M915</f>
        <v/>
      </c>
      <c r="O915" t="inlineStr">
        <is>
          <t>Não</t>
        </is>
      </c>
      <c r="P915" t="inlineStr">
        <is>
          <t>1.350</t>
        </is>
      </c>
    </row>
    <row r="916">
      <c r="A916" t="inlineStr">
        <is>
          <t>Antes de 2026</t>
        </is>
      </c>
      <c r="B916" t="inlineStr">
        <is>
          <t>Frete de venda</t>
        </is>
      </c>
      <c r="C916" t="inlineStr">
        <is>
          <t>Frete de venda (para clientes)</t>
        </is>
      </c>
      <c r="D916" t="inlineStr">
        <is>
          <t>CT-e</t>
        </is>
      </c>
      <c r="E916" t="inlineStr">
        <is>
          <t>000004456</t>
        </is>
      </c>
      <c r="F916" t="inlineStr">
        <is>
          <t>R&amp;R TRANSPORTE E LOGISTICA</t>
        </is>
      </c>
      <c r="G916" s="27" t="n">
        <v>45827</v>
      </c>
      <c r="H916" s="14" t="n">
        <v>61</v>
      </c>
      <c r="I916" s="14" t="n">
        <v>0</v>
      </c>
      <c r="J916" s="14" t="n">
        <v>0</v>
      </c>
      <c r="K916" s="14" t="n">
        <v>0</v>
      </c>
      <c r="L916" s="14" t="n">
        <v>0</v>
      </c>
      <c r="M916" s="14">
        <f>IF(B916="Frete de venda",0,(1-ISNUMBER(SEARCH("556",P916)))*(I916*VLOOKUP($B916,Premissas!$A$4:$E$7,2,0)+J916*VLOOKUP($B916,Premissas!$A$4:$E$7,3,0))+K916*VLOOKUP($B916,Premissas!$A$4:$E$7,4,0)+L916*VLOOKUP($B916,Premissas!$A$4:$E$7,5,0))</f>
        <v/>
      </c>
      <c r="N916" s="14">
        <f>H916-M916</f>
        <v/>
      </c>
      <c r="O916" t="inlineStr">
        <is>
          <t>Não</t>
        </is>
      </c>
      <c r="P916" t="inlineStr">
        <is>
          <t>1.350</t>
        </is>
      </c>
    </row>
    <row r="917">
      <c r="A917" t="inlineStr">
        <is>
          <t>Antes de 2026</t>
        </is>
      </c>
      <c r="B917" t="inlineStr">
        <is>
          <t>Frete de venda</t>
        </is>
      </c>
      <c r="C917" t="inlineStr">
        <is>
          <t>Frete de venda (para clientes)</t>
        </is>
      </c>
      <c r="D917" t="inlineStr">
        <is>
          <t>CT-e</t>
        </is>
      </c>
      <c r="E917" t="inlineStr">
        <is>
          <t>000004890</t>
        </is>
      </c>
      <c r="F917" t="inlineStr">
        <is>
          <t>R&amp;R TRANSPORTE E LOGISTICA</t>
        </is>
      </c>
      <c r="G917" s="27" t="n">
        <v>45880</v>
      </c>
      <c r="H917" s="14" t="n">
        <v>1100</v>
      </c>
      <c r="I917" s="14" t="n">
        <v>0</v>
      </c>
      <c r="J917" s="14" t="n">
        <v>0</v>
      </c>
      <c r="K917" s="14" t="n">
        <v>0</v>
      </c>
      <c r="L917" s="14" t="n">
        <v>0</v>
      </c>
      <c r="M917" s="14">
        <f>IF(B917="Frete de venda",0,(1-ISNUMBER(SEARCH("556",P917)))*(I917*VLOOKUP($B917,Premissas!$A$4:$E$7,2,0)+J917*VLOOKUP($B917,Premissas!$A$4:$E$7,3,0))+K917*VLOOKUP($B917,Premissas!$A$4:$E$7,4,0)+L917*VLOOKUP($B917,Premissas!$A$4:$E$7,5,0))</f>
        <v/>
      </c>
      <c r="N917" s="14">
        <f>H917-M917</f>
        <v/>
      </c>
      <c r="O917" t="inlineStr">
        <is>
          <t>Não</t>
        </is>
      </c>
      <c r="P917" t="inlineStr">
        <is>
          <t>1.350</t>
        </is>
      </c>
    </row>
    <row r="918">
      <c r="A918" t="inlineStr">
        <is>
          <t>Antes de 2026</t>
        </is>
      </c>
      <c r="B918" t="inlineStr">
        <is>
          <t>Frete de venda</t>
        </is>
      </c>
      <c r="C918" t="inlineStr">
        <is>
          <t>Frete de venda (para clientes)</t>
        </is>
      </c>
      <c r="D918" t="inlineStr">
        <is>
          <t>CT-e</t>
        </is>
      </c>
      <c r="E918" t="inlineStr">
        <is>
          <t>000004893</t>
        </is>
      </c>
      <c r="F918" t="inlineStr">
        <is>
          <t>R&amp;R TRANSPORTE E LOGISTICA</t>
        </is>
      </c>
      <c r="G918" s="27" t="n">
        <v>45880</v>
      </c>
      <c r="H918" s="14" t="n">
        <v>1100</v>
      </c>
      <c r="I918" s="14" t="n">
        <v>0</v>
      </c>
      <c r="J918" s="14" t="n">
        <v>0</v>
      </c>
      <c r="K918" s="14" t="n">
        <v>0</v>
      </c>
      <c r="L918" s="14" t="n">
        <v>0</v>
      </c>
      <c r="M918" s="14">
        <f>IF(B918="Frete de venda",0,(1-ISNUMBER(SEARCH("556",P918)))*(I918*VLOOKUP($B918,Premissas!$A$4:$E$7,2,0)+J918*VLOOKUP($B918,Premissas!$A$4:$E$7,3,0))+K918*VLOOKUP($B918,Premissas!$A$4:$E$7,4,0)+L918*VLOOKUP($B918,Premissas!$A$4:$E$7,5,0))</f>
        <v/>
      </c>
      <c r="N918" s="14">
        <f>H918-M918</f>
        <v/>
      </c>
      <c r="O918" t="inlineStr">
        <is>
          <t>Não</t>
        </is>
      </c>
      <c r="P918" t="inlineStr">
        <is>
          <t>1.350</t>
        </is>
      </c>
    </row>
    <row r="919">
      <c r="A919" t="inlineStr">
        <is>
          <t>Antes de 2026</t>
        </is>
      </c>
      <c r="B919" t="inlineStr">
        <is>
          <t>Frete de venda</t>
        </is>
      </c>
      <c r="C919" t="inlineStr">
        <is>
          <t>Frete de venda (para clientes)</t>
        </is>
      </c>
      <c r="D919" t="inlineStr">
        <is>
          <t>CT-e</t>
        </is>
      </c>
      <c r="E919" t="inlineStr">
        <is>
          <t>000004911</t>
        </is>
      </c>
      <c r="F919" t="inlineStr">
        <is>
          <t>R&amp;R TRANSPORTE E LOGISTICA</t>
        </is>
      </c>
      <c r="G919" s="27" t="n">
        <v>45882</v>
      </c>
      <c r="H919" s="14" t="n">
        <v>800</v>
      </c>
      <c r="I919" s="14" t="n">
        <v>0</v>
      </c>
      <c r="J919" s="14" t="n">
        <v>0</v>
      </c>
      <c r="K919" s="14" t="n">
        <v>0</v>
      </c>
      <c r="L919" s="14" t="n">
        <v>0</v>
      </c>
      <c r="M919" s="14">
        <f>IF(B919="Frete de venda",0,(1-ISNUMBER(SEARCH("556",P919)))*(I919*VLOOKUP($B919,Premissas!$A$4:$E$7,2,0)+J919*VLOOKUP($B919,Premissas!$A$4:$E$7,3,0))+K919*VLOOKUP($B919,Premissas!$A$4:$E$7,4,0)+L919*VLOOKUP($B919,Premissas!$A$4:$E$7,5,0))</f>
        <v/>
      </c>
      <c r="N919" s="14">
        <f>H919-M919</f>
        <v/>
      </c>
      <c r="O919" t="inlineStr">
        <is>
          <t>Não</t>
        </is>
      </c>
      <c r="P919" t="inlineStr">
        <is>
          <t>1.350</t>
        </is>
      </c>
    </row>
    <row r="920">
      <c r="A920" t="inlineStr">
        <is>
          <t>Antes de 2026</t>
        </is>
      </c>
      <c r="B920" t="inlineStr">
        <is>
          <t>Frete de venda</t>
        </is>
      </c>
      <c r="C920" t="inlineStr">
        <is>
          <t>Frete de venda (para clientes)</t>
        </is>
      </c>
      <c r="D920" t="inlineStr">
        <is>
          <t>CT-e</t>
        </is>
      </c>
      <c r="E920" t="inlineStr">
        <is>
          <t>000005417</t>
        </is>
      </c>
      <c r="F920" t="inlineStr">
        <is>
          <t>R&amp;R TRANSPORTE E LOGISTICA</t>
        </is>
      </c>
      <c r="G920" s="27" t="n">
        <v>45938</v>
      </c>
      <c r="H920" s="14" t="n">
        <v>786</v>
      </c>
      <c r="I920" s="14" t="n">
        <v>0</v>
      </c>
      <c r="J920" s="14" t="n">
        <v>0</v>
      </c>
      <c r="K920" s="14" t="n">
        <v>0</v>
      </c>
      <c r="L920" s="14" t="n">
        <v>0</v>
      </c>
      <c r="M920" s="14">
        <f>IF(B920="Frete de venda",0,(1-ISNUMBER(SEARCH("556",P920)))*(I920*VLOOKUP($B920,Premissas!$A$4:$E$7,2,0)+J920*VLOOKUP($B920,Premissas!$A$4:$E$7,3,0))+K920*VLOOKUP($B920,Premissas!$A$4:$E$7,4,0)+L920*VLOOKUP($B920,Premissas!$A$4:$E$7,5,0))</f>
        <v/>
      </c>
      <c r="N920" s="14">
        <f>H920-M920</f>
        <v/>
      </c>
      <c r="O920" t="inlineStr">
        <is>
          <t>Não</t>
        </is>
      </c>
      <c r="P920" t="inlineStr">
        <is>
          <t>1.350</t>
        </is>
      </c>
    </row>
    <row r="921">
      <c r="A921" t="inlineStr">
        <is>
          <t>Antes de 2026</t>
        </is>
      </c>
      <c r="B921" t="inlineStr">
        <is>
          <t>Frete de venda</t>
        </is>
      </c>
      <c r="C921" t="inlineStr">
        <is>
          <t>Frete de venda (para clientes)</t>
        </is>
      </c>
      <c r="D921" t="inlineStr">
        <is>
          <t>CT-e</t>
        </is>
      </c>
      <c r="E921" t="inlineStr">
        <is>
          <t>000005823</t>
        </is>
      </c>
      <c r="F921" t="inlineStr">
        <is>
          <t>R&amp;R TRANSPORTE E LOGISTICA</t>
        </is>
      </c>
      <c r="G921" s="27" t="n">
        <v>45986</v>
      </c>
      <c r="H921" s="14" t="n">
        <v>27.89</v>
      </c>
      <c r="I921" s="14" t="n">
        <v>0</v>
      </c>
      <c r="J921" s="14" t="n">
        <v>0</v>
      </c>
      <c r="K921" s="14" t="n">
        <v>0</v>
      </c>
      <c r="L921" s="14" t="n">
        <v>0</v>
      </c>
      <c r="M921" s="14">
        <f>IF(B921="Frete de venda",0,(1-ISNUMBER(SEARCH("556",P921)))*(I921*VLOOKUP($B921,Premissas!$A$4:$E$7,2,0)+J921*VLOOKUP($B921,Premissas!$A$4:$E$7,3,0))+K921*VLOOKUP($B921,Premissas!$A$4:$E$7,4,0)+L921*VLOOKUP($B921,Premissas!$A$4:$E$7,5,0))</f>
        <v/>
      </c>
      <c r="N921" s="14">
        <f>H921-M921</f>
        <v/>
      </c>
      <c r="O921" t="inlineStr">
        <is>
          <t>Não</t>
        </is>
      </c>
      <c r="P921" t="inlineStr">
        <is>
          <t>1.350</t>
        </is>
      </c>
    </row>
    <row r="922">
      <c r="A922" t="inlineStr">
        <is>
          <t>Antes de 2026</t>
        </is>
      </c>
      <c r="B922" t="inlineStr">
        <is>
          <t>Frete de venda</t>
        </is>
      </c>
      <c r="C922" t="inlineStr">
        <is>
          <t>Frete de venda (para clientes)</t>
        </is>
      </c>
      <c r="D922" t="inlineStr">
        <is>
          <t>CT-e</t>
        </is>
      </c>
      <c r="E922" t="inlineStr">
        <is>
          <t>000005822</t>
        </is>
      </c>
      <c r="F922" t="inlineStr">
        <is>
          <t>R&amp;R TRANSPORTE E LOGISTICA</t>
        </is>
      </c>
      <c r="G922" s="27" t="n">
        <v>45986</v>
      </c>
      <c r="H922" s="14" t="n">
        <v>30.79</v>
      </c>
      <c r="I922" s="14" t="n">
        <v>0</v>
      </c>
      <c r="J922" s="14" t="n">
        <v>0</v>
      </c>
      <c r="K922" s="14" t="n">
        <v>0</v>
      </c>
      <c r="L922" s="14" t="n">
        <v>0</v>
      </c>
      <c r="M922" s="14">
        <f>IF(B922="Frete de venda",0,(1-ISNUMBER(SEARCH("556",P922)))*(I922*VLOOKUP($B922,Premissas!$A$4:$E$7,2,0)+J922*VLOOKUP($B922,Premissas!$A$4:$E$7,3,0))+K922*VLOOKUP($B922,Premissas!$A$4:$E$7,4,0)+L922*VLOOKUP($B922,Premissas!$A$4:$E$7,5,0))</f>
        <v/>
      </c>
      <c r="N922" s="14">
        <f>H922-M922</f>
        <v/>
      </c>
      <c r="O922" t="inlineStr">
        <is>
          <t>Não</t>
        </is>
      </c>
      <c r="P922" t="inlineStr">
        <is>
          <t>1.350</t>
        </is>
      </c>
    </row>
    <row r="923">
      <c r="A923" t="inlineStr">
        <is>
          <t>Antes de 2026</t>
        </is>
      </c>
      <c r="B923" t="inlineStr">
        <is>
          <t>Frete de venda</t>
        </is>
      </c>
      <c r="C923" t="inlineStr">
        <is>
          <t>Frete de venda (para clientes)</t>
        </is>
      </c>
      <c r="D923" t="inlineStr">
        <is>
          <t>CT-e</t>
        </is>
      </c>
      <c r="E923" t="inlineStr">
        <is>
          <t>000005819</t>
        </is>
      </c>
      <c r="F923" t="inlineStr">
        <is>
          <t>R&amp;R TRANSPORTE E LOGISTICA</t>
        </is>
      </c>
      <c r="G923" s="27" t="n">
        <v>45986</v>
      </c>
      <c r="H923" s="14" t="n">
        <v>28.88</v>
      </c>
      <c r="I923" s="14" t="n">
        <v>0</v>
      </c>
      <c r="J923" s="14" t="n">
        <v>0</v>
      </c>
      <c r="K923" s="14" t="n">
        <v>0</v>
      </c>
      <c r="L923" s="14" t="n">
        <v>0</v>
      </c>
      <c r="M923" s="14">
        <f>IF(B923="Frete de venda",0,(1-ISNUMBER(SEARCH("556",P923)))*(I923*VLOOKUP($B923,Premissas!$A$4:$E$7,2,0)+J923*VLOOKUP($B923,Premissas!$A$4:$E$7,3,0))+K923*VLOOKUP($B923,Premissas!$A$4:$E$7,4,0)+L923*VLOOKUP($B923,Premissas!$A$4:$E$7,5,0))</f>
        <v/>
      </c>
      <c r="N923" s="14">
        <f>H923-M923</f>
        <v/>
      </c>
      <c r="O923" t="inlineStr">
        <is>
          <t>Não</t>
        </is>
      </c>
      <c r="P923" t="inlineStr">
        <is>
          <t>1.350</t>
        </is>
      </c>
    </row>
    <row r="924">
      <c r="A924" t="inlineStr">
        <is>
          <t>Antes de 2026</t>
        </is>
      </c>
      <c r="B924" t="inlineStr">
        <is>
          <t>Frete de venda</t>
        </is>
      </c>
      <c r="C924" t="inlineStr">
        <is>
          <t>Frete de venda (para clientes)</t>
        </is>
      </c>
      <c r="D924" t="inlineStr">
        <is>
          <t>CT-e</t>
        </is>
      </c>
      <c r="E924" t="inlineStr">
        <is>
          <t>000005975</t>
        </is>
      </c>
      <c r="F924" t="inlineStr">
        <is>
          <t>R&amp;R TRANSPORTE E LOGISTICA</t>
        </is>
      </c>
      <c r="G924" s="27" t="n">
        <v>46004</v>
      </c>
      <c r="H924" s="14" t="n">
        <v>32.63</v>
      </c>
      <c r="I924" s="14" t="n">
        <v>0</v>
      </c>
      <c r="J924" s="14" t="n">
        <v>0</v>
      </c>
      <c r="K924" s="14" t="n">
        <v>0</v>
      </c>
      <c r="L924" s="14" t="n">
        <v>0</v>
      </c>
      <c r="M924" s="14">
        <f>IF(B924="Frete de venda",0,(1-ISNUMBER(SEARCH("556",P924)))*(I924*VLOOKUP($B924,Premissas!$A$4:$E$7,2,0)+J924*VLOOKUP($B924,Premissas!$A$4:$E$7,3,0))+K924*VLOOKUP($B924,Premissas!$A$4:$E$7,4,0)+L924*VLOOKUP($B924,Premissas!$A$4:$E$7,5,0))</f>
        <v/>
      </c>
      <c r="N924" s="14">
        <f>H924-M924</f>
        <v/>
      </c>
      <c r="O924" t="inlineStr">
        <is>
          <t>Não</t>
        </is>
      </c>
      <c r="P924" t="inlineStr">
        <is>
          <t>1.350</t>
        </is>
      </c>
    </row>
    <row r="925">
      <c r="A925" t="inlineStr">
        <is>
          <t>Antes de 2026</t>
        </is>
      </c>
      <c r="B925" t="inlineStr">
        <is>
          <t>Frete de venda</t>
        </is>
      </c>
      <c r="C925" t="inlineStr">
        <is>
          <t>Frete de venda (para clientes)</t>
        </is>
      </c>
      <c r="D925" t="inlineStr">
        <is>
          <t>CT-e</t>
        </is>
      </c>
      <c r="E925" t="inlineStr">
        <is>
          <t>000005977</t>
        </is>
      </c>
      <c r="F925" t="inlineStr">
        <is>
          <t>R&amp;R TRANSPORTE E LOGISTICA</t>
        </is>
      </c>
      <c r="G925" s="27" t="n">
        <v>46004</v>
      </c>
      <c r="H925" s="14" t="n">
        <v>33.51</v>
      </c>
      <c r="I925" s="14" t="n">
        <v>0</v>
      </c>
      <c r="J925" s="14" t="n">
        <v>0</v>
      </c>
      <c r="K925" s="14" t="n">
        <v>0</v>
      </c>
      <c r="L925" s="14" t="n">
        <v>0</v>
      </c>
      <c r="M925" s="14">
        <f>IF(B925="Frete de venda",0,(1-ISNUMBER(SEARCH("556",P925)))*(I925*VLOOKUP($B925,Premissas!$A$4:$E$7,2,0)+J925*VLOOKUP($B925,Premissas!$A$4:$E$7,3,0))+K925*VLOOKUP($B925,Premissas!$A$4:$E$7,4,0)+L925*VLOOKUP($B925,Premissas!$A$4:$E$7,5,0))</f>
        <v/>
      </c>
      <c r="N925" s="14">
        <f>H925-M925</f>
        <v/>
      </c>
      <c r="O925" t="inlineStr">
        <is>
          <t>Não</t>
        </is>
      </c>
      <c r="P925" t="inlineStr">
        <is>
          <t>1.350</t>
        </is>
      </c>
    </row>
    <row r="926">
      <c r="A926" t="inlineStr">
        <is>
          <t>Antes de 2026</t>
        </is>
      </c>
      <c r="B926" t="inlineStr">
        <is>
          <t>Frete de venda</t>
        </is>
      </c>
      <c r="C926" t="inlineStr">
        <is>
          <t>Frete de venda (para clientes)</t>
        </is>
      </c>
      <c r="D926" t="inlineStr">
        <is>
          <t>CT-e</t>
        </is>
      </c>
      <c r="E926" t="inlineStr">
        <is>
          <t>000005052</t>
        </is>
      </c>
      <c r="F926" t="inlineStr">
        <is>
          <t>R&amp;R TRANSPORTE E LOGISTICA</t>
        </is>
      </c>
      <c r="G926" s="27" t="n">
        <v>45896</v>
      </c>
      <c r="H926" s="14" t="n">
        <v>19.83</v>
      </c>
      <c r="I926" s="14" t="n">
        <v>0</v>
      </c>
      <c r="J926" s="14" t="n">
        <v>0</v>
      </c>
      <c r="K926" s="14" t="n">
        <v>0</v>
      </c>
      <c r="L926" s="14" t="n">
        <v>0</v>
      </c>
      <c r="M926" s="14">
        <f>IF(B926="Frete de venda",0,(1-ISNUMBER(SEARCH("556",P926)))*(I926*VLOOKUP($B926,Premissas!$A$4:$E$7,2,0)+J926*VLOOKUP($B926,Premissas!$A$4:$E$7,3,0))+K926*VLOOKUP($B926,Premissas!$A$4:$E$7,4,0)+L926*VLOOKUP($B926,Premissas!$A$4:$E$7,5,0))</f>
        <v/>
      </c>
      <c r="N926" s="14">
        <f>H926-M926</f>
        <v/>
      </c>
      <c r="O926" t="inlineStr">
        <is>
          <t>Não</t>
        </is>
      </c>
      <c r="P926" t="inlineStr">
        <is>
          <t>1.350</t>
        </is>
      </c>
    </row>
    <row r="927">
      <c r="A927" t="inlineStr">
        <is>
          <t>Antes de 2026</t>
        </is>
      </c>
      <c r="B927" t="inlineStr">
        <is>
          <t>Frete de venda</t>
        </is>
      </c>
      <c r="C927" t="inlineStr">
        <is>
          <t>Frete de venda (para clientes)</t>
        </is>
      </c>
      <c r="D927" t="inlineStr">
        <is>
          <t>CT-e</t>
        </is>
      </c>
      <c r="E927" t="inlineStr">
        <is>
          <t>000004382</t>
        </is>
      </c>
      <c r="F927" t="inlineStr">
        <is>
          <t>R&amp;R TRANSPORTE E LOGISTICA</t>
        </is>
      </c>
      <c r="G927" s="27" t="n">
        <v>45813</v>
      </c>
      <c r="H927" s="14" t="n">
        <v>67.56999999999999</v>
      </c>
      <c r="I927" s="14" t="n">
        <v>0</v>
      </c>
      <c r="J927" s="14" t="n">
        <v>0</v>
      </c>
      <c r="K927" s="14" t="n">
        <v>0</v>
      </c>
      <c r="L927" s="14" t="n">
        <v>0</v>
      </c>
      <c r="M927" s="14">
        <f>IF(B927="Frete de venda",0,(1-ISNUMBER(SEARCH("556",P927)))*(I927*VLOOKUP($B927,Premissas!$A$4:$E$7,2,0)+J927*VLOOKUP($B927,Premissas!$A$4:$E$7,3,0))+K927*VLOOKUP($B927,Premissas!$A$4:$E$7,4,0)+L927*VLOOKUP($B927,Premissas!$A$4:$E$7,5,0))</f>
        <v/>
      </c>
      <c r="N927" s="14">
        <f>H927-M927</f>
        <v/>
      </c>
      <c r="O927" t="inlineStr">
        <is>
          <t>Não</t>
        </is>
      </c>
      <c r="P927" t="inlineStr">
        <is>
          <t>1.350</t>
        </is>
      </c>
    </row>
    <row r="928">
      <c r="A928" t="inlineStr">
        <is>
          <t>Antes de 2026</t>
        </is>
      </c>
      <c r="B928" t="inlineStr">
        <is>
          <t>Frete de venda</t>
        </is>
      </c>
      <c r="C928" t="inlineStr">
        <is>
          <t>Frete de venda (para clientes)</t>
        </is>
      </c>
      <c r="D928" t="inlineStr">
        <is>
          <t>CT-e</t>
        </is>
      </c>
      <c r="E928" t="inlineStr">
        <is>
          <t>000004669</t>
        </is>
      </c>
      <c r="F928" t="inlineStr">
        <is>
          <t>R&amp;R TRANSPORTE E LOGISTICA</t>
        </is>
      </c>
      <c r="G928" s="27" t="n">
        <v>45855</v>
      </c>
      <c r="H928" s="14" t="n">
        <v>44.18</v>
      </c>
      <c r="I928" s="14" t="n">
        <v>0</v>
      </c>
      <c r="J928" s="14" t="n">
        <v>0</v>
      </c>
      <c r="K928" s="14" t="n">
        <v>0</v>
      </c>
      <c r="L928" s="14" t="n">
        <v>0</v>
      </c>
      <c r="M928" s="14">
        <f>IF(B928="Frete de venda",0,(1-ISNUMBER(SEARCH("556",P928)))*(I928*VLOOKUP($B928,Premissas!$A$4:$E$7,2,0)+J928*VLOOKUP($B928,Premissas!$A$4:$E$7,3,0))+K928*VLOOKUP($B928,Premissas!$A$4:$E$7,4,0)+L928*VLOOKUP($B928,Premissas!$A$4:$E$7,5,0))</f>
        <v/>
      </c>
      <c r="N928" s="14">
        <f>H928-M928</f>
        <v/>
      </c>
      <c r="O928" t="inlineStr">
        <is>
          <t>Não</t>
        </is>
      </c>
      <c r="P928" t="inlineStr">
        <is>
          <t>1.350</t>
        </is>
      </c>
    </row>
    <row r="929">
      <c r="A929" t="inlineStr">
        <is>
          <t>Antes de 2026</t>
        </is>
      </c>
      <c r="B929" t="inlineStr">
        <is>
          <t>Frete de venda</t>
        </is>
      </c>
      <c r="C929" t="inlineStr">
        <is>
          <t>Frete de venda (para clientes)</t>
        </is>
      </c>
      <c r="D929" t="inlineStr">
        <is>
          <t>CT-e</t>
        </is>
      </c>
      <c r="E929" t="inlineStr">
        <is>
          <t>000005063</t>
        </is>
      </c>
      <c r="F929" t="inlineStr">
        <is>
          <t>R&amp;R TRANSPORTE E LOGISTICA</t>
        </is>
      </c>
      <c r="G929" s="27" t="n">
        <v>45897</v>
      </c>
      <c r="H929" s="14" t="n">
        <v>31.06</v>
      </c>
      <c r="I929" s="14" t="n">
        <v>0</v>
      </c>
      <c r="J929" s="14" t="n">
        <v>0</v>
      </c>
      <c r="K929" s="14" t="n">
        <v>0</v>
      </c>
      <c r="L929" s="14" t="n">
        <v>0</v>
      </c>
      <c r="M929" s="14">
        <f>IF(B929="Frete de venda",0,(1-ISNUMBER(SEARCH("556",P929)))*(I929*VLOOKUP($B929,Premissas!$A$4:$E$7,2,0)+J929*VLOOKUP($B929,Premissas!$A$4:$E$7,3,0))+K929*VLOOKUP($B929,Premissas!$A$4:$E$7,4,0)+L929*VLOOKUP($B929,Premissas!$A$4:$E$7,5,0))</f>
        <v/>
      </c>
      <c r="N929" s="14">
        <f>H929-M929</f>
        <v/>
      </c>
      <c r="O929" t="inlineStr">
        <is>
          <t>Não</t>
        </is>
      </c>
      <c r="P929" t="inlineStr">
        <is>
          <t>1.350</t>
        </is>
      </c>
    </row>
    <row r="930">
      <c r="A930" t="inlineStr">
        <is>
          <t>Antes de 2026</t>
        </is>
      </c>
      <c r="B930" t="inlineStr">
        <is>
          <t>Frete de venda</t>
        </is>
      </c>
      <c r="C930" t="inlineStr">
        <is>
          <t>Frete de venda (para clientes)</t>
        </is>
      </c>
      <c r="D930" t="inlineStr">
        <is>
          <t>CT-e</t>
        </is>
      </c>
      <c r="E930" t="inlineStr">
        <is>
          <t>000005293</t>
        </is>
      </c>
      <c r="F930" t="inlineStr">
        <is>
          <t>R&amp;R TRANSPORTE E LOGISTICA</t>
        </is>
      </c>
      <c r="G930" s="27" t="n">
        <v>45926</v>
      </c>
      <c r="H930" s="14" t="n">
        <v>13.85</v>
      </c>
      <c r="I930" s="14" t="n">
        <v>0</v>
      </c>
      <c r="J930" s="14" t="n">
        <v>0</v>
      </c>
      <c r="K930" s="14" t="n">
        <v>0</v>
      </c>
      <c r="L930" s="14" t="n">
        <v>0</v>
      </c>
      <c r="M930" s="14">
        <f>IF(B930="Frete de venda",0,(1-ISNUMBER(SEARCH("556",P930)))*(I930*VLOOKUP($B930,Premissas!$A$4:$E$7,2,0)+J930*VLOOKUP($B930,Premissas!$A$4:$E$7,3,0))+K930*VLOOKUP($B930,Premissas!$A$4:$E$7,4,0)+L930*VLOOKUP($B930,Premissas!$A$4:$E$7,5,0))</f>
        <v/>
      </c>
      <c r="N930" s="14">
        <f>H930-M930</f>
        <v/>
      </c>
      <c r="O930" t="inlineStr">
        <is>
          <t>Não</t>
        </is>
      </c>
      <c r="P930" t="inlineStr">
        <is>
          <t>1.350</t>
        </is>
      </c>
    </row>
    <row r="931">
      <c r="A931" t="inlineStr">
        <is>
          <t>Antes de 2026</t>
        </is>
      </c>
      <c r="B931" t="inlineStr">
        <is>
          <t>Frete de venda</t>
        </is>
      </c>
      <c r="C931" t="inlineStr">
        <is>
          <t>Frete de venda (para clientes)</t>
        </is>
      </c>
      <c r="D931" t="inlineStr">
        <is>
          <t>CT-e</t>
        </is>
      </c>
      <c r="E931" t="inlineStr">
        <is>
          <t>000005521</t>
        </is>
      </c>
      <c r="F931" t="inlineStr">
        <is>
          <t>R&amp;R TRANSPORTE E LOGISTICA</t>
        </is>
      </c>
      <c r="G931" s="27" t="n">
        <v>45951</v>
      </c>
      <c r="H931" s="14" t="n">
        <v>36.47</v>
      </c>
      <c r="I931" s="14" t="n">
        <v>0</v>
      </c>
      <c r="J931" s="14" t="n">
        <v>0</v>
      </c>
      <c r="K931" s="14" t="n">
        <v>0</v>
      </c>
      <c r="L931" s="14" t="n">
        <v>0</v>
      </c>
      <c r="M931" s="14">
        <f>IF(B931="Frete de venda",0,(1-ISNUMBER(SEARCH("556",P931)))*(I931*VLOOKUP($B931,Premissas!$A$4:$E$7,2,0)+J931*VLOOKUP($B931,Premissas!$A$4:$E$7,3,0))+K931*VLOOKUP($B931,Premissas!$A$4:$E$7,4,0)+L931*VLOOKUP($B931,Premissas!$A$4:$E$7,5,0))</f>
        <v/>
      </c>
      <c r="N931" s="14">
        <f>H931-M931</f>
        <v/>
      </c>
      <c r="O931" t="inlineStr">
        <is>
          <t>Não</t>
        </is>
      </c>
      <c r="P931" t="inlineStr">
        <is>
          <t>1.350</t>
        </is>
      </c>
    </row>
    <row r="932">
      <c r="A932" t="inlineStr">
        <is>
          <t>Antes de 2026</t>
        </is>
      </c>
      <c r="B932" t="inlineStr">
        <is>
          <t>Frete de venda</t>
        </is>
      </c>
      <c r="C932" t="inlineStr">
        <is>
          <t>Frete de venda (para clientes)</t>
        </is>
      </c>
      <c r="D932" t="inlineStr">
        <is>
          <t>CT-e</t>
        </is>
      </c>
      <c r="E932" t="inlineStr">
        <is>
          <t>000006068</t>
        </is>
      </c>
      <c r="F932" t="inlineStr">
        <is>
          <t>R&amp;R TRANSPORTE E LOGISTICA</t>
        </is>
      </c>
      <c r="G932" s="27" t="n">
        <v>46021</v>
      </c>
      <c r="H932" s="14" t="n">
        <v>44.74</v>
      </c>
      <c r="I932" s="14" t="n">
        <v>0</v>
      </c>
      <c r="J932" s="14" t="n">
        <v>0</v>
      </c>
      <c r="K932" s="14" t="n">
        <v>0</v>
      </c>
      <c r="L932" s="14" t="n">
        <v>0</v>
      </c>
      <c r="M932" s="14">
        <f>IF(B932="Frete de venda",0,(1-ISNUMBER(SEARCH("556",P932)))*(I932*VLOOKUP($B932,Premissas!$A$4:$E$7,2,0)+J932*VLOOKUP($B932,Premissas!$A$4:$E$7,3,0))+K932*VLOOKUP($B932,Premissas!$A$4:$E$7,4,0)+L932*VLOOKUP($B932,Premissas!$A$4:$E$7,5,0))</f>
        <v/>
      </c>
      <c r="N932" s="14">
        <f>H932-M932</f>
        <v/>
      </c>
      <c r="O932" t="inlineStr">
        <is>
          <t>Não</t>
        </is>
      </c>
      <c r="P932" t="inlineStr">
        <is>
          <t>1.350</t>
        </is>
      </c>
    </row>
    <row r="933">
      <c r="A933" t="inlineStr">
        <is>
          <t>Antes de 2026</t>
        </is>
      </c>
      <c r="B933" t="inlineStr">
        <is>
          <t>Frete de venda</t>
        </is>
      </c>
      <c r="C933" t="inlineStr">
        <is>
          <t>Frete de venda (para clientes)</t>
        </is>
      </c>
      <c r="D933" t="inlineStr">
        <is>
          <t>CT-e</t>
        </is>
      </c>
      <c r="E933" t="inlineStr">
        <is>
          <t>000004217</t>
        </is>
      </c>
      <c r="F933" t="inlineStr">
        <is>
          <t>R&amp;R TRANSPORTE E LOGISTICA</t>
        </is>
      </c>
      <c r="G933" s="27" t="n">
        <v>45790</v>
      </c>
      <c r="H933" s="14" t="n">
        <v>43.35</v>
      </c>
      <c r="I933" s="14" t="n">
        <v>0</v>
      </c>
      <c r="J933" s="14" t="n">
        <v>0</v>
      </c>
      <c r="K933" s="14" t="n">
        <v>0</v>
      </c>
      <c r="L933" s="14" t="n">
        <v>0</v>
      </c>
      <c r="M933" s="14">
        <f>IF(B933="Frete de venda",0,(1-ISNUMBER(SEARCH("556",P933)))*(I933*VLOOKUP($B933,Premissas!$A$4:$E$7,2,0)+J933*VLOOKUP($B933,Premissas!$A$4:$E$7,3,0))+K933*VLOOKUP($B933,Premissas!$A$4:$E$7,4,0)+L933*VLOOKUP($B933,Premissas!$A$4:$E$7,5,0))</f>
        <v/>
      </c>
      <c r="N933" s="14">
        <f>H933-M933</f>
        <v/>
      </c>
      <c r="O933" t="inlineStr">
        <is>
          <t>Não</t>
        </is>
      </c>
      <c r="P933" t="inlineStr">
        <is>
          <t>1.350</t>
        </is>
      </c>
    </row>
    <row r="934">
      <c r="A934" t="inlineStr">
        <is>
          <t>Antes de 2026</t>
        </is>
      </c>
      <c r="B934" t="inlineStr">
        <is>
          <t>Frete de venda</t>
        </is>
      </c>
      <c r="C934" t="inlineStr">
        <is>
          <t>Frete de venda (para clientes)</t>
        </is>
      </c>
      <c r="D934" t="inlineStr">
        <is>
          <t>CT-e</t>
        </is>
      </c>
      <c r="E934" t="inlineStr">
        <is>
          <t>000005621</t>
        </is>
      </c>
      <c r="F934" t="inlineStr">
        <is>
          <t>R&amp;R TRANSPORTE E LOGISTICA</t>
        </is>
      </c>
      <c r="G934" s="27" t="n">
        <v>45960</v>
      </c>
      <c r="H934" s="14" t="n">
        <v>58.41</v>
      </c>
      <c r="I934" s="14" t="n">
        <v>0</v>
      </c>
      <c r="J934" s="14" t="n">
        <v>0</v>
      </c>
      <c r="K934" s="14" t="n">
        <v>0</v>
      </c>
      <c r="L934" s="14" t="n">
        <v>0</v>
      </c>
      <c r="M934" s="14">
        <f>IF(B934="Frete de venda",0,(1-ISNUMBER(SEARCH("556",P934)))*(I934*VLOOKUP($B934,Premissas!$A$4:$E$7,2,0)+J934*VLOOKUP($B934,Premissas!$A$4:$E$7,3,0))+K934*VLOOKUP($B934,Premissas!$A$4:$E$7,4,0)+L934*VLOOKUP($B934,Premissas!$A$4:$E$7,5,0))</f>
        <v/>
      </c>
      <c r="N934" s="14">
        <f>H934-M934</f>
        <v/>
      </c>
      <c r="O934" t="inlineStr">
        <is>
          <t>Não</t>
        </is>
      </c>
      <c r="P934" t="inlineStr">
        <is>
          <t>1.350</t>
        </is>
      </c>
    </row>
    <row r="935">
      <c r="A935" t="inlineStr">
        <is>
          <t>Antes de 2026</t>
        </is>
      </c>
      <c r="B935" t="inlineStr">
        <is>
          <t>Frete de venda</t>
        </is>
      </c>
      <c r="C935" t="inlineStr">
        <is>
          <t>Frete de venda (para clientes)</t>
        </is>
      </c>
      <c r="D935" t="inlineStr">
        <is>
          <t>CT-e</t>
        </is>
      </c>
      <c r="E935" t="inlineStr">
        <is>
          <t>000006046</t>
        </is>
      </c>
      <c r="F935" t="inlineStr">
        <is>
          <t>R&amp;R TRANSPORTE E LOGISTICA</t>
        </is>
      </c>
      <c r="G935" s="27" t="n">
        <v>46014</v>
      </c>
      <c r="H935" s="14" t="n">
        <v>160.41</v>
      </c>
      <c r="I935" s="14" t="n">
        <v>0</v>
      </c>
      <c r="J935" s="14" t="n">
        <v>0</v>
      </c>
      <c r="K935" s="14" t="n">
        <v>0</v>
      </c>
      <c r="L935" s="14" t="n">
        <v>0</v>
      </c>
      <c r="M935" s="14">
        <f>IF(B935="Frete de venda",0,(1-ISNUMBER(SEARCH("556",P935)))*(I935*VLOOKUP($B935,Premissas!$A$4:$E$7,2,0)+J935*VLOOKUP($B935,Premissas!$A$4:$E$7,3,0))+K935*VLOOKUP($B935,Premissas!$A$4:$E$7,4,0)+L935*VLOOKUP($B935,Premissas!$A$4:$E$7,5,0))</f>
        <v/>
      </c>
      <c r="N935" s="14">
        <f>H935-M935</f>
        <v/>
      </c>
      <c r="O935" t="inlineStr">
        <is>
          <t>Não</t>
        </is>
      </c>
      <c r="P935" t="inlineStr">
        <is>
          <t>1.350</t>
        </is>
      </c>
    </row>
    <row r="936">
      <c r="A936" t="inlineStr">
        <is>
          <t>Antes de 2026</t>
        </is>
      </c>
      <c r="B936" t="inlineStr">
        <is>
          <t>Frete de venda</t>
        </is>
      </c>
      <c r="C936" t="inlineStr">
        <is>
          <t>Frete de venda (para clientes)</t>
        </is>
      </c>
      <c r="D936" t="inlineStr">
        <is>
          <t>CT-e</t>
        </is>
      </c>
      <c r="E936" t="inlineStr">
        <is>
          <t>000005760</t>
        </is>
      </c>
      <c r="F936" t="inlineStr">
        <is>
          <t>R&amp;R TRANSPORTE E LOGISTICA</t>
        </is>
      </c>
      <c r="G936" s="27" t="n">
        <v>45981</v>
      </c>
      <c r="H936" s="14" t="n">
        <v>12</v>
      </c>
      <c r="I936" s="14" t="n">
        <v>0</v>
      </c>
      <c r="J936" s="14" t="n">
        <v>0</v>
      </c>
      <c r="K936" s="14" t="n">
        <v>0</v>
      </c>
      <c r="L936" s="14" t="n">
        <v>0</v>
      </c>
      <c r="M936" s="14">
        <f>IF(B936="Frete de venda",0,(1-ISNUMBER(SEARCH("556",P936)))*(I936*VLOOKUP($B936,Premissas!$A$4:$E$7,2,0)+J936*VLOOKUP($B936,Premissas!$A$4:$E$7,3,0))+K936*VLOOKUP($B936,Premissas!$A$4:$E$7,4,0)+L936*VLOOKUP($B936,Premissas!$A$4:$E$7,5,0))</f>
        <v/>
      </c>
      <c r="N936" s="14">
        <f>H936-M936</f>
        <v/>
      </c>
      <c r="O936" t="inlineStr">
        <is>
          <t>Não</t>
        </is>
      </c>
      <c r="P936" t="inlineStr">
        <is>
          <t>1.350</t>
        </is>
      </c>
    </row>
    <row r="937">
      <c r="A937" t="inlineStr">
        <is>
          <t>Antes de 2026</t>
        </is>
      </c>
      <c r="B937" t="inlineStr">
        <is>
          <t>Frete de venda</t>
        </is>
      </c>
      <c r="C937" t="inlineStr">
        <is>
          <t>Frete de venda (para clientes)</t>
        </is>
      </c>
      <c r="D937" t="inlineStr">
        <is>
          <t>CT-e</t>
        </is>
      </c>
      <c r="E937" t="inlineStr">
        <is>
          <t>000005289</t>
        </is>
      </c>
      <c r="F937" t="inlineStr">
        <is>
          <t>R&amp;R TRANSPORTE E LOGISTICA</t>
        </is>
      </c>
      <c r="G937" s="27" t="n">
        <v>45926</v>
      </c>
      <c r="H937" s="14" t="n">
        <v>31.53</v>
      </c>
      <c r="I937" s="14" t="n">
        <v>0</v>
      </c>
      <c r="J937" s="14" t="n">
        <v>0</v>
      </c>
      <c r="K937" s="14" t="n">
        <v>0</v>
      </c>
      <c r="L937" s="14" t="n">
        <v>0</v>
      </c>
      <c r="M937" s="14">
        <f>IF(B937="Frete de venda",0,(1-ISNUMBER(SEARCH("556",P937)))*(I937*VLOOKUP($B937,Premissas!$A$4:$E$7,2,0)+J937*VLOOKUP($B937,Premissas!$A$4:$E$7,3,0))+K937*VLOOKUP($B937,Premissas!$A$4:$E$7,4,0)+L937*VLOOKUP($B937,Premissas!$A$4:$E$7,5,0))</f>
        <v/>
      </c>
      <c r="N937" s="14">
        <f>H937-M937</f>
        <v/>
      </c>
      <c r="O937" t="inlineStr">
        <is>
          <t>Não</t>
        </is>
      </c>
      <c r="P937" t="inlineStr">
        <is>
          <t>1.350</t>
        </is>
      </c>
    </row>
    <row r="938">
      <c r="A938" t="inlineStr">
        <is>
          <t>Antes de 2026</t>
        </is>
      </c>
      <c r="B938" t="inlineStr">
        <is>
          <t>Frete de venda</t>
        </is>
      </c>
      <c r="C938" t="inlineStr">
        <is>
          <t>Frete de venda (para clientes)</t>
        </is>
      </c>
      <c r="D938" t="inlineStr">
        <is>
          <t>CT-e</t>
        </is>
      </c>
      <c r="E938" t="inlineStr">
        <is>
          <t>000004428</t>
        </is>
      </c>
      <c r="F938" t="inlineStr">
        <is>
          <t>R&amp;R TRANSPORTE E LOGISTICA</t>
        </is>
      </c>
      <c r="G938" s="27" t="n">
        <v>45821</v>
      </c>
      <c r="H938" s="14" t="n">
        <v>10</v>
      </c>
      <c r="I938" s="14" t="n">
        <v>0</v>
      </c>
      <c r="J938" s="14" t="n">
        <v>0</v>
      </c>
      <c r="K938" s="14" t="n">
        <v>0</v>
      </c>
      <c r="L938" s="14" t="n">
        <v>0</v>
      </c>
      <c r="M938" s="14">
        <f>IF(B938="Frete de venda",0,(1-ISNUMBER(SEARCH("556",P938)))*(I938*VLOOKUP($B938,Premissas!$A$4:$E$7,2,0)+J938*VLOOKUP($B938,Premissas!$A$4:$E$7,3,0))+K938*VLOOKUP($B938,Premissas!$A$4:$E$7,4,0)+L938*VLOOKUP($B938,Premissas!$A$4:$E$7,5,0))</f>
        <v/>
      </c>
      <c r="N938" s="14">
        <f>H938-M938</f>
        <v/>
      </c>
      <c r="O938" t="inlineStr">
        <is>
          <t>Não</t>
        </is>
      </c>
      <c r="P938" t="inlineStr">
        <is>
          <t>1.350</t>
        </is>
      </c>
    </row>
    <row r="939">
      <c r="A939" t="inlineStr">
        <is>
          <t>Antes de 2026</t>
        </is>
      </c>
      <c r="B939" t="inlineStr">
        <is>
          <t>Frete de venda</t>
        </is>
      </c>
      <c r="C939" t="inlineStr">
        <is>
          <t>Frete de venda (para clientes)</t>
        </is>
      </c>
      <c r="D939" t="inlineStr">
        <is>
          <t>CT-e</t>
        </is>
      </c>
      <c r="E939" t="inlineStr">
        <is>
          <t>000004427</t>
        </is>
      </c>
      <c r="F939" t="inlineStr">
        <is>
          <t>R&amp;R TRANSPORTE E LOGISTICA</t>
        </is>
      </c>
      <c r="G939" s="27" t="n">
        <v>45821</v>
      </c>
      <c r="H939" s="14" t="n">
        <v>10</v>
      </c>
      <c r="I939" s="14" t="n">
        <v>0</v>
      </c>
      <c r="J939" s="14" t="n">
        <v>0</v>
      </c>
      <c r="K939" s="14" t="n">
        <v>0</v>
      </c>
      <c r="L939" s="14" t="n">
        <v>0</v>
      </c>
      <c r="M939" s="14">
        <f>IF(B939="Frete de venda",0,(1-ISNUMBER(SEARCH("556",P939)))*(I939*VLOOKUP($B939,Premissas!$A$4:$E$7,2,0)+J939*VLOOKUP($B939,Premissas!$A$4:$E$7,3,0))+K939*VLOOKUP($B939,Premissas!$A$4:$E$7,4,0)+L939*VLOOKUP($B939,Premissas!$A$4:$E$7,5,0))</f>
        <v/>
      </c>
      <c r="N939" s="14">
        <f>H939-M939</f>
        <v/>
      </c>
      <c r="O939" t="inlineStr">
        <is>
          <t>Não</t>
        </is>
      </c>
      <c r="P939" t="inlineStr">
        <is>
          <t>1.350</t>
        </is>
      </c>
    </row>
    <row r="940">
      <c r="A940" t="inlineStr">
        <is>
          <t>Antes de 2026</t>
        </is>
      </c>
      <c r="B940" t="inlineStr">
        <is>
          <t>Frete de venda</t>
        </is>
      </c>
      <c r="C940" t="inlineStr">
        <is>
          <t>Frete de venda (para clientes)</t>
        </is>
      </c>
      <c r="D940" t="inlineStr">
        <is>
          <t>CT-e</t>
        </is>
      </c>
      <c r="E940" t="inlineStr">
        <is>
          <t>000004560</t>
        </is>
      </c>
      <c r="F940" t="inlineStr">
        <is>
          <t>R&amp;R TRANSPORTE E LOGISTICA</t>
        </is>
      </c>
      <c r="G940" s="27" t="n">
        <v>45840</v>
      </c>
      <c r="H940" s="14" t="n">
        <v>15</v>
      </c>
      <c r="I940" s="14" t="n">
        <v>0</v>
      </c>
      <c r="J940" s="14" t="n">
        <v>0</v>
      </c>
      <c r="K940" s="14" t="n">
        <v>0</v>
      </c>
      <c r="L940" s="14" t="n">
        <v>0</v>
      </c>
      <c r="M940" s="14">
        <f>IF(B940="Frete de venda",0,(1-ISNUMBER(SEARCH("556",P940)))*(I940*VLOOKUP($B940,Premissas!$A$4:$E$7,2,0)+J940*VLOOKUP($B940,Premissas!$A$4:$E$7,3,0))+K940*VLOOKUP($B940,Premissas!$A$4:$E$7,4,0)+L940*VLOOKUP($B940,Premissas!$A$4:$E$7,5,0))</f>
        <v/>
      </c>
      <c r="N940" s="14">
        <f>H940-M940</f>
        <v/>
      </c>
      <c r="O940" t="inlineStr">
        <is>
          <t>Não</t>
        </is>
      </c>
      <c r="P940" t="inlineStr">
        <is>
          <t>1.350</t>
        </is>
      </c>
    </row>
    <row r="941">
      <c r="A941" t="inlineStr">
        <is>
          <t>Antes de 2026</t>
        </is>
      </c>
      <c r="B941" t="inlineStr">
        <is>
          <t>Frete de venda</t>
        </is>
      </c>
      <c r="C941" t="inlineStr">
        <is>
          <t>Frete de venda (para clientes)</t>
        </is>
      </c>
      <c r="D941" t="inlineStr">
        <is>
          <t>CT-e</t>
        </is>
      </c>
      <c r="E941" t="inlineStr">
        <is>
          <t>000004561</t>
        </is>
      </c>
      <c r="F941" t="inlineStr">
        <is>
          <t>R&amp;R TRANSPORTE E LOGISTICA</t>
        </is>
      </c>
      <c r="G941" s="27" t="n">
        <v>45840</v>
      </c>
      <c r="H941" s="14" t="n">
        <v>15</v>
      </c>
      <c r="I941" s="14" t="n">
        <v>0</v>
      </c>
      <c r="J941" s="14" t="n">
        <v>0</v>
      </c>
      <c r="K941" s="14" t="n">
        <v>0</v>
      </c>
      <c r="L941" s="14" t="n">
        <v>0</v>
      </c>
      <c r="M941" s="14">
        <f>IF(B941="Frete de venda",0,(1-ISNUMBER(SEARCH("556",P941)))*(I941*VLOOKUP($B941,Premissas!$A$4:$E$7,2,0)+J941*VLOOKUP($B941,Premissas!$A$4:$E$7,3,0))+K941*VLOOKUP($B941,Premissas!$A$4:$E$7,4,0)+L941*VLOOKUP($B941,Premissas!$A$4:$E$7,5,0))</f>
        <v/>
      </c>
      <c r="N941" s="14">
        <f>H941-M941</f>
        <v/>
      </c>
      <c r="O941" t="inlineStr">
        <is>
          <t>Não</t>
        </is>
      </c>
      <c r="P941" t="inlineStr">
        <is>
          <t>1.350</t>
        </is>
      </c>
    </row>
    <row r="942">
      <c r="A942" t="inlineStr">
        <is>
          <t>Antes de 2026</t>
        </is>
      </c>
      <c r="B942" t="inlineStr">
        <is>
          <t>Frete de venda</t>
        </is>
      </c>
      <c r="C942" t="inlineStr">
        <is>
          <t>Frete de venda (para clientes)</t>
        </is>
      </c>
      <c r="D942" t="inlineStr">
        <is>
          <t>CT-e</t>
        </is>
      </c>
      <c r="E942" t="inlineStr">
        <is>
          <t>000004850</t>
        </is>
      </c>
      <c r="F942" t="inlineStr">
        <is>
          <t>R&amp;R TRANSPORTE E LOGISTICA</t>
        </is>
      </c>
      <c r="G942" s="27" t="n">
        <v>45875</v>
      </c>
      <c r="H942" s="14" t="n">
        <v>15</v>
      </c>
      <c r="I942" s="14" t="n">
        <v>0</v>
      </c>
      <c r="J942" s="14" t="n">
        <v>0</v>
      </c>
      <c r="K942" s="14" t="n">
        <v>0</v>
      </c>
      <c r="L942" s="14" t="n">
        <v>0</v>
      </c>
      <c r="M942" s="14">
        <f>IF(B942="Frete de venda",0,(1-ISNUMBER(SEARCH("556",P942)))*(I942*VLOOKUP($B942,Premissas!$A$4:$E$7,2,0)+J942*VLOOKUP($B942,Premissas!$A$4:$E$7,3,0))+K942*VLOOKUP($B942,Premissas!$A$4:$E$7,4,0)+L942*VLOOKUP($B942,Premissas!$A$4:$E$7,5,0))</f>
        <v/>
      </c>
      <c r="N942" s="14">
        <f>H942-M942</f>
        <v/>
      </c>
      <c r="O942" t="inlineStr">
        <is>
          <t>Não</t>
        </is>
      </c>
      <c r="P942" t="inlineStr">
        <is>
          <t>1.350</t>
        </is>
      </c>
    </row>
    <row r="943">
      <c r="A943" t="inlineStr">
        <is>
          <t>Antes de 2026</t>
        </is>
      </c>
      <c r="B943" t="inlineStr">
        <is>
          <t>Frete de venda</t>
        </is>
      </c>
      <c r="C943" t="inlineStr">
        <is>
          <t>Frete de venda (para clientes)</t>
        </is>
      </c>
      <c r="D943" t="inlineStr">
        <is>
          <t>CT-e</t>
        </is>
      </c>
      <c r="E943" t="inlineStr">
        <is>
          <t>000004423</t>
        </is>
      </c>
      <c r="F943" t="inlineStr">
        <is>
          <t>R&amp;R TRANSPORTE E LOGISTICA</t>
        </is>
      </c>
      <c r="G943" s="27" t="n">
        <v>45820</v>
      </c>
      <c r="H943" s="14" t="n">
        <v>333</v>
      </c>
      <c r="I943" s="14" t="n">
        <v>0</v>
      </c>
      <c r="J943" s="14" t="n">
        <v>0</v>
      </c>
      <c r="K943" s="14" t="n">
        <v>0</v>
      </c>
      <c r="L943" s="14" t="n">
        <v>0</v>
      </c>
      <c r="M943" s="14">
        <f>IF(B943="Frete de venda",0,(1-ISNUMBER(SEARCH("556",P943)))*(I943*VLOOKUP($B943,Premissas!$A$4:$E$7,2,0)+J943*VLOOKUP($B943,Premissas!$A$4:$E$7,3,0))+K943*VLOOKUP($B943,Premissas!$A$4:$E$7,4,0)+L943*VLOOKUP($B943,Premissas!$A$4:$E$7,5,0))</f>
        <v/>
      </c>
      <c r="N943" s="14">
        <f>H943-M943</f>
        <v/>
      </c>
      <c r="O943" t="inlineStr">
        <is>
          <t>Não</t>
        </is>
      </c>
      <c r="P943" t="inlineStr">
        <is>
          <t>1.350</t>
        </is>
      </c>
    </row>
    <row r="944">
      <c r="A944" t="inlineStr">
        <is>
          <t>Antes de 2026</t>
        </is>
      </c>
      <c r="B944" t="inlineStr">
        <is>
          <t>Frete de venda</t>
        </is>
      </c>
      <c r="C944" t="inlineStr">
        <is>
          <t>Frete de venda (para clientes)</t>
        </is>
      </c>
      <c r="D944" t="inlineStr">
        <is>
          <t>CT-e</t>
        </is>
      </c>
      <c r="E944" t="inlineStr">
        <is>
          <t>000004581</t>
        </is>
      </c>
      <c r="F944" t="inlineStr">
        <is>
          <t>R&amp;R TRANSPORTE E LOGISTICA</t>
        </is>
      </c>
      <c r="G944" s="27" t="n">
        <v>45842</v>
      </c>
      <c r="H944" s="14" t="n">
        <v>483</v>
      </c>
      <c r="I944" s="14" t="n">
        <v>0</v>
      </c>
      <c r="J944" s="14" t="n">
        <v>0</v>
      </c>
      <c r="K944" s="14" t="n">
        <v>0</v>
      </c>
      <c r="L944" s="14" t="n">
        <v>0</v>
      </c>
      <c r="M944" s="14">
        <f>IF(B944="Frete de venda",0,(1-ISNUMBER(SEARCH("556",P944)))*(I944*VLOOKUP($B944,Premissas!$A$4:$E$7,2,0)+J944*VLOOKUP($B944,Premissas!$A$4:$E$7,3,0))+K944*VLOOKUP($B944,Premissas!$A$4:$E$7,4,0)+L944*VLOOKUP($B944,Premissas!$A$4:$E$7,5,0))</f>
        <v/>
      </c>
      <c r="N944" s="14">
        <f>H944-M944</f>
        <v/>
      </c>
      <c r="O944" t="inlineStr">
        <is>
          <t>Não</t>
        </is>
      </c>
      <c r="P944" t="inlineStr">
        <is>
          <t>1.350</t>
        </is>
      </c>
    </row>
    <row r="945">
      <c r="A945" t="inlineStr">
        <is>
          <t>Antes de 2026</t>
        </is>
      </c>
      <c r="B945" t="inlineStr">
        <is>
          <t>Frete de venda</t>
        </is>
      </c>
      <c r="C945" t="inlineStr">
        <is>
          <t>Frete de venda (para clientes)</t>
        </is>
      </c>
      <c r="D945" t="inlineStr">
        <is>
          <t>CT-e</t>
        </is>
      </c>
      <c r="E945" t="inlineStr">
        <is>
          <t>000004958</t>
        </is>
      </c>
      <c r="F945" t="inlineStr">
        <is>
          <t>R&amp;R TRANSPORTE E LOGISTICA</t>
        </is>
      </c>
      <c r="G945" s="27" t="n">
        <v>45889</v>
      </c>
      <c r="H945" s="14" t="n">
        <v>59.81</v>
      </c>
      <c r="I945" s="14" t="n">
        <v>0</v>
      </c>
      <c r="J945" s="14" t="n">
        <v>0</v>
      </c>
      <c r="K945" s="14" t="n">
        <v>0</v>
      </c>
      <c r="L945" s="14" t="n">
        <v>0</v>
      </c>
      <c r="M945" s="14">
        <f>IF(B945="Frete de venda",0,(1-ISNUMBER(SEARCH("556",P945)))*(I945*VLOOKUP($B945,Premissas!$A$4:$E$7,2,0)+J945*VLOOKUP($B945,Premissas!$A$4:$E$7,3,0))+K945*VLOOKUP($B945,Premissas!$A$4:$E$7,4,0)+L945*VLOOKUP($B945,Premissas!$A$4:$E$7,5,0))</f>
        <v/>
      </c>
      <c r="N945" s="14">
        <f>H945-M945</f>
        <v/>
      </c>
      <c r="O945" t="inlineStr">
        <is>
          <t>Não</t>
        </is>
      </c>
      <c r="P945" t="inlineStr">
        <is>
          <t>1.350</t>
        </is>
      </c>
    </row>
    <row r="946">
      <c r="A946" t="inlineStr">
        <is>
          <t>Antes de 2026</t>
        </is>
      </c>
      <c r="B946" t="inlineStr">
        <is>
          <t>Frete de venda</t>
        </is>
      </c>
      <c r="C946" t="inlineStr">
        <is>
          <t>Frete de venda (para clientes)</t>
        </is>
      </c>
      <c r="D946" t="inlineStr">
        <is>
          <t>CT-e</t>
        </is>
      </c>
      <c r="E946" t="inlineStr">
        <is>
          <t>000004114</t>
        </is>
      </c>
      <c r="F946" t="inlineStr">
        <is>
          <t>R&amp;R TRANSPORTE E LOGISTICA</t>
        </is>
      </c>
      <c r="G946" s="27" t="n">
        <v>45778</v>
      </c>
      <c r="H946" s="14" t="n">
        <v>215</v>
      </c>
      <c r="I946" s="14" t="n">
        <v>0</v>
      </c>
      <c r="J946" s="14" t="n">
        <v>0</v>
      </c>
      <c r="K946" s="14" t="n">
        <v>0</v>
      </c>
      <c r="L946" s="14" t="n">
        <v>0</v>
      </c>
      <c r="M946" s="14">
        <f>IF(B946="Frete de venda",0,(1-ISNUMBER(SEARCH("556",P946)))*(I946*VLOOKUP($B946,Premissas!$A$4:$E$7,2,0)+J946*VLOOKUP($B946,Premissas!$A$4:$E$7,3,0))+K946*VLOOKUP($B946,Premissas!$A$4:$E$7,4,0)+L946*VLOOKUP($B946,Premissas!$A$4:$E$7,5,0))</f>
        <v/>
      </c>
      <c r="N946" s="14">
        <f>H946-M946</f>
        <v/>
      </c>
      <c r="O946" t="inlineStr">
        <is>
          <t>Não</t>
        </is>
      </c>
      <c r="P946" t="inlineStr">
        <is>
          <t>1.350</t>
        </is>
      </c>
    </row>
    <row r="947">
      <c r="A947" t="inlineStr">
        <is>
          <t>Antes de 2026</t>
        </is>
      </c>
      <c r="B947" t="inlineStr">
        <is>
          <t>Frete de venda</t>
        </is>
      </c>
      <c r="C947" t="inlineStr">
        <is>
          <t>Frete de venda (para clientes)</t>
        </is>
      </c>
      <c r="D947" t="inlineStr">
        <is>
          <t>CT-e</t>
        </is>
      </c>
      <c r="E947" t="inlineStr">
        <is>
          <t>000005510</t>
        </is>
      </c>
      <c r="F947" t="inlineStr">
        <is>
          <t>R&amp;R TRANSPORTE E LOGISTICA</t>
        </is>
      </c>
      <c r="G947" s="27" t="n">
        <v>45948</v>
      </c>
      <c r="H947" s="14" t="n">
        <v>786</v>
      </c>
      <c r="I947" s="14" t="n">
        <v>0</v>
      </c>
      <c r="J947" s="14" t="n">
        <v>0</v>
      </c>
      <c r="K947" s="14" t="n">
        <v>0</v>
      </c>
      <c r="L947" s="14" t="n">
        <v>0</v>
      </c>
      <c r="M947" s="14">
        <f>IF(B947="Frete de venda",0,(1-ISNUMBER(SEARCH("556",P947)))*(I947*VLOOKUP($B947,Premissas!$A$4:$E$7,2,0)+J947*VLOOKUP($B947,Premissas!$A$4:$E$7,3,0))+K947*VLOOKUP($B947,Premissas!$A$4:$E$7,4,0)+L947*VLOOKUP($B947,Premissas!$A$4:$E$7,5,0))</f>
        <v/>
      </c>
      <c r="N947" s="14">
        <f>H947-M947</f>
        <v/>
      </c>
      <c r="O947" t="inlineStr">
        <is>
          <t>Não</t>
        </is>
      </c>
      <c r="P947" t="inlineStr">
        <is>
          <t>1.350</t>
        </is>
      </c>
    </row>
    <row r="948">
      <c r="A948" t="inlineStr">
        <is>
          <t>Antes de 2026</t>
        </is>
      </c>
      <c r="B948" t="inlineStr">
        <is>
          <t>Frete de venda</t>
        </is>
      </c>
      <c r="C948" t="inlineStr">
        <is>
          <t>Frete de venda (para clientes)</t>
        </is>
      </c>
      <c r="D948" t="inlineStr">
        <is>
          <t>CT-e</t>
        </is>
      </c>
      <c r="E948" t="inlineStr">
        <is>
          <t>000000098</t>
        </is>
      </c>
      <c r="F948" t="inlineStr">
        <is>
          <t>ADIL CARLOS DA SILVA</t>
        </is>
      </c>
      <c r="G948" s="27" t="n">
        <v>45789</v>
      </c>
      <c r="H948" s="14" t="n">
        <v>10</v>
      </c>
      <c r="I948" s="14" t="n">
        <v>0</v>
      </c>
      <c r="J948" s="14" t="n">
        <v>0</v>
      </c>
      <c r="K948" s="14" t="n">
        <v>0</v>
      </c>
      <c r="L948" s="14" t="n">
        <v>0</v>
      </c>
      <c r="M948" s="14">
        <f>IF(B948="Frete de venda",0,(1-ISNUMBER(SEARCH("556",P948)))*(I948*VLOOKUP($B948,Premissas!$A$4:$E$7,2,0)+J948*VLOOKUP($B948,Premissas!$A$4:$E$7,3,0))+K948*VLOOKUP($B948,Premissas!$A$4:$E$7,4,0)+L948*VLOOKUP($B948,Premissas!$A$4:$E$7,5,0))</f>
        <v/>
      </c>
      <c r="N948" s="14">
        <f>H948-M948</f>
        <v/>
      </c>
      <c r="O948" t="inlineStr">
        <is>
          <t>Não</t>
        </is>
      </c>
      <c r="P948" t="inlineStr">
        <is>
          <t>2.350</t>
        </is>
      </c>
    </row>
    <row r="949">
      <c r="A949" t="inlineStr">
        <is>
          <t>Antes de 2026</t>
        </is>
      </c>
      <c r="B949" t="inlineStr">
        <is>
          <t>Frete de venda</t>
        </is>
      </c>
      <c r="C949" t="inlineStr">
        <is>
          <t>Frete de venda (para clientes)</t>
        </is>
      </c>
      <c r="D949" t="inlineStr">
        <is>
          <t>CT-e</t>
        </is>
      </c>
      <c r="E949" t="inlineStr">
        <is>
          <t>000004698</t>
        </is>
      </c>
      <c r="F949" t="inlineStr">
        <is>
          <t>R&amp;R TRANSPORTE E LOGISTICA</t>
        </is>
      </c>
      <c r="G949" s="27" t="n">
        <v>45860</v>
      </c>
      <c r="H949" s="14" t="n">
        <v>1250</v>
      </c>
      <c r="I949" s="14" t="n">
        <v>0</v>
      </c>
      <c r="J949" s="14" t="n">
        <v>0</v>
      </c>
      <c r="K949" s="14" t="n">
        <v>0</v>
      </c>
      <c r="L949" s="14" t="n">
        <v>0</v>
      </c>
      <c r="M949" s="14">
        <f>IF(B949="Frete de venda",0,(1-ISNUMBER(SEARCH("556",P949)))*(I949*VLOOKUP($B949,Premissas!$A$4:$E$7,2,0)+J949*VLOOKUP($B949,Premissas!$A$4:$E$7,3,0))+K949*VLOOKUP($B949,Premissas!$A$4:$E$7,4,0)+L949*VLOOKUP($B949,Premissas!$A$4:$E$7,5,0))</f>
        <v/>
      </c>
      <c r="N949" s="14">
        <f>H949-M949</f>
        <v/>
      </c>
      <c r="O949" t="inlineStr">
        <is>
          <t>Não</t>
        </is>
      </c>
      <c r="P949" t="inlineStr">
        <is>
          <t>1.350</t>
        </is>
      </c>
    </row>
    <row r="950">
      <c r="A950" t="inlineStr">
        <is>
          <t>Antes de 2026</t>
        </is>
      </c>
      <c r="B950" t="inlineStr">
        <is>
          <t>Frete de venda</t>
        </is>
      </c>
      <c r="C950" t="inlineStr">
        <is>
          <t>Frete de venda (para clientes)</t>
        </is>
      </c>
      <c r="D950" t="inlineStr">
        <is>
          <t>CT-e</t>
        </is>
      </c>
      <c r="E950" t="inlineStr">
        <is>
          <t>000004736</t>
        </is>
      </c>
      <c r="F950" t="inlineStr">
        <is>
          <t>R&amp;R TRANSPORTE E LOGISTICA</t>
        </is>
      </c>
      <c r="G950" s="27" t="n">
        <v>45862</v>
      </c>
      <c r="H950" s="14" t="n">
        <v>37</v>
      </c>
      <c r="I950" s="14" t="n">
        <v>0</v>
      </c>
      <c r="J950" s="14" t="n">
        <v>0</v>
      </c>
      <c r="K950" s="14" t="n">
        <v>0</v>
      </c>
      <c r="L950" s="14" t="n">
        <v>0</v>
      </c>
      <c r="M950" s="14">
        <f>IF(B950="Frete de venda",0,(1-ISNUMBER(SEARCH("556",P950)))*(I950*VLOOKUP($B950,Premissas!$A$4:$E$7,2,0)+J950*VLOOKUP($B950,Premissas!$A$4:$E$7,3,0))+K950*VLOOKUP($B950,Premissas!$A$4:$E$7,4,0)+L950*VLOOKUP($B950,Premissas!$A$4:$E$7,5,0))</f>
        <v/>
      </c>
      <c r="N950" s="14">
        <f>H950-M950</f>
        <v/>
      </c>
      <c r="O950" t="inlineStr">
        <is>
          <t>Não</t>
        </is>
      </c>
      <c r="P950" t="inlineStr">
        <is>
          <t>1.350</t>
        </is>
      </c>
    </row>
    <row r="951">
      <c r="A951" t="inlineStr">
        <is>
          <t>Antes de 2026</t>
        </is>
      </c>
      <c r="B951" t="inlineStr">
        <is>
          <t>Frete de venda</t>
        </is>
      </c>
      <c r="C951" t="inlineStr">
        <is>
          <t>Frete de venda (para clientes)</t>
        </is>
      </c>
      <c r="D951" t="inlineStr">
        <is>
          <t>CT-e</t>
        </is>
      </c>
      <c r="E951" t="inlineStr">
        <is>
          <t>000004489</t>
        </is>
      </c>
      <c r="F951" t="inlineStr">
        <is>
          <t>R&amp;R TRANSPORTE E LOGISTICA</t>
        </is>
      </c>
      <c r="G951" s="27" t="n">
        <v>45831</v>
      </c>
      <c r="H951" s="14" t="n">
        <v>20.25</v>
      </c>
      <c r="I951" s="14" t="n">
        <v>0</v>
      </c>
      <c r="J951" s="14" t="n">
        <v>0</v>
      </c>
      <c r="K951" s="14" t="n">
        <v>0</v>
      </c>
      <c r="L951" s="14" t="n">
        <v>0</v>
      </c>
      <c r="M951" s="14">
        <f>IF(B951="Frete de venda",0,(1-ISNUMBER(SEARCH("556",P951)))*(I951*VLOOKUP($B951,Premissas!$A$4:$E$7,2,0)+J951*VLOOKUP($B951,Premissas!$A$4:$E$7,3,0))+K951*VLOOKUP($B951,Premissas!$A$4:$E$7,4,0)+L951*VLOOKUP($B951,Premissas!$A$4:$E$7,5,0))</f>
        <v/>
      </c>
      <c r="N951" s="14">
        <f>H951-M951</f>
        <v/>
      </c>
      <c r="O951" t="inlineStr">
        <is>
          <t>Não</t>
        </is>
      </c>
      <c r="P951" t="inlineStr">
        <is>
          <t>1.350</t>
        </is>
      </c>
    </row>
    <row r="952">
      <c r="A952" t="inlineStr">
        <is>
          <t>Antes de 2026</t>
        </is>
      </c>
      <c r="B952" t="inlineStr">
        <is>
          <t>Frete de venda</t>
        </is>
      </c>
      <c r="C952" t="inlineStr">
        <is>
          <t>Frete de venda (para clientes)</t>
        </is>
      </c>
      <c r="D952" t="inlineStr">
        <is>
          <t>CT-e</t>
        </is>
      </c>
      <c r="E952" t="inlineStr">
        <is>
          <t>000004923</t>
        </is>
      </c>
      <c r="F952" t="inlineStr">
        <is>
          <t>R&amp;R TRANSPORTE E LOGISTICA</t>
        </is>
      </c>
      <c r="G952" s="27" t="n">
        <v>45884</v>
      </c>
      <c r="H952" s="14" t="n">
        <v>14.44</v>
      </c>
      <c r="I952" s="14" t="n">
        <v>0</v>
      </c>
      <c r="J952" s="14" t="n">
        <v>0</v>
      </c>
      <c r="K952" s="14" t="n">
        <v>0</v>
      </c>
      <c r="L952" s="14" t="n">
        <v>0</v>
      </c>
      <c r="M952" s="14">
        <f>IF(B952="Frete de venda",0,(1-ISNUMBER(SEARCH("556",P952)))*(I952*VLOOKUP($B952,Premissas!$A$4:$E$7,2,0)+J952*VLOOKUP($B952,Premissas!$A$4:$E$7,3,0))+K952*VLOOKUP($B952,Premissas!$A$4:$E$7,4,0)+L952*VLOOKUP($B952,Premissas!$A$4:$E$7,5,0))</f>
        <v/>
      </c>
      <c r="N952" s="14">
        <f>H952-M952</f>
        <v/>
      </c>
      <c r="O952" t="inlineStr">
        <is>
          <t>Não</t>
        </is>
      </c>
      <c r="P952" t="inlineStr">
        <is>
          <t>1.350</t>
        </is>
      </c>
    </row>
    <row r="953">
      <c r="A953" t="inlineStr">
        <is>
          <t>Antes de 2026</t>
        </is>
      </c>
      <c r="B953" t="inlineStr">
        <is>
          <t>Frete de venda</t>
        </is>
      </c>
      <c r="C953" t="inlineStr">
        <is>
          <t>Frete de venda (para clientes)</t>
        </is>
      </c>
      <c r="D953" t="inlineStr">
        <is>
          <t>CT-e</t>
        </is>
      </c>
      <c r="E953" t="inlineStr">
        <is>
          <t>000005378</t>
        </is>
      </c>
      <c r="F953" t="inlineStr">
        <is>
          <t>R&amp;R TRANSPORTE E LOGISTICA</t>
        </is>
      </c>
      <c r="G953" s="27" t="n">
        <v>45932</v>
      </c>
      <c r="H953" s="14" t="n">
        <v>31.97</v>
      </c>
      <c r="I953" s="14" t="n">
        <v>0</v>
      </c>
      <c r="J953" s="14" t="n">
        <v>0</v>
      </c>
      <c r="K953" s="14" t="n">
        <v>0</v>
      </c>
      <c r="L953" s="14" t="n">
        <v>0</v>
      </c>
      <c r="M953" s="14">
        <f>IF(B953="Frete de venda",0,(1-ISNUMBER(SEARCH("556",P953)))*(I953*VLOOKUP($B953,Premissas!$A$4:$E$7,2,0)+J953*VLOOKUP($B953,Premissas!$A$4:$E$7,3,0))+K953*VLOOKUP($B953,Premissas!$A$4:$E$7,4,0)+L953*VLOOKUP($B953,Premissas!$A$4:$E$7,5,0))</f>
        <v/>
      </c>
      <c r="N953" s="14">
        <f>H953-M953</f>
        <v/>
      </c>
      <c r="O953" t="inlineStr">
        <is>
          <t>Não</t>
        </is>
      </c>
      <c r="P953" t="inlineStr">
        <is>
          <t>1.350</t>
        </is>
      </c>
    </row>
    <row r="954">
      <c r="A954" t="inlineStr">
        <is>
          <t>Antes de 2026</t>
        </is>
      </c>
      <c r="B954" t="inlineStr">
        <is>
          <t>Frete de venda</t>
        </is>
      </c>
      <c r="C954" t="inlineStr">
        <is>
          <t>Frete de venda (para clientes)</t>
        </is>
      </c>
      <c r="D954" t="inlineStr">
        <is>
          <t>CT-e</t>
        </is>
      </c>
      <c r="E954" t="inlineStr">
        <is>
          <t>000004627</t>
        </is>
      </c>
      <c r="F954" t="inlineStr">
        <is>
          <t>R&amp;R TRANSPORTE E LOGISTICA</t>
        </is>
      </c>
      <c r="G954" s="27" t="n">
        <v>45850</v>
      </c>
      <c r="H954" s="14" t="n">
        <v>28.88</v>
      </c>
      <c r="I954" s="14" t="n">
        <v>0</v>
      </c>
      <c r="J954" s="14" t="n">
        <v>0</v>
      </c>
      <c r="K954" s="14" t="n">
        <v>0</v>
      </c>
      <c r="L954" s="14" t="n">
        <v>0</v>
      </c>
      <c r="M954" s="14">
        <f>IF(B954="Frete de venda",0,(1-ISNUMBER(SEARCH("556",P954)))*(I954*VLOOKUP($B954,Premissas!$A$4:$E$7,2,0)+J954*VLOOKUP($B954,Premissas!$A$4:$E$7,3,0))+K954*VLOOKUP($B954,Premissas!$A$4:$E$7,4,0)+L954*VLOOKUP($B954,Premissas!$A$4:$E$7,5,0))</f>
        <v/>
      </c>
      <c r="N954" s="14">
        <f>H954-M954</f>
        <v/>
      </c>
      <c r="O954" t="inlineStr">
        <is>
          <t>Não</t>
        </is>
      </c>
      <c r="P954" t="inlineStr">
        <is>
          <t>1.350</t>
        </is>
      </c>
    </row>
    <row r="955">
      <c r="A955" t="inlineStr">
        <is>
          <t>Antes de 2026</t>
        </is>
      </c>
      <c r="B955" t="inlineStr">
        <is>
          <t>Frete de venda</t>
        </is>
      </c>
      <c r="C955" t="inlineStr">
        <is>
          <t>Frete de venda (para clientes)</t>
        </is>
      </c>
      <c r="D955" t="inlineStr">
        <is>
          <t>CT-e</t>
        </is>
      </c>
      <c r="E955" t="inlineStr">
        <is>
          <t>000004630</t>
        </is>
      </c>
      <c r="F955" t="inlineStr">
        <is>
          <t>R&amp;R TRANSPORTE E LOGISTICA</t>
        </is>
      </c>
      <c r="G955" s="27" t="n">
        <v>45850</v>
      </c>
      <c r="H955" s="14" t="n">
        <v>24.81</v>
      </c>
      <c r="I955" s="14" t="n">
        <v>0</v>
      </c>
      <c r="J955" s="14" t="n">
        <v>0</v>
      </c>
      <c r="K955" s="14" t="n">
        <v>0</v>
      </c>
      <c r="L955" s="14" t="n">
        <v>0</v>
      </c>
      <c r="M955" s="14">
        <f>IF(B955="Frete de venda",0,(1-ISNUMBER(SEARCH("556",P955)))*(I955*VLOOKUP($B955,Premissas!$A$4:$E$7,2,0)+J955*VLOOKUP($B955,Premissas!$A$4:$E$7,3,0))+K955*VLOOKUP($B955,Premissas!$A$4:$E$7,4,0)+L955*VLOOKUP($B955,Premissas!$A$4:$E$7,5,0))</f>
        <v/>
      </c>
      <c r="N955" s="14">
        <f>H955-M955</f>
        <v/>
      </c>
      <c r="O955" t="inlineStr">
        <is>
          <t>Não</t>
        </is>
      </c>
      <c r="P955" t="inlineStr">
        <is>
          <t>1.350</t>
        </is>
      </c>
    </row>
    <row r="956">
      <c r="A956" t="inlineStr">
        <is>
          <t>Antes de 2026</t>
        </is>
      </c>
      <c r="B956" t="inlineStr">
        <is>
          <t>Frete de venda</t>
        </is>
      </c>
      <c r="C956" t="inlineStr">
        <is>
          <t>Frete de venda (para clientes)</t>
        </is>
      </c>
      <c r="D956" t="inlineStr">
        <is>
          <t>CT-e</t>
        </is>
      </c>
      <c r="E956" t="inlineStr">
        <is>
          <t>000005849</t>
        </is>
      </c>
      <c r="F956" t="inlineStr">
        <is>
          <t>R&amp;R TRANSPORTE E LOGISTICA</t>
        </is>
      </c>
      <c r="G956" s="27" t="n">
        <v>45988</v>
      </c>
      <c r="H956" s="14" t="n">
        <v>13.47</v>
      </c>
      <c r="I956" s="14" t="n">
        <v>0</v>
      </c>
      <c r="J956" s="14" t="n">
        <v>0</v>
      </c>
      <c r="K956" s="14" t="n">
        <v>0</v>
      </c>
      <c r="L956" s="14" t="n">
        <v>0</v>
      </c>
      <c r="M956" s="14">
        <f>IF(B956="Frete de venda",0,(1-ISNUMBER(SEARCH("556",P956)))*(I956*VLOOKUP($B956,Premissas!$A$4:$E$7,2,0)+J956*VLOOKUP($B956,Premissas!$A$4:$E$7,3,0))+K956*VLOOKUP($B956,Premissas!$A$4:$E$7,4,0)+L956*VLOOKUP($B956,Premissas!$A$4:$E$7,5,0))</f>
        <v/>
      </c>
      <c r="N956" s="14">
        <f>H956-M956</f>
        <v/>
      </c>
      <c r="O956" t="inlineStr">
        <is>
          <t>Não</t>
        </is>
      </c>
      <c r="P956" t="inlineStr">
        <is>
          <t>1.350</t>
        </is>
      </c>
    </row>
    <row r="957">
      <c r="A957" t="inlineStr">
        <is>
          <t>Antes de 2026</t>
        </is>
      </c>
      <c r="B957" t="inlineStr">
        <is>
          <t>Frete de venda</t>
        </is>
      </c>
      <c r="C957" t="inlineStr">
        <is>
          <t>Frete de venda (para clientes)</t>
        </is>
      </c>
      <c r="D957" t="inlineStr">
        <is>
          <t>CT-e</t>
        </is>
      </c>
      <c r="E957" t="inlineStr">
        <is>
          <t>000005850</t>
        </is>
      </c>
      <c r="F957" t="inlineStr">
        <is>
          <t>R&amp;R TRANSPORTE E LOGISTICA</t>
        </is>
      </c>
      <c r="G957" s="27" t="n">
        <v>45988</v>
      </c>
      <c r="H957" s="14" t="n">
        <v>13.22</v>
      </c>
      <c r="I957" s="14" t="n">
        <v>0</v>
      </c>
      <c r="J957" s="14" t="n">
        <v>0</v>
      </c>
      <c r="K957" s="14" t="n">
        <v>0</v>
      </c>
      <c r="L957" s="14" t="n">
        <v>0</v>
      </c>
      <c r="M957" s="14">
        <f>IF(B957="Frete de venda",0,(1-ISNUMBER(SEARCH("556",P957)))*(I957*VLOOKUP($B957,Premissas!$A$4:$E$7,2,0)+J957*VLOOKUP($B957,Premissas!$A$4:$E$7,3,0))+K957*VLOOKUP($B957,Premissas!$A$4:$E$7,4,0)+L957*VLOOKUP($B957,Premissas!$A$4:$E$7,5,0))</f>
        <v/>
      </c>
      <c r="N957" s="14">
        <f>H957-M957</f>
        <v/>
      </c>
      <c r="O957" t="inlineStr">
        <is>
          <t>Não</t>
        </is>
      </c>
      <c r="P957" t="inlineStr">
        <is>
          <t>1.350</t>
        </is>
      </c>
    </row>
    <row r="958">
      <c r="A958" t="inlineStr">
        <is>
          <t>Antes de 2026</t>
        </is>
      </c>
      <c r="B958" t="inlineStr">
        <is>
          <t>Frete de venda</t>
        </is>
      </c>
      <c r="C958" t="inlineStr">
        <is>
          <t>Frete de venda (para clientes)</t>
        </is>
      </c>
      <c r="D958" t="inlineStr">
        <is>
          <t>CT-e</t>
        </is>
      </c>
      <c r="E958" t="inlineStr">
        <is>
          <t>000005747</t>
        </is>
      </c>
      <c r="F958" t="inlineStr">
        <is>
          <t>R&amp;R TRANSPORTE E LOGISTICA</t>
        </is>
      </c>
      <c r="G958" s="27" t="n">
        <v>45979</v>
      </c>
      <c r="H958" s="14" t="n">
        <v>38.81</v>
      </c>
      <c r="I958" s="14" t="n">
        <v>0</v>
      </c>
      <c r="J958" s="14" t="n">
        <v>0</v>
      </c>
      <c r="K958" s="14" t="n">
        <v>0</v>
      </c>
      <c r="L958" s="14" t="n">
        <v>0</v>
      </c>
      <c r="M958" s="14">
        <f>IF(B958="Frete de venda",0,(1-ISNUMBER(SEARCH("556",P958)))*(I958*VLOOKUP($B958,Premissas!$A$4:$E$7,2,0)+J958*VLOOKUP($B958,Premissas!$A$4:$E$7,3,0))+K958*VLOOKUP($B958,Premissas!$A$4:$E$7,4,0)+L958*VLOOKUP($B958,Premissas!$A$4:$E$7,5,0))</f>
        <v/>
      </c>
      <c r="N958" s="14">
        <f>H958-M958</f>
        <v/>
      </c>
      <c r="O958" t="inlineStr">
        <is>
          <t>Não</t>
        </is>
      </c>
      <c r="P958" t="inlineStr">
        <is>
          <t>1.350</t>
        </is>
      </c>
    </row>
    <row r="959">
      <c r="A959" t="inlineStr">
        <is>
          <t>Antes de 2026</t>
        </is>
      </c>
      <c r="B959" t="inlineStr">
        <is>
          <t>Frete de venda</t>
        </is>
      </c>
      <c r="C959" t="inlineStr">
        <is>
          <t>Frete de venda (para clientes)</t>
        </is>
      </c>
      <c r="D959" t="inlineStr">
        <is>
          <t>CT-e</t>
        </is>
      </c>
      <c r="E959" t="inlineStr">
        <is>
          <t>000004742</t>
        </is>
      </c>
      <c r="F959" t="inlineStr">
        <is>
          <t>R&amp;R TRANSPORTE E LOGISTICA</t>
        </is>
      </c>
      <c r="G959" s="27" t="n">
        <v>45863</v>
      </c>
      <c r="H959" s="14" t="n">
        <v>40.16</v>
      </c>
      <c r="I959" s="14" t="n">
        <v>0</v>
      </c>
      <c r="J959" s="14" t="n">
        <v>0</v>
      </c>
      <c r="K959" s="14" t="n">
        <v>0</v>
      </c>
      <c r="L959" s="14" t="n">
        <v>0</v>
      </c>
      <c r="M959" s="14">
        <f>IF(B959="Frete de venda",0,(1-ISNUMBER(SEARCH("556",P959)))*(I959*VLOOKUP($B959,Premissas!$A$4:$E$7,2,0)+J959*VLOOKUP($B959,Premissas!$A$4:$E$7,3,0))+K959*VLOOKUP($B959,Premissas!$A$4:$E$7,4,0)+L959*VLOOKUP($B959,Premissas!$A$4:$E$7,5,0))</f>
        <v/>
      </c>
      <c r="N959" s="14">
        <f>H959-M959</f>
        <v/>
      </c>
      <c r="O959" t="inlineStr">
        <is>
          <t>Não</t>
        </is>
      </c>
      <c r="P959" t="inlineStr">
        <is>
          <t>1.350</t>
        </is>
      </c>
    </row>
    <row r="960">
      <c r="A960" t="inlineStr">
        <is>
          <t>Antes de 2026</t>
        </is>
      </c>
      <c r="B960" t="inlineStr">
        <is>
          <t>Frete de venda</t>
        </is>
      </c>
      <c r="C960" t="inlineStr">
        <is>
          <t>Frete de venda (para clientes)</t>
        </is>
      </c>
      <c r="D960" t="inlineStr">
        <is>
          <t>CT-e</t>
        </is>
      </c>
      <c r="E960" t="inlineStr">
        <is>
          <t>000005848</t>
        </is>
      </c>
      <c r="F960" t="inlineStr">
        <is>
          <t>R&amp;R TRANSPORTE E LOGISTICA</t>
        </is>
      </c>
      <c r="G960" s="27" t="n">
        <v>45988</v>
      </c>
      <c r="H960" s="14" t="n">
        <v>15.28</v>
      </c>
      <c r="I960" s="14" t="n">
        <v>0</v>
      </c>
      <c r="J960" s="14" t="n">
        <v>0</v>
      </c>
      <c r="K960" s="14" t="n">
        <v>0</v>
      </c>
      <c r="L960" s="14" t="n">
        <v>0</v>
      </c>
      <c r="M960" s="14">
        <f>IF(B960="Frete de venda",0,(1-ISNUMBER(SEARCH("556",P960)))*(I960*VLOOKUP($B960,Premissas!$A$4:$E$7,2,0)+J960*VLOOKUP($B960,Premissas!$A$4:$E$7,3,0))+K960*VLOOKUP($B960,Premissas!$A$4:$E$7,4,0)+L960*VLOOKUP($B960,Premissas!$A$4:$E$7,5,0))</f>
        <v/>
      </c>
      <c r="N960" s="14">
        <f>H960-M960</f>
        <v/>
      </c>
      <c r="O960" t="inlineStr">
        <is>
          <t>Não</t>
        </is>
      </c>
      <c r="P960" t="inlineStr">
        <is>
          <t>1.350</t>
        </is>
      </c>
    </row>
    <row r="961">
      <c r="A961" t="inlineStr">
        <is>
          <t>Antes de 2026</t>
        </is>
      </c>
      <c r="B961" t="inlineStr">
        <is>
          <t>Frete de venda</t>
        </is>
      </c>
      <c r="C961" t="inlineStr">
        <is>
          <t>Frete de venda (para clientes)</t>
        </is>
      </c>
      <c r="D961" t="inlineStr">
        <is>
          <t>CT-e</t>
        </is>
      </c>
      <c r="E961" t="inlineStr">
        <is>
          <t>000006087</t>
        </is>
      </c>
      <c r="F961" t="inlineStr">
        <is>
          <t>R&amp;R TRANSPORTE E LOGISTICA</t>
        </is>
      </c>
      <c r="G961" s="27" t="n">
        <v>46021</v>
      </c>
      <c r="H961" s="14" t="n">
        <v>9.869999999999999</v>
      </c>
      <c r="I961" s="14" t="n">
        <v>0</v>
      </c>
      <c r="J961" s="14" t="n">
        <v>0</v>
      </c>
      <c r="K961" s="14" t="n">
        <v>0</v>
      </c>
      <c r="L961" s="14" t="n">
        <v>0</v>
      </c>
      <c r="M961" s="14">
        <f>IF(B961="Frete de venda",0,(1-ISNUMBER(SEARCH("556",P961)))*(I961*VLOOKUP($B961,Premissas!$A$4:$E$7,2,0)+J961*VLOOKUP($B961,Premissas!$A$4:$E$7,3,0))+K961*VLOOKUP($B961,Premissas!$A$4:$E$7,4,0)+L961*VLOOKUP($B961,Premissas!$A$4:$E$7,5,0))</f>
        <v/>
      </c>
      <c r="N961" s="14">
        <f>H961-M961</f>
        <v/>
      </c>
      <c r="O961" t="inlineStr">
        <is>
          <t>Não</t>
        </is>
      </c>
      <c r="P961" t="inlineStr">
        <is>
          <t>1.350</t>
        </is>
      </c>
    </row>
    <row r="962">
      <c r="A962" t="inlineStr">
        <is>
          <t>Antes de 2026</t>
        </is>
      </c>
      <c r="B962" t="inlineStr">
        <is>
          <t>Frete de venda</t>
        </is>
      </c>
      <c r="C962" t="inlineStr">
        <is>
          <t>Frete de venda (para clientes)</t>
        </is>
      </c>
      <c r="D962" t="inlineStr">
        <is>
          <t>CT-e</t>
        </is>
      </c>
      <c r="E962" t="inlineStr">
        <is>
          <t>000004267</t>
        </is>
      </c>
      <c r="F962" t="inlineStr">
        <is>
          <t>R&amp;R TRANSPORTE E LOGISTICA</t>
        </is>
      </c>
      <c r="G962" s="27" t="n">
        <v>45800</v>
      </c>
      <c r="H962" s="14" t="n">
        <v>34.88</v>
      </c>
      <c r="I962" s="14" t="n">
        <v>0</v>
      </c>
      <c r="J962" s="14" t="n">
        <v>0</v>
      </c>
      <c r="K962" s="14" t="n">
        <v>0</v>
      </c>
      <c r="L962" s="14" t="n">
        <v>0</v>
      </c>
      <c r="M962" s="14">
        <f>IF(B962="Frete de venda",0,(1-ISNUMBER(SEARCH("556",P962)))*(I962*VLOOKUP($B962,Premissas!$A$4:$E$7,2,0)+J962*VLOOKUP($B962,Premissas!$A$4:$E$7,3,0))+K962*VLOOKUP($B962,Premissas!$A$4:$E$7,4,0)+L962*VLOOKUP($B962,Premissas!$A$4:$E$7,5,0))</f>
        <v/>
      </c>
      <c r="N962" s="14">
        <f>H962-M962</f>
        <v/>
      </c>
      <c r="O962" t="inlineStr">
        <is>
          <t>Não</t>
        </is>
      </c>
      <c r="P962" t="inlineStr">
        <is>
          <t>1.350</t>
        </is>
      </c>
    </row>
    <row r="963">
      <c r="A963" t="inlineStr">
        <is>
          <t>Antes de 2026</t>
        </is>
      </c>
      <c r="B963" t="inlineStr">
        <is>
          <t>Frete de venda</t>
        </is>
      </c>
      <c r="C963" t="inlineStr">
        <is>
          <t>Frete de venda (para clientes)</t>
        </is>
      </c>
      <c r="D963" t="inlineStr">
        <is>
          <t>CT-e</t>
        </is>
      </c>
      <c r="E963" t="inlineStr">
        <is>
          <t>000005620</t>
        </is>
      </c>
      <c r="F963" t="inlineStr">
        <is>
          <t>R&amp;R TRANSPORTE E LOGISTICA</t>
        </is>
      </c>
      <c r="G963" s="27" t="n">
        <v>45960</v>
      </c>
      <c r="H963" s="14" t="n">
        <v>42.69</v>
      </c>
      <c r="I963" s="14" t="n">
        <v>0</v>
      </c>
      <c r="J963" s="14" t="n">
        <v>0</v>
      </c>
      <c r="K963" s="14" t="n">
        <v>0</v>
      </c>
      <c r="L963" s="14" t="n">
        <v>0</v>
      </c>
      <c r="M963" s="14">
        <f>IF(B963="Frete de venda",0,(1-ISNUMBER(SEARCH("556",P963)))*(I963*VLOOKUP($B963,Premissas!$A$4:$E$7,2,0)+J963*VLOOKUP($B963,Premissas!$A$4:$E$7,3,0))+K963*VLOOKUP($B963,Premissas!$A$4:$E$7,4,0)+L963*VLOOKUP($B963,Premissas!$A$4:$E$7,5,0))</f>
        <v/>
      </c>
      <c r="N963" s="14">
        <f>H963-M963</f>
        <v/>
      </c>
      <c r="O963" t="inlineStr">
        <is>
          <t>Não</t>
        </is>
      </c>
      <c r="P963" t="inlineStr">
        <is>
          <t>1.350</t>
        </is>
      </c>
    </row>
    <row r="964">
      <c r="A964" t="inlineStr">
        <is>
          <t>Antes de 2026</t>
        </is>
      </c>
      <c r="B964" t="inlineStr">
        <is>
          <t>Frete de venda</t>
        </is>
      </c>
      <c r="C964" t="inlineStr">
        <is>
          <t>Frete de venda (para clientes)</t>
        </is>
      </c>
      <c r="D964" t="inlineStr">
        <is>
          <t>CT-e</t>
        </is>
      </c>
      <c r="E964" t="inlineStr">
        <is>
          <t>000004626</t>
        </is>
      </c>
      <c r="F964" t="inlineStr">
        <is>
          <t>R&amp;R TRANSPORTE E LOGISTICA</t>
        </is>
      </c>
      <c r="G964" s="27" t="n">
        <v>45850</v>
      </c>
      <c r="H964" s="14" t="n">
        <v>57.16</v>
      </c>
      <c r="I964" s="14" t="n">
        <v>0</v>
      </c>
      <c r="J964" s="14" t="n">
        <v>0</v>
      </c>
      <c r="K964" s="14" t="n">
        <v>0</v>
      </c>
      <c r="L964" s="14" t="n">
        <v>0</v>
      </c>
      <c r="M964" s="14">
        <f>IF(B964="Frete de venda",0,(1-ISNUMBER(SEARCH("556",P964)))*(I964*VLOOKUP($B964,Premissas!$A$4:$E$7,2,0)+J964*VLOOKUP($B964,Premissas!$A$4:$E$7,3,0))+K964*VLOOKUP($B964,Premissas!$A$4:$E$7,4,0)+L964*VLOOKUP($B964,Premissas!$A$4:$E$7,5,0))</f>
        <v/>
      </c>
      <c r="N964" s="14">
        <f>H964-M964</f>
        <v/>
      </c>
      <c r="O964" t="inlineStr">
        <is>
          <t>Não</t>
        </is>
      </c>
      <c r="P964" t="inlineStr">
        <is>
          <t>1.350</t>
        </is>
      </c>
    </row>
    <row r="965">
      <c r="A965" t="inlineStr">
        <is>
          <t>Antes de 2026</t>
        </is>
      </c>
      <c r="B965" t="inlineStr">
        <is>
          <t>Frete de venda</t>
        </is>
      </c>
      <c r="C965" t="inlineStr">
        <is>
          <t>Frete de venda (para clientes)</t>
        </is>
      </c>
      <c r="D965" t="inlineStr">
        <is>
          <t>CT-e</t>
        </is>
      </c>
      <c r="E965" t="inlineStr">
        <is>
          <t>000005220</t>
        </is>
      </c>
      <c r="F965" t="inlineStr">
        <is>
          <t>R&amp;R TRANSPORTE E LOGISTICA</t>
        </is>
      </c>
      <c r="G965" s="27" t="n">
        <v>45917</v>
      </c>
      <c r="H965" s="14" t="n">
        <v>786</v>
      </c>
      <c r="I965" s="14" t="n">
        <v>0</v>
      </c>
      <c r="J965" s="14" t="n">
        <v>0</v>
      </c>
      <c r="K965" s="14" t="n">
        <v>0</v>
      </c>
      <c r="L965" s="14" t="n">
        <v>0</v>
      </c>
      <c r="M965" s="14">
        <f>IF(B965="Frete de venda",0,(1-ISNUMBER(SEARCH("556",P965)))*(I965*VLOOKUP($B965,Premissas!$A$4:$E$7,2,0)+J965*VLOOKUP($B965,Premissas!$A$4:$E$7,3,0))+K965*VLOOKUP($B965,Premissas!$A$4:$E$7,4,0)+L965*VLOOKUP($B965,Premissas!$A$4:$E$7,5,0))</f>
        <v/>
      </c>
      <c r="N965" s="14">
        <f>H965-M965</f>
        <v/>
      </c>
      <c r="O965" t="inlineStr">
        <is>
          <t>Não</t>
        </is>
      </c>
      <c r="P965" t="inlineStr">
        <is>
          <t>1.350</t>
        </is>
      </c>
    </row>
    <row r="966">
      <c r="A966" t="inlineStr">
        <is>
          <t>Antes de 2026</t>
        </is>
      </c>
      <c r="B966" t="inlineStr">
        <is>
          <t>Frete de venda</t>
        </is>
      </c>
      <c r="C966" t="inlineStr">
        <is>
          <t>Frete de venda (para clientes)</t>
        </is>
      </c>
      <c r="D966" t="inlineStr">
        <is>
          <t>CT-e</t>
        </is>
      </c>
      <c r="E966" t="inlineStr">
        <is>
          <t>000005356</t>
        </is>
      </c>
      <c r="F966" t="inlineStr">
        <is>
          <t>R&amp;R TRANSPORTE E LOGISTICA</t>
        </is>
      </c>
      <c r="G966" s="27" t="n">
        <v>45929</v>
      </c>
      <c r="H966" s="14" t="n">
        <v>600</v>
      </c>
      <c r="I966" s="14" t="n">
        <v>0</v>
      </c>
      <c r="J966" s="14" t="n">
        <v>0</v>
      </c>
      <c r="K966" s="14" t="n">
        <v>0</v>
      </c>
      <c r="L966" s="14" t="n">
        <v>0</v>
      </c>
      <c r="M966" s="14">
        <f>IF(B966="Frete de venda",0,(1-ISNUMBER(SEARCH("556",P966)))*(I966*VLOOKUP($B966,Premissas!$A$4:$E$7,2,0)+J966*VLOOKUP($B966,Premissas!$A$4:$E$7,3,0))+K966*VLOOKUP($B966,Premissas!$A$4:$E$7,4,0)+L966*VLOOKUP($B966,Premissas!$A$4:$E$7,5,0))</f>
        <v/>
      </c>
      <c r="N966" s="14">
        <f>H966-M966</f>
        <v/>
      </c>
      <c r="O966" t="inlineStr">
        <is>
          <t>Não</t>
        </is>
      </c>
      <c r="P966" t="inlineStr">
        <is>
          <t>1.350</t>
        </is>
      </c>
    </row>
    <row r="967">
      <c r="A967" t="inlineStr">
        <is>
          <t>Antes de 2026</t>
        </is>
      </c>
      <c r="B967" t="inlineStr">
        <is>
          <t>Frete de venda</t>
        </is>
      </c>
      <c r="C967" t="inlineStr">
        <is>
          <t>Frete de venda (para clientes)</t>
        </is>
      </c>
      <c r="D967" t="inlineStr">
        <is>
          <t>CT-e</t>
        </is>
      </c>
      <c r="E967" t="inlineStr">
        <is>
          <t>000005737</t>
        </is>
      </c>
      <c r="F967" t="inlineStr">
        <is>
          <t>R&amp;R TRANSPORTE E LOGISTICA</t>
        </is>
      </c>
      <c r="G967" s="27" t="n">
        <v>45978</v>
      </c>
      <c r="H967" s="14" t="n">
        <v>786</v>
      </c>
      <c r="I967" s="14" t="n">
        <v>0</v>
      </c>
      <c r="J967" s="14" t="n">
        <v>0</v>
      </c>
      <c r="K967" s="14" t="n">
        <v>0</v>
      </c>
      <c r="L967" s="14" t="n">
        <v>0</v>
      </c>
      <c r="M967" s="14">
        <f>IF(B967="Frete de venda",0,(1-ISNUMBER(SEARCH("556",P967)))*(I967*VLOOKUP($B967,Premissas!$A$4:$E$7,2,0)+J967*VLOOKUP($B967,Premissas!$A$4:$E$7,3,0))+K967*VLOOKUP($B967,Premissas!$A$4:$E$7,4,0)+L967*VLOOKUP($B967,Premissas!$A$4:$E$7,5,0))</f>
        <v/>
      </c>
      <c r="N967" s="14">
        <f>H967-M967</f>
        <v/>
      </c>
      <c r="O967" t="inlineStr">
        <is>
          <t>Não</t>
        </is>
      </c>
      <c r="P967" t="inlineStr">
        <is>
          <t>1.350</t>
        </is>
      </c>
    </row>
    <row r="968">
      <c r="A968" t="inlineStr">
        <is>
          <t>Antes de 2026</t>
        </is>
      </c>
      <c r="B968" t="inlineStr">
        <is>
          <t>Frete de venda</t>
        </is>
      </c>
      <c r="C968" t="inlineStr">
        <is>
          <t>Frete de venda (para clientes)</t>
        </is>
      </c>
      <c r="D968" t="inlineStr">
        <is>
          <t>CT-e</t>
        </is>
      </c>
      <c r="E968" t="inlineStr">
        <is>
          <t>000004337</t>
        </is>
      </c>
      <c r="F968" t="inlineStr">
        <is>
          <t>R&amp;R TRANSPORTE E LOGISTICA</t>
        </is>
      </c>
      <c r="G968" s="27" t="n">
        <v>45807</v>
      </c>
      <c r="H968" s="14" t="n">
        <v>27.82</v>
      </c>
      <c r="I968" s="14" t="n">
        <v>0</v>
      </c>
      <c r="J968" s="14" t="n">
        <v>0</v>
      </c>
      <c r="K968" s="14" t="n">
        <v>0</v>
      </c>
      <c r="L968" s="14" t="n">
        <v>0</v>
      </c>
      <c r="M968" s="14">
        <f>IF(B968="Frete de venda",0,(1-ISNUMBER(SEARCH("556",P968)))*(I968*VLOOKUP($B968,Premissas!$A$4:$E$7,2,0)+J968*VLOOKUP($B968,Premissas!$A$4:$E$7,3,0))+K968*VLOOKUP($B968,Premissas!$A$4:$E$7,4,0)+L968*VLOOKUP($B968,Premissas!$A$4:$E$7,5,0))</f>
        <v/>
      </c>
      <c r="N968" s="14">
        <f>H968-M968</f>
        <v/>
      </c>
      <c r="O968" t="inlineStr">
        <is>
          <t>Não</t>
        </is>
      </c>
      <c r="P968" t="inlineStr">
        <is>
          <t>1.350</t>
        </is>
      </c>
    </row>
    <row r="969">
      <c r="A969" t="inlineStr">
        <is>
          <t>Antes de 2026</t>
        </is>
      </c>
      <c r="B969" t="inlineStr">
        <is>
          <t>Frete de venda</t>
        </is>
      </c>
      <c r="C969" t="inlineStr">
        <is>
          <t>Frete de venda (para clientes)</t>
        </is>
      </c>
      <c r="D969" t="inlineStr">
        <is>
          <t>CT-e</t>
        </is>
      </c>
      <c r="E969" t="inlineStr">
        <is>
          <t>000005590</t>
        </is>
      </c>
      <c r="F969" t="inlineStr">
        <is>
          <t>R&amp;R TRANSPORTE E LOGISTICA</t>
        </is>
      </c>
      <c r="G969" s="27" t="n">
        <v>45957</v>
      </c>
      <c r="H969" s="14" t="n">
        <v>117</v>
      </c>
      <c r="I969" s="14" t="n">
        <v>0</v>
      </c>
      <c r="J969" s="14" t="n">
        <v>0</v>
      </c>
      <c r="K969" s="14" t="n">
        <v>0</v>
      </c>
      <c r="L969" s="14" t="n">
        <v>0</v>
      </c>
      <c r="M969" s="14">
        <f>IF(B969="Frete de venda",0,(1-ISNUMBER(SEARCH("556",P969)))*(I969*VLOOKUP($B969,Premissas!$A$4:$E$7,2,0)+J969*VLOOKUP($B969,Premissas!$A$4:$E$7,3,0))+K969*VLOOKUP($B969,Premissas!$A$4:$E$7,4,0)+L969*VLOOKUP($B969,Premissas!$A$4:$E$7,5,0))</f>
        <v/>
      </c>
      <c r="N969" s="14">
        <f>H969-M969</f>
        <v/>
      </c>
      <c r="O969" t="inlineStr">
        <is>
          <t>Não</t>
        </is>
      </c>
      <c r="P969" t="inlineStr">
        <is>
          <t>1.350</t>
        </is>
      </c>
    </row>
    <row r="970">
      <c r="A970" t="inlineStr">
        <is>
          <t>Antes de 2026</t>
        </is>
      </c>
      <c r="B970" t="inlineStr">
        <is>
          <t>Frete de venda</t>
        </is>
      </c>
      <c r="C970" t="inlineStr">
        <is>
          <t>Frete de venda (para clientes)</t>
        </is>
      </c>
      <c r="D970" t="inlineStr">
        <is>
          <t>CT-e</t>
        </is>
      </c>
      <c r="E970" t="inlineStr">
        <is>
          <t>000004810</t>
        </is>
      </c>
      <c r="F970" t="inlineStr">
        <is>
          <t>R&amp;R TRANSPORTE E LOGISTICA</t>
        </is>
      </c>
      <c r="G970" s="27" t="n">
        <v>45870</v>
      </c>
      <c r="H970" s="14" t="n">
        <v>44.28</v>
      </c>
      <c r="I970" s="14" t="n">
        <v>0</v>
      </c>
      <c r="J970" s="14" t="n">
        <v>0</v>
      </c>
      <c r="K970" s="14" t="n">
        <v>0</v>
      </c>
      <c r="L970" s="14" t="n">
        <v>0</v>
      </c>
      <c r="M970" s="14">
        <f>IF(B970="Frete de venda",0,(1-ISNUMBER(SEARCH("556",P970)))*(I970*VLOOKUP($B970,Premissas!$A$4:$E$7,2,0)+J970*VLOOKUP($B970,Premissas!$A$4:$E$7,3,0))+K970*VLOOKUP($B970,Premissas!$A$4:$E$7,4,0)+L970*VLOOKUP($B970,Premissas!$A$4:$E$7,5,0))</f>
        <v/>
      </c>
      <c r="N970" s="14">
        <f>H970-M970</f>
        <v/>
      </c>
      <c r="O970" t="inlineStr">
        <is>
          <t>Não</t>
        </is>
      </c>
      <c r="P970" t="inlineStr">
        <is>
          <t>1.350</t>
        </is>
      </c>
    </row>
    <row r="971">
      <c r="A971" t="inlineStr">
        <is>
          <t>Antes de 2026</t>
        </is>
      </c>
      <c r="B971" t="inlineStr">
        <is>
          <t>Frete de venda</t>
        </is>
      </c>
      <c r="C971" t="inlineStr">
        <is>
          <t>Frete de venda (para clientes)</t>
        </is>
      </c>
      <c r="D971" t="inlineStr">
        <is>
          <t>CT-e</t>
        </is>
      </c>
      <c r="E971" t="inlineStr">
        <is>
          <t>000005006</t>
        </is>
      </c>
      <c r="F971" t="inlineStr">
        <is>
          <t>R&amp;R TRANSPORTE E LOGISTICA</t>
        </is>
      </c>
      <c r="G971" s="27" t="n">
        <v>45895</v>
      </c>
      <c r="H971" s="14" t="n">
        <v>9.27</v>
      </c>
      <c r="I971" s="14" t="n">
        <v>0</v>
      </c>
      <c r="J971" s="14" t="n">
        <v>0</v>
      </c>
      <c r="K971" s="14" t="n">
        <v>0</v>
      </c>
      <c r="L971" s="14" t="n">
        <v>0</v>
      </c>
      <c r="M971" s="14">
        <f>IF(B971="Frete de venda",0,(1-ISNUMBER(SEARCH("556",P971)))*(I971*VLOOKUP($B971,Premissas!$A$4:$E$7,2,0)+J971*VLOOKUP($B971,Premissas!$A$4:$E$7,3,0))+K971*VLOOKUP($B971,Premissas!$A$4:$E$7,4,0)+L971*VLOOKUP($B971,Premissas!$A$4:$E$7,5,0))</f>
        <v/>
      </c>
      <c r="N971" s="14">
        <f>H971-M971</f>
        <v/>
      </c>
      <c r="O971" t="inlineStr">
        <is>
          <t>Não</t>
        </is>
      </c>
      <c r="P971" t="inlineStr">
        <is>
          <t>1.350</t>
        </is>
      </c>
    </row>
    <row r="972">
      <c r="A972" t="inlineStr">
        <is>
          <t>Antes de 2026</t>
        </is>
      </c>
      <c r="B972" t="inlineStr">
        <is>
          <t>Frete de venda</t>
        </is>
      </c>
      <c r="C972" t="inlineStr">
        <is>
          <t>Frete de venda (para clientes)</t>
        </is>
      </c>
      <c r="D972" t="inlineStr">
        <is>
          <t>CT-e</t>
        </is>
      </c>
      <c r="E972" t="inlineStr">
        <is>
          <t>000005318</t>
        </is>
      </c>
      <c r="F972" t="inlineStr">
        <is>
          <t>R&amp;R TRANSPORTE E LOGISTICA</t>
        </is>
      </c>
      <c r="G972" s="27" t="n">
        <v>45929</v>
      </c>
      <c r="H972" s="14" t="n">
        <v>33.77</v>
      </c>
      <c r="I972" s="14" t="n">
        <v>0</v>
      </c>
      <c r="J972" s="14" t="n">
        <v>0</v>
      </c>
      <c r="K972" s="14" t="n">
        <v>0</v>
      </c>
      <c r="L972" s="14" t="n">
        <v>0</v>
      </c>
      <c r="M972" s="14">
        <f>IF(B972="Frete de venda",0,(1-ISNUMBER(SEARCH("556",P972)))*(I972*VLOOKUP($B972,Premissas!$A$4:$E$7,2,0)+J972*VLOOKUP($B972,Premissas!$A$4:$E$7,3,0))+K972*VLOOKUP($B972,Premissas!$A$4:$E$7,4,0)+L972*VLOOKUP($B972,Premissas!$A$4:$E$7,5,0))</f>
        <v/>
      </c>
      <c r="N972" s="14">
        <f>H972-M972</f>
        <v/>
      </c>
      <c r="O972" t="inlineStr">
        <is>
          <t>Não</t>
        </is>
      </c>
      <c r="P972" t="inlineStr">
        <is>
          <t>1.350</t>
        </is>
      </c>
    </row>
    <row r="973">
      <c r="A973" t="inlineStr">
        <is>
          <t>Antes de 2026</t>
        </is>
      </c>
      <c r="B973" t="inlineStr">
        <is>
          <t>Frete de venda</t>
        </is>
      </c>
      <c r="C973" t="inlineStr">
        <is>
          <t>Frete de venda (para clientes)</t>
        </is>
      </c>
      <c r="D973" t="inlineStr">
        <is>
          <t>CT-e</t>
        </is>
      </c>
      <c r="E973" t="inlineStr">
        <is>
          <t>000004118</t>
        </is>
      </c>
      <c r="F973" t="inlineStr">
        <is>
          <t>R&amp;R TRANSPORTE E LOGISTICA</t>
        </is>
      </c>
      <c r="G973" s="27" t="n">
        <v>45778</v>
      </c>
      <c r="H973" s="14" t="n">
        <v>215</v>
      </c>
      <c r="I973" s="14" t="n">
        <v>0</v>
      </c>
      <c r="J973" s="14" t="n">
        <v>0</v>
      </c>
      <c r="K973" s="14" t="n">
        <v>0</v>
      </c>
      <c r="L973" s="14" t="n">
        <v>0</v>
      </c>
      <c r="M973" s="14">
        <f>IF(B973="Frete de venda",0,(1-ISNUMBER(SEARCH("556",P973)))*(I973*VLOOKUP($B973,Premissas!$A$4:$E$7,2,0)+J973*VLOOKUP($B973,Premissas!$A$4:$E$7,3,0))+K973*VLOOKUP($B973,Premissas!$A$4:$E$7,4,0)+L973*VLOOKUP($B973,Premissas!$A$4:$E$7,5,0))</f>
        <v/>
      </c>
      <c r="N973" s="14">
        <f>H973-M973</f>
        <v/>
      </c>
      <c r="O973" t="inlineStr">
        <is>
          <t>Não</t>
        </is>
      </c>
      <c r="P973" t="inlineStr">
        <is>
          <t>1.350</t>
        </is>
      </c>
    </row>
    <row r="974">
      <c r="A974" t="inlineStr">
        <is>
          <t>Antes de 2026</t>
        </is>
      </c>
      <c r="B974" t="inlineStr">
        <is>
          <t>Frete de venda</t>
        </is>
      </c>
      <c r="C974" t="inlineStr">
        <is>
          <t>Frete de venda (para clientes)</t>
        </is>
      </c>
      <c r="D974" t="inlineStr">
        <is>
          <t>CT-e</t>
        </is>
      </c>
      <c r="E974" t="inlineStr">
        <is>
          <t>000005355</t>
        </is>
      </c>
      <c r="F974" t="inlineStr">
        <is>
          <t>R&amp;R TRANSPORTE E LOGISTICA</t>
        </is>
      </c>
      <c r="G974" s="27" t="n">
        <v>45929</v>
      </c>
      <c r="H974" s="14" t="n">
        <v>600</v>
      </c>
      <c r="I974" s="14" t="n">
        <v>0</v>
      </c>
      <c r="J974" s="14" t="n">
        <v>0</v>
      </c>
      <c r="K974" s="14" t="n">
        <v>0</v>
      </c>
      <c r="L974" s="14" t="n">
        <v>0</v>
      </c>
      <c r="M974" s="14">
        <f>IF(B974="Frete de venda",0,(1-ISNUMBER(SEARCH("556",P974)))*(I974*VLOOKUP($B974,Premissas!$A$4:$E$7,2,0)+J974*VLOOKUP($B974,Premissas!$A$4:$E$7,3,0))+K974*VLOOKUP($B974,Premissas!$A$4:$E$7,4,0)+L974*VLOOKUP($B974,Premissas!$A$4:$E$7,5,0))</f>
        <v/>
      </c>
      <c r="N974" s="14">
        <f>H974-M974</f>
        <v/>
      </c>
      <c r="O974" t="inlineStr">
        <is>
          <t>Não</t>
        </is>
      </c>
      <c r="P974" t="inlineStr">
        <is>
          <t>1.350</t>
        </is>
      </c>
    </row>
    <row r="975">
      <c r="A975" t="inlineStr">
        <is>
          <t>Antes de 2026</t>
        </is>
      </c>
      <c r="B975" t="inlineStr">
        <is>
          <t>Frete de venda</t>
        </is>
      </c>
      <c r="C975" t="inlineStr">
        <is>
          <t>Frete de venda (para clientes)</t>
        </is>
      </c>
      <c r="D975" t="inlineStr">
        <is>
          <t>CT-e</t>
        </is>
      </c>
      <c r="E975" t="inlineStr">
        <is>
          <t>000005736</t>
        </is>
      </c>
      <c r="F975" t="inlineStr">
        <is>
          <t>R&amp;R TRANSPORTE E LOGISTICA</t>
        </is>
      </c>
      <c r="G975" s="27" t="n">
        <v>45978</v>
      </c>
      <c r="H975" s="14" t="n">
        <v>786</v>
      </c>
      <c r="I975" s="14" t="n">
        <v>0</v>
      </c>
      <c r="J975" s="14" t="n">
        <v>0</v>
      </c>
      <c r="K975" s="14" t="n">
        <v>0</v>
      </c>
      <c r="L975" s="14" t="n">
        <v>0</v>
      </c>
      <c r="M975" s="14">
        <f>IF(B975="Frete de venda",0,(1-ISNUMBER(SEARCH("556",P975)))*(I975*VLOOKUP($B975,Premissas!$A$4:$E$7,2,0)+J975*VLOOKUP($B975,Premissas!$A$4:$E$7,3,0))+K975*VLOOKUP($B975,Premissas!$A$4:$E$7,4,0)+L975*VLOOKUP($B975,Premissas!$A$4:$E$7,5,0))</f>
        <v/>
      </c>
      <c r="N975" s="14">
        <f>H975-M975</f>
        <v/>
      </c>
      <c r="O975" t="inlineStr">
        <is>
          <t>Não</t>
        </is>
      </c>
      <c r="P975" t="inlineStr">
        <is>
          <t>1.350</t>
        </is>
      </c>
    </row>
    <row r="976">
      <c r="A976" t="inlineStr">
        <is>
          <t>Antes de 2026</t>
        </is>
      </c>
      <c r="B976" t="inlineStr">
        <is>
          <t>Frete de venda</t>
        </is>
      </c>
      <c r="C976" t="inlineStr">
        <is>
          <t>Frete de venda (para clientes)</t>
        </is>
      </c>
      <c r="D976" t="inlineStr">
        <is>
          <t>CT-e</t>
        </is>
      </c>
      <c r="E976" t="inlineStr">
        <is>
          <t>000005813</t>
        </is>
      </c>
      <c r="F976" t="inlineStr">
        <is>
          <t>R&amp;R TRANSPORTE E LOGISTICA</t>
        </is>
      </c>
      <c r="G976" s="27" t="n">
        <v>45985</v>
      </c>
      <c r="H976" s="14" t="n">
        <v>950</v>
      </c>
      <c r="I976" s="14" t="n">
        <v>0</v>
      </c>
      <c r="J976" s="14" t="n">
        <v>0</v>
      </c>
      <c r="K976" s="14" t="n">
        <v>0</v>
      </c>
      <c r="L976" s="14" t="n">
        <v>0</v>
      </c>
      <c r="M976" s="14">
        <f>IF(B976="Frete de venda",0,(1-ISNUMBER(SEARCH("556",P976)))*(I976*VLOOKUP($B976,Premissas!$A$4:$E$7,2,0)+J976*VLOOKUP($B976,Premissas!$A$4:$E$7,3,0))+K976*VLOOKUP($B976,Premissas!$A$4:$E$7,4,0)+L976*VLOOKUP($B976,Premissas!$A$4:$E$7,5,0))</f>
        <v/>
      </c>
      <c r="N976" s="14">
        <f>H976-M976</f>
        <v/>
      </c>
      <c r="O976" t="inlineStr">
        <is>
          <t>Não</t>
        </is>
      </c>
      <c r="P976" t="inlineStr">
        <is>
          <t>1.350</t>
        </is>
      </c>
    </row>
    <row r="977">
      <c r="A977" t="inlineStr">
        <is>
          <t>Antes de 2026</t>
        </is>
      </c>
      <c r="B977" t="inlineStr">
        <is>
          <t>Frete de venda</t>
        </is>
      </c>
      <c r="C977" t="inlineStr">
        <is>
          <t>Frete de venda (para clientes)</t>
        </is>
      </c>
      <c r="D977" t="inlineStr">
        <is>
          <t>CT-e</t>
        </is>
      </c>
      <c r="E977" t="inlineStr">
        <is>
          <t>000004863</t>
        </is>
      </c>
      <c r="F977" t="inlineStr">
        <is>
          <t>R&amp;R TRANSPORTE E LOGISTICA</t>
        </is>
      </c>
      <c r="G977" s="27" t="n">
        <v>45877</v>
      </c>
      <c r="H977" s="14" t="n">
        <v>39.03</v>
      </c>
      <c r="I977" s="14" t="n">
        <v>0</v>
      </c>
      <c r="J977" s="14" t="n">
        <v>0</v>
      </c>
      <c r="K977" s="14" t="n">
        <v>0</v>
      </c>
      <c r="L977" s="14" t="n">
        <v>0</v>
      </c>
      <c r="M977" s="14">
        <f>IF(B977="Frete de venda",0,(1-ISNUMBER(SEARCH("556",P977)))*(I977*VLOOKUP($B977,Premissas!$A$4:$E$7,2,0)+J977*VLOOKUP($B977,Premissas!$A$4:$E$7,3,0))+K977*VLOOKUP($B977,Premissas!$A$4:$E$7,4,0)+L977*VLOOKUP($B977,Premissas!$A$4:$E$7,5,0))</f>
        <v/>
      </c>
      <c r="N977" s="14">
        <f>H977-M977</f>
        <v/>
      </c>
      <c r="O977" t="inlineStr">
        <is>
          <t>Não</t>
        </is>
      </c>
      <c r="P977" t="inlineStr">
        <is>
          <t>1.350</t>
        </is>
      </c>
    </row>
    <row r="978">
      <c r="A978" t="inlineStr">
        <is>
          <t>Antes de 2026</t>
        </is>
      </c>
      <c r="B978" t="inlineStr">
        <is>
          <t>Frete de venda</t>
        </is>
      </c>
      <c r="C978" t="inlineStr">
        <is>
          <t>Frete de venda (para clientes)</t>
        </is>
      </c>
      <c r="D978" t="inlineStr">
        <is>
          <t>CT-e</t>
        </is>
      </c>
      <c r="E978" t="inlineStr">
        <is>
          <t>000005136</t>
        </is>
      </c>
      <c r="F978" t="inlineStr">
        <is>
          <t>R&amp;R TRANSPORTE E LOGISTICA</t>
        </is>
      </c>
      <c r="G978" s="27" t="n">
        <v>45908</v>
      </c>
      <c r="H978" s="14" t="n">
        <v>19.99</v>
      </c>
      <c r="I978" s="14" t="n">
        <v>0</v>
      </c>
      <c r="J978" s="14" t="n">
        <v>0</v>
      </c>
      <c r="K978" s="14" t="n">
        <v>0</v>
      </c>
      <c r="L978" s="14" t="n">
        <v>0</v>
      </c>
      <c r="M978" s="14">
        <f>IF(B978="Frete de venda",0,(1-ISNUMBER(SEARCH("556",P978)))*(I978*VLOOKUP($B978,Premissas!$A$4:$E$7,2,0)+J978*VLOOKUP($B978,Premissas!$A$4:$E$7,3,0))+K978*VLOOKUP($B978,Premissas!$A$4:$E$7,4,0)+L978*VLOOKUP($B978,Premissas!$A$4:$E$7,5,0))</f>
        <v/>
      </c>
      <c r="N978" s="14">
        <f>H978-M978</f>
        <v/>
      </c>
      <c r="O978" t="inlineStr">
        <is>
          <t>Não</t>
        </is>
      </c>
      <c r="P978" t="inlineStr">
        <is>
          <t>1.350</t>
        </is>
      </c>
    </row>
    <row r="979">
      <c r="A979" t="inlineStr">
        <is>
          <t>Antes de 2026</t>
        </is>
      </c>
      <c r="B979" t="inlineStr">
        <is>
          <t>Frete de venda</t>
        </is>
      </c>
      <c r="C979" t="inlineStr">
        <is>
          <t>Frete de venda (para clientes)</t>
        </is>
      </c>
      <c r="D979" t="inlineStr">
        <is>
          <t>CT-e</t>
        </is>
      </c>
      <c r="E979" t="inlineStr">
        <is>
          <t>000005844</t>
        </is>
      </c>
      <c r="F979" t="inlineStr">
        <is>
          <t>R&amp;R TRANSPORTE E LOGISTICA</t>
        </is>
      </c>
      <c r="G979" s="27" t="n">
        <v>45988</v>
      </c>
      <c r="H979" s="14" t="n">
        <v>11.93</v>
      </c>
      <c r="I979" s="14" t="n">
        <v>0</v>
      </c>
      <c r="J979" s="14" t="n">
        <v>0</v>
      </c>
      <c r="K979" s="14" t="n">
        <v>0</v>
      </c>
      <c r="L979" s="14" t="n">
        <v>0</v>
      </c>
      <c r="M979" s="14">
        <f>IF(B979="Frete de venda",0,(1-ISNUMBER(SEARCH("556",P979)))*(I979*VLOOKUP($B979,Premissas!$A$4:$E$7,2,0)+J979*VLOOKUP($B979,Premissas!$A$4:$E$7,3,0))+K979*VLOOKUP($B979,Premissas!$A$4:$E$7,4,0)+L979*VLOOKUP($B979,Premissas!$A$4:$E$7,5,0))</f>
        <v/>
      </c>
      <c r="N979" s="14">
        <f>H979-M979</f>
        <v/>
      </c>
      <c r="O979" t="inlineStr">
        <is>
          <t>Não</t>
        </is>
      </c>
      <c r="P979" t="inlineStr">
        <is>
          <t>1.350</t>
        </is>
      </c>
    </row>
    <row r="980">
      <c r="A980" t="inlineStr">
        <is>
          <t>Antes de 2026</t>
        </is>
      </c>
      <c r="B980" t="inlineStr">
        <is>
          <t>Frete de venda</t>
        </is>
      </c>
      <c r="C980" t="inlineStr">
        <is>
          <t>Frete de venda (para clientes)</t>
        </is>
      </c>
      <c r="D980" t="inlineStr">
        <is>
          <t>CT-e</t>
        </is>
      </c>
      <c r="E980" t="inlineStr">
        <is>
          <t>000004374</t>
        </is>
      </c>
      <c r="F980" t="inlineStr">
        <is>
          <t>R&amp;R TRANSPORTE E LOGISTICA</t>
        </is>
      </c>
      <c r="G980" s="27" t="n">
        <v>45812</v>
      </c>
      <c r="H980" s="14" t="n">
        <v>56.51</v>
      </c>
      <c r="I980" s="14" t="n">
        <v>0</v>
      </c>
      <c r="J980" s="14" t="n">
        <v>0</v>
      </c>
      <c r="K980" s="14" t="n">
        <v>0</v>
      </c>
      <c r="L980" s="14" t="n">
        <v>0</v>
      </c>
      <c r="M980" s="14">
        <f>IF(B980="Frete de venda",0,(1-ISNUMBER(SEARCH("556",P980)))*(I980*VLOOKUP($B980,Premissas!$A$4:$E$7,2,0)+J980*VLOOKUP($B980,Premissas!$A$4:$E$7,3,0))+K980*VLOOKUP($B980,Premissas!$A$4:$E$7,4,0)+L980*VLOOKUP($B980,Premissas!$A$4:$E$7,5,0))</f>
        <v/>
      </c>
      <c r="N980" s="14">
        <f>H980-M980</f>
        <v/>
      </c>
      <c r="O980" t="inlineStr">
        <is>
          <t>Não</t>
        </is>
      </c>
      <c r="P980" t="inlineStr">
        <is>
          <t>1.350</t>
        </is>
      </c>
    </row>
    <row r="981">
      <c r="A981" t="inlineStr">
        <is>
          <t>Antes de 2026</t>
        </is>
      </c>
      <c r="B981" t="inlineStr">
        <is>
          <t>Frete de venda</t>
        </is>
      </c>
      <c r="C981" t="inlineStr">
        <is>
          <t>Frete de venda (para clientes)</t>
        </is>
      </c>
      <c r="D981" t="inlineStr">
        <is>
          <t>CT-e</t>
        </is>
      </c>
      <c r="E981" t="inlineStr">
        <is>
          <t>000005010</t>
        </is>
      </c>
      <c r="F981" t="inlineStr">
        <is>
          <t>R&amp;R TRANSPORTE E LOGISTICA</t>
        </is>
      </c>
      <c r="G981" s="27" t="n">
        <v>45895</v>
      </c>
      <c r="H981" s="14" t="n">
        <v>29.77</v>
      </c>
      <c r="I981" s="14" t="n">
        <v>0</v>
      </c>
      <c r="J981" s="14" t="n">
        <v>0</v>
      </c>
      <c r="K981" s="14" t="n">
        <v>0</v>
      </c>
      <c r="L981" s="14" t="n">
        <v>0</v>
      </c>
      <c r="M981" s="14">
        <f>IF(B981="Frete de venda",0,(1-ISNUMBER(SEARCH("556",P981)))*(I981*VLOOKUP($B981,Premissas!$A$4:$E$7,2,0)+J981*VLOOKUP($B981,Premissas!$A$4:$E$7,3,0))+K981*VLOOKUP($B981,Premissas!$A$4:$E$7,4,0)+L981*VLOOKUP($B981,Premissas!$A$4:$E$7,5,0))</f>
        <v/>
      </c>
      <c r="N981" s="14">
        <f>H981-M981</f>
        <v/>
      </c>
      <c r="O981" t="inlineStr">
        <is>
          <t>Não</t>
        </is>
      </c>
      <c r="P981" t="inlineStr">
        <is>
          <t>1.350</t>
        </is>
      </c>
    </row>
    <row r="982">
      <c r="A982" t="inlineStr">
        <is>
          <t>Antes de 2026</t>
        </is>
      </c>
      <c r="B982" t="inlineStr">
        <is>
          <t>Frete de venda</t>
        </is>
      </c>
      <c r="C982" t="inlineStr">
        <is>
          <t>Frete de venda (para clientes)</t>
        </is>
      </c>
      <c r="D982" t="inlineStr">
        <is>
          <t>CT-e</t>
        </is>
      </c>
      <c r="E982" t="inlineStr">
        <is>
          <t>000005566</t>
        </is>
      </c>
      <c r="F982" t="inlineStr">
        <is>
          <t>R&amp;R TRANSPORTE E LOGISTICA</t>
        </is>
      </c>
      <c r="G982" s="27" t="n">
        <v>45955</v>
      </c>
      <c r="H982" s="14" t="n">
        <v>65.45999999999999</v>
      </c>
      <c r="I982" s="14" t="n">
        <v>0</v>
      </c>
      <c r="J982" s="14" t="n">
        <v>0</v>
      </c>
      <c r="K982" s="14" t="n">
        <v>0</v>
      </c>
      <c r="L982" s="14" t="n">
        <v>0</v>
      </c>
      <c r="M982" s="14">
        <f>IF(B982="Frete de venda",0,(1-ISNUMBER(SEARCH("556",P982)))*(I982*VLOOKUP($B982,Premissas!$A$4:$E$7,2,0)+J982*VLOOKUP($B982,Premissas!$A$4:$E$7,3,0))+K982*VLOOKUP($B982,Premissas!$A$4:$E$7,4,0)+L982*VLOOKUP($B982,Premissas!$A$4:$E$7,5,0))</f>
        <v/>
      </c>
      <c r="N982" s="14">
        <f>H982-M982</f>
        <v/>
      </c>
      <c r="O982" t="inlineStr">
        <is>
          <t>Não</t>
        </is>
      </c>
      <c r="P982" t="inlineStr">
        <is>
          <t>1.350</t>
        </is>
      </c>
    </row>
    <row r="983">
      <c r="A983" t="inlineStr">
        <is>
          <t>Antes de 2026</t>
        </is>
      </c>
      <c r="B983" t="inlineStr">
        <is>
          <t>Frete de venda</t>
        </is>
      </c>
      <c r="C983" t="inlineStr">
        <is>
          <t>Frete de venda (para clientes)</t>
        </is>
      </c>
      <c r="D983" t="inlineStr">
        <is>
          <t>CT-e</t>
        </is>
      </c>
      <c r="E983" t="inlineStr">
        <is>
          <t>000004692</t>
        </is>
      </c>
      <c r="F983" t="inlineStr">
        <is>
          <t>R&amp;R TRANSPORTE E LOGISTICA</t>
        </is>
      </c>
      <c r="G983" s="27" t="n">
        <v>45856</v>
      </c>
      <c r="H983" s="14" t="n">
        <v>23.08</v>
      </c>
      <c r="I983" s="14" t="n">
        <v>0</v>
      </c>
      <c r="J983" s="14" t="n">
        <v>0</v>
      </c>
      <c r="K983" s="14" t="n">
        <v>0</v>
      </c>
      <c r="L983" s="14" t="n">
        <v>0</v>
      </c>
      <c r="M983" s="14">
        <f>IF(B983="Frete de venda",0,(1-ISNUMBER(SEARCH("556",P983)))*(I983*VLOOKUP($B983,Premissas!$A$4:$E$7,2,0)+J983*VLOOKUP($B983,Premissas!$A$4:$E$7,3,0))+K983*VLOOKUP($B983,Premissas!$A$4:$E$7,4,0)+L983*VLOOKUP($B983,Premissas!$A$4:$E$7,5,0))</f>
        <v/>
      </c>
      <c r="N983" s="14">
        <f>H983-M983</f>
        <v/>
      </c>
      <c r="O983" t="inlineStr">
        <is>
          <t>Não</t>
        </is>
      </c>
      <c r="P983" t="inlineStr">
        <is>
          <t>1.350</t>
        </is>
      </c>
    </row>
    <row r="984">
      <c r="A984" t="inlineStr">
        <is>
          <t>Antes de 2026</t>
        </is>
      </c>
      <c r="B984" t="inlineStr">
        <is>
          <t>Frete de venda</t>
        </is>
      </c>
      <c r="C984" t="inlineStr">
        <is>
          <t>Frete de venda (para clientes)</t>
        </is>
      </c>
      <c r="D984" t="inlineStr">
        <is>
          <t>CT-e</t>
        </is>
      </c>
      <c r="E984" t="inlineStr">
        <is>
          <t>000005636</t>
        </is>
      </c>
      <c r="F984" t="inlineStr">
        <is>
          <t>R&amp;R TRANSPORTE E LOGISTICA</t>
        </is>
      </c>
      <c r="G984" s="27" t="n">
        <v>45961</v>
      </c>
      <c r="H984" s="14" t="n">
        <v>50.49</v>
      </c>
      <c r="I984" s="14" t="n">
        <v>0</v>
      </c>
      <c r="J984" s="14" t="n">
        <v>0</v>
      </c>
      <c r="K984" s="14" t="n">
        <v>0</v>
      </c>
      <c r="L984" s="14" t="n">
        <v>0</v>
      </c>
      <c r="M984" s="14">
        <f>IF(B984="Frete de venda",0,(1-ISNUMBER(SEARCH("556",P984)))*(I984*VLOOKUP($B984,Premissas!$A$4:$E$7,2,0)+J984*VLOOKUP($B984,Premissas!$A$4:$E$7,3,0))+K984*VLOOKUP($B984,Premissas!$A$4:$E$7,4,0)+L984*VLOOKUP($B984,Premissas!$A$4:$E$7,5,0))</f>
        <v/>
      </c>
      <c r="N984" s="14">
        <f>H984-M984</f>
        <v/>
      </c>
      <c r="O984" t="inlineStr">
        <is>
          <t>Não</t>
        </is>
      </c>
      <c r="P984" t="inlineStr">
        <is>
          <t>1.350</t>
        </is>
      </c>
    </row>
    <row r="985">
      <c r="A985" t="inlineStr">
        <is>
          <t>Antes de 2026</t>
        </is>
      </c>
      <c r="B985" t="inlineStr">
        <is>
          <t>Frete de venda</t>
        </is>
      </c>
      <c r="C985" t="inlineStr">
        <is>
          <t>Frete de venda (para clientes)</t>
        </is>
      </c>
      <c r="D985" t="inlineStr">
        <is>
          <t>CT-e</t>
        </is>
      </c>
      <c r="E985" t="inlineStr">
        <is>
          <t>000004780</t>
        </is>
      </c>
      <c r="F985" t="inlineStr">
        <is>
          <t>R&amp;R TRANSPORTE E LOGISTICA</t>
        </is>
      </c>
      <c r="G985" s="27" t="n">
        <v>45868</v>
      </c>
      <c r="H985" s="14" t="n">
        <v>33.09</v>
      </c>
      <c r="I985" s="14" t="n">
        <v>0</v>
      </c>
      <c r="J985" s="14" t="n">
        <v>0</v>
      </c>
      <c r="K985" s="14" t="n">
        <v>0</v>
      </c>
      <c r="L985" s="14" t="n">
        <v>0</v>
      </c>
      <c r="M985" s="14">
        <f>IF(B985="Frete de venda",0,(1-ISNUMBER(SEARCH("556",P985)))*(I985*VLOOKUP($B985,Premissas!$A$4:$E$7,2,0)+J985*VLOOKUP($B985,Premissas!$A$4:$E$7,3,0))+K985*VLOOKUP($B985,Premissas!$A$4:$E$7,4,0)+L985*VLOOKUP($B985,Premissas!$A$4:$E$7,5,0))</f>
        <v/>
      </c>
      <c r="N985" s="14">
        <f>H985-M985</f>
        <v/>
      </c>
      <c r="O985" t="inlineStr">
        <is>
          <t>Não</t>
        </is>
      </c>
      <c r="P985" t="inlineStr">
        <is>
          <t>1.350</t>
        </is>
      </c>
    </row>
    <row r="986">
      <c r="A986" t="inlineStr">
        <is>
          <t>Antes de 2026</t>
        </is>
      </c>
      <c r="B986" t="inlineStr">
        <is>
          <t>Frete de venda</t>
        </is>
      </c>
      <c r="C986" t="inlineStr">
        <is>
          <t>Frete de venda (para clientes)</t>
        </is>
      </c>
      <c r="D986" t="inlineStr">
        <is>
          <t>CT-e</t>
        </is>
      </c>
      <c r="E986" t="inlineStr">
        <is>
          <t>000005630</t>
        </is>
      </c>
      <c r="F986" t="inlineStr">
        <is>
          <t>R&amp;R TRANSPORTE E LOGISTICA</t>
        </is>
      </c>
      <c r="G986" s="27" t="n">
        <v>45961</v>
      </c>
      <c r="H986" s="14" t="n">
        <v>19.57</v>
      </c>
      <c r="I986" s="14" t="n">
        <v>0</v>
      </c>
      <c r="J986" s="14" t="n">
        <v>0</v>
      </c>
      <c r="K986" s="14" t="n">
        <v>0</v>
      </c>
      <c r="L986" s="14" t="n">
        <v>0</v>
      </c>
      <c r="M986" s="14">
        <f>IF(B986="Frete de venda",0,(1-ISNUMBER(SEARCH("556",P986)))*(I986*VLOOKUP($B986,Premissas!$A$4:$E$7,2,0)+J986*VLOOKUP($B986,Premissas!$A$4:$E$7,3,0))+K986*VLOOKUP($B986,Premissas!$A$4:$E$7,4,0)+L986*VLOOKUP($B986,Premissas!$A$4:$E$7,5,0))</f>
        <v/>
      </c>
      <c r="N986" s="14">
        <f>H986-M986</f>
        <v/>
      </c>
      <c r="O986" t="inlineStr">
        <is>
          <t>Não</t>
        </is>
      </c>
      <c r="P986" t="inlineStr">
        <is>
          <t>1.350</t>
        </is>
      </c>
    </row>
    <row r="987">
      <c r="A987" t="inlineStr">
        <is>
          <t>Antes de 2026</t>
        </is>
      </c>
      <c r="B987" t="inlineStr">
        <is>
          <t>Frete de venda</t>
        </is>
      </c>
      <c r="C987" t="inlineStr">
        <is>
          <t>Frete de venda (para clientes)</t>
        </is>
      </c>
      <c r="D987" t="inlineStr">
        <is>
          <t>CT-e</t>
        </is>
      </c>
      <c r="E987" t="inlineStr">
        <is>
          <t>000005042</t>
        </is>
      </c>
      <c r="F987" t="inlineStr">
        <is>
          <t>R&amp;R TRANSPORTE E LOGISTICA</t>
        </is>
      </c>
      <c r="G987" s="27" t="n">
        <v>45896</v>
      </c>
      <c r="H987" s="14" t="n">
        <v>76.69</v>
      </c>
      <c r="I987" s="14" t="n">
        <v>0</v>
      </c>
      <c r="J987" s="14" t="n">
        <v>0</v>
      </c>
      <c r="K987" s="14" t="n">
        <v>0</v>
      </c>
      <c r="L987" s="14" t="n">
        <v>0</v>
      </c>
      <c r="M987" s="14">
        <f>IF(B987="Frete de venda",0,(1-ISNUMBER(SEARCH("556",P987)))*(I987*VLOOKUP($B987,Premissas!$A$4:$E$7,2,0)+J987*VLOOKUP($B987,Premissas!$A$4:$E$7,3,0))+K987*VLOOKUP($B987,Premissas!$A$4:$E$7,4,0)+L987*VLOOKUP($B987,Premissas!$A$4:$E$7,5,0))</f>
        <v/>
      </c>
      <c r="N987" s="14">
        <f>H987-M987</f>
        <v/>
      </c>
      <c r="O987" t="inlineStr">
        <is>
          <t>Não</t>
        </is>
      </c>
      <c r="P987" t="inlineStr">
        <is>
          <t>1.350</t>
        </is>
      </c>
    </row>
    <row r="988">
      <c r="A988" t="inlineStr">
        <is>
          <t>Antes de 2026</t>
        </is>
      </c>
      <c r="B988" t="inlineStr">
        <is>
          <t>Frete de venda</t>
        </is>
      </c>
      <c r="C988" t="inlineStr">
        <is>
          <t>Frete de venda (para clientes)</t>
        </is>
      </c>
      <c r="D988" t="inlineStr">
        <is>
          <t>CT-e</t>
        </is>
      </c>
      <c r="E988" t="inlineStr">
        <is>
          <t>000005925</t>
        </is>
      </c>
      <c r="F988" t="inlineStr">
        <is>
          <t>R&amp;R TRANSPORTE E LOGISTICA</t>
        </is>
      </c>
      <c r="G988" s="27" t="n">
        <v>45996</v>
      </c>
      <c r="H988" s="14" t="n">
        <v>120.95</v>
      </c>
      <c r="I988" s="14" t="n">
        <v>0</v>
      </c>
      <c r="J988" s="14" t="n">
        <v>0</v>
      </c>
      <c r="K988" s="14" t="n">
        <v>0</v>
      </c>
      <c r="L988" s="14" t="n">
        <v>0</v>
      </c>
      <c r="M988" s="14">
        <f>IF(B988="Frete de venda",0,(1-ISNUMBER(SEARCH("556",P988)))*(I988*VLOOKUP($B988,Premissas!$A$4:$E$7,2,0)+J988*VLOOKUP($B988,Premissas!$A$4:$E$7,3,0))+K988*VLOOKUP($B988,Premissas!$A$4:$E$7,4,0)+L988*VLOOKUP($B988,Premissas!$A$4:$E$7,5,0))</f>
        <v/>
      </c>
      <c r="N988" s="14">
        <f>H988-M988</f>
        <v/>
      </c>
      <c r="O988" t="inlineStr">
        <is>
          <t>Não</t>
        </is>
      </c>
      <c r="P988" t="inlineStr">
        <is>
          <t>1.350</t>
        </is>
      </c>
    </row>
    <row r="989">
      <c r="A989" t="inlineStr">
        <is>
          <t>Antes de 2026</t>
        </is>
      </c>
      <c r="B989" t="inlineStr">
        <is>
          <t>Frete de venda</t>
        </is>
      </c>
      <c r="C989" t="inlineStr">
        <is>
          <t>Frete de venda (para clientes)</t>
        </is>
      </c>
      <c r="D989" t="inlineStr">
        <is>
          <t>CT-e</t>
        </is>
      </c>
      <c r="E989" t="inlineStr">
        <is>
          <t>000004483</t>
        </is>
      </c>
      <c r="F989" t="inlineStr">
        <is>
          <t>R&amp;R TRANSPORTE E LOGISTICA</t>
        </is>
      </c>
      <c r="G989" s="27" t="n">
        <v>45831</v>
      </c>
      <c r="H989" s="14" t="n">
        <v>14.09</v>
      </c>
      <c r="I989" s="14" t="n">
        <v>0</v>
      </c>
      <c r="J989" s="14" t="n">
        <v>0</v>
      </c>
      <c r="K989" s="14" t="n">
        <v>0</v>
      </c>
      <c r="L989" s="14" t="n">
        <v>0</v>
      </c>
      <c r="M989" s="14">
        <f>IF(B989="Frete de venda",0,(1-ISNUMBER(SEARCH("556",P989)))*(I989*VLOOKUP($B989,Premissas!$A$4:$E$7,2,0)+J989*VLOOKUP($B989,Premissas!$A$4:$E$7,3,0))+K989*VLOOKUP($B989,Premissas!$A$4:$E$7,4,0)+L989*VLOOKUP($B989,Premissas!$A$4:$E$7,5,0))</f>
        <v/>
      </c>
      <c r="N989" s="14">
        <f>H989-M989</f>
        <v/>
      </c>
      <c r="O989" t="inlineStr">
        <is>
          <t>Não</t>
        </is>
      </c>
      <c r="P989" t="inlineStr">
        <is>
          <t>1.350</t>
        </is>
      </c>
    </row>
    <row r="990">
      <c r="A990" t="inlineStr">
        <is>
          <t>Antes de 2026</t>
        </is>
      </c>
      <c r="B990" t="inlineStr">
        <is>
          <t>Frete de venda</t>
        </is>
      </c>
      <c r="C990" t="inlineStr">
        <is>
          <t>Frete de venda (para clientes)</t>
        </is>
      </c>
      <c r="D990" t="inlineStr">
        <is>
          <t>CT-e</t>
        </is>
      </c>
      <c r="E990" t="inlineStr">
        <is>
          <t>000005014</t>
        </is>
      </c>
      <c r="F990" t="inlineStr">
        <is>
          <t>R&amp;R TRANSPORTE E LOGISTICA</t>
        </is>
      </c>
      <c r="G990" s="27" t="n">
        <v>45895</v>
      </c>
      <c r="H990" s="14" t="n">
        <v>17.26</v>
      </c>
      <c r="I990" s="14" t="n">
        <v>0</v>
      </c>
      <c r="J990" s="14" t="n">
        <v>0</v>
      </c>
      <c r="K990" s="14" t="n">
        <v>0</v>
      </c>
      <c r="L990" s="14" t="n">
        <v>0</v>
      </c>
      <c r="M990" s="14">
        <f>IF(B990="Frete de venda",0,(1-ISNUMBER(SEARCH("556",P990)))*(I990*VLOOKUP($B990,Premissas!$A$4:$E$7,2,0)+J990*VLOOKUP($B990,Premissas!$A$4:$E$7,3,0))+K990*VLOOKUP($B990,Premissas!$A$4:$E$7,4,0)+L990*VLOOKUP($B990,Premissas!$A$4:$E$7,5,0))</f>
        <v/>
      </c>
      <c r="N990" s="14">
        <f>H990-M990</f>
        <v/>
      </c>
      <c r="O990" t="inlineStr">
        <is>
          <t>Não</t>
        </is>
      </c>
      <c r="P990" t="inlineStr">
        <is>
          <t>1.350</t>
        </is>
      </c>
    </row>
    <row r="991">
      <c r="A991" t="inlineStr">
        <is>
          <t>Antes de 2026</t>
        </is>
      </c>
      <c r="B991" t="inlineStr">
        <is>
          <t>Frete de venda</t>
        </is>
      </c>
      <c r="C991" t="inlineStr">
        <is>
          <t>Frete de venda (para clientes)</t>
        </is>
      </c>
      <c r="D991" t="inlineStr">
        <is>
          <t>CT-e</t>
        </is>
      </c>
      <c r="E991" t="inlineStr">
        <is>
          <t>000004131</t>
        </is>
      </c>
      <c r="F991" t="inlineStr">
        <is>
          <t>R&amp;R TRANSPORTE E LOGISTICA</t>
        </is>
      </c>
      <c r="G991" s="27" t="n">
        <v>45779</v>
      </c>
      <c r="H991" s="14" t="n">
        <v>66</v>
      </c>
      <c r="I991" s="14" t="n">
        <v>0</v>
      </c>
      <c r="J991" s="14" t="n">
        <v>0</v>
      </c>
      <c r="K991" s="14" t="n">
        <v>0</v>
      </c>
      <c r="L991" s="14" t="n">
        <v>0</v>
      </c>
      <c r="M991" s="14">
        <f>IF(B991="Frete de venda",0,(1-ISNUMBER(SEARCH("556",P991)))*(I991*VLOOKUP($B991,Premissas!$A$4:$E$7,2,0)+J991*VLOOKUP($B991,Premissas!$A$4:$E$7,3,0))+K991*VLOOKUP($B991,Premissas!$A$4:$E$7,4,0)+L991*VLOOKUP($B991,Premissas!$A$4:$E$7,5,0))</f>
        <v/>
      </c>
      <c r="N991" s="14">
        <f>H991-M991</f>
        <v/>
      </c>
      <c r="O991" t="inlineStr">
        <is>
          <t>Não</t>
        </is>
      </c>
      <c r="P991" t="inlineStr">
        <is>
          <t>1.350</t>
        </is>
      </c>
    </row>
    <row r="992">
      <c r="A992" t="inlineStr">
        <is>
          <t>Antes de 2026</t>
        </is>
      </c>
      <c r="B992" t="inlineStr">
        <is>
          <t>Frete de venda</t>
        </is>
      </c>
      <c r="C992" t="inlineStr">
        <is>
          <t>Frete de venda (para clientes)</t>
        </is>
      </c>
      <c r="D992" t="inlineStr">
        <is>
          <t>CT-e</t>
        </is>
      </c>
      <c r="E992" t="inlineStr">
        <is>
          <t>000004770</t>
        </is>
      </c>
      <c r="F992" t="inlineStr">
        <is>
          <t>R&amp;R TRANSPORTE E LOGISTICA</t>
        </is>
      </c>
      <c r="G992" s="27" t="n">
        <v>45867</v>
      </c>
      <c r="H992" s="14" t="n">
        <v>689.97</v>
      </c>
      <c r="I992" s="14" t="n">
        <v>0</v>
      </c>
      <c r="J992" s="14" t="n">
        <v>0</v>
      </c>
      <c r="K992" s="14" t="n">
        <v>0</v>
      </c>
      <c r="L992" s="14" t="n">
        <v>0</v>
      </c>
      <c r="M992" s="14">
        <f>IF(B992="Frete de venda",0,(1-ISNUMBER(SEARCH("556",P992)))*(I992*VLOOKUP($B992,Premissas!$A$4:$E$7,2,0)+J992*VLOOKUP($B992,Premissas!$A$4:$E$7,3,0))+K992*VLOOKUP($B992,Premissas!$A$4:$E$7,4,0)+L992*VLOOKUP($B992,Premissas!$A$4:$E$7,5,0))</f>
        <v/>
      </c>
      <c r="N992" s="14">
        <f>H992-M992</f>
        <v/>
      </c>
      <c r="O992" t="inlineStr">
        <is>
          <t>Não</t>
        </is>
      </c>
      <c r="P992" t="inlineStr">
        <is>
          <t>1.350</t>
        </is>
      </c>
    </row>
    <row r="993">
      <c r="A993" t="inlineStr">
        <is>
          <t>Antes de 2026</t>
        </is>
      </c>
      <c r="B993" t="inlineStr">
        <is>
          <t>Frete de venda</t>
        </is>
      </c>
      <c r="C993" t="inlineStr">
        <is>
          <t>Frete de venda (para clientes)</t>
        </is>
      </c>
      <c r="D993" t="inlineStr">
        <is>
          <t>CT-e</t>
        </is>
      </c>
      <c r="E993" t="inlineStr">
        <is>
          <t>000004775</t>
        </is>
      </c>
      <c r="F993" t="inlineStr">
        <is>
          <t>R&amp;R TRANSPORTE E LOGISTICA</t>
        </is>
      </c>
      <c r="G993" s="27" t="n">
        <v>45867</v>
      </c>
      <c r="H993" s="14" t="n">
        <v>689.21</v>
      </c>
      <c r="I993" s="14" t="n">
        <v>0</v>
      </c>
      <c r="J993" s="14" t="n">
        <v>0</v>
      </c>
      <c r="K993" s="14" t="n">
        <v>0</v>
      </c>
      <c r="L993" s="14" t="n">
        <v>0</v>
      </c>
      <c r="M993" s="14">
        <f>IF(B993="Frete de venda",0,(1-ISNUMBER(SEARCH("556",P993)))*(I993*VLOOKUP($B993,Premissas!$A$4:$E$7,2,0)+J993*VLOOKUP($B993,Premissas!$A$4:$E$7,3,0))+K993*VLOOKUP($B993,Premissas!$A$4:$E$7,4,0)+L993*VLOOKUP($B993,Premissas!$A$4:$E$7,5,0))</f>
        <v/>
      </c>
      <c r="N993" s="14">
        <f>H993-M993</f>
        <v/>
      </c>
      <c r="O993" t="inlineStr">
        <is>
          <t>Não</t>
        </is>
      </c>
      <c r="P993" t="inlineStr">
        <is>
          <t>1.350</t>
        </is>
      </c>
    </row>
    <row r="994">
      <c r="A994" t="inlineStr">
        <is>
          <t>Antes de 2026</t>
        </is>
      </c>
      <c r="B994" t="inlineStr">
        <is>
          <t>Frete de venda</t>
        </is>
      </c>
      <c r="C994" t="inlineStr">
        <is>
          <t>Frete de venda (para clientes)</t>
        </is>
      </c>
      <c r="D994" t="inlineStr">
        <is>
          <t>CT-e</t>
        </is>
      </c>
      <c r="E994" t="inlineStr">
        <is>
          <t>000004838</t>
        </is>
      </c>
      <c r="F994" t="inlineStr">
        <is>
          <t>R&amp;R TRANSPORTE E LOGISTICA</t>
        </is>
      </c>
      <c r="G994" s="27" t="n">
        <v>45873</v>
      </c>
      <c r="H994" s="14" t="n">
        <v>860</v>
      </c>
      <c r="I994" s="14" t="n">
        <v>0</v>
      </c>
      <c r="J994" s="14" t="n">
        <v>0</v>
      </c>
      <c r="K994" s="14" t="n">
        <v>0</v>
      </c>
      <c r="L994" s="14" t="n">
        <v>0</v>
      </c>
      <c r="M994" s="14">
        <f>IF(B994="Frete de venda",0,(1-ISNUMBER(SEARCH("556",P994)))*(I994*VLOOKUP($B994,Premissas!$A$4:$E$7,2,0)+J994*VLOOKUP($B994,Premissas!$A$4:$E$7,3,0))+K994*VLOOKUP($B994,Premissas!$A$4:$E$7,4,0)+L994*VLOOKUP($B994,Premissas!$A$4:$E$7,5,0))</f>
        <v/>
      </c>
      <c r="N994" s="14">
        <f>H994-M994</f>
        <v/>
      </c>
      <c r="O994" t="inlineStr">
        <is>
          <t>Não</t>
        </is>
      </c>
      <c r="P994" t="inlineStr">
        <is>
          <t>1.350</t>
        </is>
      </c>
    </row>
    <row r="995">
      <c r="A995" t="inlineStr">
        <is>
          <t>Antes de 2026</t>
        </is>
      </c>
      <c r="B995" t="inlineStr">
        <is>
          <t>Frete de venda</t>
        </is>
      </c>
      <c r="C995" t="inlineStr">
        <is>
          <t>Frete de venda (para clientes)</t>
        </is>
      </c>
      <c r="D995" t="inlineStr">
        <is>
          <t>CT-e</t>
        </is>
      </c>
      <c r="E995" t="inlineStr">
        <is>
          <t>000004313</t>
        </is>
      </c>
      <c r="F995" t="inlineStr">
        <is>
          <t>R&amp;R TRANSPORTE E LOGISTICA</t>
        </is>
      </c>
      <c r="G995" s="27" t="n">
        <v>45805</v>
      </c>
      <c r="H995" s="14" t="n">
        <v>75.48</v>
      </c>
      <c r="I995" s="14" t="n">
        <v>0</v>
      </c>
      <c r="J995" s="14" t="n">
        <v>0</v>
      </c>
      <c r="K995" s="14" t="n">
        <v>0</v>
      </c>
      <c r="L995" s="14" t="n">
        <v>0</v>
      </c>
      <c r="M995" s="14">
        <f>IF(B995="Frete de venda",0,(1-ISNUMBER(SEARCH("556",P995)))*(I995*VLOOKUP($B995,Premissas!$A$4:$E$7,2,0)+J995*VLOOKUP($B995,Premissas!$A$4:$E$7,3,0))+K995*VLOOKUP($B995,Premissas!$A$4:$E$7,4,0)+L995*VLOOKUP($B995,Premissas!$A$4:$E$7,5,0))</f>
        <v/>
      </c>
      <c r="N995" s="14">
        <f>H995-M995</f>
        <v/>
      </c>
      <c r="O995" t="inlineStr">
        <is>
          <t>Não</t>
        </is>
      </c>
      <c r="P995" t="inlineStr">
        <is>
          <t>1.350</t>
        </is>
      </c>
    </row>
    <row r="996">
      <c r="A996" t="inlineStr">
        <is>
          <t>Antes de 2026</t>
        </is>
      </c>
      <c r="B996" t="inlineStr">
        <is>
          <t>Frete de venda</t>
        </is>
      </c>
      <c r="C996" t="inlineStr">
        <is>
          <t>Frete de venda (para clientes)</t>
        </is>
      </c>
      <c r="D996" t="inlineStr">
        <is>
          <t>CT-e</t>
        </is>
      </c>
      <c r="E996" t="inlineStr">
        <is>
          <t>000004435</t>
        </is>
      </c>
      <c r="F996" t="inlineStr">
        <is>
          <t>R&amp;R TRANSPORTE E LOGISTICA</t>
        </is>
      </c>
      <c r="G996" s="27" t="n">
        <v>45824</v>
      </c>
      <c r="H996" s="14" t="n">
        <v>43.9</v>
      </c>
      <c r="I996" s="14" t="n">
        <v>0</v>
      </c>
      <c r="J996" s="14" t="n">
        <v>0</v>
      </c>
      <c r="K996" s="14" t="n">
        <v>0</v>
      </c>
      <c r="L996" s="14" t="n">
        <v>0</v>
      </c>
      <c r="M996" s="14">
        <f>IF(B996="Frete de venda",0,(1-ISNUMBER(SEARCH("556",P996)))*(I996*VLOOKUP($B996,Premissas!$A$4:$E$7,2,0)+J996*VLOOKUP($B996,Premissas!$A$4:$E$7,3,0))+K996*VLOOKUP($B996,Premissas!$A$4:$E$7,4,0)+L996*VLOOKUP($B996,Premissas!$A$4:$E$7,5,0))</f>
        <v/>
      </c>
      <c r="N996" s="14">
        <f>H996-M996</f>
        <v/>
      </c>
      <c r="O996" t="inlineStr">
        <is>
          <t>Não</t>
        </is>
      </c>
      <c r="P996" t="inlineStr">
        <is>
          <t>1.350</t>
        </is>
      </c>
    </row>
    <row r="997">
      <c r="A997" t="inlineStr">
        <is>
          <t>Antes de 2026</t>
        </is>
      </c>
      <c r="B997" t="inlineStr">
        <is>
          <t>Frete de venda</t>
        </is>
      </c>
      <c r="C997" t="inlineStr">
        <is>
          <t>Frete de venda (para clientes)</t>
        </is>
      </c>
      <c r="D997" t="inlineStr">
        <is>
          <t>CT-e</t>
        </is>
      </c>
      <c r="E997" t="inlineStr">
        <is>
          <t>000005100</t>
        </is>
      </c>
      <c r="F997" t="inlineStr">
        <is>
          <t>R&amp;R TRANSPORTE E LOGISTICA</t>
        </is>
      </c>
      <c r="G997" s="27" t="n">
        <v>45901</v>
      </c>
      <c r="H997" s="14" t="n">
        <v>32.6</v>
      </c>
      <c r="I997" s="14" t="n">
        <v>0</v>
      </c>
      <c r="J997" s="14" t="n">
        <v>0</v>
      </c>
      <c r="K997" s="14" t="n">
        <v>0</v>
      </c>
      <c r="L997" s="14" t="n">
        <v>0</v>
      </c>
      <c r="M997" s="14">
        <f>IF(B997="Frete de venda",0,(1-ISNUMBER(SEARCH("556",P997)))*(I997*VLOOKUP($B997,Premissas!$A$4:$E$7,2,0)+J997*VLOOKUP($B997,Premissas!$A$4:$E$7,3,0))+K997*VLOOKUP($B997,Premissas!$A$4:$E$7,4,0)+L997*VLOOKUP($B997,Premissas!$A$4:$E$7,5,0))</f>
        <v/>
      </c>
      <c r="N997" s="14">
        <f>H997-M997</f>
        <v/>
      </c>
      <c r="O997" t="inlineStr">
        <is>
          <t>Não</t>
        </is>
      </c>
      <c r="P997" t="inlineStr">
        <is>
          <t>1.350</t>
        </is>
      </c>
    </row>
    <row r="998">
      <c r="A998" t="inlineStr">
        <is>
          <t>Antes de 2026</t>
        </is>
      </c>
      <c r="B998" t="inlineStr">
        <is>
          <t>Frete de venda</t>
        </is>
      </c>
      <c r="C998" t="inlineStr">
        <is>
          <t>Frete de venda (para clientes)</t>
        </is>
      </c>
      <c r="D998" t="inlineStr">
        <is>
          <t>CT-e</t>
        </is>
      </c>
      <c r="E998" t="inlineStr">
        <is>
          <t>000005361</t>
        </is>
      </c>
      <c r="F998" t="inlineStr">
        <is>
          <t>R&amp;R TRANSPORTE E LOGISTICA</t>
        </is>
      </c>
      <c r="G998" s="27" t="n">
        <v>45929</v>
      </c>
      <c r="H998" s="14" t="n">
        <v>600</v>
      </c>
      <c r="I998" s="14" t="n">
        <v>0</v>
      </c>
      <c r="J998" s="14" t="n">
        <v>0</v>
      </c>
      <c r="K998" s="14" t="n">
        <v>0</v>
      </c>
      <c r="L998" s="14" t="n">
        <v>0</v>
      </c>
      <c r="M998" s="14">
        <f>IF(B998="Frete de venda",0,(1-ISNUMBER(SEARCH("556",P998)))*(I998*VLOOKUP($B998,Premissas!$A$4:$E$7,2,0)+J998*VLOOKUP($B998,Premissas!$A$4:$E$7,3,0))+K998*VLOOKUP($B998,Premissas!$A$4:$E$7,4,0)+L998*VLOOKUP($B998,Premissas!$A$4:$E$7,5,0))</f>
        <v/>
      </c>
      <c r="N998" s="14">
        <f>H998-M998</f>
        <v/>
      </c>
      <c r="O998" t="inlineStr">
        <is>
          <t>Não</t>
        </is>
      </c>
      <c r="P998" t="inlineStr">
        <is>
          <t>1.350</t>
        </is>
      </c>
    </row>
    <row r="999">
      <c r="A999" t="inlineStr">
        <is>
          <t>Antes de 2026</t>
        </is>
      </c>
      <c r="B999" t="inlineStr">
        <is>
          <t>Frete de venda</t>
        </is>
      </c>
      <c r="C999" t="inlineStr">
        <is>
          <t>Frete de venda (para clientes)</t>
        </is>
      </c>
      <c r="D999" t="inlineStr">
        <is>
          <t>CT-e</t>
        </is>
      </c>
      <c r="E999" t="inlineStr">
        <is>
          <t>000005385</t>
        </is>
      </c>
      <c r="F999" t="inlineStr">
        <is>
          <t>R&amp;R TRANSPORTE E LOGISTICA</t>
        </is>
      </c>
      <c r="G999" s="27" t="n">
        <v>45932</v>
      </c>
      <c r="H999" s="14" t="n">
        <v>770</v>
      </c>
      <c r="I999" s="14" t="n">
        <v>0</v>
      </c>
      <c r="J999" s="14" t="n">
        <v>0</v>
      </c>
      <c r="K999" s="14" t="n">
        <v>0</v>
      </c>
      <c r="L999" s="14" t="n">
        <v>0</v>
      </c>
      <c r="M999" s="14">
        <f>IF(B999="Frete de venda",0,(1-ISNUMBER(SEARCH("556",P999)))*(I999*VLOOKUP($B999,Premissas!$A$4:$E$7,2,0)+J999*VLOOKUP($B999,Premissas!$A$4:$E$7,3,0))+K999*VLOOKUP($B999,Premissas!$A$4:$E$7,4,0)+L999*VLOOKUP($B999,Premissas!$A$4:$E$7,5,0))</f>
        <v/>
      </c>
      <c r="N999" s="14">
        <f>H999-M999</f>
        <v/>
      </c>
      <c r="O999" t="inlineStr">
        <is>
          <t>Não</t>
        </is>
      </c>
      <c r="P999" t="inlineStr">
        <is>
          <t>1.350</t>
        </is>
      </c>
    </row>
    <row r="1000">
      <c r="A1000" t="inlineStr">
        <is>
          <t>Antes de 2026</t>
        </is>
      </c>
      <c r="B1000" t="inlineStr">
        <is>
          <t>Frete de venda</t>
        </is>
      </c>
      <c r="C1000" t="inlineStr">
        <is>
          <t>Frete de venda (para clientes)</t>
        </is>
      </c>
      <c r="D1000" t="inlineStr">
        <is>
          <t>CT-e</t>
        </is>
      </c>
      <c r="E1000" t="inlineStr">
        <is>
          <t>000005614</t>
        </is>
      </c>
      <c r="F1000" t="inlineStr">
        <is>
          <t>R&amp;R TRANSPORTE E LOGISTICA</t>
        </is>
      </c>
      <c r="G1000" s="27" t="n">
        <v>45959</v>
      </c>
      <c r="H1000" s="14" t="n">
        <v>750</v>
      </c>
      <c r="I1000" s="14" t="n">
        <v>0</v>
      </c>
      <c r="J1000" s="14" t="n">
        <v>0</v>
      </c>
      <c r="K1000" s="14" t="n">
        <v>0</v>
      </c>
      <c r="L1000" s="14" t="n">
        <v>0</v>
      </c>
      <c r="M1000" s="14">
        <f>IF(B1000="Frete de venda",0,(1-ISNUMBER(SEARCH("556",P1000)))*(I1000*VLOOKUP($B1000,Premissas!$A$4:$E$7,2,0)+J1000*VLOOKUP($B1000,Premissas!$A$4:$E$7,3,0))+K1000*VLOOKUP($B1000,Premissas!$A$4:$E$7,4,0)+L1000*VLOOKUP($B1000,Premissas!$A$4:$E$7,5,0))</f>
        <v/>
      </c>
      <c r="N1000" s="14">
        <f>H1000-M1000</f>
        <v/>
      </c>
      <c r="O1000" t="inlineStr">
        <is>
          <t>Não</t>
        </is>
      </c>
      <c r="P1000" t="inlineStr">
        <is>
          <t>1.350</t>
        </is>
      </c>
    </row>
    <row r="1001">
      <c r="A1001" t="inlineStr">
        <is>
          <t>Antes de 2026</t>
        </is>
      </c>
      <c r="B1001" t="inlineStr">
        <is>
          <t>Frete de venda</t>
        </is>
      </c>
      <c r="C1001" t="inlineStr">
        <is>
          <t>Frete de venda (para clientes)</t>
        </is>
      </c>
      <c r="D1001" t="inlineStr">
        <is>
          <t>CT-e</t>
        </is>
      </c>
      <c r="E1001" t="inlineStr">
        <is>
          <t>000004146</t>
        </is>
      </c>
      <c r="F1001" t="inlineStr">
        <is>
          <t>R&amp;R TRANSPORTE E LOGISTICA</t>
        </is>
      </c>
      <c r="G1001" s="27" t="n">
        <v>45783</v>
      </c>
      <c r="H1001" s="14" t="n">
        <v>23.92</v>
      </c>
      <c r="I1001" s="14" t="n">
        <v>0</v>
      </c>
      <c r="J1001" s="14" t="n">
        <v>0</v>
      </c>
      <c r="K1001" s="14" t="n">
        <v>0</v>
      </c>
      <c r="L1001" s="14" t="n">
        <v>0</v>
      </c>
      <c r="M1001" s="14">
        <f>IF(B1001="Frete de venda",0,(1-ISNUMBER(SEARCH("556",P1001)))*(I1001*VLOOKUP($B1001,Premissas!$A$4:$E$7,2,0)+J1001*VLOOKUP($B1001,Premissas!$A$4:$E$7,3,0))+K1001*VLOOKUP($B1001,Premissas!$A$4:$E$7,4,0)+L1001*VLOOKUP($B1001,Premissas!$A$4:$E$7,5,0))</f>
        <v/>
      </c>
      <c r="N1001" s="14">
        <f>H1001-M1001</f>
        <v/>
      </c>
      <c r="O1001" t="inlineStr">
        <is>
          <t>Não</t>
        </is>
      </c>
      <c r="P1001" t="inlineStr">
        <is>
          <t>1.350</t>
        </is>
      </c>
    </row>
    <row r="1002">
      <c r="A1002" t="inlineStr">
        <is>
          <t>Antes de 2026</t>
        </is>
      </c>
      <c r="B1002" t="inlineStr">
        <is>
          <t>Frete de venda</t>
        </is>
      </c>
      <c r="C1002" t="inlineStr">
        <is>
          <t>Frete de venda (para clientes)</t>
        </is>
      </c>
      <c r="D1002" t="inlineStr">
        <is>
          <t>CT-e</t>
        </is>
      </c>
      <c r="E1002" t="inlineStr">
        <is>
          <t>000005025</t>
        </is>
      </c>
      <c r="F1002" t="inlineStr">
        <is>
          <t>R&amp;R TRANSPORTE E LOGISTICA</t>
        </is>
      </c>
      <c r="G1002" s="27" t="n">
        <v>45895</v>
      </c>
      <c r="H1002" s="14" t="n">
        <v>16.2</v>
      </c>
      <c r="I1002" s="14" t="n">
        <v>0</v>
      </c>
      <c r="J1002" s="14" t="n">
        <v>0</v>
      </c>
      <c r="K1002" s="14" t="n">
        <v>0</v>
      </c>
      <c r="L1002" s="14" t="n">
        <v>0</v>
      </c>
      <c r="M1002" s="14">
        <f>IF(B1002="Frete de venda",0,(1-ISNUMBER(SEARCH("556",P1002)))*(I1002*VLOOKUP($B1002,Premissas!$A$4:$E$7,2,0)+J1002*VLOOKUP($B1002,Premissas!$A$4:$E$7,3,0))+K1002*VLOOKUP($B1002,Premissas!$A$4:$E$7,4,0)+L1002*VLOOKUP($B1002,Premissas!$A$4:$E$7,5,0))</f>
        <v/>
      </c>
      <c r="N1002" s="14">
        <f>H1002-M1002</f>
        <v/>
      </c>
      <c r="O1002" t="inlineStr">
        <is>
          <t>Não</t>
        </is>
      </c>
      <c r="P1002" t="inlineStr">
        <is>
          <t>1.350</t>
        </is>
      </c>
    </row>
    <row r="1003">
      <c r="A1003" t="inlineStr">
        <is>
          <t>Antes de 2026</t>
        </is>
      </c>
      <c r="B1003" t="inlineStr">
        <is>
          <t>Frete de venda</t>
        </is>
      </c>
      <c r="C1003" t="inlineStr">
        <is>
          <t>Frete de venda (para clientes)</t>
        </is>
      </c>
      <c r="D1003" t="inlineStr">
        <is>
          <t>CT-e</t>
        </is>
      </c>
      <c r="E1003" t="inlineStr">
        <is>
          <t>000004526</t>
        </is>
      </c>
      <c r="F1003" t="inlineStr">
        <is>
          <t>R&amp;R TRANSPORTE E LOGISTICA</t>
        </is>
      </c>
      <c r="G1003" s="27" t="n">
        <v>45835</v>
      </c>
      <c r="H1003" s="14" t="n">
        <v>70.34999999999999</v>
      </c>
      <c r="I1003" s="14" t="n">
        <v>0</v>
      </c>
      <c r="J1003" s="14" t="n">
        <v>0</v>
      </c>
      <c r="K1003" s="14" t="n">
        <v>0</v>
      </c>
      <c r="L1003" s="14" t="n">
        <v>0</v>
      </c>
      <c r="M1003" s="14">
        <f>IF(B1003="Frete de venda",0,(1-ISNUMBER(SEARCH("556",P1003)))*(I1003*VLOOKUP($B1003,Premissas!$A$4:$E$7,2,0)+J1003*VLOOKUP($B1003,Premissas!$A$4:$E$7,3,0))+K1003*VLOOKUP($B1003,Premissas!$A$4:$E$7,4,0)+L1003*VLOOKUP($B1003,Premissas!$A$4:$E$7,5,0))</f>
        <v/>
      </c>
      <c r="N1003" s="14">
        <f>H1003-M1003</f>
        <v/>
      </c>
      <c r="O1003" t="inlineStr">
        <is>
          <t>Não</t>
        </is>
      </c>
      <c r="P1003" t="inlineStr">
        <is>
          <t>1.350</t>
        </is>
      </c>
    </row>
    <row r="1004">
      <c r="A1004" t="inlineStr">
        <is>
          <t>Antes de 2026</t>
        </is>
      </c>
      <c r="B1004" t="inlineStr">
        <is>
          <t>Frete de venda</t>
        </is>
      </c>
      <c r="C1004" t="inlineStr">
        <is>
          <t>Frete de venda (para clientes)</t>
        </is>
      </c>
      <c r="D1004" t="inlineStr">
        <is>
          <t>CT-e</t>
        </is>
      </c>
      <c r="E1004" t="inlineStr">
        <is>
          <t>000004931</t>
        </is>
      </c>
      <c r="F1004" t="inlineStr">
        <is>
          <t>R&amp;R TRANSPORTE E LOGISTICA</t>
        </is>
      </c>
      <c r="G1004" s="27" t="n">
        <v>45884</v>
      </c>
      <c r="H1004" s="14" t="n">
        <v>13.87</v>
      </c>
      <c r="I1004" s="14" t="n">
        <v>0</v>
      </c>
      <c r="J1004" s="14" t="n">
        <v>0</v>
      </c>
      <c r="K1004" s="14" t="n">
        <v>0</v>
      </c>
      <c r="L1004" s="14" t="n">
        <v>0</v>
      </c>
      <c r="M1004" s="14">
        <f>IF(B1004="Frete de venda",0,(1-ISNUMBER(SEARCH("556",P1004)))*(I1004*VLOOKUP($B1004,Premissas!$A$4:$E$7,2,0)+J1004*VLOOKUP($B1004,Premissas!$A$4:$E$7,3,0))+K1004*VLOOKUP($B1004,Premissas!$A$4:$E$7,4,0)+L1004*VLOOKUP($B1004,Premissas!$A$4:$E$7,5,0))</f>
        <v/>
      </c>
      <c r="N1004" s="14">
        <f>H1004-M1004</f>
        <v/>
      </c>
      <c r="O1004" t="inlineStr">
        <is>
          <t>Não</t>
        </is>
      </c>
      <c r="P1004" t="inlineStr">
        <is>
          <t>1.350</t>
        </is>
      </c>
    </row>
    <row r="1005">
      <c r="A1005" t="inlineStr">
        <is>
          <t>Antes de 2026</t>
        </is>
      </c>
      <c r="B1005" t="inlineStr">
        <is>
          <t>Frete de venda</t>
        </is>
      </c>
      <c r="C1005" t="inlineStr">
        <is>
          <t>Frete de venda (para clientes)</t>
        </is>
      </c>
      <c r="D1005" t="inlineStr">
        <is>
          <t>CT-e</t>
        </is>
      </c>
      <c r="E1005" t="inlineStr">
        <is>
          <t>000005282</t>
        </is>
      </c>
      <c r="F1005" t="inlineStr">
        <is>
          <t>R&amp;R TRANSPORTE E LOGISTICA</t>
        </is>
      </c>
      <c r="G1005" s="27" t="n">
        <v>45926</v>
      </c>
      <c r="H1005" s="14" t="n">
        <v>143.25</v>
      </c>
      <c r="I1005" s="14" t="n">
        <v>0</v>
      </c>
      <c r="J1005" s="14" t="n">
        <v>0</v>
      </c>
      <c r="K1005" s="14" t="n">
        <v>0</v>
      </c>
      <c r="L1005" s="14" t="n">
        <v>0</v>
      </c>
      <c r="M1005" s="14">
        <f>IF(B1005="Frete de venda",0,(1-ISNUMBER(SEARCH("556",P1005)))*(I1005*VLOOKUP($B1005,Premissas!$A$4:$E$7,2,0)+J1005*VLOOKUP($B1005,Premissas!$A$4:$E$7,3,0))+K1005*VLOOKUP($B1005,Premissas!$A$4:$E$7,4,0)+L1005*VLOOKUP($B1005,Premissas!$A$4:$E$7,5,0))</f>
        <v/>
      </c>
      <c r="N1005" s="14">
        <f>H1005-M1005</f>
        <v/>
      </c>
      <c r="O1005" t="inlineStr">
        <is>
          <t>Não</t>
        </is>
      </c>
      <c r="P1005" t="inlineStr">
        <is>
          <t>1.350</t>
        </is>
      </c>
    </row>
    <row r="1006">
      <c r="A1006" t="inlineStr">
        <is>
          <t>Antes de 2026</t>
        </is>
      </c>
      <c r="B1006" t="inlineStr">
        <is>
          <t>Frete de venda</t>
        </is>
      </c>
      <c r="C1006" t="inlineStr">
        <is>
          <t>Frete de venda (para clientes)</t>
        </is>
      </c>
      <c r="D1006" t="inlineStr">
        <is>
          <t>CT-e</t>
        </is>
      </c>
      <c r="E1006" t="inlineStr">
        <is>
          <t>000005765</t>
        </is>
      </c>
      <c r="F1006" t="inlineStr">
        <is>
          <t>R&amp;R TRANSPORTE E LOGISTICA</t>
        </is>
      </c>
      <c r="G1006" s="27" t="n">
        <v>45981</v>
      </c>
      <c r="H1006" s="14" t="n">
        <v>96.69</v>
      </c>
      <c r="I1006" s="14" t="n">
        <v>0</v>
      </c>
      <c r="J1006" s="14" t="n">
        <v>0</v>
      </c>
      <c r="K1006" s="14" t="n">
        <v>0</v>
      </c>
      <c r="L1006" s="14" t="n">
        <v>0</v>
      </c>
      <c r="M1006" s="14">
        <f>IF(B1006="Frete de venda",0,(1-ISNUMBER(SEARCH("556",P1006)))*(I1006*VLOOKUP($B1006,Premissas!$A$4:$E$7,2,0)+J1006*VLOOKUP($B1006,Premissas!$A$4:$E$7,3,0))+K1006*VLOOKUP($B1006,Premissas!$A$4:$E$7,4,0)+L1006*VLOOKUP($B1006,Premissas!$A$4:$E$7,5,0))</f>
        <v/>
      </c>
      <c r="N1006" s="14">
        <f>H1006-M1006</f>
        <v/>
      </c>
      <c r="O1006" t="inlineStr">
        <is>
          <t>Não</t>
        </is>
      </c>
      <c r="P1006" t="inlineStr">
        <is>
          <t>1.350</t>
        </is>
      </c>
    </row>
    <row r="1007">
      <c r="A1007" t="inlineStr">
        <is>
          <t>Antes de 2026</t>
        </is>
      </c>
      <c r="B1007" t="inlineStr">
        <is>
          <t>Frete de venda</t>
        </is>
      </c>
      <c r="C1007" t="inlineStr">
        <is>
          <t>Frete de venda (para clientes)</t>
        </is>
      </c>
      <c r="D1007" t="inlineStr">
        <is>
          <t>CT-e</t>
        </is>
      </c>
      <c r="E1007" t="inlineStr">
        <is>
          <t>000004321</t>
        </is>
      </c>
      <c r="F1007" t="inlineStr">
        <is>
          <t>R&amp;R TRANSPORTE E LOGISTICA</t>
        </is>
      </c>
      <c r="G1007" s="27" t="n">
        <v>45806</v>
      </c>
      <c r="H1007" s="14" t="n">
        <v>25.1</v>
      </c>
      <c r="I1007" s="14" t="n">
        <v>0</v>
      </c>
      <c r="J1007" s="14" t="n">
        <v>0</v>
      </c>
      <c r="K1007" s="14" t="n">
        <v>0</v>
      </c>
      <c r="L1007" s="14" t="n">
        <v>0</v>
      </c>
      <c r="M1007" s="14">
        <f>IF(B1007="Frete de venda",0,(1-ISNUMBER(SEARCH("556",P1007)))*(I1007*VLOOKUP($B1007,Premissas!$A$4:$E$7,2,0)+J1007*VLOOKUP($B1007,Premissas!$A$4:$E$7,3,0))+K1007*VLOOKUP($B1007,Premissas!$A$4:$E$7,4,0)+L1007*VLOOKUP($B1007,Premissas!$A$4:$E$7,5,0))</f>
        <v/>
      </c>
      <c r="N1007" s="14">
        <f>H1007-M1007</f>
        <v/>
      </c>
      <c r="O1007" t="inlineStr">
        <is>
          <t>Não</t>
        </is>
      </c>
      <c r="P1007" t="inlineStr">
        <is>
          <t>1.350</t>
        </is>
      </c>
    </row>
    <row r="1008">
      <c r="A1008" t="inlineStr">
        <is>
          <t>Antes de 2026</t>
        </is>
      </c>
      <c r="B1008" t="inlineStr">
        <is>
          <t>Frete de venda</t>
        </is>
      </c>
      <c r="C1008" t="inlineStr">
        <is>
          <t>Frete de venda (para clientes)</t>
        </is>
      </c>
      <c r="D1008" t="inlineStr">
        <is>
          <t>CT-e</t>
        </is>
      </c>
      <c r="E1008" t="inlineStr">
        <is>
          <t>000004862</t>
        </is>
      </c>
      <c r="F1008" t="inlineStr">
        <is>
          <t>R&amp;R TRANSPORTE E LOGISTICA</t>
        </is>
      </c>
      <c r="G1008" s="27" t="n">
        <v>45877</v>
      </c>
      <c r="H1008" s="14" t="n">
        <v>92.7</v>
      </c>
      <c r="I1008" s="14" t="n">
        <v>0</v>
      </c>
      <c r="J1008" s="14" t="n">
        <v>0</v>
      </c>
      <c r="K1008" s="14" t="n">
        <v>0</v>
      </c>
      <c r="L1008" s="14" t="n">
        <v>0</v>
      </c>
      <c r="M1008" s="14">
        <f>IF(B1008="Frete de venda",0,(1-ISNUMBER(SEARCH("556",P1008)))*(I1008*VLOOKUP($B1008,Premissas!$A$4:$E$7,2,0)+J1008*VLOOKUP($B1008,Premissas!$A$4:$E$7,3,0))+K1008*VLOOKUP($B1008,Premissas!$A$4:$E$7,4,0)+L1008*VLOOKUP($B1008,Premissas!$A$4:$E$7,5,0))</f>
        <v/>
      </c>
      <c r="N1008" s="14">
        <f>H1008-M1008</f>
        <v/>
      </c>
      <c r="O1008" t="inlineStr">
        <is>
          <t>Não</t>
        </is>
      </c>
      <c r="P1008" t="inlineStr">
        <is>
          <t>1.350</t>
        </is>
      </c>
    </row>
    <row r="1009">
      <c r="A1009" t="inlineStr">
        <is>
          <t>Antes de 2026</t>
        </is>
      </c>
      <c r="B1009" t="inlineStr">
        <is>
          <t>Frete de venda</t>
        </is>
      </c>
      <c r="C1009" t="inlineStr">
        <is>
          <t>Frete de venda (para clientes)</t>
        </is>
      </c>
      <c r="D1009" t="inlineStr">
        <is>
          <t>CT-e</t>
        </is>
      </c>
      <c r="E1009" t="inlineStr">
        <is>
          <t>000005314</t>
        </is>
      </c>
      <c r="F1009" t="inlineStr">
        <is>
          <t>R&amp;R TRANSPORTE E LOGISTICA</t>
        </is>
      </c>
      <c r="G1009" s="27" t="n">
        <v>45929</v>
      </c>
      <c r="H1009" s="14" t="n">
        <v>17.93</v>
      </c>
      <c r="I1009" s="14" t="n">
        <v>0</v>
      </c>
      <c r="J1009" s="14" t="n">
        <v>0</v>
      </c>
      <c r="K1009" s="14" t="n">
        <v>0</v>
      </c>
      <c r="L1009" s="14" t="n">
        <v>0</v>
      </c>
      <c r="M1009" s="14">
        <f>IF(B1009="Frete de venda",0,(1-ISNUMBER(SEARCH("556",P1009)))*(I1009*VLOOKUP($B1009,Premissas!$A$4:$E$7,2,0)+J1009*VLOOKUP($B1009,Premissas!$A$4:$E$7,3,0))+K1009*VLOOKUP($B1009,Premissas!$A$4:$E$7,4,0)+L1009*VLOOKUP($B1009,Premissas!$A$4:$E$7,5,0))</f>
        <v/>
      </c>
      <c r="N1009" s="14">
        <f>H1009-M1009</f>
        <v/>
      </c>
      <c r="O1009" t="inlineStr">
        <is>
          <t>Não</t>
        </is>
      </c>
      <c r="P1009" t="inlineStr">
        <is>
          <t>1.350</t>
        </is>
      </c>
    </row>
    <row r="1010">
      <c r="A1010" t="inlineStr">
        <is>
          <t>Antes de 2026</t>
        </is>
      </c>
      <c r="B1010" t="inlineStr">
        <is>
          <t>Frete de venda</t>
        </is>
      </c>
      <c r="C1010" t="inlineStr">
        <is>
          <t>Frete de venda (para clientes)</t>
        </is>
      </c>
      <c r="D1010" t="inlineStr">
        <is>
          <t>CT-e</t>
        </is>
      </c>
      <c r="E1010" t="inlineStr">
        <is>
          <t>000004647</t>
        </is>
      </c>
      <c r="F1010" t="inlineStr">
        <is>
          <t>R&amp;R TRANSPORTE E LOGISTICA</t>
        </is>
      </c>
      <c r="G1010" s="27" t="n">
        <v>45854</v>
      </c>
      <c r="H1010" s="14" t="n">
        <v>235</v>
      </c>
      <c r="I1010" s="14" t="n">
        <v>0</v>
      </c>
      <c r="J1010" s="14" t="n">
        <v>0</v>
      </c>
      <c r="K1010" s="14" t="n">
        <v>0</v>
      </c>
      <c r="L1010" s="14" t="n">
        <v>0</v>
      </c>
      <c r="M1010" s="14">
        <f>IF(B1010="Frete de venda",0,(1-ISNUMBER(SEARCH("556",P1010)))*(I1010*VLOOKUP($B1010,Premissas!$A$4:$E$7,2,0)+J1010*VLOOKUP($B1010,Premissas!$A$4:$E$7,3,0))+K1010*VLOOKUP($B1010,Premissas!$A$4:$E$7,4,0)+L1010*VLOOKUP($B1010,Premissas!$A$4:$E$7,5,0))</f>
        <v/>
      </c>
      <c r="N1010" s="14">
        <f>H1010-M1010</f>
        <v/>
      </c>
      <c r="O1010" t="inlineStr">
        <is>
          <t>Não</t>
        </is>
      </c>
      <c r="P1010" t="inlineStr">
        <is>
          <t>1.350</t>
        </is>
      </c>
    </row>
    <row r="1011">
      <c r="A1011" t="inlineStr">
        <is>
          <t>Antes de 2026</t>
        </is>
      </c>
      <c r="B1011" t="inlineStr">
        <is>
          <t>Frete de venda</t>
        </is>
      </c>
      <c r="C1011" t="inlineStr">
        <is>
          <t>Frete de venda (para clientes)</t>
        </is>
      </c>
      <c r="D1011" t="inlineStr">
        <is>
          <t>CT-e</t>
        </is>
      </c>
      <c r="E1011" t="inlineStr">
        <is>
          <t>000004326</t>
        </is>
      </c>
      <c r="F1011" t="inlineStr">
        <is>
          <t>R&amp;R TRANSPORTE E LOGISTICA</t>
        </is>
      </c>
      <c r="G1011" s="27" t="n">
        <v>45806</v>
      </c>
      <c r="H1011" s="14" t="n">
        <v>46.8</v>
      </c>
      <c r="I1011" s="14" t="n">
        <v>0</v>
      </c>
      <c r="J1011" s="14" t="n">
        <v>0</v>
      </c>
      <c r="K1011" s="14" t="n">
        <v>0</v>
      </c>
      <c r="L1011" s="14" t="n">
        <v>0</v>
      </c>
      <c r="M1011" s="14">
        <f>IF(B1011="Frete de venda",0,(1-ISNUMBER(SEARCH("556",P1011)))*(I1011*VLOOKUP($B1011,Premissas!$A$4:$E$7,2,0)+J1011*VLOOKUP($B1011,Premissas!$A$4:$E$7,3,0))+K1011*VLOOKUP($B1011,Premissas!$A$4:$E$7,4,0)+L1011*VLOOKUP($B1011,Premissas!$A$4:$E$7,5,0))</f>
        <v/>
      </c>
      <c r="N1011" s="14">
        <f>H1011-M1011</f>
        <v/>
      </c>
      <c r="O1011" t="inlineStr">
        <is>
          <t>Não</t>
        </is>
      </c>
      <c r="P1011" t="inlineStr">
        <is>
          <t>1.350</t>
        </is>
      </c>
    </row>
    <row r="1012">
      <c r="A1012" t="inlineStr">
        <is>
          <t>Antes de 2026</t>
        </is>
      </c>
      <c r="B1012" t="inlineStr">
        <is>
          <t>Frete de venda</t>
        </is>
      </c>
      <c r="C1012" t="inlineStr">
        <is>
          <t>Frete de venda (para clientes)</t>
        </is>
      </c>
      <c r="D1012" t="inlineStr">
        <is>
          <t>CT-e</t>
        </is>
      </c>
      <c r="E1012" t="inlineStr">
        <is>
          <t>000005048</t>
        </is>
      </c>
      <c r="F1012" t="inlineStr">
        <is>
          <t>R&amp;R TRANSPORTE E LOGISTICA</t>
        </is>
      </c>
      <c r="G1012" s="27" t="n">
        <v>45896</v>
      </c>
      <c r="H1012" s="14" t="n">
        <v>50.1</v>
      </c>
      <c r="I1012" s="14" t="n">
        <v>0</v>
      </c>
      <c r="J1012" s="14" t="n">
        <v>0</v>
      </c>
      <c r="K1012" s="14" t="n">
        <v>0</v>
      </c>
      <c r="L1012" s="14" t="n">
        <v>0</v>
      </c>
      <c r="M1012" s="14">
        <f>IF(B1012="Frete de venda",0,(1-ISNUMBER(SEARCH("556",P1012)))*(I1012*VLOOKUP($B1012,Premissas!$A$4:$E$7,2,0)+J1012*VLOOKUP($B1012,Premissas!$A$4:$E$7,3,0))+K1012*VLOOKUP($B1012,Premissas!$A$4:$E$7,4,0)+L1012*VLOOKUP($B1012,Premissas!$A$4:$E$7,5,0))</f>
        <v/>
      </c>
      <c r="N1012" s="14">
        <f>H1012-M1012</f>
        <v/>
      </c>
      <c r="O1012" t="inlineStr">
        <is>
          <t>Não</t>
        </is>
      </c>
      <c r="P1012" t="inlineStr">
        <is>
          <t>1.350</t>
        </is>
      </c>
    </row>
    <row r="1013">
      <c r="A1013" t="inlineStr">
        <is>
          <t>Antes de 2026</t>
        </is>
      </c>
      <c r="B1013" t="inlineStr">
        <is>
          <t>Frete de venda</t>
        </is>
      </c>
      <c r="C1013" t="inlineStr">
        <is>
          <t>Frete de venda (para clientes)</t>
        </is>
      </c>
      <c r="D1013" t="inlineStr">
        <is>
          <t>CT-e</t>
        </is>
      </c>
      <c r="E1013" t="inlineStr">
        <is>
          <t>000005240</t>
        </is>
      </c>
      <c r="F1013" t="inlineStr">
        <is>
          <t>R&amp;R TRANSPORTE E LOGISTICA</t>
        </is>
      </c>
      <c r="G1013" s="27" t="n">
        <v>45918</v>
      </c>
      <c r="H1013" s="14" t="n">
        <v>40.99</v>
      </c>
      <c r="I1013" s="14" t="n">
        <v>0</v>
      </c>
      <c r="J1013" s="14" t="n">
        <v>0</v>
      </c>
      <c r="K1013" s="14" t="n">
        <v>0</v>
      </c>
      <c r="L1013" s="14" t="n">
        <v>0</v>
      </c>
      <c r="M1013" s="14">
        <f>IF(B1013="Frete de venda",0,(1-ISNUMBER(SEARCH("556",P1013)))*(I1013*VLOOKUP($B1013,Premissas!$A$4:$E$7,2,0)+J1013*VLOOKUP($B1013,Premissas!$A$4:$E$7,3,0))+K1013*VLOOKUP($B1013,Premissas!$A$4:$E$7,4,0)+L1013*VLOOKUP($B1013,Premissas!$A$4:$E$7,5,0))</f>
        <v/>
      </c>
      <c r="N1013" s="14">
        <f>H1013-M1013</f>
        <v/>
      </c>
      <c r="O1013" t="inlineStr">
        <is>
          <t>Não</t>
        </is>
      </c>
      <c r="P1013" t="inlineStr">
        <is>
          <t>1.350</t>
        </is>
      </c>
    </row>
    <row r="1014">
      <c r="A1014" t="inlineStr">
        <is>
          <t>Antes de 2026</t>
        </is>
      </c>
      <c r="B1014" t="inlineStr">
        <is>
          <t>Frete de venda</t>
        </is>
      </c>
      <c r="C1014" t="inlineStr">
        <is>
          <t>Frete de venda (para clientes)</t>
        </is>
      </c>
      <c r="D1014" t="inlineStr">
        <is>
          <t>CT-e</t>
        </is>
      </c>
      <c r="E1014" t="inlineStr">
        <is>
          <t>000004208</t>
        </is>
      </c>
      <c r="F1014" t="inlineStr">
        <is>
          <t>R&amp;R TRANSPORTE E LOGISTICA</t>
        </is>
      </c>
      <c r="G1014" s="27" t="n">
        <v>45790</v>
      </c>
      <c r="H1014" s="14" t="n">
        <v>40.95</v>
      </c>
      <c r="I1014" s="14" t="n">
        <v>0</v>
      </c>
      <c r="J1014" s="14" t="n">
        <v>0</v>
      </c>
      <c r="K1014" s="14" t="n">
        <v>0</v>
      </c>
      <c r="L1014" s="14" t="n">
        <v>0</v>
      </c>
      <c r="M1014" s="14">
        <f>IF(B1014="Frete de venda",0,(1-ISNUMBER(SEARCH("556",P1014)))*(I1014*VLOOKUP($B1014,Premissas!$A$4:$E$7,2,0)+J1014*VLOOKUP($B1014,Premissas!$A$4:$E$7,3,0))+K1014*VLOOKUP($B1014,Premissas!$A$4:$E$7,4,0)+L1014*VLOOKUP($B1014,Premissas!$A$4:$E$7,5,0))</f>
        <v/>
      </c>
      <c r="N1014" s="14">
        <f>H1014-M1014</f>
        <v/>
      </c>
      <c r="O1014" t="inlineStr">
        <is>
          <t>Não</t>
        </is>
      </c>
      <c r="P1014" t="inlineStr">
        <is>
          <t>1.350</t>
        </is>
      </c>
    </row>
    <row r="1015">
      <c r="A1015" t="inlineStr">
        <is>
          <t>Antes de 2026</t>
        </is>
      </c>
      <c r="B1015" t="inlineStr">
        <is>
          <t>Frete de venda</t>
        </is>
      </c>
      <c r="C1015" t="inlineStr">
        <is>
          <t>Frete de venda (para clientes)</t>
        </is>
      </c>
      <c r="D1015" t="inlineStr">
        <is>
          <t>CT-e</t>
        </is>
      </c>
      <c r="E1015" t="inlineStr">
        <is>
          <t>000004678</t>
        </is>
      </c>
      <c r="F1015" t="inlineStr">
        <is>
          <t>R&amp;R TRANSPORTE E LOGISTICA</t>
        </is>
      </c>
      <c r="G1015" s="27" t="n">
        <v>45856</v>
      </c>
      <c r="H1015" s="14" t="n">
        <v>24.77</v>
      </c>
      <c r="I1015" s="14" t="n">
        <v>0</v>
      </c>
      <c r="J1015" s="14" t="n">
        <v>0</v>
      </c>
      <c r="K1015" s="14" t="n">
        <v>0</v>
      </c>
      <c r="L1015" s="14" t="n">
        <v>0</v>
      </c>
      <c r="M1015" s="14">
        <f>IF(B1015="Frete de venda",0,(1-ISNUMBER(SEARCH("556",P1015)))*(I1015*VLOOKUP($B1015,Premissas!$A$4:$E$7,2,0)+J1015*VLOOKUP($B1015,Premissas!$A$4:$E$7,3,0))+K1015*VLOOKUP($B1015,Premissas!$A$4:$E$7,4,0)+L1015*VLOOKUP($B1015,Premissas!$A$4:$E$7,5,0))</f>
        <v/>
      </c>
      <c r="N1015" s="14">
        <f>H1015-M1015</f>
        <v/>
      </c>
      <c r="O1015" t="inlineStr">
        <is>
          <t>Não</t>
        </is>
      </c>
      <c r="P1015" t="inlineStr">
        <is>
          <t>1.350</t>
        </is>
      </c>
    </row>
    <row r="1016">
      <c r="A1016" t="inlineStr">
        <is>
          <t>Antes de 2026</t>
        </is>
      </c>
      <c r="B1016" t="inlineStr">
        <is>
          <t>Frete de venda</t>
        </is>
      </c>
      <c r="C1016" t="inlineStr">
        <is>
          <t>Frete de venda (para clientes)</t>
        </is>
      </c>
      <c r="D1016" t="inlineStr">
        <is>
          <t>CT-e</t>
        </is>
      </c>
      <c r="E1016" t="inlineStr">
        <is>
          <t>000005325</t>
        </is>
      </c>
      <c r="F1016" t="inlineStr">
        <is>
          <t>R&amp;R TRANSPORTE E LOGISTICA</t>
        </is>
      </c>
      <c r="G1016" s="27" t="n">
        <v>45929</v>
      </c>
      <c r="H1016" s="14" t="n">
        <v>17.65</v>
      </c>
      <c r="I1016" s="14" t="n">
        <v>0</v>
      </c>
      <c r="J1016" s="14" t="n">
        <v>0</v>
      </c>
      <c r="K1016" s="14" t="n">
        <v>0</v>
      </c>
      <c r="L1016" s="14" t="n">
        <v>0</v>
      </c>
      <c r="M1016" s="14">
        <f>IF(B1016="Frete de venda",0,(1-ISNUMBER(SEARCH("556",P1016)))*(I1016*VLOOKUP($B1016,Premissas!$A$4:$E$7,2,0)+J1016*VLOOKUP($B1016,Premissas!$A$4:$E$7,3,0))+K1016*VLOOKUP($B1016,Premissas!$A$4:$E$7,4,0)+L1016*VLOOKUP($B1016,Premissas!$A$4:$E$7,5,0))</f>
        <v/>
      </c>
      <c r="N1016" s="14">
        <f>H1016-M1016</f>
        <v/>
      </c>
      <c r="O1016" t="inlineStr">
        <is>
          <t>Não</t>
        </is>
      </c>
      <c r="P1016" t="inlineStr">
        <is>
          <t>1.350</t>
        </is>
      </c>
    </row>
    <row r="1017">
      <c r="A1017" t="inlineStr">
        <is>
          <t>Antes de 2026</t>
        </is>
      </c>
      <c r="B1017" t="inlineStr">
        <is>
          <t>Frete de venda</t>
        </is>
      </c>
      <c r="C1017" t="inlineStr">
        <is>
          <t>Frete de venda (para clientes)</t>
        </is>
      </c>
      <c r="D1017" t="inlineStr">
        <is>
          <t>CT-e</t>
        </is>
      </c>
      <c r="E1017" t="inlineStr">
        <is>
          <t>000004864</t>
        </is>
      </c>
      <c r="F1017" t="inlineStr">
        <is>
          <t>R&amp;R TRANSPORTE E LOGISTICA</t>
        </is>
      </c>
      <c r="G1017" s="27" t="n">
        <v>45877</v>
      </c>
      <c r="H1017" s="14" t="n">
        <v>35.16</v>
      </c>
      <c r="I1017" s="14" t="n">
        <v>0</v>
      </c>
      <c r="J1017" s="14" t="n">
        <v>0</v>
      </c>
      <c r="K1017" s="14" t="n">
        <v>0</v>
      </c>
      <c r="L1017" s="14" t="n">
        <v>0</v>
      </c>
      <c r="M1017" s="14">
        <f>IF(B1017="Frete de venda",0,(1-ISNUMBER(SEARCH("556",P1017)))*(I1017*VLOOKUP($B1017,Premissas!$A$4:$E$7,2,0)+J1017*VLOOKUP($B1017,Premissas!$A$4:$E$7,3,0))+K1017*VLOOKUP($B1017,Premissas!$A$4:$E$7,4,0)+L1017*VLOOKUP($B1017,Premissas!$A$4:$E$7,5,0))</f>
        <v/>
      </c>
      <c r="N1017" s="14">
        <f>H1017-M1017</f>
        <v/>
      </c>
      <c r="O1017" t="inlineStr">
        <is>
          <t>Não</t>
        </is>
      </c>
      <c r="P1017" t="inlineStr">
        <is>
          <t>1.350</t>
        </is>
      </c>
    </row>
    <row r="1018">
      <c r="A1018" t="inlineStr">
        <is>
          <t>Antes de 2026</t>
        </is>
      </c>
      <c r="B1018" t="inlineStr">
        <is>
          <t>Frete de venda</t>
        </is>
      </c>
      <c r="C1018" t="inlineStr">
        <is>
          <t>Frete de venda (para clientes)</t>
        </is>
      </c>
      <c r="D1018" t="inlineStr">
        <is>
          <t>CT-e</t>
        </is>
      </c>
      <c r="E1018" t="inlineStr">
        <is>
          <t>000004319</t>
        </is>
      </c>
      <c r="F1018" t="inlineStr">
        <is>
          <t>R&amp;R TRANSPORTE E LOGISTICA</t>
        </is>
      </c>
      <c r="G1018" s="27" t="n">
        <v>45806</v>
      </c>
      <c r="H1018" s="14" t="n">
        <v>30.18</v>
      </c>
      <c r="I1018" s="14" t="n">
        <v>0</v>
      </c>
      <c r="J1018" s="14" t="n">
        <v>0</v>
      </c>
      <c r="K1018" s="14" t="n">
        <v>0</v>
      </c>
      <c r="L1018" s="14" t="n">
        <v>0</v>
      </c>
      <c r="M1018" s="14">
        <f>IF(B1018="Frete de venda",0,(1-ISNUMBER(SEARCH("556",P1018)))*(I1018*VLOOKUP($B1018,Premissas!$A$4:$E$7,2,0)+J1018*VLOOKUP($B1018,Premissas!$A$4:$E$7,3,0))+K1018*VLOOKUP($B1018,Premissas!$A$4:$E$7,4,0)+L1018*VLOOKUP($B1018,Premissas!$A$4:$E$7,5,0))</f>
        <v/>
      </c>
      <c r="N1018" s="14">
        <f>H1018-M1018</f>
        <v/>
      </c>
      <c r="O1018" t="inlineStr">
        <is>
          <t>Não</t>
        </is>
      </c>
      <c r="P1018" t="inlineStr">
        <is>
          <t>1.350</t>
        </is>
      </c>
    </row>
    <row r="1019">
      <c r="A1019" t="inlineStr">
        <is>
          <t>Antes de 2026</t>
        </is>
      </c>
      <c r="B1019" t="inlineStr">
        <is>
          <t>Frete de venda</t>
        </is>
      </c>
      <c r="C1019" t="inlineStr">
        <is>
          <t>Frete de venda (para clientes)</t>
        </is>
      </c>
      <c r="D1019" t="inlineStr">
        <is>
          <t>CT-e</t>
        </is>
      </c>
      <c r="E1019" t="inlineStr">
        <is>
          <t>000004737</t>
        </is>
      </c>
      <c r="F1019" t="inlineStr">
        <is>
          <t>R&amp;R TRANSPORTE E LOGISTICA</t>
        </is>
      </c>
      <c r="G1019" s="27" t="n">
        <v>45863</v>
      </c>
      <c r="H1019" s="14" t="n">
        <v>46.4</v>
      </c>
      <c r="I1019" s="14" t="n">
        <v>0</v>
      </c>
      <c r="J1019" s="14" t="n">
        <v>0</v>
      </c>
      <c r="K1019" s="14" t="n">
        <v>0</v>
      </c>
      <c r="L1019" s="14" t="n">
        <v>0</v>
      </c>
      <c r="M1019" s="14">
        <f>IF(B1019="Frete de venda",0,(1-ISNUMBER(SEARCH("556",P1019)))*(I1019*VLOOKUP($B1019,Premissas!$A$4:$E$7,2,0)+J1019*VLOOKUP($B1019,Premissas!$A$4:$E$7,3,0))+K1019*VLOOKUP($B1019,Premissas!$A$4:$E$7,4,0)+L1019*VLOOKUP($B1019,Premissas!$A$4:$E$7,5,0))</f>
        <v/>
      </c>
      <c r="N1019" s="14">
        <f>H1019-M1019</f>
        <v/>
      </c>
      <c r="O1019" t="inlineStr">
        <is>
          <t>Não</t>
        </is>
      </c>
      <c r="P1019" t="inlineStr">
        <is>
          <t>1.350</t>
        </is>
      </c>
    </row>
    <row r="1020">
      <c r="A1020" t="inlineStr">
        <is>
          <t>Antes de 2026</t>
        </is>
      </c>
      <c r="B1020" t="inlineStr">
        <is>
          <t>Frete de venda</t>
        </is>
      </c>
      <c r="C1020" t="inlineStr">
        <is>
          <t>Frete de venda (para clientes)</t>
        </is>
      </c>
      <c r="D1020" t="inlineStr">
        <is>
          <t>CT-e</t>
        </is>
      </c>
      <c r="E1020" t="inlineStr">
        <is>
          <t>000005055</t>
        </is>
      </c>
      <c r="F1020" t="inlineStr">
        <is>
          <t>R&amp;R TRANSPORTE E LOGISTICA</t>
        </is>
      </c>
      <c r="G1020" s="27" t="n">
        <v>45896</v>
      </c>
      <c r="H1020" s="14" t="n">
        <v>17.62</v>
      </c>
      <c r="I1020" s="14" t="n">
        <v>0</v>
      </c>
      <c r="J1020" s="14" t="n">
        <v>0</v>
      </c>
      <c r="K1020" s="14" t="n">
        <v>0</v>
      </c>
      <c r="L1020" s="14" t="n">
        <v>0</v>
      </c>
      <c r="M1020" s="14">
        <f>IF(B1020="Frete de venda",0,(1-ISNUMBER(SEARCH("556",P1020)))*(I1020*VLOOKUP($B1020,Premissas!$A$4:$E$7,2,0)+J1020*VLOOKUP($B1020,Premissas!$A$4:$E$7,3,0))+K1020*VLOOKUP($B1020,Premissas!$A$4:$E$7,4,0)+L1020*VLOOKUP($B1020,Premissas!$A$4:$E$7,5,0))</f>
        <v/>
      </c>
      <c r="N1020" s="14">
        <f>H1020-M1020</f>
        <v/>
      </c>
      <c r="O1020" t="inlineStr">
        <is>
          <t>Não</t>
        </is>
      </c>
      <c r="P1020" t="inlineStr">
        <is>
          <t>1.350</t>
        </is>
      </c>
    </row>
    <row r="1021">
      <c r="A1021" t="inlineStr">
        <is>
          <t>Antes de 2026</t>
        </is>
      </c>
      <c r="B1021" t="inlineStr">
        <is>
          <t>Frete de venda</t>
        </is>
      </c>
      <c r="C1021" t="inlineStr">
        <is>
          <t>Frete de venda (para clientes)</t>
        </is>
      </c>
      <c r="D1021" t="inlineStr">
        <is>
          <t>CT-e</t>
        </is>
      </c>
      <c r="E1021" t="inlineStr">
        <is>
          <t>000005854</t>
        </is>
      </c>
      <c r="F1021" t="inlineStr">
        <is>
          <t>R&amp;R TRANSPORTE E LOGISTICA</t>
        </is>
      </c>
      <c r="G1021" s="27" t="n">
        <v>45988</v>
      </c>
      <c r="H1021" s="14" t="n">
        <v>23.25</v>
      </c>
      <c r="I1021" s="14" t="n">
        <v>0</v>
      </c>
      <c r="J1021" s="14" t="n">
        <v>0</v>
      </c>
      <c r="K1021" s="14" t="n">
        <v>0</v>
      </c>
      <c r="L1021" s="14" t="n">
        <v>0</v>
      </c>
      <c r="M1021" s="14">
        <f>IF(B1021="Frete de venda",0,(1-ISNUMBER(SEARCH("556",P1021)))*(I1021*VLOOKUP($B1021,Premissas!$A$4:$E$7,2,0)+J1021*VLOOKUP($B1021,Premissas!$A$4:$E$7,3,0))+K1021*VLOOKUP($B1021,Premissas!$A$4:$E$7,4,0)+L1021*VLOOKUP($B1021,Premissas!$A$4:$E$7,5,0))</f>
        <v/>
      </c>
      <c r="N1021" s="14">
        <f>H1021-M1021</f>
        <v/>
      </c>
      <c r="O1021" t="inlineStr">
        <is>
          <t>Não</t>
        </is>
      </c>
      <c r="P1021" t="inlineStr">
        <is>
          <t>1.350</t>
        </is>
      </c>
    </row>
    <row r="1022">
      <c r="A1022" t="inlineStr">
        <is>
          <t>Antes de 2026</t>
        </is>
      </c>
      <c r="B1022" t="inlineStr">
        <is>
          <t>Frete de venda</t>
        </is>
      </c>
      <c r="C1022" t="inlineStr">
        <is>
          <t>Frete de venda (para clientes)</t>
        </is>
      </c>
      <c r="D1022" t="inlineStr">
        <is>
          <t>CT-e</t>
        </is>
      </c>
      <c r="E1022" t="inlineStr">
        <is>
          <t>000004299</t>
        </is>
      </c>
      <c r="F1022" t="inlineStr">
        <is>
          <t>R&amp;R TRANSPORTE E LOGISTICA</t>
        </is>
      </c>
      <c r="G1022" s="27" t="n">
        <v>45805</v>
      </c>
      <c r="H1022" s="14" t="n">
        <v>94.15000000000001</v>
      </c>
      <c r="I1022" s="14" t="n">
        <v>0</v>
      </c>
      <c r="J1022" s="14" t="n">
        <v>0</v>
      </c>
      <c r="K1022" s="14" t="n">
        <v>0</v>
      </c>
      <c r="L1022" s="14" t="n">
        <v>0</v>
      </c>
      <c r="M1022" s="14">
        <f>IF(B1022="Frete de venda",0,(1-ISNUMBER(SEARCH("556",P1022)))*(I1022*VLOOKUP($B1022,Premissas!$A$4:$E$7,2,0)+J1022*VLOOKUP($B1022,Premissas!$A$4:$E$7,3,0))+K1022*VLOOKUP($B1022,Premissas!$A$4:$E$7,4,0)+L1022*VLOOKUP($B1022,Premissas!$A$4:$E$7,5,0))</f>
        <v/>
      </c>
      <c r="N1022" s="14">
        <f>H1022-M1022</f>
        <v/>
      </c>
      <c r="O1022" t="inlineStr">
        <is>
          <t>Não</t>
        </is>
      </c>
      <c r="P1022" t="inlineStr">
        <is>
          <t>1.350</t>
        </is>
      </c>
    </row>
    <row r="1023">
      <c r="A1023" t="inlineStr">
        <is>
          <t>Antes de 2026</t>
        </is>
      </c>
      <c r="B1023" t="inlineStr">
        <is>
          <t>Frete de venda</t>
        </is>
      </c>
      <c r="C1023" t="inlineStr">
        <is>
          <t>Frete de venda (para clientes)</t>
        </is>
      </c>
      <c r="D1023" t="inlineStr">
        <is>
          <t>CT-e</t>
        </is>
      </c>
      <c r="E1023" t="inlineStr">
        <is>
          <t>000000385</t>
        </is>
      </c>
      <c r="F1023" t="inlineStr">
        <is>
          <t>ADIL CARLOS DA SILVA</t>
        </is>
      </c>
      <c r="G1023" s="27" t="n">
        <v>45916</v>
      </c>
      <c r="H1023" s="14" t="n">
        <v>1</v>
      </c>
      <c r="I1023" s="14" t="n">
        <v>0</v>
      </c>
      <c r="J1023" s="14" t="n">
        <v>0</v>
      </c>
      <c r="K1023" s="14" t="n">
        <v>0</v>
      </c>
      <c r="L1023" s="14" t="n">
        <v>0</v>
      </c>
      <c r="M1023" s="14">
        <f>IF(B1023="Frete de venda",0,(1-ISNUMBER(SEARCH("556",P1023)))*(I1023*VLOOKUP($B1023,Premissas!$A$4:$E$7,2,0)+J1023*VLOOKUP($B1023,Premissas!$A$4:$E$7,3,0))+K1023*VLOOKUP($B1023,Premissas!$A$4:$E$7,4,0)+L1023*VLOOKUP($B1023,Premissas!$A$4:$E$7,5,0))</f>
        <v/>
      </c>
      <c r="N1023" s="14">
        <f>H1023-M1023</f>
        <v/>
      </c>
      <c r="O1023" t="inlineStr">
        <is>
          <t>Não</t>
        </is>
      </c>
      <c r="P1023" t="inlineStr">
        <is>
          <t>2.350</t>
        </is>
      </c>
    </row>
    <row r="1024">
      <c r="A1024" t="inlineStr">
        <is>
          <t>Antes de 2026</t>
        </is>
      </c>
      <c r="B1024" t="inlineStr">
        <is>
          <t>Frete de venda</t>
        </is>
      </c>
      <c r="C1024" t="inlineStr">
        <is>
          <t>Frete de venda (para clientes)</t>
        </is>
      </c>
      <c r="D1024" t="inlineStr">
        <is>
          <t>CT-e</t>
        </is>
      </c>
      <c r="E1024" t="inlineStr">
        <is>
          <t>000005648</t>
        </is>
      </c>
      <c r="F1024" t="inlineStr">
        <is>
          <t>R&amp;R TRANSPORTE E LOGISTICA</t>
        </is>
      </c>
      <c r="G1024" s="27" t="n">
        <v>45961</v>
      </c>
      <c r="H1024" s="14" t="n">
        <v>41.14</v>
      </c>
      <c r="I1024" s="14" t="n">
        <v>0</v>
      </c>
      <c r="J1024" s="14" t="n">
        <v>0</v>
      </c>
      <c r="K1024" s="14" t="n">
        <v>0</v>
      </c>
      <c r="L1024" s="14" t="n">
        <v>0</v>
      </c>
      <c r="M1024" s="14">
        <f>IF(B1024="Frete de venda",0,(1-ISNUMBER(SEARCH("556",P1024)))*(I1024*VLOOKUP($B1024,Premissas!$A$4:$E$7,2,0)+J1024*VLOOKUP($B1024,Premissas!$A$4:$E$7,3,0))+K1024*VLOOKUP($B1024,Premissas!$A$4:$E$7,4,0)+L1024*VLOOKUP($B1024,Premissas!$A$4:$E$7,5,0))</f>
        <v/>
      </c>
      <c r="N1024" s="14">
        <f>H1024-M1024</f>
        <v/>
      </c>
      <c r="O1024" t="inlineStr">
        <is>
          <t>Não</t>
        </is>
      </c>
      <c r="P1024" t="inlineStr">
        <is>
          <t>1.350</t>
        </is>
      </c>
    </row>
    <row r="1025">
      <c r="A1025" t="inlineStr">
        <is>
          <t>Antes de 2026</t>
        </is>
      </c>
      <c r="B1025" t="inlineStr">
        <is>
          <t>Frete de venda</t>
        </is>
      </c>
      <c r="C1025" t="inlineStr">
        <is>
          <t>Frete de venda (para clientes)</t>
        </is>
      </c>
      <c r="D1025" t="inlineStr">
        <is>
          <t>CT-e</t>
        </is>
      </c>
      <c r="E1025" t="inlineStr">
        <is>
          <t>000004685</t>
        </is>
      </c>
      <c r="F1025" t="inlineStr">
        <is>
          <t>R&amp;R TRANSPORTE E LOGISTICA</t>
        </is>
      </c>
      <c r="G1025" s="27" t="n">
        <v>45856</v>
      </c>
      <c r="H1025" s="14" t="n">
        <v>20.54</v>
      </c>
      <c r="I1025" s="14" t="n">
        <v>0</v>
      </c>
      <c r="J1025" s="14" t="n">
        <v>0</v>
      </c>
      <c r="K1025" s="14" t="n">
        <v>0</v>
      </c>
      <c r="L1025" s="14" t="n">
        <v>0</v>
      </c>
      <c r="M1025" s="14">
        <f>IF(B1025="Frete de venda",0,(1-ISNUMBER(SEARCH("556",P1025)))*(I1025*VLOOKUP($B1025,Premissas!$A$4:$E$7,2,0)+J1025*VLOOKUP($B1025,Premissas!$A$4:$E$7,3,0))+K1025*VLOOKUP($B1025,Premissas!$A$4:$E$7,4,0)+L1025*VLOOKUP($B1025,Premissas!$A$4:$E$7,5,0))</f>
        <v/>
      </c>
      <c r="N1025" s="14">
        <f>H1025-M1025</f>
        <v/>
      </c>
      <c r="O1025" t="inlineStr">
        <is>
          <t>Não</t>
        </is>
      </c>
      <c r="P1025" t="inlineStr">
        <is>
          <t>1.350</t>
        </is>
      </c>
    </row>
    <row r="1026">
      <c r="A1026" t="inlineStr">
        <is>
          <t>Antes de 2026</t>
        </is>
      </c>
      <c r="B1026" t="inlineStr">
        <is>
          <t>Frete de venda</t>
        </is>
      </c>
      <c r="C1026" t="inlineStr">
        <is>
          <t>Frete de venda (para clientes)</t>
        </is>
      </c>
      <c r="D1026" t="inlineStr">
        <is>
          <t>CT-e</t>
        </is>
      </c>
      <c r="E1026" t="inlineStr">
        <is>
          <t>000005342</t>
        </is>
      </c>
      <c r="F1026" t="inlineStr">
        <is>
          <t>R&amp;R TRANSPORTE E LOGISTICA</t>
        </is>
      </c>
      <c r="G1026" s="27" t="n">
        <v>45929</v>
      </c>
      <c r="H1026" s="14" t="n">
        <v>12.69</v>
      </c>
      <c r="I1026" s="14" t="n">
        <v>0</v>
      </c>
      <c r="J1026" s="14" t="n">
        <v>0</v>
      </c>
      <c r="K1026" s="14" t="n">
        <v>0</v>
      </c>
      <c r="L1026" s="14" t="n">
        <v>0</v>
      </c>
      <c r="M1026" s="14">
        <f>IF(B1026="Frete de venda",0,(1-ISNUMBER(SEARCH("556",P1026)))*(I1026*VLOOKUP($B1026,Premissas!$A$4:$E$7,2,0)+J1026*VLOOKUP($B1026,Premissas!$A$4:$E$7,3,0))+K1026*VLOOKUP($B1026,Premissas!$A$4:$E$7,4,0)+L1026*VLOOKUP($B1026,Premissas!$A$4:$E$7,5,0))</f>
        <v/>
      </c>
      <c r="N1026" s="14">
        <f>H1026-M1026</f>
        <v/>
      </c>
      <c r="O1026" t="inlineStr">
        <is>
          <t>Não</t>
        </is>
      </c>
      <c r="P1026" t="inlineStr">
        <is>
          <t>1.350</t>
        </is>
      </c>
    </row>
    <row r="1027">
      <c r="A1027" t="inlineStr">
        <is>
          <t>Antes de 2026</t>
        </is>
      </c>
      <c r="B1027" t="inlineStr">
        <is>
          <t>Frete de venda</t>
        </is>
      </c>
      <c r="C1027" t="inlineStr">
        <is>
          <t>Frete de venda (para clientes)</t>
        </is>
      </c>
      <c r="D1027" t="inlineStr">
        <is>
          <t>CT-e</t>
        </is>
      </c>
      <c r="E1027" t="inlineStr">
        <is>
          <t>000004924</t>
        </is>
      </c>
      <c r="F1027" t="inlineStr">
        <is>
          <t>R&amp;R TRANSPORTE E LOGISTICA</t>
        </is>
      </c>
      <c r="G1027" s="27" t="n">
        <v>45884</v>
      </c>
      <c r="H1027" s="14" t="n">
        <v>14.65</v>
      </c>
      <c r="I1027" s="14" t="n">
        <v>0</v>
      </c>
      <c r="J1027" s="14" t="n">
        <v>0</v>
      </c>
      <c r="K1027" s="14" t="n">
        <v>0</v>
      </c>
      <c r="L1027" s="14" t="n">
        <v>0</v>
      </c>
      <c r="M1027" s="14">
        <f>IF(B1027="Frete de venda",0,(1-ISNUMBER(SEARCH("556",P1027)))*(I1027*VLOOKUP($B1027,Premissas!$A$4:$E$7,2,0)+J1027*VLOOKUP($B1027,Premissas!$A$4:$E$7,3,0))+K1027*VLOOKUP($B1027,Premissas!$A$4:$E$7,4,0)+L1027*VLOOKUP($B1027,Premissas!$A$4:$E$7,5,0))</f>
        <v/>
      </c>
      <c r="N1027" s="14">
        <f>H1027-M1027</f>
        <v/>
      </c>
      <c r="O1027" t="inlineStr">
        <is>
          <t>Não</t>
        </is>
      </c>
      <c r="P1027" t="inlineStr">
        <is>
          <t>1.350</t>
        </is>
      </c>
    </row>
    <row r="1028">
      <c r="A1028" t="inlineStr">
        <is>
          <t>Antes de 2026</t>
        </is>
      </c>
      <c r="B1028" t="inlineStr">
        <is>
          <t>Frete de venda</t>
        </is>
      </c>
      <c r="C1028" t="inlineStr">
        <is>
          <t>Frete de venda (para clientes)</t>
        </is>
      </c>
      <c r="D1028" t="inlineStr">
        <is>
          <t>CT-e</t>
        </is>
      </c>
      <c r="E1028" t="inlineStr">
        <is>
          <t>000005376</t>
        </is>
      </c>
      <c r="F1028" t="inlineStr">
        <is>
          <t>R&amp;R TRANSPORTE E LOGISTICA</t>
        </is>
      </c>
      <c r="G1028" s="27" t="n">
        <v>45932</v>
      </c>
      <c r="H1028" s="14" t="n">
        <v>31.9</v>
      </c>
      <c r="I1028" s="14" t="n">
        <v>0</v>
      </c>
      <c r="J1028" s="14" t="n">
        <v>0</v>
      </c>
      <c r="K1028" s="14" t="n">
        <v>0</v>
      </c>
      <c r="L1028" s="14" t="n">
        <v>0</v>
      </c>
      <c r="M1028" s="14">
        <f>IF(B1028="Frete de venda",0,(1-ISNUMBER(SEARCH("556",P1028)))*(I1028*VLOOKUP($B1028,Premissas!$A$4:$E$7,2,0)+J1028*VLOOKUP($B1028,Premissas!$A$4:$E$7,3,0))+K1028*VLOOKUP($B1028,Premissas!$A$4:$E$7,4,0)+L1028*VLOOKUP($B1028,Premissas!$A$4:$E$7,5,0))</f>
        <v/>
      </c>
      <c r="N1028" s="14">
        <f>H1028-M1028</f>
        <v/>
      </c>
      <c r="O1028" t="inlineStr">
        <is>
          <t>Não</t>
        </is>
      </c>
      <c r="P1028" t="inlineStr">
        <is>
          <t>1.350</t>
        </is>
      </c>
    </row>
    <row r="1029">
      <c r="A1029" t="inlineStr">
        <is>
          <t>Antes de 2026</t>
        </is>
      </c>
      <c r="B1029" t="inlineStr">
        <is>
          <t>Frete de venda</t>
        </is>
      </c>
      <c r="C1029" t="inlineStr">
        <is>
          <t>Frete de venda (para clientes)</t>
        </is>
      </c>
      <c r="D1029" t="inlineStr">
        <is>
          <t>CT-e</t>
        </is>
      </c>
      <c r="E1029" t="inlineStr">
        <is>
          <t>000005512</t>
        </is>
      </c>
      <c r="F1029" t="inlineStr">
        <is>
          <t>R&amp;R TRANSPORTE E LOGISTICA</t>
        </is>
      </c>
      <c r="G1029" s="27" t="n">
        <v>45948</v>
      </c>
      <c r="H1029" s="14" t="n">
        <v>786</v>
      </c>
      <c r="I1029" s="14" t="n">
        <v>0</v>
      </c>
      <c r="J1029" s="14" t="n">
        <v>0</v>
      </c>
      <c r="K1029" s="14" t="n">
        <v>0</v>
      </c>
      <c r="L1029" s="14" t="n">
        <v>0</v>
      </c>
      <c r="M1029" s="14">
        <f>IF(B1029="Frete de venda",0,(1-ISNUMBER(SEARCH("556",P1029)))*(I1029*VLOOKUP($B1029,Premissas!$A$4:$E$7,2,0)+J1029*VLOOKUP($B1029,Premissas!$A$4:$E$7,3,0))+K1029*VLOOKUP($B1029,Premissas!$A$4:$E$7,4,0)+L1029*VLOOKUP($B1029,Premissas!$A$4:$E$7,5,0))</f>
        <v/>
      </c>
      <c r="N1029" s="14">
        <f>H1029-M1029</f>
        <v/>
      </c>
      <c r="O1029" t="inlineStr">
        <is>
          <t>Não</t>
        </is>
      </c>
      <c r="P1029" t="inlineStr">
        <is>
          <t>1.350</t>
        </is>
      </c>
    </row>
    <row r="1030">
      <c r="A1030" t="inlineStr">
        <is>
          <t>Antes de 2026</t>
        </is>
      </c>
      <c r="B1030" t="inlineStr">
        <is>
          <t>Frete de venda</t>
        </is>
      </c>
      <c r="C1030" t="inlineStr">
        <is>
          <t>Frete de venda (para clientes)</t>
        </is>
      </c>
      <c r="D1030" t="inlineStr">
        <is>
          <t>CT-e</t>
        </is>
      </c>
      <c r="E1030" t="inlineStr">
        <is>
          <t>000005739</t>
        </is>
      </c>
      <c r="F1030" t="inlineStr">
        <is>
          <t>R&amp;R TRANSPORTE E LOGISTICA</t>
        </is>
      </c>
      <c r="G1030" s="27" t="n">
        <v>45978</v>
      </c>
      <c r="H1030" s="14" t="n">
        <v>786</v>
      </c>
      <c r="I1030" s="14" t="n">
        <v>0</v>
      </c>
      <c r="J1030" s="14" t="n">
        <v>0</v>
      </c>
      <c r="K1030" s="14" t="n">
        <v>0</v>
      </c>
      <c r="L1030" s="14" t="n">
        <v>0</v>
      </c>
      <c r="M1030" s="14">
        <f>IF(B1030="Frete de venda",0,(1-ISNUMBER(SEARCH("556",P1030)))*(I1030*VLOOKUP($B1030,Premissas!$A$4:$E$7,2,0)+J1030*VLOOKUP($B1030,Premissas!$A$4:$E$7,3,0))+K1030*VLOOKUP($B1030,Premissas!$A$4:$E$7,4,0)+L1030*VLOOKUP($B1030,Premissas!$A$4:$E$7,5,0))</f>
        <v/>
      </c>
      <c r="N1030" s="14">
        <f>H1030-M1030</f>
        <v/>
      </c>
      <c r="O1030" t="inlineStr">
        <is>
          <t>Não</t>
        </is>
      </c>
      <c r="P1030" t="inlineStr">
        <is>
          <t>1.350</t>
        </is>
      </c>
    </row>
    <row r="1031">
      <c r="A1031" t="inlineStr">
        <is>
          <t>Antes de 2026</t>
        </is>
      </c>
      <c r="B1031" t="inlineStr">
        <is>
          <t>Frete de venda</t>
        </is>
      </c>
      <c r="C1031" t="inlineStr">
        <is>
          <t>Frete de venda (para clientes)</t>
        </is>
      </c>
      <c r="D1031" t="inlineStr">
        <is>
          <t>CT-e</t>
        </is>
      </c>
      <c r="E1031" t="inlineStr">
        <is>
          <t>000004641</t>
        </is>
      </c>
      <c r="F1031" t="inlineStr">
        <is>
          <t>R&amp;R TRANSPORTE E LOGISTICA</t>
        </is>
      </c>
      <c r="G1031" s="27" t="n">
        <v>45853</v>
      </c>
      <c r="H1031" s="14" t="n">
        <v>98.94</v>
      </c>
      <c r="I1031" s="14" t="n">
        <v>0</v>
      </c>
      <c r="J1031" s="14" t="n">
        <v>0</v>
      </c>
      <c r="K1031" s="14" t="n">
        <v>0</v>
      </c>
      <c r="L1031" s="14" t="n">
        <v>0</v>
      </c>
      <c r="M1031" s="14">
        <f>IF(B1031="Frete de venda",0,(1-ISNUMBER(SEARCH("556",P1031)))*(I1031*VLOOKUP($B1031,Premissas!$A$4:$E$7,2,0)+J1031*VLOOKUP($B1031,Premissas!$A$4:$E$7,3,0))+K1031*VLOOKUP($B1031,Premissas!$A$4:$E$7,4,0)+L1031*VLOOKUP($B1031,Premissas!$A$4:$E$7,5,0))</f>
        <v/>
      </c>
      <c r="N1031" s="14">
        <f>H1031-M1031</f>
        <v/>
      </c>
      <c r="O1031" t="inlineStr">
        <is>
          <t>Não</t>
        </is>
      </c>
      <c r="P1031" t="inlineStr">
        <is>
          <t>1.350</t>
        </is>
      </c>
    </row>
    <row r="1032">
      <c r="A1032" t="inlineStr">
        <is>
          <t>Antes de 2026</t>
        </is>
      </c>
      <c r="B1032" t="inlineStr">
        <is>
          <t>Frete de venda</t>
        </is>
      </c>
      <c r="C1032" t="inlineStr">
        <is>
          <t>Frete de venda (para clientes)</t>
        </is>
      </c>
      <c r="D1032" t="inlineStr">
        <is>
          <t>CT-e</t>
        </is>
      </c>
      <c r="E1032" t="inlineStr">
        <is>
          <t>000005578</t>
        </is>
      </c>
      <c r="F1032" t="inlineStr">
        <is>
          <t>R&amp;R TRANSPORTE E LOGISTICA</t>
        </is>
      </c>
      <c r="G1032" s="27" t="n">
        <v>45957</v>
      </c>
      <c r="H1032" s="14" t="n">
        <v>26.13</v>
      </c>
      <c r="I1032" s="14" t="n">
        <v>0</v>
      </c>
      <c r="J1032" s="14" t="n">
        <v>0</v>
      </c>
      <c r="K1032" s="14" t="n">
        <v>0</v>
      </c>
      <c r="L1032" s="14" t="n">
        <v>0</v>
      </c>
      <c r="M1032" s="14">
        <f>IF(B1032="Frete de venda",0,(1-ISNUMBER(SEARCH("556",P1032)))*(I1032*VLOOKUP($B1032,Premissas!$A$4:$E$7,2,0)+J1032*VLOOKUP($B1032,Premissas!$A$4:$E$7,3,0))+K1032*VLOOKUP($B1032,Premissas!$A$4:$E$7,4,0)+L1032*VLOOKUP($B1032,Premissas!$A$4:$E$7,5,0))</f>
        <v/>
      </c>
      <c r="N1032" s="14">
        <f>H1032-M1032</f>
        <v/>
      </c>
      <c r="O1032" t="inlineStr">
        <is>
          <t>Não</t>
        </is>
      </c>
      <c r="P1032" t="inlineStr">
        <is>
          <t>1.350</t>
        </is>
      </c>
    </row>
    <row r="1033">
      <c r="A1033" t="inlineStr">
        <is>
          <t>Antes de 2026</t>
        </is>
      </c>
      <c r="B1033" t="inlineStr">
        <is>
          <t>Frete de venda</t>
        </is>
      </c>
      <c r="C1033" t="inlineStr">
        <is>
          <t>Frete de venda (para clientes)</t>
        </is>
      </c>
      <c r="D1033" t="inlineStr">
        <is>
          <t>CT-e</t>
        </is>
      </c>
      <c r="E1033" t="inlineStr">
        <is>
          <t>000005790</t>
        </is>
      </c>
      <c r="F1033" t="inlineStr">
        <is>
          <t>R&amp;R TRANSPORTE E LOGISTICA</t>
        </is>
      </c>
      <c r="G1033" s="27" t="n">
        <v>45981</v>
      </c>
      <c r="H1033" s="14" t="n">
        <v>25.26</v>
      </c>
      <c r="I1033" s="14" t="n">
        <v>0</v>
      </c>
      <c r="J1033" s="14" t="n">
        <v>0</v>
      </c>
      <c r="K1033" s="14" t="n">
        <v>0</v>
      </c>
      <c r="L1033" s="14" t="n">
        <v>0</v>
      </c>
      <c r="M1033" s="14">
        <f>IF(B1033="Frete de venda",0,(1-ISNUMBER(SEARCH("556",P1033)))*(I1033*VLOOKUP($B1033,Premissas!$A$4:$E$7,2,0)+J1033*VLOOKUP($B1033,Premissas!$A$4:$E$7,3,0))+K1033*VLOOKUP($B1033,Premissas!$A$4:$E$7,4,0)+L1033*VLOOKUP($B1033,Premissas!$A$4:$E$7,5,0))</f>
        <v/>
      </c>
      <c r="N1033" s="14">
        <f>H1033-M1033</f>
        <v/>
      </c>
      <c r="O1033" t="inlineStr">
        <is>
          <t>Não</t>
        </is>
      </c>
      <c r="P1033" t="inlineStr">
        <is>
          <t>1.350</t>
        </is>
      </c>
    </row>
    <row r="1034">
      <c r="A1034" t="inlineStr">
        <is>
          <t>Antes de 2026</t>
        </is>
      </c>
      <c r="B1034" t="inlineStr">
        <is>
          <t>Frete de venda</t>
        </is>
      </c>
      <c r="C1034" t="inlineStr">
        <is>
          <t>Frete de venda (para clientes)</t>
        </is>
      </c>
      <c r="D1034" t="inlineStr">
        <is>
          <t>CT-e</t>
        </is>
      </c>
      <c r="E1034" t="inlineStr">
        <is>
          <t>000005948</t>
        </is>
      </c>
      <c r="F1034" t="inlineStr">
        <is>
          <t>R&amp;R TRANSPORTE E LOGISTICA</t>
        </is>
      </c>
      <c r="G1034" s="27" t="n">
        <v>46000</v>
      </c>
      <c r="H1034" s="14" t="n">
        <v>700</v>
      </c>
      <c r="I1034" s="14" t="n">
        <v>0</v>
      </c>
      <c r="J1034" s="14" t="n">
        <v>0</v>
      </c>
      <c r="K1034" s="14" t="n">
        <v>0</v>
      </c>
      <c r="L1034" s="14" t="n">
        <v>0</v>
      </c>
      <c r="M1034" s="14">
        <f>IF(B1034="Frete de venda",0,(1-ISNUMBER(SEARCH("556",P1034)))*(I1034*VLOOKUP($B1034,Premissas!$A$4:$E$7,2,0)+J1034*VLOOKUP($B1034,Premissas!$A$4:$E$7,3,0))+K1034*VLOOKUP($B1034,Premissas!$A$4:$E$7,4,0)+L1034*VLOOKUP($B1034,Premissas!$A$4:$E$7,5,0))</f>
        <v/>
      </c>
      <c r="N1034" s="14">
        <f>H1034-M1034</f>
        <v/>
      </c>
      <c r="O1034" t="inlineStr">
        <is>
          <t>Não</t>
        </is>
      </c>
      <c r="P1034" t="inlineStr">
        <is>
          <t>1.350</t>
        </is>
      </c>
    </row>
    <row r="1035">
      <c r="A1035" t="inlineStr">
        <is>
          <t>Antes de 2026</t>
        </is>
      </c>
      <c r="B1035" t="inlineStr">
        <is>
          <t>Frete de venda</t>
        </is>
      </c>
      <c r="C1035" t="inlineStr">
        <is>
          <t>Frete de venda (para clientes)</t>
        </is>
      </c>
      <c r="D1035" t="inlineStr">
        <is>
          <t>CT-e</t>
        </is>
      </c>
      <c r="E1035" t="inlineStr">
        <is>
          <t>000004823</t>
        </is>
      </c>
      <c r="F1035" t="inlineStr">
        <is>
          <t>R&amp;R TRANSPORTE E LOGISTICA</t>
        </is>
      </c>
      <c r="G1035" s="27" t="n">
        <v>45870</v>
      </c>
      <c r="H1035" s="14" t="n">
        <v>30.45</v>
      </c>
      <c r="I1035" s="14" t="n">
        <v>0</v>
      </c>
      <c r="J1035" s="14" t="n">
        <v>0</v>
      </c>
      <c r="K1035" s="14" t="n">
        <v>0</v>
      </c>
      <c r="L1035" s="14" t="n">
        <v>0</v>
      </c>
      <c r="M1035" s="14">
        <f>IF(B1035="Frete de venda",0,(1-ISNUMBER(SEARCH("556",P1035)))*(I1035*VLOOKUP($B1035,Premissas!$A$4:$E$7,2,0)+J1035*VLOOKUP($B1035,Premissas!$A$4:$E$7,3,0))+K1035*VLOOKUP($B1035,Premissas!$A$4:$E$7,4,0)+L1035*VLOOKUP($B1035,Premissas!$A$4:$E$7,5,0))</f>
        <v/>
      </c>
      <c r="N1035" s="14">
        <f>H1035-M1035</f>
        <v/>
      </c>
      <c r="O1035" t="inlineStr">
        <is>
          <t>Não</t>
        </is>
      </c>
      <c r="P1035" t="inlineStr">
        <is>
          <t>1.350</t>
        </is>
      </c>
    </row>
    <row r="1036">
      <c r="A1036" t="inlineStr">
        <is>
          <t>Antes de 2026</t>
        </is>
      </c>
      <c r="B1036" t="inlineStr">
        <is>
          <t>Frete de venda</t>
        </is>
      </c>
      <c r="C1036" t="inlineStr">
        <is>
          <t>Frete de venda (para clientes)</t>
        </is>
      </c>
      <c r="D1036" t="inlineStr">
        <is>
          <t>CT-e</t>
        </is>
      </c>
      <c r="E1036" t="inlineStr">
        <is>
          <t>000004532</t>
        </is>
      </c>
      <c r="F1036" t="inlineStr">
        <is>
          <t>R&amp;R TRANSPORTE E LOGISTICA</t>
        </is>
      </c>
      <c r="G1036" s="27" t="n">
        <v>45835</v>
      </c>
      <c r="H1036" s="14" t="n">
        <v>31.62</v>
      </c>
      <c r="I1036" s="14" t="n">
        <v>0</v>
      </c>
      <c r="J1036" s="14" t="n">
        <v>0</v>
      </c>
      <c r="K1036" s="14" t="n">
        <v>0</v>
      </c>
      <c r="L1036" s="14" t="n">
        <v>0</v>
      </c>
      <c r="M1036" s="14">
        <f>IF(B1036="Frete de venda",0,(1-ISNUMBER(SEARCH("556",P1036)))*(I1036*VLOOKUP($B1036,Premissas!$A$4:$E$7,2,0)+J1036*VLOOKUP($B1036,Premissas!$A$4:$E$7,3,0))+K1036*VLOOKUP($B1036,Premissas!$A$4:$E$7,4,0)+L1036*VLOOKUP($B1036,Premissas!$A$4:$E$7,5,0))</f>
        <v/>
      </c>
      <c r="N1036" s="14">
        <f>H1036-M1036</f>
        <v/>
      </c>
      <c r="O1036" t="inlineStr">
        <is>
          <t>Não</t>
        </is>
      </c>
      <c r="P1036" t="inlineStr">
        <is>
          <t>1.350</t>
        </is>
      </c>
    </row>
    <row r="1037">
      <c r="A1037" t="inlineStr">
        <is>
          <t>Antes de 2026</t>
        </is>
      </c>
      <c r="B1037" t="inlineStr">
        <is>
          <t>Frete de venda</t>
        </is>
      </c>
      <c r="C1037" t="inlineStr">
        <is>
          <t>Frete de venda (para clientes)</t>
        </is>
      </c>
      <c r="D1037" t="inlineStr">
        <is>
          <t>CT-e</t>
        </is>
      </c>
      <c r="E1037" t="inlineStr">
        <is>
          <t>000005976</t>
        </is>
      </c>
      <c r="F1037" t="inlineStr">
        <is>
          <t>R&amp;R TRANSPORTE E LOGISTICA</t>
        </is>
      </c>
      <c r="G1037" s="27" t="n">
        <v>46004</v>
      </c>
      <c r="H1037" s="14" t="n">
        <v>39.27</v>
      </c>
      <c r="I1037" s="14" t="n">
        <v>0</v>
      </c>
      <c r="J1037" s="14" t="n">
        <v>0</v>
      </c>
      <c r="K1037" s="14" t="n">
        <v>0</v>
      </c>
      <c r="L1037" s="14" t="n">
        <v>0</v>
      </c>
      <c r="M1037" s="14">
        <f>IF(B1037="Frete de venda",0,(1-ISNUMBER(SEARCH("556",P1037)))*(I1037*VLOOKUP($B1037,Premissas!$A$4:$E$7,2,0)+J1037*VLOOKUP($B1037,Premissas!$A$4:$E$7,3,0))+K1037*VLOOKUP($B1037,Premissas!$A$4:$E$7,4,0)+L1037*VLOOKUP($B1037,Premissas!$A$4:$E$7,5,0))</f>
        <v/>
      </c>
      <c r="N1037" s="14">
        <f>H1037-M1037</f>
        <v/>
      </c>
      <c r="O1037" t="inlineStr">
        <is>
          <t>Não</t>
        </is>
      </c>
      <c r="P1037" t="inlineStr">
        <is>
          <t>1.350</t>
        </is>
      </c>
    </row>
    <row r="1038">
      <c r="A1038" t="inlineStr">
        <is>
          <t>Antes de 2026</t>
        </is>
      </c>
      <c r="B1038" t="inlineStr">
        <is>
          <t>Frete de venda</t>
        </is>
      </c>
      <c r="C1038" t="inlineStr">
        <is>
          <t>Frete de venda (para clientes)</t>
        </is>
      </c>
      <c r="D1038" t="inlineStr">
        <is>
          <t>CT-e</t>
        </is>
      </c>
      <c r="E1038" t="inlineStr">
        <is>
          <t>000005054</t>
        </is>
      </c>
      <c r="F1038" t="inlineStr">
        <is>
          <t>R&amp;R TRANSPORTE E LOGISTICA</t>
        </is>
      </c>
      <c r="G1038" s="27" t="n">
        <v>45896</v>
      </c>
      <c r="H1038" s="14" t="n">
        <v>17.07</v>
      </c>
      <c r="I1038" s="14" t="n">
        <v>0</v>
      </c>
      <c r="J1038" s="14" t="n">
        <v>0</v>
      </c>
      <c r="K1038" s="14" t="n">
        <v>0</v>
      </c>
      <c r="L1038" s="14" t="n">
        <v>0</v>
      </c>
      <c r="M1038" s="14">
        <f>IF(B1038="Frete de venda",0,(1-ISNUMBER(SEARCH("556",P1038)))*(I1038*VLOOKUP($B1038,Premissas!$A$4:$E$7,2,0)+J1038*VLOOKUP($B1038,Premissas!$A$4:$E$7,3,0))+K1038*VLOOKUP($B1038,Premissas!$A$4:$E$7,4,0)+L1038*VLOOKUP($B1038,Premissas!$A$4:$E$7,5,0))</f>
        <v/>
      </c>
      <c r="N1038" s="14">
        <f>H1038-M1038</f>
        <v/>
      </c>
      <c r="O1038" t="inlineStr">
        <is>
          <t>Não</t>
        </is>
      </c>
      <c r="P1038" t="inlineStr">
        <is>
          <t>1.350</t>
        </is>
      </c>
    </row>
    <row r="1039">
      <c r="A1039" t="inlineStr">
        <is>
          <t>Antes de 2026</t>
        </is>
      </c>
      <c r="B1039" t="inlineStr">
        <is>
          <t>Frete de venda</t>
        </is>
      </c>
      <c r="C1039" t="inlineStr">
        <is>
          <t>Frete de venda (para clientes)</t>
        </is>
      </c>
      <c r="D1039" t="inlineStr">
        <is>
          <t>CT-e</t>
        </is>
      </c>
      <c r="E1039" t="inlineStr">
        <is>
          <t>000005680</t>
        </is>
      </c>
      <c r="F1039" t="inlineStr">
        <is>
          <t>R&amp;R TRANSPORTE E LOGISTICA</t>
        </is>
      </c>
      <c r="G1039" s="27" t="n">
        <v>45967</v>
      </c>
      <c r="H1039" s="14" t="n">
        <v>17</v>
      </c>
      <c r="I1039" s="14" t="n">
        <v>0</v>
      </c>
      <c r="J1039" s="14" t="n">
        <v>0</v>
      </c>
      <c r="K1039" s="14" t="n">
        <v>0</v>
      </c>
      <c r="L1039" s="14" t="n">
        <v>0</v>
      </c>
      <c r="M1039" s="14">
        <f>IF(B1039="Frete de venda",0,(1-ISNUMBER(SEARCH("556",P1039)))*(I1039*VLOOKUP($B1039,Premissas!$A$4:$E$7,2,0)+J1039*VLOOKUP($B1039,Premissas!$A$4:$E$7,3,0))+K1039*VLOOKUP($B1039,Premissas!$A$4:$E$7,4,0)+L1039*VLOOKUP($B1039,Premissas!$A$4:$E$7,5,0))</f>
        <v/>
      </c>
      <c r="N1039" s="14">
        <f>H1039-M1039</f>
        <v/>
      </c>
      <c r="O1039" t="inlineStr">
        <is>
          <t>Não</t>
        </is>
      </c>
      <c r="P1039" t="inlineStr">
        <is>
          <t>1.350</t>
        </is>
      </c>
    </row>
    <row r="1040">
      <c r="A1040" t="inlineStr">
        <is>
          <t>Antes de 2026</t>
        </is>
      </c>
      <c r="B1040" t="inlineStr">
        <is>
          <t>Frete de venda</t>
        </is>
      </c>
      <c r="C1040" t="inlineStr">
        <is>
          <t>Frete de venda (para clientes)</t>
        </is>
      </c>
      <c r="D1040" t="inlineStr">
        <is>
          <t>CT-e</t>
        </is>
      </c>
      <c r="E1040" t="inlineStr">
        <is>
          <t>000005582</t>
        </is>
      </c>
      <c r="F1040" t="inlineStr">
        <is>
          <t>R&amp;R TRANSPORTE E LOGISTICA</t>
        </is>
      </c>
      <c r="G1040" s="27" t="n">
        <v>45957</v>
      </c>
      <c r="H1040" s="14" t="n">
        <v>32.91</v>
      </c>
      <c r="I1040" s="14" t="n">
        <v>0</v>
      </c>
      <c r="J1040" s="14" t="n">
        <v>0</v>
      </c>
      <c r="K1040" s="14" t="n">
        <v>0</v>
      </c>
      <c r="L1040" s="14" t="n">
        <v>0</v>
      </c>
      <c r="M1040" s="14">
        <f>IF(B1040="Frete de venda",0,(1-ISNUMBER(SEARCH("556",P1040)))*(I1040*VLOOKUP($B1040,Premissas!$A$4:$E$7,2,0)+J1040*VLOOKUP($B1040,Premissas!$A$4:$E$7,3,0))+K1040*VLOOKUP($B1040,Premissas!$A$4:$E$7,4,0)+L1040*VLOOKUP($B1040,Premissas!$A$4:$E$7,5,0))</f>
        <v/>
      </c>
      <c r="N1040" s="14">
        <f>H1040-M1040</f>
        <v/>
      </c>
      <c r="O1040" t="inlineStr">
        <is>
          <t>Não</t>
        </is>
      </c>
      <c r="P1040" t="inlineStr">
        <is>
          <t>1.350</t>
        </is>
      </c>
    </row>
    <row r="1041">
      <c r="A1041" t="inlineStr">
        <is>
          <t>Antes de 2026</t>
        </is>
      </c>
      <c r="B1041" t="inlineStr">
        <is>
          <t>Frete de venda</t>
        </is>
      </c>
      <c r="C1041" t="inlineStr">
        <is>
          <t>Frete de venda (para clientes)</t>
        </is>
      </c>
      <c r="D1041" t="inlineStr">
        <is>
          <t>CT-e</t>
        </is>
      </c>
      <c r="E1041" t="inlineStr">
        <is>
          <t>000005681</t>
        </is>
      </c>
      <c r="F1041" t="inlineStr">
        <is>
          <t>R&amp;R TRANSPORTE E LOGISTICA</t>
        </is>
      </c>
      <c r="G1041" s="27" t="n">
        <v>45967</v>
      </c>
      <c r="H1041" s="14" t="n">
        <v>20</v>
      </c>
      <c r="I1041" s="14" t="n">
        <v>0</v>
      </c>
      <c r="J1041" s="14" t="n">
        <v>0</v>
      </c>
      <c r="K1041" s="14" t="n">
        <v>0</v>
      </c>
      <c r="L1041" s="14" t="n">
        <v>0</v>
      </c>
      <c r="M1041" s="14">
        <f>IF(B1041="Frete de venda",0,(1-ISNUMBER(SEARCH("556",P1041)))*(I1041*VLOOKUP($B1041,Premissas!$A$4:$E$7,2,0)+J1041*VLOOKUP($B1041,Premissas!$A$4:$E$7,3,0))+K1041*VLOOKUP($B1041,Premissas!$A$4:$E$7,4,0)+L1041*VLOOKUP($B1041,Premissas!$A$4:$E$7,5,0))</f>
        <v/>
      </c>
      <c r="N1041" s="14">
        <f>H1041-M1041</f>
        <v/>
      </c>
      <c r="O1041" t="inlineStr">
        <is>
          <t>Não</t>
        </is>
      </c>
      <c r="P1041" t="inlineStr">
        <is>
          <t>1.350</t>
        </is>
      </c>
    </row>
    <row r="1042">
      <c r="A1042" t="inlineStr">
        <is>
          <t>Antes de 2026</t>
        </is>
      </c>
      <c r="B1042" t="inlineStr">
        <is>
          <t>Frete de venda</t>
        </is>
      </c>
      <c r="C1042" t="inlineStr">
        <is>
          <t>Frete de venda (para clientes)</t>
        </is>
      </c>
      <c r="D1042" t="inlineStr">
        <is>
          <t>CT-e</t>
        </is>
      </c>
      <c r="E1042" t="inlineStr">
        <is>
          <t>000006090</t>
        </is>
      </c>
      <c r="F1042" t="inlineStr">
        <is>
          <t>R&amp;R TRANSPORTE E LOGISTICA</t>
        </is>
      </c>
      <c r="G1042" s="27" t="n">
        <v>46021</v>
      </c>
      <c r="H1042" s="14" t="n">
        <v>7.41</v>
      </c>
      <c r="I1042" s="14" t="n">
        <v>0</v>
      </c>
      <c r="J1042" s="14" t="n">
        <v>0</v>
      </c>
      <c r="K1042" s="14" t="n">
        <v>0</v>
      </c>
      <c r="L1042" s="14" t="n">
        <v>0</v>
      </c>
      <c r="M1042" s="14">
        <f>IF(B1042="Frete de venda",0,(1-ISNUMBER(SEARCH("556",P1042)))*(I1042*VLOOKUP($B1042,Premissas!$A$4:$E$7,2,0)+J1042*VLOOKUP($B1042,Premissas!$A$4:$E$7,3,0))+K1042*VLOOKUP($B1042,Premissas!$A$4:$E$7,4,0)+L1042*VLOOKUP($B1042,Premissas!$A$4:$E$7,5,0))</f>
        <v/>
      </c>
      <c r="N1042" s="14">
        <f>H1042-M1042</f>
        <v/>
      </c>
      <c r="O1042" t="inlineStr">
        <is>
          <t>Não</t>
        </is>
      </c>
      <c r="P1042" t="inlineStr">
        <is>
          <t>1.350</t>
        </is>
      </c>
    </row>
    <row r="1043">
      <c r="A1043" t="inlineStr">
        <is>
          <t>Antes de 2026</t>
        </is>
      </c>
      <c r="B1043" t="inlineStr">
        <is>
          <t>Frete de venda</t>
        </is>
      </c>
      <c r="C1043" t="inlineStr">
        <is>
          <t>Frete de venda (para clientes)</t>
        </is>
      </c>
      <c r="D1043" t="inlineStr">
        <is>
          <t>CT-e</t>
        </is>
      </c>
      <c r="E1043" t="inlineStr">
        <is>
          <t>000005347</t>
        </is>
      </c>
      <c r="F1043" t="inlineStr">
        <is>
          <t>R&amp;R TRANSPORTE E LOGISTICA</t>
        </is>
      </c>
      <c r="G1043" s="27" t="n">
        <v>45929</v>
      </c>
      <c r="H1043" s="14" t="n">
        <v>15.34</v>
      </c>
      <c r="I1043" s="14" t="n">
        <v>0</v>
      </c>
      <c r="J1043" s="14" t="n">
        <v>0</v>
      </c>
      <c r="K1043" s="14" t="n">
        <v>0</v>
      </c>
      <c r="L1043" s="14" t="n">
        <v>0</v>
      </c>
      <c r="M1043" s="14">
        <f>IF(B1043="Frete de venda",0,(1-ISNUMBER(SEARCH("556",P1043)))*(I1043*VLOOKUP($B1043,Premissas!$A$4:$E$7,2,0)+J1043*VLOOKUP($B1043,Premissas!$A$4:$E$7,3,0))+K1043*VLOOKUP($B1043,Premissas!$A$4:$E$7,4,0)+L1043*VLOOKUP($B1043,Premissas!$A$4:$E$7,5,0))</f>
        <v/>
      </c>
      <c r="N1043" s="14">
        <f>H1043-M1043</f>
        <v/>
      </c>
      <c r="O1043" t="inlineStr">
        <is>
          <t>Não</t>
        </is>
      </c>
      <c r="P1043" t="inlineStr">
        <is>
          <t>1.350</t>
        </is>
      </c>
    </row>
    <row r="1044">
      <c r="A1044" t="inlineStr">
        <is>
          <t>Antes de 2026</t>
        </is>
      </c>
      <c r="B1044" t="inlineStr">
        <is>
          <t>Frete de venda</t>
        </is>
      </c>
      <c r="C1044" t="inlineStr">
        <is>
          <t>Frete de venda (para clientes)</t>
        </is>
      </c>
      <c r="D1044" t="inlineStr">
        <is>
          <t>CT-e</t>
        </is>
      </c>
      <c r="E1044" t="inlineStr">
        <is>
          <t>000005561</t>
        </is>
      </c>
      <c r="F1044" t="inlineStr">
        <is>
          <t>R&amp;R TRANSPORTE E LOGISTICA</t>
        </is>
      </c>
      <c r="G1044" s="27" t="n">
        <v>45955</v>
      </c>
      <c r="H1044" s="14" t="n">
        <v>15.72</v>
      </c>
      <c r="I1044" s="14" t="n">
        <v>0</v>
      </c>
      <c r="J1044" s="14" t="n">
        <v>0</v>
      </c>
      <c r="K1044" s="14" t="n">
        <v>0</v>
      </c>
      <c r="L1044" s="14" t="n">
        <v>0</v>
      </c>
      <c r="M1044" s="14">
        <f>IF(B1044="Frete de venda",0,(1-ISNUMBER(SEARCH("556",P1044)))*(I1044*VLOOKUP($B1044,Premissas!$A$4:$E$7,2,0)+J1044*VLOOKUP($B1044,Premissas!$A$4:$E$7,3,0))+K1044*VLOOKUP($B1044,Premissas!$A$4:$E$7,4,0)+L1044*VLOOKUP($B1044,Premissas!$A$4:$E$7,5,0))</f>
        <v/>
      </c>
      <c r="N1044" s="14">
        <f>H1044-M1044</f>
        <v/>
      </c>
      <c r="O1044" t="inlineStr">
        <is>
          <t>Não</t>
        </is>
      </c>
      <c r="P1044" t="inlineStr">
        <is>
          <t>1.350</t>
        </is>
      </c>
    </row>
    <row r="1045">
      <c r="A1045" t="inlineStr">
        <is>
          <t>Antes de 2026</t>
        </is>
      </c>
      <c r="B1045" t="inlineStr">
        <is>
          <t>Frete de venda</t>
        </is>
      </c>
      <c r="C1045" t="inlineStr">
        <is>
          <t>Frete de venda (para clientes)</t>
        </is>
      </c>
      <c r="D1045" t="inlineStr">
        <is>
          <t>CT-e</t>
        </is>
      </c>
      <c r="E1045" t="inlineStr">
        <is>
          <t>000004171</t>
        </is>
      </c>
      <c r="F1045" t="inlineStr">
        <is>
          <t>R&amp;R TRANSPORTE E LOGISTICA</t>
        </is>
      </c>
      <c r="G1045" s="27" t="n">
        <v>45786</v>
      </c>
      <c r="H1045" s="14" t="n">
        <v>64.63</v>
      </c>
      <c r="I1045" s="14" t="n">
        <v>0</v>
      </c>
      <c r="J1045" s="14" t="n">
        <v>0</v>
      </c>
      <c r="K1045" s="14" t="n">
        <v>0</v>
      </c>
      <c r="L1045" s="14" t="n">
        <v>0</v>
      </c>
      <c r="M1045" s="14">
        <f>IF(B1045="Frete de venda",0,(1-ISNUMBER(SEARCH("556",P1045)))*(I1045*VLOOKUP($B1045,Premissas!$A$4:$E$7,2,0)+J1045*VLOOKUP($B1045,Premissas!$A$4:$E$7,3,0))+K1045*VLOOKUP($B1045,Premissas!$A$4:$E$7,4,0)+L1045*VLOOKUP($B1045,Premissas!$A$4:$E$7,5,0))</f>
        <v/>
      </c>
      <c r="N1045" s="14">
        <f>H1045-M1045</f>
        <v/>
      </c>
      <c r="O1045" t="inlineStr">
        <is>
          <t>Não</t>
        </is>
      </c>
      <c r="P1045" t="inlineStr">
        <is>
          <t>1.350</t>
        </is>
      </c>
    </row>
    <row r="1046">
      <c r="A1046" t="inlineStr">
        <is>
          <t>Antes de 2026</t>
        </is>
      </c>
      <c r="B1046" t="inlineStr">
        <is>
          <t>Frete de venda</t>
        </is>
      </c>
      <c r="C1046" t="inlineStr">
        <is>
          <t>Frete de venda (para clientes)</t>
        </is>
      </c>
      <c r="D1046" t="inlineStr">
        <is>
          <t>CT-e</t>
        </is>
      </c>
      <c r="E1046" t="inlineStr">
        <is>
          <t>000005453</t>
        </is>
      </c>
      <c r="F1046" t="inlineStr">
        <is>
          <t>R&amp;R TRANSPORTE E LOGISTICA</t>
        </is>
      </c>
      <c r="G1046" s="27" t="n">
        <v>45943</v>
      </c>
      <c r="H1046" s="14" t="n">
        <v>467</v>
      </c>
      <c r="I1046" s="14" t="n">
        <v>0</v>
      </c>
      <c r="J1046" s="14" t="n">
        <v>0</v>
      </c>
      <c r="K1046" s="14" t="n">
        <v>0</v>
      </c>
      <c r="L1046" s="14" t="n">
        <v>0</v>
      </c>
      <c r="M1046" s="14">
        <f>IF(B1046="Frete de venda",0,(1-ISNUMBER(SEARCH("556",P1046)))*(I1046*VLOOKUP($B1046,Premissas!$A$4:$E$7,2,0)+J1046*VLOOKUP($B1046,Premissas!$A$4:$E$7,3,0))+K1046*VLOOKUP($B1046,Premissas!$A$4:$E$7,4,0)+L1046*VLOOKUP($B1046,Premissas!$A$4:$E$7,5,0))</f>
        <v/>
      </c>
      <c r="N1046" s="14">
        <f>H1046-M1046</f>
        <v/>
      </c>
      <c r="O1046" t="inlineStr">
        <is>
          <t>Não</t>
        </is>
      </c>
      <c r="P1046" t="inlineStr">
        <is>
          <t>1.350</t>
        </is>
      </c>
    </row>
    <row r="1047">
      <c r="A1047" t="inlineStr">
        <is>
          <t>Antes de 2026</t>
        </is>
      </c>
      <c r="B1047" t="inlineStr">
        <is>
          <t>Frete de venda</t>
        </is>
      </c>
      <c r="C1047" t="inlineStr">
        <is>
          <t>Frete de venda (para clientes)</t>
        </is>
      </c>
      <c r="D1047" t="inlineStr">
        <is>
          <t>CT-e</t>
        </is>
      </c>
      <c r="E1047" t="inlineStr">
        <is>
          <t>000000097</t>
        </is>
      </c>
      <c r="F1047" t="inlineStr">
        <is>
          <t>ADIL CARLOS DA SILVA</t>
        </is>
      </c>
      <c r="G1047" s="27" t="n">
        <v>45789</v>
      </c>
      <c r="H1047" s="14" t="n">
        <v>10</v>
      </c>
      <c r="I1047" s="14" t="n">
        <v>0</v>
      </c>
      <c r="J1047" s="14" t="n">
        <v>0</v>
      </c>
      <c r="K1047" s="14" t="n">
        <v>0</v>
      </c>
      <c r="L1047" s="14" t="n">
        <v>0</v>
      </c>
      <c r="M1047" s="14">
        <f>IF(B1047="Frete de venda",0,(1-ISNUMBER(SEARCH("556",P1047)))*(I1047*VLOOKUP($B1047,Premissas!$A$4:$E$7,2,0)+J1047*VLOOKUP($B1047,Premissas!$A$4:$E$7,3,0))+K1047*VLOOKUP($B1047,Premissas!$A$4:$E$7,4,0)+L1047*VLOOKUP($B1047,Premissas!$A$4:$E$7,5,0))</f>
        <v/>
      </c>
      <c r="N1047" s="14">
        <f>H1047-M1047</f>
        <v/>
      </c>
      <c r="O1047" t="inlineStr">
        <is>
          <t>Não</t>
        </is>
      </c>
      <c r="P1047" t="inlineStr">
        <is>
          <t>2.350</t>
        </is>
      </c>
    </row>
    <row r="1048">
      <c r="A1048" t="inlineStr">
        <is>
          <t>Antes de 2026</t>
        </is>
      </c>
      <c r="B1048" t="inlineStr">
        <is>
          <t>Frete de venda</t>
        </is>
      </c>
      <c r="C1048" t="inlineStr">
        <is>
          <t>Frete de venda (para clientes)</t>
        </is>
      </c>
      <c r="D1048" t="inlineStr">
        <is>
          <t>CT-e</t>
        </is>
      </c>
      <c r="E1048" t="inlineStr">
        <is>
          <t>000004355</t>
        </is>
      </c>
      <c r="F1048" t="inlineStr">
        <is>
          <t>R&amp;R TRANSPORTE E LOGISTICA</t>
        </is>
      </c>
      <c r="G1048" s="27" t="n">
        <v>45808</v>
      </c>
      <c r="H1048" s="14" t="n">
        <v>106</v>
      </c>
      <c r="I1048" s="14" t="n">
        <v>0</v>
      </c>
      <c r="J1048" s="14" t="n">
        <v>0</v>
      </c>
      <c r="K1048" s="14" t="n">
        <v>0</v>
      </c>
      <c r="L1048" s="14" t="n">
        <v>0</v>
      </c>
      <c r="M1048" s="14">
        <f>IF(B1048="Frete de venda",0,(1-ISNUMBER(SEARCH("556",P1048)))*(I1048*VLOOKUP($B1048,Premissas!$A$4:$E$7,2,0)+J1048*VLOOKUP($B1048,Premissas!$A$4:$E$7,3,0))+K1048*VLOOKUP($B1048,Premissas!$A$4:$E$7,4,0)+L1048*VLOOKUP($B1048,Premissas!$A$4:$E$7,5,0))</f>
        <v/>
      </c>
      <c r="N1048" s="14">
        <f>H1048-M1048</f>
        <v/>
      </c>
      <c r="O1048" t="inlineStr">
        <is>
          <t>Não</t>
        </is>
      </c>
      <c r="P1048" t="inlineStr">
        <is>
          <t>1.350</t>
        </is>
      </c>
    </row>
    <row r="1049">
      <c r="A1049" t="inlineStr">
        <is>
          <t>Antes de 2026</t>
        </is>
      </c>
      <c r="B1049" t="inlineStr">
        <is>
          <t>Frete de venda</t>
        </is>
      </c>
      <c r="C1049" t="inlineStr">
        <is>
          <t>Frete de venda (para clientes)</t>
        </is>
      </c>
      <c r="D1049" t="inlineStr">
        <is>
          <t>CT-e</t>
        </is>
      </c>
      <c r="E1049" t="inlineStr">
        <is>
          <t>000004608</t>
        </is>
      </c>
      <c r="F1049" t="inlineStr">
        <is>
          <t>R&amp;R TRANSPORTE E LOGISTICA</t>
        </is>
      </c>
      <c r="G1049" s="27" t="n">
        <v>45845</v>
      </c>
      <c r="H1049" s="14" t="n">
        <v>1050</v>
      </c>
      <c r="I1049" s="14" t="n">
        <v>0</v>
      </c>
      <c r="J1049" s="14" t="n">
        <v>0</v>
      </c>
      <c r="K1049" s="14" t="n">
        <v>0</v>
      </c>
      <c r="L1049" s="14" t="n">
        <v>0</v>
      </c>
      <c r="M1049" s="14">
        <f>IF(B1049="Frete de venda",0,(1-ISNUMBER(SEARCH("556",P1049)))*(I1049*VLOOKUP($B1049,Premissas!$A$4:$E$7,2,0)+J1049*VLOOKUP($B1049,Premissas!$A$4:$E$7,3,0))+K1049*VLOOKUP($B1049,Premissas!$A$4:$E$7,4,0)+L1049*VLOOKUP($B1049,Premissas!$A$4:$E$7,5,0))</f>
        <v/>
      </c>
      <c r="N1049" s="14">
        <f>H1049-M1049</f>
        <v/>
      </c>
      <c r="O1049" t="inlineStr">
        <is>
          <t>Não</t>
        </is>
      </c>
      <c r="P1049" t="inlineStr">
        <is>
          <t>1.350</t>
        </is>
      </c>
    </row>
    <row r="1050">
      <c r="A1050" t="inlineStr">
        <is>
          <t>Antes de 2026</t>
        </is>
      </c>
      <c r="B1050" t="inlineStr">
        <is>
          <t>Frete de venda</t>
        </is>
      </c>
      <c r="C1050" t="inlineStr">
        <is>
          <t>Frete de venda (para clientes)</t>
        </is>
      </c>
      <c r="D1050" t="inlineStr">
        <is>
          <t>CT-e</t>
        </is>
      </c>
      <c r="E1050" t="inlineStr">
        <is>
          <t>000004894</t>
        </is>
      </c>
      <c r="F1050" t="inlineStr">
        <is>
          <t>R&amp;R TRANSPORTE E LOGISTICA</t>
        </is>
      </c>
      <c r="G1050" s="27" t="n">
        <v>45880</v>
      </c>
      <c r="H1050" s="14" t="n">
        <v>1100</v>
      </c>
      <c r="I1050" s="14" t="n">
        <v>0</v>
      </c>
      <c r="J1050" s="14" t="n">
        <v>0</v>
      </c>
      <c r="K1050" s="14" t="n">
        <v>0</v>
      </c>
      <c r="L1050" s="14" t="n">
        <v>0</v>
      </c>
      <c r="M1050" s="14">
        <f>IF(B1050="Frete de venda",0,(1-ISNUMBER(SEARCH("556",P1050)))*(I1050*VLOOKUP($B1050,Premissas!$A$4:$E$7,2,0)+J1050*VLOOKUP($B1050,Premissas!$A$4:$E$7,3,0))+K1050*VLOOKUP($B1050,Premissas!$A$4:$E$7,4,0)+L1050*VLOOKUP($B1050,Premissas!$A$4:$E$7,5,0))</f>
        <v/>
      </c>
      <c r="N1050" s="14">
        <f>H1050-M1050</f>
        <v/>
      </c>
      <c r="O1050" t="inlineStr">
        <is>
          <t>Não</t>
        </is>
      </c>
      <c r="P1050" t="inlineStr">
        <is>
          <t>1.350</t>
        </is>
      </c>
    </row>
    <row r="1051">
      <c r="A1051" t="inlineStr">
        <is>
          <t>Antes de 2026</t>
        </is>
      </c>
      <c r="B1051" t="inlineStr">
        <is>
          <t>Frete de venda</t>
        </is>
      </c>
      <c r="C1051" t="inlineStr">
        <is>
          <t>Frete de venda (para clientes)</t>
        </is>
      </c>
      <c r="D1051" t="inlineStr">
        <is>
          <t>CT-e</t>
        </is>
      </c>
      <c r="E1051" t="inlineStr">
        <is>
          <t>000004984</t>
        </is>
      </c>
      <c r="F1051" t="inlineStr">
        <is>
          <t>R&amp;R TRANSPORTE E LOGISTICA</t>
        </is>
      </c>
      <c r="G1051" s="27" t="n">
        <v>45891</v>
      </c>
      <c r="H1051" s="14" t="n">
        <v>106.89</v>
      </c>
      <c r="I1051" s="14" t="n">
        <v>0</v>
      </c>
      <c r="J1051" s="14" t="n">
        <v>0</v>
      </c>
      <c r="K1051" s="14" t="n">
        <v>0</v>
      </c>
      <c r="L1051" s="14" t="n">
        <v>0</v>
      </c>
      <c r="M1051" s="14">
        <f>IF(B1051="Frete de venda",0,(1-ISNUMBER(SEARCH("556",P1051)))*(I1051*VLOOKUP($B1051,Premissas!$A$4:$E$7,2,0)+J1051*VLOOKUP($B1051,Premissas!$A$4:$E$7,3,0))+K1051*VLOOKUP($B1051,Premissas!$A$4:$E$7,4,0)+L1051*VLOOKUP($B1051,Premissas!$A$4:$E$7,5,0))</f>
        <v/>
      </c>
      <c r="N1051" s="14">
        <f>H1051-M1051</f>
        <v/>
      </c>
      <c r="O1051" t="inlineStr">
        <is>
          <t>Não</t>
        </is>
      </c>
      <c r="P1051" t="inlineStr">
        <is>
          <t>1.350</t>
        </is>
      </c>
    </row>
    <row r="1052">
      <c r="A1052" t="inlineStr">
        <is>
          <t>Antes de 2026</t>
        </is>
      </c>
      <c r="B1052" t="inlineStr">
        <is>
          <t>Frete de venda</t>
        </is>
      </c>
      <c r="C1052" t="inlineStr">
        <is>
          <t>Frete de venda (para clientes)</t>
        </is>
      </c>
      <c r="D1052" t="inlineStr">
        <is>
          <t>CT-e</t>
        </is>
      </c>
      <c r="E1052" t="inlineStr">
        <is>
          <t>000000383</t>
        </is>
      </c>
      <c r="F1052" t="inlineStr">
        <is>
          <t>ADIL CARLOS DA SILVA</t>
        </is>
      </c>
      <c r="G1052" s="27" t="n">
        <v>45916</v>
      </c>
      <c r="H1052" s="14" t="n">
        <v>1</v>
      </c>
      <c r="I1052" s="14" t="n">
        <v>0</v>
      </c>
      <c r="J1052" s="14" t="n">
        <v>0</v>
      </c>
      <c r="K1052" s="14" t="n">
        <v>0</v>
      </c>
      <c r="L1052" s="14" t="n">
        <v>0</v>
      </c>
      <c r="M1052" s="14">
        <f>IF(B1052="Frete de venda",0,(1-ISNUMBER(SEARCH("556",P1052)))*(I1052*VLOOKUP($B1052,Premissas!$A$4:$E$7,2,0)+J1052*VLOOKUP($B1052,Premissas!$A$4:$E$7,3,0))+K1052*VLOOKUP($B1052,Premissas!$A$4:$E$7,4,0)+L1052*VLOOKUP($B1052,Premissas!$A$4:$E$7,5,0))</f>
        <v/>
      </c>
      <c r="N1052" s="14">
        <f>H1052-M1052</f>
        <v/>
      </c>
      <c r="O1052" t="inlineStr">
        <is>
          <t>Não</t>
        </is>
      </c>
      <c r="P1052" t="inlineStr">
        <is>
          <t>2.350</t>
        </is>
      </c>
    </row>
    <row r="1053">
      <c r="A1053" t="inlineStr">
        <is>
          <t>Antes de 2026</t>
        </is>
      </c>
      <c r="B1053" t="inlineStr">
        <is>
          <t>Frete de venda</t>
        </is>
      </c>
      <c r="C1053" t="inlineStr">
        <is>
          <t>Frete de venda (para clientes)</t>
        </is>
      </c>
      <c r="D1053" t="inlineStr">
        <is>
          <t>CT-e</t>
        </is>
      </c>
      <c r="E1053" t="inlineStr">
        <is>
          <t>000005415</t>
        </is>
      </c>
      <c r="F1053" t="inlineStr">
        <is>
          <t>R&amp;R TRANSPORTE E LOGISTICA</t>
        </is>
      </c>
      <c r="G1053" s="27" t="n">
        <v>45938</v>
      </c>
      <c r="H1053" s="14" t="n">
        <v>786</v>
      </c>
      <c r="I1053" s="14" t="n">
        <v>0</v>
      </c>
      <c r="J1053" s="14" t="n">
        <v>0</v>
      </c>
      <c r="K1053" s="14" t="n">
        <v>0</v>
      </c>
      <c r="L1053" s="14" t="n">
        <v>0</v>
      </c>
      <c r="M1053" s="14">
        <f>IF(B1053="Frete de venda",0,(1-ISNUMBER(SEARCH("556",P1053)))*(I1053*VLOOKUP($B1053,Premissas!$A$4:$E$7,2,0)+J1053*VLOOKUP($B1053,Premissas!$A$4:$E$7,3,0))+K1053*VLOOKUP($B1053,Premissas!$A$4:$E$7,4,0)+L1053*VLOOKUP($B1053,Premissas!$A$4:$E$7,5,0))</f>
        <v/>
      </c>
      <c r="N1053" s="14">
        <f>H1053-M1053</f>
        <v/>
      </c>
      <c r="O1053" t="inlineStr">
        <is>
          <t>Não</t>
        </is>
      </c>
      <c r="P1053" t="inlineStr">
        <is>
          <t>1.350</t>
        </is>
      </c>
    </row>
    <row r="1054">
      <c r="A1054" t="inlineStr">
        <is>
          <t>Antes de 2026</t>
        </is>
      </c>
      <c r="B1054" t="inlineStr">
        <is>
          <t>Frete de venda</t>
        </is>
      </c>
      <c r="C1054" t="inlineStr">
        <is>
          <t>Frete de venda (para clientes)</t>
        </is>
      </c>
      <c r="D1054" t="inlineStr">
        <is>
          <t>CT-e</t>
        </is>
      </c>
      <c r="E1054" t="inlineStr">
        <is>
          <t>000000474</t>
        </is>
      </c>
      <c r="F1054" t="inlineStr">
        <is>
          <t>ADIL CARLOS DA SILVA</t>
        </is>
      </c>
      <c r="G1054" s="27" t="n">
        <v>45941</v>
      </c>
      <c r="H1054" s="14" t="n">
        <v>150</v>
      </c>
      <c r="I1054" s="14" t="n">
        <v>0</v>
      </c>
      <c r="J1054" s="14" t="n">
        <v>0</v>
      </c>
      <c r="K1054" s="14" t="n">
        <v>0</v>
      </c>
      <c r="L1054" s="14" t="n">
        <v>0</v>
      </c>
      <c r="M1054" s="14">
        <f>IF(B1054="Frete de venda",0,(1-ISNUMBER(SEARCH("556",P1054)))*(I1054*VLOOKUP($B1054,Premissas!$A$4:$E$7,2,0)+J1054*VLOOKUP($B1054,Premissas!$A$4:$E$7,3,0))+K1054*VLOOKUP($B1054,Premissas!$A$4:$E$7,4,0)+L1054*VLOOKUP($B1054,Premissas!$A$4:$E$7,5,0))</f>
        <v/>
      </c>
      <c r="N1054" s="14">
        <f>H1054-M1054</f>
        <v/>
      </c>
      <c r="O1054" t="inlineStr">
        <is>
          <t>Não</t>
        </is>
      </c>
      <c r="P1054" t="inlineStr">
        <is>
          <t>2.350</t>
        </is>
      </c>
    </row>
    <row r="1055">
      <c r="A1055" t="inlineStr">
        <is>
          <t>Antes de 2026</t>
        </is>
      </c>
      <c r="B1055" t="inlineStr">
        <is>
          <t>Frete de venda</t>
        </is>
      </c>
      <c r="C1055" t="inlineStr">
        <is>
          <t>Frete de venda (para clientes)</t>
        </is>
      </c>
      <c r="D1055" t="inlineStr">
        <is>
          <t>CT-e</t>
        </is>
      </c>
      <c r="E1055" t="inlineStr">
        <is>
          <t>000000484</t>
        </is>
      </c>
      <c r="F1055" t="inlineStr">
        <is>
          <t>ADIL CARLOS DA SILVA</t>
        </is>
      </c>
      <c r="G1055" s="27" t="n">
        <v>45944</v>
      </c>
      <c r="H1055" s="14" t="n">
        <v>1</v>
      </c>
      <c r="I1055" s="14" t="n">
        <v>0</v>
      </c>
      <c r="J1055" s="14" t="n">
        <v>0</v>
      </c>
      <c r="K1055" s="14" t="n">
        <v>0</v>
      </c>
      <c r="L1055" s="14" t="n">
        <v>0</v>
      </c>
      <c r="M1055" s="14">
        <f>IF(B1055="Frete de venda",0,(1-ISNUMBER(SEARCH("556",P1055)))*(I1055*VLOOKUP($B1055,Premissas!$A$4:$E$7,2,0)+J1055*VLOOKUP($B1055,Premissas!$A$4:$E$7,3,0))+K1055*VLOOKUP($B1055,Premissas!$A$4:$E$7,4,0)+L1055*VLOOKUP($B1055,Premissas!$A$4:$E$7,5,0))</f>
        <v/>
      </c>
      <c r="N1055" s="14">
        <f>H1055-M1055</f>
        <v/>
      </c>
      <c r="O1055" t="inlineStr">
        <is>
          <t>Não</t>
        </is>
      </c>
      <c r="P1055" t="inlineStr">
        <is>
          <t>2.350</t>
        </is>
      </c>
    </row>
    <row r="1056">
      <c r="A1056" t="inlineStr">
        <is>
          <t>Antes de 2026</t>
        </is>
      </c>
      <c r="B1056" t="inlineStr">
        <is>
          <t>Frete de venda</t>
        </is>
      </c>
      <c r="C1056" t="inlineStr">
        <is>
          <t>Frete de venda (para clientes)</t>
        </is>
      </c>
      <c r="D1056" t="inlineStr">
        <is>
          <t>CT-e</t>
        </is>
      </c>
      <c r="E1056" t="inlineStr">
        <is>
          <t>000005646</t>
        </is>
      </c>
      <c r="F1056" t="inlineStr">
        <is>
          <t>R&amp;R TRANSPORTE E LOGISTICA</t>
        </is>
      </c>
      <c r="G1056" s="27" t="n">
        <v>45961</v>
      </c>
      <c r="H1056" s="14" t="n">
        <v>50.64</v>
      </c>
      <c r="I1056" s="14" t="n">
        <v>0</v>
      </c>
      <c r="J1056" s="14" t="n">
        <v>0</v>
      </c>
      <c r="K1056" s="14" t="n">
        <v>0</v>
      </c>
      <c r="L1056" s="14" t="n">
        <v>0</v>
      </c>
      <c r="M1056" s="14">
        <f>IF(B1056="Frete de venda",0,(1-ISNUMBER(SEARCH("556",P1056)))*(I1056*VLOOKUP($B1056,Premissas!$A$4:$E$7,2,0)+J1056*VLOOKUP($B1056,Premissas!$A$4:$E$7,3,0))+K1056*VLOOKUP($B1056,Premissas!$A$4:$E$7,4,0)+L1056*VLOOKUP($B1056,Premissas!$A$4:$E$7,5,0))</f>
        <v/>
      </c>
      <c r="N1056" s="14">
        <f>H1056-M1056</f>
        <v/>
      </c>
      <c r="O1056" t="inlineStr">
        <is>
          <t>Não</t>
        </is>
      </c>
      <c r="P1056" t="inlineStr">
        <is>
          <t>1.350</t>
        </is>
      </c>
    </row>
    <row r="1057">
      <c r="A1057" t="inlineStr">
        <is>
          <t>Antes de 2026</t>
        </is>
      </c>
      <c r="B1057" t="inlineStr">
        <is>
          <t>Frete de venda</t>
        </is>
      </c>
      <c r="C1057" t="inlineStr">
        <is>
          <t>Frete de venda (para clientes)</t>
        </is>
      </c>
      <c r="D1057" t="inlineStr">
        <is>
          <t>CT-e</t>
        </is>
      </c>
      <c r="E1057" t="inlineStr">
        <is>
          <t>000005821</t>
        </is>
      </c>
      <c r="F1057" t="inlineStr">
        <is>
          <t>R&amp;R TRANSPORTE E LOGISTICA</t>
        </is>
      </c>
      <c r="G1057" s="27" t="n">
        <v>45986</v>
      </c>
      <c r="H1057" s="14" t="n">
        <v>53.06</v>
      </c>
      <c r="I1057" s="14" t="n">
        <v>0</v>
      </c>
      <c r="J1057" s="14" t="n">
        <v>0</v>
      </c>
      <c r="K1057" s="14" t="n">
        <v>0</v>
      </c>
      <c r="L1057" s="14" t="n">
        <v>0</v>
      </c>
      <c r="M1057" s="14">
        <f>IF(B1057="Frete de venda",0,(1-ISNUMBER(SEARCH("556",P1057)))*(I1057*VLOOKUP($B1057,Premissas!$A$4:$E$7,2,0)+J1057*VLOOKUP($B1057,Premissas!$A$4:$E$7,3,0))+K1057*VLOOKUP($B1057,Premissas!$A$4:$E$7,4,0)+L1057*VLOOKUP($B1057,Premissas!$A$4:$E$7,5,0))</f>
        <v/>
      </c>
      <c r="N1057" s="14">
        <f>H1057-M1057</f>
        <v/>
      </c>
      <c r="O1057" t="inlineStr">
        <is>
          <t>Não</t>
        </is>
      </c>
      <c r="P1057" t="inlineStr">
        <is>
          <t>1.350</t>
        </is>
      </c>
    </row>
    <row r="1058">
      <c r="A1058" t="inlineStr">
        <is>
          <t>Antes de 2026</t>
        </is>
      </c>
      <c r="B1058" t="inlineStr">
        <is>
          <t>Frete de venda</t>
        </is>
      </c>
      <c r="C1058" t="inlineStr">
        <is>
          <t>Frete de venda (para clientes)</t>
        </is>
      </c>
      <c r="D1058" t="inlineStr">
        <is>
          <t>CT-e</t>
        </is>
      </c>
      <c r="E1058" t="inlineStr">
        <is>
          <t>000005972</t>
        </is>
      </c>
      <c r="F1058" t="inlineStr">
        <is>
          <t>R&amp;R TRANSPORTE E LOGISTICA</t>
        </is>
      </c>
      <c r="G1058" s="27" t="n">
        <v>46004</v>
      </c>
      <c r="H1058" s="14" t="n">
        <v>66.90000000000001</v>
      </c>
      <c r="I1058" s="14" t="n">
        <v>0</v>
      </c>
      <c r="J1058" s="14" t="n">
        <v>0</v>
      </c>
      <c r="K1058" s="14" t="n">
        <v>0</v>
      </c>
      <c r="L1058" s="14" t="n">
        <v>0</v>
      </c>
      <c r="M1058" s="14">
        <f>IF(B1058="Frete de venda",0,(1-ISNUMBER(SEARCH("556",P1058)))*(I1058*VLOOKUP($B1058,Premissas!$A$4:$E$7,2,0)+J1058*VLOOKUP($B1058,Premissas!$A$4:$E$7,3,0))+K1058*VLOOKUP($B1058,Premissas!$A$4:$E$7,4,0)+L1058*VLOOKUP($B1058,Premissas!$A$4:$E$7,5,0))</f>
        <v/>
      </c>
      <c r="N1058" s="14">
        <f>H1058-M1058</f>
        <v/>
      </c>
      <c r="O1058" t="inlineStr">
        <is>
          <t>Não</t>
        </is>
      </c>
      <c r="P1058" t="inlineStr">
        <is>
          <t>1.350</t>
        </is>
      </c>
    </row>
    <row r="1059">
      <c r="A1059" t="inlineStr">
        <is>
          <t>Antes de 2026</t>
        </is>
      </c>
      <c r="B1059" t="inlineStr">
        <is>
          <t>Frete de venda</t>
        </is>
      </c>
      <c r="C1059" t="inlineStr">
        <is>
          <t>Frete de venda (para clientes)</t>
        </is>
      </c>
      <c r="D1059" t="inlineStr">
        <is>
          <t>CT-e</t>
        </is>
      </c>
      <c r="E1059" t="inlineStr">
        <is>
          <t>000005567</t>
        </is>
      </c>
      <c r="F1059" t="inlineStr">
        <is>
          <t>R&amp;R TRANSPORTE E LOGISTICA</t>
        </is>
      </c>
      <c r="G1059" s="27" t="n">
        <v>45955</v>
      </c>
      <c r="H1059" s="14" t="n">
        <v>24.59</v>
      </c>
      <c r="I1059" s="14" t="n">
        <v>0</v>
      </c>
      <c r="J1059" s="14" t="n">
        <v>0</v>
      </c>
      <c r="K1059" s="14" t="n">
        <v>0</v>
      </c>
      <c r="L1059" s="14" t="n">
        <v>0</v>
      </c>
      <c r="M1059" s="14">
        <f>IF(B1059="Frete de venda",0,(1-ISNUMBER(SEARCH("556",P1059)))*(I1059*VLOOKUP($B1059,Premissas!$A$4:$E$7,2,0)+J1059*VLOOKUP($B1059,Premissas!$A$4:$E$7,3,0))+K1059*VLOOKUP($B1059,Premissas!$A$4:$E$7,4,0)+L1059*VLOOKUP($B1059,Premissas!$A$4:$E$7,5,0))</f>
        <v/>
      </c>
      <c r="N1059" s="14">
        <f>H1059-M1059</f>
        <v/>
      </c>
      <c r="O1059" t="inlineStr">
        <is>
          <t>Não</t>
        </is>
      </c>
      <c r="P1059" t="inlineStr">
        <is>
          <t>1.350</t>
        </is>
      </c>
    </row>
    <row r="1060">
      <c r="A1060" t="inlineStr">
        <is>
          <t>Antes de 2026</t>
        </is>
      </c>
      <c r="B1060" t="inlineStr">
        <is>
          <t>Frete de venda</t>
        </is>
      </c>
      <c r="C1060" t="inlineStr">
        <is>
          <t>Frete de venda (para clientes)</t>
        </is>
      </c>
      <c r="D1060" t="inlineStr">
        <is>
          <t>CT-e</t>
        </is>
      </c>
      <c r="E1060" t="inlineStr">
        <is>
          <t>000005507</t>
        </is>
      </c>
      <c r="F1060" t="inlineStr">
        <is>
          <t>R&amp;R TRANSPORTE E LOGISTICA</t>
        </is>
      </c>
      <c r="G1060" s="27" t="n">
        <v>45948</v>
      </c>
      <c r="H1060" s="14" t="n">
        <v>786</v>
      </c>
      <c r="I1060" s="14" t="n">
        <v>0</v>
      </c>
      <c r="J1060" s="14" t="n">
        <v>0</v>
      </c>
      <c r="K1060" s="14" t="n">
        <v>0</v>
      </c>
      <c r="L1060" s="14" t="n">
        <v>0</v>
      </c>
      <c r="M1060" s="14">
        <f>IF(B1060="Frete de venda",0,(1-ISNUMBER(SEARCH("556",P1060)))*(I1060*VLOOKUP($B1060,Premissas!$A$4:$E$7,2,0)+J1060*VLOOKUP($B1060,Premissas!$A$4:$E$7,3,0))+K1060*VLOOKUP($B1060,Premissas!$A$4:$E$7,4,0)+L1060*VLOOKUP($B1060,Premissas!$A$4:$E$7,5,0))</f>
        <v/>
      </c>
      <c r="N1060" s="14">
        <f>H1060-M1060</f>
        <v/>
      </c>
      <c r="O1060" t="inlineStr">
        <is>
          <t>Não</t>
        </is>
      </c>
      <c r="P1060" t="inlineStr">
        <is>
          <t>1.350</t>
        </is>
      </c>
    </row>
    <row r="1061">
      <c r="A1061" t="inlineStr">
        <is>
          <t>Antes de 2026</t>
        </is>
      </c>
      <c r="B1061" t="inlineStr">
        <is>
          <t>Frete de venda</t>
        </is>
      </c>
      <c r="C1061" t="inlineStr">
        <is>
          <t>Frete de venda (para clientes)</t>
        </is>
      </c>
      <c r="D1061" t="inlineStr">
        <is>
          <t>CT-e</t>
        </is>
      </c>
      <c r="E1061" t="inlineStr">
        <is>
          <t>000004668</t>
        </is>
      </c>
      <c r="F1061" t="inlineStr">
        <is>
          <t>R&amp;R TRANSPORTE E LOGISTICA</t>
        </is>
      </c>
      <c r="G1061" s="27" t="n">
        <v>45855</v>
      </c>
      <c r="H1061" s="14" t="n">
        <v>25.43</v>
      </c>
      <c r="I1061" s="14" t="n">
        <v>0</v>
      </c>
      <c r="J1061" s="14" t="n">
        <v>0</v>
      </c>
      <c r="K1061" s="14" t="n">
        <v>0</v>
      </c>
      <c r="L1061" s="14" t="n">
        <v>0</v>
      </c>
      <c r="M1061" s="14">
        <f>IF(B1061="Frete de venda",0,(1-ISNUMBER(SEARCH("556",P1061)))*(I1061*VLOOKUP($B1061,Premissas!$A$4:$E$7,2,0)+J1061*VLOOKUP($B1061,Premissas!$A$4:$E$7,3,0))+K1061*VLOOKUP($B1061,Premissas!$A$4:$E$7,4,0)+L1061*VLOOKUP($B1061,Premissas!$A$4:$E$7,5,0))</f>
        <v/>
      </c>
      <c r="N1061" s="14">
        <f>H1061-M1061</f>
        <v/>
      </c>
      <c r="O1061" t="inlineStr">
        <is>
          <t>Não</t>
        </is>
      </c>
      <c r="P1061" t="inlineStr">
        <is>
          <t>1.350</t>
        </is>
      </c>
    </row>
    <row r="1062">
      <c r="A1062" t="inlineStr">
        <is>
          <t>Antes de 2026</t>
        </is>
      </c>
      <c r="B1062" t="inlineStr">
        <is>
          <t>Frete de venda</t>
        </is>
      </c>
      <c r="C1062" t="inlineStr">
        <is>
          <t>Frete de venda (para clientes)</t>
        </is>
      </c>
      <c r="D1062" t="inlineStr">
        <is>
          <t>CT-e</t>
        </is>
      </c>
      <c r="E1062" t="inlineStr">
        <is>
          <t>000005132</t>
        </is>
      </c>
      <c r="F1062" t="inlineStr">
        <is>
          <t>R&amp;R TRANSPORTE E LOGISTICA</t>
        </is>
      </c>
      <c r="G1062" s="27" t="n">
        <v>45908</v>
      </c>
      <c r="H1062" s="14" t="n">
        <v>18</v>
      </c>
      <c r="I1062" s="14" t="n">
        <v>0</v>
      </c>
      <c r="J1062" s="14" t="n">
        <v>0</v>
      </c>
      <c r="K1062" s="14" t="n">
        <v>0</v>
      </c>
      <c r="L1062" s="14" t="n">
        <v>0</v>
      </c>
      <c r="M1062" s="14">
        <f>IF(B1062="Frete de venda",0,(1-ISNUMBER(SEARCH("556",P1062)))*(I1062*VLOOKUP($B1062,Premissas!$A$4:$E$7,2,0)+J1062*VLOOKUP($B1062,Premissas!$A$4:$E$7,3,0))+K1062*VLOOKUP($B1062,Premissas!$A$4:$E$7,4,0)+L1062*VLOOKUP($B1062,Premissas!$A$4:$E$7,5,0))</f>
        <v/>
      </c>
      <c r="N1062" s="14">
        <f>H1062-M1062</f>
        <v/>
      </c>
      <c r="O1062" t="inlineStr">
        <is>
          <t>Não</t>
        </is>
      </c>
      <c r="P1062" t="inlineStr">
        <is>
          <t>1.350</t>
        </is>
      </c>
    </row>
    <row r="1063">
      <c r="A1063" t="inlineStr">
        <is>
          <t>Antes de 2026</t>
        </is>
      </c>
      <c r="B1063" t="inlineStr">
        <is>
          <t>Frete de venda</t>
        </is>
      </c>
      <c r="C1063" t="inlineStr">
        <is>
          <t>Frete de venda (para clientes)</t>
        </is>
      </c>
      <c r="D1063" t="inlineStr">
        <is>
          <t>CT-e</t>
        </is>
      </c>
      <c r="E1063" t="inlineStr">
        <is>
          <t>000005633</t>
        </is>
      </c>
      <c r="F1063" t="inlineStr">
        <is>
          <t>R&amp;R TRANSPORTE E LOGISTICA</t>
        </is>
      </c>
      <c r="G1063" s="27" t="n">
        <v>45961</v>
      </c>
      <c r="H1063" s="14" t="n">
        <v>22.58</v>
      </c>
      <c r="I1063" s="14" t="n">
        <v>0</v>
      </c>
      <c r="J1063" s="14" t="n">
        <v>0</v>
      </c>
      <c r="K1063" s="14" t="n">
        <v>0</v>
      </c>
      <c r="L1063" s="14" t="n">
        <v>0</v>
      </c>
      <c r="M1063" s="14">
        <f>IF(B1063="Frete de venda",0,(1-ISNUMBER(SEARCH("556",P1063)))*(I1063*VLOOKUP($B1063,Premissas!$A$4:$E$7,2,0)+J1063*VLOOKUP($B1063,Premissas!$A$4:$E$7,3,0))+K1063*VLOOKUP($B1063,Premissas!$A$4:$E$7,4,0)+L1063*VLOOKUP($B1063,Premissas!$A$4:$E$7,5,0))</f>
        <v/>
      </c>
      <c r="N1063" s="14">
        <f>H1063-M1063</f>
        <v/>
      </c>
      <c r="O1063" t="inlineStr">
        <is>
          <t>Não</t>
        </is>
      </c>
      <c r="P1063" t="inlineStr">
        <is>
          <t>1.350</t>
        </is>
      </c>
    </row>
    <row r="1064">
      <c r="A1064" t="inlineStr">
        <is>
          <t>Antes de 2026</t>
        </is>
      </c>
      <c r="B1064" t="inlineStr">
        <is>
          <t>Frete de venda</t>
        </is>
      </c>
      <c r="C1064" t="inlineStr">
        <is>
          <t>Frete de venda (para clientes)</t>
        </is>
      </c>
      <c r="D1064" t="inlineStr">
        <is>
          <t>CT-e</t>
        </is>
      </c>
      <c r="E1064" t="inlineStr">
        <is>
          <t>000006076</t>
        </is>
      </c>
      <c r="F1064" t="inlineStr">
        <is>
          <t>R&amp;R TRANSPORTE E LOGISTICA</t>
        </is>
      </c>
      <c r="G1064" s="27" t="n">
        <v>46021</v>
      </c>
      <c r="H1064" s="14" t="n">
        <v>16.56</v>
      </c>
      <c r="I1064" s="14" t="n">
        <v>0</v>
      </c>
      <c r="J1064" s="14" t="n">
        <v>0</v>
      </c>
      <c r="K1064" s="14" t="n">
        <v>0</v>
      </c>
      <c r="L1064" s="14" t="n">
        <v>0</v>
      </c>
      <c r="M1064" s="14">
        <f>IF(B1064="Frete de venda",0,(1-ISNUMBER(SEARCH("556",P1064)))*(I1064*VLOOKUP($B1064,Premissas!$A$4:$E$7,2,0)+J1064*VLOOKUP($B1064,Premissas!$A$4:$E$7,3,0))+K1064*VLOOKUP($B1064,Premissas!$A$4:$E$7,4,0)+L1064*VLOOKUP($B1064,Premissas!$A$4:$E$7,5,0))</f>
        <v/>
      </c>
      <c r="N1064" s="14">
        <f>H1064-M1064</f>
        <v/>
      </c>
      <c r="O1064" t="inlineStr">
        <is>
          <t>Não</t>
        </is>
      </c>
      <c r="P1064" t="inlineStr">
        <is>
          <t>1.350</t>
        </is>
      </c>
    </row>
    <row r="1065">
      <c r="A1065" t="inlineStr">
        <is>
          <t>Antes de 2026</t>
        </is>
      </c>
      <c r="B1065" t="inlineStr">
        <is>
          <t>Frete de venda</t>
        </is>
      </c>
      <c r="C1065" t="inlineStr">
        <is>
          <t>Frete de venda (para clientes)</t>
        </is>
      </c>
      <c r="D1065" t="inlineStr">
        <is>
          <t>CT-e</t>
        </is>
      </c>
      <c r="E1065" t="inlineStr">
        <is>
          <t>000005182</t>
        </is>
      </c>
      <c r="F1065" t="inlineStr">
        <is>
          <t>R&amp;R TRANSPORTE E LOGISTICA</t>
        </is>
      </c>
      <c r="G1065" s="27" t="n">
        <v>45913</v>
      </c>
      <c r="H1065" s="14" t="n">
        <v>203.26</v>
      </c>
      <c r="I1065" s="14" t="n">
        <v>0</v>
      </c>
      <c r="J1065" s="14" t="n">
        <v>0</v>
      </c>
      <c r="K1065" s="14" t="n">
        <v>0</v>
      </c>
      <c r="L1065" s="14" t="n">
        <v>0</v>
      </c>
      <c r="M1065" s="14">
        <f>IF(B1065="Frete de venda",0,(1-ISNUMBER(SEARCH("556",P1065)))*(I1065*VLOOKUP($B1065,Premissas!$A$4:$E$7,2,0)+J1065*VLOOKUP($B1065,Premissas!$A$4:$E$7,3,0))+K1065*VLOOKUP($B1065,Premissas!$A$4:$E$7,4,0)+L1065*VLOOKUP($B1065,Premissas!$A$4:$E$7,5,0))</f>
        <v/>
      </c>
      <c r="N1065" s="14">
        <f>H1065-M1065</f>
        <v/>
      </c>
      <c r="O1065" t="inlineStr">
        <is>
          <t>Não</t>
        </is>
      </c>
      <c r="P1065" t="inlineStr">
        <is>
          <t>1.350</t>
        </is>
      </c>
    </row>
    <row r="1066">
      <c r="A1066" t="inlineStr">
        <is>
          <t>Antes de 2026</t>
        </is>
      </c>
      <c r="B1066" t="inlineStr">
        <is>
          <t>Frete de venda</t>
        </is>
      </c>
      <c r="C1066" t="inlineStr">
        <is>
          <t>Frete de venda (para clientes)</t>
        </is>
      </c>
      <c r="D1066" t="inlineStr">
        <is>
          <t>CT-e</t>
        </is>
      </c>
      <c r="E1066" t="inlineStr">
        <is>
          <t>000004575</t>
        </is>
      </c>
      <c r="F1066" t="inlineStr">
        <is>
          <t>R&amp;R TRANSPORTE E LOGISTICA</t>
        </is>
      </c>
      <c r="G1066" s="27" t="n">
        <v>45841</v>
      </c>
      <c r="H1066" s="14" t="n">
        <v>41.23</v>
      </c>
      <c r="I1066" s="14" t="n">
        <v>0</v>
      </c>
      <c r="J1066" s="14" t="n">
        <v>0</v>
      </c>
      <c r="K1066" s="14" t="n">
        <v>0</v>
      </c>
      <c r="L1066" s="14" t="n">
        <v>0</v>
      </c>
      <c r="M1066" s="14">
        <f>IF(B1066="Frete de venda",0,(1-ISNUMBER(SEARCH("556",P1066)))*(I1066*VLOOKUP($B1066,Premissas!$A$4:$E$7,2,0)+J1066*VLOOKUP($B1066,Premissas!$A$4:$E$7,3,0))+K1066*VLOOKUP($B1066,Premissas!$A$4:$E$7,4,0)+L1066*VLOOKUP($B1066,Premissas!$A$4:$E$7,5,0))</f>
        <v/>
      </c>
      <c r="N1066" s="14">
        <f>H1066-M1066</f>
        <v/>
      </c>
      <c r="O1066" t="inlineStr">
        <is>
          <t>Não</t>
        </is>
      </c>
      <c r="P1066" t="inlineStr">
        <is>
          <t>1.350</t>
        </is>
      </c>
    </row>
    <row r="1067">
      <c r="A1067" t="inlineStr">
        <is>
          <t>Antes de 2026</t>
        </is>
      </c>
      <c r="B1067" t="inlineStr">
        <is>
          <t>Frete de venda</t>
        </is>
      </c>
      <c r="C1067" t="inlineStr">
        <is>
          <t>Frete de venda (para clientes)</t>
        </is>
      </c>
      <c r="D1067" t="inlineStr">
        <is>
          <t>CT-e</t>
        </is>
      </c>
      <c r="E1067" t="inlineStr">
        <is>
          <t>000005035</t>
        </is>
      </c>
      <c r="F1067" t="inlineStr">
        <is>
          <t>R&amp;R TRANSPORTE E LOGISTICA</t>
        </is>
      </c>
      <c r="G1067" s="27" t="n">
        <v>45895</v>
      </c>
      <c r="H1067" s="14" t="n">
        <v>20.66</v>
      </c>
      <c r="I1067" s="14" t="n">
        <v>0</v>
      </c>
      <c r="J1067" s="14" t="n">
        <v>0</v>
      </c>
      <c r="K1067" s="14" t="n">
        <v>0</v>
      </c>
      <c r="L1067" s="14" t="n">
        <v>0</v>
      </c>
      <c r="M1067" s="14">
        <f>IF(B1067="Frete de venda",0,(1-ISNUMBER(SEARCH("556",P1067)))*(I1067*VLOOKUP($B1067,Premissas!$A$4:$E$7,2,0)+J1067*VLOOKUP($B1067,Premissas!$A$4:$E$7,3,0))+K1067*VLOOKUP($B1067,Premissas!$A$4:$E$7,4,0)+L1067*VLOOKUP($B1067,Premissas!$A$4:$E$7,5,0))</f>
        <v/>
      </c>
      <c r="N1067" s="14">
        <f>H1067-M1067</f>
        <v/>
      </c>
      <c r="O1067" t="inlineStr">
        <is>
          <t>Não</t>
        </is>
      </c>
      <c r="P1067" t="inlineStr">
        <is>
          <t>1.350</t>
        </is>
      </c>
    </row>
    <row r="1068">
      <c r="A1068" t="inlineStr">
        <is>
          <t>Antes de 2026</t>
        </is>
      </c>
      <c r="B1068" t="inlineStr">
        <is>
          <t>Frete de venda</t>
        </is>
      </c>
      <c r="C1068" t="inlineStr">
        <is>
          <t>Frete de venda (para clientes)</t>
        </is>
      </c>
      <c r="D1068" t="inlineStr">
        <is>
          <t>CT-e</t>
        </is>
      </c>
      <c r="E1068" t="inlineStr">
        <is>
          <t>000005329</t>
        </is>
      </c>
      <c r="F1068" t="inlineStr">
        <is>
          <t>R&amp;R TRANSPORTE E LOGISTICA</t>
        </is>
      </c>
      <c r="G1068" s="27" t="n">
        <v>45929</v>
      </c>
      <c r="H1068" s="14" t="n">
        <v>21.79</v>
      </c>
      <c r="I1068" s="14" t="n">
        <v>0</v>
      </c>
      <c r="J1068" s="14" t="n">
        <v>0</v>
      </c>
      <c r="K1068" s="14" t="n">
        <v>0</v>
      </c>
      <c r="L1068" s="14" t="n">
        <v>0</v>
      </c>
      <c r="M1068" s="14">
        <f>IF(B1068="Frete de venda",0,(1-ISNUMBER(SEARCH("556",P1068)))*(I1068*VLOOKUP($B1068,Premissas!$A$4:$E$7,2,0)+J1068*VLOOKUP($B1068,Premissas!$A$4:$E$7,3,0))+K1068*VLOOKUP($B1068,Premissas!$A$4:$E$7,4,0)+L1068*VLOOKUP($B1068,Premissas!$A$4:$E$7,5,0))</f>
        <v/>
      </c>
      <c r="N1068" s="14">
        <f>H1068-M1068</f>
        <v/>
      </c>
      <c r="O1068" t="inlineStr">
        <is>
          <t>Não</t>
        </is>
      </c>
      <c r="P1068" t="inlineStr">
        <is>
          <t>1.350</t>
        </is>
      </c>
    </row>
    <row r="1069">
      <c r="A1069" t="inlineStr">
        <is>
          <t>Antes de 2026</t>
        </is>
      </c>
      <c r="B1069" t="inlineStr">
        <is>
          <t>Frete de venda</t>
        </is>
      </c>
      <c r="C1069" t="inlineStr">
        <is>
          <t>Frete de venda (para clientes)</t>
        </is>
      </c>
      <c r="D1069" t="inlineStr">
        <is>
          <t>CT-e</t>
        </is>
      </c>
      <c r="E1069" t="inlineStr">
        <is>
          <t>000005796</t>
        </is>
      </c>
      <c r="F1069" t="inlineStr">
        <is>
          <t>R&amp;R TRANSPORTE E LOGISTICA</t>
        </is>
      </c>
      <c r="G1069" s="27" t="n">
        <v>45981</v>
      </c>
      <c r="H1069" s="14" t="n">
        <v>20.66</v>
      </c>
      <c r="I1069" s="14" t="n">
        <v>0</v>
      </c>
      <c r="J1069" s="14" t="n">
        <v>0</v>
      </c>
      <c r="K1069" s="14" t="n">
        <v>0</v>
      </c>
      <c r="L1069" s="14" t="n">
        <v>0</v>
      </c>
      <c r="M1069" s="14">
        <f>IF(B1069="Frete de venda",0,(1-ISNUMBER(SEARCH("556",P1069)))*(I1069*VLOOKUP($B1069,Premissas!$A$4:$E$7,2,0)+J1069*VLOOKUP($B1069,Premissas!$A$4:$E$7,3,0))+K1069*VLOOKUP($B1069,Premissas!$A$4:$E$7,4,0)+L1069*VLOOKUP($B1069,Premissas!$A$4:$E$7,5,0))</f>
        <v/>
      </c>
      <c r="N1069" s="14">
        <f>H1069-M1069</f>
        <v/>
      </c>
      <c r="O1069" t="inlineStr">
        <is>
          <t>Não</t>
        </is>
      </c>
      <c r="P1069" t="inlineStr">
        <is>
          <t>1.350</t>
        </is>
      </c>
    </row>
    <row r="1070">
      <c r="A1070" t="inlineStr">
        <is>
          <t>Antes de 2026</t>
        </is>
      </c>
      <c r="B1070" t="inlineStr">
        <is>
          <t>Frete de venda</t>
        </is>
      </c>
      <c r="C1070" t="inlineStr">
        <is>
          <t>Frete de venda (para clientes)</t>
        </is>
      </c>
      <c r="D1070" t="inlineStr">
        <is>
          <t>CT-e</t>
        </is>
      </c>
      <c r="E1070" t="inlineStr">
        <is>
          <t>000006030</t>
        </is>
      </c>
      <c r="F1070" t="inlineStr">
        <is>
          <t>R&amp;R TRANSPORTE E LOGISTICA</t>
        </is>
      </c>
      <c r="G1070" s="27" t="n">
        <v>46011</v>
      </c>
      <c r="H1070" s="14" t="n">
        <v>47</v>
      </c>
      <c r="I1070" s="14" t="n">
        <v>0</v>
      </c>
      <c r="J1070" s="14" t="n">
        <v>0</v>
      </c>
      <c r="K1070" s="14" t="n">
        <v>0</v>
      </c>
      <c r="L1070" s="14" t="n">
        <v>0</v>
      </c>
      <c r="M1070" s="14">
        <f>IF(B1070="Frete de venda",0,(1-ISNUMBER(SEARCH("556",P1070)))*(I1070*VLOOKUP($B1070,Premissas!$A$4:$E$7,2,0)+J1070*VLOOKUP($B1070,Premissas!$A$4:$E$7,3,0))+K1070*VLOOKUP($B1070,Premissas!$A$4:$E$7,4,0)+L1070*VLOOKUP($B1070,Premissas!$A$4:$E$7,5,0))</f>
        <v/>
      </c>
      <c r="N1070" s="14">
        <f>H1070-M1070</f>
        <v/>
      </c>
      <c r="O1070" t="inlineStr">
        <is>
          <t>Não</t>
        </is>
      </c>
      <c r="P1070" t="inlineStr">
        <is>
          <t>1.350</t>
        </is>
      </c>
    </row>
    <row r="1071">
      <c r="A1071" t="inlineStr">
        <is>
          <t>Antes de 2026</t>
        </is>
      </c>
      <c r="B1071" t="inlineStr">
        <is>
          <t>Frete de venda</t>
        </is>
      </c>
      <c r="C1071" t="inlineStr">
        <is>
          <t>Frete de venda (para clientes)</t>
        </is>
      </c>
      <c r="D1071" t="inlineStr">
        <is>
          <t>CT-e</t>
        </is>
      </c>
      <c r="E1071" t="inlineStr">
        <is>
          <t>000004215</t>
        </is>
      </c>
      <c r="F1071" t="inlineStr">
        <is>
          <t>R&amp;R TRANSPORTE E LOGISTICA</t>
        </is>
      </c>
      <c r="G1071" s="27" t="n">
        <v>45790</v>
      </c>
      <c r="H1071" s="14" t="n">
        <v>51.81</v>
      </c>
      <c r="I1071" s="14" t="n">
        <v>0</v>
      </c>
      <c r="J1071" s="14" t="n">
        <v>0</v>
      </c>
      <c r="K1071" s="14" t="n">
        <v>0</v>
      </c>
      <c r="L1071" s="14" t="n">
        <v>0</v>
      </c>
      <c r="M1071" s="14">
        <f>IF(B1071="Frete de venda",0,(1-ISNUMBER(SEARCH("556",P1071)))*(I1071*VLOOKUP($B1071,Premissas!$A$4:$E$7,2,0)+J1071*VLOOKUP($B1071,Premissas!$A$4:$E$7,3,0))+K1071*VLOOKUP($B1071,Premissas!$A$4:$E$7,4,0)+L1071*VLOOKUP($B1071,Premissas!$A$4:$E$7,5,0))</f>
        <v/>
      </c>
      <c r="N1071" s="14">
        <f>H1071-M1071</f>
        <v/>
      </c>
      <c r="O1071" t="inlineStr">
        <is>
          <t>Não</t>
        </is>
      </c>
      <c r="P1071" t="inlineStr">
        <is>
          <t>1.350</t>
        </is>
      </c>
    </row>
    <row r="1072">
      <c r="A1072" t="inlineStr">
        <is>
          <t>Antes de 2026</t>
        </is>
      </c>
      <c r="B1072" t="inlineStr">
        <is>
          <t>Frete de venda</t>
        </is>
      </c>
      <c r="C1072" t="inlineStr">
        <is>
          <t>Frete de venda (para clientes)</t>
        </is>
      </c>
      <c r="D1072" t="inlineStr">
        <is>
          <t>CT-e</t>
        </is>
      </c>
      <c r="E1072" t="inlineStr">
        <is>
          <t>000004600</t>
        </is>
      </c>
      <c r="F1072" t="inlineStr">
        <is>
          <t>R&amp;R TRANSPORTE E LOGISTICA</t>
        </is>
      </c>
      <c r="G1072" s="27" t="n">
        <v>45843</v>
      </c>
      <c r="H1072" s="14" t="n">
        <v>55.5</v>
      </c>
      <c r="I1072" s="14" t="n">
        <v>0</v>
      </c>
      <c r="J1072" s="14" t="n">
        <v>0</v>
      </c>
      <c r="K1072" s="14" t="n">
        <v>0</v>
      </c>
      <c r="L1072" s="14" t="n">
        <v>0</v>
      </c>
      <c r="M1072" s="14">
        <f>IF(B1072="Frete de venda",0,(1-ISNUMBER(SEARCH("556",P1072)))*(I1072*VLOOKUP($B1072,Premissas!$A$4:$E$7,2,0)+J1072*VLOOKUP($B1072,Premissas!$A$4:$E$7,3,0))+K1072*VLOOKUP($B1072,Premissas!$A$4:$E$7,4,0)+L1072*VLOOKUP($B1072,Premissas!$A$4:$E$7,5,0))</f>
        <v/>
      </c>
      <c r="N1072" s="14">
        <f>H1072-M1072</f>
        <v/>
      </c>
      <c r="O1072" t="inlineStr">
        <is>
          <t>Não</t>
        </is>
      </c>
      <c r="P1072" t="inlineStr">
        <is>
          <t>1.350</t>
        </is>
      </c>
    </row>
    <row r="1073">
      <c r="A1073" t="inlineStr">
        <is>
          <t>Antes de 2026</t>
        </is>
      </c>
      <c r="B1073" t="inlineStr">
        <is>
          <t>Frete de venda</t>
        </is>
      </c>
      <c r="C1073" t="inlineStr">
        <is>
          <t>Frete de venda (para clientes)</t>
        </is>
      </c>
      <c r="D1073" t="inlineStr">
        <is>
          <t>CT-e</t>
        </is>
      </c>
      <c r="E1073" t="inlineStr">
        <is>
          <t>000005001</t>
        </is>
      </c>
      <c r="F1073" t="inlineStr">
        <is>
          <t>R&amp;R TRANSPORTE E LOGISTICA</t>
        </is>
      </c>
      <c r="G1073" s="27" t="n">
        <v>45894</v>
      </c>
      <c r="H1073" s="14" t="n">
        <v>66.73</v>
      </c>
      <c r="I1073" s="14" t="n">
        <v>0</v>
      </c>
      <c r="J1073" s="14" t="n">
        <v>0</v>
      </c>
      <c r="K1073" s="14" t="n">
        <v>0</v>
      </c>
      <c r="L1073" s="14" t="n">
        <v>0</v>
      </c>
      <c r="M1073" s="14">
        <f>IF(B1073="Frete de venda",0,(1-ISNUMBER(SEARCH("556",P1073)))*(I1073*VLOOKUP($B1073,Premissas!$A$4:$E$7,2,0)+J1073*VLOOKUP($B1073,Premissas!$A$4:$E$7,3,0))+K1073*VLOOKUP($B1073,Premissas!$A$4:$E$7,4,0)+L1073*VLOOKUP($B1073,Premissas!$A$4:$E$7,5,0))</f>
        <v/>
      </c>
      <c r="N1073" s="14">
        <f>H1073-M1073</f>
        <v/>
      </c>
      <c r="O1073" t="inlineStr">
        <is>
          <t>Não</t>
        </is>
      </c>
      <c r="P1073" t="inlineStr">
        <is>
          <t>1.350</t>
        </is>
      </c>
    </row>
    <row r="1074">
      <c r="A1074" t="inlineStr">
        <is>
          <t>Antes de 2026</t>
        </is>
      </c>
      <c r="B1074" t="inlineStr">
        <is>
          <t>Frete de venda</t>
        </is>
      </c>
      <c r="C1074" t="inlineStr">
        <is>
          <t>Frete de venda (para clientes)</t>
        </is>
      </c>
      <c r="D1074" t="inlineStr">
        <is>
          <t>CT-e</t>
        </is>
      </c>
      <c r="E1074" t="inlineStr">
        <is>
          <t>000005877</t>
        </is>
      </c>
      <c r="F1074" t="inlineStr">
        <is>
          <t>R&amp;R TRANSPORTE E LOGISTICA</t>
        </is>
      </c>
      <c r="G1074" s="27" t="n">
        <v>45990</v>
      </c>
      <c r="H1074" s="14" t="n">
        <v>39.94</v>
      </c>
      <c r="I1074" s="14" t="n">
        <v>0</v>
      </c>
      <c r="J1074" s="14" t="n">
        <v>0</v>
      </c>
      <c r="K1074" s="14" t="n">
        <v>0</v>
      </c>
      <c r="L1074" s="14" t="n">
        <v>0</v>
      </c>
      <c r="M1074" s="14">
        <f>IF(B1074="Frete de venda",0,(1-ISNUMBER(SEARCH("556",P1074)))*(I1074*VLOOKUP($B1074,Premissas!$A$4:$E$7,2,0)+J1074*VLOOKUP($B1074,Premissas!$A$4:$E$7,3,0))+K1074*VLOOKUP($B1074,Premissas!$A$4:$E$7,4,0)+L1074*VLOOKUP($B1074,Premissas!$A$4:$E$7,5,0))</f>
        <v/>
      </c>
      <c r="N1074" s="14">
        <f>H1074-M1074</f>
        <v/>
      </c>
      <c r="O1074" t="inlineStr">
        <is>
          <t>Não</t>
        </is>
      </c>
      <c r="P1074" t="inlineStr">
        <is>
          <t>1.350</t>
        </is>
      </c>
    </row>
    <row r="1075">
      <c r="A1075" t="inlineStr">
        <is>
          <t>Antes de 2026</t>
        </is>
      </c>
      <c r="B1075" t="inlineStr">
        <is>
          <t>Frete de venda</t>
        </is>
      </c>
      <c r="C1075" t="inlineStr">
        <is>
          <t>Frete de venda (para clientes)</t>
        </is>
      </c>
      <c r="D1075" t="inlineStr">
        <is>
          <t>CT-e</t>
        </is>
      </c>
      <c r="E1075" t="inlineStr">
        <is>
          <t>000004648</t>
        </is>
      </c>
      <c r="F1075" t="inlineStr">
        <is>
          <t>R&amp;R TRANSPORTE E LOGISTICA</t>
        </is>
      </c>
      <c r="G1075" s="27" t="n">
        <v>45854</v>
      </c>
      <c r="H1075" s="14" t="n">
        <v>235</v>
      </c>
      <c r="I1075" s="14" t="n">
        <v>0</v>
      </c>
      <c r="J1075" s="14" t="n">
        <v>0</v>
      </c>
      <c r="K1075" s="14" t="n">
        <v>0</v>
      </c>
      <c r="L1075" s="14" t="n">
        <v>0</v>
      </c>
      <c r="M1075" s="14">
        <f>IF(B1075="Frete de venda",0,(1-ISNUMBER(SEARCH("556",P1075)))*(I1075*VLOOKUP($B1075,Premissas!$A$4:$E$7,2,0)+J1075*VLOOKUP($B1075,Premissas!$A$4:$E$7,3,0))+K1075*VLOOKUP($B1075,Premissas!$A$4:$E$7,4,0)+L1075*VLOOKUP($B1075,Premissas!$A$4:$E$7,5,0))</f>
        <v/>
      </c>
      <c r="N1075" s="14">
        <f>H1075-M1075</f>
        <v/>
      </c>
      <c r="O1075" t="inlineStr">
        <is>
          <t>Não</t>
        </is>
      </c>
      <c r="P1075" t="inlineStr">
        <is>
          <t>1.350</t>
        </is>
      </c>
    </row>
    <row r="1076">
      <c r="A1076" t="inlineStr">
        <is>
          <t>Antes de 2026</t>
        </is>
      </c>
      <c r="B1076" t="inlineStr">
        <is>
          <t>Frete de venda</t>
        </is>
      </c>
      <c r="C1076" t="inlineStr">
        <is>
          <t>Frete de venda (para clientes)</t>
        </is>
      </c>
      <c r="D1076" t="inlineStr">
        <is>
          <t>CT-e</t>
        </is>
      </c>
      <c r="E1076" t="inlineStr">
        <is>
          <t>000004664</t>
        </is>
      </c>
      <c r="F1076" t="inlineStr">
        <is>
          <t>R&amp;R TRANSPORTE E LOGISTICA</t>
        </is>
      </c>
      <c r="G1076" s="27" t="n">
        <v>45855</v>
      </c>
      <c r="H1076" s="14" t="n">
        <v>150</v>
      </c>
      <c r="I1076" s="14" t="n">
        <v>0</v>
      </c>
      <c r="J1076" s="14" t="n">
        <v>0</v>
      </c>
      <c r="K1076" s="14" t="n">
        <v>0</v>
      </c>
      <c r="L1076" s="14" t="n">
        <v>0</v>
      </c>
      <c r="M1076" s="14">
        <f>IF(B1076="Frete de venda",0,(1-ISNUMBER(SEARCH("556",P1076)))*(I1076*VLOOKUP($B1076,Premissas!$A$4:$E$7,2,0)+J1076*VLOOKUP($B1076,Premissas!$A$4:$E$7,3,0))+K1076*VLOOKUP($B1076,Premissas!$A$4:$E$7,4,0)+L1076*VLOOKUP($B1076,Premissas!$A$4:$E$7,5,0))</f>
        <v/>
      </c>
      <c r="N1076" s="14">
        <f>H1076-M1076</f>
        <v/>
      </c>
      <c r="O1076" t="inlineStr">
        <is>
          <t>Não</t>
        </is>
      </c>
      <c r="P1076" t="inlineStr">
        <is>
          <t>1.350</t>
        </is>
      </c>
    </row>
    <row r="1077">
      <c r="A1077" t="inlineStr">
        <is>
          <t>Antes de 2026</t>
        </is>
      </c>
      <c r="B1077" t="inlineStr">
        <is>
          <t>Frete de venda</t>
        </is>
      </c>
      <c r="C1077" t="inlineStr">
        <is>
          <t>Frete de venda (para clientes)</t>
        </is>
      </c>
      <c r="D1077" t="inlineStr">
        <is>
          <t>CT-e</t>
        </is>
      </c>
      <c r="E1077" t="inlineStr">
        <is>
          <t>000005456</t>
        </is>
      </c>
      <c r="F1077" t="inlineStr">
        <is>
          <t>R&amp;R TRANSPORTE E LOGISTICA</t>
        </is>
      </c>
      <c r="G1077" s="27" t="n">
        <v>45943</v>
      </c>
      <c r="H1077" s="14" t="n">
        <v>140</v>
      </c>
      <c r="I1077" s="14" t="n">
        <v>0</v>
      </c>
      <c r="J1077" s="14" t="n">
        <v>0</v>
      </c>
      <c r="K1077" s="14" t="n">
        <v>0</v>
      </c>
      <c r="L1077" s="14" t="n">
        <v>0</v>
      </c>
      <c r="M1077" s="14">
        <f>IF(B1077="Frete de venda",0,(1-ISNUMBER(SEARCH("556",P1077)))*(I1077*VLOOKUP($B1077,Premissas!$A$4:$E$7,2,0)+J1077*VLOOKUP($B1077,Premissas!$A$4:$E$7,3,0))+K1077*VLOOKUP($B1077,Premissas!$A$4:$E$7,4,0)+L1077*VLOOKUP($B1077,Premissas!$A$4:$E$7,5,0))</f>
        <v/>
      </c>
      <c r="N1077" s="14">
        <f>H1077-M1077</f>
        <v/>
      </c>
      <c r="O1077" t="inlineStr">
        <is>
          <t>Não</t>
        </is>
      </c>
      <c r="P1077" t="inlineStr">
        <is>
          <t>1.350</t>
        </is>
      </c>
    </row>
    <row r="1078">
      <c r="A1078" t="inlineStr">
        <is>
          <t>Antes de 2026</t>
        </is>
      </c>
      <c r="B1078" t="inlineStr">
        <is>
          <t>Frete de venda</t>
        </is>
      </c>
      <c r="C1078" t="inlineStr">
        <is>
          <t>Frete de venda (para clientes)</t>
        </is>
      </c>
      <c r="D1078" t="inlineStr">
        <is>
          <t>CT-e</t>
        </is>
      </c>
      <c r="E1078" t="inlineStr">
        <is>
          <t>000005082</t>
        </is>
      </c>
      <c r="F1078" t="inlineStr">
        <is>
          <t>R&amp;R TRANSPORTE E LOGISTICA</t>
        </is>
      </c>
      <c r="G1078" s="27" t="n">
        <v>45898</v>
      </c>
      <c r="H1078" s="14" t="n">
        <v>26.66</v>
      </c>
      <c r="I1078" s="14" t="n">
        <v>0</v>
      </c>
      <c r="J1078" s="14" t="n">
        <v>0</v>
      </c>
      <c r="K1078" s="14" t="n">
        <v>0</v>
      </c>
      <c r="L1078" s="14" t="n">
        <v>0</v>
      </c>
      <c r="M1078" s="14">
        <f>IF(B1078="Frete de venda",0,(1-ISNUMBER(SEARCH("556",P1078)))*(I1078*VLOOKUP($B1078,Premissas!$A$4:$E$7,2,0)+J1078*VLOOKUP($B1078,Premissas!$A$4:$E$7,3,0))+K1078*VLOOKUP($B1078,Premissas!$A$4:$E$7,4,0)+L1078*VLOOKUP($B1078,Premissas!$A$4:$E$7,5,0))</f>
        <v/>
      </c>
      <c r="N1078" s="14">
        <f>H1078-M1078</f>
        <v/>
      </c>
      <c r="O1078" t="inlineStr">
        <is>
          <t>Não</t>
        </is>
      </c>
      <c r="P1078" t="inlineStr">
        <is>
          <t>1.350</t>
        </is>
      </c>
    </row>
    <row r="1079">
      <c r="A1079" t="inlineStr">
        <is>
          <t>Antes de 2026</t>
        </is>
      </c>
      <c r="B1079" t="inlineStr">
        <is>
          <t>Frete de venda</t>
        </is>
      </c>
      <c r="C1079" t="inlineStr">
        <is>
          <t>Frete de venda (para clientes)</t>
        </is>
      </c>
      <c r="D1079" t="inlineStr">
        <is>
          <t>CT-e</t>
        </is>
      </c>
      <c r="E1079" t="inlineStr">
        <is>
          <t>000005763</t>
        </is>
      </c>
      <c r="F1079" t="inlineStr">
        <is>
          <t>R&amp;R TRANSPORTE E LOGISTICA</t>
        </is>
      </c>
      <c r="G1079" s="27" t="n">
        <v>45981</v>
      </c>
      <c r="H1079" s="14" t="n">
        <v>12.08</v>
      </c>
      <c r="I1079" s="14" t="n">
        <v>0</v>
      </c>
      <c r="J1079" s="14" t="n">
        <v>0</v>
      </c>
      <c r="K1079" s="14" t="n">
        <v>0</v>
      </c>
      <c r="L1079" s="14" t="n">
        <v>0</v>
      </c>
      <c r="M1079" s="14">
        <f>IF(B1079="Frete de venda",0,(1-ISNUMBER(SEARCH("556",P1079)))*(I1079*VLOOKUP($B1079,Premissas!$A$4:$E$7,2,0)+J1079*VLOOKUP($B1079,Premissas!$A$4:$E$7,3,0))+K1079*VLOOKUP($B1079,Premissas!$A$4:$E$7,4,0)+L1079*VLOOKUP($B1079,Premissas!$A$4:$E$7,5,0))</f>
        <v/>
      </c>
      <c r="N1079" s="14">
        <f>H1079-M1079</f>
        <v/>
      </c>
      <c r="O1079" t="inlineStr">
        <is>
          <t>Não</t>
        </is>
      </c>
      <c r="P1079" t="inlineStr">
        <is>
          <t>1.350</t>
        </is>
      </c>
    </row>
    <row r="1080">
      <c r="A1080" t="inlineStr">
        <is>
          <t>Antes de 2026</t>
        </is>
      </c>
      <c r="B1080" t="inlineStr">
        <is>
          <t>Frete de venda</t>
        </is>
      </c>
      <c r="C1080" t="inlineStr">
        <is>
          <t>Frete de venda (para clientes)</t>
        </is>
      </c>
      <c r="D1080" t="inlineStr">
        <is>
          <t>CT-e</t>
        </is>
      </c>
      <c r="E1080" t="inlineStr">
        <is>
          <t>000005859</t>
        </is>
      </c>
      <c r="F1080" t="inlineStr">
        <is>
          <t>R&amp;R TRANSPORTE E LOGISTICA</t>
        </is>
      </c>
      <c r="G1080" s="27" t="n">
        <v>45988</v>
      </c>
      <c r="H1080" s="14" t="n">
        <v>16.9</v>
      </c>
      <c r="I1080" s="14" t="n">
        <v>0</v>
      </c>
      <c r="J1080" s="14" t="n">
        <v>0</v>
      </c>
      <c r="K1080" s="14" t="n">
        <v>0</v>
      </c>
      <c r="L1080" s="14" t="n">
        <v>0</v>
      </c>
      <c r="M1080" s="14">
        <f>IF(B1080="Frete de venda",0,(1-ISNUMBER(SEARCH("556",P1080)))*(I1080*VLOOKUP($B1080,Premissas!$A$4:$E$7,2,0)+J1080*VLOOKUP($B1080,Premissas!$A$4:$E$7,3,0))+K1080*VLOOKUP($B1080,Premissas!$A$4:$E$7,4,0)+L1080*VLOOKUP($B1080,Premissas!$A$4:$E$7,5,0))</f>
        <v/>
      </c>
      <c r="N1080" s="14">
        <f>H1080-M1080</f>
        <v/>
      </c>
      <c r="O1080" t="inlineStr">
        <is>
          <t>Não</t>
        </is>
      </c>
      <c r="P1080" t="inlineStr">
        <is>
          <t>1.350</t>
        </is>
      </c>
    </row>
    <row r="1081">
      <c r="A1081" t="inlineStr">
        <is>
          <t>Antes de 2026</t>
        </is>
      </c>
      <c r="B1081" t="inlineStr">
        <is>
          <t>Frete de venda</t>
        </is>
      </c>
      <c r="C1081" t="inlineStr">
        <is>
          <t>Frete de venda (para clientes)</t>
        </is>
      </c>
      <c r="D1081" t="inlineStr">
        <is>
          <t>CT-e</t>
        </is>
      </c>
      <c r="E1081" t="inlineStr">
        <is>
          <t>000004241</t>
        </is>
      </c>
      <c r="F1081" t="inlineStr">
        <is>
          <t>R&amp;R TRANSPORTE E LOGISTICA</t>
        </is>
      </c>
      <c r="G1081" s="27" t="n">
        <v>45793</v>
      </c>
      <c r="H1081" s="14" t="n">
        <v>37.4</v>
      </c>
      <c r="I1081" s="14" t="n">
        <v>0</v>
      </c>
      <c r="J1081" s="14" t="n">
        <v>0</v>
      </c>
      <c r="K1081" s="14" t="n">
        <v>0</v>
      </c>
      <c r="L1081" s="14" t="n">
        <v>0</v>
      </c>
      <c r="M1081" s="14">
        <f>IF(B1081="Frete de venda",0,(1-ISNUMBER(SEARCH("556",P1081)))*(I1081*VLOOKUP($B1081,Premissas!$A$4:$E$7,2,0)+J1081*VLOOKUP($B1081,Premissas!$A$4:$E$7,3,0))+K1081*VLOOKUP($B1081,Premissas!$A$4:$E$7,4,0)+L1081*VLOOKUP($B1081,Premissas!$A$4:$E$7,5,0))</f>
        <v/>
      </c>
      <c r="N1081" s="14">
        <f>H1081-M1081</f>
        <v/>
      </c>
      <c r="O1081" t="inlineStr">
        <is>
          <t>Não</t>
        </is>
      </c>
      <c r="P1081" t="inlineStr">
        <is>
          <t>1.350</t>
        </is>
      </c>
    </row>
    <row r="1082">
      <c r="A1082" t="inlineStr">
        <is>
          <t>Antes de 2026</t>
        </is>
      </c>
      <c r="B1082" t="inlineStr">
        <is>
          <t>Frete de venda</t>
        </is>
      </c>
      <c r="C1082" t="inlineStr">
        <is>
          <t>Frete de venda (para clientes)</t>
        </is>
      </c>
      <c r="D1082" t="inlineStr">
        <is>
          <t>CT-e</t>
        </is>
      </c>
      <c r="E1082" t="inlineStr">
        <is>
          <t>000005050</t>
        </is>
      </c>
      <c r="F1082" t="inlineStr">
        <is>
          <t>R&amp;R TRANSPORTE E LOGISTICA</t>
        </is>
      </c>
      <c r="G1082" s="27" t="n">
        <v>45896</v>
      </c>
      <c r="H1082" s="14" t="n">
        <v>18.65</v>
      </c>
      <c r="I1082" s="14" t="n">
        <v>0</v>
      </c>
      <c r="J1082" s="14" t="n">
        <v>0</v>
      </c>
      <c r="K1082" s="14" t="n">
        <v>0</v>
      </c>
      <c r="L1082" s="14" t="n">
        <v>0</v>
      </c>
      <c r="M1082" s="14">
        <f>IF(B1082="Frete de venda",0,(1-ISNUMBER(SEARCH("556",P1082)))*(I1082*VLOOKUP($B1082,Premissas!$A$4:$E$7,2,0)+J1082*VLOOKUP($B1082,Premissas!$A$4:$E$7,3,0))+K1082*VLOOKUP($B1082,Premissas!$A$4:$E$7,4,0)+L1082*VLOOKUP($B1082,Premissas!$A$4:$E$7,5,0))</f>
        <v/>
      </c>
      <c r="N1082" s="14">
        <f>H1082-M1082</f>
        <v/>
      </c>
      <c r="O1082" t="inlineStr">
        <is>
          <t>Não</t>
        </is>
      </c>
      <c r="P1082" t="inlineStr">
        <is>
          <t>1.350</t>
        </is>
      </c>
    </row>
    <row r="1083">
      <c r="A1083" t="inlineStr">
        <is>
          <t>Antes de 2026</t>
        </is>
      </c>
      <c r="B1083" t="inlineStr">
        <is>
          <t>Frete de venda</t>
        </is>
      </c>
      <c r="C1083" t="inlineStr">
        <is>
          <t>Frete de venda (para clientes)</t>
        </is>
      </c>
      <c r="D1083" t="inlineStr">
        <is>
          <t>CT-e</t>
        </is>
      </c>
      <c r="E1083" t="inlineStr">
        <is>
          <t>000006093</t>
        </is>
      </c>
      <c r="F1083" t="inlineStr">
        <is>
          <t>R&amp;R TRANSPORTE E LOGISTICA</t>
        </is>
      </c>
      <c r="G1083" s="27" t="n">
        <v>46021</v>
      </c>
      <c r="H1083" s="14" t="n">
        <v>14.4</v>
      </c>
      <c r="I1083" s="14" t="n">
        <v>0</v>
      </c>
      <c r="J1083" s="14" t="n">
        <v>0</v>
      </c>
      <c r="K1083" s="14" t="n">
        <v>0</v>
      </c>
      <c r="L1083" s="14" t="n">
        <v>0</v>
      </c>
      <c r="M1083" s="14">
        <f>IF(B1083="Frete de venda",0,(1-ISNUMBER(SEARCH("556",P1083)))*(I1083*VLOOKUP($B1083,Premissas!$A$4:$E$7,2,0)+J1083*VLOOKUP($B1083,Premissas!$A$4:$E$7,3,0))+K1083*VLOOKUP($B1083,Premissas!$A$4:$E$7,4,0)+L1083*VLOOKUP($B1083,Premissas!$A$4:$E$7,5,0))</f>
        <v/>
      </c>
      <c r="N1083" s="14">
        <f>H1083-M1083</f>
        <v/>
      </c>
      <c r="O1083" t="inlineStr">
        <is>
          <t>Não</t>
        </is>
      </c>
      <c r="P1083" t="inlineStr">
        <is>
          <t>1.350</t>
        </is>
      </c>
    </row>
    <row r="1084">
      <c r="A1084" t="inlineStr">
        <is>
          <t>Antes de 2026</t>
        </is>
      </c>
      <c r="B1084" t="inlineStr">
        <is>
          <t>Frete de venda</t>
        </is>
      </c>
      <c r="C1084" t="inlineStr">
        <is>
          <t>Frete de venda (para clientes)</t>
        </is>
      </c>
      <c r="D1084" t="inlineStr">
        <is>
          <t>CT-e</t>
        </is>
      </c>
      <c r="E1084" t="inlineStr">
        <is>
          <t>000004122</t>
        </is>
      </c>
      <c r="F1084" t="inlineStr">
        <is>
          <t>R&amp;R TRANSPORTE E LOGISTICA</t>
        </is>
      </c>
      <c r="G1084" s="27" t="n">
        <v>45778</v>
      </c>
      <c r="H1084" s="14" t="n">
        <v>52</v>
      </c>
      <c r="I1084" s="14" t="n">
        <v>0</v>
      </c>
      <c r="J1084" s="14" t="n">
        <v>0</v>
      </c>
      <c r="K1084" s="14" t="n">
        <v>0</v>
      </c>
      <c r="L1084" s="14" t="n">
        <v>0</v>
      </c>
      <c r="M1084" s="14">
        <f>IF(B1084="Frete de venda",0,(1-ISNUMBER(SEARCH("556",P1084)))*(I1084*VLOOKUP($B1084,Premissas!$A$4:$E$7,2,0)+J1084*VLOOKUP($B1084,Premissas!$A$4:$E$7,3,0))+K1084*VLOOKUP($B1084,Premissas!$A$4:$E$7,4,0)+L1084*VLOOKUP($B1084,Premissas!$A$4:$E$7,5,0))</f>
        <v/>
      </c>
      <c r="N1084" s="14">
        <f>H1084-M1084</f>
        <v/>
      </c>
      <c r="O1084" t="inlineStr">
        <is>
          <t>Não</t>
        </is>
      </c>
      <c r="P1084" t="inlineStr">
        <is>
          <t>1.350</t>
        </is>
      </c>
    </row>
    <row r="1085">
      <c r="A1085" t="inlineStr">
        <is>
          <t>Antes de 2026</t>
        </is>
      </c>
      <c r="B1085" t="inlineStr">
        <is>
          <t>Frete de venda</t>
        </is>
      </c>
      <c r="C1085" t="inlineStr">
        <is>
          <t>Frete de venda (para clientes)</t>
        </is>
      </c>
      <c r="D1085" t="inlineStr">
        <is>
          <t>CT-e</t>
        </is>
      </c>
      <c r="E1085" t="inlineStr">
        <is>
          <t>000004540</t>
        </is>
      </c>
      <c r="F1085" t="inlineStr">
        <is>
          <t>R&amp;R TRANSPORTE E LOGISTICA</t>
        </is>
      </c>
      <c r="G1085" s="27" t="n">
        <v>45836</v>
      </c>
      <c r="H1085" s="14" t="n">
        <v>35</v>
      </c>
      <c r="I1085" s="14" t="n">
        <v>0</v>
      </c>
      <c r="J1085" s="14" t="n">
        <v>0</v>
      </c>
      <c r="K1085" s="14" t="n">
        <v>0</v>
      </c>
      <c r="L1085" s="14" t="n">
        <v>0</v>
      </c>
      <c r="M1085" s="14">
        <f>IF(B1085="Frete de venda",0,(1-ISNUMBER(SEARCH("556",P1085)))*(I1085*VLOOKUP($B1085,Premissas!$A$4:$E$7,2,0)+J1085*VLOOKUP($B1085,Premissas!$A$4:$E$7,3,0))+K1085*VLOOKUP($B1085,Premissas!$A$4:$E$7,4,0)+L1085*VLOOKUP($B1085,Premissas!$A$4:$E$7,5,0))</f>
        <v/>
      </c>
      <c r="N1085" s="14">
        <f>H1085-M1085</f>
        <v/>
      </c>
      <c r="O1085" t="inlineStr">
        <is>
          <t>Não</t>
        </is>
      </c>
      <c r="P1085" t="inlineStr">
        <is>
          <t>1.350</t>
        </is>
      </c>
    </row>
    <row r="1086">
      <c r="A1086" t="inlineStr">
        <is>
          <t>Antes de 2026</t>
        </is>
      </c>
      <c r="B1086" t="inlineStr">
        <is>
          <t>Frete de venda</t>
        </is>
      </c>
      <c r="C1086" t="inlineStr">
        <is>
          <t>Frete de venda (para clientes)</t>
        </is>
      </c>
      <c r="D1086" t="inlineStr">
        <is>
          <t>CT-e</t>
        </is>
      </c>
      <c r="E1086" t="inlineStr">
        <is>
          <t>000004975</t>
        </is>
      </c>
      <c r="F1086" t="inlineStr">
        <is>
          <t>R&amp;R TRANSPORTE E LOGISTICA</t>
        </is>
      </c>
      <c r="G1086" s="27" t="n">
        <v>45891</v>
      </c>
      <c r="H1086" s="14" t="n">
        <v>34.63</v>
      </c>
      <c r="I1086" s="14" t="n">
        <v>0</v>
      </c>
      <c r="J1086" s="14" t="n">
        <v>0</v>
      </c>
      <c r="K1086" s="14" t="n">
        <v>0</v>
      </c>
      <c r="L1086" s="14" t="n">
        <v>0</v>
      </c>
      <c r="M1086" s="14">
        <f>IF(B1086="Frete de venda",0,(1-ISNUMBER(SEARCH("556",P1086)))*(I1086*VLOOKUP($B1086,Premissas!$A$4:$E$7,2,0)+J1086*VLOOKUP($B1086,Premissas!$A$4:$E$7,3,0))+K1086*VLOOKUP($B1086,Premissas!$A$4:$E$7,4,0)+L1086*VLOOKUP($B1086,Premissas!$A$4:$E$7,5,0))</f>
        <v/>
      </c>
      <c r="N1086" s="14">
        <f>H1086-M1086</f>
        <v/>
      </c>
      <c r="O1086" t="inlineStr">
        <is>
          <t>Não</t>
        </is>
      </c>
      <c r="P1086" t="inlineStr">
        <is>
          <t>1.350</t>
        </is>
      </c>
    </row>
    <row r="1087">
      <c r="A1087" t="inlineStr">
        <is>
          <t>Antes de 2026</t>
        </is>
      </c>
      <c r="B1087" t="inlineStr">
        <is>
          <t>Frete de venda</t>
        </is>
      </c>
      <c r="C1087" t="inlineStr">
        <is>
          <t>Frete de venda (para clientes)</t>
        </is>
      </c>
      <c r="D1087" t="inlineStr">
        <is>
          <t>CT-e</t>
        </is>
      </c>
      <c r="E1087" t="inlineStr">
        <is>
          <t>000005439</t>
        </is>
      </c>
      <c r="F1087" t="inlineStr">
        <is>
          <t>R&amp;R TRANSPORTE E LOGISTICA</t>
        </is>
      </c>
      <c r="G1087" s="27" t="n">
        <v>45940</v>
      </c>
      <c r="H1087" s="14" t="n">
        <v>20.43</v>
      </c>
      <c r="I1087" s="14" t="n">
        <v>0</v>
      </c>
      <c r="J1087" s="14" t="n">
        <v>0</v>
      </c>
      <c r="K1087" s="14" t="n">
        <v>0</v>
      </c>
      <c r="L1087" s="14" t="n">
        <v>0</v>
      </c>
      <c r="M1087" s="14">
        <f>IF(B1087="Frete de venda",0,(1-ISNUMBER(SEARCH("556",P1087)))*(I1087*VLOOKUP($B1087,Premissas!$A$4:$E$7,2,0)+J1087*VLOOKUP($B1087,Premissas!$A$4:$E$7,3,0))+K1087*VLOOKUP($B1087,Premissas!$A$4:$E$7,4,0)+L1087*VLOOKUP($B1087,Premissas!$A$4:$E$7,5,0))</f>
        <v/>
      </c>
      <c r="N1087" s="14">
        <f>H1087-M1087</f>
        <v/>
      </c>
      <c r="O1087" t="inlineStr">
        <is>
          <t>Não</t>
        </is>
      </c>
      <c r="P1087" t="inlineStr">
        <is>
          <t>1.350</t>
        </is>
      </c>
    </row>
    <row r="1088">
      <c r="A1088" t="inlineStr">
        <is>
          <t>Antes de 2026</t>
        </is>
      </c>
      <c r="B1088" t="inlineStr">
        <is>
          <t>Frete de venda</t>
        </is>
      </c>
      <c r="C1088" t="inlineStr">
        <is>
          <t>Frete de venda (para clientes)</t>
        </is>
      </c>
      <c r="D1088" t="inlineStr">
        <is>
          <t>CT-e</t>
        </is>
      </c>
      <c r="E1088" t="inlineStr">
        <is>
          <t>000005857</t>
        </is>
      </c>
      <c r="F1088" t="inlineStr">
        <is>
          <t>R&amp;R TRANSPORTE E LOGISTICA</t>
        </is>
      </c>
      <c r="G1088" s="27" t="n">
        <v>45988</v>
      </c>
      <c r="H1088" s="14" t="n">
        <v>24.36</v>
      </c>
      <c r="I1088" s="14" t="n">
        <v>0</v>
      </c>
      <c r="J1088" s="14" t="n">
        <v>0</v>
      </c>
      <c r="K1088" s="14" t="n">
        <v>0</v>
      </c>
      <c r="L1088" s="14" t="n">
        <v>0</v>
      </c>
      <c r="M1088" s="14">
        <f>IF(B1088="Frete de venda",0,(1-ISNUMBER(SEARCH("556",P1088)))*(I1088*VLOOKUP($B1088,Premissas!$A$4:$E$7,2,0)+J1088*VLOOKUP($B1088,Premissas!$A$4:$E$7,3,0))+K1088*VLOOKUP($B1088,Premissas!$A$4:$E$7,4,0)+L1088*VLOOKUP($B1088,Premissas!$A$4:$E$7,5,0))</f>
        <v/>
      </c>
      <c r="N1088" s="14">
        <f>H1088-M1088</f>
        <v/>
      </c>
      <c r="O1088" t="inlineStr">
        <is>
          <t>Não</t>
        </is>
      </c>
      <c r="P1088" t="inlineStr">
        <is>
          <t>1.350</t>
        </is>
      </c>
    </row>
    <row r="1089">
      <c r="A1089" t="inlineStr">
        <is>
          <t>Antes de 2026</t>
        </is>
      </c>
      <c r="B1089" t="inlineStr">
        <is>
          <t>Frete de venda</t>
        </is>
      </c>
      <c r="C1089" t="inlineStr">
        <is>
          <t>Frete de venda (para clientes)</t>
        </is>
      </c>
      <c r="D1089" t="inlineStr">
        <is>
          <t>CT-e</t>
        </is>
      </c>
      <c r="E1089" t="inlineStr">
        <is>
          <t>000004159</t>
        </is>
      </c>
      <c r="F1089" t="inlineStr">
        <is>
          <t>R&amp;R TRANSPORTE E LOGISTICA</t>
        </is>
      </c>
      <c r="G1089" s="27" t="n">
        <v>45784</v>
      </c>
      <c r="H1089" s="14" t="n">
        <v>62.09</v>
      </c>
      <c r="I1089" s="14" t="n">
        <v>0</v>
      </c>
      <c r="J1089" s="14" t="n">
        <v>0</v>
      </c>
      <c r="K1089" s="14" t="n">
        <v>0</v>
      </c>
      <c r="L1089" s="14" t="n">
        <v>0</v>
      </c>
      <c r="M1089" s="14">
        <f>IF(B1089="Frete de venda",0,(1-ISNUMBER(SEARCH("556",P1089)))*(I1089*VLOOKUP($B1089,Premissas!$A$4:$E$7,2,0)+J1089*VLOOKUP($B1089,Premissas!$A$4:$E$7,3,0))+K1089*VLOOKUP($B1089,Premissas!$A$4:$E$7,4,0)+L1089*VLOOKUP($B1089,Premissas!$A$4:$E$7,5,0))</f>
        <v/>
      </c>
      <c r="N1089" s="14">
        <f>H1089-M1089</f>
        <v/>
      </c>
      <c r="O1089" t="inlineStr">
        <is>
          <t>Não</t>
        </is>
      </c>
      <c r="P1089" t="inlineStr">
        <is>
          <t>1.350</t>
        </is>
      </c>
    </row>
    <row r="1090">
      <c r="A1090" t="inlineStr">
        <is>
          <t>Antes de 2026</t>
        </is>
      </c>
      <c r="B1090" t="inlineStr">
        <is>
          <t>Frete de venda</t>
        </is>
      </c>
      <c r="C1090" t="inlineStr">
        <is>
          <t>Frete de venda (para clientes)</t>
        </is>
      </c>
      <c r="D1090" t="inlineStr">
        <is>
          <t>CT-e</t>
        </is>
      </c>
      <c r="E1090" t="inlineStr">
        <is>
          <t>000006008</t>
        </is>
      </c>
      <c r="F1090" t="inlineStr">
        <is>
          <t>R&amp;R TRANSPORTE E LOGISTICA</t>
        </is>
      </c>
      <c r="G1090" s="27" t="n">
        <v>46010</v>
      </c>
      <c r="H1090" s="14" t="n">
        <v>13.38</v>
      </c>
      <c r="I1090" s="14" t="n">
        <v>0</v>
      </c>
      <c r="J1090" s="14" t="n">
        <v>0</v>
      </c>
      <c r="K1090" s="14" t="n">
        <v>0</v>
      </c>
      <c r="L1090" s="14" t="n">
        <v>0</v>
      </c>
      <c r="M1090" s="14">
        <f>IF(B1090="Frete de venda",0,(1-ISNUMBER(SEARCH("556",P1090)))*(I1090*VLOOKUP($B1090,Premissas!$A$4:$E$7,2,0)+J1090*VLOOKUP($B1090,Premissas!$A$4:$E$7,3,0))+K1090*VLOOKUP($B1090,Premissas!$A$4:$E$7,4,0)+L1090*VLOOKUP($B1090,Premissas!$A$4:$E$7,5,0))</f>
        <v/>
      </c>
      <c r="N1090" s="14">
        <f>H1090-M1090</f>
        <v/>
      </c>
      <c r="O1090" t="inlineStr">
        <is>
          <t>Não</t>
        </is>
      </c>
      <c r="P1090" t="inlineStr">
        <is>
          <t>1.350</t>
        </is>
      </c>
    </row>
    <row r="1091">
      <c r="A1091" t="inlineStr">
        <is>
          <t>Antes de 2026</t>
        </is>
      </c>
      <c r="B1091" t="inlineStr">
        <is>
          <t>Frete de venda</t>
        </is>
      </c>
      <c r="C1091" t="inlineStr">
        <is>
          <t>Frete de venda (para clientes)</t>
        </is>
      </c>
      <c r="D1091" t="inlineStr">
        <is>
          <t>CT-e</t>
        </is>
      </c>
      <c r="E1091" t="inlineStr">
        <is>
          <t>000005015</t>
        </is>
      </c>
      <c r="F1091" t="inlineStr">
        <is>
          <t>R&amp;R TRANSPORTE E LOGISTICA</t>
        </is>
      </c>
      <c r="G1091" s="27" t="n">
        <v>45895</v>
      </c>
      <c r="H1091" s="14" t="n">
        <v>10.22</v>
      </c>
      <c r="I1091" s="14" t="n">
        <v>0</v>
      </c>
      <c r="J1091" s="14" t="n">
        <v>0</v>
      </c>
      <c r="K1091" s="14" t="n">
        <v>0</v>
      </c>
      <c r="L1091" s="14" t="n">
        <v>0</v>
      </c>
      <c r="M1091" s="14">
        <f>IF(B1091="Frete de venda",0,(1-ISNUMBER(SEARCH("556",P1091)))*(I1091*VLOOKUP($B1091,Premissas!$A$4:$E$7,2,0)+J1091*VLOOKUP($B1091,Premissas!$A$4:$E$7,3,0))+K1091*VLOOKUP($B1091,Premissas!$A$4:$E$7,4,0)+L1091*VLOOKUP($B1091,Premissas!$A$4:$E$7,5,0))</f>
        <v/>
      </c>
      <c r="N1091" s="14">
        <f>H1091-M1091</f>
        <v/>
      </c>
      <c r="O1091" t="inlineStr">
        <is>
          <t>Não</t>
        </is>
      </c>
      <c r="P1091" t="inlineStr">
        <is>
          <t>1.350</t>
        </is>
      </c>
    </row>
    <row r="1092">
      <c r="A1092" t="inlineStr">
        <is>
          <t>Antes de 2026</t>
        </is>
      </c>
      <c r="B1092" t="inlineStr">
        <is>
          <t>Frete de venda</t>
        </is>
      </c>
      <c r="C1092" t="inlineStr">
        <is>
          <t>Frete de venda (para clientes)</t>
        </is>
      </c>
      <c r="D1092" t="inlineStr">
        <is>
          <t>CT-e</t>
        </is>
      </c>
      <c r="E1092" t="inlineStr">
        <is>
          <t>000005783</t>
        </is>
      </c>
      <c r="F1092" t="inlineStr">
        <is>
          <t>R&amp;R TRANSPORTE E LOGISTICA</t>
        </is>
      </c>
      <c r="G1092" s="27" t="n">
        <v>45981</v>
      </c>
      <c r="H1092" s="14" t="n">
        <v>18.9</v>
      </c>
      <c r="I1092" s="14" t="n">
        <v>0</v>
      </c>
      <c r="J1092" s="14" t="n">
        <v>0</v>
      </c>
      <c r="K1092" s="14" t="n">
        <v>0</v>
      </c>
      <c r="L1092" s="14" t="n">
        <v>0</v>
      </c>
      <c r="M1092" s="14">
        <f>IF(B1092="Frete de venda",0,(1-ISNUMBER(SEARCH("556",P1092)))*(I1092*VLOOKUP($B1092,Premissas!$A$4:$E$7,2,0)+J1092*VLOOKUP($B1092,Premissas!$A$4:$E$7,3,0))+K1092*VLOOKUP($B1092,Premissas!$A$4:$E$7,4,0)+L1092*VLOOKUP($B1092,Premissas!$A$4:$E$7,5,0))</f>
        <v/>
      </c>
      <c r="N1092" s="14">
        <f>H1092-M1092</f>
        <v/>
      </c>
      <c r="O1092" t="inlineStr">
        <is>
          <t>Não</t>
        </is>
      </c>
      <c r="P1092" t="inlineStr">
        <is>
          <t>1.350</t>
        </is>
      </c>
    </row>
    <row r="1093">
      <c r="A1093" t="inlineStr">
        <is>
          <t>Antes de 2026</t>
        </is>
      </c>
      <c r="B1093" t="inlineStr">
        <is>
          <t>Frete de venda</t>
        </is>
      </c>
      <c r="C1093" t="inlineStr">
        <is>
          <t>Frete de venda (para clientes)</t>
        </is>
      </c>
      <c r="D1093" t="inlineStr">
        <is>
          <t>CT-e</t>
        </is>
      </c>
      <c r="E1093" t="inlineStr">
        <is>
          <t>000004176</t>
        </is>
      </c>
      <c r="F1093" t="inlineStr">
        <is>
          <t>R&amp;R TRANSPORTE E LOGISTICA</t>
        </is>
      </c>
      <c r="G1093" s="27" t="n">
        <v>45788</v>
      </c>
      <c r="H1093" s="14" t="n">
        <v>150</v>
      </c>
      <c r="I1093" s="14" t="n">
        <v>0</v>
      </c>
      <c r="J1093" s="14" t="n">
        <v>0</v>
      </c>
      <c r="K1093" s="14" t="n">
        <v>0</v>
      </c>
      <c r="L1093" s="14" t="n">
        <v>0</v>
      </c>
      <c r="M1093" s="14">
        <f>IF(B1093="Frete de venda",0,(1-ISNUMBER(SEARCH("556",P1093)))*(I1093*VLOOKUP($B1093,Premissas!$A$4:$E$7,2,0)+J1093*VLOOKUP($B1093,Premissas!$A$4:$E$7,3,0))+K1093*VLOOKUP($B1093,Premissas!$A$4:$E$7,4,0)+L1093*VLOOKUP($B1093,Premissas!$A$4:$E$7,5,0))</f>
        <v/>
      </c>
      <c r="N1093" s="14">
        <f>H1093-M1093</f>
        <v/>
      </c>
      <c r="O1093" t="inlineStr">
        <is>
          <t>Não</t>
        </is>
      </c>
      <c r="P1093" t="inlineStr">
        <is>
          <t>1.350</t>
        </is>
      </c>
    </row>
    <row r="1094">
      <c r="A1094" t="inlineStr">
        <is>
          <t>Antes de 2026</t>
        </is>
      </c>
      <c r="B1094" t="inlineStr">
        <is>
          <t>Frete de venda</t>
        </is>
      </c>
      <c r="C1094" t="inlineStr">
        <is>
          <t>Frete de venda (para clientes)</t>
        </is>
      </c>
      <c r="D1094" t="inlineStr">
        <is>
          <t>CT-e</t>
        </is>
      </c>
      <c r="E1094" t="inlineStr">
        <is>
          <t>000004339</t>
        </is>
      </c>
      <c r="F1094" t="inlineStr">
        <is>
          <t>R&amp;R TRANSPORTE E LOGISTICA</t>
        </is>
      </c>
      <c r="G1094" s="27" t="n">
        <v>45807</v>
      </c>
      <c r="H1094" s="14" t="n">
        <v>21.99</v>
      </c>
      <c r="I1094" s="14" t="n">
        <v>0</v>
      </c>
      <c r="J1094" s="14" t="n">
        <v>0</v>
      </c>
      <c r="K1094" s="14" t="n">
        <v>0</v>
      </c>
      <c r="L1094" s="14" t="n">
        <v>0</v>
      </c>
      <c r="M1094" s="14">
        <f>IF(B1094="Frete de venda",0,(1-ISNUMBER(SEARCH("556",P1094)))*(I1094*VLOOKUP($B1094,Premissas!$A$4:$E$7,2,0)+J1094*VLOOKUP($B1094,Premissas!$A$4:$E$7,3,0))+K1094*VLOOKUP($B1094,Premissas!$A$4:$E$7,4,0)+L1094*VLOOKUP($B1094,Premissas!$A$4:$E$7,5,0))</f>
        <v/>
      </c>
      <c r="N1094" s="14">
        <f>H1094-M1094</f>
        <v/>
      </c>
      <c r="O1094" t="inlineStr">
        <is>
          <t>Não</t>
        </is>
      </c>
      <c r="P1094" t="inlineStr">
        <is>
          <t>1.350</t>
        </is>
      </c>
    </row>
    <row r="1095">
      <c r="A1095" t="inlineStr">
        <is>
          <t>Antes de 2026</t>
        </is>
      </c>
      <c r="B1095" t="inlineStr">
        <is>
          <t>Frete de venda</t>
        </is>
      </c>
      <c r="C1095" t="inlineStr">
        <is>
          <t>Frete de venda (para clientes)</t>
        </is>
      </c>
      <c r="D1095" t="inlineStr">
        <is>
          <t>CT-e</t>
        </is>
      </c>
      <c r="E1095" t="inlineStr">
        <is>
          <t>000004806</t>
        </is>
      </c>
      <c r="F1095" t="inlineStr">
        <is>
          <t>R&amp;R TRANSPORTE E LOGISTICA</t>
        </is>
      </c>
      <c r="G1095" s="27" t="n">
        <v>45870</v>
      </c>
      <c r="H1095" s="14" t="n">
        <v>42.02</v>
      </c>
      <c r="I1095" s="14" t="n">
        <v>0</v>
      </c>
      <c r="J1095" s="14" t="n">
        <v>0</v>
      </c>
      <c r="K1095" s="14" t="n">
        <v>0</v>
      </c>
      <c r="L1095" s="14" t="n">
        <v>0</v>
      </c>
      <c r="M1095" s="14">
        <f>IF(B1095="Frete de venda",0,(1-ISNUMBER(SEARCH("556",P1095)))*(I1095*VLOOKUP($B1095,Premissas!$A$4:$E$7,2,0)+J1095*VLOOKUP($B1095,Premissas!$A$4:$E$7,3,0))+K1095*VLOOKUP($B1095,Premissas!$A$4:$E$7,4,0)+L1095*VLOOKUP($B1095,Premissas!$A$4:$E$7,5,0))</f>
        <v/>
      </c>
      <c r="N1095" s="14">
        <f>H1095-M1095</f>
        <v/>
      </c>
      <c r="O1095" t="inlineStr">
        <is>
          <t>Não</t>
        </is>
      </c>
      <c r="P1095" t="inlineStr">
        <is>
          <t>1.350</t>
        </is>
      </c>
    </row>
    <row r="1096">
      <c r="A1096" t="inlineStr">
        <is>
          <t>Antes de 2026</t>
        </is>
      </c>
      <c r="B1096" t="inlineStr">
        <is>
          <t>Frete de venda</t>
        </is>
      </c>
      <c r="C1096" t="inlineStr">
        <is>
          <t>Frete de venda (para clientes)</t>
        </is>
      </c>
      <c r="D1096" t="inlineStr">
        <is>
          <t>CT-e</t>
        </is>
      </c>
      <c r="E1096" t="inlineStr">
        <is>
          <t>000005008</t>
        </is>
      </c>
      <c r="F1096" t="inlineStr">
        <is>
          <t>R&amp;R TRANSPORTE E LOGISTICA</t>
        </is>
      </c>
      <c r="G1096" s="27" t="n">
        <v>45895</v>
      </c>
      <c r="H1096" s="14" t="n">
        <v>12.16</v>
      </c>
      <c r="I1096" s="14" t="n">
        <v>0</v>
      </c>
      <c r="J1096" s="14" t="n">
        <v>0</v>
      </c>
      <c r="K1096" s="14" t="n">
        <v>0</v>
      </c>
      <c r="L1096" s="14" t="n">
        <v>0</v>
      </c>
      <c r="M1096" s="14">
        <f>IF(B1096="Frete de venda",0,(1-ISNUMBER(SEARCH("556",P1096)))*(I1096*VLOOKUP($B1096,Premissas!$A$4:$E$7,2,0)+J1096*VLOOKUP($B1096,Premissas!$A$4:$E$7,3,0))+K1096*VLOOKUP($B1096,Premissas!$A$4:$E$7,4,0)+L1096*VLOOKUP($B1096,Premissas!$A$4:$E$7,5,0))</f>
        <v/>
      </c>
      <c r="N1096" s="14">
        <f>H1096-M1096</f>
        <v/>
      </c>
      <c r="O1096" t="inlineStr">
        <is>
          <t>Não</t>
        </is>
      </c>
      <c r="P1096" t="inlineStr">
        <is>
          <t>1.350</t>
        </is>
      </c>
    </row>
    <row r="1097">
      <c r="A1097" t="inlineStr">
        <is>
          <t>Antes de 2026</t>
        </is>
      </c>
      <c r="B1097" t="inlineStr">
        <is>
          <t>Frete de venda</t>
        </is>
      </c>
      <c r="C1097" t="inlineStr">
        <is>
          <t>Frete de venda (para clientes)</t>
        </is>
      </c>
      <c r="D1097" t="inlineStr">
        <is>
          <t>CT-e</t>
        </is>
      </c>
      <c r="E1097" t="inlineStr">
        <is>
          <t>000005323</t>
        </is>
      </c>
      <c r="F1097" t="inlineStr">
        <is>
          <t>R&amp;R TRANSPORTE E LOGISTICA</t>
        </is>
      </c>
      <c r="G1097" s="27" t="n">
        <v>45929</v>
      </c>
      <c r="H1097" s="14" t="n">
        <v>39.13</v>
      </c>
      <c r="I1097" s="14" t="n">
        <v>0</v>
      </c>
      <c r="J1097" s="14" t="n">
        <v>0</v>
      </c>
      <c r="K1097" s="14" t="n">
        <v>0</v>
      </c>
      <c r="L1097" s="14" t="n">
        <v>0</v>
      </c>
      <c r="M1097" s="14">
        <f>IF(B1097="Frete de venda",0,(1-ISNUMBER(SEARCH("556",P1097)))*(I1097*VLOOKUP($B1097,Premissas!$A$4:$E$7,2,0)+J1097*VLOOKUP($B1097,Premissas!$A$4:$E$7,3,0))+K1097*VLOOKUP($B1097,Premissas!$A$4:$E$7,4,0)+L1097*VLOOKUP($B1097,Premissas!$A$4:$E$7,5,0))</f>
        <v/>
      </c>
      <c r="N1097" s="14">
        <f>H1097-M1097</f>
        <v/>
      </c>
      <c r="O1097" t="inlineStr">
        <is>
          <t>Não</t>
        </is>
      </c>
      <c r="P1097" t="inlineStr">
        <is>
          <t>1.350</t>
        </is>
      </c>
    </row>
    <row r="1098">
      <c r="A1098" t="inlineStr">
        <is>
          <t>Antes de 2026</t>
        </is>
      </c>
      <c r="B1098" t="inlineStr">
        <is>
          <t>Frete de venda</t>
        </is>
      </c>
      <c r="C1098" t="inlineStr">
        <is>
          <t>Frete de venda (para clientes)</t>
        </is>
      </c>
      <c r="D1098" t="inlineStr">
        <is>
          <t>CT-e</t>
        </is>
      </c>
      <c r="E1098" t="inlineStr">
        <is>
          <t>000005777</t>
        </is>
      </c>
      <c r="F1098" t="inlineStr">
        <is>
          <t>R&amp;R TRANSPORTE E LOGISTICA</t>
        </is>
      </c>
      <c r="G1098" s="27" t="n">
        <v>45981</v>
      </c>
      <c r="H1098" s="14" t="n">
        <v>60.12</v>
      </c>
      <c r="I1098" s="14" t="n">
        <v>0</v>
      </c>
      <c r="J1098" s="14" t="n">
        <v>0</v>
      </c>
      <c r="K1098" s="14" t="n">
        <v>0</v>
      </c>
      <c r="L1098" s="14" t="n">
        <v>0</v>
      </c>
      <c r="M1098" s="14">
        <f>IF(B1098="Frete de venda",0,(1-ISNUMBER(SEARCH("556",P1098)))*(I1098*VLOOKUP($B1098,Premissas!$A$4:$E$7,2,0)+J1098*VLOOKUP($B1098,Premissas!$A$4:$E$7,3,0))+K1098*VLOOKUP($B1098,Premissas!$A$4:$E$7,4,0)+L1098*VLOOKUP($B1098,Premissas!$A$4:$E$7,5,0))</f>
        <v/>
      </c>
      <c r="N1098" s="14">
        <f>H1098-M1098</f>
        <v/>
      </c>
      <c r="O1098" t="inlineStr">
        <is>
          <t>Não</t>
        </is>
      </c>
      <c r="P1098" t="inlineStr">
        <is>
          <t>1.350</t>
        </is>
      </c>
    </row>
    <row r="1099">
      <c r="A1099" t="inlineStr">
        <is>
          <t>Antes de 2026</t>
        </is>
      </c>
      <c r="B1099" t="inlineStr">
        <is>
          <t>Frete de venda</t>
        </is>
      </c>
      <c r="C1099" t="inlineStr">
        <is>
          <t>Frete de venda (para clientes)</t>
        </is>
      </c>
      <c r="D1099" t="inlineStr">
        <is>
          <t>CT-e</t>
        </is>
      </c>
      <c r="E1099" t="inlineStr">
        <is>
          <t>000005053</t>
        </is>
      </c>
      <c r="F1099" t="inlineStr">
        <is>
          <t>R&amp;R TRANSPORTE E LOGISTICA</t>
        </is>
      </c>
      <c r="G1099" s="27" t="n">
        <v>45896</v>
      </c>
      <c r="H1099" s="14" t="n">
        <v>16.61</v>
      </c>
      <c r="I1099" s="14" t="n">
        <v>0</v>
      </c>
      <c r="J1099" s="14" t="n">
        <v>0</v>
      </c>
      <c r="K1099" s="14" t="n">
        <v>0</v>
      </c>
      <c r="L1099" s="14" t="n">
        <v>0</v>
      </c>
      <c r="M1099" s="14">
        <f>IF(B1099="Frete de venda",0,(1-ISNUMBER(SEARCH("556",P1099)))*(I1099*VLOOKUP($B1099,Premissas!$A$4:$E$7,2,0)+J1099*VLOOKUP($B1099,Premissas!$A$4:$E$7,3,0))+K1099*VLOOKUP($B1099,Premissas!$A$4:$E$7,4,0)+L1099*VLOOKUP($B1099,Premissas!$A$4:$E$7,5,0))</f>
        <v/>
      </c>
      <c r="N1099" s="14">
        <f>H1099-M1099</f>
        <v/>
      </c>
      <c r="O1099" t="inlineStr">
        <is>
          <t>Não</t>
        </is>
      </c>
      <c r="P1099" t="inlineStr">
        <is>
          <t>1.350</t>
        </is>
      </c>
    </row>
    <row r="1100">
      <c r="A1100" t="inlineStr">
        <is>
          <t>Antes de 2026</t>
        </is>
      </c>
      <c r="B1100" t="inlineStr">
        <is>
          <t>Frete de venda</t>
        </is>
      </c>
      <c r="C1100" t="inlineStr">
        <is>
          <t>Frete de venda (para clientes)</t>
        </is>
      </c>
      <c r="D1100" t="inlineStr">
        <is>
          <t>CT-e</t>
        </is>
      </c>
      <c r="E1100" t="inlineStr">
        <is>
          <t>000006074</t>
        </is>
      </c>
      <c r="F1100" t="inlineStr">
        <is>
          <t>R&amp;R TRANSPORTE E LOGISTICA</t>
        </is>
      </c>
      <c r="G1100" s="27" t="n">
        <v>46021</v>
      </c>
      <c r="H1100" s="14" t="n">
        <v>48.37</v>
      </c>
      <c r="I1100" s="14" t="n">
        <v>0</v>
      </c>
      <c r="J1100" s="14" t="n">
        <v>0</v>
      </c>
      <c r="K1100" s="14" t="n">
        <v>0</v>
      </c>
      <c r="L1100" s="14" t="n">
        <v>0</v>
      </c>
      <c r="M1100" s="14">
        <f>IF(B1100="Frete de venda",0,(1-ISNUMBER(SEARCH("556",P1100)))*(I1100*VLOOKUP($B1100,Premissas!$A$4:$E$7,2,0)+J1100*VLOOKUP($B1100,Premissas!$A$4:$E$7,3,0))+K1100*VLOOKUP($B1100,Premissas!$A$4:$E$7,4,0)+L1100*VLOOKUP($B1100,Premissas!$A$4:$E$7,5,0))</f>
        <v/>
      </c>
      <c r="N1100" s="14">
        <f>H1100-M1100</f>
        <v/>
      </c>
      <c r="O1100" t="inlineStr">
        <is>
          <t>Não</t>
        </is>
      </c>
      <c r="P1100" t="inlineStr">
        <is>
          <t>1.350</t>
        </is>
      </c>
    </row>
    <row r="1101">
      <c r="A1101" t="inlineStr">
        <is>
          <t>Antes de 2026</t>
        </is>
      </c>
      <c r="B1101" t="inlineStr">
        <is>
          <t>Frete de venda</t>
        </is>
      </c>
      <c r="C1101" t="inlineStr">
        <is>
          <t>Frete de venda (para clientes)</t>
        </is>
      </c>
      <c r="D1101" t="inlineStr">
        <is>
          <t>CT-e</t>
        </is>
      </c>
      <c r="E1101" t="inlineStr">
        <is>
          <t>000004335</t>
        </is>
      </c>
      <c r="F1101" t="inlineStr">
        <is>
          <t>R&amp;R TRANSPORTE E LOGISTICA</t>
        </is>
      </c>
      <c r="G1101" s="27" t="n">
        <v>45807</v>
      </c>
      <c r="H1101" s="14" t="n">
        <v>51.64</v>
      </c>
      <c r="I1101" s="14" t="n">
        <v>0</v>
      </c>
      <c r="J1101" s="14" t="n">
        <v>0</v>
      </c>
      <c r="K1101" s="14" t="n">
        <v>0</v>
      </c>
      <c r="L1101" s="14" t="n">
        <v>0</v>
      </c>
      <c r="M1101" s="14">
        <f>IF(B1101="Frete de venda",0,(1-ISNUMBER(SEARCH("556",P1101)))*(I1101*VLOOKUP($B1101,Premissas!$A$4:$E$7,2,0)+J1101*VLOOKUP($B1101,Premissas!$A$4:$E$7,3,0))+K1101*VLOOKUP($B1101,Premissas!$A$4:$E$7,4,0)+L1101*VLOOKUP($B1101,Premissas!$A$4:$E$7,5,0))</f>
        <v/>
      </c>
      <c r="N1101" s="14">
        <f>H1101-M1101</f>
        <v/>
      </c>
      <c r="O1101" t="inlineStr">
        <is>
          <t>Não</t>
        </is>
      </c>
      <c r="P1101" t="inlineStr">
        <is>
          <t>1.350</t>
        </is>
      </c>
    </row>
    <row r="1102">
      <c r="A1102" t="inlineStr">
        <is>
          <t>Antes de 2026</t>
        </is>
      </c>
      <c r="B1102" t="inlineStr">
        <is>
          <t>Frete de venda</t>
        </is>
      </c>
      <c r="C1102" t="inlineStr">
        <is>
          <t>Frete de venda (para clientes)</t>
        </is>
      </c>
      <c r="D1102" t="inlineStr">
        <is>
          <t>CT-e</t>
        </is>
      </c>
      <c r="E1102" t="inlineStr">
        <is>
          <t>000005964</t>
        </is>
      </c>
      <c r="F1102" t="inlineStr">
        <is>
          <t>R&amp;R TRANSPORTE E LOGISTICA</t>
        </is>
      </c>
      <c r="G1102" s="27" t="n">
        <v>46002</v>
      </c>
      <c r="H1102" s="14" t="n">
        <v>28.17</v>
      </c>
      <c r="I1102" s="14" t="n">
        <v>0</v>
      </c>
      <c r="J1102" s="14" t="n">
        <v>0</v>
      </c>
      <c r="K1102" s="14" t="n">
        <v>0</v>
      </c>
      <c r="L1102" s="14" t="n">
        <v>0</v>
      </c>
      <c r="M1102" s="14">
        <f>IF(B1102="Frete de venda",0,(1-ISNUMBER(SEARCH("556",P1102)))*(I1102*VLOOKUP($B1102,Premissas!$A$4:$E$7,2,0)+J1102*VLOOKUP($B1102,Premissas!$A$4:$E$7,3,0))+K1102*VLOOKUP($B1102,Premissas!$A$4:$E$7,4,0)+L1102*VLOOKUP($B1102,Premissas!$A$4:$E$7,5,0))</f>
        <v/>
      </c>
      <c r="N1102" s="14">
        <f>H1102-M1102</f>
        <v/>
      </c>
      <c r="O1102" t="inlineStr">
        <is>
          <t>Não</t>
        </is>
      </c>
      <c r="P1102" t="inlineStr">
        <is>
          <t>1.350</t>
        </is>
      </c>
    </row>
    <row r="1103">
      <c r="A1103" t="inlineStr">
        <is>
          <t>Antes de 2026</t>
        </is>
      </c>
      <c r="B1103" t="inlineStr">
        <is>
          <t>Frete de venda</t>
        </is>
      </c>
      <c r="C1103" t="inlineStr">
        <is>
          <t>Frete de venda (para clientes)</t>
        </is>
      </c>
      <c r="D1103" t="inlineStr">
        <is>
          <t>CT-e</t>
        </is>
      </c>
      <c r="E1103" t="inlineStr">
        <is>
          <t>000004242</t>
        </is>
      </c>
      <c r="F1103" t="inlineStr">
        <is>
          <t>R&amp;R TRANSPORTE E LOGISTICA</t>
        </is>
      </c>
      <c r="G1103" s="27" t="n">
        <v>45793</v>
      </c>
      <c r="H1103" s="14" t="n">
        <v>31.3</v>
      </c>
      <c r="I1103" s="14" t="n">
        <v>0</v>
      </c>
      <c r="J1103" s="14" t="n">
        <v>0</v>
      </c>
      <c r="K1103" s="14" t="n">
        <v>0</v>
      </c>
      <c r="L1103" s="14" t="n">
        <v>0</v>
      </c>
      <c r="M1103" s="14">
        <f>IF(B1103="Frete de venda",0,(1-ISNUMBER(SEARCH("556",P1103)))*(I1103*VLOOKUP($B1103,Premissas!$A$4:$E$7,2,0)+J1103*VLOOKUP($B1103,Premissas!$A$4:$E$7,3,0))+K1103*VLOOKUP($B1103,Premissas!$A$4:$E$7,4,0)+L1103*VLOOKUP($B1103,Premissas!$A$4:$E$7,5,0))</f>
        <v/>
      </c>
      <c r="N1103" s="14">
        <f>H1103-M1103</f>
        <v/>
      </c>
      <c r="O1103" t="inlineStr">
        <is>
          <t>Não</t>
        </is>
      </c>
      <c r="P1103" t="inlineStr">
        <is>
          <t>1.350</t>
        </is>
      </c>
    </row>
    <row r="1104">
      <c r="A1104" t="inlineStr">
        <is>
          <t>Antes de 2026</t>
        </is>
      </c>
      <c r="B1104" t="inlineStr">
        <is>
          <t>Frete de venda</t>
        </is>
      </c>
      <c r="C1104" t="inlineStr">
        <is>
          <t>Frete de venda (para clientes)</t>
        </is>
      </c>
      <c r="D1104" t="inlineStr">
        <is>
          <t>CT-e</t>
        </is>
      </c>
      <c r="E1104" t="inlineStr">
        <is>
          <t>000004628</t>
        </is>
      </c>
      <c r="F1104" t="inlineStr">
        <is>
          <t>R&amp;R TRANSPORTE E LOGISTICA</t>
        </is>
      </c>
      <c r="G1104" s="27" t="n">
        <v>45850</v>
      </c>
      <c r="H1104" s="14" t="n">
        <v>21.2</v>
      </c>
      <c r="I1104" s="14" t="n">
        <v>0</v>
      </c>
      <c r="J1104" s="14" t="n">
        <v>0</v>
      </c>
      <c r="K1104" s="14" t="n">
        <v>0</v>
      </c>
      <c r="L1104" s="14" t="n">
        <v>0</v>
      </c>
      <c r="M1104" s="14">
        <f>IF(B1104="Frete de venda",0,(1-ISNUMBER(SEARCH("556",P1104)))*(I1104*VLOOKUP($B1104,Premissas!$A$4:$E$7,2,0)+J1104*VLOOKUP($B1104,Premissas!$A$4:$E$7,3,0))+K1104*VLOOKUP($B1104,Premissas!$A$4:$E$7,4,0)+L1104*VLOOKUP($B1104,Premissas!$A$4:$E$7,5,0))</f>
        <v/>
      </c>
      <c r="N1104" s="14">
        <f>H1104-M1104</f>
        <v/>
      </c>
      <c r="O1104" t="inlineStr">
        <is>
          <t>Não</t>
        </is>
      </c>
      <c r="P1104" t="inlineStr">
        <is>
          <t>1.350</t>
        </is>
      </c>
    </row>
    <row r="1105">
      <c r="A1105" t="inlineStr">
        <is>
          <t>Antes de 2026</t>
        </is>
      </c>
      <c r="B1105" t="inlineStr">
        <is>
          <t>Frete de venda</t>
        </is>
      </c>
      <c r="C1105" t="inlineStr">
        <is>
          <t>Frete de venda (para clientes)</t>
        </is>
      </c>
      <c r="D1105" t="inlineStr">
        <is>
          <t>CT-e</t>
        </is>
      </c>
      <c r="E1105" t="inlineStr">
        <is>
          <t>000005051</t>
        </is>
      </c>
      <c r="F1105" t="inlineStr">
        <is>
          <t>R&amp;R TRANSPORTE E LOGISTICA</t>
        </is>
      </c>
      <c r="G1105" s="27" t="n">
        <v>45896</v>
      </c>
      <c r="H1105" s="14" t="n">
        <v>12.15</v>
      </c>
      <c r="I1105" s="14" t="n">
        <v>0</v>
      </c>
      <c r="J1105" s="14" t="n">
        <v>0</v>
      </c>
      <c r="K1105" s="14" t="n">
        <v>0</v>
      </c>
      <c r="L1105" s="14" t="n">
        <v>0</v>
      </c>
      <c r="M1105" s="14">
        <f>IF(B1105="Frete de venda",0,(1-ISNUMBER(SEARCH("556",P1105)))*(I1105*VLOOKUP($B1105,Premissas!$A$4:$E$7,2,0)+J1105*VLOOKUP($B1105,Premissas!$A$4:$E$7,3,0))+K1105*VLOOKUP($B1105,Premissas!$A$4:$E$7,4,0)+L1105*VLOOKUP($B1105,Premissas!$A$4:$E$7,5,0))</f>
        <v/>
      </c>
      <c r="N1105" s="14">
        <f>H1105-M1105</f>
        <v/>
      </c>
      <c r="O1105" t="inlineStr">
        <is>
          <t>Não</t>
        </is>
      </c>
      <c r="P1105" t="inlineStr">
        <is>
          <t>1.350</t>
        </is>
      </c>
    </row>
    <row r="1106">
      <c r="A1106" t="inlineStr">
        <is>
          <t>Antes de 2026</t>
        </is>
      </c>
      <c r="B1106" t="inlineStr">
        <is>
          <t>Frete de venda</t>
        </is>
      </c>
      <c r="C1106" t="inlineStr">
        <is>
          <t>Frete de venda (para clientes)</t>
        </is>
      </c>
      <c r="D1106" t="inlineStr">
        <is>
          <t>CT-e</t>
        </is>
      </c>
      <c r="E1106" t="inlineStr">
        <is>
          <t>000004406</t>
        </is>
      </c>
      <c r="F1106" t="inlineStr">
        <is>
          <t>R&amp;R TRANSPORTE E LOGISTICA</t>
        </is>
      </c>
      <c r="G1106" s="27" t="n">
        <v>45818</v>
      </c>
      <c r="H1106" s="14" t="n">
        <v>52</v>
      </c>
      <c r="I1106" s="14" t="n">
        <v>0</v>
      </c>
      <c r="J1106" s="14" t="n">
        <v>0</v>
      </c>
      <c r="K1106" s="14" t="n">
        <v>0</v>
      </c>
      <c r="L1106" s="14" t="n">
        <v>0</v>
      </c>
      <c r="M1106" s="14">
        <f>IF(B1106="Frete de venda",0,(1-ISNUMBER(SEARCH("556",P1106)))*(I1106*VLOOKUP($B1106,Premissas!$A$4:$E$7,2,0)+J1106*VLOOKUP($B1106,Premissas!$A$4:$E$7,3,0))+K1106*VLOOKUP($B1106,Premissas!$A$4:$E$7,4,0)+L1106*VLOOKUP($B1106,Premissas!$A$4:$E$7,5,0))</f>
        <v/>
      </c>
      <c r="N1106" s="14">
        <f>H1106-M1106</f>
        <v/>
      </c>
      <c r="O1106" t="inlineStr">
        <is>
          <t>Não</t>
        </is>
      </c>
      <c r="P1106" t="inlineStr">
        <is>
          <t>1.350</t>
        </is>
      </c>
    </row>
    <row r="1107">
      <c r="A1107" t="inlineStr">
        <is>
          <t>Antes de 2026</t>
        </is>
      </c>
      <c r="B1107" t="inlineStr">
        <is>
          <t>Frete de venda</t>
        </is>
      </c>
      <c r="C1107" t="inlineStr">
        <is>
          <t>Frete de venda (para clientes)</t>
        </is>
      </c>
      <c r="D1107" t="inlineStr">
        <is>
          <t>CT-e</t>
        </is>
      </c>
      <c r="E1107" t="inlineStr">
        <is>
          <t>000004527</t>
        </is>
      </c>
      <c r="F1107" t="inlineStr">
        <is>
          <t>R&amp;R TRANSPORTE E LOGISTICA</t>
        </is>
      </c>
      <c r="G1107" s="27" t="n">
        <v>45835</v>
      </c>
      <c r="H1107" s="14" t="n">
        <v>32.28</v>
      </c>
      <c r="I1107" s="14" t="n">
        <v>0</v>
      </c>
      <c r="J1107" s="14" t="n">
        <v>0</v>
      </c>
      <c r="K1107" s="14" t="n">
        <v>0</v>
      </c>
      <c r="L1107" s="14" t="n">
        <v>0</v>
      </c>
      <c r="M1107" s="14">
        <f>IF(B1107="Frete de venda",0,(1-ISNUMBER(SEARCH("556",P1107)))*(I1107*VLOOKUP($B1107,Premissas!$A$4:$E$7,2,0)+J1107*VLOOKUP($B1107,Premissas!$A$4:$E$7,3,0))+K1107*VLOOKUP($B1107,Premissas!$A$4:$E$7,4,0)+L1107*VLOOKUP($B1107,Premissas!$A$4:$E$7,5,0))</f>
        <v/>
      </c>
      <c r="N1107" s="14">
        <f>H1107-M1107</f>
        <v/>
      </c>
      <c r="O1107" t="inlineStr">
        <is>
          <t>Não</t>
        </is>
      </c>
      <c r="P1107" t="inlineStr">
        <is>
          <t>1.350</t>
        </is>
      </c>
    </row>
    <row r="1108">
      <c r="A1108" t="inlineStr">
        <is>
          <t>Antes de 2026</t>
        </is>
      </c>
      <c r="B1108" t="inlineStr">
        <is>
          <t>Frete de venda</t>
        </is>
      </c>
      <c r="C1108" t="inlineStr">
        <is>
          <t>Frete de venda (para clientes)</t>
        </is>
      </c>
      <c r="D1108" t="inlineStr">
        <is>
          <t>CT-e</t>
        </is>
      </c>
      <c r="E1108" t="inlineStr">
        <is>
          <t>000004710</t>
        </is>
      </c>
      <c r="F1108" t="inlineStr">
        <is>
          <t>R&amp;R TRANSPORTE E LOGISTICA</t>
        </is>
      </c>
      <c r="G1108" s="27" t="n">
        <v>45860</v>
      </c>
      <c r="H1108" s="14" t="n">
        <v>26.91</v>
      </c>
      <c r="I1108" s="14" t="n">
        <v>0</v>
      </c>
      <c r="J1108" s="14" t="n">
        <v>0</v>
      </c>
      <c r="K1108" s="14" t="n">
        <v>0</v>
      </c>
      <c r="L1108" s="14" t="n">
        <v>0</v>
      </c>
      <c r="M1108" s="14">
        <f>IF(B1108="Frete de venda",0,(1-ISNUMBER(SEARCH("556",P1108)))*(I1108*VLOOKUP($B1108,Premissas!$A$4:$E$7,2,0)+J1108*VLOOKUP($B1108,Premissas!$A$4:$E$7,3,0))+K1108*VLOOKUP($B1108,Premissas!$A$4:$E$7,4,0)+L1108*VLOOKUP($B1108,Premissas!$A$4:$E$7,5,0))</f>
        <v/>
      </c>
      <c r="N1108" s="14">
        <f>H1108-M1108</f>
        <v/>
      </c>
      <c r="O1108" t="inlineStr">
        <is>
          <t>Não</t>
        </is>
      </c>
      <c r="P1108" t="inlineStr">
        <is>
          <t>1.350</t>
        </is>
      </c>
    </row>
    <row r="1109">
      <c r="A1109" t="inlineStr">
        <is>
          <t>Antes de 2026</t>
        </is>
      </c>
      <c r="B1109" t="inlineStr">
        <is>
          <t>Frete de venda</t>
        </is>
      </c>
      <c r="C1109" t="inlineStr">
        <is>
          <t>Frete de venda (para clientes)</t>
        </is>
      </c>
      <c r="D1109" t="inlineStr">
        <is>
          <t>CT-e</t>
        </is>
      </c>
      <c r="E1109" t="inlineStr">
        <is>
          <t>000004386</t>
        </is>
      </c>
      <c r="F1109" t="inlineStr">
        <is>
          <t>R&amp;R TRANSPORTE E LOGISTICA</t>
        </is>
      </c>
      <c r="G1109" s="27" t="n">
        <v>45813</v>
      </c>
      <c r="H1109" s="14" t="n">
        <v>168.99</v>
      </c>
      <c r="I1109" s="14" t="n">
        <v>0</v>
      </c>
      <c r="J1109" s="14" t="n">
        <v>0</v>
      </c>
      <c r="K1109" s="14" t="n">
        <v>0</v>
      </c>
      <c r="L1109" s="14" t="n">
        <v>0</v>
      </c>
      <c r="M1109" s="14">
        <f>IF(B1109="Frete de venda",0,(1-ISNUMBER(SEARCH("556",P1109)))*(I1109*VLOOKUP($B1109,Premissas!$A$4:$E$7,2,0)+J1109*VLOOKUP($B1109,Premissas!$A$4:$E$7,3,0))+K1109*VLOOKUP($B1109,Premissas!$A$4:$E$7,4,0)+L1109*VLOOKUP($B1109,Premissas!$A$4:$E$7,5,0))</f>
        <v/>
      </c>
      <c r="N1109" s="14">
        <f>H1109-M1109</f>
        <v/>
      </c>
      <c r="O1109" t="inlineStr">
        <is>
          <t>Não</t>
        </is>
      </c>
      <c r="P1109" t="inlineStr">
        <is>
          <t>1.350</t>
        </is>
      </c>
    </row>
    <row r="1110">
      <c r="A1110" t="inlineStr">
        <is>
          <t>Antes de 2026</t>
        </is>
      </c>
      <c r="B1110" t="inlineStr">
        <is>
          <t>Frete de venda</t>
        </is>
      </c>
      <c r="C1110" t="inlineStr">
        <is>
          <t>Frete de venda (para clientes)</t>
        </is>
      </c>
      <c r="D1110" t="inlineStr">
        <is>
          <t>CT-e</t>
        </is>
      </c>
      <c r="E1110" t="inlineStr">
        <is>
          <t>000005173</t>
        </is>
      </c>
      <c r="F1110" t="inlineStr">
        <is>
          <t>R&amp;R TRANSPORTE E LOGISTICA</t>
        </is>
      </c>
      <c r="G1110" s="27" t="n">
        <v>45913</v>
      </c>
      <c r="H1110" s="14" t="n">
        <v>164.77</v>
      </c>
      <c r="I1110" s="14" t="n">
        <v>0</v>
      </c>
      <c r="J1110" s="14" t="n">
        <v>0</v>
      </c>
      <c r="K1110" s="14" t="n">
        <v>0</v>
      </c>
      <c r="L1110" s="14" t="n">
        <v>0</v>
      </c>
      <c r="M1110" s="14">
        <f>IF(B1110="Frete de venda",0,(1-ISNUMBER(SEARCH("556",P1110)))*(I1110*VLOOKUP($B1110,Premissas!$A$4:$E$7,2,0)+J1110*VLOOKUP($B1110,Premissas!$A$4:$E$7,3,0))+K1110*VLOOKUP($B1110,Premissas!$A$4:$E$7,4,0)+L1110*VLOOKUP($B1110,Premissas!$A$4:$E$7,5,0))</f>
        <v/>
      </c>
      <c r="N1110" s="14">
        <f>H1110-M1110</f>
        <v/>
      </c>
      <c r="O1110" t="inlineStr">
        <is>
          <t>Não</t>
        </is>
      </c>
      <c r="P1110" t="inlineStr">
        <is>
          <t>1.350</t>
        </is>
      </c>
    </row>
    <row r="1111">
      <c r="A1111" t="inlineStr">
        <is>
          <t>Antes de 2026</t>
        </is>
      </c>
      <c r="B1111" t="inlineStr">
        <is>
          <t>Frete de venda</t>
        </is>
      </c>
      <c r="C1111" t="inlineStr">
        <is>
          <t>Frete de venda (para clientes)</t>
        </is>
      </c>
      <c r="D1111" t="inlineStr">
        <is>
          <t>CT-e</t>
        </is>
      </c>
      <c r="E1111" t="inlineStr">
        <is>
          <t>000005383</t>
        </is>
      </c>
      <c r="F1111" t="inlineStr">
        <is>
          <t>R&amp;R TRANSPORTE E LOGISTICA</t>
        </is>
      </c>
      <c r="G1111" s="27" t="n">
        <v>45932</v>
      </c>
      <c r="H1111" s="14" t="n">
        <v>49.29</v>
      </c>
      <c r="I1111" s="14" t="n">
        <v>0</v>
      </c>
      <c r="J1111" s="14" t="n">
        <v>0</v>
      </c>
      <c r="K1111" s="14" t="n">
        <v>0</v>
      </c>
      <c r="L1111" s="14" t="n">
        <v>0</v>
      </c>
      <c r="M1111" s="14">
        <f>IF(B1111="Frete de venda",0,(1-ISNUMBER(SEARCH("556",P1111)))*(I1111*VLOOKUP($B1111,Premissas!$A$4:$E$7,2,0)+J1111*VLOOKUP($B1111,Premissas!$A$4:$E$7,3,0))+K1111*VLOOKUP($B1111,Premissas!$A$4:$E$7,4,0)+L1111*VLOOKUP($B1111,Premissas!$A$4:$E$7,5,0))</f>
        <v/>
      </c>
      <c r="N1111" s="14">
        <f>H1111-M1111</f>
        <v/>
      </c>
      <c r="O1111" t="inlineStr">
        <is>
          <t>Não</t>
        </is>
      </c>
      <c r="P1111" t="inlineStr">
        <is>
          <t>1.350</t>
        </is>
      </c>
    </row>
    <row r="1112">
      <c r="A1112" t="inlineStr">
        <is>
          <t>Antes de 2026</t>
        </is>
      </c>
      <c r="B1112" t="inlineStr">
        <is>
          <t>Frete de venda</t>
        </is>
      </c>
      <c r="C1112" t="inlineStr">
        <is>
          <t>Frete de venda (para clientes)</t>
        </is>
      </c>
      <c r="D1112" t="inlineStr">
        <is>
          <t>CT-e</t>
        </is>
      </c>
      <c r="E1112" t="inlineStr">
        <is>
          <t>000005903</t>
        </is>
      </c>
      <c r="F1112" t="inlineStr">
        <is>
          <t>R&amp;R TRANSPORTE E LOGISTICA</t>
        </is>
      </c>
      <c r="G1112" s="27" t="n">
        <v>45993</v>
      </c>
      <c r="H1112" s="14" t="n">
        <v>95.37</v>
      </c>
      <c r="I1112" s="14" t="n">
        <v>0</v>
      </c>
      <c r="J1112" s="14" t="n">
        <v>0</v>
      </c>
      <c r="K1112" s="14" t="n">
        <v>0</v>
      </c>
      <c r="L1112" s="14" t="n">
        <v>0</v>
      </c>
      <c r="M1112" s="14">
        <f>IF(B1112="Frete de venda",0,(1-ISNUMBER(SEARCH("556",P1112)))*(I1112*VLOOKUP($B1112,Premissas!$A$4:$E$7,2,0)+J1112*VLOOKUP($B1112,Premissas!$A$4:$E$7,3,0))+K1112*VLOOKUP($B1112,Premissas!$A$4:$E$7,4,0)+L1112*VLOOKUP($B1112,Premissas!$A$4:$E$7,5,0))</f>
        <v/>
      </c>
      <c r="N1112" s="14">
        <f>H1112-M1112</f>
        <v/>
      </c>
      <c r="O1112" t="inlineStr">
        <is>
          <t>Não</t>
        </is>
      </c>
      <c r="P1112" t="inlineStr">
        <is>
          <t>1.350</t>
        </is>
      </c>
    </row>
    <row r="1113">
      <c r="A1113" t="inlineStr">
        <is>
          <t>Antes de 2026</t>
        </is>
      </c>
      <c r="B1113" t="inlineStr">
        <is>
          <t>Frete de venda</t>
        </is>
      </c>
      <c r="C1113" t="inlineStr">
        <is>
          <t>Frete de venda (para clientes)</t>
        </is>
      </c>
      <c r="D1113" t="inlineStr">
        <is>
          <t>CT-e</t>
        </is>
      </c>
      <c r="E1113" t="inlineStr">
        <is>
          <t>000004607</t>
        </is>
      </c>
      <c r="F1113" t="inlineStr">
        <is>
          <t>R&amp;R TRANSPORTE E LOGISTICA</t>
        </is>
      </c>
      <c r="G1113" s="27" t="n">
        <v>45845</v>
      </c>
      <c r="H1113" s="14" t="n">
        <v>1050</v>
      </c>
      <c r="I1113" s="14" t="n">
        <v>0</v>
      </c>
      <c r="J1113" s="14" t="n">
        <v>0</v>
      </c>
      <c r="K1113" s="14" t="n">
        <v>0</v>
      </c>
      <c r="L1113" s="14" t="n">
        <v>0</v>
      </c>
      <c r="M1113" s="14">
        <f>IF(B1113="Frete de venda",0,(1-ISNUMBER(SEARCH("556",P1113)))*(I1113*VLOOKUP($B1113,Premissas!$A$4:$E$7,2,0)+J1113*VLOOKUP($B1113,Premissas!$A$4:$E$7,3,0))+K1113*VLOOKUP($B1113,Premissas!$A$4:$E$7,4,0)+L1113*VLOOKUP($B1113,Premissas!$A$4:$E$7,5,0))</f>
        <v/>
      </c>
      <c r="N1113" s="14">
        <f>H1113-M1113</f>
        <v/>
      </c>
      <c r="O1113" t="inlineStr">
        <is>
          <t>Não</t>
        </is>
      </c>
      <c r="P1113" t="inlineStr">
        <is>
          <t>1.350</t>
        </is>
      </c>
    </row>
    <row r="1114">
      <c r="A1114" t="inlineStr">
        <is>
          <t>Antes de 2026</t>
        </is>
      </c>
      <c r="B1114" t="inlineStr">
        <is>
          <t>Frete de venda</t>
        </is>
      </c>
      <c r="C1114" t="inlineStr">
        <is>
          <t>Frete de venda (para clientes)</t>
        </is>
      </c>
      <c r="D1114" t="inlineStr">
        <is>
          <t>CT-e</t>
        </is>
      </c>
      <c r="E1114" t="inlineStr">
        <is>
          <t>000005414</t>
        </is>
      </c>
      <c r="F1114" t="inlineStr">
        <is>
          <t>R&amp;R TRANSPORTE E LOGISTICA</t>
        </is>
      </c>
      <c r="G1114" s="27" t="n">
        <v>45938</v>
      </c>
      <c r="H1114" s="14" t="n">
        <v>786</v>
      </c>
      <c r="I1114" s="14" t="n">
        <v>0</v>
      </c>
      <c r="J1114" s="14" t="n">
        <v>0</v>
      </c>
      <c r="K1114" s="14" t="n">
        <v>0</v>
      </c>
      <c r="L1114" s="14" t="n">
        <v>0</v>
      </c>
      <c r="M1114" s="14">
        <f>IF(B1114="Frete de venda",0,(1-ISNUMBER(SEARCH("556",P1114)))*(I1114*VLOOKUP($B1114,Premissas!$A$4:$E$7,2,0)+J1114*VLOOKUP($B1114,Premissas!$A$4:$E$7,3,0))+K1114*VLOOKUP($B1114,Premissas!$A$4:$E$7,4,0)+L1114*VLOOKUP($B1114,Premissas!$A$4:$E$7,5,0))</f>
        <v/>
      </c>
      <c r="N1114" s="14">
        <f>H1114-M1114</f>
        <v/>
      </c>
      <c r="O1114" t="inlineStr">
        <is>
          <t>Não</t>
        </is>
      </c>
      <c r="P1114" t="inlineStr">
        <is>
          <t>1.350</t>
        </is>
      </c>
    </row>
    <row r="1115">
      <c r="A1115" t="inlineStr">
        <is>
          <t>Antes de 2026</t>
        </is>
      </c>
      <c r="B1115" t="inlineStr">
        <is>
          <t>Frete de venda</t>
        </is>
      </c>
      <c r="C1115" t="inlineStr">
        <is>
          <t>Frete de venda (para clientes)</t>
        </is>
      </c>
      <c r="D1115" t="inlineStr">
        <is>
          <t>CT-e</t>
        </is>
      </c>
      <c r="E1115" t="inlineStr">
        <is>
          <t>000005974</t>
        </is>
      </c>
      <c r="F1115" t="inlineStr">
        <is>
          <t>R&amp;R TRANSPORTE E LOGISTICA</t>
        </is>
      </c>
      <c r="G1115" s="27" t="n">
        <v>46004</v>
      </c>
      <c r="H1115" s="14" t="n">
        <v>31.3</v>
      </c>
      <c r="I1115" s="14" t="n">
        <v>0</v>
      </c>
      <c r="J1115" s="14" t="n">
        <v>0</v>
      </c>
      <c r="K1115" s="14" t="n">
        <v>0</v>
      </c>
      <c r="L1115" s="14" t="n">
        <v>0</v>
      </c>
      <c r="M1115" s="14">
        <f>IF(B1115="Frete de venda",0,(1-ISNUMBER(SEARCH("556",P1115)))*(I1115*VLOOKUP($B1115,Premissas!$A$4:$E$7,2,0)+J1115*VLOOKUP($B1115,Premissas!$A$4:$E$7,3,0))+K1115*VLOOKUP($B1115,Premissas!$A$4:$E$7,4,0)+L1115*VLOOKUP($B1115,Premissas!$A$4:$E$7,5,0))</f>
        <v/>
      </c>
      <c r="N1115" s="14">
        <f>H1115-M1115</f>
        <v/>
      </c>
      <c r="O1115" t="inlineStr">
        <is>
          <t>Não</t>
        </is>
      </c>
      <c r="P1115" t="inlineStr">
        <is>
          <t>1.350</t>
        </is>
      </c>
    </row>
    <row r="1116">
      <c r="A1116" t="inlineStr">
        <is>
          <t>Antes de 2026</t>
        </is>
      </c>
      <c r="B1116" t="inlineStr">
        <is>
          <t>Frete de venda</t>
        </is>
      </c>
      <c r="C1116" t="inlineStr">
        <is>
          <t>Frete de venda (para clientes)</t>
        </is>
      </c>
      <c r="D1116" t="inlineStr">
        <is>
          <t>CT-e</t>
        </is>
      </c>
      <c r="E1116" t="inlineStr">
        <is>
          <t>000004818</t>
        </is>
      </c>
      <c r="F1116" t="inlineStr">
        <is>
          <t>R&amp;R TRANSPORTE E LOGISTICA</t>
        </is>
      </c>
      <c r="G1116" s="27" t="n">
        <v>45870</v>
      </c>
      <c r="H1116" s="14" t="n">
        <v>17.93</v>
      </c>
      <c r="I1116" s="14" t="n">
        <v>0</v>
      </c>
      <c r="J1116" s="14" t="n">
        <v>0</v>
      </c>
      <c r="K1116" s="14" t="n">
        <v>0</v>
      </c>
      <c r="L1116" s="14" t="n">
        <v>0</v>
      </c>
      <c r="M1116" s="14">
        <f>IF(B1116="Frete de venda",0,(1-ISNUMBER(SEARCH("556",P1116)))*(I1116*VLOOKUP($B1116,Premissas!$A$4:$E$7,2,0)+J1116*VLOOKUP($B1116,Premissas!$A$4:$E$7,3,0))+K1116*VLOOKUP($B1116,Premissas!$A$4:$E$7,4,0)+L1116*VLOOKUP($B1116,Premissas!$A$4:$E$7,5,0))</f>
        <v/>
      </c>
      <c r="N1116" s="14">
        <f>H1116-M1116</f>
        <v/>
      </c>
      <c r="O1116" t="inlineStr">
        <is>
          <t>Não</t>
        </is>
      </c>
      <c r="P1116" t="inlineStr">
        <is>
          <t>1.350</t>
        </is>
      </c>
    </row>
    <row r="1117">
      <c r="A1117" t="inlineStr">
        <is>
          <t>Antes de 2026</t>
        </is>
      </c>
      <c r="B1117" t="inlineStr">
        <is>
          <t>Frete de venda</t>
        </is>
      </c>
      <c r="C1117" t="inlineStr">
        <is>
          <t>Frete de venda (para clientes)</t>
        </is>
      </c>
      <c r="D1117" t="inlineStr">
        <is>
          <t>CT-e</t>
        </is>
      </c>
      <c r="E1117" t="inlineStr">
        <is>
          <t>000004482</t>
        </is>
      </c>
      <c r="F1117" t="inlineStr">
        <is>
          <t>R&amp;R TRANSPORTE E LOGISTICA</t>
        </is>
      </c>
      <c r="G1117" s="27" t="n">
        <v>45831</v>
      </c>
      <c r="H1117" s="14" t="n">
        <v>13.93</v>
      </c>
      <c r="I1117" s="14" t="n">
        <v>0</v>
      </c>
      <c r="J1117" s="14" t="n">
        <v>0</v>
      </c>
      <c r="K1117" s="14" t="n">
        <v>0</v>
      </c>
      <c r="L1117" s="14" t="n">
        <v>0</v>
      </c>
      <c r="M1117" s="14">
        <f>IF(B1117="Frete de venda",0,(1-ISNUMBER(SEARCH("556",P1117)))*(I1117*VLOOKUP($B1117,Premissas!$A$4:$E$7,2,0)+J1117*VLOOKUP($B1117,Premissas!$A$4:$E$7,3,0))+K1117*VLOOKUP($B1117,Premissas!$A$4:$E$7,4,0)+L1117*VLOOKUP($B1117,Premissas!$A$4:$E$7,5,0))</f>
        <v/>
      </c>
      <c r="N1117" s="14">
        <f>H1117-M1117</f>
        <v/>
      </c>
      <c r="O1117" t="inlineStr">
        <is>
          <t>Não</t>
        </is>
      </c>
      <c r="P1117" t="inlineStr">
        <is>
          <t>1.350</t>
        </is>
      </c>
    </row>
    <row r="1118">
      <c r="A1118" t="inlineStr">
        <is>
          <t>Antes de 2026</t>
        </is>
      </c>
      <c r="B1118" t="inlineStr">
        <is>
          <t>Frete de venda</t>
        </is>
      </c>
      <c r="C1118" t="inlineStr">
        <is>
          <t>Frete de venda (para clientes)</t>
        </is>
      </c>
      <c r="D1118" t="inlineStr">
        <is>
          <t>CT-e</t>
        </is>
      </c>
      <c r="E1118" t="inlineStr">
        <is>
          <t>000004286</t>
        </is>
      </c>
      <c r="F1118" t="inlineStr">
        <is>
          <t>R&amp;R TRANSPORTE E LOGISTICA</t>
        </is>
      </c>
      <c r="G1118" s="27" t="n">
        <v>45804</v>
      </c>
      <c r="H1118" s="14" t="n">
        <v>87.04000000000001</v>
      </c>
      <c r="I1118" s="14" t="n">
        <v>0</v>
      </c>
      <c r="J1118" s="14" t="n">
        <v>0</v>
      </c>
      <c r="K1118" s="14" t="n">
        <v>0</v>
      </c>
      <c r="L1118" s="14" t="n">
        <v>0</v>
      </c>
      <c r="M1118" s="14">
        <f>IF(B1118="Frete de venda",0,(1-ISNUMBER(SEARCH("556",P1118)))*(I1118*VLOOKUP($B1118,Premissas!$A$4:$E$7,2,0)+J1118*VLOOKUP($B1118,Premissas!$A$4:$E$7,3,0))+K1118*VLOOKUP($B1118,Premissas!$A$4:$E$7,4,0)+L1118*VLOOKUP($B1118,Premissas!$A$4:$E$7,5,0))</f>
        <v/>
      </c>
      <c r="N1118" s="14">
        <f>H1118-M1118</f>
        <v/>
      </c>
      <c r="O1118" t="inlineStr">
        <is>
          <t>Não</t>
        </is>
      </c>
      <c r="P1118" t="inlineStr">
        <is>
          <t>1.350</t>
        </is>
      </c>
    </row>
    <row r="1119">
      <c r="A1119" t="inlineStr">
        <is>
          <t>Antes de 2026</t>
        </is>
      </c>
      <c r="B1119" t="inlineStr">
        <is>
          <t>Frete de venda</t>
        </is>
      </c>
      <c r="C1119" t="inlineStr">
        <is>
          <t>Frete de venda (para clientes)</t>
        </is>
      </c>
      <c r="D1119" t="inlineStr">
        <is>
          <t>CT-e</t>
        </is>
      </c>
      <c r="E1119" t="inlineStr">
        <is>
          <t>000005721</t>
        </is>
      </c>
      <c r="F1119" t="inlineStr">
        <is>
          <t>R&amp;R TRANSPORTE E LOGISTICA</t>
        </is>
      </c>
      <c r="G1119" s="27" t="n">
        <v>45974</v>
      </c>
      <c r="H1119" s="14" t="n">
        <v>44</v>
      </c>
      <c r="I1119" s="14" t="n">
        <v>0</v>
      </c>
      <c r="J1119" s="14" t="n">
        <v>0</v>
      </c>
      <c r="K1119" s="14" t="n">
        <v>0</v>
      </c>
      <c r="L1119" s="14" t="n">
        <v>0</v>
      </c>
      <c r="M1119" s="14">
        <f>IF(B1119="Frete de venda",0,(1-ISNUMBER(SEARCH("556",P1119)))*(I1119*VLOOKUP($B1119,Premissas!$A$4:$E$7,2,0)+J1119*VLOOKUP($B1119,Premissas!$A$4:$E$7,3,0))+K1119*VLOOKUP($B1119,Premissas!$A$4:$E$7,4,0)+L1119*VLOOKUP($B1119,Premissas!$A$4:$E$7,5,0))</f>
        <v/>
      </c>
      <c r="N1119" s="14">
        <f>H1119-M1119</f>
        <v/>
      </c>
      <c r="O1119" t="inlineStr">
        <is>
          <t>Não</t>
        </is>
      </c>
      <c r="P1119" t="inlineStr">
        <is>
          <t>1.350</t>
        </is>
      </c>
    </row>
    <row r="1120">
      <c r="A1120" t="inlineStr">
        <is>
          <t>Antes de 2026</t>
        </is>
      </c>
      <c r="B1120" t="inlineStr">
        <is>
          <t>Frete de venda</t>
        </is>
      </c>
      <c r="C1120" t="inlineStr">
        <is>
          <t>Frete de venda (para clientes)</t>
        </is>
      </c>
      <c r="D1120" t="inlineStr">
        <is>
          <t>CT-e</t>
        </is>
      </c>
      <c r="E1120" t="inlineStr">
        <is>
          <t>000005045</t>
        </is>
      </c>
      <c r="F1120" t="inlineStr">
        <is>
          <t>R&amp;R TRANSPORTE E LOGISTICA</t>
        </is>
      </c>
      <c r="G1120" s="27" t="n">
        <v>45896</v>
      </c>
      <c r="H1120" s="14" t="n">
        <v>15.24</v>
      </c>
      <c r="I1120" s="14" t="n">
        <v>0</v>
      </c>
      <c r="J1120" s="14" t="n">
        <v>0</v>
      </c>
      <c r="K1120" s="14" t="n">
        <v>0</v>
      </c>
      <c r="L1120" s="14" t="n">
        <v>0</v>
      </c>
      <c r="M1120" s="14">
        <f>IF(B1120="Frete de venda",0,(1-ISNUMBER(SEARCH("556",P1120)))*(I1120*VLOOKUP($B1120,Premissas!$A$4:$E$7,2,0)+J1120*VLOOKUP($B1120,Premissas!$A$4:$E$7,3,0))+K1120*VLOOKUP($B1120,Premissas!$A$4:$E$7,4,0)+L1120*VLOOKUP($B1120,Premissas!$A$4:$E$7,5,0))</f>
        <v/>
      </c>
      <c r="N1120" s="14">
        <f>H1120-M1120</f>
        <v/>
      </c>
      <c r="O1120" t="inlineStr">
        <is>
          <t>Não</t>
        </is>
      </c>
      <c r="P1120" t="inlineStr">
        <is>
          <t>1.350</t>
        </is>
      </c>
    </row>
    <row r="1121">
      <c r="A1121" t="inlineStr">
        <is>
          <t>Antes de 2026</t>
        </is>
      </c>
      <c r="B1121" t="inlineStr">
        <is>
          <t>Frete de venda</t>
        </is>
      </c>
      <c r="C1121" t="inlineStr">
        <is>
          <t>Frete de venda (para clientes)</t>
        </is>
      </c>
      <c r="D1121" t="inlineStr">
        <is>
          <t>CT-e</t>
        </is>
      </c>
      <c r="E1121" t="inlineStr">
        <is>
          <t>000005389</t>
        </is>
      </c>
      <c r="F1121" t="inlineStr">
        <is>
          <t>R&amp;R TRANSPORTE E LOGISTICA</t>
        </is>
      </c>
      <c r="G1121" s="27" t="n">
        <v>45933</v>
      </c>
      <c r="H1121" s="14" t="n">
        <v>49.5</v>
      </c>
      <c r="I1121" s="14" t="n">
        <v>0</v>
      </c>
      <c r="J1121" s="14" t="n">
        <v>0</v>
      </c>
      <c r="K1121" s="14" t="n">
        <v>0</v>
      </c>
      <c r="L1121" s="14" t="n">
        <v>0</v>
      </c>
      <c r="M1121" s="14">
        <f>IF(B1121="Frete de venda",0,(1-ISNUMBER(SEARCH("556",P1121)))*(I1121*VLOOKUP($B1121,Premissas!$A$4:$E$7,2,0)+J1121*VLOOKUP($B1121,Premissas!$A$4:$E$7,3,0))+K1121*VLOOKUP($B1121,Premissas!$A$4:$E$7,4,0)+L1121*VLOOKUP($B1121,Premissas!$A$4:$E$7,5,0))</f>
        <v/>
      </c>
      <c r="N1121" s="14">
        <f>H1121-M1121</f>
        <v/>
      </c>
      <c r="O1121" t="inlineStr">
        <is>
          <t>Não</t>
        </is>
      </c>
      <c r="P1121" t="inlineStr">
        <is>
          <t>1.350</t>
        </is>
      </c>
    </row>
    <row r="1122">
      <c r="A1122" t="inlineStr">
        <is>
          <t>Antes de 2026</t>
        </is>
      </c>
      <c r="B1122" t="inlineStr">
        <is>
          <t>Frete de venda</t>
        </is>
      </c>
      <c r="C1122" t="inlineStr">
        <is>
          <t>Frete de venda (para clientes)</t>
        </is>
      </c>
      <c r="D1122" t="inlineStr">
        <is>
          <t>CT-e</t>
        </is>
      </c>
      <c r="E1122" t="inlineStr">
        <is>
          <t>000005831</t>
        </is>
      </c>
      <c r="F1122" t="inlineStr">
        <is>
          <t>R&amp;R TRANSPORTE E LOGISTICA</t>
        </is>
      </c>
      <c r="G1122" s="27" t="n">
        <v>45987</v>
      </c>
      <c r="H1122" s="14" t="n">
        <v>42.86</v>
      </c>
      <c r="I1122" s="14" t="n">
        <v>0</v>
      </c>
      <c r="J1122" s="14" t="n">
        <v>0</v>
      </c>
      <c r="K1122" s="14" t="n">
        <v>0</v>
      </c>
      <c r="L1122" s="14" t="n">
        <v>0</v>
      </c>
      <c r="M1122" s="14">
        <f>IF(B1122="Frete de venda",0,(1-ISNUMBER(SEARCH("556",P1122)))*(I1122*VLOOKUP($B1122,Premissas!$A$4:$E$7,2,0)+J1122*VLOOKUP($B1122,Premissas!$A$4:$E$7,3,0))+K1122*VLOOKUP($B1122,Premissas!$A$4:$E$7,4,0)+L1122*VLOOKUP($B1122,Premissas!$A$4:$E$7,5,0))</f>
        <v/>
      </c>
      <c r="N1122" s="14">
        <f>H1122-M1122</f>
        <v/>
      </c>
      <c r="O1122" t="inlineStr">
        <is>
          <t>Não</t>
        </is>
      </c>
      <c r="P1122" t="inlineStr">
        <is>
          <t>1.350</t>
        </is>
      </c>
    </row>
    <row r="1123">
      <c r="A1123" t="inlineStr">
        <is>
          <t>Antes de 2026</t>
        </is>
      </c>
      <c r="B1123" t="inlineStr">
        <is>
          <t>Frete de venda</t>
        </is>
      </c>
      <c r="C1123" t="inlineStr">
        <is>
          <t>Frete de venda (para clientes)</t>
        </is>
      </c>
      <c r="D1123" t="inlineStr">
        <is>
          <t>CT-e</t>
        </is>
      </c>
      <c r="E1123" t="inlineStr">
        <is>
          <t>000005584</t>
        </is>
      </c>
      <c r="F1123" t="inlineStr">
        <is>
          <t>R&amp;R TRANSPORTE E LOGISTICA</t>
        </is>
      </c>
      <c r="G1123" s="27" t="n">
        <v>45957</v>
      </c>
      <c r="H1123" s="14" t="n">
        <v>88.25</v>
      </c>
      <c r="I1123" s="14" t="n">
        <v>0</v>
      </c>
      <c r="J1123" s="14" t="n">
        <v>0</v>
      </c>
      <c r="K1123" s="14" t="n">
        <v>0</v>
      </c>
      <c r="L1123" s="14" t="n">
        <v>0</v>
      </c>
      <c r="M1123" s="14">
        <f>IF(B1123="Frete de venda",0,(1-ISNUMBER(SEARCH("556",P1123)))*(I1123*VLOOKUP($B1123,Premissas!$A$4:$E$7,2,0)+J1123*VLOOKUP($B1123,Premissas!$A$4:$E$7,3,0))+K1123*VLOOKUP($B1123,Premissas!$A$4:$E$7,4,0)+L1123*VLOOKUP($B1123,Premissas!$A$4:$E$7,5,0))</f>
        <v/>
      </c>
      <c r="N1123" s="14">
        <f>H1123-M1123</f>
        <v/>
      </c>
      <c r="O1123" t="inlineStr">
        <is>
          <t>Não</t>
        </is>
      </c>
      <c r="P1123" t="inlineStr">
        <is>
          <t>1.350</t>
        </is>
      </c>
    </row>
    <row r="1124">
      <c r="A1124" t="inlineStr">
        <is>
          <t>Antes de 2026</t>
        </is>
      </c>
      <c r="B1124" t="inlineStr">
        <is>
          <t>Frete de venda</t>
        </is>
      </c>
      <c r="C1124" t="inlineStr">
        <is>
          <t>Frete de venda (para clientes)</t>
        </is>
      </c>
      <c r="D1124" t="inlineStr">
        <is>
          <t>CT-e</t>
        </is>
      </c>
      <c r="E1124" t="inlineStr">
        <is>
          <t>000004528</t>
        </is>
      </c>
      <c r="F1124" t="inlineStr">
        <is>
          <t>R&amp;R TRANSPORTE E LOGISTICA</t>
        </is>
      </c>
      <c r="G1124" s="27" t="n">
        <v>45835</v>
      </c>
      <c r="H1124" s="14" t="n">
        <v>32.16</v>
      </c>
      <c r="I1124" s="14" t="n">
        <v>0</v>
      </c>
      <c r="J1124" s="14" t="n">
        <v>0</v>
      </c>
      <c r="K1124" s="14" t="n">
        <v>0</v>
      </c>
      <c r="L1124" s="14" t="n">
        <v>0</v>
      </c>
      <c r="M1124" s="14">
        <f>IF(B1124="Frete de venda",0,(1-ISNUMBER(SEARCH("556",P1124)))*(I1124*VLOOKUP($B1124,Premissas!$A$4:$E$7,2,0)+J1124*VLOOKUP($B1124,Premissas!$A$4:$E$7,3,0))+K1124*VLOOKUP($B1124,Premissas!$A$4:$E$7,4,0)+L1124*VLOOKUP($B1124,Premissas!$A$4:$E$7,5,0))</f>
        <v/>
      </c>
      <c r="N1124" s="14">
        <f>H1124-M1124</f>
        <v/>
      </c>
      <c r="O1124" t="inlineStr">
        <is>
          <t>Não</t>
        </is>
      </c>
      <c r="P1124" t="inlineStr">
        <is>
          <t>1.350</t>
        </is>
      </c>
    </row>
    <row r="1125">
      <c r="A1125" t="inlineStr">
        <is>
          <t>Antes de 2026</t>
        </is>
      </c>
      <c r="B1125" t="inlineStr">
        <is>
          <t>Frete de venda</t>
        </is>
      </c>
      <c r="C1125" t="inlineStr">
        <is>
          <t>Frete de venda (para clientes)</t>
        </is>
      </c>
      <c r="D1125" t="inlineStr">
        <is>
          <t>CT-e</t>
        </is>
      </c>
      <c r="E1125" t="inlineStr">
        <is>
          <t>000005524</t>
        </is>
      </c>
      <c r="F1125" t="inlineStr">
        <is>
          <t>R&amp;R TRANSPORTE E LOGISTICA</t>
        </is>
      </c>
      <c r="G1125" s="27" t="n">
        <v>45951</v>
      </c>
      <c r="H1125" s="14" t="n">
        <v>35.33</v>
      </c>
      <c r="I1125" s="14" t="n">
        <v>0</v>
      </c>
      <c r="J1125" s="14" t="n">
        <v>0</v>
      </c>
      <c r="K1125" s="14" t="n">
        <v>0</v>
      </c>
      <c r="L1125" s="14" t="n">
        <v>0</v>
      </c>
      <c r="M1125" s="14">
        <f>IF(B1125="Frete de venda",0,(1-ISNUMBER(SEARCH("556",P1125)))*(I1125*VLOOKUP($B1125,Premissas!$A$4:$E$7,2,0)+J1125*VLOOKUP($B1125,Premissas!$A$4:$E$7,3,0))+K1125*VLOOKUP($B1125,Premissas!$A$4:$E$7,4,0)+L1125*VLOOKUP($B1125,Premissas!$A$4:$E$7,5,0))</f>
        <v/>
      </c>
      <c r="N1125" s="14">
        <f>H1125-M1125</f>
        <v/>
      </c>
      <c r="O1125" t="inlineStr">
        <is>
          <t>Não</t>
        </is>
      </c>
      <c r="P1125" t="inlineStr">
        <is>
          <t>1.350</t>
        </is>
      </c>
    </row>
    <row r="1126">
      <c r="A1126" t="inlineStr">
        <is>
          <t>Antes de 2026</t>
        </is>
      </c>
      <c r="B1126" t="inlineStr">
        <is>
          <t>Frete de venda</t>
        </is>
      </c>
      <c r="C1126" t="inlineStr">
        <is>
          <t>Frete de venda (para clientes)</t>
        </is>
      </c>
      <c r="D1126" t="inlineStr">
        <is>
          <t>CT-e</t>
        </is>
      </c>
      <c r="E1126" t="inlineStr">
        <is>
          <t>000005638</t>
        </is>
      </c>
      <c r="F1126" t="inlineStr">
        <is>
          <t>R&amp;R TRANSPORTE E LOGISTICA</t>
        </is>
      </c>
      <c r="G1126" s="27" t="n">
        <v>45961</v>
      </c>
      <c r="H1126" s="14" t="n">
        <v>14.47</v>
      </c>
      <c r="I1126" s="14" t="n">
        <v>0</v>
      </c>
      <c r="J1126" s="14" t="n">
        <v>0</v>
      </c>
      <c r="K1126" s="14" t="n">
        <v>0</v>
      </c>
      <c r="L1126" s="14" t="n">
        <v>0</v>
      </c>
      <c r="M1126" s="14">
        <f>IF(B1126="Frete de venda",0,(1-ISNUMBER(SEARCH("556",P1126)))*(I1126*VLOOKUP($B1126,Premissas!$A$4:$E$7,2,0)+J1126*VLOOKUP($B1126,Premissas!$A$4:$E$7,3,0))+K1126*VLOOKUP($B1126,Premissas!$A$4:$E$7,4,0)+L1126*VLOOKUP($B1126,Premissas!$A$4:$E$7,5,0))</f>
        <v/>
      </c>
      <c r="N1126" s="14">
        <f>H1126-M1126</f>
        <v/>
      </c>
      <c r="O1126" t="inlineStr">
        <is>
          <t>Não</t>
        </is>
      </c>
      <c r="P1126" t="inlineStr">
        <is>
          <t>1.350</t>
        </is>
      </c>
    </row>
    <row r="1127">
      <c r="A1127" t="inlineStr">
        <is>
          <t>Antes de 2026</t>
        </is>
      </c>
      <c r="B1127" t="inlineStr">
        <is>
          <t>Frete de venda</t>
        </is>
      </c>
      <c r="C1127" t="inlineStr">
        <is>
          <t>Frete de venda (para clientes)</t>
        </is>
      </c>
      <c r="D1127" t="inlineStr">
        <is>
          <t>CT-e</t>
        </is>
      </c>
      <c r="E1127" t="inlineStr">
        <is>
          <t>000004493</t>
        </is>
      </c>
      <c r="F1127" t="inlineStr">
        <is>
          <t>R&amp;R TRANSPORTE E LOGISTICA</t>
        </is>
      </c>
      <c r="G1127" s="27" t="n">
        <v>45831</v>
      </c>
      <c r="H1127" s="14" t="n">
        <v>15.4</v>
      </c>
      <c r="I1127" s="14" t="n">
        <v>0</v>
      </c>
      <c r="J1127" s="14" t="n">
        <v>0</v>
      </c>
      <c r="K1127" s="14" t="n">
        <v>0</v>
      </c>
      <c r="L1127" s="14" t="n">
        <v>0</v>
      </c>
      <c r="M1127" s="14">
        <f>IF(B1127="Frete de venda",0,(1-ISNUMBER(SEARCH("556",P1127)))*(I1127*VLOOKUP($B1127,Premissas!$A$4:$E$7,2,0)+J1127*VLOOKUP($B1127,Premissas!$A$4:$E$7,3,0))+K1127*VLOOKUP($B1127,Premissas!$A$4:$E$7,4,0)+L1127*VLOOKUP($B1127,Premissas!$A$4:$E$7,5,0))</f>
        <v/>
      </c>
      <c r="N1127" s="14">
        <f>H1127-M1127</f>
        <v/>
      </c>
      <c r="O1127" t="inlineStr">
        <is>
          <t>Não</t>
        </is>
      </c>
      <c r="P1127" t="inlineStr">
        <is>
          <t>1.350</t>
        </is>
      </c>
    </row>
    <row r="1128">
      <c r="A1128" t="inlineStr">
        <is>
          <t>Antes de 2026</t>
        </is>
      </c>
      <c r="B1128" t="inlineStr">
        <is>
          <t>Frete de venda</t>
        </is>
      </c>
      <c r="C1128" t="inlineStr">
        <is>
          <t>Frete de venda (para clientes)</t>
        </is>
      </c>
      <c r="D1128" t="inlineStr">
        <is>
          <t>CT-e</t>
        </is>
      </c>
      <c r="E1128" t="inlineStr">
        <is>
          <t>000004690</t>
        </is>
      </c>
      <c r="F1128" t="inlineStr">
        <is>
          <t>R&amp;R TRANSPORTE E LOGISTICA</t>
        </is>
      </c>
      <c r="G1128" s="27" t="n">
        <v>45856</v>
      </c>
      <c r="H1128" s="14" t="n">
        <v>19.97</v>
      </c>
      <c r="I1128" s="14" t="n">
        <v>0</v>
      </c>
      <c r="J1128" s="14" t="n">
        <v>0</v>
      </c>
      <c r="K1128" s="14" t="n">
        <v>0</v>
      </c>
      <c r="L1128" s="14" t="n">
        <v>0</v>
      </c>
      <c r="M1128" s="14">
        <f>IF(B1128="Frete de venda",0,(1-ISNUMBER(SEARCH("556",P1128)))*(I1128*VLOOKUP($B1128,Premissas!$A$4:$E$7,2,0)+J1128*VLOOKUP($B1128,Premissas!$A$4:$E$7,3,0))+K1128*VLOOKUP($B1128,Premissas!$A$4:$E$7,4,0)+L1128*VLOOKUP($B1128,Premissas!$A$4:$E$7,5,0))</f>
        <v/>
      </c>
      <c r="N1128" s="14">
        <f>H1128-M1128</f>
        <v/>
      </c>
      <c r="O1128" t="inlineStr">
        <is>
          <t>Não</t>
        </is>
      </c>
      <c r="P1128" t="inlineStr">
        <is>
          <t>1.350</t>
        </is>
      </c>
    </row>
    <row r="1129">
      <c r="A1129" t="inlineStr">
        <is>
          <t>Antes de 2026</t>
        </is>
      </c>
      <c r="B1129" t="inlineStr">
        <is>
          <t>Frete de venda</t>
        </is>
      </c>
      <c r="C1129" t="inlineStr">
        <is>
          <t>Frete de venda (para clientes)</t>
        </is>
      </c>
      <c r="D1129" t="inlineStr">
        <is>
          <t>CT-e</t>
        </is>
      </c>
      <c r="E1129" t="inlineStr">
        <is>
          <t>000005029</t>
        </is>
      </c>
      <c r="F1129" t="inlineStr">
        <is>
          <t>R&amp;R TRANSPORTE E LOGISTICA</t>
        </is>
      </c>
      <c r="G1129" s="27" t="n">
        <v>45895</v>
      </c>
      <c r="H1129" s="14" t="n">
        <v>19.97</v>
      </c>
      <c r="I1129" s="14" t="n">
        <v>0</v>
      </c>
      <c r="J1129" s="14" t="n">
        <v>0</v>
      </c>
      <c r="K1129" s="14" t="n">
        <v>0</v>
      </c>
      <c r="L1129" s="14" t="n">
        <v>0</v>
      </c>
      <c r="M1129" s="14">
        <f>IF(B1129="Frete de venda",0,(1-ISNUMBER(SEARCH("556",P1129)))*(I1129*VLOOKUP($B1129,Premissas!$A$4:$E$7,2,0)+J1129*VLOOKUP($B1129,Premissas!$A$4:$E$7,3,0))+K1129*VLOOKUP($B1129,Premissas!$A$4:$E$7,4,0)+L1129*VLOOKUP($B1129,Premissas!$A$4:$E$7,5,0))</f>
        <v/>
      </c>
      <c r="N1129" s="14">
        <f>H1129-M1129</f>
        <v/>
      </c>
      <c r="O1129" t="inlineStr">
        <is>
          <t>Não</t>
        </is>
      </c>
      <c r="P1129" t="inlineStr">
        <is>
          <t>1.350</t>
        </is>
      </c>
    </row>
    <row r="1130">
      <c r="A1130" t="inlineStr">
        <is>
          <t>Antes de 2026</t>
        </is>
      </c>
      <c r="B1130" t="inlineStr">
        <is>
          <t>Frete de venda</t>
        </is>
      </c>
      <c r="C1130" t="inlineStr">
        <is>
          <t>Frete de venda (para clientes)</t>
        </is>
      </c>
      <c r="D1130" t="inlineStr">
        <is>
          <t>CT-e</t>
        </is>
      </c>
      <c r="E1130" t="inlineStr">
        <is>
          <t>000005791</t>
        </is>
      </c>
      <c r="F1130" t="inlineStr">
        <is>
          <t>R&amp;R TRANSPORTE E LOGISTICA</t>
        </is>
      </c>
      <c r="G1130" s="27" t="n">
        <v>45981</v>
      </c>
      <c r="H1130" s="14" t="n">
        <v>19.86</v>
      </c>
      <c r="I1130" s="14" t="n">
        <v>0</v>
      </c>
      <c r="J1130" s="14" t="n">
        <v>0</v>
      </c>
      <c r="K1130" s="14" t="n">
        <v>0</v>
      </c>
      <c r="L1130" s="14" t="n">
        <v>0</v>
      </c>
      <c r="M1130" s="14">
        <f>IF(B1130="Frete de venda",0,(1-ISNUMBER(SEARCH("556",P1130)))*(I1130*VLOOKUP($B1130,Premissas!$A$4:$E$7,2,0)+J1130*VLOOKUP($B1130,Premissas!$A$4:$E$7,3,0))+K1130*VLOOKUP($B1130,Premissas!$A$4:$E$7,4,0)+L1130*VLOOKUP($B1130,Premissas!$A$4:$E$7,5,0))</f>
        <v/>
      </c>
      <c r="N1130" s="14">
        <f>H1130-M1130</f>
        <v/>
      </c>
      <c r="O1130" t="inlineStr">
        <is>
          <t>Não</t>
        </is>
      </c>
      <c r="P1130" t="inlineStr">
        <is>
          <t>1.350</t>
        </is>
      </c>
    </row>
    <row r="1131">
      <c r="A1131" t="inlineStr">
        <is>
          <t>Antes de 2026</t>
        </is>
      </c>
      <c r="B1131" t="inlineStr">
        <is>
          <t>Frete de venda</t>
        </is>
      </c>
      <c r="C1131" t="inlineStr">
        <is>
          <t>Frete de venda (para clientes)</t>
        </is>
      </c>
      <c r="D1131" t="inlineStr">
        <is>
          <t>CT-e</t>
        </is>
      </c>
      <c r="E1131" t="inlineStr">
        <is>
          <t>000005236</t>
        </is>
      </c>
      <c r="F1131" t="inlineStr">
        <is>
          <t>R&amp;R TRANSPORTE E LOGISTICA</t>
        </is>
      </c>
      <c r="G1131" s="27" t="n">
        <v>45918</v>
      </c>
      <c r="H1131" s="14" t="n">
        <v>15.75</v>
      </c>
      <c r="I1131" s="14" t="n">
        <v>0</v>
      </c>
      <c r="J1131" s="14" t="n">
        <v>0</v>
      </c>
      <c r="K1131" s="14" t="n">
        <v>0</v>
      </c>
      <c r="L1131" s="14" t="n">
        <v>0</v>
      </c>
      <c r="M1131" s="14">
        <f>IF(B1131="Frete de venda",0,(1-ISNUMBER(SEARCH("556",P1131)))*(I1131*VLOOKUP($B1131,Premissas!$A$4:$E$7,2,0)+J1131*VLOOKUP($B1131,Premissas!$A$4:$E$7,3,0))+K1131*VLOOKUP($B1131,Premissas!$A$4:$E$7,4,0)+L1131*VLOOKUP($B1131,Premissas!$A$4:$E$7,5,0))</f>
        <v/>
      </c>
      <c r="N1131" s="14">
        <f>H1131-M1131</f>
        <v/>
      </c>
      <c r="O1131" t="inlineStr">
        <is>
          <t>Não</t>
        </is>
      </c>
      <c r="P1131" t="inlineStr">
        <is>
          <t>1.350</t>
        </is>
      </c>
    </row>
    <row r="1132">
      <c r="A1132" t="inlineStr">
        <is>
          <t>Antes de 2026</t>
        </is>
      </c>
      <c r="B1132" t="inlineStr">
        <is>
          <t>Frete de venda</t>
        </is>
      </c>
      <c r="C1132" t="inlineStr">
        <is>
          <t>Frete de venda (para clientes)</t>
        </is>
      </c>
      <c r="D1132" t="inlineStr">
        <is>
          <t>CT-e</t>
        </is>
      </c>
      <c r="E1132" t="inlineStr">
        <is>
          <t>000004673</t>
        </is>
      </c>
      <c r="F1132" t="inlineStr">
        <is>
          <t>R&amp;R TRANSPORTE E LOGISTICA</t>
        </is>
      </c>
      <c r="G1132" s="27" t="n">
        <v>45855</v>
      </c>
      <c r="H1132" s="14" t="n">
        <v>24.25</v>
      </c>
      <c r="I1132" s="14" t="n">
        <v>0</v>
      </c>
      <c r="J1132" s="14" t="n">
        <v>0</v>
      </c>
      <c r="K1132" s="14" t="n">
        <v>0</v>
      </c>
      <c r="L1132" s="14" t="n">
        <v>0</v>
      </c>
      <c r="M1132" s="14">
        <f>IF(B1132="Frete de venda",0,(1-ISNUMBER(SEARCH("556",P1132)))*(I1132*VLOOKUP($B1132,Premissas!$A$4:$E$7,2,0)+J1132*VLOOKUP($B1132,Premissas!$A$4:$E$7,3,0))+K1132*VLOOKUP($B1132,Premissas!$A$4:$E$7,4,0)+L1132*VLOOKUP($B1132,Premissas!$A$4:$E$7,5,0))</f>
        <v/>
      </c>
      <c r="N1132" s="14">
        <f>H1132-M1132</f>
        <v/>
      </c>
      <c r="O1132" t="inlineStr">
        <is>
          <t>Não</t>
        </is>
      </c>
      <c r="P1132" t="inlineStr">
        <is>
          <t>1.350</t>
        </is>
      </c>
    </row>
    <row r="1133">
      <c r="A1133" t="inlineStr">
        <is>
          <t>Antes de 2026</t>
        </is>
      </c>
      <c r="B1133" t="inlineStr">
        <is>
          <t>Frete de venda</t>
        </is>
      </c>
      <c r="C1133" t="inlineStr">
        <is>
          <t>Frete de venda (para clientes)</t>
        </is>
      </c>
      <c r="D1133" t="inlineStr">
        <is>
          <t>CT-e</t>
        </is>
      </c>
      <c r="E1133" t="inlineStr">
        <is>
          <t>000005126</t>
        </is>
      </c>
      <c r="F1133" t="inlineStr">
        <is>
          <t>R&amp;R TRANSPORTE E LOGISTICA</t>
        </is>
      </c>
      <c r="G1133" s="27" t="n">
        <v>45908</v>
      </c>
      <c r="H1133" s="14" t="n">
        <v>30.2</v>
      </c>
      <c r="I1133" s="14" t="n">
        <v>0</v>
      </c>
      <c r="J1133" s="14" t="n">
        <v>0</v>
      </c>
      <c r="K1133" s="14" t="n">
        <v>0</v>
      </c>
      <c r="L1133" s="14" t="n">
        <v>0</v>
      </c>
      <c r="M1133" s="14">
        <f>IF(B1133="Frete de venda",0,(1-ISNUMBER(SEARCH("556",P1133)))*(I1133*VLOOKUP($B1133,Premissas!$A$4:$E$7,2,0)+J1133*VLOOKUP($B1133,Premissas!$A$4:$E$7,3,0))+K1133*VLOOKUP($B1133,Premissas!$A$4:$E$7,4,0)+L1133*VLOOKUP($B1133,Premissas!$A$4:$E$7,5,0))</f>
        <v/>
      </c>
      <c r="N1133" s="14">
        <f>H1133-M1133</f>
        <v/>
      </c>
      <c r="O1133" t="inlineStr">
        <is>
          <t>Não</t>
        </is>
      </c>
      <c r="P1133" t="inlineStr">
        <is>
          <t>1.350</t>
        </is>
      </c>
    </row>
    <row r="1134">
      <c r="A1134" t="inlineStr">
        <is>
          <t>Antes de 2026</t>
        </is>
      </c>
      <c r="B1134" t="inlineStr">
        <is>
          <t>Frete de venda</t>
        </is>
      </c>
      <c r="C1134" t="inlineStr">
        <is>
          <t>Frete de venda (para clientes)</t>
        </is>
      </c>
      <c r="D1134" t="inlineStr">
        <is>
          <t>CT-e</t>
        </is>
      </c>
      <c r="E1134" t="inlineStr">
        <is>
          <t>000020447</t>
        </is>
      </c>
      <c r="F1134" t="inlineStr">
        <is>
          <t>TRANSPORTE OLIVEIRA E MELLOI - IDEALIZA TRANSPORTES</t>
        </is>
      </c>
      <c r="G1134" s="27" t="n">
        <v>45600</v>
      </c>
      <c r="H1134" s="14" t="n">
        <v>193.55</v>
      </c>
      <c r="I1134" s="14" t="n">
        <v>0</v>
      </c>
      <c r="J1134" s="14" t="n">
        <v>0</v>
      </c>
      <c r="K1134" s="14" t="n">
        <v>0</v>
      </c>
      <c r="L1134" s="14" t="n">
        <v>0</v>
      </c>
      <c r="M1134" s="14">
        <f>IF(B1134="Frete de venda",0,(1-ISNUMBER(SEARCH("556",P1134)))*(I1134*VLOOKUP($B1134,Premissas!$A$4:$E$7,2,0)+J1134*VLOOKUP($B1134,Premissas!$A$4:$E$7,3,0))+K1134*VLOOKUP($B1134,Premissas!$A$4:$E$7,4,0)+L1134*VLOOKUP($B1134,Premissas!$A$4:$E$7,5,0))</f>
        <v/>
      </c>
      <c r="N1134" s="14">
        <f>H1134-M1134</f>
        <v/>
      </c>
      <c r="O1134" t="inlineStr">
        <is>
          <t>Não</t>
        </is>
      </c>
      <c r="P1134" t="inlineStr">
        <is>
          <t>1.350</t>
        </is>
      </c>
    </row>
    <row r="1135">
      <c r="A1135" t="inlineStr">
        <is>
          <t>Antes de 2026</t>
        </is>
      </c>
      <c r="B1135" t="inlineStr">
        <is>
          <t>Frete de venda</t>
        </is>
      </c>
      <c r="C1135" t="inlineStr">
        <is>
          <t>Frete de venda (para clientes)</t>
        </is>
      </c>
      <c r="D1135" t="inlineStr">
        <is>
          <t>CT-e</t>
        </is>
      </c>
      <c r="E1135" t="inlineStr">
        <is>
          <t>000005719</t>
        </is>
      </c>
      <c r="F1135" t="inlineStr">
        <is>
          <t>R&amp;R TRANSPORTE E LOGISTICA</t>
        </is>
      </c>
      <c r="G1135" s="27" t="n">
        <v>45974</v>
      </c>
      <c r="H1135" s="14" t="n">
        <v>44</v>
      </c>
      <c r="I1135" s="14" t="n">
        <v>0</v>
      </c>
      <c r="J1135" s="14" t="n">
        <v>0</v>
      </c>
      <c r="K1135" s="14" t="n">
        <v>0</v>
      </c>
      <c r="L1135" s="14" t="n">
        <v>0</v>
      </c>
      <c r="M1135" s="14">
        <f>IF(B1135="Frete de venda",0,(1-ISNUMBER(SEARCH("556",P1135)))*(I1135*VLOOKUP($B1135,Premissas!$A$4:$E$7,2,0)+J1135*VLOOKUP($B1135,Premissas!$A$4:$E$7,3,0))+K1135*VLOOKUP($B1135,Premissas!$A$4:$E$7,4,0)+L1135*VLOOKUP($B1135,Premissas!$A$4:$E$7,5,0))</f>
        <v/>
      </c>
      <c r="N1135" s="14">
        <f>H1135-M1135</f>
        <v/>
      </c>
      <c r="O1135" t="inlineStr">
        <is>
          <t>Não</t>
        </is>
      </c>
      <c r="P1135" t="inlineStr">
        <is>
          <t>1.350</t>
        </is>
      </c>
    </row>
    <row r="1136">
      <c r="A1136" t="inlineStr">
        <is>
          <t>Antes de 2026</t>
        </is>
      </c>
      <c r="B1136" t="inlineStr">
        <is>
          <t>Frete de venda</t>
        </is>
      </c>
      <c r="C1136" t="inlineStr">
        <is>
          <t>Frete de venda (para clientes)</t>
        </is>
      </c>
      <c r="D1136" t="inlineStr">
        <is>
          <t>CT-e</t>
        </is>
      </c>
      <c r="E1136" t="inlineStr">
        <is>
          <t>000020457</t>
        </is>
      </c>
      <c r="F1136" t="inlineStr">
        <is>
          <t>TRANSPORTE OLIVEIRA E MELLOI - IDEALIZA TRANSPORTES</t>
        </is>
      </c>
      <c r="G1136" s="27" t="n">
        <v>45600</v>
      </c>
      <c r="H1136" s="14" t="n">
        <v>269.46</v>
      </c>
      <c r="I1136" s="14" t="n">
        <v>0</v>
      </c>
      <c r="J1136" s="14" t="n">
        <v>0</v>
      </c>
      <c r="K1136" s="14" t="n">
        <v>0</v>
      </c>
      <c r="L1136" s="14" t="n">
        <v>0</v>
      </c>
      <c r="M1136" s="14">
        <f>IF(B1136="Frete de venda",0,(1-ISNUMBER(SEARCH("556",P1136)))*(I1136*VLOOKUP($B1136,Premissas!$A$4:$E$7,2,0)+J1136*VLOOKUP($B1136,Premissas!$A$4:$E$7,3,0))+K1136*VLOOKUP($B1136,Premissas!$A$4:$E$7,4,0)+L1136*VLOOKUP($B1136,Premissas!$A$4:$E$7,5,0))</f>
        <v/>
      </c>
      <c r="N1136" s="14">
        <f>H1136-M1136</f>
        <v/>
      </c>
      <c r="O1136" t="inlineStr">
        <is>
          <t>Não</t>
        </is>
      </c>
      <c r="P1136" t="inlineStr">
        <is>
          <t>1.350</t>
        </is>
      </c>
    </row>
    <row r="1137">
      <c r="A1137" t="inlineStr">
        <is>
          <t>Antes de 2026</t>
        </is>
      </c>
      <c r="B1137" t="inlineStr">
        <is>
          <t>Frete de venda</t>
        </is>
      </c>
      <c r="C1137" t="inlineStr">
        <is>
          <t>Frete de venda (para clientes)</t>
        </is>
      </c>
      <c r="D1137" t="inlineStr">
        <is>
          <t>CT-e</t>
        </is>
      </c>
      <c r="E1137" t="inlineStr">
        <is>
          <t>000004288</t>
        </is>
      </c>
      <c r="F1137" t="inlineStr">
        <is>
          <t>R&amp;R TRANSPORTE E LOGISTICA</t>
        </is>
      </c>
      <c r="G1137" s="27" t="n">
        <v>45804</v>
      </c>
      <c r="H1137" s="14" t="n">
        <v>105.05</v>
      </c>
      <c r="I1137" s="14" t="n">
        <v>0</v>
      </c>
      <c r="J1137" s="14" t="n">
        <v>0</v>
      </c>
      <c r="K1137" s="14" t="n">
        <v>0</v>
      </c>
      <c r="L1137" s="14" t="n">
        <v>0</v>
      </c>
      <c r="M1137" s="14">
        <f>IF(B1137="Frete de venda",0,(1-ISNUMBER(SEARCH("556",P1137)))*(I1137*VLOOKUP($B1137,Premissas!$A$4:$E$7,2,0)+J1137*VLOOKUP($B1137,Premissas!$A$4:$E$7,3,0))+K1137*VLOOKUP($B1137,Premissas!$A$4:$E$7,4,0)+L1137*VLOOKUP($B1137,Premissas!$A$4:$E$7,5,0))</f>
        <v/>
      </c>
      <c r="N1137" s="14">
        <f>H1137-M1137</f>
        <v/>
      </c>
      <c r="O1137" t="inlineStr">
        <is>
          <t>Não</t>
        </is>
      </c>
      <c r="P1137" t="inlineStr">
        <is>
          <t>1.350</t>
        </is>
      </c>
    </row>
    <row r="1138">
      <c r="A1138" t="inlineStr">
        <is>
          <t>Antes de 2026</t>
        </is>
      </c>
      <c r="B1138" t="inlineStr">
        <is>
          <t>Frete de venda</t>
        </is>
      </c>
      <c r="C1138" t="inlineStr">
        <is>
          <t>Frete de venda (para clientes)</t>
        </is>
      </c>
      <c r="D1138" t="inlineStr">
        <is>
          <t>CT-e</t>
        </is>
      </c>
      <c r="E1138" t="inlineStr">
        <is>
          <t>000004582</t>
        </is>
      </c>
      <c r="F1138" t="inlineStr">
        <is>
          <t>R&amp;R TRANSPORTE E LOGISTICA</t>
        </is>
      </c>
      <c r="G1138" s="27" t="n">
        <v>45842</v>
      </c>
      <c r="H1138" s="14" t="n">
        <v>30.31</v>
      </c>
      <c r="I1138" s="14" t="n">
        <v>0</v>
      </c>
      <c r="J1138" s="14" t="n">
        <v>0</v>
      </c>
      <c r="K1138" s="14" t="n">
        <v>0</v>
      </c>
      <c r="L1138" s="14" t="n">
        <v>0</v>
      </c>
      <c r="M1138" s="14">
        <f>IF(B1138="Frete de venda",0,(1-ISNUMBER(SEARCH("556",P1138)))*(I1138*VLOOKUP($B1138,Premissas!$A$4:$E$7,2,0)+J1138*VLOOKUP($B1138,Premissas!$A$4:$E$7,3,0))+K1138*VLOOKUP($B1138,Premissas!$A$4:$E$7,4,0)+L1138*VLOOKUP($B1138,Premissas!$A$4:$E$7,5,0))</f>
        <v/>
      </c>
      <c r="N1138" s="14">
        <f>H1138-M1138</f>
        <v/>
      </c>
      <c r="O1138" t="inlineStr">
        <is>
          <t>Não</t>
        </is>
      </c>
      <c r="P1138" t="inlineStr">
        <is>
          <t>1.350</t>
        </is>
      </c>
    </row>
    <row r="1139">
      <c r="A1139" t="inlineStr">
        <is>
          <t>Antes de 2026</t>
        </is>
      </c>
      <c r="B1139" t="inlineStr">
        <is>
          <t>Frete de venda</t>
        </is>
      </c>
      <c r="C1139" t="inlineStr">
        <is>
          <t>Frete de venda (para clientes)</t>
        </is>
      </c>
      <c r="D1139" t="inlineStr">
        <is>
          <t>CT-e</t>
        </is>
      </c>
      <c r="E1139" t="inlineStr">
        <is>
          <t>000005408</t>
        </is>
      </c>
      <c r="F1139" t="inlineStr">
        <is>
          <t>R&amp;R TRANSPORTE E LOGISTICA</t>
        </is>
      </c>
      <c r="G1139" s="27" t="n">
        <v>45937</v>
      </c>
      <c r="H1139" s="14" t="n">
        <v>63.05</v>
      </c>
      <c r="I1139" s="14" t="n">
        <v>0</v>
      </c>
      <c r="J1139" s="14" t="n">
        <v>0</v>
      </c>
      <c r="K1139" s="14" t="n">
        <v>0</v>
      </c>
      <c r="L1139" s="14" t="n">
        <v>0</v>
      </c>
      <c r="M1139" s="14">
        <f>IF(B1139="Frete de venda",0,(1-ISNUMBER(SEARCH("556",P1139)))*(I1139*VLOOKUP($B1139,Premissas!$A$4:$E$7,2,0)+J1139*VLOOKUP($B1139,Premissas!$A$4:$E$7,3,0))+K1139*VLOOKUP($B1139,Premissas!$A$4:$E$7,4,0)+L1139*VLOOKUP($B1139,Premissas!$A$4:$E$7,5,0))</f>
        <v/>
      </c>
      <c r="N1139" s="14">
        <f>H1139-M1139</f>
        <v/>
      </c>
      <c r="O1139" t="inlineStr">
        <is>
          <t>Não</t>
        </is>
      </c>
      <c r="P1139" t="inlineStr">
        <is>
          <t>1.350</t>
        </is>
      </c>
    </row>
    <row r="1140">
      <c r="A1140" t="inlineStr">
        <is>
          <t>Antes de 2026</t>
        </is>
      </c>
      <c r="B1140" t="inlineStr">
        <is>
          <t>Frete de venda</t>
        </is>
      </c>
      <c r="C1140" t="inlineStr">
        <is>
          <t>Frete de venda (para clientes)</t>
        </is>
      </c>
      <c r="D1140" t="inlineStr">
        <is>
          <t>CT-e</t>
        </is>
      </c>
      <c r="E1140" t="inlineStr">
        <is>
          <t>000006015</t>
        </is>
      </c>
      <c r="F1140" t="inlineStr">
        <is>
          <t>R&amp;R TRANSPORTE E LOGISTICA</t>
        </is>
      </c>
      <c r="G1140" s="27" t="n">
        <v>46010</v>
      </c>
      <c r="H1140" s="14" t="n">
        <v>40.22</v>
      </c>
      <c r="I1140" s="14" t="n">
        <v>0</v>
      </c>
      <c r="J1140" s="14" t="n">
        <v>0</v>
      </c>
      <c r="K1140" s="14" t="n">
        <v>0</v>
      </c>
      <c r="L1140" s="14" t="n">
        <v>0</v>
      </c>
      <c r="M1140" s="14">
        <f>IF(B1140="Frete de venda",0,(1-ISNUMBER(SEARCH("556",P1140)))*(I1140*VLOOKUP($B1140,Premissas!$A$4:$E$7,2,0)+J1140*VLOOKUP($B1140,Premissas!$A$4:$E$7,3,0))+K1140*VLOOKUP($B1140,Premissas!$A$4:$E$7,4,0)+L1140*VLOOKUP($B1140,Premissas!$A$4:$E$7,5,0))</f>
        <v/>
      </c>
      <c r="N1140" s="14">
        <f>H1140-M1140</f>
        <v/>
      </c>
      <c r="O1140" t="inlineStr">
        <is>
          <t>Não</t>
        </is>
      </c>
      <c r="P1140" t="inlineStr">
        <is>
          <t>1.350</t>
        </is>
      </c>
    </row>
    <row r="1141">
      <c r="A1141" t="inlineStr">
        <is>
          <t>Antes de 2026</t>
        </is>
      </c>
      <c r="B1141" t="inlineStr">
        <is>
          <t>Frete de venda</t>
        </is>
      </c>
      <c r="C1141" t="inlineStr">
        <is>
          <t>Frete de venda (para clientes)</t>
        </is>
      </c>
      <c r="D1141" t="inlineStr">
        <is>
          <t>CT-e</t>
        </is>
      </c>
      <c r="E1141" t="inlineStr">
        <is>
          <t>000004632</t>
        </is>
      </c>
      <c r="F1141" t="inlineStr">
        <is>
          <t>R&amp;R TRANSPORTE E LOGISTICA</t>
        </is>
      </c>
      <c r="G1141" s="27" t="n">
        <v>45850</v>
      </c>
      <c r="H1141" s="14" t="n">
        <v>25.42</v>
      </c>
      <c r="I1141" s="14" t="n">
        <v>0</v>
      </c>
      <c r="J1141" s="14" t="n">
        <v>0</v>
      </c>
      <c r="K1141" s="14" t="n">
        <v>0</v>
      </c>
      <c r="L1141" s="14" t="n">
        <v>0</v>
      </c>
      <c r="M1141" s="14">
        <f>IF(B1141="Frete de venda",0,(1-ISNUMBER(SEARCH("556",P1141)))*(I1141*VLOOKUP($B1141,Premissas!$A$4:$E$7,2,0)+J1141*VLOOKUP($B1141,Premissas!$A$4:$E$7,3,0))+K1141*VLOOKUP($B1141,Premissas!$A$4:$E$7,4,0)+L1141*VLOOKUP($B1141,Premissas!$A$4:$E$7,5,0))</f>
        <v/>
      </c>
      <c r="N1141" s="14">
        <f>H1141-M1141</f>
        <v/>
      </c>
      <c r="O1141" t="inlineStr">
        <is>
          <t>Não</t>
        </is>
      </c>
      <c r="P1141" t="inlineStr">
        <is>
          <t>1.350</t>
        </is>
      </c>
    </row>
    <row r="1142">
      <c r="A1142" t="inlineStr">
        <is>
          <t>Antes de 2026</t>
        </is>
      </c>
      <c r="B1142" t="inlineStr">
        <is>
          <t>Frete de venda</t>
        </is>
      </c>
      <c r="C1142" t="inlineStr">
        <is>
          <t>Frete de venda (para clientes)</t>
        </is>
      </c>
      <c r="D1142" t="inlineStr">
        <is>
          <t>CT-e</t>
        </is>
      </c>
      <c r="E1142" t="inlineStr">
        <is>
          <t>000005508</t>
        </is>
      </c>
      <c r="F1142" t="inlineStr">
        <is>
          <t>R&amp;R TRANSPORTE E LOGISTICA</t>
        </is>
      </c>
      <c r="G1142" s="27" t="n">
        <v>45948</v>
      </c>
      <c r="H1142" s="14" t="n">
        <v>786</v>
      </c>
      <c r="I1142" s="14" t="n">
        <v>0</v>
      </c>
      <c r="J1142" s="14" t="n">
        <v>0</v>
      </c>
      <c r="K1142" s="14" t="n">
        <v>0</v>
      </c>
      <c r="L1142" s="14" t="n">
        <v>0</v>
      </c>
      <c r="M1142" s="14">
        <f>IF(B1142="Frete de venda",0,(1-ISNUMBER(SEARCH("556",P1142)))*(I1142*VLOOKUP($B1142,Premissas!$A$4:$E$7,2,0)+J1142*VLOOKUP($B1142,Premissas!$A$4:$E$7,3,0))+K1142*VLOOKUP($B1142,Premissas!$A$4:$E$7,4,0)+L1142*VLOOKUP($B1142,Premissas!$A$4:$E$7,5,0))</f>
        <v/>
      </c>
      <c r="N1142" s="14">
        <f>H1142-M1142</f>
        <v/>
      </c>
      <c r="O1142" t="inlineStr">
        <is>
          <t>Não</t>
        </is>
      </c>
      <c r="P1142" t="inlineStr">
        <is>
          <t>1.350</t>
        </is>
      </c>
    </row>
    <row r="1143">
      <c r="A1143" t="inlineStr">
        <is>
          <t>Antes de 2026</t>
        </is>
      </c>
      <c r="B1143" t="inlineStr">
        <is>
          <t>Frete de venda</t>
        </is>
      </c>
      <c r="C1143" t="inlineStr">
        <is>
          <t>Frete de venda (para clientes)</t>
        </is>
      </c>
      <c r="D1143" t="inlineStr">
        <is>
          <t>CT-e</t>
        </is>
      </c>
      <c r="E1143" t="inlineStr">
        <is>
          <t>000004769</t>
        </is>
      </c>
      <c r="F1143" t="inlineStr">
        <is>
          <t>R&amp;R TRANSPORTE E LOGISTICA</t>
        </is>
      </c>
      <c r="G1143" s="27" t="n">
        <v>45867</v>
      </c>
      <c r="H1143" s="14" t="n">
        <v>694.51</v>
      </c>
      <c r="I1143" s="14" t="n">
        <v>0</v>
      </c>
      <c r="J1143" s="14" t="n">
        <v>0</v>
      </c>
      <c r="K1143" s="14" t="n">
        <v>0</v>
      </c>
      <c r="L1143" s="14" t="n">
        <v>0</v>
      </c>
      <c r="M1143" s="14">
        <f>IF(B1143="Frete de venda",0,(1-ISNUMBER(SEARCH("556",P1143)))*(I1143*VLOOKUP($B1143,Premissas!$A$4:$E$7,2,0)+J1143*VLOOKUP($B1143,Premissas!$A$4:$E$7,3,0))+K1143*VLOOKUP($B1143,Premissas!$A$4:$E$7,4,0)+L1143*VLOOKUP($B1143,Premissas!$A$4:$E$7,5,0))</f>
        <v/>
      </c>
      <c r="N1143" s="14">
        <f>H1143-M1143</f>
        <v/>
      </c>
      <c r="O1143" t="inlineStr">
        <is>
          <t>Não</t>
        </is>
      </c>
      <c r="P1143" t="inlineStr">
        <is>
          <t>1.350</t>
        </is>
      </c>
    </row>
    <row r="1144">
      <c r="A1144" t="inlineStr">
        <is>
          <t>Antes de 2026</t>
        </is>
      </c>
      <c r="B1144" t="inlineStr">
        <is>
          <t>Frete de venda</t>
        </is>
      </c>
      <c r="C1144" t="inlineStr">
        <is>
          <t>Frete de venda (para clientes)</t>
        </is>
      </c>
      <c r="D1144" t="inlineStr">
        <is>
          <t>CT-e</t>
        </is>
      </c>
      <c r="E1144" t="inlineStr">
        <is>
          <t>000005466</t>
        </is>
      </c>
      <c r="F1144" t="inlineStr">
        <is>
          <t>R&amp;R TRANSPORTE E LOGISTICA</t>
        </is>
      </c>
      <c r="G1144" s="27" t="n">
        <v>45944</v>
      </c>
      <c r="H1144" s="14" t="n">
        <v>36.57</v>
      </c>
      <c r="I1144" s="14" t="n">
        <v>0</v>
      </c>
      <c r="J1144" s="14" t="n">
        <v>0</v>
      </c>
      <c r="K1144" s="14" t="n">
        <v>0</v>
      </c>
      <c r="L1144" s="14" t="n">
        <v>0</v>
      </c>
      <c r="M1144" s="14">
        <f>IF(B1144="Frete de venda",0,(1-ISNUMBER(SEARCH("556",P1144)))*(I1144*VLOOKUP($B1144,Premissas!$A$4:$E$7,2,0)+J1144*VLOOKUP($B1144,Premissas!$A$4:$E$7,3,0))+K1144*VLOOKUP($B1144,Premissas!$A$4:$E$7,4,0)+L1144*VLOOKUP($B1144,Premissas!$A$4:$E$7,5,0))</f>
        <v/>
      </c>
      <c r="N1144" s="14">
        <f>H1144-M1144</f>
        <v/>
      </c>
      <c r="O1144" t="inlineStr">
        <is>
          <t>Não</t>
        </is>
      </c>
      <c r="P1144" t="inlineStr">
        <is>
          <t>1.350</t>
        </is>
      </c>
    </row>
    <row r="1145">
      <c r="A1145" t="inlineStr">
        <is>
          <t>Antes de 2026</t>
        </is>
      </c>
      <c r="B1145" t="inlineStr">
        <is>
          <t>Frete de venda</t>
        </is>
      </c>
      <c r="C1145" t="inlineStr">
        <is>
          <t>Frete de venda (para clientes)</t>
        </is>
      </c>
      <c r="D1145" t="inlineStr">
        <is>
          <t>CT-e</t>
        </is>
      </c>
      <c r="E1145" t="inlineStr">
        <is>
          <t>000004545</t>
        </is>
      </c>
      <c r="F1145" t="inlineStr">
        <is>
          <t>R&amp;R TRANSPORTE E LOGISTICA</t>
        </is>
      </c>
      <c r="G1145" s="27" t="n">
        <v>45836</v>
      </c>
      <c r="H1145" s="14" t="n">
        <v>34.8</v>
      </c>
      <c r="I1145" s="14" t="n">
        <v>0</v>
      </c>
      <c r="J1145" s="14" t="n">
        <v>0</v>
      </c>
      <c r="K1145" s="14" t="n">
        <v>0</v>
      </c>
      <c r="L1145" s="14" t="n">
        <v>0</v>
      </c>
      <c r="M1145" s="14">
        <f>IF(B1145="Frete de venda",0,(1-ISNUMBER(SEARCH("556",P1145)))*(I1145*VLOOKUP($B1145,Premissas!$A$4:$E$7,2,0)+J1145*VLOOKUP($B1145,Premissas!$A$4:$E$7,3,0))+K1145*VLOOKUP($B1145,Premissas!$A$4:$E$7,4,0)+L1145*VLOOKUP($B1145,Premissas!$A$4:$E$7,5,0))</f>
        <v/>
      </c>
      <c r="N1145" s="14">
        <f>H1145-M1145</f>
        <v/>
      </c>
      <c r="O1145" t="inlineStr">
        <is>
          <t>Não</t>
        </is>
      </c>
      <c r="P1145" t="inlineStr">
        <is>
          <t>1.350</t>
        </is>
      </c>
    </row>
    <row r="1146">
      <c r="A1146" t="inlineStr">
        <is>
          <t>Antes de 2026</t>
        </is>
      </c>
      <c r="B1146" t="inlineStr">
        <is>
          <t>Frete de venda</t>
        </is>
      </c>
      <c r="C1146" t="inlineStr">
        <is>
          <t>Frete de venda (para clientes)</t>
        </is>
      </c>
      <c r="D1146" t="inlineStr">
        <is>
          <t>CT-e</t>
        </is>
      </c>
      <c r="E1146" t="inlineStr">
        <is>
          <t>000004538</t>
        </is>
      </c>
      <c r="F1146" t="inlineStr">
        <is>
          <t>R&amp;R TRANSPORTE E LOGISTICA</t>
        </is>
      </c>
      <c r="G1146" s="27" t="n">
        <v>45836</v>
      </c>
      <c r="H1146" s="14" t="n">
        <v>32</v>
      </c>
      <c r="I1146" s="14" t="n">
        <v>0</v>
      </c>
      <c r="J1146" s="14" t="n">
        <v>0</v>
      </c>
      <c r="K1146" s="14" t="n">
        <v>0</v>
      </c>
      <c r="L1146" s="14" t="n">
        <v>0</v>
      </c>
      <c r="M1146" s="14">
        <f>IF(B1146="Frete de venda",0,(1-ISNUMBER(SEARCH("556",P1146)))*(I1146*VLOOKUP($B1146,Premissas!$A$4:$E$7,2,0)+J1146*VLOOKUP($B1146,Premissas!$A$4:$E$7,3,0))+K1146*VLOOKUP($B1146,Premissas!$A$4:$E$7,4,0)+L1146*VLOOKUP($B1146,Premissas!$A$4:$E$7,5,0))</f>
        <v/>
      </c>
      <c r="N1146" s="14">
        <f>H1146-M1146</f>
        <v/>
      </c>
      <c r="O1146" t="inlineStr">
        <is>
          <t>Não</t>
        </is>
      </c>
      <c r="P1146" t="inlineStr">
        <is>
          <t>1.350</t>
        </is>
      </c>
    </row>
    <row r="1147">
      <c r="A1147" t="inlineStr">
        <is>
          <t>Antes de 2026</t>
        </is>
      </c>
      <c r="B1147" t="inlineStr">
        <is>
          <t>Frete de venda</t>
        </is>
      </c>
      <c r="C1147" t="inlineStr">
        <is>
          <t>Frete de venda (para clientes)</t>
        </is>
      </c>
      <c r="D1147" t="inlineStr">
        <is>
          <t>CT-e</t>
        </is>
      </c>
      <c r="E1147" t="inlineStr">
        <is>
          <t>000004867</t>
        </is>
      </c>
      <c r="F1147" t="inlineStr">
        <is>
          <t>R&amp;R TRANSPORTE E LOGISTICA</t>
        </is>
      </c>
      <c r="G1147" s="27" t="n">
        <v>45877</v>
      </c>
      <c r="H1147" s="14" t="n">
        <v>22.92</v>
      </c>
      <c r="I1147" s="14" t="n">
        <v>0</v>
      </c>
      <c r="J1147" s="14" t="n">
        <v>0</v>
      </c>
      <c r="K1147" s="14" t="n">
        <v>0</v>
      </c>
      <c r="L1147" s="14" t="n">
        <v>0</v>
      </c>
      <c r="M1147" s="14">
        <f>IF(B1147="Frete de venda",0,(1-ISNUMBER(SEARCH("556",P1147)))*(I1147*VLOOKUP($B1147,Premissas!$A$4:$E$7,2,0)+J1147*VLOOKUP($B1147,Premissas!$A$4:$E$7,3,0))+K1147*VLOOKUP($B1147,Premissas!$A$4:$E$7,4,0)+L1147*VLOOKUP($B1147,Premissas!$A$4:$E$7,5,0))</f>
        <v/>
      </c>
      <c r="N1147" s="14">
        <f>H1147-M1147</f>
        <v/>
      </c>
      <c r="O1147" t="inlineStr">
        <is>
          <t>Não</t>
        </is>
      </c>
      <c r="P1147" t="inlineStr">
        <is>
          <t>1.350</t>
        </is>
      </c>
    </row>
    <row r="1148">
      <c r="A1148" t="inlineStr">
        <is>
          <t>Antes de 2026</t>
        </is>
      </c>
      <c r="B1148" t="inlineStr">
        <is>
          <t>Frete de venda</t>
        </is>
      </c>
      <c r="C1148" t="inlineStr">
        <is>
          <t>Frete de venda (para clientes)</t>
        </is>
      </c>
      <c r="D1148" t="inlineStr">
        <is>
          <t>CT-e</t>
        </is>
      </c>
      <c r="E1148" t="inlineStr">
        <is>
          <t>000005924</t>
        </is>
      </c>
      <c r="F1148" t="inlineStr">
        <is>
          <t>R&amp;R TRANSPORTE E LOGISTICA</t>
        </is>
      </c>
      <c r="G1148" s="27" t="n">
        <v>45996</v>
      </c>
      <c r="H1148" s="14" t="n">
        <v>27.27</v>
      </c>
      <c r="I1148" s="14" t="n">
        <v>0</v>
      </c>
      <c r="J1148" s="14" t="n">
        <v>0</v>
      </c>
      <c r="K1148" s="14" t="n">
        <v>0</v>
      </c>
      <c r="L1148" s="14" t="n">
        <v>0</v>
      </c>
      <c r="M1148" s="14">
        <f>IF(B1148="Frete de venda",0,(1-ISNUMBER(SEARCH("556",P1148)))*(I1148*VLOOKUP($B1148,Premissas!$A$4:$E$7,2,0)+J1148*VLOOKUP($B1148,Premissas!$A$4:$E$7,3,0))+K1148*VLOOKUP($B1148,Premissas!$A$4:$E$7,4,0)+L1148*VLOOKUP($B1148,Premissas!$A$4:$E$7,5,0))</f>
        <v/>
      </c>
      <c r="N1148" s="14">
        <f>H1148-M1148</f>
        <v/>
      </c>
      <c r="O1148" t="inlineStr">
        <is>
          <t>Não</t>
        </is>
      </c>
      <c r="P1148" t="inlineStr">
        <is>
          <t>1.350</t>
        </is>
      </c>
    </row>
    <row r="1149">
      <c r="A1149" t="inlineStr">
        <is>
          <t>Antes de 2026</t>
        </is>
      </c>
      <c r="B1149" t="inlineStr">
        <is>
          <t>Frete de venda</t>
        </is>
      </c>
      <c r="C1149" t="inlineStr">
        <is>
          <t>Frete de venda (para clientes)</t>
        </is>
      </c>
      <c r="D1149" t="inlineStr">
        <is>
          <t>CT-e</t>
        </is>
      </c>
      <c r="E1149" t="inlineStr">
        <is>
          <t>000004439</t>
        </is>
      </c>
      <c r="F1149" t="inlineStr">
        <is>
          <t>R&amp;R TRANSPORTE E LOGISTICA</t>
        </is>
      </c>
      <c r="G1149" s="27" t="n">
        <v>45825</v>
      </c>
      <c r="H1149" s="14" t="n">
        <v>41.25</v>
      </c>
      <c r="I1149" s="14" t="n">
        <v>0</v>
      </c>
      <c r="J1149" s="14" t="n">
        <v>0</v>
      </c>
      <c r="K1149" s="14" t="n">
        <v>0</v>
      </c>
      <c r="L1149" s="14" t="n">
        <v>0</v>
      </c>
      <c r="M1149" s="14">
        <f>IF(B1149="Frete de venda",0,(1-ISNUMBER(SEARCH("556",P1149)))*(I1149*VLOOKUP($B1149,Premissas!$A$4:$E$7,2,0)+J1149*VLOOKUP($B1149,Premissas!$A$4:$E$7,3,0))+K1149*VLOOKUP($B1149,Premissas!$A$4:$E$7,4,0)+L1149*VLOOKUP($B1149,Premissas!$A$4:$E$7,5,0))</f>
        <v/>
      </c>
      <c r="N1149" s="14">
        <f>H1149-M1149</f>
        <v/>
      </c>
      <c r="O1149" t="inlineStr">
        <is>
          <t>Não</t>
        </is>
      </c>
      <c r="P1149" t="inlineStr">
        <is>
          <t>1.350</t>
        </is>
      </c>
    </row>
    <row r="1150">
      <c r="A1150" t="inlineStr">
        <is>
          <t>Antes de 2026</t>
        </is>
      </c>
      <c r="B1150" t="inlineStr">
        <is>
          <t>Frete de venda</t>
        </is>
      </c>
      <c r="C1150" t="inlineStr">
        <is>
          <t>Frete de venda (para clientes)</t>
        </is>
      </c>
      <c r="D1150" t="inlineStr">
        <is>
          <t>CT-e</t>
        </is>
      </c>
      <c r="E1150" t="inlineStr">
        <is>
          <t>000004311</t>
        </is>
      </c>
      <c r="F1150" t="inlineStr">
        <is>
          <t>R&amp;R TRANSPORTE E LOGISTICA</t>
        </is>
      </c>
      <c r="G1150" s="27" t="n">
        <v>45805</v>
      </c>
      <c r="H1150" s="14" t="n">
        <v>64.81999999999999</v>
      </c>
      <c r="I1150" s="14" t="n">
        <v>0</v>
      </c>
      <c r="J1150" s="14" t="n">
        <v>0</v>
      </c>
      <c r="K1150" s="14" t="n">
        <v>0</v>
      </c>
      <c r="L1150" s="14" t="n">
        <v>0</v>
      </c>
      <c r="M1150" s="14">
        <f>IF(B1150="Frete de venda",0,(1-ISNUMBER(SEARCH("556",P1150)))*(I1150*VLOOKUP($B1150,Premissas!$A$4:$E$7,2,0)+J1150*VLOOKUP($B1150,Premissas!$A$4:$E$7,3,0))+K1150*VLOOKUP($B1150,Premissas!$A$4:$E$7,4,0)+L1150*VLOOKUP($B1150,Premissas!$A$4:$E$7,5,0))</f>
        <v/>
      </c>
      <c r="N1150" s="14">
        <f>H1150-M1150</f>
        <v/>
      </c>
      <c r="O1150" t="inlineStr">
        <is>
          <t>Não</t>
        </is>
      </c>
      <c r="P1150" t="inlineStr">
        <is>
          <t>1.350</t>
        </is>
      </c>
    </row>
    <row r="1151">
      <c r="A1151" t="inlineStr">
        <is>
          <t>Antes de 2026</t>
        </is>
      </c>
      <c r="B1151" t="inlineStr">
        <is>
          <t>Frete de venda</t>
        </is>
      </c>
      <c r="C1151" t="inlineStr">
        <is>
          <t>Frete de venda (para clientes)</t>
        </is>
      </c>
      <c r="D1151" t="inlineStr">
        <is>
          <t>CT-e</t>
        </is>
      </c>
      <c r="E1151" t="inlineStr">
        <is>
          <t>000004479</t>
        </is>
      </c>
      <c r="F1151" t="inlineStr">
        <is>
          <t>R&amp;R TRANSPORTE E LOGISTICA</t>
        </is>
      </c>
      <c r="G1151" s="27" t="n">
        <v>45831</v>
      </c>
      <c r="H1151" s="14" t="n">
        <v>47.05</v>
      </c>
      <c r="I1151" s="14" t="n">
        <v>0</v>
      </c>
      <c r="J1151" s="14" t="n">
        <v>0</v>
      </c>
      <c r="K1151" s="14" t="n">
        <v>0</v>
      </c>
      <c r="L1151" s="14" t="n">
        <v>0</v>
      </c>
      <c r="M1151" s="14">
        <f>IF(B1151="Frete de venda",0,(1-ISNUMBER(SEARCH("556",P1151)))*(I1151*VLOOKUP($B1151,Premissas!$A$4:$E$7,2,0)+J1151*VLOOKUP($B1151,Premissas!$A$4:$E$7,3,0))+K1151*VLOOKUP($B1151,Premissas!$A$4:$E$7,4,0)+L1151*VLOOKUP($B1151,Premissas!$A$4:$E$7,5,0))</f>
        <v/>
      </c>
      <c r="N1151" s="14">
        <f>H1151-M1151</f>
        <v/>
      </c>
      <c r="O1151" t="inlineStr">
        <is>
          <t>Não</t>
        </is>
      </c>
      <c r="P1151" t="inlineStr">
        <is>
          <t>1.350</t>
        </is>
      </c>
    </row>
    <row r="1152">
      <c r="A1152" t="inlineStr">
        <is>
          <t>Antes de 2026</t>
        </is>
      </c>
      <c r="B1152" t="inlineStr">
        <is>
          <t>Frete de venda</t>
        </is>
      </c>
      <c r="C1152" t="inlineStr">
        <is>
          <t>Frete de venda (para clientes)</t>
        </is>
      </c>
      <c r="D1152" t="inlineStr">
        <is>
          <t>CT-e</t>
        </is>
      </c>
      <c r="E1152" t="inlineStr">
        <is>
          <t>000004866</t>
        </is>
      </c>
      <c r="F1152" t="inlineStr">
        <is>
          <t>R&amp;R TRANSPORTE E LOGISTICA</t>
        </is>
      </c>
      <c r="G1152" s="27" t="n">
        <v>45877</v>
      </c>
      <c r="H1152" s="14" t="n">
        <v>116.41</v>
      </c>
      <c r="I1152" s="14" t="n">
        <v>0</v>
      </c>
      <c r="J1152" s="14" t="n">
        <v>0</v>
      </c>
      <c r="K1152" s="14" t="n">
        <v>0</v>
      </c>
      <c r="L1152" s="14" t="n">
        <v>0</v>
      </c>
      <c r="M1152" s="14">
        <f>IF(B1152="Frete de venda",0,(1-ISNUMBER(SEARCH("556",P1152)))*(I1152*VLOOKUP($B1152,Premissas!$A$4:$E$7,2,0)+J1152*VLOOKUP($B1152,Premissas!$A$4:$E$7,3,0))+K1152*VLOOKUP($B1152,Premissas!$A$4:$E$7,4,0)+L1152*VLOOKUP($B1152,Premissas!$A$4:$E$7,5,0))</f>
        <v/>
      </c>
      <c r="N1152" s="14">
        <f>H1152-M1152</f>
        <v/>
      </c>
      <c r="O1152" t="inlineStr">
        <is>
          <t>Não</t>
        </is>
      </c>
      <c r="P1152" t="inlineStr">
        <is>
          <t>1.350</t>
        </is>
      </c>
    </row>
    <row r="1153">
      <c r="A1153" t="inlineStr">
        <is>
          <t>Antes de 2026</t>
        </is>
      </c>
      <c r="B1153" t="inlineStr">
        <is>
          <t>Frete de venda</t>
        </is>
      </c>
      <c r="C1153" t="inlineStr">
        <is>
          <t>Frete de venda (para clientes)</t>
        </is>
      </c>
      <c r="D1153" t="inlineStr">
        <is>
          <t>CT-e</t>
        </is>
      </c>
      <c r="E1153" t="inlineStr">
        <is>
          <t>000005499</t>
        </is>
      </c>
      <c r="F1153" t="inlineStr">
        <is>
          <t>R&amp;R TRANSPORTE E LOGISTICA</t>
        </is>
      </c>
      <c r="G1153" s="27" t="n">
        <v>45947</v>
      </c>
      <c r="H1153" s="14" t="n">
        <v>78.34</v>
      </c>
      <c r="I1153" s="14" t="n">
        <v>0</v>
      </c>
      <c r="J1153" s="14" t="n">
        <v>0</v>
      </c>
      <c r="K1153" s="14" t="n">
        <v>0</v>
      </c>
      <c r="L1153" s="14" t="n">
        <v>0</v>
      </c>
      <c r="M1153" s="14">
        <f>IF(B1153="Frete de venda",0,(1-ISNUMBER(SEARCH("556",P1153)))*(I1153*VLOOKUP($B1153,Premissas!$A$4:$E$7,2,0)+J1153*VLOOKUP($B1153,Premissas!$A$4:$E$7,3,0))+K1153*VLOOKUP($B1153,Premissas!$A$4:$E$7,4,0)+L1153*VLOOKUP($B1153,Premissas!$A$4:$E$7,5,0))</f>
        <v/>
      </c>
      <c r="N1153" s="14">
        <f>H1153-M1153</f>
        <v/>
      </c>
      <c r="O1153" t="inlineStr">
        <is>
          <t>Não</t>
        </is>
      </c>
      <c r="P1153" t="inlineStr">
        <is>
          <t>1.350</t>
        </is>
      </c>
    </row>
    <row r="1154">
      <c r="A1154" t="inlineStr">
        <is>
          <t>Antes de 2026</t>
        </is>
      </c>
      <c r="B1154" t="inlineStr">
        <is>
          <t>Frete de venda</t>
        </is>
      </c>
      <c r="C1154" t="inlineStr">
        <is>
          <t>Frete de venda (para clientes)</t>
        </is>
      </c>
      <c r="D1154" t="inlineStr">
        <is>
          <t>CT-e</t>
        </is>
      </c>
      <c r="E1154" t="inlineStr">
        <is>
          <t>000005930</t>
        </is>
      </c>
      <c r="F1154" t="inlineStr">
        <is>
          <t>R&amp;R TRANSPORTE E LOGISTICA</t>
        </is>
      </c>
      <c r="G1154" s="27" t="n">
        <v>45996</v>
      </c>
      <c r="H1154" s="14" t="n">
        <v>77.59</v>
      </c>
      <c r="I1154" s="14" t="n">
        <v>0</v>
      </c>
      <c r="J1154" s="14" t="n">
        <v>0</v>
      </c>
      <c r="K1154" s="14" t="n">
        <v>0</v>
      </c>
      <c r="L1154" s="14" t="n">
        <v>0</v>
      </c>
      <c r="M1154" s="14">
        <f>IF(B1154="Frete de venda",0,(1-ISNUMBER(SEARCH("556",P1154)))*(I1154*VLOOKUP($B1154,Premissas!$A$4:$E$7,2,0)+J1154*VLOOKUP($B1154,Premissas!$A$4:$E$7,3,0))+K1154*VLOOKUP($B1154,Premissas!$A$4:$E$7,4,0)+L1154*VLOOKUP($B1154,Premissas!$A$4:$E$7,5,0))</f>
        <v/>
      </c>
      <c r="N1154" s="14">
        <f>H1154-M1154</f>
        <v/>
      </c>
      <c r="O1154" t="inlineStr">
        <is>
          <t>Não</t>
        </is>
      </c>
      <c r="P1154" t="inlineStr">
        <is>
          <t>1.350</t>
        </is>
      </c>
    </row>
    <row r="1155">
      <c r="A1155" t="inlineStr">
        <is>
          <t>Antes de 2026</t>
        </is>
      </c>
      <c r="B1155" t="inlineStr">
        <is>
          <t>Frete de venda</t>
        </is>
      </c>
      <c r="C1155" t="inlineStr">
        <is>
          <t>Frete de venda (para clientes)</t>
        </is>
      </c>
      <c r="D1155" t="inlineStr">
        <is>
          <t>CT-e</t>
        </is>
      </c>
      <c r="E1155" t="inlineStr">
        <is>
          <t>001394759</t>
        </is>
      </c>
      <c r="F1155" t="inlineStr">
        <is>
          <t>PICCOLI TRANSPORTES LTDA</t>
        </is>
      </c>
      <c r="G1155" s="27" t="n">
        <v>46007</v>
      </c>
      <c r="H1155" s="14" t="n">
        <v>645.16</v>
      </c>
      <c r="I1155" s="14" t="n">
        <v>0</v>
      </c>
      <c r="J1155" s="14" t="n">
        <v>45.16</v>
      </c>
      <c r="K1155" s="14" t="n">
        <v>0</v>
      </c>
      <c r="L1155" s="14" t="n">
        <v>0</v>
      </c>
      <c r="M1155" s="14">
        <f>IF(B1155="Frete de venda",0,(1-ISNUMBER(SEARCH("556",P1155)))*(I1155*VLOOKUP($B1155,Premissas!$A$4:$E$7,2,0)+J1155*VLOOKUP($B1155,Premissas!$A$4:$E$7,3,0))+K1155*VLOOKUP($B1155,Premissas!$A$4:$E$7,4,0)+L1155*VLOOKUP($B1155,Premissas!$A$4:$E$7,5,0))</f>
        <v/>
      </c>
      <c r="N1155" s="14">
        <f>H1155-M1155</f>
        <v/>
      </c>
      <c r="O1155" t="inlineStr">
        <is>
          <t>Sim</t>
        </is>
      </c>
      <c r="P1155" t="inlineStr">
        <is>
          <t>1.350</t>
        </is>
      </c>
    </row>
    <row r="1156">
      <c r="A1156" t="inlineStr">
        <is>
          <t>Antes de 2026</t>
        </is>
      </c>
      <c r="B1156" t="inlineStr">
        <is>
          <t>Frete de venda</t>
        </is>
      </c>
      <c r="C1156" t="inlineStr">
        <is>
          <t>Frete de venda (para clientes)</t>
        </is>
      </c>
      <c r="D1156" t="inlineStr">
        <is>
          <t>CT-e</t>
        </is>
      </c>
      <c r="E1156" t="inlineStr">
        <is>
          <t>000004932</t>
        </is>
      </c>
      <c r="F1156" t="inlineStr">
        <is>
          <t>R&amp;R TRANSPORTE E LOGISTICA</t>
        </is>
      </c>
      <c r="G1156" s="27" t="n">
        <v>45884</v>
      </c>
      <c r="H1156" s="14" t="n">
        <v>17.54</v>
      </c>
      <c r="I1156" s="14" t="n">
        <v>0</v>
      </c>
      <c r="J1156" s="14" t="n">
        <v>0</v>
      </c>
      <c r="K1156" s="14" t="n">
        <v>0</v>
      </c>
      <c r="L1156" s="14" t="n">
        <v>0</v>
      </c>
      <c r="M1156" s="14">
        <f>IF(B1156="Frete de venda",0,(1-ISNUMBER(SEARCH("556",P1156)))*(I1156*VLOOKUP($B1156,Premissas!$A$4:$E$7,2,0)+J1156*VLOOKUP($B1156,Premissas!$A$4:$E$7,3,0))+K1156*VLOOKUP($B1156,Premissas!$A$4:$E$7,4,0)+L1156*VLOOKUP($B1156,Premissas!$A$4:$E$7,5,0))</f>
        <v/>
      </c>
      <c r="N1156" s="14">
        <f>H1156-M1156</f>
        <v/>
      </c>
      <c r="O1156" t="inlineStr">
        <is>
          <t>Não</t>
        </is>
      </c>
      <c r="P1156" t="inlineStr">
        <is>
          <t>1.350</t>
        </is>
      </c>
    </row>
    <row r="1157">
      <c r="A1157" t="inlineStr">
        <is>
          <t>Antes de 2026</t>
        </is>
      </c>
      <c r="B1157" t="inlineStr">
        <is>
          <t>Frete de venda</t>
        </is>
      </c>
      <c r="C1157" t="inlineStr">
        <is>
          <t>Frete de venda (para clientes)</t>
        </is>
      </c>
      <c r="D1157" t="inlineStr">
        <is>
          <t>CT-e</t>
        </is>
      </c>
      <c r="E1157" t="inlineStr">
        <is>
          <t>000005775</t>
        </is>
      </c>
      <c r="F1157" t="inlineStr">
        <is>
          <t>R&amp;R TRANSPORTE E LOGISTICA</t>
        </is>
      </c>
      <c r="G1157" s="27" t="n">
        <v>45981</v>
      </c>
      <c r="H1157" s="14" t="n">
        <v>13.89</v>
      </c>
      <c r="I1157" s="14" t="n">
        <v>0</v>
      </c>
      <c r="J1157" s="14" t="n">
        <v>0</v>
      </c>
      <c r="K1157" s="14" t="n">
        <v>0</v>
      </c>
      <c r="L1157" s="14" t="n">
        <v>0</v>
      </c>
      <c r="M1157" s="14">
        <f>IF(B1157="Frete de venda",0,(1-ISNUMBER(SEARCH("556",P1157)))*(I1157*VLOOKUP($B1157,Premissas!$A$4:$E$7,2,0)+J1157*VLOOKUP($B1157,Premissas!$A$4:$E$7,3,0))+K1157*VLOOKUP($B1157,Premissas!$A$4:$E$7,4,0)+L1157*VLOOKUP($B1157,Premissas!$A$4:$E$7,5,0))</f>
        <v/>
      </c>
      <c r="N1157" s="14">
        <f>H1157-M1157</f>
        <v/>
      </c>
      <c r="O1157" t="inlineStr">
        <is>
          <t>Não</t>
        </is>
      </c>
      <c r="P1157" t="inlineStr">
        <is>
          <t>1.350</t>
        </is>
      </c>
    </row>
    <row r="1158">
      <c r="A1158" t="inlineStr">
        <is>
          <t>Antes de 2026</t>
        </is>
      </c>
      <c r="B1158" t="inlineStr">
        <is>
          <t>Frete de venda</t>
        </is>
      </c>
      <c r="C1158" t="inlineStr">
        <is>
          <t>Frete de venda (para clientes)</t>
        </is>
      </c>
      <c r="D1158" t="inlineStr">
        <is>
          <t>CT-e</t>
        </is>
      </c>
      <c r="E1158" t="inlineStr">
        <is>
          <t>000004901</t>
        </is>
      </c>
      <c r="F1158" t="inlineStr">
        <is>
          <t>R&amp;R TRANSPORTE E LOGISTICA</t>
        </is>
      </c>
      <c r="G1158" s="27" t="n">
        <v>45881</v>
      </c>
      <c r="H1158" s="14" t="n">
        <v>29.42</v>
      </c>
      <c r="I1158" s="14" t="n">
        <v>0</v>
      </c>
      <c r="J1158" s="14" t="n">
        <v>0</v>
      </c>
      <c r="K1158" s="14" t="n">
        <v>0</v>
      </c>
      <c r="L1158" s="14" t="n">
        <v>0</v>
      </c>
      <c r="M1158" s="14">
        <f>IF(B1158="Frete de venda",0,(1-ISNUMBER(SEARCH("556",P1158)))*(I1158*VLOOKUP($B1158,Premissas!$A$4:$E$7,2,0)+J1158*VLOOKUP($B1158,Premissas!$A$4:$E$7,3,0))+K1158*VLOOKUP($B1158,Premissas!$A$4:$E$7,4,0)+L1158*VLOOKUP($B1158,Premissas!$A$4:$E$7,5,0))</f>
        <v/>
      </c>
      <c r="N1158" s="14">
        <f>H1158-M1158</f>
        <v/>
      </c>
      <c r="O1158" t="inlineStr">
        <is>
          <t>Não</t>
        </is>
      </c>
      <c r="P1158" t="inlineStr">
        <is>
          <t>1.350</t>
        </is>
      </c>
    </row>
    <row r="1159">
      <c r="A1159" t="inlineStr">
        <is>
          <t>Antes de 2026</t>
        </is>
      </c>
      <c r="B1159" t="inlineStr">
        <is>
          <t>Frete de venda</t>
        </is>
      </c>
      <c r="C1159" t="inlineStr">
        <is>
          <t>Frete de venda (para clientes)</t>
        </is>
      </c>
      <c r="D1159" t="inlineStr">
        <is>
          <t>CT-e</t>
        </is>
      </c>
      <c r="E1159" t="inlineStr">
        <is>
          <t>000005134</t>
        </is>
      </c>
      <c r="F1159" t="inlineStr">
        <is>
          <t>R&amp;R TRANSPORTE E LOGISTICA</t>
        </is>
      </c>
      <c r="G1159" s="27" t="n">
        <v>45908</v>
      </c>
      <c r="H1159" s="14" t="n">
        <v>20.73</v>
      </c>
      <c r="I1159" s="14" t="n">
        <v>0</v>
      </c>
      <c r="J1159" s="14" t="n">
        <v>0</v>
      </c>
      <c r="K1159" s="14" t="n">
        <v>0</v>
      </c>
      <c r="L1159" s="14" t="n">
        <v>0</v>
      </c>
      <c r="M1159" s="14">
        <f>IF(B1159="Frete de venda",0,(1-ISNUMBER(SEARCH("556",P1159)))*(I1159*VLOOKUP($B1159,Premissas!$A$4:$E$7,2,0)+J1159*VLOOKUP($B1159,Premissas!$A$4:$E$7,3,0))+K1159*VLOOKUP($B1159,Premissas!$A$4:$E$7,4,0)+L1159*VLOOKUP($B1159,Premissas!$A$4:$E$7,5,0))</f>
        <v/>
      </c>
      <c r="N1159" s="14">
        <f>H1159-M1159</f>
        <v/>
      </c>
      <c r="O1159" t="inlineStr">
        <is>
          <t>Não</t>
        </is>
      </c>
      <c r="P1159" t="inlineStr">
        <is>
          <t>1.350</t>
        </is>
      </c>
    </row>
    <row r="1160">
      <c r="A1160" t="inlineStr">
        <is>
          <t>Antes de 2026</t>
        </is>
      </c>
      <c r="B1160" t="inlineStr">
        <is>
          <t>Frete de venda</t>
        </is>
      </c>
      <c r="C1160" t="inlineStr">
        <is>
          <t>Frete de venda (para clientes)</t>
        </is>
      </c>
      <c r="D1160" t="inlineStr">
        <is>
          <t>CT-e</t>
        </is>
      </c>
      <c r="E1160" t="inlineStr">
        <is>
          <t>000004525</t>
        </is>
      </c>
      <c r="F1160" t="inlineStr">
        <is>
          <t>R&amp;R TRANSPORTE E LOGISTICA</t>
        </is>
      </c>
      <c r="G1160" s="27" t="n">
        <v>45835</v>
      </c>
      <c r="H1160" s="14" t="n">
        <v>28.43</v>
      </c>
      <c r="I1160" s="14" t="n">
        <v>0</v>
      </c>
      <c r="J1160" s="14" t="n">
        <v>0</v>
      </c>
      <c r="K1160" s="14" t="n">
        <v>0</v>
      </c>
      <c r="L1160" s="14" t="n">
        <v>0</v>
      </c>
      <c r="M1160" s="14">
        <f>IF(B1160="Frete de venda",0,(1-ISNUMBER(SEARCH("556",P1160)))*(I1160*VLOOKUP($B1160,Premissas!$A$4:$E$7,2,0)+J1160*VLOOKUP($B1160,Premissas!$A$4:$E$7,3,0))+K1160*VLOOKUP($B1160,Premissas!$A$4:$E$7,4,0)+L1160*VLOOKUP($B1160,Premissas!$A$4:$E$7,5,0))</f>
        <v/>
      </c>
      <c r="N1160" s="14">
        <f>H1160-M1160</f>
        <v/>
      </c>
      <c r="O1160" t="inlineStr">
        <is>
          <t>Não</t>
        </is>
      </c>
      <c r="P1160" t="inlineStr">
        <is>
          <t>1.350</t>
        </is>
      </c>
    </row>
    <row r="1161">
      <c r="A1161" t="inlineStr">
        <is>
          <t>Antes de 2026</t>
        </is>
      </c>
      <c r="B1161" t="inlineStr">
        <is>
          <t>Frete de venda</t>
        </is>
      </c>
      <c r="C1161" t="inlineStr">
        <is>
          <t>Frete de venda (para clientes)</t>
        </is>
      </c>
      <c r="D1161" t="inlineStr">
        <is>
          <t>CT-e</t>
        </is>
      </c>
      <c r="E1161" t="inlineStr">
        <is>
          <t>000004928</t>
        </is>
      </c>
      <c r="F1161" t="inlineStr">
        <is>
          <t>R&amp;R TRANSPORTE E LOGISTICA</t>
        </is>
      </c>
      <c r="G1161" s="27" t="n">
        <v>45884</v>
      </c>
      <c r="H1161" s="14" t="n">
        <v>23.07</v>
      </c>
      <c r="I1161" s="14" t="n">
        <v>0</v>
      </c>
      <c r="J1161" s="14" t="n">
        <v>0</v>
      </c>
      <c r="K1161" s="14" t="n">
        <v>0</v>
      </c>
      <c r="L1161" s="14" t="n">
        <v>0</v>
      </c>
      <c r="M1161" s="14">
        <f>IF(B1161="Frete de venda",0,(1-ISNUMBER(SEARCH("556",P1161)))*(I1161*VLOOKUP($B1161,Premissas!$A$4:$E$7,2,0)+J1161*VLOOKUP($B1161,Premissas!$A$4:$E$7,3,0))+K1161*VLOOKUP($B1161,Premissas!$A$4:$E$7,4,0)+L1161*VLOOKUP($B1161,Premissas!$A$4:$E$7,5,0))</f>
        <v/>
      </c>
      <c r="N1161" s="14">
        <f>H1161-M1161</f>
        <v/>
      </c>
      <c r="O1161" t="inlineStr">
        <is>
          <t>Não</t>
        </is>
      </c>
      <c r="P1161" t="inlineStr">
        <is>
          <t>1.350</t>
        </is>
      </c>
    </row>
    <row r="1162">
      <c r="A1162" t="inlineStr">
        <is>
          <t>Antes de 2026</t>
        </is>
      </c>
      <c r="B1162" t="inlineStr">
        <is>
          <t>Frete de venda</t>
        </is>
      </c>
      <c r="C1162" t="inlineStr">
        <is>
          <t>Frete de venda (para clientes)</t>
        </is>
      </c>
      <c r="D1162" t="inlineStr">
        <is>
          <t>CT-e</t>
        </is>
      </c>
      <c r="E1162" t="inlineStr">
        <is>
          <t>000005067</t>
        </is>
      </c>
      <c r="F1162" t="inlineStr">
        <is>
          <t>R&amp;R TRANSPORTE E LOGISTICA</t>
        </is>
      </c>
      <c r="G1162" s="27" t="n">
        <v>45897</v>
      </c>
      <c r="H1162" s="14" t="n">
        <v>25.02</v>
      </c>
      <c r="I1162" s="14" t="n">
        <v>0</v>
      </c>
      <c r="J1162" s="14" t="n">
        <v>0</v>
      </c>
      <c r="K1162" s="14" t="n">
        <v>0</v>
      </c>
      <c r="L1162" s="14" t="n">
        <v>0</v>
      </c>
      <c r="M1162" s="14">
        <f>IF(B1162="Frete de venda",0,(1-ISNUMBER(SEARCH("556",P1162)))*(I1162*VLOOKUP($B1162,Premissas!$A$4:$E$7,2,0)+J1162*VLOOKUP($B1162,Premissas!$A$4:$E$7,3,0))+K1162*VLOOKUP($B1162,Premissas!$A$4:$E$7,4,0)+L1162*VLOOKUP($B1162,Premissas!$A$4:$E$7,5,0))</f>
        <v/>
      </c>
      <c r="N1162" s="14">
        <f>H1162-M1162</f>
        <v/>
      </c>
      <c r="O1162" t="inlineStr">
        <is>
          <t>Não</t>
        </is>
      </c>
      <c r="P1162" t="inlineStr">
        <is>
          <t>1.350</t>
        </is>
      </c>
    </row>
    <row r="1163">
      <c r="A1163" t="inlineStr">
        <is>
          <t>Antes de 2026</t>
        </is>
      </c>
      <c r="B1163" t="inlineStr">
        <is>
          <t>Frete de venda</t>
        </is>
      </c>
      <c r="C1163" t="inlineStr">
        <is>
          <t>Frete de venda (para clientes)</t>
        </is>
      </c>
      <c r="D1163" t="inlineStr">
        <is>
          <t>CT-e</t>
        </is>
      </c>
      <c r="E1163" t="inlineStr">
        <is>
          <t>000005384</t>
        </is>
      </c>
      <c r="F1163" t="inlineStr">
        <is>
          <t>R&amp;R TRANSPORTE E LOGISTICA</t>
        </is>
      </c>
      <c r="G1163" s="27" t="n">
        <v>45932</v>
      </c>
      <c r="H1163" s="14" t="n">
        <v>37.18</v>
      </c>
      <c r="I1163" s="14" t="n">
        <v>0</v>
      </c>
      <c r="J1163" s="14" t="n">
        <v>0</v>
      </c>
      <c r="K1163" s="14" t="n">
        <v>0</v>
      </c>
      <c r="L1163" s="14" t="n">
        <v>0</v>
      </c>
      <c r="M1163" s="14">
        <f>IF(B1163="Frete de venda",0,(1-ISNUMBER(SEARCH("556",P1163)))*(I1163*VLOOKUP($B1163,Premissas!$A$4:$E$7,2,0)+J1163*VLOOKUP($B1163,Premissas!$A$4:$E$7,3,0))+K1163*VLOOKUP($B1163,Premissas!$A$4:$E$7,4,0)+L1163*VLOOKUP($B1163,Premissas!$A$4:$E$7,5,0))</f>
        <v/>
      </c>
      <c r="N1163" s="14">
        <f>H1163-M1163</f>
        <v/>
      </c>
      <c r="O1163" t="inlineStr">
        <is>
          <t>Não</t>
        </is>
      </c>
      <c r="P1163" t="inlineStr">
        <is>
          <t>1.350</t>
        </is>
      </c>
    </row>
    <row r="1164">
      <c r="A1164" t="inlineStr">
        <is>
          <t>Antes de 2026</t>
        </is>
      </c>
      <c r="B1164" t="inlineStr">
        <is>
          <t>Frete de venda</t>
        </is>
      </c>
      <c r="C1164" t="inlineStr">
        <is>
          <t>Frete de venda (para clientes)</t>
        </is>
      </c>
      <c r="D1164" t="inlineStr">
        <is>
          <t>CT-e</t>
        </is>
      </c>
      <c r="E1164" t="inlineStr">
        <is>
          <t>000005773</t>
        </is>
      </c>
      <c r="F1164" t="inlineStr">
        <is>
          <t>R&amp;R TRANSPORTE E LOGISTICA</t>
        </is>
      </c>
      <c r="G1164" s="27" t="n">
        <v>45981</v>
      </c>
      <c r="H1164" s="14" t="n">
        <v>21.37</v>
      </c>
      <c r="I1164" s="14" t="n">
        <v>0</v>
      </c>
      <c r="J1164" s="14" t="n">
        <v>0</v>
      </c>
      <c r="K1164" s="14" t="n">
        <v>0</v>
      </c>
      <c r="L1164" s="14" t="n">
        <v>0</v>
      </c>
      <c r="M1164" s="14">
        <f>IF(B1164="Frete de venda",0,(1-ISNUMBER(SEARCH("556",P1164)))*(I1164*VLOOKUP($B1164,Premissas!$A$4:$E$7,2,0)+J1164*VLOOKUP($B1164,Premissas!$A$4:$E$7,3,0))+K1164*VLOOKUP($B1164,Premissas!$A$4:$E$7,4,0)+L1164*VLOOKUP($B1164,Premissas!$A$4:$E$7,5,0))</f>
        <v/>
      </c>
      <c r="N1164" s="14">
        <f>H1164-M1164</f>
        <v/>
      </c>
      <c r="O1164" t="inlineStr">
        <is>
          <t>Não</t>
        </is>
      </c>
      <c r="P1164" t="inlineStr">
        <is>
          <t>1.350</t>
        </is>
      </c>
    </row>
    <row r="1165">
      <c r="A1165" t="inlineStr">
        <is>
          <t>Antes de 2026</t>
        </is>
      </c>
      <c r="B1165" t="inlineStr">
        <is>
          <t>Frete de venda</t>
        </is>
      </c>
      <c r="C1165" t="inlineStr">
        <is>
          <t>Frete de venda (para clientes)</t>
        </is>
      </c>
      <c r="D1165" t="inlineStr">
        <is>
          <t>CT-e</t>
        </is>
      </c>
      <c r="E1165" t="inlineStr">
        <is>
          <t>000004814</t>
        </is>
      </c>
      <c r="F1165" t="inlineStr">
        <is>
          <t>R&amp;R TRANSPORTE E LOGISTICA</t>
        </is>
      </c>
      <c r="G1165" s="27" t="n">
        <v>45870</v>
      </c>
      <c r="H1165" s="14" t="n">
        <v>22.42</v>
      </c>
      <c r="I1165" s="14" t="n">
        <v>0</v>
      </c>
      <c r="J1165" s="14" t="n">
        <v>0</v>
      </c>
      <c r="K1165" s="14" t="n">
        <v>0</v>
      </c>
      <c r="L1165" s="14" t="n">
        <v>0</v>
      </c>
      <c r="M1165" s="14">
        <f>IF(B1165="Frete de venda",0,(1-ISNUMBER(SEARCH("556",P1165)))*(I1165*VLOOKUP($B1165,Premissas!$A$4:$E$7,2,0)+J1165*VLOOKUP($B1165,Premissas!$A$4:$E$7,3,0))+K1165*VLOOKUP($B1165,Premissas!$A$4:$E$7,4,0)+L1165*VLOOKUP($B1165,Premissas!$A$4:$E$7,5,0))</f>
        <v/>
      </c>
      <c r="N1165" s="14">
        <f>H1165-M1165</f>
        <v/>
      </c>
      <c r="O1165" t="inlineStr">
        <is>
          <t>Não</t>
        </is>
      </c>
      <c r="P1165" t="inlineStr">
        <is>
          <t>1.350</t>
        </is>
      </c>
    </row>
    <row r="1166">
      <c r="A1166" t="inlineStr">
        <is>
          <t>Antes de 2026</t>
        </is>
      </c>
      <c r="B1166" t="inlineStr">
        <is>
          <t>Frete de venda</t>
        </is>
      </c>
      <c r="C1166" t="inlineStr">
        <is>
          <t>Frete de venda (para clientes)</t>
        </is>
      </c>
      <c r="D1166" t="inlineStr">
        <is>
          <t>CT-e</t>
        </is>
      </c>
      <c r="E1166" t="inlineStr">
        <is>
          <t>000005893</t>
        </is>
      </c>
      <c r="F1166" t="inlineStr">
        <is>
          <t>R&amp;R TRANSPORTE E LOGISTICA</t>
        </is>
      </c>
      <c r="G1166" s="27" t="n">
        <v>45993</v>
      </c>
      <c r="H1166" s="14" t="n">
        <v>45.81</v>
      </c>
      <c r="I1166" s="14" t="n">
        <v>0</v>
      </c>
      <c r="J1166" s="14" t="n">
        <v>0</v>
      </c>
      <c r="K1166" s="14" t="n">
        <v>0</v>
      </c>
      <c r="L1166" s="14" t="n">
        <v>0</v>
      </c>
      <c r="M1166" s="14">
        <f>IF(B1166="Frete de venda",0,(1-ISNUMBER(SEARCH("556",P1166)))*(I1166*VLOOKUP($B1166,Premissas!$A$4:$E$7,2,0)+J1166*VLOOKUP($B1166,Premissas!$A$4:$E$7,3,0))+K1166*VLOOKUP($B1166,Premissas!$A$4:$E$7,4,0)+L1166*VLOOKUP($B1166,Premissas!$A$4:$E$7,5,0))</f>
        <v/>
      </c>
      <c r="N1166" s="14">
        <f>H1166-M1166</f>
        <v/>
      </c>
      <c r="O1166" t="inlineStr">
        <is>
          <t>Não</t>
        </is>
      </c>
      <c r="P1166" t="inlineStr">
        <is>
          <t>1.350</t>
        </is>
      </c>
    </row>
    <row r="1167">
      <c r="A1167" t="inlineStr">
        <is>
          <t>Antes de 2026</t>
        </is>
      </c>
      <c r="B1167" t="inlineStr">
        <is>
          <t>Frete de venda</t>
        </is>
      </c>
      <c r="C1167" t="inlineStr">
        <is>
          <t>Frete de venda (para clientes)</t>
        </is>
      </c>
      <c r="D1167" t="inlineStr">
        <is>
          <t>CT-e</t>
        </is>
      </c>
      <c r="E1167" t="inlineStr">
        <is>
          <t>000005530</t>
        </is>
      </c>
      <c r="F1167" t="inlineStr">
        <is>
          <t>R&amp;R TRANSPORTE E LOGISTICA</t>
        </is>
      </c>
      <c r="G1167" s="27" t="n">
        <v>45953</v>
      </c>
      <c r="H1167" s="14" t="n">
        <v>40.84</v>
      </c>
      <c r="I1167" s="14" t="n">
        <v>0</v>
      </c>
      <c r="J1167" s="14" t="n">
        <v>0</v>
      </c>
      <c r="K1167" s="14" t="n">
        <v>0</v>
      </c>
      <c r="L1167" s="14" t="n">
        <v>0</v>
      </c>
      <c r="M1167" s="14">
        <f>IF(B1167="Frete de venda",0,(1-ISNUMBER(SEARCH("556",P1167)))*(I1167*VLOOKUP($B1167,Premissas!$A$4:$E$7,2,0)+J1167*VLOOKUP($B1167,Premissas!$A$4:$E$7,3,0))+K1167*VLOOKUP($B1167,Premissas!$A$4:$E$7,4,0)+L1167*VLOOKUP($B1167,Premissas!$A$4:$E$7,5,0))</f>
        <v/>
      </c>
      <c r="N1167" s="14">
        <f>H1167-M1167</f>
        <v/>
      </c>
      <c r="O1167" t="inlineStr">
        <is>
          <t>Não</t>
        </is>
      </c>
      <c r="P1167" t="inlineStr">
        <is>
          <t>1.350</t>
        </is>
      </c>
    </row>
    <row r="1168">
      <c r="A1168" t="inlineStr">
        <is>
          <t>Antes de 2026</t>
        </is>
      </c>
      <c r="B1168" t="inlineStr">
        <is>
          <t>Frete de venda</t>
        </is>
      </c>
      <c r="C1168" t="inlineStr">
        <is>
          <t>Frete de venda (para clientes)</t>
        </is>
      </c>
      <c r="D1168" t="inlineStr">
        <is>
          <t>CT-e</t>
        </is>
      </c>
      <c r="E1168" t="inlineStr">
        <is>
          <t>000005022</t>
        </is>
      </c>
      <c r="F1168" t="inlineStr">
        <is>
          <t>R&amp;R TRANSPORTE E LOGISTICA</t>
        </is>
      </c>
      <c r="G1168" s="27" t="n">
        <v>45895</v>
      </c>
      <c r="H1168" s="14" t="n">
        <v>40.68</v>
      </c>
      <c r="I1168" s="14" t="n">
        <v>0</v>
      </c>
      <c r="J1168" s="14" t="n">
        <v>0</v>
      </c>
      <c r="K1168" s="14" t="n">
        <v>0</v>
      </c>
      <c r="L1168" s="14" t="n">
        <v>0</v>
      </c>
      <c r="M1168" s="14">
        <f>IF(B1168="Frete de venda",0,(1-ISNUMBER(SEARCH("556",P1168)))*(I1168*VLOOKUP($B1168,Premissas!$A$4:$E$7,2,0)+J1168*VLOOKUP($B1168,Premissas!$A$4:$E$7,3,0))+K1168*VLOOKUP($B1168,Premissas!$A$4:$E$7,4,0)+L1168*VLOOKUP($B1168,Premissas!$A$4:$E$7,5,0))</f>
        <v/>
      </c>
      <c r="N1168" s="14">
        <f>H1168-M1168</f>
        <v/>
      </c>
      <c r="O1168" t="inlineStr">
        <is>
          <t>Não</t>
        </is>
      </c>
      <c r="P1168" t="inlineStr">
        <is>
          <t>1.350</t>
        </is>
      </c>
    </row>
    <row r="1169">
      <c r="A1169" t="inlineStr">
        <is>
          <t>Antes de 2026</t>
        </is>
      </c>
      <c r="B1169" t="inlineStr">
        <is>
          <t>Frete de venda</t>
        </is>
      </c>
      <c r="C1169" t="inlineStr">
        <is>
          <t>Frete de venda (para clientes)</t>
        </is>
      </c>
      <c r="D1169" t="inlineStr">
        <is>
          <t>CT-e</t>
        </is>
      </c>
      <c r="E1169" t="inlineStr">
        <is>
          <t>000004240</t>
        </is>
      </c>
      <c r="F1169" t="inlineStr">
        <is>
          <t>R&amp;R TRANSPORTE E LOGISTICA</t>
        </is>
      </c>
      <c r="G1169" s="27" t="n">
        <v>45793</v>
      </c>
      <c r="H1169" s="14" t="n">
        <v>31.9</v>
      </c>
      <c r="I1169" s="14" t="n">
        <v>0</v>
      </c>
      <c r="J1169" s="14" t="n">
        <v>0</v>
      </c>
      <c r="K1169" s="14" t="n">
        <v>0</v>
      </c>
      <c r="L1169" s="14" t="n">
        <v>0</v>
      </c>
      <c r="M1169" s="14">
        <f>IF(B1169="Frete de venda",0,(1-ISNUMBER(SEARCH("556",P1169)))*(I1169*VLOOKUP($B1169,Premissas!$A$4:$E$7,2,0)+J1169*VLOOKUP($B1169,Premissas!$A$4:$E$7,3,0))+K1169*VLOOKUP($B1169,Premissas!$A$4:$E$7,4,0)+L1169*VLOOKUP($B1169,Premissas!$A$4:$E$7,5,0))</f>
        <v/>
      </c>
      <c r="N1169" s="14">
        <f>H1169-M1169</f>
        <v/>
      </c>
      <c r="O1169" t="inlineStr">
        <is>
          <t>Não</t>
        </is>
      </c>
      <c r="P1169" t="inlineStr">
        <is>
          <t>1.350</t>
        </is>
      </c>
    </row>
    <row r="1170">
      <c r="A1170" t="inlineStr">
        <is>
          <t>Antes de 2026</t>
        </is>
      </c>
      <c r="B1170" t="inlineStr">
        <is>
          <t>Frete de venda</t>
        </is>
      </c>
      <c r="C1170" t="inlineStr">
        <is>
          <t>Frete de venda (para clientes)</t>
        </is>
      </c>
      <c r="D1170" t="inlineStr">
        <is>
          <t>CT-e</t>
        </is>
      </c>
      <c r="E1170" t="inlineStr">
        <is>
          <t>000004324</t>
        </is>
      </c>
      <c r="F1170" t="inlineStr">
        <is>
          <t>R&amp;R TRANSPORTE E LOGISTICA</t>
        </is>
      </c>
      <c r="G1170" s="27" t="n">
        <v>45806</v>
      </c>
      <c r="H1170" s="14" t="n">
        <v>24.18</v>
      </c>
      <c r="I1170" s="14" t="n">
        <v>0</v>
      </c>
      <c r="J1170" s="14" t="n">
        <v>0</v>
      </c>
      <c r="K1170" s="14" t="n">
        <v>0</v>
      </c>
      <c r="L1170" s="14" t="n">
        <v>0</v>
      </c>
      <c r="M1170" s="14">
        <f>IF(B1170="Frete de venda",0,(1-ISNUMBER(SEARCH("556",P1170)))*(I1170*VLOOKUP($B1170,Premissas!$A$4:$E$7,2,0)+J1170*VLOOKUP($B1170,Premissas!$A$4:$E$7,3,0))+K1170*VLOOKUP($B1170,Premissas!$A$4:$E$7,4,0)+L1170*VLOOKUP($B1170,Premissas!$A$4:$E$7,5,0))</f>
        <v/>
      </c>
      <c r="N1170" s="14">
        <f>H1170-M1170</f>
        <v/>
      </c>
      <c r="O1170" t="inlineStr">
        <is>
          <t>Não</t>
        </is>
      </c>
      <c r="P1170" t="inlineStr">
        <is>
          <t>1.350</t>
        </is>
      </c>
    </row>
    <row r="1171">
      <c r="A1171" t="inlineStr">
        <is>
          <t>Antes de 2026</t>
        </is>
      </c>
      <c r="B1171" t="inlineStr">
        <is>
          <t>Frete de venda</t>
        </is>
      </c>
      <c r="C1171" t="inlineStr">
        <is>
          <t>Frete de venda (para clientes)</t>
        </is>
      </c>
      <c r="D1171" t="inlineStr">
        <is>
          <t>CT-e</t>
        </is>
      </c>
      <c r="E1171" t="inlineStr">
        <is>
          <t>000004895</t>
        </is>
      </c>
      <c r="F1171" t="inlineStr">
        <is>
          <t>R&amp;R TRANSPORTE E LOGISTICA</t>
        </is>
      </c>
      <c r="G1171" s="27" t="n">
        <v>45881</v>
      </c>
      <c r="H1171" s="14" t="n">
        <v>24.43</v>
      </c>
      <c r="I1171" s="14" t="n">
        <v>0</v>
      </c>
      <c r="J1171" s="14" t="n">
        <v>0</v>
      </c>
      <c r="K1171" s="14" t="n">
        <v>0</v>
      </c>
      <c r="L1171" s="14" t="n">
        <v>0</v>
      </c>
      <c r="M1171" s="14">
        <f>IF(B1171="Frete de venda",0,(1-ISNUMBER(SEARCH("556",P1171)))*(I1171*VLOOKUP($B1171,Premissas!$A$4:$E$7,2,0)+J1171*VLOOKUP($B1171,Premissas!$A$4:$E$7,3,0))+K1171*VLOOKUP($B1171,Premissas!$A$4:$E$7,4,0)+L1171*VLOOKUP($B1171,Premissas!$A$4:$E$7,5,0))</f>
        <v/>
      </c>
      <c r="N1171" s="14">
        <f>H1171-M1171</f>
        <v/>
      </c>
      <c r="O1171" t="inlineStr">
        <is>
          <t>Não</t>
        </is>
      </c>
      <c r="P1171" t="inlineStr">
        <is>
          <t>1.350</t>
        </is>
      </c>
    </row>
    <row r="1172">
      <c r="A1172" t="inlineStr">
        <is>
          <t>Antes de 2026</t>
        </is>
      </c>
      <c r="B1172" t="inlineStr">
        <is>
          <t>Frete de venda</t>
        </is>
      </c>
      <c r="C1172" t="inlineStr">
        <is>
          <t>Frete de venda (para clientes)</t>
        </is>
      </c>
      <c r="D1172" t="inlineStr">
        <is>
          <t>CT-e</t>
        </is>
      </c>
      <c r="E1172" t="inlineStr">
        <is>
          <t>000005861</t>
        </is>
      </c>
      <c r="F1172" t="inlineStr">
        <is>
          <t>R&amp;R TRANSPORTE E LOGISTICA</t>
        </is>
      </c>
      <c r="G1172" s="27" t="n">
        <v>45988</v>
      </c>
      <c r="H1172" s="14" t="n">
        <v>13.57</v>
      </c>
      <c r="I1172" s="14" t="n">
        <v>0</v>
      </c>
      <c r="J1172" s="14" t="n">
        <v>0</v>
      </c>
      <c r="K1172" s="14" t="n">
        <v>0</v>
      </c>
      <c r="L1172" s="14" t="n">
        <v>0</v>
      </c>
      <c r="M1172" s="14">
        <f>IF(B1172="Frete de venda",0,(1-ISNUMBER(SEARCH("556",P1172)))*(I1172*VLOOKUP($B1172,Premissas!$A$4:$E$7,2,0)+J1172*VLOOKUP($B1172,Premissas!$A$4:$E$7,3,0))+K1172*VLOOKUP($B1172,Premissas!$A$4:$E$7,4,0)+L1172*VLOOKUP($B1172,Premissas!$A$4:$E$7,5,0))</f>
        <v/>
      </c>
      <c r="N1172" s="14">
        <f>H1172-M1172</f>
        <v/>
      </c>
      <c r="O1172" t="inlineStr">
        <is>
          <t>Não</t>
        </is>
      </c>
      <c r="P1172" t="inlineStr">
        <is>
          <t>1.350</t>
        </is>
      </c>
    </row>
    <row r="1173">
      <c r="A1173" t="inlineStr">
        <is>
          <t>Antes de 2026</t>
        </is>
      </c>
      <c r="B1173" t="inlineStr">
        <is>
          <t>Frete de venda</t>
        </is>
      </c>
      <c r="C1173" t="inlineStr">
        <is>
          <t>Frete de venda (para clientes)</t>
        </is>
      </c>
      <c r="D1173" t="inlineStr">
        <is>
          <t>CT-e</t>
        </is>
      </c>
      <c r="E1173" t="inlineStr">
        <is>
          <t>000005409</t>
        </is>
      </c>
      <c r="F1173" t="inlineStr">
        <is>
          <t>R&amp;R TRANSPORTE E LOGISTICA</t>
        </is>
      </c>
      <c r="G1173" s="27" t="n">
        <v>45937</v>
      </c>
      <c r="H1173" s="14" t="n">
        <v>25.18</v>
      </c>
      <c r="I1173" s="14" t="n">
        <v>0</v>
      </c>
      <c r="J1173" s="14" t="n">
        <v>0</v>
      </c>
      <c r="K1173" s="14" t="n">
        <v>0</v>
      </c>
      <c r="L1173" s="14" t="n">
        <v>0</v>
      </c>
      <c r="M1173" s="14">
        <f>IF(B1173="Frete de venda",0,(1-ISNUMBER(SEARCH("556",P1173)))*(I1173*VLOOKUP($B1173,Premissas!$A$4:$E$7,2,0)+J1173*VLOOKUP($B1173,Premissas!$A$4:$E$7,3,0))+K1173*VLOOKUP($B1173,Premissas!$A$4:$E$7,4,0)+L1173*VLOOKUP($B1173,Premissas!$A$4:$E$7,5,0))</f>
        <v/>
      </c>
      <c r="N1173" s="14">
        <f>H1173-M1173</f>
        <v/>
      </c>
      <c r="O1173" t="inlineStr">
        <is>
          <t>Não</t>
        </is>
      </c>
      <c r="P1173" t="inlineStr">
        <is>
          <t>1.350</t>
        </is>
      </c>
    </row>
    <row r="1174">
      <c r="A1174" t="inlineStr">
        <is>
          <t>Antes de 2026</t>
        </is>
      </c>
      <c r="B1174" t="inlineStr">
        <is>
          <t>Frete de venda</t>
        </is>
      </c>
      <c r="C1174" t="inlineStr">
        <is>
          <t>Frete de venda (para clientes)</t>
        </is>
      </c>
      <c r="D1174" t="inlineStr">
        <is>
          <t>CT-e</t>
        </is>
      </c>
      <c r="E1174" t="inlineStr">
        <is>
          <t>000004773</t>
        </is>
      </c>
      <c r="F1174" t="inlineStr">
        <is>
          <t>R&amp;R TRANSPORTE E LOGISTICA</t>
        </is>
      </c>
      <c r="G1174" s="27" t="n">
        <v>45867</v>
      </c>
      <c r="H1174" s="14" t="n">
        <v>689.41</v>
      </c>
      <c r="I1174" s="14" t="n">
        <v>0</v>
      </c>
      <c r="J1174" s="14" t="n">
        <v>0</v>
      </c>
      <c r="K1174" s="14" t="n">
        <v>0</v>
      </c>
      <c r="L1174" s="14" t="n">
        <v>0</v>
      </c>
      <c r="M1174" s="14">
        <f>IF(B1174="Frete de venda",0,(1-ISNUMBER(SEARCH("556",P1174)))*(I1174*VLOOKUP($B1174,Premissas!$A$4:$E$7,2,0)+J1174*VLOOKUP($B1174,Premissas!$A$4:$E$7,3,0))+K1174*VLOOKUP($B1174,Premissas!$A$4:$E$7,4,0)+L1174*VLOOKUP($B1174,Premissas!$A$4:$E$7,5,0))</f>
        <v/>
      </c>
      <c r="N1174" s="14">
        <f>H1174-M1174</f>
        <v/>
      </c>
      <c r="O1174" t="inlineStr">
        <is>
          <t>Não</t>
        </is>
      </c>
      <c r="P1174" t="inlineStr">
        <is>
          <t>1.350</t>
        </is>
      </c>
    </row>
    <row r="1175">
      <c r="A1175" t="inlineStr">
        <is>
          <t>Antes de 2026</t>
        </is>
      </c>
      <c r="B1175" t="inlineStr">
        <is>
          <t>Frete de venda</t>
        </is>
      </c>
      <c r="C1175" t="inlineStr">
        <is>
          <t>Frete de venda (para clientes)</t>
        </is>
      </c>
      <c r="D1175" t="inlineStr">
        <is>
          <t>CT-e</t>
        </is>
      </c>
      <c r="E1175" t="inlineStr">
        <is>
          <t>000005416</t>
        </is>
      </c>
      <c r="F1175" t="inlineStr">
        <is>
          <t>R&amp;R TRANSPORTE E LOGISTICA</t>
        </is>
      </c>
      <c r="G1175" s="27" t="n">
        <v>45938</v>
      </c>
      <c r="H1175" s="14" t="n">
        <v>786</v>
      </c>
      <c r="I1175" s="14" t="n">
        <v>0</v>
      </c>
      <c r="J1175" s="14" t="n">
        <v>0</v>
      </c>
      <c r="K1175" s="14" t="n">
        <v>0</v>
      </c>
      <c r="L1175" s="14" t="n">
        <v>0</v>
      </c>
      <c r="M1175" s="14">
        <f>IF(B1175="Frete de venda",0,(1-ISNUMBER(SEARCH("556",P1175)))*(I1175*VLOOKUP($B1175,Premissas!$A$4:$E$7,2,0)+J1175*VLOOKUP($B1175,Premissas!$A$4:$E$7,3,0))+K1175*VLOOKUP($B1175,Premissas!$A$4:$E$7,4,0)+L1175*VLOOKUP($B1175,Premissas!$A$4:$E$7,5,0))</f>
        <v/>
      </c>
      <c r="N1175" s="14">
        <f>H1175-M1175</f>
        <v/>
      </c>
      <c r="O1175" t="inlineStr">
        <is>
          <t>Não</t>
        </is>
      </c>
      <c r="P1175" t="inlineStr">
        <is>
          <t>1.350</t>
        </is>
      </c>
    </row>
    <row r="1176">
      <c r="A1176" t="inlineStr">
        <is>
          <t>Antes de 2026</t>
        </is>
      </c>
      <c r="B1176" t="inlineStr">
        <is>
          <t>Frete de venda</t>
        </is>
      </c>
      <c r="C1176" t="inlineStr">
        <is>
          <t>Frete de venda (para clientes)</t>
        </is>
      </c>
      <c r="D1176" t="inlineStr">
        <is>
          <t>CT-e</t>
        </is>
      </c>
      <c r="E1176" t="inlineStr">
        <is>
          <t>000005076</t>
        </is>
      </c>
      <c r="F1176" t="inlineStr">
        <is>
          <t>R&amp;R TRANSPORTE E LOGISTICA</t>
        </is>
      </c>
      <c r="G1176" s="27" t="n">
        <v>45898</v>
      </c>
      <c r="H1176" s="14" t="n">
        <v>33.43</v>
      </c>
      <c r="I1176" s="14" t="n">
        <v>0</v>
      </c>
      <c r="J1176" s="14" t="n">
        <v>0</v>
      </c>
      <c r="K1176" s="14" t="n">
        <v>0</v>
      </c>
      <c r="L1176" s="14" t="n">
        <v>0</v>
      </c>
      <c r="M1176" s="14">
        <f>IF(B1176="Frete de venda",0,(1-ISNUMBER(SEARCH("556",P1176)))*(I1176*VLOOKUP($B1176,Premissas!$A$4:$E$7,2,0)+J1176*VLOOKUP($B1176,Premissas!$A$4:$E$7,3,0))+K1176*VLOOKUP($B1176,Premissas!$A$4:$E$7,4,0)+L1176*VLOOKUP($B1176,Premissas!$A$4:$E$7,5,0))</f>
        <v/>
      </c>
      <c r="N1176" s="14">
        <f>H1176-M1176</f>
        <v/>
      </c>
      <c r="O1176" t="inlineStr">
        <is>
          <t>Não</t>
        </is>
      </c>
      <c r="P1176" t="inlineStr">
        <is>
          <t>1.350</t>
        </is>
      </c>
    </row>
    <row r="1177">
      <c r="A1177" t="inlineStr">
        <is>
          <t>Antes de 2026</t>
        </is>
      </c>
      <c r="B1177" t="inlineStr">
        <is>
          <t>Frete de venda</t>
        </is>
      </c>
      <c r="C1177" t="inlineStr">
        <is>
          <t>Frete de venda (para clientes)</t>
        </is>
      </c>
      <c r="D1177" t="inlineStr">
        <is>
          <t>CT-e</t>
        </is>
      </c>
      <c r="E1177" t="inlineStr">
        <is>
          <t>000005607</t>
        </is>
      </c>
      <c r="F1177" t="inlineStr">
        <is>
          <t>R&amp;R TRANSPORTE E LOGISTICA</t>
        </is>
      </c>
      <c r="G1177" s="27" t="n">
        <v>45959</v>
      </c>
      <c r="H1177" s="14" t="n">
        <v>44.64</v>
      </c>
      <c r="I1177" s="14" t="n">
        <v>0</v>
      </c>
      <c r="J1177" s="14" t="n">
        <v>0</v>
      </c>
      <c r="K1177" s="14" t="n">
        <v>0</v>
      </c>
      <c r="L1177" s="14" t="n">
        <v>0</v>
      </c>
      <c r="M1177" s="14">
        <f>IF(B1177="Frete de venda",0,(1-ISNUMBER(SEARCH("556",P1177)))*(I1177*VLOOKUP($B1177,Premissas!$A$4:$E$7,2,0)+J1177*VLOOKUP($B1177,Premissas!$A$4:$E$7,3,0))+K1177*VLOOKUP($B1177,Premissas!$A$4:$E$7,4,0)+L1177*VLOOKUP($B1177,Premissas!$A$4:$E$7,5,0))</f>
        <v/>
      </c>
      <c r="N1177" s="14">
        <f>H1177-M1177</f>
        <v/>
      </c>
      <c r="O1177" t="inlineStr">
        <is>
          <t>Não</t>
        </is>
      </c>
      <c r="P1177" t="inlineStr">
        <is>
          <t>1.350</t>
        </is>
      </c>
    </row>
    <row r="1178">
      <c r="A1178" t="inlineStr">
        <is>
          <t>Antes de 2026</t>
        </is>
      </c>
      <c r="B1178" t="inlineStr">
        <is>
          <t>Frete de venda</t>
        </is>
      </c>
      <c r="C1178" t="inlineStr">
        <is>
          <t>Frete de venda (para clientes)</t>
        </is>
      </c>
      <c r="D1178" t="inlineStr">
        <is>
          <t>CT-e</t>
        </is>
      </c>
      <c r="E1178" t="inlineStr">
        <is>
          <t>000006011</t>
        </is>
      </c>
      <c r="F1178" t="inlineStr">
        <is>
          <t>R&amp;R TRANSPORTE E LOGISTICA</t>
        </is>
      </c>
      <c r="G1178" s="27" t="n">
        <v>46010</v>
      </c>
      <c r="H1178" s="14" t="n">
        <v>26.35</v>
      </c>
      <c r="I1178" s="14" t="n">
        <v>0</v>
      </c>
      <c r="J1178" s="14" t="n">
        <v>0</v>
      </c>
      <c r="K1178" s="14" t="n">
        <v>0</v>
      </c>
      <c r="L1178" s="14" t="n">
        <v>0</v>
      </c>
      <c r="M1178" s="14">
        <f>IF(B1178="Frete de venda",0,(1-ISNUMBER(SEARCH("556",P1178)))*(I1178*VLOOKUP($B1178,Premissas!$A$4:$E$7,2,0)+J1178*VLOOKUP($B1178,Premissas!$A$4:$E$7,3,0))+K1178*VLOOKUP($B1178,Premissas!$A$4:$E$7,4,0)+L1178*VLOOKUP($B1178,Premissas!$A$4:$E$7,5,0))</f>
        <v/>
      </c>
      <c r="N1178" s="14">
        <f>H1178-M1178</f>
        <v/>
      </c>
      <c r="O1178" t="inlineStr">
        <is>
          <t>Não</t>
        </is>
      </c>
      <c r="P1178" t="inlineStr">
        <is>
          <t>1.350</t>
        </is>
      </c>
    </row>
    <row r="1179">
      <c r="A1179" t="inlineStr">
        <is>
          <t>Antes de 2026</t>
        </is>
      </c>
      <c r="B1179" t="inlineStr">
        <is>
          <t>Frete de venda</t>
        </is>
      </c>
      <c r="C1179" t="inlineStr">
        <is>
          <t>Frete de venda (para clientes)</t>
        </is>
      </c>
      <c r="D1179" t="inlineStr">
        <is>
          <t>CT-e</t>
        </is>
      </c>
      <c r="E1179" t="inlineStr">
        <is>
          <t>000004342</t>
        </is>
      </c>
      <c r="F1179" t="inlineStr">
        <is>
          <t>R&amp;R TRANSPORTE E LOGISTICA</t>
        </is>
      </c>
      <c r="G1179" s="27" t="n">
        <v>45807</v>
      </c>
      <c r="H1179" s="14" t="n">
        <v>35.55</v>
      </c>
      <c r="I1179" s="14" t="n">
        <v>0</v>
      </c>
      <c r="J1179" s="14" t="n">
        <v>0</v>
      </c>
      <c r="K1179" s="14" t="n">
        <v>0</v>
      </c>
      <c r="L1179" s="14" t="n">
        <v>0</v>
      </c>
      <c r="M1179" s="14">
        <f>IF(B1179="Frete de venda",0,(1-ISNUMBER(SEARCH("556",P1179)))*(I1179*VLOOKUP($B1179,Premissas!$A$4:$E$7,2,0)+J1179*VLOOKUP($B1179,Premissas!$A$4:$E$7,3,0))+K1179*VLOOKUP($B1179,Premissas!$A$4:$E$7,4,0)+L1179*VLOOKUP($B1179,Premissas!$A$4:$E$7,5,0))</f>
        <v/>
      </c>
      <c r="N1179" s="14">
        <f>H1179-M1179</f>
        <v/>
      </c>
      <c r="O1179" t="inlineStr">
        <is>
          <t>Não</t>
        </is>
      </c>
      <c r="P1179" t="inlineStr">
        <is>
          <t>1.350</t>
        </is>
      </c>
    </row>
    <row r="1180">
      <c r="A1180" t="inlineStr">
        <is>
          <t>Antes de 2026</t>
        </is>
      </c>
      <c r="B1180" t="inlineStr">
        <is>
          <t>Frete de venda</t>
        </is>
      </c>
      <c r="C1180" t="inlineStr">
        <is>
          <t>Frete de venda (para clientes)</t>
        </is>
      </c>
      <c r="D1180" t="inlineStr">
        <is>
          <t>CT-e</t>
        </is>
      </c>
      <c r="E1180" t="inlineStr">
        <is>
          <t>000004531</t>
        </is>
      </c>
      <c r="F1180" t="inlineStr">
        <is>
          <t>R&amp;R TRANSPORTE E LOGISTICA</t>
        </is>
      </c>
      <c r="G1180" s="27" t="n">
        <v>45835</v>
      </c>
      <c r="H1180" s="14" t="n">
        <v>23.48</v>
      </c>
      <c r="I1180" s="14" t="n">
        <v>0</v>
      </c>
      <c r="J1180" s="14" t="n">
        <v>0</v>
      </c>
      <c r="K1180" s="14" t="n">
        <v>0</v>
      </c>
      <c r="L1180" s="14" t="n">
        <v>0</v>
      </c>
      <c r="M1180" s="14">
        <f>IF(B1180="Frete de venda",0,(1-ISNUMBER(SEARCH("556",P1180)))*(I1180*VLOOKUP($B1180,Premissas!$A$4:$E$7,2,0)+J1180*VLOOKUP($B1180,Premissas!$A$4:$E$7,3,0))+K1180*VLOOKUP($B1180,Premissas!$A$4:$E$7,4,0)+L1180*VLOOKUP($B1180,Premissas!$A$4:$E$7,5,0))</f>
        <v/>
      </c>
      <c r="N1180" s="14">
        <f>H1180-M1180</f>
        <v/>
      </c>
      <c r="O1180" t="inlineStr">
        <is>
          <t>Não</t>
        </is>
      </c>
      <c r="P1180" t="inlineStr">
        <is>
          <t>1.350</t>
        </is>
      </c>
    </row>
    <row r="1181">
      <c r="A1181" t="inlineStr">
        <is>
          <t>Antes de 2026</t>
        </is>
      </c>
      <c r="B1181" t="inlineStr">
        <is>
          <t>Frete de venda</t>
        </is>
      </c>
      <c r="C1181" t="inlineStr">
        <is>
          <t>Frete de venda (para clientes)</t>
        </is>
      </c>
      <c r="D1181" t="inlineStr">
        <is>
          <t>CT-e</t>
        </is>
      </c>
      <c r="E1181" t="inlineStr">
        <is>
          <t>000004091</t>
        </is>
      </c>
      <c r="F1181" t="inlineStr">
        <is>
          <t>R&amp;R TRANSPORTE E LOGISTICA</t>
        </is>
      </c>
      <c r="G1181" s="27" t="n">
        <v>45775</v>
      </c>
      <c r="H1181" s="14" t="n">
        <v>52.41</v>
      </c>
      <c r="I1181" s="14" t="n">
        <v>0</v>
      </c>
      <c r="J1181" s="14" t="n">
        <v>0</v>
      </c>
      <c r="K1181" s="14" t="n">
        <v>0</v>
      </c>
      <c r="L1181" s="14" t="n">
        <v>0</v>
      </c>
      <c r="M1181" s="14">
        <f>IF(B1181="Frete de venda",0,(1-ISNUMBER(SEARCH("556",P1181)))*(I1181*VLOOKUP($B1181,Premissas!$A$4:$E$7,2,0)+J1181*VLOOKUP($B1181,Premissas!$A$4:$E$7,3,0))+K1181*VLOOKUP($B1181,Premissas!$A$4:$E$7,4,0)+L1181*VLOOKUP($B1181,Premissas!$A$4:$E$7,5,0))</f>
        <v/>
      </c>
      <c r="N1181" s="14">
        <f>H1181-M1181</f>
        <v/>
      </c>
      <c r="O1181" t="inlineStr">
        <is>
          <t>Não</t>
        </is>
      </c>
      <c r="P1181" t="inlineStr">
        <is>
          <t>1.350</t>
        </is>
      </c>
    </row>
    <row r="1182">
      <c r="A1182" t="inlineStr">
        <is>
          <t>Antes de 2026</t>
        </is>
      </c>
      <c r="B1182" t="inlineStr">
        <is>
          <t>Frete de venda</t>
        </is>
      </c>
      <c r="C1182" t="inlineStr">
        <is>
          <t>Frete de venda (para clientes)</t>
        </is>
      </c>
      <c r="D1182" t="inlineStr">
        <is>
          <t>CT-e</t>
        </is>
      </c>
      <c r="E1182" t="inlineStr">
        <is>
          <t>000005722</t>
        </is>
      </c>
      <c r="F1182" t="inlineStr">
        <is>
          <t>R&amp;R TRANSPORTE E LOGISTICA</t>
        </is>
      </c>
      <c r="G1182" s="27" t="n">
        <v>45974</v>
      </c>
      <c r="H1182" s="14" t="n">
        <v>40</v>
      </c>
      <c r="I1182" s="14" t="n">
        <v>0</v>
      </c>
      <c r="J1182" s="14" t="n">
        <v>0</v>
      </c>
      <c r="K1182" s="14" t="n">
        <v>0</v>
      </c>
      <c r="L1182" s="14" t="n">
        <v>0</v>
      </c>
      <c r="M1182" s="14">
        <f>IF(B1182="Frete de venda",0,(1-ISNUMBER(SEARCH("556",P1182)))*(I1182*VLOOKUP($B1182,Premissas!$A$4:$E$7,2,0)+J1182*VLOOKUP($B1182,Premissas!$A$4:$E$7,3,0))+K1182*VLOOKUP($B1182,Premissas!$A$4:$E$7,4,0)+L1182*VLOOKUP($B1182,Premissas!$A$4:$E$7,5,0))</f>
        <v/>
      </c>
      <c r="N1182" s="14">
        <f>H1182-M1182</f>
        <v/>
      </c>
      <c r="O1182" t="inlineStr">
        <is>
          <t>Não</t>
        </is>
      </c>
      <c r="P1182" t="inlineStr">
        <is>
          <t>1.350</t>
        </is>
      </c>
    </row>
    <row r="1183">
      <c r="A1183" t="inlineStr">
        <is>
          <t>Antes de 2026</t>
        </is>
      </c>
      <c r="B1183" t="inlineStr">
        <is>
          <t>Frete de venda</t>
        </is>
      </c>
      <c r="C1183" t="inlineStr">
        <is>
          <t>Frete de venda (para clientes)</t>
        </is>
      </c>
      <c r="D1183" t="inlineStr">
        <is>
          <t>CT-e</t>
        </is>
      </c>
      <c r="E1183" t="inlineStr">
        <is>
          <t>000006006</t>
        </is>
      </c>
      <c r="F1183" t="inlineStr">
        <is>
          <t>R&amp;R TRANSPORTE E LOGISTICA</t>
        </is>
      </c>
      <c r="G1183" s="27" t="n">
        <v>46010</v>
      </c>
      <c r="H1183" s="14" t="n">
        <v>15.33</v>
      </c>
      <c r="I1183" s="14" t="n">
        <v>0</v>
      </c>
      <c r="J1183" s="14" t="n">
        <v>0</v>
      </c>
      <c r="K1183" s="14" t="n">
        <v>0</v>
      </c>
      <c r="L1183" s="14" t="n">
        <v>0</v>
      </c>
      <c r="M1183" s="14">
        <f>IF(B1183="Frete de venda",0,(1-ISNUMBER(SEARCH("556",P1183)))*(I1183*VLOOKUP($B1183,Premissas!$A$4:$E$7,2,0)+J1183*VLOOKUP($B1183,Premissas!$A$4:$E$7,3,0))+K1183*VLOOKUP($B1183,Premissas!$A$4:$E$7,4,0)+L1183*VLOOKUP($B1183,Premissas!$A$4:$E$7,5,0))</f>
        <v/>
      </c>
      <c r="N1183" s="14">
        <f>H1183-M1183</f>
        <v/>
      </c>
      <c r="O1183" t="inlineStr">
        <is>
          <t>Não</t>
        </is>
      </c>
      <c r="P1183" t="inlineStr">
        <is>
          <t>1.350</t>
        </is>
      </c>
    </row>
    <row r="1184">
      <c r="A1184" t="inlineStr">
        <is>
          <t>Antes de 2026</t>
        </is>
      </c>
      <c r="B1184" t="inlineStr">
        <is>
          <t>Frete de venda</t>
        </is>
      </c>
      <c r="C1184" t="inlineStr">
        <is>
          <t>Frete de venda (para clientes)</t>
        </is>
      </c>
      <c r="D1184" t="inlineStr">
        <is>
          <t>CT-e</t>
        </is>
      </c>
      <c r="E1184" t="inlineStr">
        <is>
          <t>000004474</t>
        </is>
      </c>
      <c r="F1184" t="inlineStr">
        <is>
          <t>R&amp;R TRANSPORTE E LOGISTICA</t>
        </is>
      </c>
      <c r="G1184" s="27" t="n">
        <v>45831</v>
      </c>
      <c r="H1184" s="14" t="n">
        <v>41.21</v>
      </c>
      <c r="I1184" s="14" t="n">
        <v>0</v>
      </c>
      <c r="J1184" s="14" t="n">
        <v>0</v>
      </c>
      <c r="K1184" s="14" t="n">
        <v>0</v>
      </c>
      <c r="L1184" s="14" t="n">
        <v>0</v>
      </c>
      <c r="M1184" s="14">
        <f>IF(B1184="Frete de venda",0,(1-ISNUMBER(SEARCH("556",P1184)))*(I1184*VLOOKUP($B1184,Premissas!$A$4:$E$7,2,0)+J1184*VLOOKUP($B1184,Premissas!$A$4:$E$7,3,0))+K1184*VLOOKUP($B1184,Premissas!$A$4:$E$7,4,0)+L1184*VLOOKUP($B1184,Premissas!$A$4:$E$7,5,0))</f>
        <v/>
      </c>
      <c r="N1184" s="14">
        <f>H1184-M1184</f>
        <v/>
      </c>
      <c r="O1184" t="inlineStr">
        <is>
          <t>Não</t>
        </is>
      </c>
      <c r="P1184" t="inlineStr">
        <is>
          <t>1.350</t>
        </is>
      </c>
    </row>
    <row r="1185">
      <c r="A1185" t="inlineStr">
        <is>
          <t>Antes de 2026</t>
        </is>
      </c>
      <c r="B1185" t="inlineStr">
        <is>
          <t>Frete de venda</t>
        </is>
      </c>
      <c r="C1185" t="inlineStr">
        <is>
          <t>Frete de venda (para clientes)</t>
        </is>
      </c>
      <c r="D1185" t="inlineStr">
        <is>
          <t>CT-e</t>
        </is>
      </c>
      <c r="E1185" t="inlineStr">
        <is>
          <t>000006027</t>
        </is>
      </c>
      <c r="F1185" t="inlineStr">
        <is>
          <t>R&amp;R TRANSPORTE E LOGISTICA</t>
        </is>
      </c>
      <c r="G1185" s="27" t="n">
        <v>46011</v>
      </c>
      <c r="H1185" s="14" t="n">
        <v>31</v>
      </c>
      <c r="I1185" s="14" t="n">
        <v>0</v>
      </c>
      <c r="J1185" s="14" t="n">
        <v>0</v>
      </c>
      <c r="K1185" s="14" t="n">
        <v>0</v>
      </c>
      <c r="L1185" s="14" t="n">
        <v>0</v>
      </c>
      <c r="M1185" s="14">
        <f>IF(B1185="Frete de venda",0,(1-ISNUMBER(SEARCH("556",P1185)))*(I1185*VLOOKUP($B1185,Premissas!$A$4:$E$7,2,0)+J1185*VLOOKUP($B1185,Premissas!$A$4:$E$7,3,0))+K1185*VLOOKUP($B1185,Premissas!$A$4:$E$7,4,0)+L1185*VLOOKUP($B1185,Premissas!$A$4:$E$7,5,0))</f>
        <v/>
      </c>
      <c r="N1185" s="14">
        <f>H1185-M1185</f>
        <v/>
      </c>
      <c r="O1185" t="inlineStr">
        <is>
          <t>Não</t>
        </is>
      </c>
      <c r="P1185" t="inlineStr">
        <is>
          <t>1.350</t>
        </is>
      </c>
    </row>
    <row r="1186">
      <c r="A1186" t="inlineStr">
        <is>
          <t>Antes de 2026</t>
        </is>
      </c>
      <c r="B1186" t="inlineStr">
        <is>
          <t>Frete de venda</t>
        </is>
      </c>
      <c r="C1186" t="inlineStr">
        <is>
          <t>Frete de venda (para clientes)</t>
        </is>
      </c>
      <c r="D1186" t="inlineStr">
        <is>
          <t>CT-e</t>
        </is>
      </c>
      <c r="E1186" t="inlineStr">
        <is>
          <t>000004120</t>
        </is>
      </c>
      <c r="F1186" t="inlineStr">
        <is>
          <t>R&amp;R TRANSPORTE E LOGISTICA</t>
        </is>
      </c>
      <c r="G1186" s="27" t="n">
        <v>45778</v>
      </c>
      <c r="H1186" s="14" t="n">
        <v>43</v>
      </c>
      <c r="I1186" s="14" t="n">
        <v>0</v>
      </c>
      <c r="J1186" s="14" t="n">
        <v>0</v>
      </c>
      <c r="K1186" s="14" t="n">
        <v>0</v>
      </c>
      <c r="L1186" s="14" t="n">
        <v>0</v>
      </c>
      <c r="M1186" s="14">
        <f>IF(B1186="Frete de venda",0,(1-ISNUMBER(SEARCH("556",P1186)))*(I1186*VLOOKUP($B1186,Premissas!$A$4:$E$7,2,0)+J1186*VLOOKUP($B1186,Premissas!$A$4:$E$7,3,0))+K1186*VLOOKUP($B1186,Premissas!$A$4:$E$7,4,0)+L1186*VLOOKUP($B1186,Premissas!$A$4:$E$7,5,0))</f>
        <v/>
      </c>
      <c r="N1186" s="14">
        <f>H1186-M1186</f>
        <v/>
      </c>
      <c r="O1186" t="inlineStr">
        <is>
          <t>Não</t>
        </is>
      </c>
      <c r="P1186" t="inlineStr">
        <is>
          <t>1.350</t>
        </is>
      </c>
    </row>
    <row r="1187">
      <c r="A1187" t="inlineStr">
        <is>
          <t>Antes de 2026</t>
        </is>
      </c>
      <c r="B1187" t="inlineStr">
        <is>
          <t>Frete de venda</t>
        </is>
      </c>
      <c r="C1187" t="inlineStr">
        <is>
          <t>Frete de venda (para clientes)</t>
        </is>
      </c>
      <c r="D1187" t="inlineStr">
        <is>
          <t>CT-e</t>
        </is>
      </c>
      <c r="E1187" t="inlineStr">
        <is>
          <t>000004542</t>
        </is>
      </c>
      <c r="F1187" t="inlineStr">
        <is>
          <t>R&amp;R TRANSPORTE E LOGISTICA</t>
        </is>
      </c>
      <c r="G1187" s="27" t="n">
        <v>45836</v>
      </c>
      <c r="H1187" s="14" t="n">
        <v>27</v>
      </c>
      <c r="I1187" s="14" t="n">
        <v>0</v>
      </c>
      <c r="J1187" s="14" t="n">
        <v>0</v>
      </c>
      <c r="K1187" s="14" t="n">
        <v>0</v>
      </c>
      <c r="L1187" s="14" t="n">
        <v>0</v>
      </c>
      <c r="M1187" s="14">
        <f>IF(B1187="Frete de venda",0,(1-ISNUMBER(SEARCH("556",P1187)))*(I1187*VLOOKUP($B1187,Premissas!$A$4:$E$7,2,0)+J1187*VLOOKUP($B1187,Premissas!$A$4:$E$7,3,0))+K1187*VLOOKUP($B1187,Premissas!$A$4:$E$7,4,0)+L1187*VLOOKUP($B1187,Premissas!$A$4:$E$7,5,0))</f>
        <v/>
      </c>
      <c r="N1187" s="14">
        <f>H1187-M1187</f>
        <v/>
      </c>
      <c r="O1187" t="inlineStr">
        <is>
          <t>Não</t>
        </is>
      </c>
      <c r="P1187" t="inlineStr">
        <is>
          <t>1.350</t>
        </is>
      </c>
    </row>
    <row r="1188">
      <c r="A1188" t="inlineStr">
        <is>
          <t>Antes de 2026</t>
        </is>
      </c>
      <c r="B1188" t="inlineStr">
        <is>
          <t>Frete de venda</t>
        </is>
      </c>
      <c r="C1188" t="inlineStr">
        <is>
          <t>Frete de venda (para clientes)</t>
        </is>
      </c>
      <c r="D1188" t="inlineStr">
        <is>
          <t>CT-e</t>
        </is>
      </c>
      <c r="E1188" t="inlineStr">
        <is>
          <t>000004340</t>
        </is>
      </c>
      <c r="F1188" t="inlineStr">
        <is>
          <t>R&amp;R TRANSPORTE E LOGISTICA</t>
        </is>
      </c>
      <c r="G1188" s="27" t="n">
        <v>45807</v>
      </c>
      <c r="H1188" s="14" t="n">
        <v>27.05</v>
      </c>
      <c r="I1188" s="14" t="n">
        <v>0</v>
      </c>
      <c r="J1188" s="14" t="n">
        <v>0</v>
      </c>
      <c r="K1188" s="14" t="n">
        <v>0</v>
      </c>
      <c r="L1188" s="14" t="n">
        <v>0</v>
      </c>
      <c r="M1188" s="14">
        <f>IF(B1188="Frete de venda",0,(1-ISNUMBER(SEARCH("556",P1188)))*(I1188*VLOOKUP($B1188,Premissas!$A$4:$E$7,2,0)+J1188*VLOOKUP($B1188,Premissas!$A$4:$E$7,3,0))+K1188*VLOOKUP($B1188,Premissas!$A$4:$E$7,4,0)+L1188*VLOOKUP($B1188,Premissas!$A$4:$E$7,5,0))</f>
        <v/>
      </c>
      <c r="N1188" s="14">
        <f>H1188-M1188</f>
        <v/>
      </c>
      <c r="O1188" t="inlineStr">
        <is>
          <t>Não</t>
        </is>
      </c>
      <c r="P1188" t="inlineStr">
        <is>
          <t>1.350</t>
        </is>
      </c>
    </row>
    <row r="1189">
      <c r="A1189" t="inlineStr">
        <is>
          <t>Antes de 2026</t>
        </is>
      </c>
      <c r="B1189" t="inlineStr">
        <is>
          <t>Frete de venda</t>
        </is>
      </c>
      <c r="C1189" t="inlineStr">
        <is>
          <t>Frete de venda (para clientes)</t>
        </is>
      </c>
      <c r="D1189" t="inlineStr">
        <is>
          <t>CT-e</t>
        </is>
      </c>
      <c r="E1189" t="inlineStr">
        <is>
          <t>000004675</t>
        </is>
      </c>
      <c r="F1189" t="inlineStr">
        <is>
          <t>R&amp;R TRANSPORTE E LOGISTICA</t>
        </is>
      </c>
      <c r="G1189" s="27" t="n">
        <v>45855</v>
      </c>
      <c r="H1189" s="14" t="n">
        <v>25.44</v>
      </c>
      <c r="I1189" s="14" t="n">
        <v>0</v>
      </c>
      <c r="J1189" s="14" t="n">
        <v>0</v>
      </c>
      <c r="K1189" s="14" t="n">
        <v>0</v>
      </c>
      <c r="L1189" s="14" t="n">
        <v>0</v>
      </c>
      <c r="M1189" s="14">
        <f>IF(B1189="Frete de venda",0,(1-ISNUMBER(SEARCH("556",P1189)))*(I1189*VLOOKUP($B1189,Premissas!$A$4:$E$7,2,0)+J1189*VLOOKUP($B1189,Premissas!$A$4:$E$7,3,0))+K1189*VLOOKUP($B1189,Premissas!$A$4:$E$7,4,0)+L1189*VLOOKUP($B1189,Premissas!$A$4:$E$7,5,0))</f>
        <v/>
      </c>
      <c r="N1189" s="14">
        <f>H1189-M1189</f>
        <v/>
      </c>
      <c r="O1189" t="inlineStr">
        <is>
          <t>Não</t>
        </is>
      </c>
      <c r="P1189" t="inlineStr">
        <is>
          <t>1.350</t>
        </is>
      </c>
    </row>
    <row r="1190">
      <c r="A1190" t="inlineStr">
        <is>
          <t>Antes de 2026</t>
        </is>
      </c>
      <c r="B1190" t="inlineStr">
        <is>
          <t>Frete de venda</t>
        </is>
      </c>
      <c r="C1190" t="inlineStr">
        <is>
          <t>Frete de venda (para clientes)</t>
        </is>
      </c>
      <c r="D1190" t="inlineStr">
        <is>
          <t>CT-e</t>
        </is>
      </c>
      <c r="E1190" t="inlineStr">
        <is>
          <t>000005128</t>
        </is>
      </c>
      <c r="F1190" t="inlineStr">
        <is>
          <t>R&amp;R TRANSPORTE E LOGISTICA</t>
        </is>
      </c>
      <c r="G1190" s="27" t="n">
        <v>45908</v>
      </c>
      <c r="H1190" s="14" t="n">
        <v>22.63</v>
      </c>
      <c r="I1190" s="14" t="n">
        <v>0</v>
      </c>
      <c r="J1190" s="14" t="n">
        <v>0</v>
      </c>
      <c r="K1190" s="14" t="n">
        <v>0</v>
      </c>
      <c r="L1190" s="14" t="n">
        <v>0</v>
      </c>
      <c r="M1190" s="14">
        <f>IF(B1190="Frete de venda",0,(1-ISNUMBER(SEARCH("556",P1190)))*(I1190*VLOOKUP($B1190,Premissas!$A$4:$E$7,2,0)+J1190*VLOOKUP($B1190,Premissas!$A$4:$E$7,3,0))+K1190*VLOOKUP($B1190,Premissas!$A$4:$E$7,4,0)+L1190*VLOOKUP($B1190,Premissas!$A$4:$E$7,5,0))</f>
        <v/>
      </c>
      <c r="N1190" s="14">
        <f>H1190-M1190</f>
        <v/>
      </c>
      <c r="O1190" t="inlineStr">
        <is>
          <t>Não</t>
        </is>
      </c>
      <c r="P1190" t="inlineStr">
        <is>
          <t>1.350</t>
        </is>
      </c>
    </row>
    <row r="1191">
      <c r="A1191" t="inlineStr">
        <is>
          <t>Antes de 2026</t>
        </is>
      </c>
      <c r="B1191" t="inlineStr">
        <is>
          <t>Frete de venda</t>
        </is>
      </c>
      <c r="C1191" t="inlineStr">
        <is>
          <t>Frete de venda (para clientes)</t>
        </is>
      </c>
      <c r="D1191" t="inlineStr">
        <is>
          <t>CT-e</t>
        </is>
      </c>
      <c r="E1191" t="inlineStr">
        <is>
          <t>000005642</t>
        </is>
      </c>
      <c r="F1191" t="inlineStr">
        <is>
          <t>R&amp;R TRANSPORTE E LOGISTICA</t>
        </is>
      </c>
      <c r="G1191" s="27" t="n">
        <v>45961</v>
      </c>
      <c r="H1191" s="14" t="n">
        <v>19.41</v>
      </c>
      <c r="I1191" s="14" t="n">
        <v>0</v>
      </c>
      <c r="J1191" s="14" t="n">
        <v>0</v>
      </c>
      <c r="K1191" s="14" t="n">
        <v>0</v>
      </c>
      <c r="L1191" s="14" t="n">
        <v>0</v>
      </c>
      <c r="M1191" s="14">
        <f>IF(B1191="Frete de venda",0,(1-ISNUMBER(SEARCH("556",P1191)))*(I1191*VLOOKUP($B1191,Premissas!$A$4:$E$7,2,0)+J1191*VLOOKUP($B1191,Premissas!$A$4:$E$7,3,0))+K1191*VLOOKUP($B1191,Premissas!$A$4:$E$7,4,0)+L1191*VLOOKUP($B1191,Premissas!$A$4:$E$7,5,0))</f>
        <v/>
      </c>
      <c r="N1191" s="14">
        <f>H1191-M1191</f>
        <v/>
      </c>
      <c r="O1191" t="inlineStr">
        <is>
          <t>Não</t>
        </is>
      </c>
      <c r="P1191" t="inlineStr">
        <is>
          <t>1.350</t>
        </is>
      </c>
    </row>
    <row r="1192">
      <c r="A1192" t="inlineStr">
        <is>
          <t>Antes de 2026</t>
        </is>
      </c>
      <c r="B1192" t="inlineStr">
        <is>
          <t>Frete de venda</t>
        </is>
      </c>
      <c r="C1192" t="inlineStr">
        <is>
          <t>Frete de venda (para clientes)</t>
        </is>
      </c>
      <c r="D1192" t="inlineStr">
        <is>
          <t>CT-e</t>
        </is>
      </c>
      <c r="E1192" t="inlineStr">
        <is>
          <t>000005901</t>
        </is>
      </c>
      <c r="F1192" t="inlineStr">
        <is>
          <t>R&amp;R TRANSPORTE E LOGISTICA</t>
        </is>
      </c>
      <c r="G1192" s="27" t="n">
        <v>45993</v>
      </c>
      <c r="H1192" s="14" t="n">
        <v>17.13</v>
      </c>
      <c r="I1192" s="14" t="n">
        <v>0</v>
      </c>
      <c r="J1192" s="14" t="n">
        <v>0</v>
      </c>
      <c r="K1192" s="14" t="n">
        <v>0</v>
      </c>
      <c r="L1192" s="14" t="n">
        <v>0</v>
      </c>
      <c r="M1192" s="14">
        <f>IF(B1192="Frete de venda",0,(1-ISNUMBER(SEARCH("556",P1192)))*(I1192*VLOOKUP($B1192,Premissas!$A$4:$E$7,2,0)+J1192*VLOOKUP($B1192,Premissas!$A$4:$E$7,3,0))+K1192*VLOOKUP($B1192,Premissas!$A$4:$E$7,4,0)+L1192*VLOOKUP($B1192,Premissas!$A$4:$E$7,5,0))</f>
        <v/>
      </c>
      <c r="N1192" s="14">
        <f>H1192-M1192</f>
        <v/>
      </c>
      <c r="O1192" t="inlineStr">
        <is>
          <t>Não</t>
        </is>
      </c>
      <c r="P1192" t="inlineStr">
        <is>
          <t>1.350</t>
        </is>
      </c>
    </row>
    <row r="1193">
      <c r="A1193" t="inlineStr">
        <is>
          <t>Antes de 2026</t>
        </is>
      </c>
      <c r="B1193" t="inlineStr">
        <is>
          <t>Frete de venda</t>
        </is>
      </c>
      <c r="C1193" t="inlineStr">
        <is>
          <t>Frete de venda (para clientes)</t>
        </is>
      </c>
      <c r="D1193" t="inlineStr">
        <is>
          <t>CT-e</t>
        </is>
      </c>
      <c r="E1193" t="inlineStr">
        <is>
          <t>000006073</t>
        </is>
      </c>
      <c r="F1193" t="inlineStr">
        <is>
          <t>R&amp;R TRANSPORTE E LOGISTICA</t>
        </is>
      </c>
      <c r="G1193" s="27" t="n">
        <v>46021</v>
      </c>
      <c r="H1193" s="14" t="n">
        <v>18.79</v>
      </c>
      <c r="I1193" s="14" t="n">
        <v>0</v>
      </c>
      <c r="J1193" s="14" t="n">
        <v>0</v>
      </c>
      <c r="K1193" s="14" t="n">
        <v>0</v>
      </c>
      <c r="L1193" s="14" t="n">
        <v>0</v>
      </c>
      <c r="M1193" s="14">
        <f>IF(B1193="Frete de venda",0,(1-ISNUMBER(SEARCH("556",P1193)))*(I1193*VLOOKUP($B1193,Premissas!$A$4:$E$7,2,0)+J1193*VLOOKUP($B1193,Premissas!$A$4:$E$7,3,0))+K1193*VLOOKUP($B1193,Premissas!$A$4:$E$7,4,0)+L1193*VLOOKUP($B1193,Premissas!$A$4:$E$7,5,0))</f>
        <v/>
      </c>
      <c r="N1193" s="14">
        <f>H1193-M1193</f>
        <v/>
      </c>
      <c r="O1193" t="inlineStr">
        <is>
          <t>Não</t>
        </is>
      </c>
      <c r="P1193" t="inlineStr">
        <is>
          <t>1.350</t>
        </is>
      </c>
    </row>
    <row r="1194">
      <c r="A1194" t="inlineStr">
        <is>
          <t>Antes de 2026</t>
        </is>
      </c>
      <c r="B1194" t="inlineStr">
        <is>
          <t>Frete de venda</t>
        </is>
      </c>
      <c r="C1194" t="inlineStr">
        <is>
          <t>Frete de venda (para clientes)</t>
        </is>
      </c>
      <c r="D1194" t="inlineStr">
        <is>
          <t>CT-e</t>
        </is>
      </c>
      <c r="E1194" t="inlineStr">
        <is>
          <t>000020449</t>
        </is>
      </c>
      <c r="F1194" t="inlineStr">
        <is>
          <t>TRANSPORTE OLIVEIRA E MELLOI - IDEALIZA TRANSPORTES</t>
        </is>
      </c>
      <c r="G1194" s="27" t="n">
        <v>45600</v>
      </c>
      <c r="H1194" s="14" t="n">
        <v>140.35</v>
      </c>
      <c r="I1194" s="14" t="n">
        <v>0</v>
      </c>
      <c r="J1194" s="14" t="n">
        <v>0</v>
      </c>
      <c r="K1194" s="14" t="n">
        <v>0</v>
      </c>
      <c r="L1194" s="14" t="n">
        <v>0</v>
      </c>
      <c r="M1194" s="14">
        <f>IF(B1194="Frete de venda",0,(1-ISNUMBER(SEARCH("556",P1194)))*(I1194*VLOOKUP($B1194,Premissas!$A$4:$E$7,2,0)+J1194*VLOOKUP($B1194,Premissas!$A$4:$E$7,3,0))+K1194*VLOOKUP($B1194,Premissas!$A$4:$E$7,4,0)+L1194*VLOOKUP($B1194,Premissas!$A$4:$E$7,5,0))</f>
        <v/>
      </c>
      <c r="N1194" s="14">
        <f>H1194-M1194</f>
        <v/>
      </c>
      <c r="O1194" t="inlineStr">
        <is>
          <t>Não</t>
        </is>
      </c>
      <c r="P1194" t="inlineStr">
        <is>
          <t>1.350</t>
        </is>
      </c>
    </row>
    <row r="1195">
      <c r="A1195" t="inlineStr">
        <is>
          <t>Antes de 2026</t>
        </is>
      </c>
      <c r="B1195" t="inlineStr">
        <is>
          <t>Frete de venda</t>
        </is>
      </c>
      <c r="C1195" t="inlineStr">
        <is>
          <t>Frete de venda (para clientes)</t>
        </is>
      </c>
      <c r="D1195" t="inlineStr">
        <is>
          <t>CT-e</t>
        </is>
      </c>
      <c r="E1195" t="inlineStr">
        <is>
          <t>000020886</t>
        </is>
      </c>
      <c r="F1195" t="inlineStr">
        <is>
          <t>TRANSPORTE OLIVEIRA E MELLOI - IDEALIZA TRANSPORTES</t>
        </is>
      </c>
      <c r="G1195" s="27" t="n">
        <v>45685</v>
      </c>
      <c r="H1195" s="14" t="n">
        <v>119.7</v>
      </c>
      <c r="I1195" s="14" t="n">
        <v>0</v>
      </c>
      <c r="J1195" s="14" t="n">
        <v>0</v>
      </c>
      <c r="K1195" s="14" t="n">
        <v>0</v>
      </c>
      <c r="L1195" s="14" t="n">
        <v>0</v>
      </c>
      <c r="M1195" s="14">
        <f>IF(B1195="Frete de venda",0,(1-ISNUMBER(SEARCH("556",P1195)))*(I1195*VLOOKUP($B1195,Premissas!$A$4:$E$7,2,0)+J1195*VLOOKUP($B1195,Premissas!$A$4:$E$7,3,0))+K1195*VLOOKUP($B1195,Premissas!$A$4:$E$7,4,0)+L1195*VLOOKUP($B1195,Premissas!$A$4:$E$7,5,0))</f>
        <v/>
      </c>
      <c r="N1195" s="14">
        <f>H1195-M1195</f>
        <v/>
      </c>
      <c r="O1195" t="inlineStr">
        <is>
          <t>Não</t>
        </is>
      </c>
      <c r="P1195" t="inlineStr">
        <is>
          <t>1.350</t>
        </is>
      </c>
    </row>
    <row r="1196">
      <c r="A1196" t="inlineStr">
        <is>
          <t>Antes de 2026</t>
        </is>
      </c>
      <c r="B1196" t="inlineStr">
        <is>
          <t>Frete de venda</t>
        </is>
      </c>
      <c r="C1196" t="inlineStr">
        <is>
          <t>Frete de venda (para clientes)</t>
        </is>
      </c>
      <c r="D1196" t="inlineStr">
        <is>
          <t>CT-e</t>
        </is>
      </c>
      <c r="E1196" t="inlineStr">
        <is>
          <t>000004421</t>
        </is>
      </c>
      <c r="F1196" t="inlineStr">
        <is>
          <t>R&amp;R TRANSPORTE E LOGISTICA</t>
        </is>
      </c>
      <c r="G1196" s="27" t="n">
        <v>45820</v>
      </c>
      <c r="H1196" s="14" t="n">
        <v>38</v>
      </c>
      <c r="I1196" s="14" t="n">
        <v>0</v>
      </c>
      <c r="J1196" s="14" t="n">
        <v>0</v>
      </c>
      <c r="K1196" s="14" t="n">
        <v>0</v>
      </c>
      <c r="L1196" s="14" t="n">
        <v>0</v>
      </c>
      <c r="M1196" s="14">
        <f>IF(B1196="Frete de venda",0,(1-ISNUMBER(SEARCH("556",P1196)))*(I1196*VLOOKUP($B1196,Premissas!$A$4:$E$7,2,0)+J1196*VLOOKUP($B1196,Premissas!$A$4:$E$7,3,0))+K1196*VLOOKUP($B1196,Premissas!$A$4:$E$7,4,0)+L1196*VLOOKUP($B1196,Premissas!$A$4:$E$7,5,0))</f>
        <v/>
      </c>
      <c r="N1196" s="14">
        <f>H1196-M1196</f>
        <v/>
      </c>
      <c r="O1196" t="inlineStr">
        <is>
          <t>Não</t>
        </is>
      </c>
      <c r="P1196" t="inlineStr">
        <is>
          <t>1.350</t>
        </is>
      </c>
    </row>
    <row r="1197">
      <c r="A1197" t="inlineStr">
        <is>
          <t>Antes de 2026</t>
        </is>
      </c>
      <c r="B1197" t="inlineStr">
        <is>
          <t>Frete de venda</t>
        </is>
      </c>
      <c r="C1197" t="inlineStr">
        <is>
          <t>Frete de venda (para clientes)</t>
        </is>
      </c>
      <c r="D1197" t="inlineStr">
        <is>
          <t>CT-e</t>
        </is>
      </c>
      <c r="E1197" t="inlineStr">
        <is>
          <t>000004957</t>
        </is>
      </c>
      <c r="F1197" t="inlineStr">
        <is>
          <t>R&amp;R TRANSPORTE E LOGISTICA</t>
        </is>
      </c>
      <c r="G1197" s="27" t="n">
        <v>45889</v>
      </c>
      <c r="H1197" s="14" t="n">
        <v>216.95</v>
      </c>
      <c r="I1197" s="14" t="n">
        <v>0</v>
      </c>
      <c r="J1197" s="14" t="n">
        <v>0</v>
      </c>
      <c r="K1197" s="14" t="n">
        <v>0</v>
      </c>
      <c r="L1197" s="14" t="n">
        <v>0</v>
      </c>
      <c r="M1197" s="14">
        <f>IF(B1197="Frete de venda",0,(1-ISNUMBER(SEARCH("556",P1197)))*(I1197*VLOOKUP($B1197,Premissas!$A$4:$E$7,2,0)+J1197*VLOOKUP($B1197,Premissas!$A$4:$E$7,3,0))+K1197*VLOOKUP($B1197,Premissas!$A$4:$E$7,4,0)+L1197*VLOOKUP($B1197,Premissas!$A$4:$E$7,5,0))</f>
        <v/>
      </c>
      <c r="N1197" s="14">
        <f>H1197-M1197</f>
        <v/>
      </c>
      <c r="O1197" t="inlineStr">
        <is>
          <t>Não</t>
        </is>
      </c>
      <c r="P1197" t="inlineStr">
        <is>
          <t>1.350</t>
        </is>
      </c>
    </row>
    <row r="1198">
      <c r="A1198" t="inlineStr">
        <is>
          <t>Antes de 2026</t>
        </is>
      </c>
      <c r="B1198" t="inlineStr">
        <is>
          <t>Frete de venda</t>
        </is>
      </c>
      <c r="C1198" t="inlineStr">
        <is>
          <t>Frete de venda (para clientes)</t>
        </is>
      </c>
      <c r="D1198" t="inlineStr">
        <is>
          <t>CT-e</t>
        </is>
      </c>
      <c r="E1198" t="inlineStr">
        <is>
          <t>000005609</t>
        </is>
      </c>
      <c r="F1198" t="inlineStr">
        <is>
          <t>R&amp;R TRANSPORTE E LOGISTICA</t>
        </is>
      </c>
      <c r="G1198" s="27" t="n">
        <v>45959</v>
      </c>
      <c r="H1198" s="14" t="n">
        <v>31.98</v>
      </c>
      <c r="I1198" s="14" t="n">
        <v>0</v>
      </c>
      <c r="J1198" s="14" t="n">
        <v>0</v>
      </c>
      <c r="K1198" s="14" t="n">
        <v>0</v>
      </c>
      <c r="L1198" s="14" t="n">
        <v>0</v>
      </c>
      <c r="M1198" s="14">
        <f>IF(B1198="Frete de venda",0,(1-ISNUMBER(SEARCH("556",P1198)))*(I1198*VLOOKUP($B1198,Premissas!$A$4:$E$7,2,0)+J1198*VLOOKUP($B1198,Premissas!$A$4:$E$7,3,0))+K1198*VLOOKUP($B1198,Premissas!$A$4:$E$7,4,0)+L1198*VLOOKUP($B1198,Premissas!$A$4:$E$7,5,0))</f>
        <v/>
      </c>
      <c r="N1198" s="14">
        <f>H1198-M1198</f>
        <v/>
      </c>
      <c r="O1198" t="inlineStr">
        <is>
          <t>Não</t>
        </is>
      </c>
      <c r="P1198" t="inlineStr">
        <is>
          <t>1.350</t>
        </is>
      </c>
    </row>
    <row r="1199">
      <c r="A1199" t="inlineStr">
        <is>
          <t>Antes de 2026</t>
        </is>
      </c>
      <c r="B1199" t="inlineStr">
        <is>
          <t>Frete de venda</t>
        </is>
      </c>
      <c r="C1199" t="inlineStr">
        <is>
          <t>Frete de venda (para clientes)</t>
        </is>
      </c>
      <c r="D1199" t="inlineStr">
        <is>
          <t>CT-e</t>
        </is>
      </c>
      <c r="E1199" t="inlineStr">
        <is>
          <t>000019529</t>
        </is>
      </c>
      <c r="F1199" t="inlineStr">
        <is>
          <t>TRANSPORTE OLIVEIRA E MELLOI - IDEALIZA TRANSPORTES</t>
        </is>
      </c>
      <c r="G1199" s="27" t="n">
        <v>45546</v>
      </c>
      <c r="H1199" s="14" t="n">
        <v>136.15</v>
      </c>
      <c r="I1199" s="14" t="n">
        <v>0</v>
      </c>
      <c r="J1199" s="14" t="n">
        <v>0</v>
      </c>
      <c r="K1199" s="14" t="n">
        <v>0</v>
      </c>
      <c r="L1199" s="14" t="n">
        <v>0</v>
      </c>
      <c r="M1199" s="14">
        <f>IF(B1199="Frete de venda",0,(1-ISNUMBER(SEARCH("556",P1199)))*(I1199*VLOOKUP($B1199,Premissas!$A$4:$E$7,2,0)+J1199*VLOOKUP($B1199,Premissas!$A$4:$E$7,3,0))+K1199*VLOOKUP($B1199,Premissas!$A$4:$E$7,4,0)+L1199*VLOOKUP($B1199,Premissas!$A$4:$E$7,5,0))</f>
        <v/>
      </c>
      <c r="N1199" s="14">
        <f>H1199-M1199</f>
        <v/>
      </c>
      <c r="O1199" t="inlineStr">
        <is>
          <t>Não</t>
        </is>
      </c>
      <c r="P1199" t="inlineStr">
        <is>
          <t>1.350</t>
        </is>
      </c>
    </row>
    <row r="1200">
      <c r="A1200" t="inlineStr">
        <is>
          <t>Antes de 2026</t>
        </is>
      </c>
      <c r="B1200" t="inlineStr">
        <is>
          <t>Frete de venda</t>
        </is>
      </c>
      <c r="C1200" t="inlineStr">
        <is>
          <t>Frete de venda (para clientes)</t>
        </is>
      </c>
      <c r="D1200" t="inlineStr">
        <is>
          <t>CT-e</t>
        </is>
      </c>
      <c r="E1200" t="inlineStr">
        <is>
          <t>000019530</t>
        </is>
      </c>
      <c r="F1200" t="inlineStr">
        <is>
          <t>TRANSPORTE OLIVEIRA E MELLOI - IDEALIZA TRANSPORTES</t>
        </is>
      </c>
      <c r="G1200" s="27" t="n">
        <v>45546</v>
      </c>
      <c r="H1200" s="14" t="n">
        <v>184.48</v>
      </c>
      <c r="I1200" s="14" t="n">
        <v>0</v>
      </c>
      <c r="J1200" s="14" t="n">
        <v>0</v>
      </c>
      <c r="K1200" s="14" t="n">
        <v>0</v>
      </c>
      <c r="L1200" s="14" t="n">
        <v>0</v>
      </c>
      <c r="M1200" s="14">
        <f>IF(B1200="Frete de venda",0,(1-ISNUMBER(SEARCH("556",P1200)))*(I1200*VLOOKUP($B1200,Premissas!$A$4:$E$7,2,0)+J1200*VLOOKUP($B1200,Premissas!$A$4:$E$7,3,0))+K1200*VLOOKUP($B1200,Premissas!$A$4:$E$7,4,0)+L1200*VLOOKUP($B1200,Premissas!$A$4:$E$7,5,0))</f>
        <v/>
      </c>
      <c r="N1200" s="14">
        <f>H1200-M1200</f>
        <v/>
      </c>
      <c r="O1200" t="inlineStr">
        <is>
          <t>Não</t>
        </is>
      </c>
      <c r="P1200" t="inlineStr">
        <is>
          <t>1.350</t>
        </is>
      </c>
    </row>
    <row r="1201">
      <c r="A1201" t="inlineStr">
        <is>
          <t>Antes de 2026</t>
        </is>
      </c>
      <c r="B1201" t="inlineStr">
        <is>
          <t>Frete de venda</t>
        </is>
      </c>
      <c r="C1201" t="inlineStr">
        <is>
          <t>Frete de venda (para clientes)</t>
        </is>
      </c>
      <c r="D1201" t="inlineStr">
        <is>
          <t>CT-e</t>
        </is>
      </c>
      <c r="E1201" t="inlineStr">
        <is>
          <t>000020448</t>
        </is>
      </c>
      <c r="F1201" t="inlineStr">
        <is>
          <t>TRANSPORTE OLIVEIRA E MELLOI - IDEALIZA TRANSPORTES</t>
        </is>
      </c>
      <c r="G1201" s="27" t="n">
        <v>45600</v>
      </c>
      <c r="H1201" s="14" t="n">
        <v>339.85</v>
      </c>
      <c r="I1201" s="14" t="n">
        <v>0</v>
      </c>
      <c r="J1201" s="14" t="n">
        <v>0</v>
      </c>
      <c r="K1201" s="14" t="n">
        <v>0</v>
      </c>
      <c r="L1201" s="14" t="n">
        <v>0</v>
      </c>
      <c r="M1201" s="14">
        <f>IF(B1201="Frete de venda",0,(1-ISNUMBER(SEARCH("556",P1201)))*(I1201*VLOOKUP($B1201,Premissas!$A$4:$E$7,2,0)+J1201*VLOOKUP($B1201,Premissas!$A$4:$E$7,3,0))+K1201*VLOOKUP($B1201,Premissas!$A$4:$E$7,4,0)+L1201*VLOOKUP($B1201,Premissas!$A$4:$E$7,5,0))</f>
        <v/>
      </c>
      <c r="N1201" s="14">
        <f>H1201-M1201</f>
        <v/>
      </c>
      <c r="O1201" t="inlineStr">
        <is>
          <t>Não</t>
        </is>
      </c>
      <c r="P1201" t="inlineStr">
        <is>
          <t>1.350</t>
        </is>
      </c>
    </row>
    <row r="1202">
      <c r="A1202" t="inlineStr">
        <is>
          <t>Antes de 2026</t>
        </is>
      </c>
      <c r="B1202" t="inlineStr">
        <is>
          <t>Frete de venda</t>
        </is>
      </c>
      <c r="C1202" t="inlineStr">
        <is>
          <t>Frete de venda (para clientes)</t>
        </is>
      </c>
      <c r="D1202" t="inlineStr">
        <is>
          <t>CT-e</t>
        </is>
      </c>
      <c r="E1202" t="inlineStr">
        <is>
          <t>000020450</t>
        </is>
      </c>
      <c r="F1202" t="inlineStr">
        <is>
          <t>TRANSPORTE OLIVEIRA E MELLOI - IDEALIZA TRANSPORTES</t>
        </is>
      </c>
      <c r="G1202" s="27" t="n">
        <v>45600</v>
      </c>
      <c r="H1202" s="14" t="n">
        <v>325.5</v>
      </c>
      <c r="I1202" s="14" t="n">
        <v>0</v>
      </c>
      <c r="J1202" s="14" t="n">
        <v>0</v>
      </c>
      <c r="K1202" s="14" t="n">
        <v>0</v>
      </c>
      <c r="L1202" s="14" t="n">
        <v>0</v>
      </c>
      <c r="M1202" s="14">
        <f>IF(B1202="Frete de venda",0,(1-ISNUMBER(SEARCH("556",P1202)))*(I1202*VLOOKUP($B1202,Premissas!$A$4:$E$7,2,0)+J1202*VLOOKUP($B1202,Premissas!$A$4:$E$7,3,0))+K1202*VLOOKUP($B1202,Premissas!$A$4:$E$7,4,0)+L1202*VLOOKUP($B1202,Premissas!$A$4:$E$7,5,0))</f>
        <v/>
      </c>
      <c r="N1202" s="14">
        <f>H1202-M1202</f>
        <v/>
      </c>
      <c r="O1202" t="inlineStr">
        <is>
          <t>Não</t>
        </is>
      </c>
      <c r="P1202" t="inlineStr">
        <is>
          <t>1.350</t>
        </is>
      </c>
    </row>
    <row r="1203">
      <c r="A1203" t="inlineStr">
        <is>
          <t>Antes de 2026</t>
        </is>
      </c>
      <c r="B1203" t="inlineStr">
        <is>
          <t>Frete de venda</t>
        </is>
      </c>
      <c r="C1203" t="inlineStr">
        <is>
          <t>Frete de venda (para clientes)</t>
        </is>
      </c>
      <c r="D1203" t="inlineStr">
        <is>
          <t>CT-e</t>
        </is>
      </c>
      <c r="E1203" t="inlineStr">
        <is>
          <t>000020879</t>
        </is>
      </c>
      <c r="F1203" t="inlineStr">
        <is>
          <t>TRANSPORTE OLIVEIRA E MELLOI - IDEALIZA TRANSPORTES</t>
        </is>
      </c>
      <c r="G1203" s="27" t="n">
        <v>45685</v>
      </c>
      <c r="H1203" s="14" t="n">
        <v>256.9</v>
      </c>
      <c r="I1203" s="14" t="n">
        <v>0</v>
      </c>
      <c r="J1203" s="14" t="n">
        <v>0</v>
      </c>
      <c r="K1203" s="14" t="n">
        <v>0</v>
      </c>
      <c r="L1203" s="14" t="n">
        <v>0</v>
      </c>
      <c r="M1203" s="14">
        <f>IF(B1203="Frete de venda",0,(1-ISNUMBER(SEARCH("556",P1203)))*(I1203*VLOOKUP($B1203,Premissas!$A$4:$E$7,2,0)+J1203*VLOOKUP($B1203,Premissas!$A$4:$E$7,3,0))+K1203*VLOOKUP($B1203,Premissas!$A$4:$E$7,4,0)+L1203*VLOOKUP($B1203,Premissas!$A$4:$E$7,5,0))</f>
        <v/>
      </c>
      <c r="N1203" s="14">
        <f>H1203-M1203</f>
        <v/>
      </c>
      <c r="O1203" t="inlineStr">
        <is>
          <t>Não</t>
        </is>
      </c>
      <c r="P1203" t="inlineStr">
        <is>
          <t>1.350</t>
        </is>
      </c>
    </row>
    <row r="1204">
      <c r="A1204" t="inlineStr">
        <is>
          <t>Antes de 2026</t>
        </is>
      </c>
      <c r="B1204" t="inlineStr">
        <is>
          <t>Frete de venda</t>
        </is>
      </c>
      <c r="C1204" t="inlineStr">
        <is>
          <t>Frete de venda (para clientes)</t>
        </is>
      </c>
      <c r="D1204" t="inlineStr">
        <is>
          <t>CT-e</t>
        </is>
      </c>
      <c r="E1204" t="inlineStr">
        <is>
          <t>000020885</t>
        </is>
      </c>
      <c r="F1204" t="inlineStr">
        <is>
          <t>TRANSPORTE OLIVEIRA E MELLOI - IDEALIZA TRANSPORTES</t>
        </is>
      </c>
      <c r="G1204" s="27" t="n">
        <v>45685</v>
      </c>
      <c r="H1204" s="14" t="n">
        <v>217.35</v>
      </c>
      <c r="I1204" s="14" t="n">
        <v>0</v>
      </c>
      <c r="J1204" s="14" t="n">
        <v>0</v>
      </c>
      <c r="K1204" s="14" t="n">
        <v>0</v>
      </c>
      <c r="L1204" s="14" t="n">
        <v>0</v>
      </c>
      <c r="M1204" s="14">
        <f>IF(B1204="Frete de venda",0,(1-ISNUMBER(SEARCH("556",P1204)))*(I1204*VLOOKUP($B1204,Premissas!$A$4:$E$7,2,0)+J1204*VLOOKUP($B1204,Premissas!$A$4:$E$7,3,0))+K1204*VLOOKUP($B1204,Premissas!$A$4:$E$7,4,0)+L1204*VLOOKUP($B1204,Premissas!$A$4:$E$7,5,0))</f>
        <v/>
      </c>
      <c r="N1204" s="14">
        <f>H1204-M1204</f>
        <v/>
      </c>
      <c r="O1204" t="inlineStr">
        <is>
          <t>Não</t>
        </is>
      </c>
      <c r="P1204" t="inlineStr">
        <is>
          <t>1.350</t>
        </is>
      </c>
    </row>
    <row r="1205">
      <c r="A1205" t="inlineStr">
        <is>
          <t>Antes de 2026</t>
        </is>
      </c>
      <c r="B1205" t="inlineStr">
        <is>
          <t>Frete de venda</t>
        </is>
      </c>
      <c r="C1205" t="inlineStr">
        <is>
          <t>Frete de venda (para clientes)</t>
        </is>
      </c>
      <c r="D1205" t="inlineStr">
        <is>
          <t>CT-e</t>
        </is>
      </c>
      <c r="E1205" t="inlineStr">
        <is>
          <t>000020887</t>
        </is>
      </c>
      <c r="F1205" t="inlineStr">
        <is>
          <t>TRANSPORTE OLIVEIRA E MELLOI - IDEALIZA TRANSPORTES</t>
        </is>
      </c>
      <c r="G1205" s="27" t="n">
        <v>45685</v>
      </c>
      <c r="H1205" s="14" t="n">
        <v>216.3</v>
      </c>
      <c r="I1205" s="14" t="n">
        <v>0</v>
      </c>
      <c r="J1205" s="14" t="n">
        <v>0</v>
      </c>
      <c r="K1205" s="14" t="n">
        <v>0</v>
      </c>
      <c r="L1205" s="14" t="n">
        <v>0</v>
      </c>
      <c r="M1205" s="14">
        <f>IF(B1205="Frete de venda",0,(1-ISNUMBER(SEARCH("556",P1205)))*(I1205*VLOOKUP($B1205,Premissas!$A$4:$E$7,2,0)+J1205*VLOOKUP($B1205,Premissas!$A$4:$E$7,3,0))+K1205*VLOOKUP($B1205,Premissas!$A$4:$E$7,4,0)+L1205*VLOOKUP($B1205,Premissas!$A$4:$E$7,5,0))</f>
        <v/>
      </c>
      <c r="N1205" s="14">
        <f>H1205-M1205</f>
        <v/>
      </c>
      <c r="O1205" t="inlineStr">
        <is>
          <t>Não</t>
        </is>
      </c>
      <c r="P1205" t="inlineStr">
        <is>
          <t>1.350</t>
        </is>
      </c>
    </row>
    <row r="1206">
      <c r="A1206" t="inlineStr">
        <is>
          <t>Antes de 2026</t>
        </is>
      </c>
      <c r="B1206" t="inlineStr">
        <is>
          <t>Frete de venda</t>
        </is>
      </c>
      <c r="C1206" t="inlineStr">
        <is>
          <t>Frete de venda (para clientes)</t>
        </is>
      </c>
      <c r="D1206" t="inlineStr">
        <is>
          <t>CT-e</t>
        </is>
      </c>
      <c r="E1206" t="inlineStr">
        <is>
          <t>000004094</t>
        </is>
      </c>
      <c r="F1206" t="inlineStr">
        <is>
          <t>R&amp;R TRANSPORTE E LOGISTICA</t>
        </is>
      </c>
      <c r="G1206" s="27" t="n">
        <v>45775</v>
      </c>
      <c r="H1206" s="14" t="n">
        <v>75.25</v>
      </c>
      <c r="I1206" s="14" t="n">
        <v>0</v>
      </c>
      <c r="J1206" s="14" t="n">
        <v>0</v>
      </c>
      <c r="K1206" s="14" t="n">
        <v>0</v>
      </c>
      <c r="L1206" s="14" t="n">
        <v>0</v>
      </c>
      <c r="M1206" s="14">
        <f>IF(B1206="Frete de venda",0,(1-ISNUMBER(SEARCH("556",P1206)))*(I1206*VLOOKUP($B1206,Premissas!$A$4:$E$7,2,0)+J1206*VLOOKUP($B1206,Premissas!$A$4:$E$7,3,0))+K1206*VLOOKUP($B1206,Premissas!$A$4:$E$7,4,0)+L1206*VLOOKUP($B1206,Premissas!$A$4:$E$7,5,0))</f>
        <v/>
      </c>
      <c r="N1206" s="14">
        <f>H1206-M1206</f>
        <v/>
      </c>
      <c r="O1206" t="inlineStr">
        <is>
          <t>Não</t>
        </is>
      </c>
      <c r="P1206" t="inlineStr">
        <is>
          <t>1.350</t>
        </is>
      </c>
    </row>
    <row r="1207">
      <c r="A1207" t="inlineStr">
        <is>
          <t>Antes de 2026</t>
        </is>
      </c>
      <c r="B1207" t="inlineStr">
        <is>
          <t>Frete de venda</t>
        </is>
      </c>
      <c r="C1207" t="inlineStr">
        <is>
          <t>Frete de venda (para clientes)</t>
        </is>
      </c>
      <c r="D1207" t="inlineStr">
        <is>
          <t>CT-e</t>
        </is>
      </c>
      <c r="E1207" t="inlineStr">
        <is>
          <t>000004096</t>
        </is>
      </c>
      <c r="F1207" t="inlineStr">
        <is>
          <t>R&amp;R TRANSPORTE E LOGISTICA</t>
        </is>
      </c>
      <c r="G1207" s="27" t="n">
        <v>45775</v>
      </c>
      <c r="H1207" s="14" t="n">
        <v>38</v>
      </c>
      <c r="I1207" s="14" t="n">
        <v>0</v>
      </c>
      <c r="J1207" s="14" t="n">
        <v>0</v>
      </c>
      <c r="K1207" s="14" t="n">
        <v>0</v>
      </c>
      <c r="L1207" s="14" t="n">
        <v>0</v>
      </c>
      <c r="M1207" s="14">
        <f>IF(B1207="Frete de venda",0,(1-ISNUMBER(SEARCH("556",P1207)))*(I1207*VLOOKUP($B1207,Premissas!$A$4:$E$7,2,0)+J1207*VLOOKUP($B1207,Premissas!$A$4:$E$7,3,0))+K1207*VLOOKUP($B1207,Premissas!$A$4:$E$7,4,0)+L1207*VLOOKUP($B1207,Premissas!$A$4:$E$7,5,0))</f>
        <v/>
      </c>
      <c r="N1207" s="14">
        <f>H1207-M1207</f>
        <v/>
      </c>
      <c r="O1207" t="inlineStr">
        <is>
          <t>Não</t>
        </is>
      </c>
      <c r="P1207" t="inlineStr">
        <is>
          <t>1.350</t>
        </is>
      </c>
    </row>
    <row r="1208">
      <c r="A1208" t="inlineStr">
        <is>
          <t>Antes de 2026</t>
        </is>
      </c>
      <c r="B1208" t="inlineStr">
        <is>
          <t>Frete de venda</t>
        </is>
      </c>
      <c r="C1208" t="inlineStr">
        <is>
          <t>Frete de venda (para clientes)</t>
        </is>
      </c>
      <c r="D1208" t="inlineStr">
        <is>
          <t>CT-e</t>
        </is>
      </c>
      <c r="E1208" t="inlineStr">
        <is>
          <t>000004097</t>
        </is>
      </c>
      <c r="F1208" t="inlineStr">
        <is>
          <t>R&amp;R TRANSPORTE E LOGISTICA</t>
        </is>
      </c>
      <c r="G1208" s="27" t="n">
        <v>45775</v>
      </c>
      <c r="H1208" s="14" t="n">
        <v>38</v>
      </c>
      <c r="I1208" s="14" t="n">
        <v>0</v>
      </c>
      <c r="J1208" s="14" t="n">
        <v>0</v>
      </c>
      <c r="K1208" s="14" t="n">
        <v>0</v>
      </c>
      <c r="L1208" s="14" t="n">
        <v>0</v>
      </c>
      <c r="M1208" s="14">
        <f>IF(B1208="Frete de venda",0,(1-ISNUMBER(SEARCH("556",P1208)))*(I1208*VLOOKUP($B1208,Premissas!$A$4:$E$7,2,0)+J1208*VLOOKUP($B1208,Premissas!$A$4:$E$7,3,0))+K1208*VLOOKUP($B1208,Premissas!$A$4:$E$7,4,0)+L1208*VLOOKUP($B1208,Premissas!$A$4:$E$7,5,0))</f>
        <v/>
      </c>
      <c r="N1208" s="14">
        <f>H1208-M1208</f>
        <v/>
      </c>
      <c r="O1208" t="inlineStr">
        <is>
          <t>Não</t>
        </is>
      </c>
      <c r="P1208" t="inlineStr">
        <is>
          <t>1.350</t>
        </is>
      </c>
    </row>
    <row r="1209">
      <c r="A1209" t="inlineStr">
        <is>
          <t>Antes de 2026</t>
        </is>
      </c>
      <c r="B1209" t="inlineStr">
        <is>
          <t>Frete de venda</t>
        </is>
      </c>
      <c r="C1209" t="inlineStr">
        <is>
          <t>Frete de venda (para clientes)</t>
        </is>
      </c>
      <c r="D1209" t="inlineStr">
        <is>
          <t>CT-e</t>
        </is>
      </c>
      <c r="E1209" t="inlineStr">
        <is>
          <t>000004420</t>
        </is>
      </c>
      <c r="F1209" t="inlineStr">
        <is>
          <t>R&amp;R TRANSPORTE E LOGISTICA</t>
        </is>
      </c>
      <c r="G1209" s="27" t="n">
        <v>45820</v>
      </c>
      <c r="H1209" s="14" t="n">
        <v>60.15</v>
      </c>
      <c r="I1209" s="14" t="n">
        <v>0</v>
      </c>
      <c r="J1209" s="14" t="n">
        <v>0</v>
      </c>
      <c r="K1209" s="14" t="n">
        <v>0</v>
      </c>
      <c r="L1209" s="14" t="n">
        <v>0</v>
      </c>
      <c r="M1209" s="14">
        <f>IF(B1209="Frete de venda",0,(1-ISNUMBER(SEARCH("556",P1209)))*(I1209*VLOOKUP($B1209,Premissas!$A$4:$E$7,2,0)+J1209*VLOOKUP($B1209,Premissas!$A$4:$E$7,3,0))+K1209*VLOOKUP($B1209,Premissas!$A$4:$E$7,4,0)+L1209*VLOOKUP($B1209,Premissas!$A$4:$E$7,5,0))</f>
        <v/>
      </c>
      <c r="N1209" s="14">
        <f>H1209-M1209</f>
        <v/>
      </c>
      <c r="O1209" t="inlineStr">
        <is>
          <t>Não</t>
        </is>
      </c>
      <c r="P1209" t="inlineStr">
        <is>
          <t>1.350</t>
        </is>
      </c>
    </row>
    <row r="1210">
      <c r="A1210" t="inlineStr">
        <is>
          <t>Antes de 2026</t>
        </is>
      </c>
      <c r="B1210" t="inlineStr">
        <is>
          <t>Frete de venda</t>
        </is>
      </c>
      <c r="C1210" t="inlineStr">
        <is>
          <t>Frete de venda (para clientes)</t>
        </is>
      </c>
      <c r="D1210" t="inlineStr">
        <is>
          <t>CT-e</t>
        </is>
      </c>
      <c r="E1210" t="inlineStr">
        <is>
          <t>000004417</t>
        </is>
      </c>
      <c r="F1210" t="inlineStr">
        <is>
          <t>R&amp;R TRANSPORTE E LOGISTICA</t>
        </is>
      </c>
      <c r="G1210" s="27" t="n">
        <v>45820</v>
      </c>
      <c r="H1210" s="14" t="n">
        <v>60.45</v>
      </c>
      <c r="I1210" s="14" t="n">
        <v>0</v>
      </c>
      <c r="J1210" s="14" t="n">
        <v>0</v>
      </c>
      <c r="K1210" s="14" t="n">
        <v>0</v>
      </c>
      <c r="L1210" s="14" t="n">
        <v>0</v>
      </c>
      <c r="M1210" s="14">
        <f>IF(B1210="Frete de venda",0,(1-ISNUMBER(SEARCH("556",P1210)))*(I1210*VLOOKUP($B1210,Premissas!$A$4:$E$7,2,0)+J1210*VLOOKUP($B1210,Premissas!$A$4:$E$7,3,0))+K1210*VLOOKUP($B1210,Premissas!$A$4:$E$7,4,0)+L1210*VLOOKUP($B1210,Premissas!$A$4:$E$7,5,0))</f>
        <v/>
      </c>
      <c r="N1210" s="14">
        <f>H1210-M1210</f>
        <v/>
      </c>
      <c r="O1210" t="inlineStr">
        <is>
          <t>Não</t>
        </is>
      </c>
      <c r="P1210" t="inlineStr">
        <is>
          <t>1.350</t>
        </is>
      </c>
    </row>
    <row r="1211">
      <c r="A1211" t="inlineStr">
        <is>
          <t>Antes de 2026</t>
        </is>
      </c>
      <c r="B1211" t="inlineStr">
        <is>
          <t>Frete de venda</t>
        </is>
      </c>
      <c r="C1211" t="inlineStr">
        <is>
          <t>Frete de venda (para clientes)</t>
        </is>
      </c>
      <c r="D1211" t="inlineStr">
        <is>
          <t>CT-e</t>
        </is>
      </c>
      <c r="E1211" t="inlineStr">
        <is>
          <t>000004419</t>
        </is>
      </c>
      <c r="F1211" t="inlineStr">
        <is>
          <t>R&amp;R TRANSPORTE E LOGISTICA</t>
        </is>
      </c>
      <c r="G1211" s="27" t="n">
        <v>45820</v>
      </c>
      <c r="H1211" s="14" t="n">
        <v>65</v>
      </c>
      <c r="I1211" s="14" t="n">
        <v>0</v>
      </c>
      <c r="J1211" s="14" t="n">
        <v>0</v>
      </c>
      <c r="K1211" s="14" t="n">
        <v>0</v>
      </c>
      <c r="L1211" s="14" t="n">
        <v>0</v>
      </c>
      <c r="M1211" s="14">
        <f>IF(B1211="Frete de venda",0,(1-ISNUMBER(SEARCH("556",P1211)))*(I1211*VLOOKUP($B1211,Premissas!$A$4:$E$7,2,0)+J1211*VLOOKUP($B1211,Premissas!$A$4:$E$7,3,0))+K1211*VLOOKUP($B1211,Premissas!$A$4:$E$7,4,0)+L1211*VLOOKUP($B1211,Premissas!$A$4:$E$7,5,0))</f>
        <v/>
      </c>
      <c r="N1211" s="14">
        <f>H1211-M1211</f>
        <v/>
      </c>
      <c r="O1211" t="inlineStr">
        <is>
          <t>Não</t>
        </is>
      </c>
      <c r="P1211" t="inlineStr">
        <is>
          <t>1.350</t>
        </is>
      </c>
    </row>
    <row r="1212">
      <c r="A1212" t="inlineStr">
        <is>
          <t>Antes de 2026</t>
        </is>
      </c>
      <c r="B1212" t="inlineStr">
        <is>
          <t>Frete de venda</t>
        </is>
      </c>
      <c r="C1212" t="inlineStr">
        <is>
          <t>Frete de venda (para clientes)</t>
        </is>
      </c>
      <c r="D1212" t="inlineStr">
        <is>
          <t>CT-e</t>
        </is>
      </c>
      <c r="E1212" t="inlineStr">
        <is>
          <t>000004595</t>
        </is>
      </c>
      <c r="F1212" t="inlineStr">
        <is>
          <t>R&amp;R TRANSPORTE E LOGISTICA</t>
        </is>
      </c>
      <c r="G1212" s="27" t="n">
        <v>45842</v>
      </c>
      <c r="H1212" s="14" t="n">
        <v>41.15</v>
      </c>
      <c r="I1212" s="14" t="n">
        <v>0</v>
      </c>
      <c r="J1212" s="14" t="n">
        <v>0</v>
      </c>
      <c r="K1212" s="14" t="n">
        <v>0</v>
      </c>
      <c r="L1212" s="14" t="n">
        <v>0</v>
      </c>
      <c r="M1212" s="14">
        <f>IF(B1212="Frete de venda",0,(1-ISNUMBER(SEARCH("556",P1212)))*(I1212*VLOOKUP($B1212,Premissas!$A$4:$E$7,2,0)+J1212*VLOOKUP($B1212,Premissas!$A$4:$E$7,3,0))+K1212*VLOOKUP($B1212,Premissas!$A$4:$E$7,4,0)+L1212*VLOOKUP($B1212,Premissas!$A$4:$E$7,5,0))</f>
        <v/>
      </c>
      <c r="N1212" s="14">
        <f>H1212-M1212</f>
        <v/>
      </c>
      <c r="O1212" t="inlineStr">
        <is>
          <t>Não</t>
        </is>
      </c>
      <c r="P1212" t="inlineStr">
        <is>
          <t>1.350</t>
        </is>
      </c>
    </row>
    <row r="1213">
      <c r="A1213" t="inlineStr">
        <is>
          <t>Antes de 2026</t>
        </is>
      </c>
      <c r="B1213" t="inlineStr">
        <is>
          <t>Frete de venda</t>
        </is>
      </c>
      <c r="C1213" t="inlineStr">
        <is>
          <t>Frete de venda (para clientes)</t>
        </is>
      </c>
      <c r="D1213" t="inlineStr">
        <is>
          <t>CT-e</t>
        </is>
      </c>
      <c r="E1213" t="inlineStr">
        <is>
          <t>000005166</t>
        </is>
      </c>
      <c r="F1213" t="inlineStr">
        <is>
          <t>R&amp;R TRANSPORTE E LOGISTICA</t>
        </is>
      </c>
      <c r="G1213" s="27" t="n">
        <v>45911</v>
      </c>
      <c r="H1213" s="14" t="n">
        <v>38.89</v>
      </c>
      <c r="I1213" s="14" t="n">
        <v>0</v>
      </c>
      <c r="J1213" s="14" t="n">
        <v>0</v>
      </c>
      <c r="K1213" s="14" t="n">
        <v>0</v>
      </c>
      <c r="L1213" s="14" t="n">
        <v>0</v>
      </c>
      <c r="M1213" s="14">
        <f>IF(B1213="Frete de venda",0,(1-ISNUMBER(SEARCH("556",P1213)))*(I1213*VLOOKUP($B1213,Premissas!$A$4:$E$7,2,0)+J1213*VLOOKUP($B1213,Premissas!$A$4:$E$7,3,0))+K1213*VLOOKUP($B1213,Premissas!$A$4:$E$7,4,0)+L1213*VLOOKUP($B1213,Premissas!$A$4:$E$7,5,0))</f>
        <v/>
      </c>
      <c r="N1213" s="14">
        <f>H1213-M1213</f>
        <v/>
      </c>
      <c r="O1213" t="inlineStr">
        <is>
          <t>Não</t>
        </is>
      </c>
      <c r="P1213" t="inlineStr">
        <is>
          <t>1.350</t>
        </is>
      </c>
    </row>
    <row r="1214">
      <c r="A1214" t="inlineStr">
        <is>
          <t>Antes de 2026</t>
        </is>
      </c>
      <c r="B1214" t="inlineStr">
        <is>
          <t>Frete de venda</t>
        </is>
      </c>
      <c r="C1214" t="inlineStr">
        <is>
          <t>Frete de venda (para clientes)</t>
        </is>
      </c>
      <c r="D1214" t="inlineStr">
        <is>
          <t>CT-e</t>
        </is>
      </c>
      <c r="E1214" t="inlineStr">
        <is>
          <t>000005172</t>
        </is>
      </c>
      <c r="F1214" t="inlineStr">
        <is>
          <t>R&amp;R TRANSPORTE E LOGISTICA</t>
        </is>
      </c>
      <c r="G1214" s="27" t="n">
        <v>45911</v>
      </c>
      <c r="H1214" s="14" t="n">
        <v>66.43000000000001</v>
      </c>
      <c r="I1214" s="14" t="n">
        <v>0</v>
      </c>
      <c r="J1214" s="14" t="n">
        <v>0</v>
      </c>
      <c r="K1214" s="14" t="n">
        <v>0</v>
      </c>
      <c r="L1214" s="14" t="n">
        <v>0</v>
      </c>
      <c r="M1214" s="14">
        <f>IF(B1214="Frete de venda",0,(1-ISNUMBER(SEARCH("556",P1214)))*(I1214*VLOOKUP($B1214,Premissas!$A$4:$E$7,2,0)+J1214*VLOOKUP($B1214,Premissas!$A$4:$E$7,3,0))+K1214*VLOOKUP($B1214,Premissas!$A$4:$E$7,4,0)+L1214*VLOOKUP($B1214,Premissas!$A$4:$E$7,5,0))</f>
        <v/>
      </c>
      <c r="N1214" s="14">
        <f>H1214-M1214</f>
        <v/>
      </c>
      <c r="O1214" t="inlineStr">
        <is>
          <t>Não</t>
        </is>
      </c>
      <c r="P1214" t="inlineStr">
        <is>
          <t>1.350</t>
        </is>
      </c>
    </row>
    <row r="1215">
      <c r="A1215" t="inlineStr">
        <is>
          <t>Antes de 2026</t>
        </is>
      </c>
      <c r="B1215" t="inlineStr">
        <is>
          <t>Frete de venda</t>
        </is>
      </c>
      <c r="C1215" t="inlineStr">
        <is>
          <t>Frete de venda (para clientes)</t>
        </is>
      </c>
      <c r="D1215" t="inlineStr">
        <is>
          <t>CT-e</t>
        </is>
      </c>
      <c r="E1215" t="inlineStr">
        <is>
          <t>000005480</t>
        </is>
      </c>
      <c r="F1215" t="inlineStr">
        <is>
          <t>R&amp;R TRANSPORTE E LOGISTICA</t>
        </is>
      </c>
      <c r="G1215" s="27" t="n">
        <v>45945</v>
      </c>
      <c r="H1215" s="14" t="n">
        <v>78.31</v>
      </c>
      <c r="I1215" s="14" t="n">
        <v>0</v>
      </c>
      <c r="J1215" s="14" t="n">
        <v>0</v>
      </c>
      <c r="K1215" s="14" t="n">
        <v>0</v>
      </c>
      <c r="L1215" s="14" t="n">
        <v>0</v>
      </c>
      <c r="M1215" s="14">
        <f>IF(B1215="Frete de venda",0,(1-ISNUMBER(SEARCH("556",P1215)))*(I1215*VLOOKUP($B1215,Premissas!$A$4:$E$7,2,0)+J1215*VLOOKUP($B1215,Premissas!$A$4:$E$7,3,0))+K1215*VLOOKUP($B1215,Premissas!$A$4:$E$7,4,0)+L1215*VLOOKUP($B1215,Premissas!$A$4:$E$7,5,0))</f>
        <v/>
      </c>
      <c r="N1215" s="14">
        <f>H1215-M1215</f>
        <v/>
      </c>
      <c r="O1215" t="inlineStr">
        <is>
          <t>Não</t>
        </is>
      </c>
      <c r="P1215" t="inlineStr">
        <is>
          <t>1.350</t>
        </is>
      </c>
    </row>
    <row r="1216">
      <c r="A1216" t="inlineStr">
        <is>
          <t>Antes de 2026</t>
        </is>
      </c>
      <c r="B1216" t="inlineStr">
        <is>
          <t>Frete de venda</t>
        </is>
      </c>
      <c r="C1216" t="inlineStr">
        <is>
          <t>Frete de venda (para clientes)</t>
        </is>
      </c>
      <c r="D1216" t="inlineStr">
        <is>
          <t>CT-e</t>
        </is>
      </c>
      <c r="E1216" t="inlineStr">
        <is>
          <t>000005481</t>
        </is>
      </c>
      <c r="F1216" t="inlineStr">
        <is>
          <t>R&amp;R TRANSPORTE E LOGISTICA</t>
        </is>
      </c>
      <c r="G1216" s="27" t="n">
        <v>45945</v>
      </c>
      <c r="H1216" s="14" t="n">
        <v>76.65000000000001</v>
      </c>
      <c r="I1216" s="14" t="n">
        <v>0</v>
      </c>
      <c r="J1216" s="14" t="n">
        <v>0</v>
      </c>
      <c r="K1216" s="14" t="n">
        <v>0</v>
      </c>
      <c r="L1216" s="14" t="n">
        <v>0</v>
      </c>
      <c r="M1216" s="14">
        <f>IF(B1216="Frete de venda",0,(1-ISNUMBER(SEARCH("556",P1216)))*(I1216*VLOOKUP($B1216,Premissas!$A$4:$E$7,2,0)+J1216*VLOOKUP($B1216,Premissas!$A$4:$E$7,3,0))+K1216*VLOOKUP($B1216,Premissas!$A$4:$E$7,4,0)+L1216*VLOOKUP($B1216,Premissas!$A$4:$E$7,5,0))</f>
        <v/>
      </c>
      <c r="N1216" s="14">
        <f>H1216-M1216</f>
        <v/>
      </c>
      <c r="O1216" t="inlineStr">
        <is>
          <t>Não</t>
        </is>
      </c>
      <c r="P1216" t="inlineStr">
        <is>
          <t>1.350</t>
        </is>
      </c>
    </row>
    <row r="1217">
      <c r="A1217" t="inlineStr">
        <is>
          <t>Antes de 2026</t>
        </is>
      </c>
      <c r="B1217" t="inlineStr">
        <is>
          <t>Frete de venda</t>
        </is>
      </c>
      <c r="C1217" t="inlineStr">
        <is>
          <t>Frete de venda (para clientes)</t>
        </is>
      </c>
      <c r="D1217" t="inlineStr">
        <is>
          <t>CT-e</t>
        </is>
      </c>
      <c r="E1217" t="inlineStr">
        <is>
          <t>000005484</t>
        </is>
      </c>
      <c r="F1217" t="inlineStr">
        <is>
          <t>R&amp;R TRANSPORTE E LOGISTICA</t>
        </is>
      </c>
      <c r="G1217" s="27" t="n">
        <v>45945</v>
      </c>
      <c r="H1217" s="14" t="n">
        <v>48.84</v>
      </c>
      <c r="I1217" s="14" t="n">
        <v>0</v>
      </c>
      <c r="J1217" s="14" t="n">
        <v>0</v>
      </c>
      <c r="K1217" s="14" t="n">
        <v>0</v>
      </c>
      <c r="L1217" s="14" t="n">
        <v>0</v>
      </c>
      <c r="M1217" s="14">
        <f>IF(B1217="Frete de venda",0,(1-ISNUMBER(SEARCH("556",P1217)))*(I1217*VLOOKUP($B1217,Premissas!$A$4:$E$7,2,0)+J1217*VLOOKUP($B1217,Premissas!$A$4:$E$7,3,0))+K1217*VLOOKUP($B1217,Premissas!$A$4:$E$7,4,0)+L1217*VLOOKUP($B1217,Premissas!$A$4:$E$7,5,0))</f>
        <v/>
      </c>
      <c r="N1217" s="14">
        <f>H1217-M1217</f>
        <v/>
      </c>
      <c r="O1217" t="inlineStr">
        <is>
          <t>Não</t>
        </is>
      </c>
      <c r="P1217" t="inlineStr">
        <is>
          <t>1.350</t>
        </is>
      </c>
    </row>
    <row r="1218">
      <c r="A1218" t="inlineStr">
        <is>
          <t>Antes de 2026</t>
        </is>
      </c>
      <c r="B1218" t="inlineStr">
        <is>
          <t>Frete de venda</t>
        </is>
      </c>
      <c r="C1218" t="inlineStr">
        <is>
          <t>Frete de venda (para clientes)</t>
        </is>
      </c>
      <c r="D1218" t="inlineStr">
        <is>
          <t>CT-e</t>
        </is>
      </c>
      <c r="E1218" t="inlineStr">
        <is>
          <t>000005608</t>
        </is>
      </c>
      <c r="F1218" t="inlineStr">
        <is>
          <t>R&amp;R TRANSPORTE E LOGISTICA</t>
        </is>
      </c>
      <c r="G1218" s="27" t="n">
        <v>45959</v>
      </c>
      <c r="H1218" s="14" t="n">
        <v>46.6</v>
      </c>
      <c r="I1218" s="14" t="n">
        <v>0</v>
      </c>
      <c r="J1218" s="14" t="n">
        <v>0</v>
      </c>
      <c r="K1218" s="14" t="n">
        <v>0</v>
      </c>
      <c r="L1218" s="14" t="n">
        <v>0</v>
      </c>
      <c r="M1218" s="14">
        <f>IF(B1218="Frete de venda",0,(1-ISNUMBER(SEARCH("556",P1218)))*(I1218*VLOOKUP($B1218,Premissas!$A$4:$E$7,2,0)+J1218*VLOOKUP($B1218,Premissas!$A$4:$E$7,3,0))+K1218*VLOOKUP($B1218,Premissas!$A$4:$E$7,4,0)+L1218*VLOOKUP($B1218,Premissas!$A$4:$E$7,5,0))</f>
        <v/>
      </c>
      <c r="N1218" s="14">
        <f>H1218-M1218</f>
        <v/>
      </c>
      <c r="O1218" t="inlineStr">
        <is>
          <t>Não</t>
        </is>
      </c>
      <c r="P1218" t="inlineStr">
        <is>
          <t>1.350</t>
        </is>
      </c>
    </row>
    <row r="1219">
      <c r="A1219" t="inlineStr">
        <is>
          <t>Antes de 2026</t>
        </is>
      </c>
      <c r="B1219" t="inlineStr">
        <is>
          <t>Frete de venda</t>
        </is>
      </c>
      <c r="C1219" t="inlineStr">
        <is>
          <t>Frete de venda (para clientes)</t>
        </is>
      </c>
      <c r="D1219" t="inlineStr">
        <is>
          <t>CT-e</t>
        </is>
      </c>
      <c r="E1219" t="inlineStr">
        <is>
          <t>000005726</t>
        </is>
      </c>
      <c r="F1219" t="inlineStr">
        <is>
          <t>R&amp;R TRANSPORTE E LOGISTICA</t>
        </is>
      </c>
      <c r="G1219" s="27" t="n">
        <v>45974</v>
      </c>
      <c r="H1219" s="14" t="n">
        <v>190</v>
      </c>
      <c r="I1219" s="14" t="n">
        <v>0</v>
      </c>
      <c r="J1219" s="14" t="n">
        <v>0</v>
      </c>
      <c r="K1219" s="14" t="n">
        <v>0</v>
      </c>
      <c r="L1219" s="14" t="n">
        <v>0</v>
      </c>
      <c r="M1219" s="14">
        <f>IF(B1219="Frete de venda",0,(1-ISNUMBER(SEARCH("556",P1219)))*(I1219*VLOOKUP($B1219,Premissas!$A$4:$E$7,2,0)+J1219*VLOOKUP($B1219,Premissas!$A$4:$E$7,3,0))+K1219*VLOOKUP($B1219,Premissas!$A$4:$E$7,4,0)+L1219*VLOOKUP($B1219,Premissas!$A$4:$E$7,5,0))</f>
        <v/>
      </c>
      <c r="N1219" s="14">
        <f>H1219-M1219</f>
        <v/>
      </c>
      <c r="O1219" t="inlineStr">
        <is>
          <t>Não</t>
        </is>
      </c>
      <c r="P1219" t="inlineStr">
        <is>
          <t>1.350</t>
        </is>
      </c>
    </row>
    <row r="1220">
      <c r="A1220" t="inlineStr">
        <is>
          <t>Antes de 2026</t>
        </is>
      </c>
      <c r="B1220" t="inlineStr">
        <is>
          <t>Frete de venda</t>
        </is>
      </c>
      <c r="C1220" t="inlineStr">
        <is>
          <t>Frete de venda (para clientes)</t>
        </is>
      </c>
      <c r="D1220" t="inlineStr">
        <is>
          <t>CT-e</t>
        </is>
      </c>
      <c r="E1220" t="inlineStr">
        <is>
          <t>000005786</t>
        </is>
      </c>
      <c r="F1220" t="inlineStr">
        <is>
          <t>R&amp;R TRANSPORTE E LOGISTICA</t>
        </is>
      </c>
      <c r="G1220" s="27" t="n">
        <v>45981</v>
      </c>
      <c r="H1220" s="14" t="n">
        <v>12.33</v>
      </c>
      <c r="I1220" s="14" t="n">
        <v>0</v>
      </c>
      <c r="J1220" s="14" t="n">
        <v>0</v>
      </c>
      <c r="K1220" s="14" t="n">
        <v>0</v>
      </c>
      <c r="L1220" s="14" t="n">
        <v>0</v>
      </c>
      <c r="M1220" s="14">
        <f>IF(B1220="Frete de venda",0,(1-ISNUMBER(SEARCH("556",P1220)))*(I1220*VLOOKUP($B1220,Premissas!$A$4:$E$7,2,0)+J1220*VLOOKUP($B1220,Premissas!$A$4:$E$7,3,0))+K1220*VLOOKUP($B1220,Premissas!$A$4:$E$7,4,0)+L1220*VLOOKUP($B1220,Premissas!$A$4:$E$7,5,0))</f>
        <v/>
      </c>
      <c r="N1220" s="14">
        <f>H1220-M1220</f>
        <v/>
      </c>
      <c r="O1220" t="inlineStr">
        <is>
          <t>Não</t>
        </is>
      </c>
      <c r="P1220" t="inlineStr">
        <is>
          <t>1.350</t>
        </is>
      </c>
    </row>
    <row r="1221">
      <c r="A1221" t="inlineStr">
        <is>
          <t>Antes de 2026</t>
        </is>
      </c>
      <c r="B1221" t="inlineStr">
        <is>
          <t>Frete de venda</t>
        </is>
      </c>
      <c r="C1221" t="inlineStr">
        <is>
          <t>Frete de venda (para clientes)</t>
        </is>
      </c>
      <c r="D1221" t="inlineStr">
        <is>
          <t>CT-e</t>
        </is>
      </c>
      <c r="E1221" t="inlineStr">
        <is>
          <t>000005027</t>
        </is>
      </c>
      <c r="F1221" t="inlineStr">
        <is>
          <t>R&amp;R TRANSPORTE E LOGISTICA</t>
        </is>
      </c>
      <c r="G1221" s="27" t="n">
        <v>45895</v>
      </c>
      <c r="H1221" s="14" t="n">
        <v>14.12</v>
      </c>
      <c r="I1221" s="14" t="n">
        <v>0</v>
      </c>
      <c r="J1221" s="14" t="n">
        <v>0</v>
      </c>
      <c r="K1221" s="14" t="n">
        <v>0</v>
      </c>
      <c r="L1221" s="14" t="n">
        <v>0</v>
      </c>
      <c r="M1221" s="14">
        <f>IF(B1221="Frete de venda",0,(1-ISNUMBER(SEARCH("556",P1221)))*(I1221*VLOOKUP($B1221,Premissas!$A$4:$E$7,2,0)+J1221*VLOOKUP($B1221,Premissas!$A$4:$E$7,3,0))+K1221*VLOOKUP($B1221,Premissas!$A$4:$E$7,4,0)+L1221*VLOOKUP($B1221,Premissas!$A$4:$E$7,5,0))</f>
        <v/>
      </c>
      <c r="N1221" s="14">
        <f>H1221-M1221</f>
        <v/>
      </c>
      <c r="O1221" t="inlineStr">
        <is>
          <t>Não</t>
        </is>
      </c>
      <c r="P1221" t="inlineStr">
        <is>
          <t>1.350</t>
        </is>
      </c>
    </row>
    <row r="1222">
      <c r="A1222" t="inlineStr">
        <is>
          <t>Antes de 2026</t>
        </is>
      </c>
      <c r="B1222" t="inlineStr">
        <is>
          <t>Frete de venda</t>
        </is>
      </c>
      <c r="C1222" t="inlineStr">
        <is>
          <t>Frete de venda (para clientes)</t>
        </is>
      </c>
      <c r="D1222" t="inlineStr">
        <is>
          <t>CT-e</t>
        </is>
      </c>
      <c r="E1222" t="inlineStr">
        <is>
          <t>000005789</t>
        </is>
      </c>
      <c r="F1222" t="inlineStr">
        <is>
          <t>R&amp;R TRANSPORTE E LOGISTICA</t>
        </is>
      </c>
      <c r="G1222" s="27" t="n">
        <v>45981</v>
      </c>
      <c r="H1222" s="14" t="n">
        <v>25.7</v>
      </c>
      <c r="I1222" s="14" t="n">
        <v>0</v>
      </c>
      <c r="J1222" s="14" t="n">
        <v>0</v>
      </c>
      <c r="K1222" s="14" t="n">
        <v>0</v>
      </c>
      <c r="L1222" s="14" t="n">
        <v>0</v>
      </c>
      <c r="M1222" s="14">
        <f>IF(B1222="Frete de venda",0,(1-ISNUMBER(SEARCH("556",P1222)))*(I1222*VLOOKUP($B1222,Premissas!$A$4:$E$7,2,0)+J1222*VLOOKUP($B1222,Premissas!$A$4:$E$7,3,0))+K1222*VLOOKUP($B1222,Premissas!$A$4:$E$7,4,0)+L1222*VLOOKUP($B1222,Premissas!$A$4:$E$7,5,0))</f>
        <v/>
      </c>
      <c r="N1222" s="14">
        <f>H1222-M1222</f>
        <v/>
      </c>
      <c r="O1222" t="inlineStr">
        <is>
          <t>Não</t>
        </is>
      </c>
      <c r="P1222" t="inlineStr">
        <is>
          <t>1.350</t>
        </is>
      </c>
    </row>
    <row r="1223">
      <c r="A1223" t="inlineStr">
        <is>
          <t>Antes de 2026</t>
        </is>
      </c>
      <c r="B1223" t="inlineStr">
        <is>
          <t>Frete de venda</t>
        </is>
      </c>
      <c r="C1223" t="inlineStr">
        <is>
          <t>Frete de venda (para clientes)</t>
        </is>
      </c>
      <c r="D1223" t="inlineStr">
        <is>
          <t>CT-e</t>
        </is>
      </c>
      <c r="E1223" t="inlineStr">
        <is>
          <t>000006029</t>
        </is>
      </c>
      <c r="F1223" t="inlineStr">
        <is>
          <t>R&amp;R TRANSPORTE E LOGISTICA</t>
        </is>
      </c>
      <c r="G1223" s="27" t="n">
        <v>46011</v>
      </c>
      <c r="H1223" s="14" t="n">
        <v>31</v>
      </c>
      <c r="I1223" s="14" t="n">
        <v>0</v>
      </c>
      <c r="J1223" s="14" t="n">
        <v>0</v>
      </c>
      <c r="K1223" s="14" t="n">
        <v>0</v>
      </c>
      <c r="L1223" s="14" t="n">
        <v>0</v>
      </c>
      <c r="M1223" s="14">
        <f>IF(B1223="Frete de venda",0,(1-ISNUMBER(SEARCH("556",P1223)))*(I1223*VLOOKUP($B1223,Premissas!$A$4:$E$7,2,0)+J1223*VLOOKUP($B1223,Premissas!$A$4:$E$7,3,0))+K1223*VLOOKUP($B1223,Premissas!$A$4:$E$7,4,0)+L1223*VLOOKUP($B1223,Premissas!$A$4:$E$7,5,0))</f>
        <v/>
      </c>
      <c r="N1223" s="14">
        <f>H1223-M1223</f>
        <v/>
      </c>
      <c r="O1223" t="inlineStr">
        <is>
          <t>Não</t>
        </is>
      </c>
      <c r="P1223" t="inlineStr">
        <is>
          <t>1.350</t>
        </is>
      </c>
    </row>
    <row r="1224">
      <c r="A1224" t="inlineStr">
        <is>
          <t>Antes de 2026</t>
        </is>
      </c>
      <c r="B1224" t="inlineStr">
        <is>
          <t>Frete de venda</t>
        </is>
      </c>
      <c r="C1224" t="inlineStr">
        <is>
          <t>Frete de venda (para clientes)</t>
        </is>
      </c>
      <c r="D1224" t="inlineStr">
        <is>
          <t>CT-e</t>
        </is>
      </c>
      <c r="E1224" t="inlineStr">
        <is>
          <t>000004363</t>
        </is>
      </c>
      <c r="F1224" t="inlineStr">
        <is>
          <t>R&amp;R TRANSPORTE E LOGISTICA</t>
        </is>
      </c>
      <c r="G1224" s="27" t="n">
        <v>45810</v>
      </c>
      <c r="H1224" s="14" t="n">
        <v>700</v>
      </c>
      <c r="I1224" s="14" t="n">
        <v>0</v>
      </c>
      <c r="J1224" s="14" t="n">
        <v>0</v>
      </c>
      <c r="K1224" s="14" t="n">
        <v>0</v>
      </c>
      <c r="L1224" s="14" t="n">
        <v>0</v>
      </c>
      <c r="M1224" s="14">
        <f>IF(B1224="Frete de venda",0,(1-ISNUMBER(SEARCH("556",P1224)))*(I1224*VLOOKUP($B1224,Premissas!$A$4:$E$7,2,0)+J1224*VLOOKUP($B1224,Premissas!$A$4:$E$7,3,0))+K1224*VLOOKUP($B1224,Premissas!$A$4:$E$7,4,0)+L1224*VLOOKUP($B1224,Premissas!$A$4:$E$7,5,0))</f>
        <v/>
      </c>
      <c r="N1224" s="14">
        <f>H1224-M1224</f>
        <v/>
      </c>
      <c r="O1224" t="inlineStr">
        <is>
          <t>Não</t>
        </is>
      </c>
      <c r="P1224" t="inlineStr">
        <is>
          <t>1.350</t>
        </is>
      </c>
    </row>
    <row r="1225">
      <c r="A1225" t="inlineStr">
        <is>
          <t>Antes de 2026</t>
        </is>
      </c>
      <c r="B1225" t="inlineStr">
        <is>
          <t>Frete de venda</t>
        </is>
      </c>
      <c r="C1225" t="inlineStr">
        <is>
          <t>Frete de venda (para clientes)</t>
        </is>
      </c>
      <c r="D1225" t="inlineStr">
        <is>
          <t>CT-e</t>
        </is>
      </c>
      <c r="E1225" t="inlineStr">
        <is>
          <t>000005366</t>
        </is>
      </c>
      <c r="F1225" t="inlineStr">
        <is>
          <t>R&amp;R TRANSPORTE E LOGISTICA</t>
        </is>
      </c>
      <c r="G1225" s="27" t="n">
        <v>45930</v>
      </c>
      <c r="H1225" s="14" t="n">
        <v>67.73</v>
      </c>
      <c r="I1225" s="14" t="n">
        <v>0</v>
      </c>
      <c r="J1225" s="14" t="n">
        <v>0</v>
      </c>
      <c r="K1225" s="14" t="n">
        <v>0</v>
      </c>
      <c r="L1225" s="14" t="n">
        <v>0</v>
      </c>
      <c r="M1225" s="14">
        <f>IF(B1225="Frete de venda",0,(1-ISNUMBER(SEARCH("556",P1225)))*(I1225*VLOOKUP($B1225,Premissas!$A$4:$E$7,2,0)+J1225*VLOOKUP($B1225,Premissas!$A$4:$E$7,3,0))+K1225*VLOOKUP($B1225,Premissas!$A$4:$E$7,4,0)+L1225*VLOOKUP($B1225,Premissas!$A$4:$E$7,5,0))</f>
        <v/>
      </c>
      <c r="N1225" s="14">
        <f>H1225-M1225</f>
        <v/>
      </c>
      <c r="O1225" t="inlineStr">
        <is>
          <t>Não</t>
        </is>
      </c>
      <c r="P1225" t="inlineStr">
        <is>
          <t>1.350</t>
        </is>
      </c>
    </row>
    <row r="1226">
      <c r="A1226" t="inlineStr">
        <is>
          <t>Antes de 2026</t>
        </is>
      </c>
      <c r="B1226" t="inlineStr">
        <is>
          <t>Frete de venda</t>
        </is>
      </c>
      <c r="C1226" t="inlineStr">
        <is>
          <t>Frete de venda (para clientes)</t>
        </is>
      </c>
      <c r="D1226" t="inlineStr">
        <is>
          <t>CT-e</t>
        </is>
      </c>
      <c r="E1226" t="inlineStr">
        <is>
          <t>000004141</t>
        </is>
      </c>
      <c r="F1226" t="inlineStr">
        <is>
          <t>R&amp;R TRANSPORTE E LOGISTICA</t>
        </is>
      </c>
      <c r="G1226" s="27" t="n">
        <v>45783</v>
      </c>
      <c r="H1226" s="14" t="n">
        <v>19.23</v>
      </c>
      <c r="I1226" s="14" t="n">
        <v>0</v>
      </c>
      <c r="J1226" s="14" t="n">
        <v>0</v>
      </c>
      <c r="K1226" s="14" t="n">
        <v>0</v>
      </c>
      <c r="L1226" s="14" t="n">
        <v>0</v>
      </c>
      <c r="M1226" s="14">
        <f>IF(B1226="Frete de venda",0,(1-ISNUMBER(SEARCH("556",P1226)))*(I1226*VLOOKUP($B1226,Premissas!$A$4:$E$7,2,0)+J1226*VLOOKUP($B1226,Premissas!$A$4:$E$7,3,0))+K1226*VLOOKUP($B1226,Premissas!$A$4:$E$7,4,0)+L1226*VLOOKUP($B1226,Premissas!$A$4:$E$7,5,0))</f>
        <v/>
      </c>
      <c r="N1226" s="14">
        <f>H1226-M1226</f>
        <v/>
      </c>
      <c r="O1226" t="inlineStr">
        <is>
          <t>Não</t>
        </is>
      </c>
      <c r="P1226" t="inlineStr">
        <is>
          <t>1.350</t>
        </is>
      </c>
    </row>
    <row r="1227">
      <c r="A1227" t="inlineStr">
        <is>
          <t>Antes de 2026</t>
        </is>
      </c>
      <c r="B1227" t="inlineStr">
        <is>
          <t>Frete de venda</t>
        </is>
      </c>
      <c r="C1227" t="inlineStr">
        <is>
          <t>Frete de venda (para clientes)</t>
        </is>
      </c>
      <c r="D1227" t="inlineStr">
        <is>
          <t>CT-e</t>
        </is>
      </c>
      <c r="E1227" t="inlineStr">
        <is>
          <t>000004871</t>
        </is>
      </c>
      <c r="F1227" t="inlineStr">
        <is>
          <t>R&amp;R TRANSPORTE E LOGISTICA</t>
        </is>
      </c>
      <c r="G1227" s="27" t="n">
        <v>45877</v>
      </c>
      <c r="H1227" s="14" t="n">
        <v>22.18</v>
      </c>
      <c r="I1227" s="14" t="n">
        <v>0</v>
      </c>
      <c r="J1227" s="14" t="n">
        <v>0</v>
      </c>
      <c r="K1227" s="14" t="n">
        <v>0</v>
      </c>
      <c r="L1227" s="14" t="n">
        <v>0</v>
      </c>
      <c r="M1227" s="14">
        <f>IF(B1227="Frete de venda",0,(1-ISNUMBER(SEARCH("556",P1227)))*(I1227*VLOOKUP($B1227,Premissas!$A$4:$E$7,2,0)+J1227*VLOOKUP($B1227,Premissas!$A$4:$E$7,3,0))+K1227*VLOOKUP($B1227,Premissas!$A$4:$E$7,4,0)+L1227*VLOOKUP($B1227,Premissas!$A$4:$E$7,5,0))</f>
        <v/>
      </c>
      <c r="N1227" s="14">
        <f>H1227-M1227</f>
        <v/>
      </c>
      <c r="O1227" t="inlineStr">
        <is>
          <t>Não</t>
        </is>
      </c>
      <c r="P1227" t="inlineStr">
        <is>
          <t>1.350</t>
        </is>
      </c>
    </row>
    <row r="1228">
      <c r="A1228" t="inlineStr">
        <is>
          <t>Antes de 2026</t>
        </is>
      </c>
      <c r="B1228" t="inlineStr">
        <is>
          <t>Frete de venda</t>
        </is>
      </c>
      <c r="C1228" t="inlineStr">
        <is>
          <t>Frete de venda (para clientes)</t>
        </is>
      </c>
      <c r="D1228" t="inlineStr">
        <is>
          <t>CT-e</t>
        </is>
      </c>
      <c r="E1228" t="inlineStr">
        <is>
          <t>000005688</t>
        </is>
      </c>
      <c r="F1228" t="inlineStr">
        <is>
          <t>R&amp;R TRANSPORTE E LOGISTICA</t>
        </is>
      </c>
      <c r="G1228" s="27" t="n">
        <v>45967</v>
      </c>
      <c r="H1228" s="14" t="n">
        <v>31</v>
      </c>
      <c r="I1228" s="14" t="n">
        <v>0</v>
      </c>
      <c r="J1228" s="14" t="n">
        <v>0</v>
      </c>
      <c r="K1228" s="14" t="n">
        <v>0</v>
      </c>
      <c r="L1228" s="14" t="n">
        <v>0</v>
      </c>
      <c r="M1228" s="14">
        <f>IF(B1228="Frete de venda",0,(1-ISNUMBER(SEARCH("556",P1228)))*(I1228*VLOOKUP($B1228,Premissas!$A$4:$E$7,2,0)+J1228*VLOOKUP($B1228,Premissas!$A$4:$E$7,3,0))+K1228*VLOOKUP($B1228,Premissas!$A$4:$E$7,4,0)+L1228*VLOOKUP($B1228,Premissas!$A$4:$E$7,5,0))</f>
        <v/>
      </c>
      <c r="N1228" s="14">
        <f>H1228-M1228</f>
        <v/>
      </c>
      <c r="O1228" t="inlineStr">
        <is>
          <t>Não</t>
        </is>
      </c>
      <c r="P1228" t="inlineStr">
        <is>
          <t>1.350</t>
        </is>
      </c>
    </row>
    <row r="1229">
      <c r="A1229" t="inlineStr">
        <is>
          <t>Antes de 2026</t>
        </is>
      </c>
      <c r="B1229" t="inlineStr">
        <is>
          <t>Frete de venda</t>
        </is>
      </c>
      <c r="C1229" t="inlineStr">
        <is>
          <t>Frete de venda (para clientes)</t>
        </is>
      </c>
      <c r="D1229" t="inlineStr">
        <is>
          <t>CT-e</t>
        </is>
      </c>
      <c r="E1229" t="inlineStr">
        <is>
          <t>000006084</t>
        </is>
      </c>
      <c r="F1229" t="inlineStr">
        <is>
          <t>R&amp;R TRANSPORTE E LOGISTICA</t>
        </is>
      </c>
      <c r="G1229" s="27" t="n">
        <v>46021</v>
      </c>
      <c r="H1229" s="14" t="n">
        <v>16.05</v>
      </c>
      <c r="I1229" s="14" t="n">
        <v>0</v>
      </c>
      <c r="J1229" s="14" t="n">
        <v>0</v>
      </c>
      <c r="K1229" s="14" t="n">
        <v>0</v>
      </c>
      <c r="L1229" s="14" t="n">
        <v>0</v>
      </c>
      <c r="M1229" s="14">
        <f>IF(B1229="Frete de venda",0,(1-ISNUMBER(SEARCH("556",P1229)))*(I1229*VLOOKUP($B1229,Premissas!$A$4:$E$7,2,0)+J1229*VLOOKUP($B1229,Premissas!$A$4:$E$7,3,0))+K1229*VLOOKUP($B1229,Premissas!$A$4:$E$7,4,0)+L1229*VLOOKUP($B1229,Premissas!$A$4:$E$7,5,0))</f>
        <v/>
      </c>
      <c r="N1229" s="14">
        <f>H1229-M1229</f>
        <v/>
      </c>
      <c r="O1229" t="inlineStr">
        <is>
          <t>Não</t>
        </is>
      </c>
      <c r="P1229" t="inlineStr">
        <is>
          <t>1.350</t>
        </is>
      </c>
    </row>
    <row r="1230">
      <c r="A1230" t="inlineStr">
        <is>
          <t>Antes de 2026</t>
        </is>
      </c>
      <c r="B1230" t="inlineStr">
        <is>
          <t>Frete de venda</t>
        </is>
      </c>
      <c r="C1230" t="inlineStr">
        <is>
          <t>Frete de venda (para clientes)</t>
        </is>
      </c>
      <c r="D1230" t="inlineStr">
        <is>
          <t>CT-e</t>
        </is>
      </c>
      <c r="E1230" t="inlineStr">
        <is>
          <t>000005013</t>
        </is>
      </c>
      <c r="F1230" t="inlineStr">
        <is>
          <t>R&amp;R TRANSPORTE E LOGISTICA</t>
        </is>
      </c>
      <c r="G1230" s="27" t="n">
        <v>45895</v>
      </c>
      <c r="H1230" s="14" t="n">
        <v>24.55</v>
      </c>
      <c r="I1230" s="14" t="n">
        <v>0</v>
      </c>
      <c r="J1230" s="14" t="n">
        <v>0</v>
      </c>
      <c r="K1230" s="14" t="n">
        <v>0</v>
      </c>
      <c r="L1230" s="14" t="n">
        <v>0</v>
      </c>
      <c r="M1230" s="14">
        <f>IF(B1230="Frete de venda",0,(1-ISNUMBER(SEARCH("556",P1230)))*(I1230*VLOOKUP($B1230,Premissas!$A$4:$E$7,2,0)+J1230*VLOOKUP($B1230,Premissas!$A$4:$E$7,3,0))+K1230*VLOOKUP($B1230,Premissas!$A$4:$E$7,4,0)+L1230*VLOOKUP($B1230,Premissas!$A$4:$E$7,5,0))</f>
        <v/>
      </c>
      <c r="N1230" s="14">
        <f>H1230-M1230</f>
        <v/>
      </c>
      <c r="O1230" t="inlineStr">
        <is>
          <t>Não</t>
        </is>
      </c>
      <c r="P1230" t="inlineStr">
        <is>
          <t>1.350</t>
        </is>
      </c>
    </row>
    <row r="1231">
      <c r="A1231" t="inlineStr">
        <is>
          <t>Antes de 2026</t>
        </is>
      </c>
      <c r="B1231" t="inlineStr">
        <is>
          <t>Frete de venda</t>
        </is>
      </c>
      <c r="C1231" t="inlineStr">
        <is>
          <t>Frete de venda (para clientes)</t>
        </is>
      </c>
      <c r="D1231" t="inlineStr">
        <is>
          <t>CT-e</t>
        </is>
      </c>
      <c r="E1231" t="inlineStr">
        <is>
          <t>000004475</t>
        </is>
      </c>
      <c r="F1231" t="inlineStr">
        <is>
          <t>R&amp;R TRANSPORTE E LOGISTICA</t>
        </is>
      </c>
      <c r="G1231" s="27" t="n">
        <v>45831</v>
      </c>
      <c r="H1231" s="14" t="n">
        <v>39.82</v>
      </c>
      <c r="I1231" s="14" t="n">
        <v>0</v>
      </c>
      <c r="J1231" s="14" t="n">
        <v>0</v>
      </c>
      <c r="K1231" s="14" t="n">
        <v>0</v>
      </c>
      <c r="L1231" s="14" t="n">
        <v>0</v>
      </c>
      <c r="M1231" s="14">
        <f>IF(B1231="Frete de venda",0,(1-ISNUMBER(SEARCH("556",P1231)))*(I1231*VLOOKUP($B1231,Premissas!$A$4:$E$7,2,0)+J1231*VLOOKUP($B1231,Premissas!$A$4:$E$7,3,0))+K1231*VLOOKUP($B1231,Premissas!$A$4:$E$7,4,0)+L1231*VLOOKUP($B1231,Premissas!$A$4:$E$7,5,0))</f>
        <v/>
      </c>
      <c r="N1231" s="14">
        <f>H1231-M1231</f>
        <v/>
      </c>
      <c r="O1231" t="inlineStr">
        <is>
          <t>Não</t>
        </is>
      </c>
      <c r="P1231" t="inlineStr">
        <is>
          <t>1.350</t>
        </is>
      </c>
    </row>
    <row r="1232">
      <c r="A1232" t="inlineStr">
        <is>
          <t>Antes de 2026</t>
        </is>
      </c>
      <c r="B1232" t="inlineStr">
        <is>
          <t>Frete de venda</t>
        </is>
      </c>
      <c r="C1232" t="inlineStr">
        <is>
          <t>Frete de venda (para clientes)</t>
        </is>
      </c>
      <c r="D1232" t="inlineStr">
        <is>
          <t>CT-e</t>
        </is>
      </c>
      <c r="E1232" t="inlineStr">
        <is>
          <t>000005766</t>
        </is>
      </c>
      <c r="F1232" t="inlineStr">
        <is>
          <t>R&amp;R TRANSPORTE E LOGISTICA</t>
        </is>
      </c>
      <c r="G1232" s="27" t="n">
        <v>45981</v>
      </c>
      <c r="H1232" s="14" t="n">
        <v>6.95</v>
      </c>
      <c r="I1232" s="14" t="n">
        <v>0</v>
      </c>
      <c r="J1232" s="14" t="n">
        <v>0</v>
      </c>
      <c r="K1232" s="14" t="n">
        <v>0</v>
      </c>
      <c r="L1232" s="14" t="n">
        <v>0</v>
      </c>
      <c r="M1232" s="14">
        <f>IF(B1232="Frete de venda",0,(1-ISNUMBER(SEARCH("556",P1232)))*(I1232*VLOOKUP($B1232,Premissas!$A$4:$E$7,2,0)+J1232*VLOOKUP($B1232,Premissas!$A$4:$E$7,3,0))+K1232*VLOOKUP($B1232,Premissas!$A$4:$E$7,4,0)+L1232*VLOOKUP($B1232,Premissas!$A$4:$E$7,5,0))</f>
        <v/>
      </c>
      <c r="N1232" s="14">
        <f>H1232-M1232</f>
        <v/>
      </c>
      <c r="O1232" t="inlineStr">
        <is>
          <t>Não</t>
        </is>
      </c>
      <c r="P1232" t="inlineStr">
        <is>
          <t>1.350</t>
        </is>
      </c>
    </row>
    <row r="1233">
      <c r="A1233" t="inlineStr">
        <is>
          <t>Antes de 2026</t>
        </is>
      </c>
      <c r="B1233" t="inlineStr">
        <is>
          <t>Frete de venda</t>
        </is>
      </c>
      <c r="C1233" t="inlineStr">
        <is>
          <t>Frete de venda (para clientes)</t>
        </is>
      </c>
      <c r="D1233" t="inlineStr">
        <is>
          <t>CT-e</t>
        </is>
      </c>
      <c r="E1233" t="inlineStr">
        <is>
          <t>000005290</t>
        </is>
      </c>
      <c r="F1233" t="inlineStr">
        <is>
          <t>R&amp;R TRANSPORTE E LOGISTICA</t>
        </is>
      </c>
      <c r="G1233" s="27" t="n">
        <v>45926</v>
      </c>
      <c r="H1233" s="14" t="n">
        <v>29.7</v>
      </c>
      <c r="I1233" s="14" t="n">
        <v>0</v>
      </c>
      <c r="J1233" s="14" t="n">
        <v>0</v>
      </c>
      <c r="K1233" s="14" t="n">
        <v>0</v>
      </c>
      <c r="L1233" s="14" t="n">
        <v>0</v>
      </c>
      <c r="M1233" s="14">
        <f>IF(B1233="Frete de venda",0,(1-ISNUMBER(SEARCH("556",P1233)))*(I1233*VLOOKUP($B1233,Premissas!$A$4:$E$7,2,0)+J1233*VLOOKUP($B1233,Premissas!$A$4:$E$7,3,0))+K1233*VLOOKUP($B1233,Premissas!$A$4:$E$7,4,0)+L1233*VLOOKUP($B1233,Premissas!$A$4:$E$7,5,0))</f>
        <v/>
      </c>
      <c r="N1233" s="14">
        <f>H1233-M1233</f>
        <v/>
      </c>
      <c r="O1233" t="inlineStr">
        <is>
          <t>Não</t>
        </is>
      </c>
      <c r="P1233" t="inlineStr">
        <is>
          <t>1.350</t>
        </is>
      </c>
    </row>
    <row r="1234">
      <c r="A1234" t="inlineStr">
        <is>
          <t>Antes de 2026</t>
        </is>
      </c>
      <c r="B1234" t="inlineStr">
        <is>
          <t>Frete de venda</t>
        </is>
      </c>
      <c r="C1234" t="inlineStr">
        <is>
          <t>Frete de venda (para clientes)</t>
        </is>
      </c>
      <c r="D1234" t="inlineStr">
        <is>
          <t>CT-e</t>
        </is>
      </c>
      <c r="E1234" t="inlineStr">
        <is>
          <t>000005635</t>
        </is>
      </c>
      <c r="F1234" t="inlineStr">
        <is>
          <t>R&amp;R TRANSPORTE E LOGISTICA</t>
        </is>
      </c>
      <c r="G1234" s="27" t="n">
        <v>45961</v>
      </c>
      <c r="H1234" s="14" t="n">
        <v>19.32</v>
      </c>
      <c r="I1234" s="14" t="n">
        <v>0</v>
      </c>
      <c r="J1234" s="14" t="n">
        <v>0</v>
      </c>
      <c r="K1234" s="14" t="n">
        <v>0</v>
      </c>
      <c r="L1234" s="14" t="n">
        <v>0</v>
      </c>
      <c r="M1234" s="14">
        <f>IF(B1234="Frete de venda",0,(1-ISNUMBER(SEARCH("556",P1234)))*(I1234*VLOOKUP($B1234,Premissas!$A$4:$E$7,2,0)+J1234*VLOOKUP($B1234,Premissas!$A$4:$E$7,3,0))+K1234*VLOOKUP($B1234,Premissas!$A$4:$E$7,4,0)+L1234*VLOOKUP($B1234,Premissas!$A$4:$E$7,5,0))</f>
        <v/>
      </c>
      <c r="N1234" s="14">
        <f>H1234-M1234</f>
        <v/>
      </c>
      <c r="O1234" t="inlineStr">
        <is>
          <t>Não</t>
        </is>
      </c>
      <c r="P1234" t="inlineStr">
        <is>
          <t>1.350</t>
        </is>
      </c>
    </row>
    <row r="1235">
      <c r="A1235" t="inlineStr">
        <is>
          <t>Antes de 2026</t>
        </is>
      </c>
      <c r="B1235" t="inlineStr">
        <is>
          <t>Frete de venda</t>
        </is>
      </c>
      <c r="C1235" t="inlineStr">
        <is>
          <t>Frete de venda (para clientes)</t>
        </is>
      </c>
      <c r="D1235" t="inlineStr">
        <is>
          <t>CT-e</t>
        </is>
      </c>
      <c r="E1235" t="inlineStr">
        <is>
          <t>000005502</t>
        </is>
      </c>
      <c r="F1235" t="inlineStr">
        <is>
          <t>R&amp;R TRANSPORTE E LOGISTICA</t>
        </is>
      </c>
      <c r="G1235" s="27" t="n">
        <v>45947</v>
      </c>
      <c r="H1235" s="14" t="n">
        <v>96.23999999999999</v>
      </c>
      <c r="I1235" s="14" t="n">
        <v>0</v>
      </c>
      <c r="J1235" s="14" t="n">
        <v>0</v>
      </c>
      <c r="K1235" s="14" t="n">
        <v>0</v>
      </c>
      <c r="L1235" s="14" t="n">
        <v>0</v>
      </c>
      <c r="M1235" s="14">
        <f>IF(B1235="Frete de venda",0,(1-ISNUMBER(SEARCH("556",P1235)))*(I1235*VLOOKUP($B1235,Premissas!$A$4:$E$7,2,0)+J1235*VLOOKUP($B1235,Premissas!$A$4:$E$7,3,0))+K1235*VLOOKUP($B1235,Premissas!$A$4:$E$7,4,0)+L1235*VLOOKUP($B1235,Premissas!$A$4:$E$7,5,0))</f>
        <v/>
      </c>
      <c r="N1235" s="14">
        <f>H1235-M1235</f>
        <v/>
      </c>
      <c r="O1235" t="inlineStr">
        <is>
          <t>Não</t>
        </is>
      </c>
      <c r="P1235" t="inlineStr">
        <is>
          <t>1.350</t>
        </is>
      </c>
    </row>
    <row r="1236">
      <c r="A1236" t="inlineStr">
        <is>
          <t>Antes de 2026</t>
        </is>
      </c>
      <c r="B1236" t="inlineStr">
        <is>
          <t>Frete de venda</t>
        </is>
      </c>
      <c r="C1236" t="inlineStr">
        <is>
          <t>Frete de venda (para clientes)</t>
        </is>
      </c>
      <c r="D1236" t="inlineStr">
        <is>
          <t>CT-e</t>
        </is>
      </c>
      <c r="E1236" t="inlineStr">
        <is>
          <t>000004782</t>
        </is>
      </c>
      <c r="F1236" t="inlineStr">
        <is>
          <t>R&amp;R TRANSPORTE E LOGISTICA</t>
        </is>
      </c>
      <c r="G1236" s="27" t="n">
        <v>45868</v>
      </c>
      <c r="H1236" s="14" t="n">
        <v>26.48</v>
      </c>
      <c r="I1236" s="14" t="n">
        <v>0</v>
      </c>
      <c r="J1236" s="14" t="n">
        <v>0</v>
      </c>
      <c r="K1236" s="14" t="n">
        <v>0</v>
      </c>
      <c r="L1236" s="14" t="n">
        <v>0</v>
      </c>
      <c r="M1236" s="14">
        <f>IF(B1236="Frete de venda",0,(1-ISNUMBER(SEARCH("556",P1236)))*(I1236*VLOOKUP($B1236,Premissas!$A$4:$E$7,2,0)+J1236*VLOOKUP($B1236,Premissas!$A$4:$E$7,3,0))+K1236*VLOOKUP($B1236,Premissas!$A$4:$E$7,4,0)+L1236*VLOOKUP($B1236,Premissas!$A$4:$E$7,5,0))</f>
        <v/>
      </c>
      <c r="N1236" s="14">
        <f>H1236-M1236</f>
        <v/>
      </c>
      <c r="O1236" t="inlineStr">
        <is>
          <t>Não</t>
        </is>
      </c>
      <c r="P1236" t="inlineStr">
        <is>
          <t>1.350</t>
        </is>
      </c>
    </row>
    <row r="1237">
      <c r="A1237" t="inlineStr">
        <is>
          <t>Antes de 2026</t>
        </is>
      </c>
      <c r="B1237" t="inlineStr">
        <is>
          <t>Frete de venda</t>
        </is>
      </c>
      <c r="C1237" t="inlineStr">
        <is>
          <t>Frete de venda (para clientes)</t>
        </is>
      </c>
      <c r="D1237" t="inlineStr">
        <is>
          <t>CT-e</t>
        </is>
      </c>
      <c r="E1237" t="inlineStr">
        <is>
          <t>000004147</t>
        </is>
      </c>
      <c r="F1237" t="inlineStr">
        <is>
          <t>R&amp;R TRANSPORTE E LOGISTICA</t>
        </is>
      </c>
      <c r="G1237" s="27" t="n">
        <v>45783</v>
      </c>
      <c r="H1237" s="14" t="n">
        <v>24.46</v>
      </c>
      <c r="I1237" s="14" t="n">
        <v>0</v>
      </c>
      <c r="J1237" s="14" t="n">
        <v>0</v>
      </c>
      <c r="K1237" s="14" t="n">
        <v>0</v>
      </c>
      <c r="L1237" s="14" t="n">
        <v>0</v>
      </c>
      <c r="M1237" s="14">
        <f>IF(B1237="Frete de venda",0,(1-ISNUMBER(SEARCH("556",P1237)))*(I1237*VLOOKUP($B1237,Premissas!$A$4:$E$7,2,0)+J1237*VLOOKUP($B1237,Premissas!$A$4:$E$7,3,0))+K1237*VLOOKUP($B1237,Premissas!$A$4:$E$7,4,0)+L1237*VLOOKUP($B1237,Premissas!$A$4:$E$7,5,0))</f>
        <v/>
      </c>
      <c r="N1237" s="14">
        <f>H1237-M1237</f>
        <v/>
      </c>
      <c r="O1237" t="inlineStr">
        <is>
          <t>Não</t>
        </is>
      </c>
      <c r="P1237" t="inlineStr">
        <is>
          <t>1.350</t>
        </is>
      </c>
    </row>
    <row r="1238">
      <c r="A1238" t="inlineStr">
        <is>
          <t>Antes de 2026</t>
        </is>
      </c>
      <c r="B1238" t="inlineStr">
        <is>
          <t>Frete de venda</t>
        </is>
      </c>
      <c r="C1238" t="inlineStr">
        <is>
          <t>Frete de venda (para clientes)</t>
        </is>
      </c>
      <c r="D1238" t="inlineStr">
        <is>
          <t>CT-e</t>
        </is>
      </c>
      <c r="E1238" t="inlineStr">
        <is>
          <t>000004081</t>
        </is>
      </c>
      <c r="F1238" t="inlineStr">
        <is>
          <t>R&amp;R TRANSPORTE E LOGISTICA</t>
        </is>
      </c>
      <c r="G1238" s="27" t="n">
        <v>45771</v>
      </c>
      <c r="H1238" s="14" t="n">
        <v>98.76000000000001</v>
      </c>
      <c r="I1238" s="14" t="n">
        <v>0</v>
      </c>
      <c r="J1238" s="14" t="n">
        <v>0</v>
      </c>
      <c r="K1238" s="14" t="n">
        <v>0</v>
      </c>
      <c r="L1238" s="14" t="n">
        <v>0</v>
      </c>
      <c r="M1238" s="14">
        <f>IF(B1238="Frete de venda",0,(1-ISNUMBER(SEARCH("556",P1238)))*(I1238*VLOOKUP($B1238,Premissas!$A$4:$E$7,2,0)+J1238*VLOOKUP($B1238,Premissas!$A$4:$E$7,3,0))+K1238*VLOOKUP($B1238,Premissas!$A$4:$E$7,4,0)+L1238*VLOOKUP($B1238,Premissas!$A$4:$E$7,5,0))</f>
        <v/>
      </c>
      <c r="N1238" s="14">
        <f>H1238-M1238</f>
        <v/>
      </c>
      <c r="O1238" t="inlineStr">
        <is>
          <t>Não</t>
        </is>
      </c>
      <c r="P1238" t="inlineStr">
        <is>
          <t>1.350</t>
        </is>
      </c>
    </row>
    <row r="1239">
      <c r="A1239" t="inlineStr">
        <is>
          <t>Antes de 2026</t>
        </is>
      </c>
      <c r="B1239" t="inlineStr">
        <is>
          <t>Frete de venda</t>
        </is>
      </c>
      <c r="C1239" t="inlineStr">
        <is>
          <t>Frete de venda (para clientes)</t>
        </is>
      </c>
      <c r="D1239" t="inlineStr">
        <is>
          <t>CT-e</t>
        </is>
      </c>
      <c r="E1239" t="inlineStr">
        <is>
          <t>000000096</t>
        </is>
      </c>
      <c r="F1239" t="inlineStr">
        <is>
          <t>ADIL CARLOS DA SILVA</t>
        </is>
      </c>
      <c r="G1239" s="27" t="n">
        <v>45789</v>
      </c>
      <c r="H1239" s="14" t="n">
        <v>10</v>
      </c>
      <c r="I1239" s="14" t="n">
        <v>0</v>
      </c>
      <c r="J1239" s="14" t="n">
        <v>0</v>
      </c>
      <c r="K1239" s="14" t="n">
        <v>0</v>
      </c>
      <c r="L1239" s="14" t="n">
        <v>0</v>
      </c>
      <c r="M1239" s="14">
        <f>IF(B1239="Frete de venda",0,(1-ISNUMBER(SEARCH("556",P1239)))*(I1239*VLOOKUP($B1239,Premissas!$A$4:$E$7,2,0)+J1239*VLOOKUP($B1239,Premissas!$A$4:$E$7,3,0))+K1239*VLOOKUP($B1239,Premissas!$A$4:$E$7,4,0)+L1239*VLOOKUP($B1239,Premissas!$A$4:$E$7,5,0))</f>
        <v/>
      </c>
      <c r="N1239" s="14">
        <f>H1239-M1239</f>
        <v/>
      </c>
      <c r="O1239" t="inlineStr">
        <is>
          <t>Não</t>
        </is>
      </c>
      <c r="P1239" t="inlineStr">
        <is>
          <t>2.350</t>
        </is>
      </c>
    </row>
    <row r="1240">
      <c r="A1240" t="inlineStr">
        <is>
          <t>Antes de 2026</t>
        </is>
      </c>
      <c r="B1240" t="inlineStr">
        <is>
          <t>Frete de venda</t>
        </is>
      </c>
      <c r="C1240" t="inlineStr">
        <is>
          <t>Frete de venda (para clientes)</t>
        </is>
      </c>
      <c r="D1240" t="inlineStr">
        <is>
          <t>CT-e</t>
        </is>
      </c>
      <c r="E1240" t="inlineStr">
        <is>
          <t>000004247</t>
        </is>
      </c>
      <c r="F1240" t="inlineStr">
        <is>
          <t>R&amp;R TRANSPORTE E LOGISTICA</t>
        </is>
      </c>
      <c r="G1240" s="27" t="n">
        <v>45797</v>
      </c>
      <c r="H1240" s="14" t="n">
        <v>194.67</v>
      </c>
      <c r="I1240" s="14" t="n">
        <v>0</v>
      </c>
      <c r="J1240" s="14" t="n">
        <v>0</v>
      </c>
      <c r="K1240" s="14" t="n">
        <v>0</v>
      </c>
      <c r="L1240" s="14" t="n">
        <v>0</v>
      </c>
      <c r="M1240" s="14">
        <f>IF(B1240="Frete de venda",0,(1-ISNUMBER(SEARCH("556",P1240)))*(I1240*VLOOKUP($B1240,Premissas!$A$4:$E$7,2,0)+J1240*VLOOKUP($B1240,Premissas!$A$4:$E$7,3,0))+K1240*VLOOKUP($B1240,Premissas!$A$4:$E$7,4,0)+L1240*VLOOKUP($B1240,Premissas!$A$4:$E$7,5,0))</f>
        <v/>
      </c>
      <c r="N1240" s="14">
        <f>H1240-M1240</f>
        <v/>
      </c>
      <c r="O1240" t="inlineStr">
        <is>
          <t>Não</t>
        </is>
      </c>
      <c r="P1240" t="inlineStr">
        <is>
          <t>1.350</t>
        </is>
      </c>
    </row>
    <row r="1241">
      <c r="A1241" t="inlineStr">
        <is>
          <t>Antes de 2026</t>
        </is>
      </c>
      <c r="B1241" t="inlineStr">
        <is>
          <t>Frete de venda</t>
        </is>
      </c>
      <c r="C1241" t="inlineStr">
        <is>
          <t>Frete de venda (para clientes)</t>
        </is>
      </c>
      <c r="D1241" t="inlineStr">
        <is>
          <t>CT-e</t>
        </is>
      </c>
      <c r="E1241" t="inlineStr">
        <is>
          <t>000004404</t>
        </is>
      </c>
      <c r="F1241" t="inlineStr">
        <is>
          <t>R&amp;R TRANSPORTE E LOGISTICA</t>
        </is>
      </c>
      <c r="G1241" s="27" t="n">
        <v>45818</v>
      </c>
      <c r="H1241" s="14" t="n">
        <v>47</v>
      </c>
      <c r="I1241" s="14" t="n">
        <v>0</v>
      </c>
      <c r="J1241" s="14" t="n">
        <v>0</v>
      </c>
      <c r="K1241" s="14" t="n">
        <v>0</v>
      </c>
      <c r="L1241" s="14" t="n">
        <v>0</v>
      </c>
      <c r="M1241" s="14">
        <f>IF(B1241="Frete de venda",0,(1-ISNUMBER(SEARCH("556",P1241)))*(I1241*VLOOKUP($B1241,Premissas!$A$4:$E$7,2,0)+J1241*VLOOKUP($B1241,Premissas!$A$4:$E$7,3,0))+K1241*VLOOKUP($B1241,Premissas!$A$4:$E$7,4,0)+L1241*VLOOKUP($B1241,Premissas!$A$4:$E$7,5,0))</f>
        <v/>
      </c>
      <c r="N1241" s="14">
        <f>H1241-M1241</f>
        <v/>
      </c>
      <c r="O1241" t="inlineStr">
        <is>
          <t>Não</t>
        </is>
      </c>
      <c r="P1241" t="inlineStr">
        <is>
          <t>1.350</t>
        </is>
      </c>
    </row>
    <row r="1242">
      <c r="A1242" t="inlineStr">
        <is>
          <t>Antes de 2026</t>
        </is>
      </c>
      <c r="B1242" t="inlineStr">
        <is>
          <t>Frete de venda</t>
        </is>
      </c>
      <c r="C1242" t="inlineStr">
        <is>
          <t>Frete de venda (para clientes)</t>
        </is>
      </c>
      <c r="D1242" t="inlineStr">
        <is>
          <t>CT-e</t>
        </is>
      </c>
      <c r="E1242" t="inlineStr">
        <is>
          <t>000004458</t>
        </is>
      </c>
      <c r="F1242" t="inlineStr">
        <is>
          <t>R&amp;R TRANSPORTE E LOGISTICA</t>
        </is>
      </c>
      <c r="G1242" s="27" t="n">
        <v>45827</v>
      </c>
      <c r="H1242" s="14" t="n">
        <v>64.40000000000001</v>
      </c>
      <c r="I1242" s="14" t="n">
        <v>0</v>
      </c>
      <c r="J1242" s="14" t="n">
        <v>0</v>
      </c>
      <c r="K1242" s="14" t="n">
        <v>0</v>
      </c>
      <c r="L1242" s="14" t="n">
        <v>0</v>
      </c>
      <c r="M1242" s="14">
        <f>IF(B1242="Frete de venda",0,(1-ISNUMBER(SEARCH("556",P1242)))*(I1242*VLOOKUP($B1242,Premissas!$A$4:$E$7,2,0)+J1242*VLOOKUP($B1242,Premissas!$A$4:$E$7,3,0))+K1242*VLOOKUP($B1242,Premissas!$A$4:$E$7,4,0)+L1242*VLOOKUP($B1242,Premissas!$A$4:$E$7,5,0))</f>
        <v/>
      </c>
      <c r="N1242" s="14">
        <f>H1242-M1242</f>
        <v/>
      </c>
      <c r="O1242" t="inlineStr">
        <is>
          <t>Não</t>
        </is>
      </c>
      <c r="P1242" t="inlineStr">
        <is>
          <t>1.350</t>
        </is>
      </c>
    </row>
    <row r="1243">
      <c r="A1243" t="inlineStr">
        <is>
          <t>Antes de 2026</t>
        </is>
      </c>
      <c r="B1243" t="inlineStr">
        <is>
          <t>Frete de venda</t>
        </is>
      </c>
      <c r="C1243" t="inlineStr">
        <is>
          <t>Frete de venda (para clientes)</t>
        </is>
      </c>
      <c r="D1243" t="inlineStr">
        <is>
          <t>CT-e</t>
        </is>
      </c>
      <c r="E1243" t="inlineStr">
        <is>
          <t>000004699</t>
        </is>
      </c>
      <c r="F1243" t="inlineStr">
        <is>
          <t>R&amp;R TRANSPORTE E LOGISTICA</t>
        </is>
      </c>
      <c r="G1243" s="27" t="n">
        <v>45860</v>
      </c>
      <c r="H1243" s="14" t="n">
        <v>1250</v>
      </c>
      <c r="I1243" s="14" t="n">
        <v>0</v>
      </c>
      <c r="J1243" s="14" t="n">
        <v>0</v>
      </c>
      <c r="K1243" s="14" t="n">
        <v>0</v>
      </c>
      <c r="L1243" s="14" t="n">
        <v>0</v>
      </c>
      <c r="M1243" s="14">
        <f>IF(B1243="Frete de venda",0,(1-ISNUMBER(SEARCH("556",P1243)))*(I1243*VLOOKUP($B1243,Premissas!$A$4:$E$7,2,0)+J1243*VLOOKUP($B1243,Premissas!$A$4:$E$7,3,0))+K1243*VLOOKUP($B1243,Premissas!$A$4:$E$7,4,0)+L1243*VLOOKUP($B1243,Premissas!$A$4:$E$7,5,0))</f>
        <v/>
      </c>
      <c r="N1243" s="14">
        <f>H1243-M1243</f>
        <v/>
      </c>
      <c r="O1243" t="inlineStr">
        <is>
          <t>Não</t>
        </is>
      </c>
      <c r="P1243" t="inlineStr">
        <is>
          <t>1.350</t>
        </is>
      </c>
    </row>
    <row r="1244">
      <c r="A1244" t="inlineStr">
        <is>
          <t>Antes de 2026</t>
        </is>
      </c>
      <c r="B1244" t="inlineStr">
        <is>
          <t>Frete de venda</t>
        </is>
      </c>
      <c r="C1244" t="inlineStr">
        <is>
          <t>Frete de venda (para clientes)</t>
        </is>
      </c>
      <c r="D1244" t="inlineStr">
        <is>
          <t>CT-e</t>
        </is>
      </c>
      <c r="E1244" t="inlineStr">
        <is>
          <t>000004892</t>
        </is>
      </c>
      <c r="F1244" t="inlineStr">
        <is>
          <t>R&amp;R TRANSPORTE E LOGISTICA</t>
        </is>
      </c>
      <c r="G1244" s="27" t="n">
        <v>45880</v>
      </c>
      <c r="H1244" s="14" t="n">
        <v>1100</v>
      </c>
      <c r="I1244" s="14" t="n">
        <v>0</v>
      </c>
      <c r="J1244" s="14" t="n">
        <v>0</v>
      </c>
      <c r="K1244" s="14" t="n">
        <v>0</v>
      </c>
      <c r="L1244" s="14" t="n">
        <v>0</v>
      </c>
      <c r="M1244" s="14">
        <f>IF(B1244="Frete de venda",0,(1-ISNUMBER(SEARCH("556",P1244)))*(I1244*VLOOKUP($B1244,Premissas!$A$4:$E$7,2,0)+J1244*VLOOKUP($B1244,Premissas!$A$4:$E$7,3,0))+K1244*VLOOKUP($B1244,Premissas!$A$4:$E$7,4,0)+L1244*VLOOKUP($B1244,Premissas!$A$4:$E$7,5,0))</f>
        <v/>
      </c>
      <c r="N1244" s="14">
        <f>H1244-M1244</f>
        <v/>
      </c>
      <c r="O1244" t="inlineStr">
        <is>
          <t>Não</t>
        </is>
      </c>
      <c r="P1244" t="inlineStr">
        <is>
          <t>1.350</t>
        </is>
      </c>
    </row>
    <row r="1245">
      <c r="A1245" t="inlineStr">
        <is>
          <t>Antes de 2026</t>
        </is>
      </c>
      <c r="B1245" t="inlineStr">
        <is>
          <t>Frete de venda</t>
        </is>
      </c>
      <c r="C1245" t="inlineStr">
        <is>
          <t>Frete de venda (para clientes)</t>
        </is>
      </c>
      <c r="D1245" t="inlineStr">
        <is>
          <t>CT-e</t>
        </is>
      </c>
      <c r="E1245" t="inlineStr">
        <is>
          <t>000004983</t>
        </is>
      </c>
      <c r="F1245" t="inlineStr">
        <is>
          <t>R&amp;R TRANSPORTE E LOGISTICA</t>
        </is>
      </c>
      <c r="G1245" s="27" t="n">
        <v>45891</v>
      </c>
      <c r="H1245" s="14" t="n">
        <v>106.89</v>
      </c>
      <c r="I1245" s="14" t="n">
        <v>0</v>
      </c>
      <c r="J1245" s="14" t="n">
        <v>0</v>
      </c>
      <c r="K1245" s="14" t="n">
        <v>0</v>
      </c>
      <c r="L1245" s="14" t="n">
        <v>0</v>
      </c>
      <c r="M1245" s="14">
        <f>IF(B1245="Frete de venda",0,(1-ISNUMBER(SEARCH("556",P1245)))*(I1245*VLOOKUP($B1245,Premissas!$A$4:$E$7,2,0)+J1245*VLOOKUP($B1245,Premissas!$A$4:$E$7,3,0))+K1245*VLOOKUP($B1245,Premissas!$A$4:$E$7,4,0)+L1245*VLOOKUP($B1245,Premissas!$A$4:$E$7,5,0))</f>
        <v/>
      </c>
      <c r="N1245" s="14">
        <f>H1245-M1245</f>
        <v/>
      </c>
      <c r="O1245" t="inlineStr">
        <is>
          <t>Não</t>
        </is>
      </c>
      <c r="P1245" t="inlineStr">
        <is>
          <t>1.350</t>
        </is>
      </c>
    </row>
    <row r="1246">
      <c r="A1246" t="inlineStr">
        <is>
          <t>Antes de 2026</t>
        </is>
      </c>
      <c r="B1246" t="inlineStr">
        <is>
          <t>Frete de venda</t>
        </is>
      </c>
      <c r="C1246" t="inlineStr">
        <is>
          <t>Frete de venda (para clientes)</t>
        </is>
      </c>
      <c r="D1246" t="inlineStr">
        <is>
          <t>CT-e</t>
        </is>
      </c>
      <c r="E1246" t="inlineStr">
        <is>
          <t>000000384</t>
        </is>
      </c>
      <c r="F1246" t="inlineStr">
        <is>
          <t>ADIL CARLOS DA SILVA</t>
        </is>
      </c>
      <c r="G1246" s="27" t="n">
        <v>45916</v>
      </c>
      <c r="H1246" s="14" t="n">
        <v>1</v>
      </c>
      <c r="I1246" s="14" t="n">
        <v>0</v>
      </c>
      <c r="J1246" s="14" t="n">
        <v>0</v>
      </c>
      <c r="K1246" s="14" t="n">
        <v>0</v>
      </c>
      <c r="L1246" s="14" t="n">
        <v>0</v>
      </c>
      <c r="M1246" s="14">
        <f>IF(B1246="Frete de venda",0,(1-ISNUMBER(SEARCH("556",P1246)))*(I1246*VLOOKUP($B1246,Premissas!$A$4:$E$7,2,0)+J1246*VLOOKUP($B1246,Premissas!$A$4:$E$7,3,0))+K1246*VLOOKUP($B1246,Premissas!$A$4:$E$7,4,0)+L1246*VLOOKUP($B1246,Premissas!$A$4:$E$7,5,0))</f>
        <v/>
      </c>
      <c r="N1246" s="14">
        <f>H1246-M1246</f>
        <v/>
      </c>
      <c r="O1246" t="inlineStr">
        <is>
          <t>Não</t>
        </is>
      </c>
      <c r="P1246" t="inlineStr">
        <is>
          <t>2.350</t>
        </is>
      </c>
    </row>
    <row r="1247">
      <c r="A1247" t="inlineStr">
        <is>
          <t>Antes de 2026</t>
        </is>
      </c>
      <c r="B1247" t="inlineStr">
        <is>
          <t>Frete de venda</t>
        </is>
      </c>
      <c r="C1247" t="inlineStr">
        <is>
          <t>Frete de venda (para clientes)</t>
        </is>
      </c>
      <c r="D1247" t="inlineStr">
        <is>
          <t>CT-e</t>
        </is>
      </c>
      <c r="E1247" t="inlineStr">
        <is>
          <t>000005649</t>
        </is>
      </c>
      <c r="F1247" t="inlineStr">
        <is>
          <t>R&amp;R TRANSPORTE E LOGISTICA</t>
        </is>
      </c>
      <c r="G1247" s="27" t="n">
        <v>45961</v>
      </c>
      <c r="H1247" s="14" t="n">
        <v>41.18</v>
      </c>
      <c r="I1247" s="14" t="n">
        <v>0</v>
      </c>
      <c r="J1247" s="14" t="n">
        <v>0</v>
      </c>
      <c r="K1247" s="14" t="n">
        <v>0</v>
      </c>
      <c r="L1247" s="14" t="n">
        <v>0</v>
      </c>
      <c r="M1247" s="14">
        <f>IF(B1247="Frete de venda",0,(1-ISNUMBER(SEARCH("556",P1247)))*(I1247*VLOOKUP($B1247,Premissas!$A$4:$E$7,2,0)+J1247*VLOOKUP($B1247,Premissas!$A$4:$E$7,3,0))+K1247*VLOOKUP($B1247,Premissas!$A$4:$E$7,4,0)+L1247*VLOOKUP($B1247,Premissas!$A$4:$E$7,5,0))</f>
        <v/>
      </c>
      <c r="N1247" s="14">
        <f>H1247-M1247</f>
        <v/>
      </c>
      <c r="O1247" t="inlineStr">
        <is>
          <t>Não</t>
        </is>
      </c>
      <c r="P1247" t="inlineStr">
        <is>
          <t>1.350</t>
        </is>
      </c>
    </row>
    <row r="1248">
      <c r="A1248" t="inlineStr">
        <is>
          <t>Antes de 2026</t>
        </is>
      </c>
      <c r="B1248" t="inlineStr">
        <is>
          <t>Frete de venda</t>
        </is>
      </c>
      <c r="C1248" t="inlineStr">
        <is>
          <t>Frete de venda (para clientes)</t>
        </is>
      </c>
      <c r="D1248" t="inlineStr">
        <is>
          <t>CT-e</t>
        </is>
      </c>
      <c r="E1248" t="inlineStr">
        <is>
          <t>000005820</t>
        </is>
      </c>
      <c r="F1248" t="inlineStr">
        <is>
          <t>R&amp;R TRANSPORTE E LOGISTICA</t>
        </is>
      </c>
      <c r="G1248" s="27" t="n">
        <v>45986</v>
      </c>
      <c r="H1248" s="14" t="n">
        <v>37.31</v>
      </c>
      <c r="I1248" s="14" t="n">
        <v>0</v>
      </c>
      <c r="J1248" s="14" t="n">
        <v>0</v>
      </c>
      <c r="K1248" s="14" t="n">
        <v>0</v>
      </c>
      <c r="L1248" s="14" t="n">
        <v>0</v>
      </c>
      <c r="M1248" s="14">
        <f>IF(B1248="Frete de venda",0,(1-ISNUMBER(SEARCH("556",P1248)))*(I1248*VLOOKUP($B1248,Premissas!$A$4:$E$7,2,0)+J1248*VLOOKUP($B1248,Premissas!$A$4:$E$7,3,0))+K1248*VLOOKUP($B1248,Premissas!$A$4:$E$7,4,0)+L1248*VLOOKUP($B1248,Premissas!$A$4:$E$7,5,0))</f>
        <v/>
      </c>
      <c r="N1248" s="14">
        <f>H1248-M1248</f>
        <v/>
      </c>
      <c r="O1248" t="inlineStr">
        <is>
          <t>Não</t>
        </is>
      </c>
      <c r="P1248" t="inlineStr">
        <is>
          <t>1.350</t>
        </is>
      </c>
    </row>
    <row r="1249">
      <c r="A1249" t="inlineStr">
        <is>
          <t>Antes de 2026</t>
        </is>
      </c>
      <c r="B1249" t="inlineStr">
        <is>
          <t>Frete de venda</t>
        </is>
      </c>
      <c r="C1249" t="inlineStr">
        <is>
          <t>Frete de venda (para clientes)</t>
        </is>
      </c>
      <c r="D1249" t="inlineStr">
        <is>
          <t>CT-e</t>
        </is>
      </c>
      <c r="E1249" t="inlineStr">
        <is>
          <t>000005971</t>
        </is>
      </c>
      <c r="F1249" t="inlineStr">
        <is>
          <t>R&amp;R TRANSPORTE E LOGISTICA</t>
        </is>
      </c>
      <c r="G1249" s="27" t="n">
        <v>46004</v>
      </c>
      <c r="H1249" s="14" t="n">
        <v>35.13</v>
      </c>
      <c r="I1249" s="14" t="n">
        <v>0</v>
      </c>
      <c r="J1249" s="14" t="n">
        <v>0</v>
      </c>
      <c r="K1249" s="14" t="n">
        <v>0</v>
      </c>
      <c r="L1249" s="14" t="n">
        <v>0</v>
      </c>
      <c r="M1249" s="14">
        <f>IF(B1249="Frete de venda",0,(1-ISNUMBER(SEARCH("556",P1249)))*(I1249*VLOOKUP($B1249,Premissas!$A$4:$E$7,2,0)+J1249*VLOOKUP($B1249,Premissas!$A$4:$E$7,3,0))+K1249*VLOOKUP($B1249,Premissas!$A$4:$E$7,4,0)+L1249*VLOOKUP($B1249,Premissas!$A$4:$E$7,5,0))</f>
        <v/>
      </c>
      <c r="N1249" s="14">
        <f>H1249-M1249</f>
        <v/>
      </c>
      <c r="O1249" t="inlineStr">
        <is>
          <t>Não</t>
        </is>
      </c>
      <c r="P1249" t="inlineStr">
        <is>
          <t>1.350</t>
        </is>
      </c>
    </row>
    <row r="1250">
      <c r="A1250" t="inlineStr">
        <is>
          <t>Antes de 2026</t>
        </is>
      </c>
      <c r="B1250" t="inlineStr">
        <is>
          <t>Frete de venda</t>
        </is>
      </c>
      <c r="C1250" t="inlineStr">
        <is>
          <t>Frete de venda (para clientes)</t>
        </is>
      </c>
      <c r="D1250" t="inlineStr">
        <is>
          <t>CT-e</t>
        </is>
      </c>
      <c r="E1250" t="inlineStr">
        <is>
          <t>000004239</t>
        </is>
      </c>
      <c r="F1250" t="inlineStr">
        <is>
          <t>R&amp;R TRANSPORTE E LOGISTICA</t>
        </is>
      </c>
      <c r="G1250" s="27" t="n">
        <v>45793</v>
      </c>
      <c r="H1250" s="14" t="n">
        <v>34.6</v>
      </c>
      <c r="I1250" s="14" t="n">
        <v>0</v>
      </c>
      <c r="J1250" s="14" t="n">
        <v>0</v>
      </c>
      <c r="K1250" s="14" t="n">
        <v>0</v>
      </c>
      <c r="L1250" s="14" t="n">
        <v>0</v>
      </c>
      <c r="M1250" s="14">
        <f>IF(B1250="Frete de venda",0,(1-ISNUMBER(SEARCH("556",P1250)))*(I1250*VLOOKUP($B1250,Premissas!$A$4:$E$7,2,0)+J1250*VLOOKUP($B1250,Premissas!$A$4:$E$7,3,0))+K1250*VLOOKUP($B1250,Premissas!$A$4:$E$7,4,0)+L1250*VLOOKUP($B1250,Premissas!$A$4:$E$7,5,0))</f>
        <v/>
      </c>
      <c r="N1250" s="14">
        <f>H1250-M1250</f>
        <v/>
      </c>
      <c r="O1250" t="inlineStr">
        <is>
          <t>Não</t>
        </is>
      </c>
      <c r="P1250" t="inlineStr">
        <is>
          <t>1.350</t>
        </is>
      </c>
    </row>
    <row r="1251">
      <c r="A1251" t="inlineStr">
        <is>
          <t>Antes de 2026</t>
        </is>
      </c>
      <c r="B1251" t="inlineStr">
        <is>
          <t>Frete de venda</t>
        </is>
      </c>
      <c r="C1251" t="inlineStr">
        <is>
          <t>Frete de venda (para clientes)</t>
        </is>
      </c>
      <c r="D1251" t="inlineStr">
        <is>
          <t>CT-e</t>
        </is>
      </c>
      <c r="E1251" t="inlineStr">
        <is>
          <t>000004731</t>
        </is>
      </c>
      <c r="F1251" t="inlineStr">
        <is>
          <t>R&amp;R TRANSPORTE E LOGISTICA</t>
        </is>
      </c>
      <c r="G1251" s="27" t="n">
        <v>45862</v>
      </c>
      <c r="H1251" s="14" t="n">
        <v>29</v>
      </c>
      <c r="I1251" s="14" t="n">
        <v>0</v>
      </c>
      <c r="J1251" s="14" t="n">
        <v>0</v>
      </c>
      <c r="K1251" s="14" t="n">
        <v>0</v>
      </c>
      <c r="L1251" s="14" t="n">
        <v>0</v>
      </c>
      <c r="M1251" s="14">
        <f>IF(B1251="Frete de venda",0,(1-ISNUMBER(SEARCH("556",P1251)))*(I1251*VLOOKUP($B1251,Premissas!$A$4:$E$7,2,0)+J1251*VLOOKUP($B1251,Premissas!$A$4:$E$7,3,0))+K1251*VLOOKUP($B1251,Premissas!$A$4:$E$7,4,0)+L1251*VLOOKUP($B1251,Premissas!$A$4:$E$7,5,0))</f>
        <v/>
      </c>
      <c r="N1251" s="14">
        <f>H1251-M1251</f>
        <v/>
      </c>
      <c r="O1251" t="inlineStr">
        <is>
          <t>Não</t>
        </is>
      </c>
      <c r="P1251" t="inlineStr">
        <is>
          <t>1.350</t>
        </is>
      </c>
    </row>
    <row r="1252">
      <c r="A1252" t="inlineStr">
        <is>
          <t>Antes de 2026</t>
        </is>
      </c>
      <c r="B1252" t="inlineStr">
        <is>
          <t>Frete de venda</t>
        </is>
      </c>
      <c r="C1252" t="inlineStr">
        <is>
          <t>Frete de venda (para clientes)</t>
        </is>
      </c>
      <c r="D1252" t="inlineStr">
        <is>
          <t>CT-e</t>
        </is>
      </c>
      <c r="E1252" t="inlineStr">
        <is>
          <t>000004978</t>
        </is>
      </c>
      <c r="F1252" t="inlineStr">
        <is>
          <t>R&amp;R TRANSPORTE E LOGISTICA</t>
        </is>
      </c>
      <c r="G1252" s="27" t="n">
        <v>45891</v>
      </c>
      <c r="H1252" s="14" t="n">
        <v>23.31</v>
      </c>
      <c r="I1252" s="14" t="n">
        <v>0</v>
      </c>
      <c r="J1252" s="14" t="n">
        <v>0</v>
      </c>
      <c r="K1252" s="14" t="n">
        <v>0</v>
      </c>
      <c r="L1252" s="14" t="n">
        <v>0</v>
      </c>
      <c r="M1252" s="14">
        <f>IF(B1252="Frete de venda",0,(1-ISNUMBER(SEARCH("556",P1252)))*(I1252*VLOOKUP($B1252,Premissas!$A$4:$E$7,2,0)+J1252*VLOOKUP($B1252,Premissas!$A$4:$E$7,3,0))+K1252*VLOOKUP($B1252,Premissas!$A$4:$E$7,4,0)+L1252*VLOOKUP($B1252,Premissas!$A$4:$E$7,5,0))</f>
        <v/>
      </c>
      <c r="N1252" s="14">
        <f>H1252-M1252</f>
        <v/>
      </c>
      <c r="O1252" t="inlineStr">
        <is>
          <t>Não</t>
        </is>
      </c>
      <c r="P1252" t="inlineStr">
        <is>
          <t>1.350</t>
        </is>
      </c>
    </row>
    <row r="1253">
      <c r="A1253" t="inlineStr">
        <is>
          <t>Antes de 2026</t>
        </is>
      </c>
      <c r="B1253" t="inlineStr">
        <is>
          <t>Frete de venda</t>
        </is>
      </c>
      <c r="C1253" t="inlineStr">
        <is>
          <t>Frete de venda (para clientes)</t>
        </is>
      </c>
      <c r="D1253" t="inlineStr">
        <is>
          <t>CT-e</t>
        </is>
      </c>
      <c r="E1253" t="inlineStr">
        <is>
          <t>000005441</t>
        </is>
      </c>
      <c r="F1253" t="inlineStr">
        <is>
          <t>R&amp;R TRANSPORTE E LOGISTICA</t>
        </is>
      </c>
      <c r="G1253" s="27" t="n">
        <v>45940</v>
      </c>
      <c r="H1253" s="14" t="n">
        <v>21.33</v>
      </c>
      <c r="I1253" s="14" t="n">
        <v>0</v>
      </c>
      <c r="J1253" s="14" t="n">
        <v>0</v>
      </c>
      <c r="K1253" s="14" t="n">
        <v>0</v>
      </c>
      <c r="L1253" s="14" t="n">
        <v>0</v>
      </c>
      <c r="M1253" s="14">
        <f>IF(B1253="Frete de venda",0,(1-ISNUMBER(SEARCH("556",P1253)))*(I1253*VLOOKUP($B1253,Premissas!$A$4:$E$7,2,0)+J1253*VLOOKUP($B1253,Premissas!$A$4:$E$7,3,0))+K1253*VLOOKUP($B1253,Premissas!$A$4:$E$7,4,0)+L1253*VLOOKUP($B1253,Premissas!$A$4:$E$7,5,0))</f>
        <v/>
      </c>
      <c r="N1253" s="14">
        <f>H1253-M1253</f>
        <v/>
      </c>
      <c r="O1253" t="inlineStr">
        <is>
          <t>Não</t>
        </is>
      </c>
      <c r="P1253" t="inlineStr">
        <is>
          <t>1.350</t>
        </is>
      </c>
    </row>
    <row r="1254">
      <c r="A1254" t="inlineStr">
        <is>
          <t>Antes de 2026</t>
        </is>
      </c>
      <c r="B1254" t="inlineStr">
        <is>
          <t>Frete de venda</t>
        </is>
      </c>
      <c r="C1254" t="inlineStr">
        <is>
          <t>Frete de venda (para clientes)</t>
        </is>
      </c>
      <c r="D1254" t="inlineStr">
        <is>
          <t>CT-e</t>
        </is>
      </c>
      <c r="E1254" t="inlineStr">
        <is>
          <t>000005856</t>
        </is>
      </c>
      <c r="F1254" t="inlineStr">
        <is>
          <t>R&amp;R TRANSPORTE E LOGISTICA</t>
        </is>
      </c>
      <c r="G1254" s="27" t="n">
        <v>45988</v>
      </c>
      <c r="H1254" s="14" t="n">
        <v>13.98</v>
      </c>
      <c r="I1254" s="14" t="n">
        <v>0</v>
      </c>
      <c r="J1254" s="14" t="n">
        <v>0</v>
      </c>
      <c r="K1254" s="14" t="n">
        <v>0</v>
      </c>
      <c r="L1254" s="14" t="n">
        <v>0</v>
      </c>
      <c r="M1254" s="14">
        <f>IF(B1254="Frete de venda",0,(1-ISNUMBER(SEARCH("556",P1254)))*(I1254*VLOOKUP($B1254,Premissas!$A$4:$E$7,2,0)+J1254*VLOOKUP($B1254,Premissas!$A$4:$E$7,3,0))+K1254*VLOOKUP($B1254,Premissas!$A$4:$E$7,4,0)+L1254*VLOOKUP($B1254,Premissas!$A$4:$E$7,5,0))</f>
        <v/>
      </c>
      <c r="N1254" s="14">
        <f>H1254-M1254</f>
        <v/>
      </c>
      <c r="O1254" t="inlineStr">
        <is>
          <t>Não</t>
        </is>
      </c>
      <c r="P1254" t="inlineStr">
        <is>
          <t>1.350</t>
        </is>
      </c>
    </row>
    <row r="1255">
      <c r="A1255" t="inlineStr">
        <is>
          <t>Antes de 2026</t>
        </is>
      </c>
      <c r="B1255" t="inlineStr">
        <is>
          <t>Frete de venda</t>
        </is>
      </c>
      <c r="C1255" t="inlineStr">
        <is>
          <t>Frete de venda (para clientes)</t>
        </is>
      </c>
      <c r="D1255" t="inlineStr">
        <is>
          <t>CT-e</t>
        </is>
      </c>
      <c r="E1255" t="inlineStr">
        <is>
          <t>000005138</t>
        </is>
      </c>
      <c r="F1255" t="inlineStr">
        <is>
          <t>R&amp;R TRANSPORTE E LOGISTICA</t>
        </is>
      </c>
      <c r="G1255" s="27" t="n">
        <v>45908</v>
      </c>
      <c r="H1255" s="14" t="n">
        <v>20.83</v>
      </c>
      <c r="I1255" s="14" t="n">
        <v>0</v>
      </c>
      <c r="J1255" s="14" t="n">
        <v>0</v>
      </c>
      <c r="K1255" s="14" t="n">
        <v>0</v>
      </c>
      <c r="L1255" s="14" t="n">
        <v>0</v>
      </c>
      <c r="M1255" s="14">
        <f>IF(B1255="Frete de venda",0,(1-ISNUMBER(SEARCH("556",P1255)))*(I1255*VLOOKUP($B1255,Premissas!$A$4:$E$7,2,0)+J1255*VLOOKUP($B1255,Premissas!$A$4:$E$7,3,0))+K1255*VLOOKUP($B1255,Premissas!$A$4:$E$7,4,0)+L1255*VLOOKUP($B1255,Premissas!$A$4:$E$7,5,0))</f>
        <v/>
      </c>
      <c r="N1255" s="14">
        <f>H1255-M1255</f>
        <v/>
      </c>
      <c r="O1255" t="inlineStr">
        <is>
          <t>Não</t>
        </is>
      </c>
      <c r="P1255" t="inlineStr">
        <is>
          <t>1.350</t>
        </is>
      </c>
    </row>
    <row r="1256">
      <c r="A1256" t="inlineStr">
        <is>
          <t>Antes de 2026</t>
        </is>
      </c>
      <c r="B1256" t="inlineStr">
        <is>
          <t>Frete de venda</t>
        </is>
      </c>
      <c r="C1256" t="inlineStr">
        <is>
          <t>Frete de venda (para clientes)</t>
        </is>
      </c>
      <c r="D1256" t="inlineStr">
        <is>
          <t>CT-e</t>
        </is>
      </c>
      <c r="E1256" t="inlineStr">
        <is>
          <t>000004373</t>
        </is>
      </c>
      <c r="F1256" t="inlineStr">
        <is>
          <t>R&amp;R TRANSPORTE E LOGISTICA</t>
        </is>
      </c>
      <c r="G1256" s="27" t="n">
        <v>45812</v>
      </c>
      <c r="H1256" s="14" t="n">
        <v>24.31</v>
      </c>
      <c r="I1256" s="14" t="n">
        <v>0</v>
      </c>
      <c r="J1256" s="14" t="n">
        <v>0</v>
      </c>
      <c r="K1256" s="14" t="n">
        <v>0</v>
      </c>
      <c r="L1256" s="14" t="n">
        <v>0</v>
      </c>
      <c r="M1256" s="14">
        <f>IF(B1256="Frete de venda",0,(1-ISNUMBER(SEARCH("556",P1256)))*(I1256*VLOOKUP($B1256,Premissas!$A$4:$E$7,2,0)+J1256*VLOOKUP($B1256,Premissas!$A$4:$E$7,3,0))+K1256*VLOOKUP($B1256,Premissas!$A$4:$E$7,4,0)+L1256*VLOOKUP($B1256,Premissas!$A$4:$E$7,5,0))</f>
        <v/>
      </c>
      <c r="N1256" s="14">
        <f>H1256-M1256</f>
        <v/>
      </c>
      <c r="O1256" t="inlineStr">
        <is>
          <t>Não</t>
        </is>
      </c>
      <c r="P1256" t="inlineStr">
        <is>
          <t>1.350</t>
        </is>
      </c>
    </row>
    <row r="1257">
      <c r="A1257" t="inlineStr">
        <is>
          <t>Antes de 2026</t>
        </is>
      </c>
      <c r="B1257" t="inlineStr">
        <is>
          <t>Frete de venda</t>
        </is>
      </c>
      <c r="C1257" t="inlineStr">
        <is>
          <t>Frete de venda (para clientes)</t>
        </is>
      </c>
      <c r="D1257" t="inlineStr">
        <is>
          <t>CT-e</t>
        </is>
      </c>
      <c r="E1257" t="inlineStr">
        <is>
          <t>000005017</t>
        </is>
      </c>
      <c r="F1257" t="inlineStr">
        <is>
          <t>R&amp;R TRANSPORTE E LOGISTICA</t>
        </is>
      </c>
      <c r="G1257" s="27" t="n">
        <v>45895</v>
      </c>
      <c r="H1257" s="14" t="n">
        <v>20.4</v>
      </c>
      <c r="I1257" s="14" t="n">
        <v>0</v>
      </c>
      <c r="J1257" s="14" t="n">
        <v>0</v>
      </c>
      <c r="K1257" s="14" t="n">
        <v>0</v>
      </c>
      <c r="L1257" s="14" t="n">
        <v>0</v>
      </c>
      <c r="M1257" s="14">
        <f>IF(B1257="Frete de venda",0,(1-ISNUMBER(SEARCH("556",P1257)))*(I1257*VLOOKUP($B1257,Premissas!$A$4:$E$7,2,0)+J1257*VLOOKUP($B1257,Premissas!$A$4:$E$7,3,0))+K1257*VLOOKUP($B1257,Premissas!$A$4:$E$7,4,0)+L1257*VLOOKUP($B1257,Premissas!$A$4:$E$7,5,0))</f>
        <v/>
      </c>
      <c r="N1257" s="14">
        <f>H1257-M1257</f>
        <v/>
      </c>
      <c r="O1257" t="inlineStr">
        <is>
          <t>Não</t>
        </is>
      </c>
      <c r="P1257" t="inlineStr">
        <is>
          <t>1.350</t>
        </is>
      </c>
    </row>
    <row r="1258">
      <c r="A1258" t="inlineStr">
        <is>
          <t>Antes de 2026</t>
        </is>
      </c>
      <c r="B1258" t="inlineStr">
        <is>
          <t>Frete de venda</t>
        </is>
      </c>
      <c r="C1258" t="inlineStr">
        <is>
          <t>Frete de venda (para clientes)</t>
        </is>
      </c>
      <c r="D1258" t="inlineStr">
        <is>
          <t>CT-e</t>
        </is>
      </c>
      <c r="E1258" t="inlineStr">
        <is>
          <t>000005316</t>
        </is>
      </c>
      <c r="F1258" t="inlineStr">
        <is>
          <t>R&amp;R TRANSPORTE E LOGISTICA</t>
        </is>
      </c>
      <c r="G1258" s="27" t="n">
        <v>45929</v>
      </c>
      <c r="H1258" s="14" t="n">
        <v>19.17</v>
      </c>
      <c r="I1258" s="14" t="n">
        <v>0</v>
      </c>
      <c r="J1258" s="14" t="n">
        <v>0</v>
      </c>
      <c r="K1258" s="14" t="n">
        <v>0</v>
      </c>
      <c r="L1258" s="14" t="n">
        <v>0</v>
      </c>
      <c r="M1258" s="14">
        <f>IF(B1258="Frete de venda",0,(1-ISNUMBER(SEARCH("556",P1258)))*(I1258*VLOOKUP($B1258,Premissas!$A$4:$E$7,2,0)+J1258*VLOOKUP($B1258,Premissas!$A$4:$E$7,3,0))+K1258*VLOOKUP($B1258,Premissas!$A$4:$E$7,4,0)+L1258*VLOOKUP($B1258,Premissas!$A$4:$E$7,5,0))</f>
        <v/>
      </c>
      <c r="N1258" s="14">
        <f>H1258-M1258</f>
        <v/>
      </c>
      <c r="O1258" t="inlineStr">
        <is>
          <t>Não</t>
        </is>
      </c>
      <c r="P1258" t="inlineStr">
        <is>
          <t>1.350</t>
        </is>
      </c>
    </row>
    <row r="1259">
      <c r="A1259" t="inlineStr">
        <is>
          <t>Antes de 2026</t>
        </is>
      </c>
      <c r="B1259" t="inlineStr">
        <is>
          <t>Frete de venda</t>
        </is>
      </c>
      <c r="C1259" t="inlineStr">
        <is>
          <t>Frete de venda (para clientes)</t>
        </is>
      </c>
      <c r="D1259" t="inlineStr">
        <is>
          <t>CT-e</t>
        </is>
      </c>
      <c r="E1259" t="inlineStr">
        <is>
          <t>000005785</t>
        </is>
      </c>
      <c r="F1259" t="inlineStr">
        <is>
          <t>R&amp;R TRANSPORTE E LOGISTICA</t>
        </is>
      </c>
      <c r="G1259" s="27" t="n">
        <v>45981</v>
      </c>
      <c r="H1259" s="14" t="n">
        <v>19.95</v>
      </c>
      <c r="I1259" s="14" t="n">
        <v>0</v>
      </c>
      <c r="J1259" s="14" t="n">
        <v>0</v>
      </c>
      <c r="K1259" s="14" t="n">
        <v>0</v>
      </c>
      <c r="L1259" s="14" t="n">
        <v>0</v>
      </c>
      <c r="M1259" s="14">
        <f>IF(B1259="Frete de venda",0,(1-ISNUMBER(SEARCH("556",P1259)))*(I1259*VLOOKUP($B1259,Premissas!$A$4:$E$7,2,0)+J1259*VLOOKUP($B1259,Premissas!$A$4:$E$7,3,0))+K1259*VLOOKUP($B1259,Premissas!$A$4:$E$7,4,0)+L1259*VLOOKUP($B1259,Premissas!$A$4:$E$7,5,0))</f>
        <v/>
      </c>
      <c r="N1259" s="14">
        <f>H1259-M1259</f>
        <v/>
      </c>
      <c r="O1259" t="inlineStr">
        <is>
          <t>Não</t>
        </is>
      </c>
      <c r="P1259" t="inlineStr">
        <is>
          <t>1.350</t>
        </is>
      </c>
    </row>
    <row r="1260">
      <c r="A1260" t="inlineStr">
        <is>
          <t>Antes de 2026</t>
        </is>
      </c>
      <c r="B1260" t="inlineStr">
        <is>
          <t>Frete de venda</t>
        </is>
      </c>
      <c r="C1260" t="inlineStr">
        <is>
          <t>Frete de venda (para clientes)</t>
        </is>
      </c>
      <c r="D1260" t="inlineStr">
        <is>
          <t>CT-e</t>
        </is>
      </c>
      <c r="E1260" t="inlineStr">
        <is>
          <t>000005028</t>
        </is>
      </c>
      <c r="F1260" t="inlineStr">
        <is>
          <t>R&amp;R TRANSPORTE E LOGISTICA</t>
        </is>
      </c>
      <c r="G1260" s="27" t="n">
        <v>45895</v>
      </c>
      <c r="H1260" s="14" t="n">
        <v>17.3</v>
      </c>
      <c r="I1260" s="14" t="n">
        <v>0</v>
      </c>
      <c r="J1260" s="14" t="n">
        <v>0</v>
      </c>
      <c r="K1260" s="14" t="n">
        <v>0</v>
      </c>
      <c r="L1260" s="14" t="n">
        <v>0</v>
      </c>
      <c r="M1260" s="14">
        <f>IF(B1260="Frete de venda",0,(1-ISNUMBER(SEARCH("556",P1260)))*(I1260*VLOOKUP($B1260,Premissas!$A$4:$E$7,2,0)+J1260*VLOOKUP($B1260,Premissas!$A$4:$E$7,3,0))+K1260*VLOOKUP($B1260,Premissas!$A$4:$E$7,4,0)+L1260*VLOOKUP($B1260,Premissas!$A$4:$E$7,5,0))</f>
        <v/>
      </c>
      <c r="N1260" s="14">
        <f>H1260-M1260</f>
        <v/>
      </c>
      <c r="O1260" t="inlineStr">
        <is>
          <t>Não</t>
        </is>
      </c>
      <c r="P1260" t="inlineStr">
        <is>
          <t>1.350</t>
        </is>
      </c>
    </row>
    <row r="1261">
      <c r="A1261" t="inlineStr">
        <is>
          <t>Antes de 2026</t>
        </is>
      </c>
      <c r="B1261" t="inlineStr">
        <is>
          <t>Frete de venda</t>
        </is>
      </c>
      <c r="C1261" t="inlineStr">
        <is>
          <t>Frete de venda (para clientes)</t>
        </is>
      </c>
      <c r="D1261" t="inlineStr">
        <is>
          <t>CT-e</t>
        </is>
      </c>
      <c r="E1261" t="inlineStr">
        <is>
          <t>000005797</t>
        </is>
      </c>
      <c r="F1261" t="inlineStr">
        <is>
          <t>R&amp;R TRANSPORTE E LOGISTICA</t>
        </is>
      </c>
      <c r="G1261" s="27" t="n">
        <v>45981</v>
      </c>
      <c r="H1261" s="14" t="n">
        <v>17.49</v>
      </c>
      <c r="I1261" s="14" t="n">
        <v>0</v>
      </c>
      <c r="J1261" s="14" t="n">
        <v>0</v>
      </c>
      <c r="K1261" s="14" t="n">
        <v>0</v>
      </c>
      <c r="L1261" s="14" t="n">
        <v>0</v>
      </c>
      <c r="M1261" s="14">
        <f>IF(B1261="Frete de venda",0,(1-ISNUMBER(SEARCH("556",P1261)))*(I1261*VLOOKUP($B1261,Premissas!$A$4:$E$7,2,0)+J1261*VLOOKUP($B1261,Premissas!$A$4:$E$7,3,0))+K1261*VLOOKUP($B1261,Premissas!$A$4:$E$7,4,0)+L1261*VLOOKUP($B1261,Premissas!$A$4:$E$7,5,0))</f>
        <v/>
      </c>
      <c r="N1261" s="14">
        <f>H1261-M1261</f>
        <v/>
      </c>
      <c r="O1261" t="inlineStr">
        <is>
          <t>Não</t>
        </is>
      </c>
      <c r="P1261" t="inlineStr">
        <is>
          <t>1.350</t>
        </is>
      </c>
    </row>
    <row r="1262">
      <c r="A1262" t="inlineStr">
        <is>
          <t>Antes de 2026</t>
        </is>
      </c>
      <c r="B1262" t="inlineStr">
        <is>
          <t>Frete de venda</t>
        </is>
      </c>
      <c r="C1262" t="inlineStr">
        <is>
          <t>Frete de venda (para clientes)</t>
        </is>
      </c>
      <c r="D1262" t="inlineStr">
        <is>
          <t>CT-e</t>
        </is>
      </c>
      <c r="E1262" t="inlineStr">
        <is>
          <t>000004828</t>
        </is>
      </c>
      <c r="F1262" t="inlineStr">
        <is>
          <t>R&amp;R TRANSPORTE E LOGISTICA</t>
        </is>
      </c>
      <c r="G1262" s="27" t="n">
        <v>45870</v>
      </c>
      <c r="H1262" s="14" t="n">
        <v>46.76</v>
      </c>
      <c r="I1262" s="14" t="n">
        <v>0</v>
      </c>
      <c r="J1262" s="14" t="n">
        <v>0</v>
      </c>
      <c r="K1262" s="14" t="n">
        <v>0</v>
      </c>
      <c r="L1262" s="14" t="n">
        <v>0</v>
      </c>
      <c r="M1262" s="14">
        <f>IF(B1262="Frete de venda",0,(1-ISNUMBER(SEARCH("556",P1262)))*(I1262*VLOOKUP($B1262,Premissas!$A$4:$E$7,2,0)+J1262*VLOOKUP($B1262,Premissas!$A$4:$E$7,3,0))+K1262*VLOOKUP($B1262,Premissas!$A$4:$E$7,4,0)+L1262*VLOOKUP($B1262,Premissas!$A$4:$E$7,5,0))</f>
        <v/>
      </c>
      <c r="N1262" s="14">
        <f>H1262-M1262</f>
        <v/>
      </c>
      <c r="O1262" t="inlineStr">
        <is>
          <t>Não</t>
        </is>
      </c>
      <c r="P1262" t="inlineStr">
        <is>
          <t>1.350</t>
        </is>
      </c>
    </row>
    <row r="1263">
      <c r="A1263" t="inlineStr">
        <is>
          <t>Antes de 2026</t>
        </is>
      </c>
      <c r="B1263" t="inlineStr">
        <is>
          <t>Frete de venda</t>
        </is>
      </c>
      <c r="C1263" t="inlineStr">
        <is>
          <t>Frete de venda (para clientes)</t>
        </is>
      </c>
      <c r="D1263" t="inlineStr">
        <is>
          <t>CT-e</t>
        </is>
      </c>
      <c r="E1263" t="inlineStr">
        <is>
          <t>000005275</t>
        </is>
      </c>
      <c r="F1263" t="inlineStr">
        <is>
          <t>R&amp;R TRANSPORTE E LOGISTICA</t>
        </is>
      </c>
      <c r="G1263" s="27" t="n">
        <v>45924</v>
      </c>
      <c r="H1263" s="14" t="n">
        <v>1750</v>
      </c>
      <c r="I1263" s="14" t="n">
        <v>0</v>
      </c>
      <c r="J1263" s="14" t="n">
        <v>0</v>
      </c>
      <c r="K1263" s="14" t="n">
        <v>0</v>
      </c>
      <c r="L1263" s="14" t="n">
        <v>0</v>
      </c>
      <c r="M1263" s="14">
        <f>IF(B1263="Frete de venda",0,(1-ISNUMBER(SEARCH("556",P1263)))*(I1263*VLOOKUP($B1263,Premissas!$A$4:$E$7,2,0)+J1263*VLOOKUP($B1263,Premissas!$A$4:$E$7,3,0))+K1263*VLOOKUP($B1263,Premissas!$A$4:$E$7,4,0)+L1263*VLOOKUP($B1263,Premissas!$A$4:$E$7,5,0))</f>
        <v/>
      </c>
      <c r="N1263" s="14">
        <f>H1263-M1263</f>
        <v/>
      </c>
      <c r="O1263" t="inlineStr">
        <is>
          <t>Não</t>
        </is>
      </c>
      <c r="P1263" t="inlineStr">
        <is>
          <t>1.350</t>
        </is>
      </c>
    </row>
    <row r="1264">
      <c r="A1264" t="inlineStr">
        <is>
          <t>Antes de 2026</t>
        </is>
      </c>
      <c r="B1264" t="inlineStr">
        <is>
          <t>Frete de venda</t>
        </is>
      </c>
      <c r="C1264" t="inlineStr">
        <is>
          <t>Frete de venda (para clientes)</t>
        </is>
      </c>
      <c r="D1264" t="inlineStr">
        <is>
          <t>CT-e</t>
        </is>
      </c>
      <c r="E1264" t="inlineStr">
        <is>
          <t>000004436</t>
        </is>
      </c>
      <c r="F1264" t="inlineStr">
        <is>
          <t>R&amp;R TRANSPORTE E LOGISTICA</t>
        </is>
      </c>
      <c r="G1264" s="27" t="n">
        <v>45824</v>
      </c>
      <c r="H1264" s="14" t="n">
        <v>27.8</v>
      </c>
      <c r="I1264" s="14" t="n">
        <v>0</v>
      </c>
      <c r="J1264" s="14" t="n">
        <v>0</v>
      </c>
      <c r="K1264" s="14" t="n">
        <v>0</v>
      </c>
      <c r="L1264" s="14" t="n">
        <v>0</v>
      </c>
      <c r="M1264" s="14">
        <f>IF(B1264="Frete de venda",0,(1-ISNUMBER(SEARCH("556",P1264)))*(I1264*VLOOKUP($B1264,Premissas!$A$4:$E$7,2,0)+J1264*VLOOKUP($B1264,Premissas!$A$4:$E$7,3,0))+K1264*VLOOKUP($B1264,Premissas!$A$4:$E$7,4,0)+L1264*VLOOKUP($B1264,Premissas!$A$4:$E$7,5,0))</f>
        <v/>
      </c>
      <c r="N1264" s="14">
        <f>H1264-M1264</f>
        <v/>
      </c>
      <c r="O1264" t="inlineStr">
        <is>
          <t>Não</t>
        </is>
      </c>
      <c r="P1264" t="inlineStr">
        <is>
          <t>1.350</t>
        </is>
      </c>
    </row>
    <row r="1265">
      <c r="A1265" t="inlineStr">
        <is>
          <t>Antes de 2026</t>
        </is>
      </c>
      <c r="B1265" t="inlineStr">
        <is>
          <t>Frete de venda</t>
        </is>
      </c>
      <c r="C1265" t="inlineStr">
        <is>
          <t>Frete de venda (para clientes)</t>
        </is>
      </c>
      <c r="D1265" t="inlineStr">
        <is>
          <t>CT-e</t>
        </is>
      </c>
      <c r="E1265" t="inlineStr">
        <is>
          <t>000005354</t>
        </is>
      </c>
      <c r="F1265" t="inlineStr">
        <is>
          <t>R&amp;R TRANSPORTE E LOGISTICA</t>
        </is>
      </c>
      <c r="G1265" s="27" t="n">
        <v>45929</v>
      </c>
      <c r="H1265" s="14" t="n">
        <v>600</v>
      </c>
      <c r="I1265" s="14" t="n">
        <v>0</v>
      </c>
      <c r="J1265" s="14" t="n">
        <v>0</v>
      </c>
      <c r="K1265" s="14" t="n">
        <v>0</v>
      </c>
      <c r="L1265" s="14" t="n">
        <v>0</v>
      </c>
      <c r="M1265" s="14">
        <f>IF(B1265="Frete de venda",0,(1-ISNUMBER(SEARCH("556",P1265)))*(I1265*VLOOKUP($B1265,Premissas!$A$4:$E$7,2,0)+J1265*VLOOKUP($B1265,Premissas!$A$4:$E$7,3,0))+K1265*VLOOKUP($B1265,Premissas!$A$4:$E$7,4,0)+L1265*VLOOKUP($B1265,Premissas!$A$4:$E$7,5,0))</f>
        <v/>
      </c>
      <c r="N1265" s="14">
        <f>H1265-M1265</f>
        <v/>
      </c>
      <c r="O1265" t="inlineStr">
        <is>
          <t>Não</t>
        </is>
      </c>
      <c r="P1265" t="inlineStr">
        <is>
          <t>1.350</t>
        </is>
      </c>
    </row>
    <row r="1266">
      <c r="A1266" t="inlineStr">
        <is>
          <t>Antes de 2026</t>
        </is>
      </c>
      <c r="B1266" t="inlineStr">
        <is>
          <t>Frete de venda</t>
        </is>
      </c>
      <c r="C1266" t="inlineStr">
        <is>
          <t>Frete de venda (para clientes)</t>
        </is>
      </c>
      <c r="D1266" t="inlineStr">
        <is>
          <t>CT-e</t>
        </is>
      </c>
      <c r="E1266" t="inlineStr">
        <is>
          <t>000004771</t>
        </is>
      </c>
      <c r="F1266" t="inlineStr">
        <is>
          <t>R&amp;R TRANSPORTE E LOGISTICA</t>
        </is>
      </c>
      <c r="G1266" s="27" t="n">
        <v>45867</v>
      </c>
      <c r="H1266" s="14" t="n">
        <v>692.26</v>
      </c>
      <c r="I1266" s="14" t="n">
        <v>0</v>
      </c>
      <c r="J1266" s="14" t="n">
        <v>0</v>
      </c>
      <c r="K1266" s="14" t="n">
        <v>0</v>
      </c>
      <c r="L1266" s="14" t="n">
        <v>0</v>
      </c>
      <c r="M1266" s="14">
        <f>IF(B1266="Frete de venda",0,(1-ISNUMBER(SEARCH("556",P1266)))*(I1266*VLOOKUP($B1266,Premissas!$A$4:$E$7,2,0)+J1266*VLOOKUP($B1266,Premissas!$A$4:$E$7,3,0))+K1266*VLOOKUP($B1266,Premissas!$A$4:$E$7,4,0)+L1266*VLOOKUP($B1266,Premissas!$A$4:$E$7,5,0))</f>
        <v/>
      </c>
      <c r="N1266" s="14">
        <f>H1266-M1266</f>
        <v/>
      </c>
      <c r="O1266" t="inlineStr">
        <is>
          <t>Não</t>
        </is>
      </c>
      <c r="P1266" t="inlineStr">
        <is>
          <t>1.350</t>
        </is>
      </c>
    </row>
    <row r="1267">
      <c r="A1267" t="inlineStr">
        <is>
          <t>Antes de 2026</t>
        </is>
      </c>
      <c r="B1267" t="inlineStr">
        <is>
          <t>Frete de venda</t>
        </is>
      </c>
      <c r="C1267" t="inlineStr">
        <is>
          <t>Frete de venda (para clientes)</t>
        </is>
      </c>
      <c r="D1267" t="inlineStr">
        <is>
          <t>CT-e</t>
        </is>
      </c>
      <c r="E1267" t="inlineStr">
        <is>
          <t>000004084</t>
        </is>
      </c>
      <c r="F1267" t="inlineStr">
        <is>
          <t>R&amp;R TRANSPORTE E LOGISTICA</t>
        </is>
      </c>
      <c r="G1267" s="27" t="n">
        <v>45772</v>
      </c>
      <c r="H1267" s="14" t="n">
        <v>700</v>
      </c>
      <c r="I1267" s="14" t="n">
        <v>0</v>
      </c>
      <c r="J1267" s="14" t="n">
        <v>0</v>
      </c>
      <c r="K1267" s="14" t="n">
        <v>0</v>
      </c>
      <c r="L1267" s="14" t="n">
        <v>0</v>
      </c>
      <c r="M1267" s="14">
        <f>IF(B1267="Frete de venda",0,(1-ISNUMBER(SEARCH("556",P1267)))*(I1267*VLOOKUP($B1267,Premissas!$A$4:$E$7,2,0)+J1267*VLOOKUP($B1267,Premissas!$A$4:$E$7,3,0))+K1267*VLOOKUP($B1267,Premissas!$A$4:$E$7,4,0)+L1267*VLOOKUP($B1267,Premissas!$A$4:$E$7,5,0))</f>
        <v/>
      </c>
      <c r="N1267" s="14">
        <f>H1267-M1267</f>
        <v/>
      </c>
      <c r="O1267" t="inlineStr">
        <is>
          <t>Não</t>
        </is>
      </c>
      <c r="P1267" t="inlineStr">
        <is>
          <t>1.350</t>
        </is>
      </c>
    </row>
    <row r="1268">
      <c r="A1268" t="inlineStr">
        <is>
          <t>Antes de 2026</t>
        </is>
      </c>
      <c r="B1268" t="inlineStr">
        <is>
          <t>Frete de venda</t>
        </is>
      </c>
      <c r="C1268" t="inlineStr">
        <is>
          <t>Frete de venda (para clientes)</t>
        </is>
      </c>
      <c r="D1268" t="inlineStr">
        <is>
          <t>CT-e</t>
        </is>
      </c>
      <c r="E1268" t="inlineStr">
        <is>
          <t>000004133</t>
        </is>
      </c>
      <c r="F1268" t="inlineStr">
        <is>
          <t>R&amp;R TRANSPORTE E LOGISTICA</t>
        </is>
      </c>
      <c r="G1268" s="27" t="n">
        <v>45782</v>
      </c>
      <c r="H1268" s="14" t="n">
        <v>365</v>
      </c>
      <c r="I1268" s="14" t="n">
        <v>0</v>
      </c>
      <c r="J1268" s="14" t="n">
        <v>0</v>
      </c>
      <c r="K1268" s="14" t="n">
        <v>0</v>
      </c>
      <c r="L1268" s="14" t="n">
        <v>0</v>
      </c>
      <c r="M1268" s="14">
        <f>IF(B1268="Frete de venda",0,(1-ISNUMBER(SEARCH("556",P1268)))*(I1268*VLOOKUP($B1268,Premissas!$A$4:$E$7,2,0)+J1268*VLOOKUP($B1268,Premissas!$A$4:$E$7,3,0))+K1268*VLOOKUP($B1268,Premissas!$A$4:$E$7,4,0)+L1268*VLOOKUP($B1268,Premissas!$A$4:$E$7,5,0))</f>
        <v/>
      </c>
      <c r="N1268" s="14">
        <f>H1268-M1268</f>
        <v/>
      </c>
      <c r="O1268" t="inlineStr">
        <is>
          <t>Não</t>
        </is>
      </c>
      <c r="P1268" t="inlineStr">
        <is>
          <t>1.350</t>
        </is>
      </c>
    </row>
    <row r="1269">
      <c r="A1269" t="inlineStr">
        <is>
          <t>Antes de 2026</t>
        </is>
      </c>
      <c r="B1269" t="inlineStr">
        <is>
          <t>Frete de venda</t>
        </is>
      </c>
      <c r="C1269" t="inlineStr">
        <is>
          <t>Frete de venda (para clientes)</t>
        </is>
      </c>
      <c r="D1269" t="inlineStr">
        <is>
          <t>CT-e</t>
        </is>
      </c>
      <c r="E1269" t="inlineStr">
        <is>
          <t>000004845</t>
        </is>
      </c>
      <c r="F1269" t="inlineStr">
        <is>
          <t>R&amp;R TRANSPORTE E LOGISTICA</t>
        </is>
      </c>
      <c r="G1269" s="27" t="n">
        <v>45874</v>
      </c>
      <c r="H1269" s="14" t="n">
        <v>350</v>
      </c>
      <c r="I1269" s="14" t="n">
        <v>0</v>
      </c>
      <c r="J1269" s="14" t="n">
        <v>0</v>
      </c>
      <c r="K1269" s="14" t="n">
        <v>0</v>
      </c>
      <c r="L1269" s="14" t="n">
        <v>0</v>
      </c>
      <c r="M1269" s="14">
        <f>IF(B1269="Frete de venda",0,(1-ISNUMBER(SEARCH("556",P1269)))*(I1269*VLOOKUP($B1269,Premissas!$A$4:$E$7,2,0)+J1269*VLOOKUP($B1269,Premissas!$A$4:$E$7,3,0))+K1269*VLOOKUP($B1269,Premissas!$A$4:$E$7,4,0)+L1269*VLOOKUP($B1269,Premissas!$A$4:$E$7,5,0))</f>
        <v/>
      </c>
      <c r="N1269" s="14">
        <f>H1269-M1269</f>
        <v/>
      </c>
      <c r="O1269" t="inlineStr">
        <is>
          <t>Não</t>
        </is>
      </c>
      <c r="P1269" t="inlineStr">
        <is>
          <t>1.350</t>
        </is>
      </c>
    </row>
    <row r="1270">
      <c r="A1270" t="inlineStr">
        <is>
          <t>Antes de 2026</t>
        </is>
      </c>
      <c r="B1270" t="inlineStr">
        <is>
          <t>Frete de venda</t>
        </is>
      </c>
      <c r="C1270" t="inlineStr">
        <is>
          <t>Frete de venda (para clientes)</t>
        </is>
      </c>
      <c r="D1270" t="inlineStr">
        <is>
          <t>CT-e</t>
        </is>
      </c>
      <c r="E1270" t="inlineStr">
        <is>
          <t>000005589</t>
        </is>
      </c>
      <c r="F1270" t="inlineStr">
        <is>
          <t>R&amp;R TRANSPORTE E LOGISTICA</t>
        </is>
      </c>
      <c r="G1270" s="27" t="n">
        <v>45957</v>
      </c>
      <c r="H1270" s="14" t="n">
        <v>117</v>
      </c>
      <c r="I1270" s="14" t="n">
        <v>0</v>
      </c>
      <c r="J1270" s="14" t="n">
        <v>0</v>
      </c>
      <c r="K1270" s="14" t="n">
        <v>0</v>
      </c>
      <c r="L1270" s="14" t="n">
        <v>0</v>
      </c>
      <c r="M1270" s="14">
        <f>IF(B1270="Frete de venda",0,(1-ISNUMBER(SEARCH("556",P1270)))*(I1270*VLOOKUP($B1270,Premissas!$A$4:$E$7,2,0)+J1270*VLOOKUP($B1270,Premissas!$A$4:$E$7,3,0))+K1270*VLOOKUP($B1270,Premissas!$A$4:$E$7,4,0)+L1270*VLOOKUP($B1270,Premissas!$A$4:$E$7,5,0))</f>
        <v/>
      </c>
      <c r="N1270" s="14">
        <f>H1270-M1270</f>
        <v/>
      </c>
      <c r="O1270" t="inlineStr">
        <is>
          <t>Não</t>
        </is>
      </c>
      <c r="P1270" t="inlineStr">
        <is>
          <t>1.350</t>
        </is>
      </c>
    </row>
    <row r="1271">
      <c r="A1271" t="inlineStr">
        <is>
          <t>Antes de 2026</t>
        </is>
      </c>
      <c r="B1271" t="inlineStr">
        <is>
          <t>Frete de venda</t>
        </is>
      </c>
      <c r="C1271" t="inlineStr">
        <is>
          <t>Frete de venda (para clientes)</t>
        </is>
      </c>
      <c r="D1271" t="inlineStr">
        <is>
          <t>CT-e</t>
        </is>
      </c>
      <c r="E1271" t="inlineStr">
        <is>
          <t>000005598</t>
        </is>
      </c>
      <c r="F1271" t="inlineStr">
        <is>
          <t>R&amp;R TRANSPORTE E LOGISTICA</t>
        </is>
      </c>
      <c r="G1271" s="27" t="n">
        <v>45959</v>
      </c>
      <c r="H1271" s="14" t="n">
        <v>165</v>
      </c>
      <c r="I1271" s="14" t="n">
        <v>0</v>
      </c>
      <c r="J1271" s="14" t="n">
        <v>0</v>
      </c>
      <c r="K1271" s="14" t="n">
        <v>0</v>
      </c>
      <c r="L1271" s="14" t="n">
        <v>0</v>
      </c>
      <c r="M1271" s="14">
        <f>IF(B1271="Frete de venda",0,(1-ISNUMBER(SEARCH("556",P1271)))*(I1271*VLOOKUP($B1271,Premissas!$A$4:$E$7,2,0)+J1271*VLOOKUP($B1271,Premissas!$A$4:$E$7,3,0))+K1271*VLOOKUP($B1271,Premissas!$A$4:$E$7,4,0)+L1271*VLOOKUP($B1271,Premissas!$A$4:$E$7,5,0))</f>
        <v/>
      </c>
      <c r="N1271" s="14">
        <f>H1271-M1271</f>
        <v/>
      </c>
      <c r="O1271" t="inlineStr">
        <is>
          <t>Não</t>
        </is>
      </c>
      <c r="P1271" t="inlineStr">
        <is>
          <t>1.350</t>
        </is>
      </c>
    </row>
    <row r="1272">
      <c r="A1272" t="inlineStr">
        <is>
          <t>Antes de 2026</t>
        </is>
      </c>
      <c r="B1272" t="inlineStr">
        <is>
          <t>Frete de venda</t>
        </is>
      </c>
      <c r="C1272" t="inlineStr">
        <is>
          <t>Frete de venda (para clientes)</t>
        </is>
      </c>
      <c r="D1272" t="inlineStr">
        <is>
          <t>CT-e</t>
        </is>
      </c>
      <c r="E1272" t="inlineStr">
        <is>
          <t>000005459</t>
        </is>
      </c>
      <c r="F1272" t="inlineStr">
        <is>
          <t>R&amp;R TRANSPORTE E LOGISTICA</t>
        </is>
      </c>
      <c r="G1272" s="27" t="n">
        <v>45943</v>
      </c>
      <c r="H1272" s="14" t="n">
        <v>140</v>
      </c>
      <c r="I1272" s="14" t="n">
        <v>0</v>
      </c>
      <c r="J1272" s="14" t="n">
        <v>0</v>
      </c>
      <c r="K1272" s="14" t="n">
        <v>0</v>
      </c>
      <c r="L1272" s="14" t="n">
        <v>0</v>
      </c>
      <c r="M1272" s="14">
        <f>IF(B1272="Frete de venda",0,(1-ISNUMBER(SEARCH("556",P1272)))*(I1272*VLOOKUP($B1272,Premissas!$A$4:$E$7,2,0)+J1272*VLOOKUP($B1272,Premissas!$A$4:$E$7,3,0))+K1272*VLOOKUP($B1272,Premissas!$A$4:$E$7,4,0)+L1272*VLOOKUP($B1272,Premissas!$A$4:$E$7,5,0))</f>
        <v/>
      </c>
      <c r="N1272" s="14">
        <f>H1272-M1272</f>
        <v/>
      </c>
      <c r="O1272" t="inlineStr">
        <is>
          <t>Não</t>
        </is>
      </c>
      <c r="P1272" t="inlineStr">
        <is>
          <t>1.350</t>
        </is>
      </c>
    </row>
    <row r="1273">
      <c r="A1273" t="inlineStr">
        <is>
          <t>Antes de 2026</t>
        </is>
      </c>
      <c r="B1273" t="inlineStr">
        <is>
          <t>Frete de venda</t>
        </is>
      </c>
      <c r="C1273" t="inlineStr">
        <is>
          <t>Frete de venda (para clientes)</t>
        </is>
      </c>
      <c r="D1273" t="inlineStr">
        <is>
          <t>CT-e</t>
        </is>
      </c>
      <c r="E1273" t="inlineStr">
        <is>
          <t>000004829</t>
        </is>
      </c>
      <c r="F1273" t="inlineStr">
        <is>
          <t>R&amp;R TRANSPORTE E LOGISTICA</t>
        </is>
      </c>
      <c r="G1273" s="27" t="n">
        <v>45870</v>
      </c>
      <c r="H1273" s="14" t="n">
        <v>13.7</v>
      </c>
      <c r="I1273" s="14" t="n">
        <v>0</v>
      </c>
      <c r="J1273" s="14" t="n">
        <v>0</v>
      </c>
      <c r="K1273" s="14" t="n">
        <v>0</v>
      </c>
      <c r="L1273" s="14" t="n">
        <v>0</v>
      </c>
      <c r="M1273" s="14">
        <f>IF(B1273="Frete de venda",0,(1-ISNUMBER(SEARCH("556",P1273)))*(I1273*VLOOKUP($B1273,Premissas!$A$4:$E$7,2,0)+J1273*VLOOKUP($B1273,Premissas!$A$4:$E$7,3,0))+K1273*VLOOKUP($B1273,Premissas!$A$4:$E$7,4,0)+L1273*VLOOKUP($B1273,Premissas!$A$4:$E$7,5,0))</f>
        <v/>
      </c>
      <c r="N1273" s="14">
        <f>H1273-M1273</f>
        <v/>
      </c>
      <c r="O1273" t="inlineStr">
        <is>
          <t>Não</t>
        </is>
      </c>
      <c r="P1273" t="inlineStr">
        <is>
          <t>1.350</t>
        </is>
      </c>
    </row>
    <row r="1274">
      <c r="A1274" t="inlineStr">
        <is>
          <t>Antes de 2026</t>
        </is>
      </c>
      <c r="B1274" t="inlineStr">
        <is>
          <t>Frete de venda</t>
        </is>
      </c>
      <c r="C1274" t="inlineStr">
        <is>
          <t>Frete de venda (para clientes)</t>
        </is>
      </c>
      <c r="D1274" t="inlineStr">
        <is>
          <t>CT-e</t>
        </is>
      </c>
      <c r="E1274" t="inlineStr">
        <is>
          <t>000005237</t>
        </is>
      </c>
      <c r="F1274" t="inlineStr">
        <is>
          <t>R&amp;R TRANSPORTE E LOGISTICA</t>
        </is>
      </c>
      <c r="G1274" s="27" t="n">
        <v>45918</v>
      </c>
      <c r="H1274" s="14" t="n">
        <v>53.77</v>
      </c>
      <c r="I1274" s="14" t="n">
        <v>0</v>
      </c>
      <c r="J1274" s="14" t="n">
        <v>0</v>
      </c>
      <c r="K1274" s="14" t="n">
        <v>0</v>
      </c>
      <c r="L1274" s="14" t="n">
        <v>0</v>
      </c>
      <c r="M1274" s="14">
        <f>IF(B1274="Frete de venda",0,(1-ISNUMBER(SEARCH("556",P1274)))*(I1274*VLOOKUP($B1274,Premissas!$A$4:$E$7,2,0)+J1274*VLOOKUP($B1274,Premissas!$A$4:$E$7,3,0))+K1274*VLOOKUP($B1274,Premissas!$A$4:$E$7,4,0)+L1274*VLOOKUP($B1274,Premissas!$A$4:$E$7,5,0))</f>
        <v/>
      </c>
      <c r="N1274" s="14">
        <f>H1274-M1274</f>
        <v/>
      </c>
      <c r="O1274" t="inlineStr">
        <is>
          <t>Não</t>
        </is>
      </c>
      <c r="P1274" t="inlineStr">
        <is>
          <t>1.350</t>
        </is>
      </c>
    </row>
    <row r="1275">
      <c r="A1275" t="inlineStr">
        <is>
          <t>Antes de 2026</t>
        </is>
      </c>
      <c r="B1275" t="inlineStr">
        <is>
          <t>Frete de venda</t>
        </is>
      </c>
      <c r="C1275" t="inlineStr">
        <is>
          <t>Frete de venda (para clientes)</t>
        </is>
      </c>
      <c r="D1275" t="inlineStr">
        <is>
          <t>CT-e</t>
        </is>
      </c>
      <c r="E1275" t="inlineStr">
        <is>
          <t>000005311</t>
        </is>
      </c>
      <c r="F1275" t="inlineStr">
        <is>
          <t>R&amp;R TRANSPORTE E LOGISTICA</t>
        </is>
      </c>
      <c r="G1275" s="27" t="n">
        <v>45929</v>
      </c>
      <c r="H1275" s="14" t="n">
        <v>813.08</v>
      </c>
      <c r="I1275" s="14" t="n">
        <v>0</v>
      </c>
      <c r="J1275" s="14" t="n">
        <v>0</v>
      </c>
      <c r="K1275" s="14" t="n">
        <v>0</v>
      </c>
      <c r="L1275" s="14" t="n">
        <v>0</v>
      </c>
      <c r="M1275" s="14">
        <f>IF(B1275="Frete de venda",0,(1-ISNUMBER(SEARCH("556",P1275)))*(I1275*VLOOKUP($B1275,Premissas!$A$4:$E$7,2,0)+J1275*VLOOKUP($B1275,Premissas!$A$4:$E$7,3,0))+K1275*VLOOKUP($B1275,Premissas!$A$4:$E$7,4,0)+L1275*VLOOKUP($B1275,Premissas!$A$4:$E$7,5,0))</f>
        <v/>
      </c>
      <c r="N1275" s="14">
        <f>H1275-M1275</f>
        <v/>
      </c>
      <c r="O1275" t="inlineStr">
        <is>
          <t>Não</t>
        </is>
      </c>
      <c r="P1275" t="inlineStr">
        <is>
          <t>1.350</t>
        </is>
      </c>
    </row>
    <row r="1276">
      <c r="A1276" t="inlineStr">
        <is>
          <t>Antes de 2026</t>
        </is>
      </c>
      <c r="B1276" t="inlineStr">
        <is>
          <t>Frete de venda</t>
        </is>
      </c>
      <c r="C1276" t="inlineStr">
        <is>
          <t>Frete de venda (para clientes)</t>
        </is>
      </c>
      <c r="D1276" t="inlineStr">
        <is>
          <t>CT-e</t>
        </is>
      </c>
      <c r="E1276" t="inlineStr">
        <is>
          <t>000005285</t>
        </is>
      </c>
      <c r="F1276" t="inlineStr">
        <is>
          <t>R&amp;R TRANSPORTE E LOGISTICA</t>
        </is>
      </c>
      <c r="G1276" s="27" t="n">
        <v>45926</v>
      </c>
      <c r="H1276" s="14" t="n">
        <v>15.8</v>
      </c>
      <c r="I1276" s="14" t="n">
        <v>0</v>
      </c>
      <c r="J1276" s="14" t="n">
        <v>0</v>
      </c>
      <c r="K1276" s="14" t="n">
        <v>0</v>
      </c>
      <c r="L1276" s="14" t="n">
        <v>0</v>
      </c>
      <c r="M1276" s="14">
        <f>IF(B1276="Frete de venda",0,(1-ISNUMBER(SEARCH("556",P1276)))*(I1276*VLOOKUP($B1276,Premissas!$A$4:$E$7,2,0)+J1276*VLOOKUP($B1276,Premissas!$A$4:$E$7,3,0))+K1276*VLOOKUP($B1276,Premissas!$A$4:$E$7,4,0)+L1276*VLOOKUP($B1276,Premissas!$A$4:$E$7,5,0))</f>
        <v/>
      </c>
      <c r="N1276" s="14">
        <f>H1276-M1276</f>
        <v/>
      </c>
      <c r="O1276" t="inlineStr">
        <is>
          <t>Não</t>
        </is>
      </c>
      <c r="P1276" t="inlineStr">
        <is>
          <t>1.350</t>
        </is>
      </c>
    </row>
    <row r="1277">
      <c r="A1277" t="inlineStr">
        <is>
          <t>Antes de 2026</t>
        </is>
      </c>
      <c r="B1277" t="inlineStr">
        <is>
          <t>Frete de venda</t>
        </is>
      </c>
      <c r="C1277" t="inlineStr">
        <is>
          <t>Frete de venda (para clientes)</t>
        </is>
      </c>
      <c r="D1277" t="inlineStr">
        <is>
          <t>CT-e</t>
        </is>
      </c>
      <c r="E1277" t="inlineStr">
        <is>
          <t>000020452</t>
        </is>
      </c>
      <c r="F1277" t="inlineStr">
        <is>
          <t>TRANSPORTE OLIVEIRA E MELLOI - IDEALIZA TRANSPORTES</t>
        </is>
      </c>
      <c r="G1277" s="27" t="n">
        <v>45600</v>
      </c>
      <c r="H1277" s="14" t="n">
        <v>595.55</v>
      </c>
      <c r="I1277" s="14" t="n">
        <v>0</v>
      </c>
      <c r="J1277" s="14" t="n">
        <v>0</v>
      </c>
      <c r="K1277" s="14" t="n">
        <v>0</v>
      </c>
      <c r="L1277" s="14" t="n">
        <v>0</v>
      </c>
      <c r="M1277" s="14">
        <f>IF(B1277="Frete de venda",0,(1-ISNUMBER(SEARCH("556",P1277)))*(I1277*VLOOKUP($B1277,Premissas!$A$4:$E$7,2,0)+J1277*VLOOKUP($B1277,Premissas!$A$4:$E$7,3,0))+K1277*VLOOKUP($B1277,Premissas!$A$4:$E$7,4,0)+L1277*VLOOKUP($B1277,Premissas!$A$4:$E$7,5,0))</f>
        <v/>
      </c>
      <c r="N1277" s="14">
        <f>H1277-M1277</f>
        <v/>
      </c>
      <c r="O1277" t="inlineStr">
        <is>
          <t>Não</t>
        </is>
      </c>
      <c r="P1277" t="inlineStr">
        <is>
          <t>1.350</t>
        </is>
      </c>
    </row>
    <row r="1278">
      <c r="A1278" t="inlineStr">
        <is>
          <t>Antes de 2026</t>
        </is>
      </c>
      <c r="B1278" t="inlineStr">
        <is>
          <t>Frete de venda</t>
        </is>
      </c>
      <c r="C1278" t="inlineStr">
        <is>
          <t>Frete de venda (para clientes)</t>
        </is>
      </c>
      <c r="D1278" t="inlineStr">
        <is>
          <t>CT-e</t>
        </is>
      </c>
      <c r="E1278" t="inlineStr">
        <is>
          <t>000004158</t>
        </is>
      </c>
      <c r="F1278" t="inlineStr">
        <is>
          <t>R&amp;R TRANSPORTE E LOGISTICA</t>
        </is>
      </c>
      <c r="G1278" s="27" t="n">
        <v>45784</v>
      </c>
      <c r="H1278" s="14" t="n">
        <v>38.92</v>
      </c>
      <c r="I1278" s="14" t="n">
        <v>0</v>
      </c>
      <c r="J1278" s="14" t="n">
        <v>0</v>
      </c>
      <c r="K1278" s="14" t="n">
        <v>0</v>
      </c>
      <c r="L1278" s="14" t="n">
        <v>0</v>
      </c>
      <c r="M1278" s="14">
        <f>IF(B1278="Frete de venda",0,(1-ISNUMBER(SEARCH("556",P1278)))*(I1278*VLOOKUP($B1278,Premissas!$A$4:$E$7,2,0)+J1278*VLOOKUP($B1278,Premissas!$A$4:$E$7,3,0))+K1278*VLOOKUP($B1278,Premissas!$A$4:$E$7,4,0)+L1278*VLOOKUP($B1278,Premissas!$A$4:$E$7,5,0))</f>
        <v/>
      </c>
      <c r="N1278" s="14">
        <f>H1278-M1278</f>
        <v/>
      </c>
      <c r="O1278" t="inlineStr">
        <is>
          <t>Não</t>
        </is>
      </c>
      <c r="P1278" t="inlineStr">
        <is>
          <t>1.350</t>
        </is>
      </c>
    </row>
    <row r="1279">
      <c r="A1279" t="inlineStr">
        <is>
          <t>Antes de 2026</t>
        </is>
      </c>
      <c r="B1279" t="inlineStr">
        <is>
          <t>Frete de venda</t>
        </is>
      </c>
      <c r="C1279" t="inlineStr">
        <is>
          <t>Frete de venda (para clientes)</t>
        </is>
      </c>
      <c r="D1279" t="inlineStr">
        <is>
          <t>CT-e</t>
        </is>
      </c>
      <c r="E1279" t="inlineStr">
        <is>
          <t>000005611</t>
        </is>
      </c>
      <c r="F1279" t="inlineStr">
        <is>
          <t>R&amp;R TRANSPORTE E LOGISTICA</t>
        </is>
      </c>
      <c r="G1279" s="27" t="n">
        <v>45959</v>
      </c>
      <c r="H1279" s="14" t="n">
        <v>38.21</v>
      </c>
      <c r="I1279" s="14" t="n">
        <v>0</v>
      </c>
      <c r="J1279" s="14" t="n">
        <v>0</v>
      </c>
      <c r="K1279" s="14" t="n">
        <v>0</v>
      </c>
      <c r="L1279" s="14" t="n">
        <v>0</v>
      </c>
      <c r="M1279" s="14">
        <f>IF(B1279="Frete de venda",0,(1-ISNUMBER(SEARCH("556",P1279)))*(I1279*VLOOKUP($B1279,Premissas!$A$4:$E$7,2,0)+J1279*VLOOKUP($B1279,Premissas!$A$4:$E$7,3,0))+K1279*VLOOKUP($B1279,Premissas!$A$4:$E$7,4,0)+L1279*VLOOKUP($B1279,Premissas!$A$4:$E$7,5,0))</f>
        <v/>
      </c>
      <c r="N1279" s="14">
        <f>H1279-M1279</f>
        <v/>
      </c>
      <c r="O1279" t="inlineStr">
        <is>
          <t>Não</t>
        </is>
      </c>
      <c r="P1279" t="inlineStr">
        <is>
          <t>1.350</t>
        </is>
      </c>
    </row>
    <row r="1280">
      <c r="A1280" t="inlineStr">
        <is>
          <t>Antes de 2026</t>
        </is>
      </c>
      <c r="B1280" t="inlineStr">
        <is>
          <t>Frete de venda</t>
        </is>
      </c>
      <c r="C1280" t="inlineStr">
        <is>
          <t>Frete de venda (para clientes)</t>
        </is>
      </c>
      <c r="D1280" t="inlineStr">
        <is>
          <t>CT-e</t>
        </is>
      </c>
      <c r="E1280" t="inlineStr">
        <is>
          <t>000004646</t>
        </is>
      </c>
      <c r="F1280" t="inlineStr">
        <is>
          <t>R&amp;R TRANSPORTE E LOGISTICA</t>
        </is>
      </c>
      <c r="G1280" s="27" t="n">
        <v>45854</v>
      </c>
      <c r="H1280" s="14" t="n">
        <v>235</v>
      </c>
      <c r="I1280" s="14" t="n">
        <v>0</v>
      </c>
      <c r="J1280" s="14" t="n">
        <v>0</v>
      </c>
      <c r="K1280" s="14" t="n">
        <v>0</v>
      </c>
      <c r="L1280" s="14" t="n">
        <v>0</v>
      </c>
      <c r="M1280" s="14">
        <f>IF(B1280="Frete de venda",0,(1-ISNUMBER(SEARCH("556",P1280)))*(I1280*VLOOKUP($B1280,Premissas!$A$4:$E$7,2,0)+J1280*VLOOKUP($B1280,Premissas!$A$4:$E$7,3,0))+K1280*VLOOKUP($B1280,Premissas!$A$4:$E$7,4,0)+L1280*VLOOKUP($B1280,Premissas!$A$4:$E$7,5,0))</f>
        <v/>
      </c>
      <c r="N1280" s="14">
        <f>H1280-M1280</f>
        <v/>
      </c>
      <c r="O1280" t="inlineStr">
        <is>
          <t>Não</t>
        </is>
      </c>
      <c r="P1280" t="inlineStr">
        <is>
          <t>1.350</t>
        </is>
      </c>
    </row>
    <row r="1281">
      <c r="A1281" t="inlineStr">
        <is>
          <t>Antes de 2026</t>
        </is>
      </c>
      <c r="B1281" t="inlineStr">
        <is>
          <t>Frete de venda</t>
        </is>
      </c>
      <c r="C1281" t="inlineStr">
        <is>
          <t>Frete de venda (para clientes)</t>
        </is>
      </c>
      <c r="D1281" t="inlineStr">
        <is>
          <t>CT-e</t>
        </is>
      </c>
      <c r="E1281" t="inlineStr">
        <is>
          <t>000005457</t>
        </is>
      </c>
      <c r="F1281" t="inlineStr">
        <is>
          <t>R&amp;R TRANSPORTE E LOGISTICA</t>
        </is>
      </c>
      <c r="G1281" s="27" t="n">
        <v>45943</v>
      </c>
      <c r="H1281" s="14" t="n">
        <v>140</v>
      </c>
      <c r="I1281" s="14" t="n">
        <v>0</v>
      </c>
      <c r="J1281" s="14" t="n">
        <v>0</v>
      </c>
      <c r="K1281" s="14" t="n">
        <v>0</v>
      </c>
      <c r="L1281" s="14" t="n">
        <v>0</v>
      </c>
      <c r="M1281" s="14">
        <f>IF(B1281="Frete de venda",0,(1-ISNUMBER(SEARCH("556",P1281)))*(I1281*VLOOKUP($B1281,Premissas!$A$4:$E$7,2,0)+J1281*VLOOKUP($B1281,Premissas!$A$4:$E$7,3,0))+K1281*VLOOKUP($B1281,Premissas!$A$4:$E$7,4,0)+L1281*VLOOKUP($B1281,Premissas!$A$4:$E$7,5,0))</f>
        <v/>
      </c>
      <c r="N1281" s="14">
        <f>H1281-M1281</f>
        <v/>
      </c>
      <c r="O1281" t="inlineStr">
        <is>
          <t>Não</t>
        </is>
      </c>
      <c r="P1281" t="inlineStr">
        <is>
          <t>1.350</t>
        </is>
      </c>
    </row>
    <row r="1282">
      <c r="A1282" t="inlineStr">
        <is>
          <t>Antes de 2026</t>
        </is>
      </c>
      <c r="B1282" t="inlineStr">
        <is>
          <t>Frete de venda</t>
        </is>
      </c>
      <c r="C1282" t="inlineStr">
        <is>
          <t>Frete de venda (para clientes)</t>
        </is>
      </c>
      <c r="D1282" t="inlineStr">
        <is>
          <t>CT-e</t>
        </is>
      </c>
      <c r="E1282" t="inlineStr">
        <is>
          <t>000005490</t>
        </is>
      </c>
      <c r="F1282" t="inlineStr">
        <is>
          <t>R&amp;R TRANSPORTE E LOGISTICA</t>
        </is>
      </c>
      <c r="G1282" s="27" t="n">
        <v>45946</v>
      </c>
      <c r="H1282" s="14" t="n">
        <v>140</v>
      </c>
      <c r="I1282" s="14" t="n">
        <v>0</v>
      </c>
      <c r="J1282" s="14" t="n">
        <v>0</v>
      </c>
      <c r="K1282" s="14" t="n">
        <v>0</v>
      </c>
      <c r="L1282" s="14" t="n">
        <v>0</v>
      </c>
      <c r="M1282" s="14">
        <f>IF(B1282="Frete de venda",0,(1-ISNUMBER(SEARCH("556",P1282)))*(I1282*VLOOKUP($B1282,Premissas!$A$4:$E$7,2,0)+J1282*VLOOKUP($B1282,Premissas!$A$4:$E$7,3,0))+K1282*VLOOKUP($B1282,Premissas!$A$4:$E$7,4,0)+L1282*VLOOKUP($B1282,Premissas!$A$4:$E$7,5,0))</f>
        <v/>
      </c>
      <c r="N1282" s="14">
        <f>H1282-M1282</f>
        <v/>
      </c>
      <c r="O1282" t="inlineStr">
        <is>
          <t>Não</t>
        </is>
      </c>
      <c r="P1282" t="inlineStr">
        <is>
          <t>1.350</t>
        </is>
      </c>
    </row>
    <row r="1283">
      <c r="A1283" t="inlineStr">
        <is>
          <t>Antes de 2026</t>
        </is>
      </c>
      <c r="B1283" t="inlineStr">
        <is>
          <t>Frete de venda</t>
        </is>
      </c>
      <c r="C1283" t="inlineStr">
        <is>
          <t>Frete de venda (para clientes)</t>
        </is>
      </c>
      <c r="D1283" t="inlineStr">
        <is>
          <t>CT-e</t>
        </is>
      </c>
      <c r="E1283" t="inlineStr">
        <is>
          <t>000005585</t>
        </is>
      </c>
      <c r="F1283" t="inlineStr">
        <is>
          <t>R&amp;R TRANSPORTE E LOGISTICA</t>
        </is>
      </c>
      <c r="G1283" s="27" t="n">
        <v>45957</v>
      </c>
      <c r="H1283" s="14" t="n">
        <v>117</v>
      </c>
      <c r="I1283" s="14" t="n">
        <v>0</v>
      </c>
      <c r="J1283" s="14" t="n">
        <v>0</v>
      </c>
      <c r="K1283" s="14" t="n">
        <v>0</v>
      </c>
      <c r="L1283" s="14" t="n">
        <v>0</v>
      </c>
      <c r="M1283" s="14">
        <f>IF(B1283="Frete de venda",0,(1-ISNUMBER(SEARCH("556",P1283)))*(I1283*VLOOKUP($B1283,Premissas!$A$4:$E$7,2,0)+J1283*VLOOKUP($B1283,Premissas!$A$4:$E$7,3,0))+K1283*VLOOKUP($B1283,Premissas!$A$4:$E$7,4,0)+L1283*VLOOKUP($B1283,Premissas!$A$4:$E$7,5,0))</f>
        <v/>
      </c>
      <c r="N1283" s="14">
        <f>H1283-M1283</f>
        <v/>
      </c>
      <c r="O1283" t="inlineStr">
        <is>
          <t>Não</t>
        </is>
      </c>
      <c r="P1283" t="inlineStr">
        <is>
          <t>1.350</t>
        </is>
      </c>
    </row>
    <row r="1284">
      <c r="A1284" t="inlineStr">
        <is>
          <t>Antes de 2026</t>
        </is>
      </c>
      <c r="B1284" t="inlineStr">
        <is>
          <t>Frete de venda</t>
        </is>
      </c>
      <c r="C1284" t="inlineStr">
        <is>
          <t>Frete de venda (para clientes)</t>
        </is>
      </c>
      <c r="D1284" t="inlineStr">
        <is>
          <t>CT-e</t>
        </is>
      </c>
      <c r="E1284" t="inlineStr">
        <is>
          <t>000005780</t>
        </is>
      </c>
      <c r="F1284" t="inlineStr">
        <is>
          <t>R&amp;R TRANSPORTE E LOGISTICA</t>
        </is>
      </c>
      <c r="G1284" s="27" t="n">
        <v>45981</v>
      </c>
      <c r="H1284" s="14" t="n">
        <v>35.95</v>
      </c>
      <c r="I1284" s="14" t="n">
        <v>0</v>
      </c>
      <c r="J1284" s="14" t="n">
        <v>0</v>
      </c>
      <c r="K1284" s="14" t="n">
        <v>0</v>
      </c>
      <c r="L1284" s="14" t="n">
        <v>0</v>
      </c>
      <c r="M1284" s="14">
        <f>IF(B1284="Frete de venda",0,(1-ISNUMBER(SEARCH("556",P1284)))*(I1284*VLOOKUP($B1284,Premissas!$A$4:$E$7,2,0)+J1284*VLOOKUP($B1284,Premissas!$A$4:$E$7,3,0))+K1284*VLOOKUP($B1284,Premissas!$A$4:$E$7,4,0)+L1284*VLOOKUP($B1284,Premissas!$A$4:$E$7,5,0))</f>
        <v/>
      </c>
      <c r="N1284" s="14">
        <f>H1284-M1284</f>
        <v/>
      </c>
      <c r="O1284" t="inlineStr">
        <is>
          <t>Não</t>
        </is>
      </c>
      <c r="P1284" t="inlineStr">
        <is>
          <t>1.350</t>
        </is>
      </c>
    </row>
    <row r="1285">
      <c r="A1285" t="inlineStr">
        <is>
          <t>Antes de 2026</t>
        </is>
      </c>
      <c r="B1285" t="inlineStr">
        <is>
          <t>Frete de venda</t>
        </is>
      </c>
      <c r="C1285" t="inlineStr">
        <is>
          <t>Frete de venda (para clientes)</t>
        </is>
      </c>
      <c r="D1285" t="inlineStr">
        <is>
          <t>CT-e</t>
        </is>
      </c>
      <c r="E1285" t="inlineStr">
        <is>
          <t>000004149</t>
        </is>
      </c>
      <c r="F1285" t="inlineStr">
        <is>
          <t>R&amp;R TRANSPORTE E LOGISTICA</t>
        </is>
      </c>
      <c r="G1285" s="27" t="n">
        <v>45783</v>
      </c>
      <c r="H1285" s="14" t="n">
        <v>34.29</v>
      </c>
      <c r="I1285" s="14" t="n">
        <v>0</v>
      </c>
      <c r="J1285" s="14" t="n">
        <v>0</v>
      </c>
      <c r="K1285" s="14" t="n">
        <v>0</v>
      </c>
      <c r="L1285" s="14" t="n">
        <v>0</v>
      </c>
      <c r="M1285" s="14">
        <f>IF(B1285="Frete de venda",0,(1-ISNUMBER(SEARCH("556",P1285)))*(I1285*VLOOKUP($B1285,Premissas!$A$4:$E$7,2,0)+J1285*VLOOKUP($B1285,Premissas!$A$4:$E$7,3,0))+K1285*VLOOKUP($B1285,Premissas!$A$4:$E$7,4,0)+L1285*VLOOKUP($B1285,Premissas!$A$4:$E$7,5,0))</f>
        <v/>
      </c>
      <c r="N1285" s="14">
        <f>H1285-M1285</f>
        <v/>
      </c>
      <c r="O1285" t="inlineStr">
        <is>
          <t>Não</t>
        </is>
      </c>
      <c r="P1285" t="inlineStr">
        <is>
          <t>1.350</t>
        </is>
      </c>
    </row>
    <row r="1286">
      <c r="A1286" t="inlineStr">
        <is>
          <t>Antes de 2026</t>
        </is>
      </c>
      <c r="B1286" t="inlineStr">
        <is>
          <t>Frete de venda</t>
        </is>
      </c>
      <c r="C1286" t="inlineStr">
        <is>
          <t>Frete de venda (para clientes)</t>
        </is>
      </c>
      <c r="D1286" t="inlineStr">
        <is>
          <t>CT-e</t>
        </is>
      </c>
      <c r="E1286" t="inlineStr">
        <is>
          <t>000004212</t>
        </is>
      </c>
      <c r="F1286" t="inlineStr">
        <is>
          <t>R&amp;R TRANSPORTE E LOGISTICA</t>
        </is>
      </c>
      <c r="G1286" s="27" t="n">
        <v>45790</v>
      </c>
      <c r="H1286" s="14" t="n">
        <v>21.32</v>
      </c>
      <c r="I1286" s="14" t="n">
        <v>0</v>
      </c>
      <c r="J1286" s="14" t="n">
        <v>0</v>
      </c>
      <c r="K1286" s="14" t="n">
        <v>0</v>
      </c>
      <c r="L1286" s="14" t="n">
        <v>0</v>
      </c>
      <c r="M1286" s="14">
        <f>IF(B1286="Frete de venda",0,(1-ISNUMBER(SEARCH("556",P1286)))*(I1286*VLOOKUP($B1286,Premissas!$A$4:$E$7,2,0)+J1286*VLOOKUP($B1286,Premissas!$A$4:$E$7,3,0))+K1286*VLOOKUP($B1286,Premissas!$A$4:$E$7,4,0)+L1286*VLOOKUP($B1286,Premissas!$A$4:$E$7,5,0))</f>
        <v/>
      </c>
      <c r="N1286" s="14">
        <f>H1286-M1286</f>
        <v/>
      </c>
      <c r="O1286" t="inlineStr">
        <is>
          <t>Não</t>
        </is>
      </c>
      <c r="P1286" t="inlineStr">
        <is>
          <t>1.350</t>
        </is>
      </c>
    </row>
    <row r="1287">
      <c r="A1287" t="inlineStr">
        <is>
          <t>Antes de 2026</t>
        </is>
      </c>
      <c r="B1287" t="inlineStr">
        <is>
          <t>Frete de venda</t>
        </is>
      </c>
      <c r="C1287" t="inlineStr">
        <is>
          <t>Frete de venda (para clientes)</t>
        </is>
      </c>
      <c r="D1287" t="inlineStr">
        <is>
          <t>CT-e</t>
        </is>
      </c>
      <c r="E1287" t="inlineStr">
        <is>
          <t>000005557</t>
        </is>
      </c>
      <c r="F1287" t="inlineStr">
        <is>
          <t>R&amp;R TRANSPORTE E LOGISTICA</t>
        </is>
      </c>
      <c r="G1287" s="27" t="n">
        <v>45955</v>
      </c>
      <c r="H1287" s="14" t="n">
        <v>14.01</v>
      </c>
      <c r="I1287" s="14" t="n">
        <v>0</v>
      </c>
      <c r="J1287" s="14" t="n">
        <v>0</v>
      </c>
      <c r="K1287" s="14" t="n">
        <v>0</v>
      </c>
      <c r="L1287" s="14" t="n">
        <v>0</v>
      </c>
      <c r="M1287" s="14">
        <f>IF(B1287="Frete de venda",0,(1-ISNUMBER(SEARCH("556",P1287)))*(I1287*VLOOKUP($B1287,Premissas!$A$4:$E$7,2,0)+J1287*VLOOKUP($B1287,Premissas!$A$4:$E$7,3,0))+K1287*VLOOKUP($B1287,Premissas!$A$4:$E$7,4,0)+L1287*VLOOKUP($B1287,Premissas!$A$4:$E$7,5,0))</f>
        <v/>
      </c>
      <c r="N1287" s="14">
        <f>H1287-M1287</f>
        <v/>
      </c>
      <c r="O1287" t="inlineStr">
        <is>
          <t>Não</t>
        </is>
      </c>
      <c r="P1287" t="inlineStr">
        <is>
          <t>1.350</t>
        </is>
      </c>
    </row>
    <row r="1288">
      <c r="A1288" t="inlineStr">
        <is>
          <t>Antes de 2026</t>
        </is>
      </c>
      <c r="B1288" t="inlineStr">
        <is>
          <t>Frete de venda</t>
        </is>
      </c>
      <c r="C1288" t="inlineStr">
        <is>
          <t>Frete de venda (para clientes)</t>
        </is>
      </c>
      <c r="D1288" t="inlineStr">
        <is>
          <t>CT-e</t>
        </is>
      </c>
      <c r="E1288" t="inlineStr">
        <is>
          <t>000005284</t>
        </is>
      </c>
      <c r="F1288" t="inlineStr">
        <is>
          <t>R&amp;R TRANSPORTE E LOGISTICA</t>
        </is>
      </c>
      <c r="G1288" s="27" t="n">
        <v>45926</v>
      </c>
      <c r="H1288" s="14" t="n">
        <v>21.87</v>
      </c>
      <c r="I1288" s="14" t="n">
        <v>0</v>
      </c>
      <c r="J1288" s="14" t="n">
        <v>0</v>
      </c>
      <c r="K1288" s="14" t="n">
        <v>0</v>
      </c>
      <c r="L1288" s="14" t="n">
        <v>0</v>
      </c>
      <c r="M1288" s="14">
        <f>IF(B1288="Frete de venda",0,(1-ISNUMBER(SEARCH("556",P1288)))*(I1288*VLOOKUP($B1288,Premissas!$A$4:$E$7,2,0)+J1288*VLOOKUP($B1288,Premissas!$A$4:$E$7,3,0))+K1288*VLOOKUP($B1288,Premissas!$A$4:$E$7,4,0)+L1288*VLOOKUP($B1288,Premissas!$A$4:$E$7,5,0))</f>
        <v/>
      </c>
      <c r="N1288" s="14">
        <f>H1288-M1288</f>
        <v/>
      </c>
      <c r="O1288" t="inlineStr">
        <is>
          <t>Não</t>
        </is>
      </c>
      <c r="P1288" t="inlineStr">
        <is>
          <t>1.350</t>
        </is>
      </c>
    </row>
    <row r="1289">
      <c r="A1289" t="inlineStr">
        <is>
          <t>Antes de 2026</t>
        </is>
      </c>
      <c r="B1289" t="inlineStr">
        <is>
          <t>Frete de venda</t>
        </is>
      </c>
      <c r="C1289" t="inlineStr">
        <is>
          <t>Frete de venda (para clientes)</t>
        </is>
      </c>
      <c r="D1289" t="inlineStr">
        <is>
          <t>CT-e</t>
        </is>
      </c>
      <c r="E1289" t="inlineStr">
        <is>
          <t>000005023</t>
        </is>
      </c>
      <c r="F1289" t="inlineStr">
        <is>
          <t>R&amp;R TRANSPORTE E LOGISTICA</t>
        </is>
      </c>
      <c r="G1289" s="27" t="n">
        <v>45895</v>
      </c>
      <c r="H1289" s="14" t="n">
        <v>14.2</v>
      </c>
      <c r="I1289" s="14" t="n">
        <v>0</v>
      </c>
      <c r="J1289" s="14" t="n">
        <v>0</v>
      </c>
      <c r="K1289" s="14" t="n">
        <v>0</v>
      </c>
      <c r="L1289" s="14" t="n">
        <v>0</v>
      </c>
      <c r="M1289" s="14">
        <f>IF(B1289="Frete de venda",0,(1-ISNUMBER(SEARCH("556",P1289)))*(I1289*VLOOKUP($B1289,Premissas!$A$4:$E$7,2,0)+J1289*VLOOKUP($B1289,Premissas!$A$4:$E$7,3,0))+K1289*VLOOKUP($B1289,Premissas!$A$4:$E$7,4,0)+L1289*VLOOKUP($B1289,Premissas!$A$4:$E$7,5,0))</f>
        <v/>
      </c>
      <c r="N1289" s="14">
        <f>H1289-M1289</f>
        <v/>
      </c>
      <c r="O1289" t="inlineStr">
        <is>
          <t>Não</t>
        </is>
      </c>
      <c r="P1289" t="inlineStr">
        <is>
          <t>1.350</t>
        </is>
      </c>
    </row>
    <row r="1290">
      <c r="A1290" t="inlineStr">
        <is>
          <t>Antes de 2026</t>
        </is>
      </c>
      <c r="B1290" t="inlineStr">
        <is>
          <t>Frete de venda</t>
        </is>
      </c>
      <c r="C1290" t="inlineStr">
        <is>
          <t>Frete de venda (para clientes)</t>
        </is>
      </c>
      <c r="D1290" t="inlineStr">
        <is>
          <t>CT-e</t>
        </is>
      </c>
      <c r="E1290" t="inlineStr">
        <is>
          <t>000005162</t>
        </is>
      </c>
      <c r="F1290" t="inlineStr">
        <is>
          <t>R&amp;R TRANSPORTE E LOGISTICA</t>
        </is>
      </c>
      <c r="G1290" s="27" t="n">
        <v>45911</v>
      </c>
      <c r="H1290" s="14" t="n">
        <v>30.97</v>
      </c>
      <c r="I1290" s="14" t="n">
        <v>0</v>
      </c>
      <c r="J1290" s="14" t="n">
        <v>0</v>
      </c>
      <c r="K1290" s="14" t="n">
        <v>0</v>
      </c>
      <c r="L1290" s="14" t="n">
        <v>0</v>
      </c>
      <c r="M1290" s="14">
        <f>IF(B1290="Frete de venda",0,(1-ISNUMBER(SEARCH("556",P1290)))*(I1290*VLOOKUP($B1290,Premissas!$A$4:$E$7,2,0)+J1290*VLOOKUP($B1290,Premissas!$A$4:$E$7,3,0))+K1290*VLOOKUP($B1290,Premissas!$A$4:$E$7,4,0)+L1290*VLOOKUP($B1290,Premissas!$A$4:$E$7,5,0))</f>
        <v/>
      </c>
      <c r="N1290" s="14">
        <f>H1290-M1290</f>
        <v/>
      </c>
      <c r="O1290" t="inlineStr">
        <is>
          <t>Não</t>
        </is>
      </c>
      <c r="P1290" t="inlineStr">
        <is>
          <t>1.350</t>
        </is>
      </c>
    </row>
    <row r="1291">
      <c r="A1291" t="inlineStr">
        <is>
          <t>Antes de 2026</t>
        </is>
      </c>
      <c r="B1291" t="inlineStr">
        <is>
          <t>Frete de venda</t>
        </is>
      </c>
      <c r="C1291" t="inlineStr">
        <is>
          <t>Frete de venda (para clientes)</t>
        </is>
      </c>
      <c r="D1291" t="inlineStr">
        <is>
          <t>CT-e</t>
        </is>
      </c>
      <c r="E1291" t="inlineStr">
        <is>
          <t>000005158</t>
        </is>
      </c>
      <c r="F1291" t="inlineStr">
        <is>
          <t>R&amp;R TRANSPORTE E LOGISTICA</t>
        </is>
      </c>
      <c r="G1291" s="27" t="n">
        <v>45911</v>
      </c>
      <c r="H1291" s="14" t="n">
        <v>30.73</v>
      </c>
      <c r="I1291" s="14" t="n">
        <v>0</v>
      </c>
      <c r="J1291" s="14" t="n">
        <v>0</v>
      </c>
      <c r="K1291" s="14" t="n">
        <v>0</v>
      </c>
      <c r="L1291" s="14" t="n">
        <v>0</v>
      </c>
      <c r="M1291" s="14">
        <f>IF(B1291="Frete de venda",0,(1-ISNUMBER(SEARCH("556",P1291)))*(I1291*VLOOKUP($B1291,Premissas!$A$4:$E$7,2,0)+J1291*VLOOKUP($B1291,Premissas!$A$4:$E$7,3,0))+K1291*VLOOKUP($B1291,Premissas!$A$4:$E$7,4,0)+L1291*VLOOKUP($B1291,Premissas!$A$4:$E$7,5,0))</f>
        <v/>
      </c>
      <c r="N1291" s="14">
        <f>H1291-M1291</f>
        <v/>
      </c>
      <c r="O1291" t="inlineStr">
        <is>
          <t>Não</t>
        </is>
      </c>
      <c r="P1291" t="inlineStr">
        <is>
          <t>1.350</t>
        </is>
      </c>
    </row>
    <row r="1292">
      <c r="A1292" t="inlineStr">
        <is>
          <t>Antes de 2026</t>
        </is>
      </c>
      <c r="B1292" t="inlineStr">
        <is>
          <t>Frete de venda</t>
        </is>
      </c>
      <c r="C1292" t="inlineStr">
        <is>
          <t>Frete de venda (para clientes)</t>
        </is>
      </c>
      <c r="D1292" t="inlineStr">
        <is>
          <t>CT-e</t>
        </is>
      </c>
      <c r="E1292" t="inlineStr">
        <is>
          <t>000004921</t>
        </is>
      </c>
      <c r="F1292" t="inlineStr">
        <is>
          <t>R&amp;R TRANSPORTE E LOGISTICA</t>
        </is>
      </c>
      <c r="G1292" s="27" t="n">
        <v>45884</v>
      </c>
      <c r="H1292" s="14" t="n">
        <v>10.91</v>
      </c>
      <c r="I1292" s="14" t="n">
        <v>0</v>
      </c>
      <c r="J1292" s="14" t="n">
        <v>0</v>
      </c>
      <c r="K1292" s="14" t="n">
        <v>0</v>
      </c>
      <c r="L1292" s="14" t="n">
        <v>0</v>
      </c>
      <c r="M1292" s="14">
        <f>IF(B1292="Frete de venda",0,(1-ISNUMBER(SEARCH("556",P1292)))*(I1292*VLOOKUP($B1292,Premissas!$A$4:$E$7,2,0)+J1292*VLOOKUP($B1292,Premissas!$A$4:$E$7,3,0))+K1292*VLOOKUP($B1292,Premissas!$A$4:$E$7,4,0)+L1292*VLOOKUP($B1292,Premissas!$A$4:$E$7,5,0))</f>
        <v/>
      </c>
      <c r="N1292" s="14">
        <f>H1292-M1292</f>
        <v/>
      </c>
      <c r="O1292" t="inlineStr">
        <is>
          <t>Não</t>
        </is>
      </c>
      <c r="P1292" t="inlineStr">
        <is>
          <t>1.350</t>
        </is>
      </c>
    </row>
    <row r="1293">
      <c r="A1293" t="inlineStr">
        <is>
          <t>Antes de 2026</t>
        </is>
      </c>
      <c r="B1293" t="inlineStr">
        <is>
          <t>Frete de venda</t>
        </is>
      </c>
      <c r="C1293" t="inlineStr">
        <is>
          <t>Frete de venda (para clientes)</t>
        </is>
      </c>
      <c r="D1293" t="inlineStr">
        <is>
          <t>CT-e</t>
        </is>
      </c>
      <c r="E1293" t="inlineStr">
        <is>
          <t>000005377</t>
        </is>
      </c>
      <c r="F1293" t="inlineStr">
        <is>
          <t>R&amp;R TRANSPORTE E LOGISTICA</t>
        </is>
      </c>
      <c r="G1293" s="27" t="n">
        <v>45932</v>
      </c>
      <c r="H1293" s="14" t="n">
        <v>34.75</v>
      </c>
      <c r="I1293" s="14" t="n">
        <v>0</v>
      </c>
      <c r="J1293" s="14" t="n">
        <v>0</v>
      </c>
      <c r="K1293" s="14" t="n">
        <v>0</v>
      </c>
      <c r="L1293" s="14" t="n">
        <v>0</v>
      </c>
      <c r="M1293" s="14">
        <f>IF(B1293="Frete de venda",0,(1-ISNUMBER(SEARCH("556",P1293)))*(I1293*VLOOKUP($B1293,Premissas!$A$4:$E$7,2,0)+J1293*VLOOKUP($B1293,Premissas!$A$4:$E$7,3,0))+K1293*VLOOKUP($B1293,Premissas!$A$4:$E$7,4,0)+L1293*VLOOKUP($B1293,Premissas!$A$4:$E$7,5,0))</f>
        <v/>
      </c>
      <c r="N1293" s="14">
        <f>H1293-M1293</f>
        <v/>
      </c>
      <c r="O1293" t="inlineStr">
        <is>
          <t>Não</t>
        </is>
      </c>
      <c r="P1293" t="inlineStr">
        <is>
          <t>1.350</t>
        </is>
      </c>
    </row>
    <row r="1294">
      <c r="A1294" t="inlineStr">
        <is>
          <t>Antes de 2026</t>
        </is>
      </c>
      <c r="B1294" t="inlineStr">
        <is>
          <t>Frete de venda</t>
        </is>
      </c>
      <c r="C1294" t="inlineStr">
        <is>
          <t>Frete de venda (para clientes)</t>
        </is>
      </c>
      <c r="D1294" t="inlineStr">
        <is>
          <t>CT-e</t>
        </is>
      </c>
      <c r="E1294" t="inlineStr">
        <is>
          <t>000005764</t>
        </is>
      </c>
      <c r="F1294" t="inlineStr">
        <is>
          <t>R&amp;R TRANSPORTE E LOGISTICA</t>
        </is>
      </c>
      <c r="G1294" s="27" t="n">
        <v>45981</v>
      </c>
      <c r="H1294" s="14" t="n">
        <v>33.68</v>
      </c>
      <c r="I1294" s="14" t="n">
        <v>0</v>
      </c>
      <c r="J1294" s="14" t="n">
        <v>0</v>
      </c>
      <c r="K1294" s="14" t="n">
        <v>0</v>
      </c>
      <c r="L1294" s="14" t="n">
        <v>0</v>
      </c>
      <c r="M1294" s="14">
        <f>IF(B1294="Frete de venda",0,(1-ISNUMBER(SEARCH("556",P1294)))*(I1294*VLOOKUP($B1294,Premissas!$A$4:$E$7,2,0)+J1294*VLOOKUP($B1294,Premissas!$A$4:$E$7,3,0))+K1294*VLOOKUP($B1294,Premissas!$A$4:$E$7,4,0)+L1294*VLOOKUP($B1294,Premissas!$A$4:$E$7,5,0))</f>
        <v/>
      </c>
      <c r="N1294" s="14">
        <f>H1294-M1294</f>
        <v/>
      </c>
      <c r="O1294" t="inlineStr">
        <is>
          <t>Não</t>
        </is>
      </c>
      <c r="P1294" t="inlineStr">
        <is>
          <t>1.350</t>
        </is>
      </c>
    </row>
    <row r="1295">
      <c r="A1295" t="inlineStr">
        <is>
          <t>Antes de 2026</t>
        </is>
      </c>
      <c r="B1295" t="inlineStr">
        <is>
          <t>Frete de venda</t>
        </is>
      </c>
      <c r="C1295" t="inlineStr">
        <is>
          <t>Frete de venda (para clientes)</t>
        </is>
      </c>
      <c r="D1295" t="inlineStr">
        <is>
          <t>CT-e</t>
        </is>
      </c>
      <c r="E1295" t="inlineStr">
        <is>
          <t>000005171</t>
        </is>
      </c>
      <c r="F1295" t="inlineStr">
        <is>
          <t>R&amp;R TRANSPORTE E LOGISTICA</t>
        </is>
      </c>
      <c r="G1295" s="27" t="n">
        <v>45911</v>
      </c>
      <c r="H1295" s="14" t="n">
        <v>19.32</v>
      </c>
      <c r="I1295" s="14" t="n">
        <v>0</v>
      </c>
      <c r="J1295" s="14" t="n">
        <v>0</v>
      </c>
      <c r="K1295" s="14" t="n">
        <v>0</v>
      </c>
      <c r="L1295" s="14" t="n">
        <v>0</v>
      </c>
      <c r="M1295" s="14">
        <f>IF(B1295="Frete de venda",0,(1-ISNUMBER(SEARCH("556",P1295)))*(I1295*VLOOKUP($B1295,Premissas!$A$4:$E$7,2,0)+J1295*VLOOKUP($B1295,Premissas!$A$4:$E$7,3,0))+K1295*VLOOKUP($B1295,Premissas!$A$4:$E$7,4,0)+L1295*VLOOKUP($B1295,Premissas!$A$4:$E$7,5,0))</f>
        <v/>
      </c>
      <c r="N1295" s="14">
        <f>H1295-M1295</f>
        <v/>
      </c>
      <c r="O1295" t="inlineStr">
        <is>
          <t>Não</t>
        </is>
      </c>
      <c r="P1295" t="inlineStr">
        <is>
          <t>1.350</t>
        </is>
      </c>
    </row>
    <row r="1296">
      <c r="A1296" t="inlineStr">
        <is>
          <t>Antes de 2026</t>
        </is>
      </c>
      <c r="B1296" t="inlineStr">
        <is>
          <t>Frete de venda</t>
        </is>
      </c>
      <c r="C1296" t="inlineStr">
        <is>
          <t>Frete de venda (para clientes)</t>
        </is>
      </c>
      <c r="D1296" t="inlineStr">
        <is>
          <t>CT-e</t>
        </is>
      </c>
      <c r="E1296" t="inlineStr">
        <is>
          <t>000004124</t>
        </is>
      </c>
      <c r="F1296" t="inlineStr">
        <is>
          <t>R&amp;R TRANSPORTE E LOGISTICA</t>
        </is>
      </c>
      <c r="G1296" s="27" t="n">
        <v>45778</v>
      </c>
      <c r="H1296" s="14" t="n">
        <v>41.5</v>
      </c>
      <c r="I1296" s="14" t="n">
        <v>0</v>
      </c>
      <c r="J1296" s="14" t="n">
        <v>0</v>
      </c>
      <c r="K1296" s="14" t="n">
        <v>0</v>
      </c>
      <c r="L1296" s="14" t="n">
        <v>0</v>
      </c>
      <c r="M1296" s="14">
        <f>IF(B1296="Frete de venda",0,(1-ISNUMBER(SEARCH("556",P1296)))*(I1296*VLOOKUP($B1296,Premissas!$A$4:$E$7,2,0)+J1296*VLOOKUP($B1296,Premissas!$A$4:$E$7,3,0))+K1296*VLOOKUP($B1296,Premissas!$A$4:$E$7,4,0)+L1296*VLOOKUP($B1296,Premissas!$A$4:$E$7,5,0))</f>
        <v/>
      </c>
      <c r="N1296" s="14">
        <f>H1296-M1296</f>
        <v/>
      </c>
      <c r="O1296" t="inlineStr">
        <is>
          <t>Não</t>
        </is>
      </c>
      <c r="P1296" t="inlineStr">
        <is>
          <t>1.350</t>
        </is>
      </c>
    </row>
    <row r="1297">
      <c r="A1297" t="inlineStr">
        <is>
          <t>Antes de 2026</t>
        </is>
      </c>
      <c r="B1297" t="inlineStr">
        <is>
          <t>Frete de venda</t>
        </is>
      </c>
      <c r="C1297" t="inlineStr">
        <is>
          <t>Frete de venda (para clientes)</t>
        </is>
      </c>
      <c r="D1297" t="inlineStr">
        <is>
          <t>CT-e</t>
        </is>
      </c>
      <c r="E1297" t="inlineStr">
        <is>
          <t>000004322</t>
        </is>
      </c>
      <c r="F1297" t="inlineStr">
        <is>
          <t>R&amp;R TRANSPORTE E LOGISTICA</t>
        </is>
      </c>
      <c r="G1297" s="27" t="n">
        <v>45806</v>
      </c>
      <c r="H1297" s="14" t="n">
        <v>24</v>
      </c>
      <c r="I1297" s="14" t="n">
        <v>0</v>
      </c>
      <c r="J1297" s="14" t="n">
        <v>0</v>
      </c>
      <c r="K1297" s="14" t="n">
        <v>0</v>
      </c>
      <c r="L1297" s="14" t="n">
        <v>0</v>
      </c>
      <c r="M1297" s="14">
        <f>IF(B1297="Frete de venda",0,(1-ISNUMBER(SEARCH("556",P1297)))*(I1297*VLOOKUP($B1297,Premissas!$A$4:$E$7,2,0)+J1297*VLOOKUP($B1297,Premissas!$A$4:$E$7,3,0))+K1297*VLOOKUP($B1297,Premissas!$A$4:$E$7,4,0)+L1297*VLOOKUP($B1297,Premissas!$A$4:$E$7,5,0))</f>
        <v/>
      </c>
      <c r="N1297" s="14">
        <f>H1297-M1297</f>
        <v/>
      </c>
      <c r="O1297" t="inlineStr">
        <is>
          <t>Não</t>
        </is>
      </c>
      <c r="P1297" t="inlineStr">
        <is>
          <t>1.350</t>
        </is>
      </c>
    </row>
    <row r="1298">
      <c r="A1298" t="inlineStr">
        <is>
          <t>Antes de 2026</t>
        </is>
      </c>
      <c r="B1298" t="inlineStr">
        <is>
          <t>Frete de venda</t>
        </is>
      </c>
      <c r="C1298" t="inlineStr">
        <is>
          <t>Frete de venda (para clientes)</t>
        </is>
      </c>
      <c r="D1298" t="inlineStr">
        <is>
          <t>CT-e</t>
        </is>
      </c>
      <c r="E1298" t="inlineStr">
        <is>
          <t>000004440</t>
        </is>
      </c>
      <c r="F1298" t="inlineStr">
        <is>
          <t>R&amp;R TRANSPORTE E LOGISTICA</t>
        </is>
      </c>
      <c r="G1298" s="27" t="n">
        <v>45825</v>
      </c>
      <c r="H1298" s="14" t="n">
        <v>37</v>
      </c>
      <c r="I1298" s="14" t="n">
        <v>0</v>
      </c>
      <c r="J1298" s="14" t="n">
        <v>0</v>
      </c>
      <c r="K1298" s="14" t="n">
        <v>0</v>
      </c>
      <c r="L1298" s="14" t="n">
        <v>0</v>
      </c>
      <c r="M1298" s="14">
        <f>IF(B1298="Frete de venda",0,(1-ISNUMBER(SEARCH("556",P1298)))*(I1298*VLOOKUP($B1298,Premissas!$A$4:$E$7,2,0)+J1298*VLOOKUP($B1298,Premissas!$A$4:$E$7,3,0))+K1298*VLOOKUP($B1298,Premissas!$A$4:$E$7,4,0)+L1298*VLOOKUP($B1298,Premissas!$A$4:$E$7,5,0))</f>
        <v/>
      </c>
      <c r="N1298" s="14">
        <f>H1298-M1298</f>
        <v/>
      </c>
      <c r="O1298" t="inlineStr">
        <is>
          <t>Não</t>
        </is>
      </c>
      <c r="P1298" t="inlineStr">
        <is>
          <t>1.350</t>
        </is>
      </c>
    </row>
    <row r="1299">
      <c r="A1299" t="inlineStr">
        <is>
          <t>Antes de 2026</t>
        </is>
      </c>
      <c r="B1299" t="inlineStr">
        <is>
          <t>Frete de venda</t>
        </is>
      </c>
      <c r="C1299" t="inlineStr">
        <is>
          <t>Frete de venda (para clientes)</t>
        </is>
      </c>
      <c r="D1299" t="inlineStr">
        <is>
          <t>CT-e</t>
        </is>
      </c>
      <c r="E1299" t="inlineStr">
        <is>
          <t>000004902</t>
        </is>
      </c>
      <c r="F1299" t="inlineStr">
        <is>
          <t>R&amp;R TRANSPORTE E LOGISTICA</t>
        </is>
      </c>
      <c r="G1299" s="27" t="n">
        <v>45881</v>
      </c>
      <c r="H1299" s="14" t="n">
        <v>24.64</v>
      </c>
      <c r="I1299" s="14" t="n">
        <v>0</v>
      </c>
      <c r="J1299" s="14" t="n">
        <v>0</v>
      </c>
      <c r="K1299" s="14" t="n">
        <v>0</v>
      </c>
      <c r="L1299" s="14" t="n">
        <v>0</v>
      </c>
      <c r="M1299" s="14">
        <f>IF(B1299="Frete de venda",0,(1-ISNUMBER(SEARCH("556",P1299)))*(I1299*VLOOKUP($B1299,Premissas!$A$4:$E$7,2,0)+J1299*VLOOKUP($B1299,Premissas!$A$4:$E$7,3,0))+K1299*VLOOKUP($B1299,Premissas!$A$4:$E$7,4,0)+L1299*VLOOKUP($B1299,Premissas!$A$4:$E$7,5,0))</f>
        <v/>
      </c>
      <c r="N1299" s="14">
        <f>H1299-M1299</f>
        <v/>
      </c>
      <c r="O1299" t="inlineStr">
        <is>
          <t>Não</t>
        </is>
      </c>
      <c r="P1299" t="inlineStr">
        <is>
          <t>1.350</t>
        </is>
      </c>
    </row>
    <row r="1300">
      <c r="A1300" t="inlineStr">
        <is>
          <t>Antes de 2026</t>
        </is>
      </c>
      <c r="B1300" t="inlineStr">
        <is>
          <t>Frete de venda</t>
        </is>
      </c>
      <c r="C1300" t="inlineStr">
        <is>
          <t>Frete de venda (para clientes)</t>
        </is>
      </c>
      <c r="D1300" t="inlineStr">
        <is>
          <t>CT-e</t>
        </is>
      </c>
      <c r="E1300" t="inlineStr">
        <is>
          <t>000004980</t>
        </is>
      </c>
      <c r="F1300" t="inlineStr">
        <is>
          <t>R&amp;R TRANSPORTE E LOGISTICA</t>
        </is>
      </c>
      <c r="G1300" s="27" t="n">
        <v>45891</v>
      </c>
      <c r="H1300" s="14" t="n">
        <v>26.8</v>
      </c>
      <c r="I1300" s="14" t="n">
        <v>0</v>
      </c>
      <c r="J1300" s="14" t="n">
        <v>0</v>
      </c>
      <c r="K1300" s="14" t="n">
        <v>0</v>
      </c>
      <c r="L1300" s="14" t="n">
        <v>0</v>
      </c>
      <c r="M1300" s="14">
        <f>IF(B1300="Frete de venda",0,(1-ISNUMBER(SEARCH("556",P1300)))*(I1300*VLOOKUP($B1300,Premissas!$A$4:$E$7,2,0)+J1300*VLOOKUP($B1300,Premissas!$A$4:$E$7,3,0))+K1300*VLOOKUP($B1300,Premissas!$A$4:$E$7,4,0)+L1300*VLOOKUP($B1300,Premissas!$A$4:$E$7,5,0))</f>
        <v/>
      </c>
      <c r="N1300" s="14">
        <f>H1300-M1300</f>
        <v/>
      </c>
      <c r="O1300" t="inlineStr">
        <is>
          <t>Não</t>
        </is>
      </c>
      <c r="P1300" t="inlineStr">
        <is>
          <t>1.350</t>
        </is>
      </c>
    </row>
    <row r="1301">
      <c r="A1301" t="inlineStr">
        <is>
          <t>Antes de 2026</t>
        </is>
      </c>
      <c r="B1301" t="inlineStr">
        <is>
          <t>Frete de venda</t>
        </is>
      </c>
      <c r="C1301" t="inlineStr">
        <is>
          <t>Frete de venda (para clientes)</t>
        </is>
      </c>
      <c r="D1301" t="inlineStr">
        <is>
          <t>CT-e</t>
        </is>
      </c>
      <c r="E1301" t="inlineStr">
        <is>
          <t>000005239</t>
        </is>
      </c>
      <c r="F1301" t="inlineStr">
        <is>
          <t>R&amp;R TRANSPORTE E LOGISTICA</t>
        </is>
      </c>
      <c r="G1301" s="27" t="n">
        <v>45918</v>
      </c>
      <c r="H1301" s="14" t="n">
        <v>23.33</v>
      </c>
      <c r="I1301" s="14" t="n">
        <v>0</v>
      </c>
      <c r="J1301" s="14" t="n">
        <v>0</v>
      </c>
      <c r="K1301" s="14" t="n">
        <v>0</v>
      </c>
      <c r="L1301" s="14" t="n">
        <v>0</v>
      </c>
      <c r="M1301" s="14">
        <f>IF(B1301="Frete de venda",0,(1-ISNUMBER(SEARCH("556",P1301)))*(I1301*VLOOKUP($B1301,Premissas!$A$4:$E$7,2,0)+J1301*VLOOKUP($B1301,Premissas!$A$4:$E$7,3,0))+K1301*VLOOKUP($B1301,Premissas!$A$4:$E$7,4,0)+L1301*VLOOKUP($B1301,Premissas!$A$4:$E$7,5,0))</f>
        <v/>
      </c>
      <c r="N1301" s="14">
        <f>H1301-M1301</f>
        <v/>
      </c>
      <c r="O1301" t="inlineStr">
        <is>
          <t>Não</t>
        </is>
      </c>
      <c r="P1301" t="inlineStr">
        <is>
          <t>1.350</t>
        </is>
      </c>
    </row>
    <row r="1302">
      <c r="A1302" t="inlineStr">
        <is>
          <t>Antes de 2026</t>
        </is>
      </c>
      <c r="B1302" t="inlineStr">
        <is>
          <t>Frete de venda</t>
        </is>
      </c>
      <c r="C1302" t="inlineStr">
        <is>
          <t>Frete de venda (para clientes)</t>
        </is>
      </c>
      <c r="D1302" t="inlineStr">
        <is>
          <t>CT-e</t>
        </is>
      </c>
      <c r="E1302" t="inlineStr">
        <is>
          <t>000005677</t>
        </is>
      </c>
      <c r="F1302" t="inlineStr">
        <is>
          <t>R&amp;R TRANSPORTE E LOGISTICA</t>
        </is>
      </c>
      <c r="G1302" s="27" t="n">
        <v>45967</v>
      </c>
      <c r="H1302" s="14" t="n">
        <v>15</v>
      </c>
      <c r="I1302" s="14" t="n">
        <v>0</v>
      </c>
      <c r="J1302" s="14" t="n">
        <v>0</v>
      </c>
      <c r="K1302" s="14" t="n">
        <v>0</v>
      </c>
      <c r="L1302" s="14" t="n">
        <v>0</v>
      </c>
      <c r="M1302" s="14">
        <f>IF(B1302="Frete de venda",0,(1-ISNUMBER(SEARCH("556",P1302)))*(I1302*VLOOKUP($B1302,Premissas!$A$4:$E$7,2,0)+J1302*VLOOKUP($B1302,Premissas!$A$4:$E$7,3,0))+K1302*VLOOKUP($B1302,Premissas!$A$4:$E$7,4,0)+L1302*VLOOKUP($B1302,Premissas!$A$4:$E$7,5,0))</f>
        <v/>
      </c>
      <c r="N1302" s="14">
        <f>H1302-M1302</f>
        <v/>
      </c>
      <c r="O1302" t="inlineStr">
        <is>
          <t>Não</t>
        </is>
      </c>
      <c r="P1302" t="inlineStr">
        <is>
          <t>1.350</t>
        </is>
      </c>
    </row>
    <row r="1303">
      <c r="A1303" t="inlineStr">
        <is>
          <t>Antes de 2026</t>
        </is>
      </c>
      <c r="B1303" t="inlineStr">
        <is>
          <t>Frete de venda</t>
        </is>
      </c>
      <c r="C1303" t="inlineStr">
        <is>
          <t>Frete de venda (para clientes)</t>
        </is>
      </c>
      <c r="D1303" t="inlineStr">
        <is>
          <t>CT-e</t>
        </is>
      </c>
      <c r="E1303" t="inlineStr">
        <is>
          <t>000006094</t>
        </is>
      </c>
      <c r="F1303" t="inlineStr">
        <is>
          <t>R&amp;R TRANSPORTE E LOGISTICA</t>
        </is>
      </c>
      <c r="G1303" s="27" t="n">
        <v>46021</v>
      </c>
      <c r="H1303" s="14" t="n">
        <v>8.050000000000001</v>
      </c>
      <c r="I1303" s="14" t="n">
        <v>0</v>
      </c>
      <c r="J1303" s="14" t="n">
        <v>0</v>
      </c>
      <c r="K1303" s="14" t="n">
        <v>0</v>
      </c>
      <c r="L1303" s="14" t="n">
        <v>0</v>
      </c>
      <c r="M1303" s="14">
        <f>IF(B1303="Frete de venda",0,(1-ISNUMBER(SEARCH("556",P1303)))*(I1303*VLOOKUP($B1303,Premissas!$A$4:$E$7,2,0)+J1303*VLOOKUP($B1303,Premissas!$A$4:$E$7,3,0))+K1303*VLOOKUP($B1303,Premissas!$A$4:$E$7,4,0)+L1303*VLOOKUP($B1303,Premissas!$A$4:$E$7,5,0))</f>
        <v/>
      </c>
      <c r="N1303" s="14">
        <f>H1303-M1303</f>
        <v/>
      </c>
      <c r="O1303" t="inlineStr">
        <is>
          <t>Não</t>
        </is>
      </c>
      <c r="P1303" t="inlineStr">
        <is>
          <t>1.350</t>
        </is>
      </c>
    </row>
    <row r="1304">
      <c r="A1304" t="inlineStr">
        <is>
          <t>Antes de 2026</t>
        </is>
      </c>
      <c r="B1304" t="inlineStr">
        <is>
          <t>Frete de venda</t>
        </is>
      </c>
      <c r="C1304" t="inlineStr">
        <is>
          <t>Frete de venda (para clientes)</t>
        </is>
      </c>
      <c r="D1304" t="inlineStr">
        <is>
          <t>CT-e</t>
        </is>
      </c>
      <c r="E1304" t="inlineStr">
        <is>
          <t>000005129</t>
        </is>
      </c>
      <c r="F1304" t="inlineStr">
        <is>
          <t>R&amp;R TRANSPORTE E LOGISTICA</t>
        </is>
      </c>
      <c r="G1304" s="27" t="n">
        <v>45908</v>
      </c>
      <c r="H1304" s="14" t="n">
        <v>43.21</v>
      </c>
      <c r="I1304" s="14" t="n">
        <v>0</v>
      </c>
      <c r="J1304" s="14" t="n">
        <v>0</v>
      </c>
      <c r="K1304" s="14" t="n">
        <v>0</v>
      </c>
      <c r="L1304" s="14" t="n">
        <v>0</v>
      </c>
      <c r="M1304" s="14">
        <f>IF(B1304="Frete de venda",0,(1-ISNUMBER(SEARCH("556",P1304)))*(I1304*VLOOKUP($B1304,Premissas!$A$4:$E$7,2,0)+J1304*VLOOKUP($B1304,Premissas!$A$4:$E$7,3,0))+K1304*VLOOKUP($B1304,Premissas!$A$4:$E$7,4,0)+L1304*VLOOKUP($B1304,Premissas!$A$4:$E$7,5,0))</f>
        <v/>
      </c>
      <c r="N1304" s="14">
        <f>H1304-M1304</f>
        <v/>
      </c>
      <c r="O1304" t="inlineStr">
        <is>
          <t>Não</t>
        </is>
      </c>
      <c r="P1304" t="inlineStr">
        <is>
          <t>1.350</t>
        </is>
      </c>
    </row>
    <row r="1305">
      <c r="A1305" t="inlineStr">
        <is>
          <t>Antes de 2026</t>
        </is>
      </c>
      <c r="B1305" t="inlineStr">
        <is>
          <t>Frete de venda</t>
        </is>
      </c>
      <c r="C1305" t="inlineStr">
        <is>
          <t>Frete de venda (para clientes)</t>
        </is>
      </c>
      <c r="D1305" t="inlineStr">
        <is>
          <t>CT-e</t>
        </is>
      </c>
      <c r="E1305" t="inlineStr">
        <is>
          <t>000006078</t>
        </is>
      </c>
      <c r="F1305" t="inlineStr">
        <is>
          <t>R&amp;R TRANSPORTE E LOGISTICA</t>
        </is>
      </c>
      <c r="G1305" s="27" t="n">
        <v>46021</v>
      </c>
      <c r="H1305" s="14" t="n">
        <v>47.7</v>
      </c>
      <c r="I1305" s="14" t="n">
        <v>0</v>
      </c>
      <c r="J1305" s="14" t="n">
        <v>0</v>
      </c>
      <c r="K1305" s="14" t="n">
        <v>0</v>
      </c>
      <c r="L1305" s="14" t="n">
        <v>0</v>
      </c>
      <c r="M1305" s="14">
        <f>IF(B1305="Frete de venda",0,(1-ISNUMBER(SEARCH("556",P1305)))*(I1305*VLOOKUP($B1305,Premissas!$A$4:$E$7,2,0)+J1305*VLOOKUP($B1305,Premissas!$A$4:$E$7,3,0))+K1305*VLOOKUP($B1305,Premissas!$A$4:$E$7,4,0)+L1305*VLOOKUP($B1305,Premissas!$A$4:$E$7,5,0))</f>
        <v/>
      </c>
      <c r="N1305" s="14">
        <f>H1305-M1305</f>
        <v/>
      </c>
      <c r="O1305" t="inlineStr">
        <is>
          <t>Não</t>
        </is>
      </c>
      <c r="P1305" t="inlineStr">
        <is>
          <t>1.350</t>
        </is>
      </c>
    </row>
    <row r="1306">
      <c r="A1306" t="inlineStr">
        <is>
          <t>Antes de 2026</t>
        </is>
      </c>
      <c r="B1306" t="inlineStr">
        <is>
          <t>Frete de venda</t>
        </is>
      </c>
      <c r="C1306" t="inlineStr">
        <is>
          <t>Frete de venda (para clientes)</t>
        </is>
      </c>
      <c r="D1306" t="inlineStr">
        <is>
          <t>CT-e</t>
        </is>
      </c>
      <c r="E1306" t="inlineStr">
        <is>
          <t>000005787</t>
        </is>
      </c>
      <c r="F1306" t="inlineStr">
        <is>
          <t>R&amp;R TRANSPORTE E LOGISTICA</t>
        </is>
      </c>
      <c r="G1306" s="27" t="n">
        <v>45981</v>
      </c>
      <c r="H1306" s="14" t="n">
        <v>10.99</v>
      </c>
      <c r="I1306" s="14" t="n">
        <v>0</v>
      </c>
      <c r="J1306" s="14" t="n">
        <v>0</v>
      </c>
      <c r="K1306" s="14" t="n">
        <v>0</v>
      </c>
      <c r="L1306" s="14" t="n">
        <v>0</v>
      </c>
      <c r="M1306" s="14">
        <f>IF(B1306="Frete de venda",0,(1-ISNUMBER(SEARCH("556",P1306)))*(I1306*VLOOKUP($B1306,Premissas!$A$4:$E$7,2,0)+J1306*VLOOKUP($B1306,Premissas!$A$4:$E$7,3,0))+K1306*VLOOKUP($B1306,Premissas!$A$4:$E$7,4,0)+L1306*VLOOKUP($B1306,Premissas!$A$4:$E$7,5,0))</f>
        <v/>
      </c>
      <c r="N1306" s="14">
        <f>H1306-M1306</f>
        <v/>
      </c>
      <c r="O1306" t="inlineStr">
        <is>
          <t>Não</t>
        </is>
      </c>
      <c r="P1306" t="inlineStr">
        <is>
          <t>1.350</t>
        </is>
      </c>
    </row>
    <row r="1307">
      <c r="A1307" t="inlineStr">
        <is>
          <t>Antes de 2026</t>
        </is>
      </c>
      <c r="B1307" t="inlineStr">
        <is>
          <t>Frete de venda</t>
        </is>
      </c>
      <c r="C1307" t="inlineStr">
        <is>
          <t>Frete de venda (para clientes)</t>
        </is>
      </c>
      <c r="D1307" t="inlineStr">
        <is>
          <t>CT-e</t>
        </is>
      </c>
      <c r="E1307" t="inlineStr">
        <is>
          <t>000005253</t>
        </is>
      </c>
      <c r="F1307" t="inlineStr">
        <is>
          <t>R&amp;R TRANSPORTE E LOGISTICA</t>
        </is>
      </c>
      <c r="G1307" s="27" t="n">
        <v>45919</v>
      </c>
      <c r="H1307" s="14" t="n">
        <v>191.71</v>
      </c>
      <c r="I1307" s="14" t="n">
        <v>0</v>
      </c>
      <c r="J1307" s="14" t="n">
        <v>0</v>
      </c>
      <c r="K1307" s="14" t="n">
        <v>0</v>
      </c>
      <c r="L1307" s="14" t="n">
        <v>0</v>
      </c>
      <c r="M1307" s="14">
        <f>IF(B1307="Frete de venda",0,(1-ISNUMBER(SEARCH("556",P1307)))*(I1307*VLOOKUP($B1307,Premissas!$A$4:$E$7,2,0)+J1307*VLOOKUP($B1307,Premissas!$A$4:$E$7,3,0))+K1307*VLOOKUP($B1307,Premissas!$A$4:$E$7,4,0)+L1307*VLOOKUP($B1307,Premissas!$A$4:$E$7,5,0))</f>
        <v/>
      </c>
      <c r="N1307" s="14">
        <f>H1307-M1307</f>
        <v/>
      </c>
      <c r="O1307" t="inlineStr">
        <is>
          <t>Não</t>
        </is>
      </c>
      <c r="P1307" t="inlineStr">
        <is>
          <t>1.350</t>
        </is>
      </c>
    </row>
    <row r="1308">
      <c r="A1308" t="inlineStr">
        <is>
          <t>Antes de 2026</t>
        </is>
      </c>
      <c r="B1308" t="inlineStr">
        <is>
          <t>Frete de venda</t>
        </is>
      </c>
      <c r="C1308" t="inlineStr">
        <is>
          <t>Frete de venda (para clientes)</t>
        </is>
      </c>
      <c r="D1308" t="inlineStr">
        <is>
          <t>CT-e</t>
        </is>
      </c>
      <c r="E1308" t="inlineStr">
        <is>
          <t>000004152</t>
        </is>
      </c>
      <c r="F1308" t="inlineStr">
        <is>
          <t>R&amp;R TRANSPORTE E LOGISTICA</t>
        </is>
      </c>
      <c r="G1308" s="27" t="n">
        <v>45783</v>
      </c>
      <c r="H1308" s="14" t="n">
        <v>18.66</v>
      </c>
      <c r="I1308" s="14" t="n">
        <v>0</v>
      </c>
      <c r="J1308" s="14" t="n">
        <v>0</v>
      </c>
      <c r="K1308" s="14" t="n">
        <v>0</v>
      </c>
      <c r="L1308" s="14" t="n">
        <v>0</v>
      </c>
      <c r="M1308" s="14">
        <f>IF(B1308="Frete de venda",0,(1-ISNUMBER(SEARCH("556",P1308)))*(I1308*VLOOKUP($B1308,Premissas!$A$4:$E$7,2,0)+J1308*VLOOKUP($B1308,Premissas!$A$4:$E$7,3,0))+K1308*VLOOKUP($B1308,Premissas!$A$4:$E$7,4,0)+L1308*VLOOKUP($B1308,Premissas!$A$4:$E$7,5,0))</f>
        <v/>
      </c>
      <c r="N1308" s="14">
        <f>H1308-M1308</f>
        <v/>
      </c>
      <c r="O1308" t="inlineStr">
        <is>
          <t>Não</t>
        </is>
      </c>
      <c r="P1308" t="inlineStr">
        <is>
          <t>1.350</t>
        </is>
      </c>
    </row>
    <row r="1309">
      <c r="A1309" t="inlineStr">
        <is>
          <t>Antes de 2026</t>
        </is>
      </c>
      <c r="B1309" t="inlineStr">
        <is>
          <t>Frete de venda</t>
        </is>
      </c>
      <c r="C1309" t="inlineStr">
        <is>
          <t>Frete de venda (para clientes)</t>
        </is>
      </c>
      <c r="D1309" t="inlineStr">
        <is>
          <t>CT-e</t>
        </is>
      </c>
      <c r="E1309" t="inlineStr">
        <is>
          <t>000005057</t>
        </is>
      </c>
      <c r="F1309" t="inlineStr">
        <is>
          <t>R&amp;R TRANSPORTE E LOGISTICA</t>
        </is>
      </c>
      <c r="G1309" s="27" t="n">
        <v>45896</v>
      </c>
      <c r="H1309" s="14" t="n">
        <v>17.28</v>
      </c>
      <c r="I1309" s="14" t="n">
        <v>0</v>
      </c>
      <c r="J1309" s="14" t="n">
        <v>0</v>
      </c>
      <c r="K1309" s="14" t="n">
        <v>0</v>
      </c>
      <c r="L1309" s="14" t="n">
        <v>0</v>
      </c>
      <c r="M1309" s="14">
        <f>IF(B1309="Frete de venda",0,(1-ISNUMBER(SEARCH("556",P1309)))*(I1309*VLOOKUP($B1309,Premissas!$A$4:$E$7,2,0)+J1309*VLOOKUP($B1309,Premissas!$A$4:$E$7,3,0))+K1309*VLOOKUP($B1309,Premissas!$A$4:$E$7,4,0)+L1309*VLOOKUP($B1309,Premissas!$A$4:$E$7,5,0))</f>
        <v/>
      </c>
      <c r="N1309" s="14">
        <f>H1309-M1309</f>
        <v/>
      </c>
      <c r="O1309" t="inlineStr">
        <is>
          <t>Não</t>
        </is>
      </c>
      <c r="P1309" t="inlineStr">
        <is>
          <t>1.350</t>
        </is>
      </c>
    </row>
    <row r="1310">
      <c r="A1310" t="inlineStr">
        <is>
          <t>Antes de 2026</t>
        </is>
      </c>
      <c r="B1310" t="inlineStr">
        <is>
          <t>Frete de venda</t>
        </is>
      </c>
      <c r="C1310" t="inlineStr">
        <is>
          <t>Frete de venda (para clientes)</t>
        </is>
      </c>
      <c r="D1310" t="inlineStr">
        <is>
          <t>CT-e</t>
        </is>
      </c>
      <c r="E1310" t="inlineStr">
        <is>
          <t>000005689</t>
        </is>
      </c>
      <c r="F1310" t="inlineStr">
        <is>
          <t>R&amp;R TRANSPORTE E LOGISTICA</t>
        </is>
      </c>
      <c r="G1310" s="27" t="n">
        <v>45967</v>
      </c>
      <c r="H1310" s="14" t="n">
        <v>17</v>
      </c>
      <c r="I1310" s="14" t="n">
        <v>0</v>
      </c>
      <c r="J1310" s="14" t="n">
        <v>0</v>
      </c>
      <c r="K1310" s="14" t="n">
        <v>0</v>
      </c>
      <c r="L1310" s="14" t="n">
        <v>0</v>
      </c>
      <c r="M1310" s="14">
        <f>IF(B1310="Frete de venda",0,(1-ISNUMBER(SEARCH("556",P1310)))*(I1310*VLOOKUP($B1310,Premissas!$A$4:$E$7,2,0)+J1310*VLOOKUP($B1310,Premissas!$A$4:$E$7,3,0))+K1310*VLOOKUP($B1310,Premissas!$A$4:$E$7,4,0)+L1310*VLOOKUP($B1310,Premissas!$A$4:$E$7,5,0))</f>
        <v/>
      </c>
      <c r="N1310" s="14">
        <f>H1310-M1310</f>
        <v/>
      </c>
      <c r="O1310" t="inlineStr">
        <is>
          <t>Não</t>
        </is>
      </c>
      <c r="P1310" t="inlineStr">
        <is>
          <t>1.350</t>
        </is>
      </c>
    </row>
    <row r="1311">
      <c r="A1311" t="inlineStr">
        <is>
          <t>Antes de 2026</t>
        </is>
      </c>
      <c r="B1311" t="inlineStr">
        <is>
          <t>Frete de venda</t>
        </is>
      </c>
      <c r="C1311" t="inlineStr">
        <is>
          <t>Frete de venda (para clientes)</t>
        </is>
      </c>
      <c r="D1311" t="inlineStr">
        <is>
          <t>CT-e</t>
        </is>
      </c>
      <c r="E1311" t="inlineStr">
        <is>
          <t>000005843</t>
        </is>
      </c>
      <c r="F1311" t="inlineStr">
        <is>
          <t>R&amp;R TRANSPORTE E LOGISTICA</t>
        </is>
      </c>
      <c r="G1311" s="27" t="n">
        <v>45988</v>
      </c>
      <c r="H1311" s="14" t="n">
        <v>10.54</v>
      </c>
      <c r="I1311" s="14" t="n">
        <v>0</v>
      </c>
      <c r="J1311" s="14" t="n">
        <v>0</v>
      </c>
      <c r="K1311" s="14" t="n">
        <v>0</v>
      </c>
      <c r="L1311" s="14" t="n">
        <v>0</v>
      </c>
      <c r="M1311" s="14">
        <f>IF(B1311="Frete de venda",0,(1-ISNUMBER(SEARCH("556",P1311)))*(I1311*VLOOKUP($B1311,Premissas!$A$4:$E$7,2,0)+J1311*VLOOKUP($B1311,Premissas!$A$4:$E$7,3,0))+K1311*VLOOKUP($B1311,Premissas!$A$4:$E$7,4,0)+L1311*VLOOKUP($B1311,Premissas!$A$4:$E$7,5,0))</f>
        <v/>
      </c>
      <c r="N1311" s="14">
        <f>H1311-M1311</f>
        <v/>
      </c>
      <c r="O1311" t="inlineStr">
        <is>
          <t>Não</t>
        </is>
      </c>
      <c r="P1311" t="inlineStr">
        <is>
          <t>1.350</t>
        </is>
      </c>
    </row>
    <row r="1312">
      <c r="A1312" t="inlineStr">
        <is>
          <t>Antes de 2026</t>
        </is>
      </c>
      <c r="B1312" t="inlineStr">
        <is>
          <t>Frete de venda</t>
        </is>
      </c>
      <c r="C1312" t="inlineStr">
        <is>
          <t>Frete de venda (para clientes)</t>
        </is>
      </c>
      <c r="D1312" t="inlineStr">
        <is>
          <t>CT-e</t>
        </is>
      </c>
      <c r="E1312" t="inlineStr">
        <is>
          <t>000006088</t>
        </is>
      </c>
      <c r="F1312" t="inlineStr">
        <is>
          <t>R&amp;R TRANSPORTE E LOGISTICA</t>
        </is>
      </c>
      <c r="G1312" s="27" t="n">
        <v>46021</v>
      </c>
      <c r="H1312" s="14" t="n">
        <v>10.65</v>
      </c>
      <c r="I1312" s="14" t="n">
        <v>0</v>
      </c>
      <c r="J1312" s="14" t="n">
        <v>0</v>
      </c>
      <c r="K1312" s="14" t="n">
        <v>0</v>
      </c>
      <c r="L1312" s="14" t="n">
        <v>0</v>
      </c>
      <c r="M1312" s="14">
        <f>IF(B1312="Frete de venda",0,(1-ISNUMBER(SEARCH("556",P1312)))*(I1312*VLOOKUP($B1312,Premissas!$A$4:$E$7,2,0)+J1312*VLOOKUP($B1312,Premissas!$A$4:$E$7,3,0))+K1312*VLOOKUP($B1312,Premissas!$A$4:$E$7,4,0)+L1312*VLOOKUP($B1312,Premissas!$A$4:$E$7,5,0))</f>
        <v/>
      </c>
      <c r="N1312" s="14">
        <f>H1312-M1312</f>
        <v/>
      </c>
      <c r="O1312" t="inlineStr">
        <is>
          <t>Não</t>
        </is>
      </c>
      <c r="P1312" t="inlineStr">
        <is>
          <t>1.350</t>
        </is>
      </c>
    </row>
    <row r="1313">
      <c r="A1313" t="inlineStr">
        <is>
          <t>Antes de 2026</t>
        </is>
      </c>
      <c r="B1313" t="inlineStr">
        <is>
          <t>Frete de venda</t>
        </is>
      </c>
      <c r="C1313" t="inlineStr">
        <is>
          <t>Frete de venda (para clientes)</t>
        </is>
      </c>
      <c r="D1313" t="inlineStr">
        <is>
          <t>CT-e</t>
        </is>
      </c>
      <c r="E1313" t="inlineStr">
        <is>
          <t>000004218</t>
        </is>
      </c>
      <c r="F1313" t="inlineStr">
        <is>
          <t>R&amp;R TRANSPORTE E LOGISTICA</t>
        </is>
      </c>
      <c r="G1313" s="27" t="n">
        <v>45790</v>
      </c>
      <c r="H1313" s="14" t="n">
        <v>36.35</v>
      </c>
      <c r="I1313" s="14" t="n">
        <v>0</v>
      </c>
      <c r="J1313" s="14" t="n">
        <v>0</v>
      </c>
      <c r="K1313" s="14" t="n">
        <v>0</v>
      </c>
      <c r="L1313" s="14" t="n">
        <v>0</v>
      </c>
      <c r="M1313" s="14">
        <f>IF(B1313="Frete de venda",0,(1-ISNUMBER(SEARCH("556",P1313)))*(I1313*VLOOKUP($B1313,Premissas!$A$4:$E$7,2,0)+J1313*VLOOKUP($B1313,Premissas!$A$4:$E$7,3,0))+K1313*VLOOKUP($B1313,Premissas!$A$4:$E$7,4,0)+L1313*VLOOKUP($B1313,Premissas!$A$4:$E$7,5,0))</f>
        <v/>
      </c>
      <c r="N1313" s="14">
        <f>H1313-M1313</f>
        <v/>
      </c>
      <c r="O1313" t="inlineStr">
        <is>
          <t>Não</t>
        </is>
      </c>
      <c r="P1313" t="inlineStr">
        <is>
          <t>1.350</t>
        </is>
      </c>
    </row>
    <row r="1314">
      <c r="A1314" t="inlineStr">
        <is>
          <t>Antes de 2026</t>
        </is>
      </c>
      <c r="B1314" t="inlineStr">
        <is>
          <t>Frete de venda</t>
        </is>
      </c>
      <c r="C1314" t="inlineStr">
        <is>
          <t>Frete de venda (para clientes)</t>
        </is>
      </c>
      <c r="D1314" t="inlineStr">
        <is>
          <t>CT-e</t>
        </is>
      </c>
      <c r="E1314" t="inlineStr">
        <is>
          <t>000004712</t>
        </is>
      </c>
      <c r="F1314" t="inlineStr">
        <is>
          <t>R&amp;R TRANSPORTE E LOGISTICA</t>
        </is>
      </c>
      <c r="G1314" s="27" t="n">
        <v>45860</v>
      </c>
      <c r="H1314" s="14" t="n">
        <v>28.77</v>
      </c>
      <c r="I1314" s="14" t="n">
        <v>0</v>
      </c>
      <c r="J1314" s="14" t="n">
        <v>0</v>
      </c>
      <c r="K1314" s="14" t="n">
        <v>0</v>
      </c>
      <c r="L1314" s="14" t="n">
        <v>0</v>
      </c>
      <c r="M1314" s="14">
        <f>IF(B1314="Frete de venda",0,(1-ISNUMBER(SEARCH("556",P1314)))*(I1314*VLOOKUP($B1314,Premissas!$A$4:$E$7,2,0)+J1314*VLOOKUP($B1314,Premissas!$A$4:$E$7,3,0))+K1314*VLOOKUP($B1314,Premissas!$A$4:$E$7,4,0)+L1314*VLOOKUP($B1314,Premissas!$A$4:$E$7,5,0))</f>
        <v/>
      </c>
      <c r="N1314" s="14">
        <f>H1314-M1314</f>
        <v/>
      </c>
      <c r="O1314" t="inlineStr">
        <is>
          <t>Não</t>
        </is>
      </c>
      <c r="P1314" t="inlineStr">
        <is>
          <t>1.350</t>
        </is>
      </c>
    </row>
    <row r="1315">
      <c r="A1315" t="inlineStr">
        <is>
          <t>Antes de 2026</t>
        </is>
      </c>
      <c r="B1315" t="inlineStr">
        <is>
          <t>Frete de venda</t>
        </is>
      </c>
      <c r="C1315" t="inlineStr">
        <is>
          <t>Frete de venda (para clientes)</t>
        </is>
      </c>
      <c r="D1315" t="inlineStr">
        <is>
          <t>CT-e</t>
        </is>
      </c>
      <c r="E1315" t="inlineStr">
        <is>
          <t>000005832</t>
        </is>
      </c>
      <c r="F1315" t="inlineStr">
        <is>
          <t>R&amp;R TRANSPORTE E LOGISTICA</t>
        </is>
      </c>
      <c r="G1315" s="27" t="n">
        <v>45987</v>
      </c>
      <c r="H1315" s="14" t="n">
        <v>39.39</v>
      </c>
      <c r="I1315" s="14" t="n">
        <v>0</v>
      </c>
      <c r="J1315" s="14" t="n">
        <v>0</v>
      </c>
      <c r="K1315" s="14" t="n">
        <v>0</v>
      </c>
      <c r="L1315" s="14" t="n">
        <v>0</v>
      </c>
      <c r="M1315" s="14">
        <f>IF(B1315="Frete de venda",0,(1-ISNUMBER(SEARCH("556",P1315)))*(I1315*VLOOKUP($B1315,Premissas!$A$4:$E$7,2,0)+J1315*VLOOKUP($B1315,Premissas!$A$4:$E$7,3,0))+K1315*VLOOKUP($B1315,Premissas!$A$4:$E$7,4,0)+L1315*VLOOKUP($B1315,Premissas!$A$4:$E$7,5,0))</f>
        <v/>
      </c>
      <c r="N1315" s="14">
        <f>H1315-M1315</f>
        <v/>
      </c>
      <c r="O1315" t="inlineStr">
        <is>
          <t>Não</t>
        </is>
      </c>
      <c r="P1315" t="inlineStr">
        <is>
          <t>1.350</t>
        </is>
      </c>
    </row>
    <row r="1316">
      <c r="A1316" t="inlineStr">
        <is>
          <t>Antes de 2026</t>
        </is>
      </c>
      <c r="B1316" t="inlineStr">
        <is>
          <t>Frete de venda</t>
        </is>
      </c>
      <c r="C1316" t="inlineStr">
        <is>
          <t>Frete de venda (para clientes)</t>
        </is>
      </c>
      <c r="D1316" t="inlineStr">
        <is>
          <t>CT-e</t>
        </is>
      </c>
      <c r="E1316" t="inlineStr">
        <is>
          <t>000005522</t>
        </is>
      </c>
      <c r="F1316" t="inlineStr">
        <is>
          <t>R&amp;R TRANSPORTE E LOGISTICA</t>
        </is>
      </c>
      <c r="G1316" s="27" t="n">
        <v>45951</v>
      </c>
      <c r="H1316" s="14" t="n">
        <v>33.07</v>
      </c>
      <c r="I1316" s="14" t="n">
        <v>0</v>
      </c>
      <c r="J1316" s="14" t="n">
        <v>0</v>
      </c>
      <c r="K1316" s="14" t="n">
        <v>0</v>
      </c>
      <c r="L1316" s="14" t="n">
        <v>0</v>
      </c>
      <c r="M1316" s="14">
        <f>IF(B1316="Frete de venda",0,(1-ISNUMBER(SEARCH("556",P1316)))*(I1316*VLOOKUP($B1316,Premissas!$A$4:$E$7,2,0)+J1316*VLOOKUP($B1316,Premissas!$A$4:$E$7,3,0))+K1316*VLOOKUP($B1316,Premissas!$A$4:$E$7,4,0)+L1316*VLOOKUP($B1316,Premissas!$A$4:$E$7,5,0))</f>
        <v/>
      </c>
      <c r="N1316" s="14">
        <f>H1316-M1316</f>
        <v/>
      </c>
      <c r="O1316" t="inlineStr">
        <is>
          <t>Não</t>
        </is>
      </c>
      <c r="P1316" t="inlineStr">
        <is>
          <t>1.350</t>
        </is>
      </c>
    </row>
    <row r="1317">
      <c r="A1317" t="inlineStr">
        <is>
          <t>Antes de 2026</t>
        </is>
      </c>
      <c r="B1317" t="inlineStr">
        <is>
          <t>Frete de venda</t>
        </is>
      </c>
      <c r="C1317" t="inlineStr">
        <is>
          <t>Frete de venda (para clientes)</t>
        </is>
      </c>
      <c r="D1317" t="inlineStr">
        <is>
          <t>CT-e</t>
        </is>
      </c>
      <c r="E1317" t="inlineStr">
        <is>
          <t>000005539</t>
        </is>
      </c>
      <c r="F1317" t="inlineStr">
        <is>
          <t>R&amp;R TRANSPORTE E LOGISTICA</t>
        </is>
      </c>
      <c r="G1317" s="27" t="n">
        <v>45953</v>
      </c>
      <c r="H1317" s="14" t="n">
        <v>21.16</v>
      </c>
      <c r="I1317" s="14" t="n">
        <v>0</v>
      </c>
      <c r="J1317" s="14" t="n">
        <v>0</v>
      </c>
      <c r="K1317" s="14" t="n">
        <v>0</v>
      </c>
      <c r="L1317" s="14" t="n">
        <v>0</v>
      </c>
      <c r="M1317" s="14">
        <f>IF(B1317="Frete de venda",0,(1-ISNUMBER(SEARCH("556",P1317)))*(I1317*VLOOKUP($B1317,Premissas!$A$4:$E$7,2,0)+J1317*VLOOKUP($B1317,Premissas!$A$4:$E$7,3,0))+K1317*VLOOKUP($B1317,Premissas!$A$4:$E$7,4,0)+L1317*VLOOKUP($B1317,Premissas!$A$4:$E$7,5,0))</f>
        <v/>
      </c>
      <c r="N1317" s="14">
        <f>H1317-M1317</f>
        <v/>
      </c>
      <c r="O1317" t="inlineStr">
        <is>
          <t>Não</t>
        </is>
      </c>
      <c r="P1317" t="inlineStr">
        <is>
          <t>1.350</t>
        </is>
      </c>
    </row>
    <row r="1318">
      <c r="A1318" t="inlineStr">
        <is>
          <t>Antes de 2026</t>
        </is>
      </c>
      <c r="B1318" t="inlineStr">
        <is>
          <t>Frete de venda</t>
        </is>
      </c>
      <c r="C1318" t="inlineStr">
        <is>
          <t>Frete de venda (para clientes)</t>
        </is>
      </c>
      <c r="D1318" t="inlineStr">
        <is>
          <t>CT-e</t>
        </is>
      </c>
      <c r="E1318" t="inlineStr">
        <is>
          <t>000004343</t>
        </is>
      </c>
      <c r="F1318" t="inlineStr">
        <is>
          <t>R&amp;R TRANSPORTE E LOGISTICA</t>
        </is>
      </c>
      <c r="G1318" s="27" t="n">
        <v>45807</v>
      </c>
      <c r="H1318" s="14" t="n">
        <v>28.4</v>
      </c>
      <c r="I1318" s="14" t="n">
        <v>0</v>
      </c>
      <c r="J1318" s="14" t="n">
        <v>0</v>
      </c>
      <c r="K1318" s="14" t="n">
        <v>0</v>
      </c>
      <c r="L1318" s="14" t="n">
        <v>0</v>
      </c>
      <c r="M1318" s="14">
        <f>IF(B1318="Frete de venda",0,(1-ISNUMBER(SEARCH("556",P1318)))*(I1318*VLOOKUP($B1318,Premissas!$A$4:$E$7,2,0)+J1318*VLOOKUP($B1318,Premissas!$A$4:$E$7,3,0))+K1318*VLOOKUP($B1318,Premissas!$A$4:$E$7,4,0)+L1318*VLOOKUP($B1318,Premissas!$A$4:$E$7,5,0))</f>
        <v/>
      </c>
      <c r="N1318" s="14">
        <f>H1318-M1318</f>
        <v/>
      </c>
      <c r="O1318" t="inlineStr">
        <is>
          <t>Não</t>
        </is>
      </c>
      <c r="P1318" t="inlineStr">
        <is>
          <t>1.350</t>
        </is>
      </c>
    </row>
    <row r="1319">
      <c r="A1319" t="inlineStr">
        <is>
          <t>Antes de 2026</t>
        </is>
      </c>
      <c r="B1319" t="inlineStr">
        <is>
          <t>Frete de venda</t>
        </is>
      </c>
      <c r="C1319" t="inlineStr">
        <is>
          <t>Frete de venda (para clientes)</t>
        </is>
      </c>
      <c r="D1319" t="inlineStr">
        <is>
          <t>CT-e</t>
        </is>
      </c>
      <c r="E1319" t="inlineStr">
        <is>
          <t>000004937</t>
        </is>
      </c>
      <c r="F1319" t="inlineStr">
        <is>
          <t>R&amp;R TRANSPORTE E LOGISTICA</t>
        </is>
      </c>
      <c r="G1319" s="27" t="n">
        <v>45884</v>
      </c>
      <c r="H1319" s="14" t="n">
        <v>23.95</v>
      </c>
      <c r="I1319" s="14" t="n">
        <v>0</v>
      </c>
      <c r="J1319" s="14" t="n">
        <v>0</v>
      </c>
      <c r="K1319" s="14" t="n">
        <v>0</v>
      </c>
      <c r="L1319" s="14" t="n">
        <v>0</v>
      </c>
      <c r="M1319" s="14">
        <f>IF(B1319="Frete de venda",0,(1-ISNUMBER(SEARCH("556",P1319)))*(I1319*VLOOKUP($B1319,Premissas!$A$4:$E$7,2,0)+J1319*VLOOKUP($B1319,Premissas!$A$4:$E$7,3,0))+K1319*VLOOKUP($B1319,Premissas!$A$4:$E$7,4,0)+L1319*VLOOKUP($B1319,Premissas!$A$4:$E$7,5,0))</f>
        <v/>
      </c>
      <c r="N1319" s="14">
        <f>H1319-M1319</f>
        <v/>
      </c>
      <c r="O1319" t="inlineStr">
        <is>
          <t>Não</t>
        </is>
      </c>
      <c r="P1319" t="inlineStr">
        <is>
          <t>1.350</t>
        </is>
      </c>
    </row>
    <row r="1320">
      <c r="A1320" t="inlineStr">
        <is>
          <t>Antes de 2026</t>
        </is>
      </c>
      <c r="B1320" t="inlineStr">
        <is>
          <t>Frete de venda</t>
        </is>
      </c>
      <c r="C1320" t="inlineStr">
        <is>
          <t>Frete de venda (para clientes)</t>
        </is>
      </c>
      <c r="D1320" t="inlineStr">
        <is>
          <t>CT-e</t>
        </is>
      </c>
      <c r="E1320" t="inlineStr">
        <is>
          <t>000005069</t>
        </is>
      </c>
      <c r="F1320" t="inlineStr">
        <is>
          <t>R&amp;R TRANSPORTE E LOGISTICA</t>
        </is>
      </c>
      <c r="G1320" s="27" t="n">
        <v>45897</v>
      </c>
      <c r="H1320" s="14" t="n">
        <v>41.23</v>
      </c>
      <c r="I1320" s="14" t="n">
        <v>0</v>
      </c>
      <c r="J1320" s="14" t="n">
        <v>0</v>
      </c>
      <c r="K1320" s="14" t="n">
        <v>0</v>
      </c>
      <c r="L1320" s="14" t="n">
        <v>0</v>
      </c>
      <c r="M1320" s="14">
        <f>IF(B1320="Frete de venda",0,(1-ISNUMBER(SEARCH("556",P1320)))*(I1320*VLOOKUP($B1320,Premissas!$A$4:$E$7,2,0)+J1320*VLOOKUP($B1320,Premissas!$A$4:$E$7,3,0))+K1320*VLOOKUP($B1320,Premissas!$A$4:$E$7,4,0)+L1320*VLOOKUP($B1320,Premissas!$A$4:$E$7,5,0))</f>
        <v/>
      </c>
      <c r="N1320" s="14">
        <f>H1320-M1320</f>
        <v/>
      </c>
      <c r="O1320" t="inlineStr">
        <is>
          <t>Não</t>
        </is>
      </c>
      <c r="P1320" t="inlineStr">
        <is>
          <t>1.350</t>
        </is>
      </c>
    </row>
    <row r="1321">
      <c r="A1321" t="inlineStr">
        <is>
          <t>Antes de 2026</t>
        </is>
      </c>
      <c r="B1321" t="inlineStr">
        <is>
          <t>Frete de venda</t>
        </is>
      </c>
      <c r="C1321" t="inlineStr">
        <is>
          <t>Frete de venda (para clientes)</t>
        </is>
      </c>
      <c r="D1321" t="inlineStr">
        <is>
          <t>CT-e</t>
        </is>
      </c>
      <c r="E1321" t="inlineStr">
        <is>
          <t>000005525</t>
        </is>
      </c>
      <c r="F1321" t="inlineStr">
        <is>
          <t>R&amp;R TRANSPORTE E LOGISTICA</t>
        </is>
      </c>
      <c r="G1321" s="27" t="n">
        <v>45951</v>
      </c>
      <c r="H1321" s="14" t="n">
        <v>70.76000000000001</v>
      </c>
      <c r="I1321" s="14" t="n">
        <v>0</v>
      </c>
      <c r="J1321" s="14" t="n">
        <v>0</v>
      </c>
      <c r="K1321" s="14" t="n">
        <v>0</v>
      </c>
      <c r="L1321" s="14" t="n">
        <v>0</v>
      </c>
      <c r="M1321" s="14">
        <f>IF(B1321="Frete de venda",0,(1-ISNUMBER(SEARCH("556",P1321)))*(I1321*VLOOKUP($B1321,Premissas!$A$4:$E$7,2,0)+J1321*VLOOKUP($B1321,Premissas!$A$4:$E$7,3,0))+K1321*VLOOKUP($B1321,Premissas!$A$4:$E$7,4,0)+L1321*VLOOKUP($B1321,Premissas!$A$4:$E$7,5,0))</f>
        <v/>
      </c>
      <c r="N1321" s="14">
        <f>H1321-M1321</f>
        <v/>
      </c>
      <c r="O1321" t="inlineStr">
        <is>
          <t>Não</t>
        </is>
      </c>
      <c r="P1321" t="inlineStr">
        <is>
          <t>1.350</t>
        </is>
      </c>
    </row>
    <row r="1322">
      <c r="A1322" t="inlineStr">
        <is>
          <t>Antes de 2026</t>
        </is>
      </c>
      <c r="B1322" t="inlineStr">
        <is>
          <t>Frete de venda</t>
        </is>
      </c>
      <c r="C1322" t="inlineStr">
        <is>
          <t>Frete de venda (para clientes)</t>
        </is>
      </c>
      <c r="D1322" t="inlineStr">
        <is>
          <t>CT-e</t>
        </is>
      </c>
      <c r="E1322" t="inlineStr">
        <is>
          <t>000005767</t>
        </is>
      </c>
      <c r="F1322" t="inlineStr">
        <is>
          <t>R&amp;R TRANSPORTE E LOGISTICA</t>
        </is>
      </c>
      <c r="G1322" s="27" t="n">
        <v>45981</v>
      </c>
      <c r="H1322" s="14" t="n">
        <v>44.05</v>
      </c>
      <c r="I1322" s="14" t="n">
        <v>0</v>
      </c>
      <c r="J1322" s="14" t="n">
        <v>0</v>
      </c>
      <c r="K1322" s="14" t="n">
        <v>0</v>
      </c>
      <c r="L1322" s="14" t="n">
        <v>0</v>
      </c>
      <c r="M1322" s="14">
        <f>IF(B1322="Frete de venda",0,(1-ISNUMBER(SEARCH("556",P1322)))*(I1322*VLOOKUP($B1322,Premissas!$A$4:$E$7,2,0)+J1322*VLOOKUP($B1322,Premissas!$A$4:$E$7,3,0))+K1322*VLOOKUP($B1322,Premissas!$A$4:$E$7,4,0)+L1322*VLOOKUP($B1322,Premissas!$A$4:$E$7,5,0))</f>
        <v/>
      </c>
      <c r="N1322" s="14">
        <f>H1322-M1322</f>
        <v/>
      </c>
      <c r="O1322" t="inlineStr">
        <is>
          <t>Não</t>
        </is>
      </c>
      <c r="P1322" t="inlineStr">
        <is>
          <t>1.350</t>
        </is>
      </c>
    </row>
    <row r="1323">
      <c r="A1323" t="inlineStr">
        <is>
          <t>Antes de 2026</t>
        </is>
      </c>
      <c r="B1323" t="inlineStr">
        <is>
          <t>Frete de venda</t>
        </is>
      </c>
      <c r="C1323" t="inlineStr">
        <is>
          <t>Frete de venda (para clientes)</t>
        </is>
      </c>
      <c r="D1323" t="inlineStr">
        <is>
          <t>CT-e</t>
        </is>
      </c>
      <c r="E1323" t="inlineStr">
        <is>
          <t>000006075</t>
        </is>
      </c>
      <c r="F1323" t="inlineStr">
        <is>
          <t>R&amp;R TRANSPORTE E LOGISTICA</t>
        </is>
      </c>
      <c r="G1323" s="27" t="n">
        <v>46021</v>
      </c>
      <c r="H1323" s="14" t="n">
        <v>50.41</v>
      </c>
      <c r="I1323" s="14" t="n">
        <v>0</v>
      </c>
      <c r="J1323" s="14" t="n">
        <v>0</v>
      </c>
      <c r="K1323" s="14" t="n">
        <v>0</v>
      </c>
      <c r="L1323" s="14" t="n">
        <v>0</v>
      </c>
      <c r="M1323" s="14">
        <f>IF(B1323="Frete de venda",0,(1-ISNUMBER(SEARCH("556",P1323)))*(I1323*VLOOKUP($B1323,Premissas!$A$4:$E$7,2,0)+J1323*VLOOKUP($B1323,Premissas!$A$4:$E$7,3,0))+K1323*VLOOKUP($B1323,Premissas!$A$4:$E$7,4,0)+L1323*VLOOKUP($B1323,Premissas!$A$4:$E$7,5,0))</f>
        <v/>
      </c>
      <c r="N1323" s="14">
        <f>H1323-M1323</f>
        <v/>
      </c>
      <c r="O1323" t="inlineStr">
        <is>
          <t>Não</t>
        </is>
      </c>
      <c r="P1323" t="inlineStr">
        <is>
          <t>1.350</t>
        </is>
      </c>
    </row>
    <row r="1324">
      <c r="A1324" t="inlineStr">
        <is>
          <t>Antes de 2026</t>
        </is>
      </c>
      <c r="B1324" t="inlineStr">
        <is>
          <t>Frete de venda</t>
        </is>
      </c>
      <c r="C1324" t="inlineStr">
        <is>
          <t>Frete de venda (para clientes)</t>
        </is>
      </c>
      <c r="D1324" t="inlineStr">
        <is>
          <t>CT-e</t>
        </is>
      </c>
      <c r="E1324" t="inlineStr">
        <is>
          <t>000019532</t>
        </is>
      </c>
      <c r="F1324" t="inlineStr">
        <is>
          <t>TRANSPORTE OLIVEIRA E MELLOI - IDEALIZA TRANSPORTES</t>
        </is>
      </c>
      <c r="G1324" s="27" t="n">
        <v>45546</v>
      </c>
      <c r="H1324" s="14" t="n">
        <v>579.13</v>
      </c>
      <c r="I1324" s="14" t="n">
        <v>0</v>
      </c>
      <c r="J1324" s="14" t="n">
        <v>0</v>
      </c>
      <c r="K1324" s="14" t="n">
        <v>0</v>
      </c>
      <c r="L1324" s="14" t="n">
        <v>0</v>
      </c>
      <c r="M1324" s="14">
        <f>IF(B1324="Frete de venda",0,(1-ISNUMBER(SEARCH("556",P1324)))*(I1324*VLOOKUP($B1324,Premissas!$A$4:$E$7,2,0)+J1324*VLOOKUP($B1324,Premissas!$A$4:$E$7,3,0))+K1324*VLOOKUP($B1324,Premissas!$A$4:$E$7,4,0)+L1324*VLOOKUP($B1324,Premissas!$A$4:$E$7,5,0))</f>
        <v/>
      </c>
      <c r="N1324" s="14">
        <f>H1324-M1324</f>
        <v/>
      </c>
      <c r="O1324" t="inlineStr">
        <is>
          <t>Não</t>
        </is>
      </c>
      <c r="P1324" t="inlineStr">
        <is>
          <t>1.350</t>
        </is>
      </c>
    </row>
    <row r="1325">
      <c r="A1325" t="inlineStr">
        <is>
          <t>Antes de 2026</t>
        </is>
      </c>
      <c r="B1325" t="inlineStr">
        <is>
          <t>Frete de venda</t>
        </is>
      </c>
      <c r="C1325" t="inlineStr">
        <is>
          <t>Frete de venda (para clientes)</t>
        </is>
      </c>
      <c r="D1325" t="inlineStr">
        <is>
          <t>CT-e</t>
        </is>
      </c>
      <c r="E1325" t="inlineStr">
        <is>
          <t>000020453</t>
        </is>
      </c>
      <c r="F1325" t="inlineStr">
        <is>
          <t>TRANSPORTE OLIVEIRA E MELLOI - IDEALIZA TRANSPORTES</t>
        </is>
      </c>
      <c r="G1325" s="27" t="n">
        <v>45600</v>
      </c>
      <c r="H1325" s="14" t="n">
        <v>1542.26</v>
      </c>
      <c r="I1325" s="14" t="n">
        <v>0</v>
      </c>
      <c r="J1325" s="14" t="n">
        <v>0</v>
      </c>
      <c r="K1325" s="14" t="n">
        <v>0</v>
      </c>
      <c r="L1325" s="14" t="n">
        <v>0</v>
      </c>
      <c r="M1325" s="14">
        <f>IF(B1325="Frete de venda",0,(1-ISNUMBER(SEARCH("556",P1325)))*(I1325*VLOOKUP($B1325,Premissas!$A$4:$E$7,2,0)+J1325*VLOOKUP($B1325,Premissas!$A$4:$E$7,3,0))+K1325*VLOOKUP($B1325,Premissas!$A$4:$E$7,4,0)+L1325*VLOOKUP($B1325,Premissas!$A$4:$E$7,5,0))</f>
        <v/>
      </c>
      <c r="N1325" s="14">
        <f>H1325-M1325</f>
        <v/>
      </c>
      <c r="O1325" t="inlineStr">
        <is>
          <t>Não</t>
        </is>
      </c>
      <c r="P1325" t="inlineStr">
        <is>
          <t>1.350</t>
        </is>
      </c>
    </row>
    <row r="1326">
      <c r="A1326" t="inlineStr">
        <is>
          <t>Antes de 2026</t>
        </is>
      </c>
      <c r="B1326" t="inlineStr">
        <is>
          <t>Frete de venda</t>
        </is>
      </c>
      <c r="C1326" t="inlineStr">
        <is>
          <t>Frete de venda (para clientes)</t>
        </is>
      </c>
      <c r="D1326" t="inlineStr">
        <is>
          <t>CT-e</t>
        </is>
      </c>
      <c r="E1326" t="inlineStr">
        <is>
          <t>000020881</t>
        </is>
      </c>
      <c r="F1326" t="inlineStr">
        <is>
          <t>TRANSPORTE OLIVEIRA E MELLOI - IDEALIZA TRANSPORTES</t>
        </is>
      </c>
      <c r="G1326" s="27" t="n">
        <v>45685</v>
      </c>
      <c r="H1326" s="14" t="n">
        <v>1019.44</v>
      </c>
      <c r="I1326" s="14" t="n">
        <v>0</v>
      </c>
      <c r="J1326" s="14" t="n">
        <v>0</v>
      </c>
      <c r="K1326" s="14" t="n">
        <v>0</v>
      </c>
      <c r="L1326" s="14" t="n">
        <v>0</v>
      </c>
      <c r="M1326" s="14">
        <f>IF(B1326="Frete de venda",0,(1-ISNUMBER(SEARCH("556",P1326)))*(I1326*VLOOKUP($B1326,Premissas!$A$4:$E$7,2,0)+J1326*VLOOKUP($B1326,Premissas!$A$4:$E$7,3,0))+K1326*VLOOKUP($B1326,Premissas!$A$4:$E$7,4,0)+L1326*VLOOKUP($B1326,Premissas!$A$4:$E$7,5,0))</f>
        <v/>
      </c>
      <c r="N1326" s="14">
        <f>H1326-M1326</f>
        <v/>
      </c>
      <c r="O1326" t="inlineStr">
        <is>
          <t>Não</t>
        </is>
      </c>
      <c r="P1326" t="inlineStr">
        <is>
          <t>1.350</t>
        </is>
      </c>
    </row>
    <row r="1327">
      <c r="A1327" t="inlineStr">
        <is>
          <t>Antes de 2026</t>
        </is>
      </c>
      <c r="B1327" t="inlineStr">
        <is>
          <t>Frete de venda</t>
        </is>
      </c>
      <c r="C1327" t="inlineStr">
        <is>
          <t>Frete de venda (para clientes)</t>
        </is>
      </c>
      <c r="D1327" t="inlineStr">
        <is>
          <t>CT-e</t>
        </is>
      </c>
      <c r="E1327" t="inlineStr">
        <is>
          <t>000004164</t>
        </is>
      </c>
      <c r="F1327" t="inlineStr">
        <is>
          <t>R&amp;R TRANSPORTE E LOGISTICA</t>
        </is>
      </c>
      <c r="G1327" s="27" t="n">
        <v>45784</v>
      </c>
      <c r="H1327" s="14" t="n">
        <v>16.55</v>
      </c>
      <c r="I1327" s="14" t="n">
        <v>0</v>
      </c>
      <c r="J1327" s="14" t="n">
        <v>0</v>
      </c>
      <c r="K1327" s="14" t="n">
        <v>0</v>
      </c>
      <c r="L1327" s="14" t="n">
        <v>0</v>
      </c>
      <c r="M1327" s="14">
        <f>IF(B1327="Frete de venda",0,(1-ISNUMBER(SEARCH("556",P1327)))*(I1327*VLOOKUP($B1327,Premissas!$A$4:$E$7,2,0)+J1327*VLOOKUP($B1327,Premissas!$A$4:$E$7,3,0))+K1327*VLOOKUP($B1327,Premissas!$A$4:$E$7,4,0)+L1327*VLOOKUP($B1327,Premissas!$A$4:$E$7,5,0))</f>
        <v/>
      </c>
      <c r="N1327" s="14">
        <f>H1327-M1327</f>
        <v/>
      </c>
      <c r="O1327" t="inlineStr">
        <is>
          <t>Não</t>
        </is>
      </c>
      <c r="P1327" t="inlineStr">
        <is>
          <t>1.350</t>
        </is>
      </c>
    </row>
    <row r="1328">
      <c r="A1328" t="inlineStr">
        <is>
          <t>Antes de 2026</t>
        </is>
      </c>
      <c r="B1328" t="inlineStr">
        <is>
          <t>Frete de venda</t>
        </is>
      </c>
      <c r="C1328" t="inlineStr">
        <is>
          <t>Frete de venda (para clientes)</t>
        </is>
      </c>
      <c r="D1328" t="inlineStr">
        <is>
          <t>CT-e</t>
        </is>
      </c>
      <c r="E1328" t="inlineStr">
        <is>
          <t>000004289</t>
        </is>
      </c>
      <c r="F1328" t="inlineStr">
        <is>
          <t>R&amp;R TRANSPORTE E LOGISTICA</t>
        </is>
      </c>
      <c r="G1328" s="27" t="n">
        <v>45804</v>
      </c>
      <c r="H1328" s="14" t="n">
        <v>88.29000000000001</v>
      </c>
      <c r="I1328" s="14" t="n">
        <v>0</v>
      </c>
      <c r="J1328" s="14" t="n">
        <v>0</v>
      </c>
      <c r="K1328" s="14" t="n">
        <v>0</v>
      </c>
      <c r="L1328" s="14" t="n">
        <v>0</v>
      </c>
      <c r="M1328" s="14">
        <f>IF(B1328="Frete de venda",0,(1-ISNUMBER(SEARCH("556",P1328)))*(I1328*VLOOKUP($B1328,Premissas!$A$4:$E$7,2,0)+J1328*VLOOKUP($B1328,Premissas!$A$4:$E$7,3,0))+K1328*VLOOKUP($B1328,Premissas!$A$4:$E$7,4,0)+L1328*VLOOKUP($B1328,Premissas!$A$4:$E$7,5,0))</f>
        <v/>
      </c>
      <c r="N1328" s="14">
        <f>H1328-M1328</f>
        <v/>
      </c>
      <c r="O1328" t="inlineStr">
        <is>
          <t>Não</t>
        </is>
      </c>
      <c r="P1328" t="inlineStr">
        <is>
          <t>1.350</t>
        </is>
      </c>
    </row>
    <row r="1329">
      <c r="A1329" t="inlineStr">
        <is>
          <t>Antes de 2026</t>
        </is>
      </c>
      <c r="B1329" t="inlineStr">
        <is>
          <t>Frete de venda</t>
        </is>
      </c>
      <c r="C1329" t="inlineStr">
        <is>
          <t>Frete de venda (para clientes)</t>
        </is>
      </c>
      <c r="D1329" t="inlineStr">
        <is>
          <t>CT-e</t>
        </is>
      </c>
      <c r="E1329" t="inlineStr">
        <is>
          <t>000004583</t>
        </is>
      </c>
      <c r="F1329" t="inlineStr">
        <is>
          <t>R&amp;R TRANSPORTE E LOGISTICA</t>
        </is>
      </c>
      <c r="G1329" s="27" t="n">
        <v>45842</v>
      </c>
      <c r="H1329" s="14" t="n">
        <v>99.84999999999999</v>
      </c>
      <c r="I1329" s="14" t="n">
        <v>0</v>
      </c>
      <c r="J1329" s="14" t="n">
        <v>0</v>
      </c>
      <c r="K1329" s="14" t="n">
        <v>0</v>
      </c>
      <c r="L1329" s="14" t="n">
        <v>0</v>
      </c>
      <c r="M1329" s="14">
        <f>IF(B1329="Frete de venda",0,(1-ISNUMBER(SEARCH("556",P1329)))*(I1329*VLOOKUP($B1329,Premissas!$A$4:$E$7,2,0)+J1329*VLOOKUP($B1329,Premissas!$A$4:$E$7,3,0))+K1329*VLOOKUP($B1329,Premissas!$A$4:$E$7,4,0)+L1329*VLOOKUP($B1329,Premissas!$A$4:$E$7,5,0))</f>
        <v/>
      </c>
      <c r="N1329" s="14">
        <f>H1329-M1329</f>
        <v/>
      </c>
      <c r="O1329" t="inlineStr">
        <is>
          <t>Não</t>
        </is>
      </c>
      <c r="P1329" t="inlineStr">
        <is>
          <t>1.350</t>
        </is>
      </c>
    </row>
    <row r="1330">
      <c r="A1330" t="inlineStr">
        <is>
          <t>Antes de 2026</t>
        </is>
      </c>
      <c r="B1330" t="inlineStr">
        <is>
          <t>Frete de venda</t>
        </is>
      </c>
      <c r="C1330" t="inlineStr">
        <is>
          <t>Frete de venda (para clientes)</t>
        </is>
      </c>
      <c r="D1330" t="inlineStr">
        <is>
          <t>CT-e</t>
        </is>
      </c>
      <c r="E1330" t="inlineStr">
        <is>
          <t>000005169</t>
        </is>
      </c>
      <c r="F1330" t="inlineStr">
        <is>
          <t>R&amp;R TRANSPORTE E LOGISTICA</t>
        </is>
      </c>
      <c r="G1330" s="27" t="n">
        <v>45911</v>
      </c>
      <c r="H1330" s="14" t="n">
        <v>24.06</v>
      </c>
      <c r="I1330" s="14" t="n">
        <v>0</v>
      </c>
      <c r="J1330" s="14" t="n">
        <v>0</v>
      </c>
      <c r="K1330" s="14" t="n">
        <v>0</v>
      </c>
      <c r="L1330" s="14" t="n">
        <v>0</v>
      </c>
      <c r="M1330" s="14">
        <f>IF(B1330="Frete de venda",0,(1-ISNUMBER(SEARCH("556",P1330)))*(I1330*VLOOKUP($B1330,Premissas!$A$4:$E$7,2,0)+J1330*VLOOKUP($B1330,Premissas!$A$4:$E$7,3,0))+K1330*VLOOKUP($B1330,Premissas!$A$4:$E$7,4,0)+L1330*VLOOKUP($B1330,Premissas!$A$4:$E$7,5,0))</f>
        <v/>
      </c>
      <c r="N1330" s="14">
        <f>H1330-M1330</f>
        <v/>
      </c>
      <c r="O1330" t="inlineStr">
        <is>
          <t>Não</t>
        </is>
      </c>
      <c r="P1330" t="inlineStr">
        <is>
          <t>1.350</t>
        </is>
      </c>
    </row>
    <row r="1331">
      <c r="A1331" t="inlineStr">
        <is>
          <t>Antes de 2026</t>
        </is>
      </c>
      <c r="B1331" t="inlineStr">
        <is>
          <t>Frete de venda</t>
        </is>
      </c>
      <c r="C1331" t="inlineStr">
        <is>
          <t>Frete de venda (para clientes)</t>
        </is>
      </c>
      <c r="D1331" t="inlineStr">
        <is>
          <t>CT-e</t>
        </is>
      </c>
      <c r="E1331" t="inlineStr">
        <is>
          <t>000005606</t>
        </is>
      </c>
      <c r="F1331" t="inlineStr">
        <is>
          <t>R&amp;R TRANSPORTE E LOGISTICA</t>
        </is>
      </c>
      <c r="G1331" s="27" t="n">
        <v>45959</v>
      </c>
      <c r="H1331" s="14" t="n">
        <v>29.22</v>
      </c>
      <c r="I1331" s="14" t="n">
        <v>0</v>
      </c>
      <c r="J1331" s="14" t="n">
        <v>0</v>
      </c>
      <c r="K1331" s="14" t="n">
        <v>0</v>
      </c>
      <c r="L1331" s="14" t="n">
        <v>0</v>
      </c>
      <c r="M1331" s="14">
        <f>IF(B1331="Frete de venda",0,(1-ISNUMBER(SEARCH("556",P1331)))*(I1331*VLOOKUP($B1331,Premissas!$A$4:$E$7,2,0)+J1331*VLOOKUP($B1331,Premissas!$A$4:$E$7,3,0))+K1331*VLOOKUP($B1331,Premissas!$A$4:$E$7,4,0)+L1331*VLOOKUP($B1331,Premissas!$A$4:$E$7,5,0))</f>
        <v/>
      </c>
      <c r="N1331" s="14">
        <f>H1331-M1331</f>
        <v/>
      </c>
      <c r="O1331" t="inlineStr">
        <is>
          <t>Não</t>
        </is>
      </c>
      <c r="P1331" t="inlineStr">
        <is>
          <t>1.350</t>
        </is>
      </c>
    </row>
    <row r="1332">
      <c r="A1332" t="inlineStr">
        <is>
          <t>Antes de 2026</t>
        </is>
      </c>
      <c r="B1332" t="inlineStr">
        <is>
          <t>Frete de venda</t>
        </is>
      </c>
      <c r="C1332" t="inlineStr">
        <is>
          <t>Frete de venda (para clientes)</t>
        </is>
      </c>
      <c r="D1332" t="inlineStr">
        <is>
          <t>CT-e</t>
        </is>
      </c>
      <c r="E1332" t="inlineStr">
        <is>
          <t>000004219</t>
        </is>
      </c>
      <c r="F1332" t="inlineStr">
        <is>
          <t>R&amp;R TRANSPORTE E LOGISTICA</t>
        </is>
      </c>
      <c r="G1332" s="27" t="n">
        <v>45790</v>
      </c>
      <c r="H1332" s="14" t="n">
        <v>37.92</v>
      </c>
      <c r="I1332" s="14" t="n">
        <v>0</v>
      </c>
      <c r="J1332" s="14" t="n">
        <v>0</v>
      </c>
      <c r="K1332" s="14" t="n">
        <v>0</v>
      </c>
      <c r="L1332" s="14" t="n">
        <v>0</v>
      </c>
      <c r="M1332" s="14">
        <f>IF(B1332="Frete de venda",0,(1-ISNUMBER(SEARCH("556",P1332)))*(I1332*VLOOKUP($B1332,Premissas!$A$4:$E$7,2,0)+J1332*VLOOKUP($B1332,Premissas!$A$4:$E$7,3,0))+K1332*VLOOKUP($B1332,Premissas!$A$4:$E$7,4,0)+L1332*VLOOKUP($B1332,Premissas!$A$4:$E$7,5,0))</f>
        <v/>
      </c>
      <c r="N1332" s="14">
        <f>H1332-M1332</f>
        <v/>
      </c>
      <c r="O1332" t="inlineStr">
        <is>
          <t>Não</t>
        </is>
      </c>
      <c r="P1332" t="inlineStr">
        <is>
          <t>1.350</t>
        </is>
      </c>
    </row>
    <row r="1333">
      <c r="A1333" t="inlineStr">
        <is>
          <t>Antes de 2026</t>
        </is>
      </c>
      <c r="B1333" t="inlineStr">
        <is>
          <t>Frete de venda</t>
        </is>
      </c>
      <c r="C1333" t="inlineStr">
        <is>
          <t>Frete de venda (para clientes)</t>
        </is>
      </c>
      <c r="D1333" t="inlineStr">
        <is>
          <t>CT-e</t>
        </is>
      </c>
      <c r="E1333" t="inlineStr">
        <is>
          <t>000004708</t>
        </is>
      </c>
      <c r="F1333" t="inlineStr">
        <is>
          <t>R&amp;R TRANSPORTE E LOGISTICA</t>
        </is>
      </c>
      <c r="G1333" s="27" t="n">
        <v>45860</v>
      </c>
      <c r="H1333" s="14" t="n">
        <v>30.95</v>
      </c>
      <c r="I1333" s="14" t="n">
        <v>0</v>
      </c>
      <c r="J1333" s="14" t="n">
        <v>0</v>
      </c>
      <c r="K1333" s="14" t="n">
        <v>0</v>
      </c>
      <c r="L1333" s="14" t="n">
        <v>0</v>
      </c>
      <c r="M1333" s="14">
        <f>IF(B1333="Frete de venda",0,(1-ISNUMBER(SEARCH("556",P1333)))*(I1333*VLOOKUP($B1333,Premissas!$A$4:$E$7,2,0)+J1333*VLOOKUP($B1333,Premissas!$A$4:$E$7,3,0))+K1333*VLOOKUP($B1333,Premissas!$A$4:$E$7,4,0)+L1333*VLOOKUP($B1333,Premissas!$A$4:$E$7,5,0))</f>
        <v/>
      </c>
      <c r="N1333" s="14">
        <f>H1333-M1333</f>
        <v/>
      </c>
      <c r="O1333" t="inlineStr">
        <is>
          <t>Não</t>
        </is>
      </c>
      <c r="P1333" t="inlineStr">
        <is>
          <t>1.350</t>
        </is>
      </c>
    </row>
    <row r="1334">
      <c r="A1334" t="inlineStr">
        <is>
          <t>Antes de 2026</t>
        </is>
      </c>
      <c r="B1334" t="inlineStr">
        <is>
          <t>Frete de venda</t>
        </is>
      </c>
      <c r="C1334" t="inlineStr">
        <is>
          <t>Frete de venda (para clientes)</t>
        </is>
      </c>
      <c r="D1334" t="inlineStr">
        <is>
          <t>CT-e</t>
        </is>
      </c>
      <c r="E1334" t="inlineStr">
        <is>
          <t>000005137</t>
        </is>
      </c>
      <c r="F1334" t="inlineStr">
        <is>
          <t>R&amp;R TRANSPORTE E LOGISTICA</t>
        </is>
      </c>
      <c r="G1334" s="27" t="n">
        <v>45908</v>
      </c>
      <c r="H1334" s="14" t="n">
        <v>19.54</v>
      </c>
      <c r="I1334" s="14" t="n">
        <v>0</v>
      </c>
      <c r="J1334" s="14" t="n">
        <v>0</v>
      </c>
      <c r="K1334" s="14" t="n">
        <v>0</v>
      </c>
      <c r="L1334" s="14" t="n">
        <v>0</v>
      </c>
      <c r="M1334" s="14">
        <f>IF(B1334="Frete de venda",0,(1-ISNUMBER(SEARCH("556",P1334)))*(I1334*VLOOKUP($B1334,Premissas!$A$4:$E$7,2,0)+J1334*VLOOKUP($B1334,Premissas!$A$4:$E$7,3,0))+K1334*VLOOKUP($B1334,Premissas!$A$4:$E$7,4,0)+L1334*VLOOKUP($B1334,Premissas!$A$4:$E$7,5,0))</f>
        <v/>
      </c>
      <c r="N1334" s="14">
        <f>H1334-M1334</f>
        <v/>
      </c>
      <c r="O1334" t="inlineStr">
        <is>
          <t>Não</t>
        </is>
      </c>
      <c r="P1334" t="inlineStr">
        <is>
          <t>1.350</t>
        </is>
      </c>
    </row>
    <row r="1335">
      <c r="A1335" t="inlineStr">
        <is>
          <t>Antes de 2026</t>
        </is>
      </c>
      <c r="B1335" t="inlineStr">
        <is>
          <t>Frete de venda</t>
        </is>
      </c>
      <c r="C1335" t="inlineStr">
        <is>
          <t>Frete de venda (para clientes)</t>
        </is>
      </c>
      <c r="D1335" t="inlineStr">
        <is>
          <t>CT-e</t>
        </is>
      </c>
      <c r="E1335" t="inlineStr">
        <is>
          <t>000005830</t>
        </is>
      </c>
      <c r="F1335" t="inlineStr">
        <is>
          <t>R&amp;R TRANSPORTE E LOGISTICA</t>
        </is>
      </c>
      <c r="G1335" s="27" t="n">
        <v>45987</v>
      </c>
      <c r="H1335" s="14" t="n">
        <v>39.44</v>
      </c>
      <c r="I1335" s="14" t="n">
        <v>0</v>
      </c>
      <c r="J1335" s="14" t="n">
        <v>0</v>
      </c>
      <c r="K1335" s="14" t="n">
        <v>0</v>
      </c>
      <c r="L1335" s="14" t="n">
        <v>0</v>
      </c>
      <c r="M1335" s="14">
        <f>IF(B1335="Frete de venda",0,(1-ISNUMBER(SEARCH("556",P1335)))*(I1335*VLOOKUP($B1335,Premissas!$A$4:$E$7,2,0)+J1335*VLOOKUP($B1335,Premissas!$A$4:$E$7,3,0))+K1335*VLOOKUP($B1335,Premissas!$A$4:$E$7,4,0)+L1335*VLOOKUP($B1335,Premissas!$A$4:$E$7,5,0))</f>
        <v/>
      </c>
      <c r="N1335" s="14">
        <f>H1335-M1335</f>
        <v/>
      </c>
      <c r="O1335" t="inlineStr">
        <is>
          <t>Não</t>
        </is>
      </c>
      <c r="P1335" t="inlineStr">
        <is>
          <t>1.350</t>
        </is>
      </c>
    </row>
    <row r="1336">
      <c r="A1336" t="inlineStr">
        <is>
          <t>Antes de 2026</t>
        </is>
      </c>
      <c r="B1336" t="inlineStr">
        <is>
          <t>Frete de venda</t>
        </is>
      </c>
      <c r="C1336" t="inlineStr">
        <is>
          <t>Frete de venda (para clientes)</t>
        </is>
      </c>
      <c r="D1336" t="inlineStr">
        <is>
          <t>CT-e</t>
        </is>
      </c>
      <c r="E1336" t="inlineStr">
        <is>
          <t>000005161</t>
        </is>
      </c>
      <c r="F1336" t="inlineStr">
        <is>
          <t>R&amp;R TRANSPORTE E LOGISTICA</t>
        </is>
      </c>
      <c r="G1336" s="27" t="n">
        <v>45911</v>
      </c>
      <c r="H1336" s="14" t="n">
        <v>34.11</v>
      </c>
      <c r="I1336" s="14" t="n">
        <v>0</v>
      </c>
      <c r="J1336" s="14" t="n">
        <v>0</v>
      </c>
      <c r="K1336" s="14" t="n">
        <v>0</v>
      </c>
      <c r="L1336" s="14" t="n">
        <v>0</v>
      </c>
      <c r="M1336" s="14">
        <f>IF(B1336="Frete de venda",0,(1-ISNUMBER(SEARCH("556",P1336)))*(I1336*VLOOKUP($B1336,Premissas!$A$4:$E$7,2,0)+J1336*VLOOKUP($B1336,Premissas!$A$4:$E$7,3,0))+K1336*VLOOKUP($B1336,Premissas!$A$4:$E$7,4,0)+L1336*VLOOKUP($B1336,Premissas!$A$4:$E$7,5,0))</f>
        <v/>
      </c>
      <c r="N1336" s="14">
        <f>H1336-M1336</f>
        <v/>
      </c>
      <c r="O1336" t="inlineStr">
        <is>
          <t>Não</t>
        </is>
      </c>
      <c r="P1336" t="inlineStr">
        <is>
          <t>1.350</t>
        </is>
      </c>
    </row>
    <row r="1337">
      <c r="A1337" t="inlineStr">
        <is>
          <t>Antes de 2026</t>
        </is>
      </c>
      <c r="B1337" t="inlineStr">
        <is>
          <t>Frete de venda</t>
        </is>
      </c>
      <c r="C1337" t="inlineStr">
        <is>
          <t>Frete de venda (para clientes)</t>
        </is>
      </c>
      <c r="D1337" t="inlineStr">
        <is>
          <t>CT-e</t>
        </is>
      </c>
      <c r="E1337" t="inlineStr">
        <is>
          <t>000004511</t>
        </is>
      </c>
      <c r="F1337" t="inlineStr">
        <is>
          <t>R&amp;R TRANSPORTE E LOGISTICA</t>
        </is>
      </c>
      <c r="G1337" s="27" t="n">
        <v>45833</v>
      </c>
      <c r="H1337" s="14" t="n">
        <v>30.02</v>
      </c>
      <c r="I1337" s="14" t="n">
        <v>0</v>
      </c>
      <c r="J1337" s="14" t="n">
        <v>0</v>
      </c>
      <c r="K1337" s="14" t="n">
        <v>0</v>
      </c>
      <c r="L1337" s="14" t="n">
        <v>0</v>
      </c>
      <c r="M1337" s="14">
        <f>IF(B1337="Frete de venda",0,(1-ISNUMBER(SEARCH("556",P1337)))*(I1337*VLOOKUP($B1337,Premissas!$A$4:$E$7,2,0)+J1337*VLOOKUP($B1337,Premissas!$A$4:$E$7,3,0))+K1337*VLOOKUP($B1337,Premissas!$A$4:$E$7,4,0)+L1337*VLOOKUP($B1337,Premissas!$A$4:$E$7,5,0))</f>
        <v/>
      </c>
      <c r="N1337" s="14">
        <f>H1337-M1337</f>
        <v/>
      </c>
      <c r="O1337" t="inlineStr">
        <is>
          <t>Não</t>
        </is>
      </c>
      <c r="P1337" t="inlineStr">
        <is>
          <t>1.350</t>
        </is>
      </c>
    </row>
    <row r="1338">
      <c r="A1338" t="inlineStr">
        <is>
          <t>Antes de 2026</t>
        </is>
      </c>
      <c r="B1338" t="inlineStr">
        <is>
          <t>Frete de venda</t>
        </is>
      </c>
      <c r="C1338" t="inlineStr">
        <is>
          <t>Frete de venda (para clientes)</t>
        </is>
      </c>
      <c r="D1338" t="inlineStr">
        <is>
          <t>CT-e</t>
        </is>
      </c>
      <c r="E1338" t="inlineStr">
        <is>
          <t>000005852</t>
        </is>
      </c>
      <c r="F1338" t="inlineStr">
        <is>
          <t>R&amp;R TRANSPORTE E LOGISTICA</t>
        </is>
      </c>
      <c r="G1338" s="27" t="n">
        <v>45988</v>
      </c>
      <c r="H1338" s="14" t="n">
        <v>24.08</v>
      </c>
      <c r="I1338" s="14" t="n">
        <v>0</v>
      </c>
      <c r="J1338" s="14" t="n">
        <v>0</v>
      </c>
      <c r="K1338" s="14" t="n">
        <v>0</v>
      </c>
      <c r="L1338" s="14" t="n">
        <v>0</v>
      </c>
      <c r="M1338" s="14">
        <f>IF(B1338="Frete de venda",0,(1-ISNUMBER(SEARCH("556",P1338)))*(I1338*VLOOKUP($B1338,Premissas!$A$4:$E$7,2,0)+J1338*VLOOKUP($B1338,Premissas!$A$4:$E$7,3,0))+K1338*VLOOKUP($B1338,Premissas!$A$4:$E$7,4,0)+L1338*VLOOKUP($B1338,Premissas!$A$4:$E$7,5,0))</f>
        <v/>
      </c>
      <c r="N1338" s="14">
        <f>H1338-M1338</f>
        <v/>
      </c>
      <c r="O1338" t="inlineStr">
        <is>
          <t>Não</t>
        </is>
      </c>
      <c r="P1338" t="inlineStr">
        <is>
          <t>1.350</t>
        </is>
      </c>
    </row>
    <row r="1339">
      <c r="A1339" t="inlineStr">
        <is>
          <t>Antes de 2026</t>
        </is>
      </c>
      <c r="B1339" t="inlineStr">
        <is>
          <t>Frete de venda</t>
        </is>
      </c>
      <c r="C1339" t="inlineStr">
        <is>
          <t>Frete de venda (para clientes)</t>
        </is>
      </c>
      <c r="D1339" t="inlineStr">
        <is>
          <t>CT-e</t>
        </is>
      </c>
      <c r="E1339" t="inlineStr">
        <is>
          <t>000005855</t>
        </is>
      </c>
      <c r="F1339" t="inlineStr">
        <is>
          <t>R&amp;R TRANSPORTE E LOGISTICA</t>
        </is>
      </c>
      <c r="G1339" s="27" t="n">
        <v>45988</v>
      </c>
      <c r="H1339" s="14" t="n">
        <v>18.08</v>
      </c>
      <c r="I1339" s="14" t="n">
        <v>0</v>
      </c>
      <c r="J1339" s="14" t="n">
        <v>0</v>
      </c>
      <c r="K1339" s="14" t="n">
        <v>0</v>
      </c>
      <c r="L1339" s="14" t="n">
        <v>0</v>
      </c>
      <c r="M1339" s="14">
        <f>IF(B1339="Frete de venda",0,(1-ISNUMBER(SEARCH("556",P1339)))*(I1339*VLOOKUP($B1339,Premissas!$A$4:$E$7,2,0)+J1339*VLOOKUP($B1339,Premissas!$A$4:$E$7,3,0))+K1339*VLOOKUP($B1339,Premissas!$A$4:$E$7,4,0)+L1339*VLOOKUP($B1339,Premissas!$A$4:$E$7,5,0))</f>
        <v/>
      </c>
      <c r="N1339" s="14">
        <f>H1339-M1339</f>
        <v/>
      </c>
      <c r="O1339" t="inlineStr">
        <is>
          <t>Não</t>
        </is>
      </c>
      <c r="P1339" t="inlineStr">
        <is>
          <t>1.350</t>
        </is>
      </c>
    </row>
    <row r="1340">
      <c r="A1340" t="inlineStr">
        <is>
          <t>Antes de 2026</t>
        </is>
      </c>
      <c r="B1340" t="inlineStr">
        <is>
          <t>Frete de venda</t>
        </is>
      </c>
      <c r="C1340" t="inlineStr">
        <is>
          <t>Frete de venda (para clientes)</t>
        </is>
      </c>
      <c r="D1340" t="inlineStr">
        <is>
          <t>CT-e</t>
        </is>
      </c>
      <c r="E1340" t="inlineStr">
        <is>
          <t>000006081</t>
        </is>
      </c>
      <c r="F1340" t="inlineStr">
        <is>
          <t>R&amp;R TRANSPORTE E LOGISTICA</t>
        </is>
      </c>
      <c r="G1340" s="27" t="n">
        <v>46021</v>
      </c>
      <c r="H1340" s="14" t="n">
        <v>17.51</v>
      </c>
      <c r="I1340" s="14" t="n">
        <v>0</v>
      </c>
      <c r="J1340" s="14" t="n">
        <v>0</v>
      </c>
      <c r="K1340" s="14" t="n">
        <v>0</v>
      </c>
      <c r="L1340" s="14" t="n">
        <v>0</v>
      </c>
      <c r="M1340" s="14">
        <f>IF(B1340="Frete de venda",0,(1-ISNUMBER(SEARCH("556",P1340)))*(I1340*VLOOKUP($B1340,Premissas!$A$4:$E$7,2,0)+J1340*VLOOKUP($B1340,Premissas!$A$4:$E$7,3,0))+K1340*VLOOKUP($B1340,Premissas!$A$4:$E$7,4,0)+L1340*VLOOKUP($B1340,Premissas!$A$4:$E$7,5,0))</f>
        <v/>
      </c>
      <c r="N1340" s="14">
        <f>H1340-M1340</f>
        <v/>
      </c>
      <c r="O1340" t="inlineStr">
        <is>
          <t>Não</t>
        </is>
      </c>
      <c r="P1340" t="inlineStr">
        <is>
          <t>1.350</t>
        </is>
      </c>
    </row>
    <row r="1341">
      <c r="A1341" t="inlineStr">
        <is>
          <t>Antes de 2026</t>
        </is>
      </c>
      <c r="B1341" t="inlineStr">
        <is>
          <t>Frete de venda</t>
        </is>
      </c>
      <c r="C1341" t="inlineStr">
        <is>
          <t>Frete de venda (para clientes)</t>
        </is>
      </c>
      <c r="D1341" t="inlineStr">
        <is>
          <t>CT-e</t>
        </is>
      </c>
      <c r="E1341" t="inlineStr">
        <is>
          <t>000005458</t>
        </is>
      </c>
      <c r="F1341" t="inlineStr">
        <is>
          <t>R&amp;R TRANSPORTE E LOGISTICA</t>
        </is>
      </c>
      <c r="G1341" s="27" t="n">
        <v>45943</v>
      </c>
      <c r="H1341" s="14" t="n">
        <v>140</v>
      </c>
      <c r="I1341" s="14" t="n">
        <v>0</v>
      </c>
      <c r="J1341" s="14" t="n">
        <v>0</v>
      </c>
      <c r="K1341" s="14" t="n">
        <v>0</v>
      </c>
      <c r="L1341" s="14" t="n">
        <v>0</v>
      </c>
      <c r="M1341" s="14">
        <f>IF(B1341="Frete de venda",0,(1-ISNUMBER(SEARCH("556",P1341)))*(I1341*VLOOKUP($B1341,Premissas!$A$4:$E$7,2,0)+J1341*VLOOKUP($B1341,Premissas!$A$4:$E$7,3,0))+K1341*VLOOKUP($B1341,Premissas!$A$4:$E$7,4,0)+L1341*VLOOKUP($B1341,Premissas!$A$4:$E$7,5,0))</f>
        <v/>
      </c>
      <c r="N1341" s="14">
        <f>H1341-M1341</f>
        <v/>
      </c>
      <c r="O1341" t="inlineStr">
        <is>
          <t>Não</t>
        </is>
      </c>
      <c r="P1341" t="inlineStr">
        <is>
          <t>1.350</t>
        </is>
      </c>
    </row>
    <row r="1342">
      <c r="A1342" t="inlineStr">
        <is>
          <t>Antes de 2026</t>
        </is>
      </c>
      <c r="B1342" t="inlineStr">
        <is>
          <t>Frete de venda</t>
        </is>
      </c>
      <c r="C1342" t="inlineStr">
        <is>
          <t>Frete de venda (para clientes)</t>
        </is>
      </c>
      <c r="D1342" t="inlineStr">
        <is>
          <t>CT-e</t>
        </is>
      </c>
      <c r="E1342" t="inlineStr">
        <is>
          <t>000004574</t>
        </is>
      </c>
      <c r="F1342" t="inlineStr">
        <is>
          <t>R&amp;R TRANSPORTE E LOGISTICA</t>
        </is>
      </c>
      <c r="G1342" s="27" t="n">
        <v>45841</v>
      </c>
      <c r="H1342" s="14" t="n">
        <v>36.27</v>
      </c>
      <c r="I1342" s="14" t="n">
        <v>0</v>
      </c>
      <c r="J1342" s="14" t="n">
        <v>0</v>
      </c>
      <c r="K1342" s="14" t="n">
        <v>0</v>
      </c>
      <c r="L1342" s="14" t="n">
        <v>0</v>
      </c>
      <c r="M1342" s="14">
        <f>IF(B1342="Frete de venda",0,(1-ISNUMBER(SEARCH("556",P1342)))*(I1342*VLOOKUP($B1342,Premissas!$A$4:$E$7,2,0)+J1342*VLOOKUP($B1342,Premissas!$A$4:$E$7,3,0))+K1342*VLOOKUP($B1342,Premissas!$A$4:$E$7,4,0)+L1342*VLOOKUP($B1342,Premissas!$A$4:$E$7,5,0))</f>
        <v/>
      </c>
      <c r="N1342" s="14">
        <f>H1342-M1342</f>
        <v/>
      </c>
      <c r="O1342" t="inlineStr">
        <is>
          <t>Não</t>
        </is>
      </c>
      <c r="P1342" t="inlineStr">
        <is>
          <t>1.350</t>
        </is>
      </c>
    </row>
    <row r="1343">
      <c r="A1343" t="inlineStr">
        <is>
          <t>Antes de 2026</t>
        </is>
      </c>
      <c r="B1343" t="inlineStr">
        <is>
          <t>Frete de venda</t>
        </is>
      </c>
      <c r="C1343" t="inlineStr">
        <is>
          <t>Frete de venda (para clientes)</t>
        </is>
      </c>
      <c r="D1343" t="inlineStr">
        <is>
          <t>CT-e</t>
        </is>
      </c>
      <c r="E1343" t="inlineStr">
        <is>
          <t>000005410</t>
        </is>
      </c>
      <c r="F1343" t="inlineStr">
        <is>
          <t>R&amp;R TRANSPORTE E LOGISTICA</t>
        </is>
      </c>
      <c r="G1343" s="27" t="n">
        <v>45937</v>
      </c>
      <c r="H1343" s="14" t="n">
        <v>47.74</v>
      </c>
      <c r="I1343" s="14" t="n">
        <v>0</v>
      </c>
      <c r="J1343" s="14" t="n">
        <v>0</v>
      </c>
      <c r="K1343" s="14" t="n">
        <v>0</v>
      </c>
      <c r="L1343" s="14" t="n">
        <v>0</v>
      </c>
      <c r="M1343" s="14">
        <f>IF(B1343="Frete de venda",0,(1-ISNUMBER(SEARCH("556",P1343)))*(I1343*VLOOKUP($B1343,Premissas!$A$4:$E$7,2,0)+J1343*VLOOKUP($B1343,Premissas!$A$4:$E$7,3,0))+K1343*VLOOKUP($B1343,Premissas!$A$4:$E$7,4,0)+L1343*VLOOKUP($B1343,Premissas!$A$4:$E$7,5,0))</f>
        <v/>
      </c>
      <c r="N1343" s="14">
        <f>H1343-M1343</f>
        <v/>
      </c>
      <c r="O1343" t="inlineStr">
        <is>
          <t>Não</t>
        </is>
      </c>
      <c r="P1343" t="inlineStr">
        <is>
          <t>1.350</t>
        </is>
      </c>
    </row>
    <row r="1344">
      <c r="A1344" t="inlineStr">
        <is>
          <t>Antes de 2026</t>
        </is>
      </c>
      <c r="B1344" t="inlineStr">
        <is>
          <t>Frete de venda</t>
        </is>
      </c>
      <c r="C1344" t="inlineStr">
        <is>
          <t>Frete de venda (para clientes)</t>
        </is>
      </c>
      <c r="D1344" t="inlineStr">
        <is>
          <t>CT-e</t>
        </is>
      </c>
      <c r="E1344" t="inlineStr">
        <is>
          <t>000005219</t>
        </is>
      </c>
      <c r="F1344" t="inlineStr">
        <is>
          <t>R&amp;R TRANSPORTE E LOGISTICA</t>
        </is>
      </c>
      <c r="G1344" s="27" t="n">
        <v>45917</v>
      </c>
      <c r="H1344" s="14" t="n">
        <v>786</v>
      </c>
      <c r="I1344" s="14" t="n">
        <v>0</v>
      </c>
      <c r="J1344" s="14" t="n">
        <v>0</v>
      </c>
      <c r="K1344" s="14" t="n">
        <v>0</v>
      </c>
      <c r="L1344" s="14" t="n">
        <v>0</v>
      </c>
      <c r="M1344" s="14">
        <f>IF(B1344="Frete de venda",0,(1-ISNUMBER(SEARCH("556",P1344)))*(I1344*VLOOKUP($B1344,Premissas!$A$4:$E$7,2,0)+J1344*VLOOKUP($B1344,Premissas!$A$4:$E$7,3,0))+K1344*VLOOKUP($B1344,Premissas!$A$4:$E$7,4,0)+L1344*VLOOKUP($B1344,Premissas!$A$4:$E$7,5,0))</f>
        <v/>
      </c>
      <c r="N1344" s="14">
        <f>H1344-M1344</f>
        <v/>
      </c>
      <c r="O1344" t="inlineStr">
        <is>
          <t>Não</t>
        </is>
      </c>
      <c r="P1344" t="inlineStr">
        <is>
          <t>1.350</t>
        </is>
      </c>
    </row>
    <row r="1345">
      <c r="A1345" t="inlineStr">
        <is>
          <t>Antes de 2026</t>
        </is>
      </c>
      <c r="B1345" t="inlineStr">
        <is>
          <t>Frete de venda</t>
        </is>
      </c>
      <c r="C1345" t="inlineStr">
        <is>
          <t>Frete de venda (para clientes)</t>
        </is>
      </c>
      <c r="D1345" t="inlineStr">
        <is>
          <t>CT-e</t>
        </is>
      </c>
      <c r="E1345" t="inlineStr">
        <is>
          <t>000006064</t>
        </is>
      </c>
      <c r="F1345" t="inlineStr">
        <is>
          <t>R&amp;R TRANSPORTE E LOGISTICA</t>
        </is>
      </c>
      <c r="G1345" s="27" t="n">
        <v>46017</v>
      </c>
      <c r="H1345" s="14" t="n">
        <v>59.53</v>
      </c>
      <c r="I1345" s="14" t="n">
        <v>0</v>
      </c>
      <c r="J1345" s="14" t="n">
        <v>0</v>
      </c>
      <c r="K1345" s="14" t="n">
        <v>0</v>
      </c>
      <c r="L1345" s="14" t="n">
        <v>0</v>
      </c>
      <c r="M1345" s="14">
        <f>IF(B1345="Frete de venda",0,(1-ISNUMBER(SEARCH("556",P1345)))*(I1345*VLOOKUP($B1345,Premissas!$A$4:$E$7,2,0)+J1345*VLOOKUP($B1345,Premissas!$A$4:$E$7,3,0))+K1345*VLOOKUP($B1345,Premissas!$A$4:$E$7,4,0)+L1345*VLOOKUP($B1345,Premissas!$A$4:$E$7,5,0))</f>
        <v/>
      </c>
      <c r="N1345" s="14">
        <f>H1345-M1345</f>
        <v/>
      </c>
      <c r="O1345" t="inlineStr">
        <is>
          <t>Não</t>
        </is>
      </c>
      <c r="P1345" t="inlineStr">
        <is>
          <t>1.350</t>
        </is>
      </c>
    </row>
    <row r="1346">
      <c r="A1346" t="inlineStr">
        <is>
          <t>Antes de 2026</t>
        </is>
      </c>
      <c r="B1346" t="inlineStr">
        <is>
          <t>Frete de venda</t>
        </is>
      </c>
      <c r="C1346" t="inlineStr">
        <is>
          <t>Frete de venda (para clientes)</t>
        </is>
      </c>
      <c r="D1346" t="inlineStr">
        <is>
          <t>CT-e</t>
        </is>
      </c>
      <c r="E1346" t="inlineStr">
        <is>
          <t>000004706</t>
        </is>
      </c>
      <c r="F1346" t="inlineStr">
        <is>
          <t>R&amp;R TRANSPORTE E LOGISTICA</t>
        </is>
      </c>
      <c r="G1346" s="27" t="n">
        <v>45860</v>
      </c>
      <c r="H1346" s="14" t="n">
        <v>31.76</v>
      </c>
      <c r="I1346" s="14" t="n">
        <v>0</v>
      </c>
      <c r="J1346" s="14" t="n">
        <v>0</v>
      </c>
      <c r="K1346" s="14" t="n">
        <v>0</v>
      </c>
      <c r="L1346" s="14" t="n">
        <v>0</v>
      </c>
      <c r="M1346" s="14">
        <f>IF(B1346="Frete de venda",0,(1-ISNUMBER(SEARCH("556",P1346)))*(I1346*VLOOKUP($B1346,Premissas!$A$4:$E$7,2,0)+J1346*VLOOKUP($B1346,Premissas!$A$4:$E$7,3,0))+K1346*VLOOKUP($B1346,Premissas!$A$4:$E$7,4,0)+L1346*VLOOKUP($B1346,Premissas!$A$4:$E$7,5,0))</f>
        <v/>
      </c>
      <c r="N1346" s="14">
        <f>H1346-M1346</f>
        <v/>
      </c>
      <c r="O1346" t="inlineStr">
        <is>
          <t>Não</t>
        </is>
      </c>
      <c r="P1346" t="inlineStr">
        <is>
          <t>1.350</t>
        </is>
      </c>
    </row>
    <row r="1347">
      <c r="A1347" t="inlineStr">
        <is>
          <t>Antes de 2026</t>
        </is>
      </c>
      <c r="B1347" t="inlineStr">
        <is>
          <t>Frete de venda</t>
        </is>
      </c>
      <c r="C1347" t="inlineStr">
        <is>
          <t>Frete de venda (para clientes)</t>
        </is>
      </c>
      <c r="D1347" t="inlineStr">
        <is>
          <t>CT-e</t>
        </is>
      </c>
      <c r="E1347" t="inlineStr">
        <is>
          <t>000004476</t>
        </is>
      </c>
      <c r="F1347" t="inlineStr">
        <is>
          <t>R&amp;R TRANSPORTE E LOGISTICA</t>
        </is>
      </c>
      <c r="G1347" s="27" t="n">
        <v>45831</v>
      </c>
      <c r="H1347" s="14" t="n">
        <v>41.25</v>
      </c>
      <c r="I1347" s="14" t="n">
        <v>0</v>
      </c>
      <c r="J1347" s="14" t="n">
        <v>0</v>
      </c>
      <c r="K1347" s="14" t="n">
        <v>0</v>
      </c>
      <c r="L1347" s="14" t="n">
        <v>0</v>
      </c>
      <c r="M1347" s="14">
        <f>IF(B1347="Frete de venda",0,(1-ISNUMBER(SEARCH("556",P1347)))*(I1347*VLOOKUP($B1347,Premissas!$A$4:$E$7,2,0)+J1347*VLOOKUP($B1347,Premissas!$A$4:$E$7,3,0))+K1347*VLOOKUP($B1347,Premissas!$A$4:$E$7,4,0)+L1347*VLOOKUP($B1347,Premissas!$A$4:$E$7,5,0))</f>
        <v/>
      </c>
      <c r="N1347" s="14">
        <f>H1347-M1347</f>
        <v/>
      </c>
      <c r="O1347" t="inlineStr">
        <is>
          <t>Não</t>
        </is>
      </c>
      <c r="P1347" t="inlineStr">
        <is>
          <t>1.350</t>
        </is>
      </c>
    </row>
    <row r="1348">
      <c r="A1348" t="inlineStr">
        <is>
          <t>Antes de 2026</t>
        </is>
      </c>
      <c r="B1348" t="inlineStr">
        <is>
          <t>Frete de venda</t>
        </is>
      </c>
      <c r="C1348" t="inlineStr">
        <is>
          <t>Frete de venda (para clientes)</t>
        </is>
      </c>
      <c r="D1348" t="inlineStr">
        <is>
          <t>CT-e</t>
        </is>
      </c>
      <c r="E1348" t="inlineStr">
        <is>
          <t>000004346</t>
        </is>
      </c>
      <c r="F1348" t="inlineStr">
        <is>
          <t>R&amp;R TRANSPORTE E LOGISTICA</t>
        </is>
      </c>
      <c r="G1348" s="27" t="n">
        <v>45807</v>
      </c>
      <c r="H1348" s="14" t="n">
        <v>28.83</v>
      </c>
      <c r="I1348" s="14" t="n">
        <v>0</v>
      </c>
      <c r="J1348" s="14" t="n">
        <v>0</v>
      </c>
      <c r="K1348" s="14" t="n">
        <v>0</v>
      </c>
      <c r="L1348" s="14" t="n">
        <v>0</v>
      </c>
      <c r="M1348" s="14">
        <f>IF(B1348="Frete de venda",0,(1-ISNUMBER(SEARCH("556",P1348)))*(I1348*VLOOKUP($B1348,Premissas!$A$4:$E$7,2,0)+J1348*VLOOKUP($B1348,Premissas!$A$4:$E$7,3,0))+K1348*VLOOKUP($B1348,Premissas!$A$4:$E$7,4,0)+L1348*VLOOKUP($B1348,Premissas!$A$4:$E$7,5,0))</f>
        <v/>
      </c>
      <c r="N1348" s="14">
        <f>H1348-M1348</f>
        <v/>
      </c>
      <c r="O1348" t="inlineStr">
        <is>
          <t>Não</t>
        </is>
      </c>
      <c r="P1348" t="inlineStr">
        <is>
          <t>1.350</t>
        </is>
      </c>
    </row>
    <row r="1349">
      <c r="A1349" t="inlineStr">
        <is>
          <t>Antes de 2026</t>
        </is>
      </c>
      <c r="B1349" t="inlineStr">
        <is>
          <t>Frete de venda</t>
        </is>
      </c>
      <c r="C1349" t="inlineStr">
        <is>
          <t>Frete de venda (para clientes)</t>
        </is>
      </c>
      <c r="D1349" t="inlineStr">
        <is>
          <t>CT-e</t>
        </is>
      </c>
      <c r="E1349" t="inlineStr">
        <is>
          <t>000004672</t>
        </is>
      </c>
      <c r="F1349" t="inlineStr">
        <is>
          <t>R&amp;R TRANSPORTE E LOGISTICA</t>
        </is>
      </c>
      <c r="G1349" s="27" t="n">
        <v>45855</v>
      </c>
      <c r="H1349" s="14" t="n">
        <v>27.3</v>
      </c>
      <c r="I1349" s="14" t="n">
        <v>0</v>
      </c>
      <c r="J1349" s="14" t="n">
        <v>0</v>
      </c>
      <c r="K1349" s="14" t="n">
        <v>0</v>
      </c>
      <c r="L1349" s="14" t="n">
        <v>0</v>
      </c>
      <c r="M1349" s="14">
        <f>IF(B1349="Frete de venda",0,(1-ISNUMBER(SEARCH("556",P1349)))*(I1349*VLOOKUP($B1349,Premissas!$A$4:$E$7,2,0)+J1349*VLOOKUP($B1349,Premissas!$A$4:$E$7,3,0))+K1349*VLOOKUP($B1349,Premissas!$A$4:$E$7,4,0)+L1349*VLOOKUP($B1349,Premissas!$A$4:$E$7,5,0))</f>
        <v/>
      </c>
      <c r="N1349" s="14">
        <f>H1349-M1349</f>
        <v/>
      </c>
      <c r="O1349" t="inlineStr">
        <is>
          <t>Não</t>
        </is>
      </c>
      <c r="P1349" t="inlineStr">
        <is>
          <t>1.350</t>
        </is>
      </c>
    </row>
    <row r="1350">
      <c r="A1350" t="inlineStr">
        <is>
          <t>Antes de 2026</t>
        </is>
      </c>
      <c r="B1350" t="inlineStr">
        <is>
          <t>Frete de venda</t>
        </is>
      </c>
      <c r="C1350" t="inlineStr">
        <is>
          <t>Frete de venda (para clientes)</t>
        </is>
      </c>
      <c r="D1350" t="inlineStr">
        <is>
          <t>CT-e</t>
        </is>
      </c>
      <c r="E1350" t="inlineStr">
        <is>
          <t>000004938</t>
        </is>
      </c>
      <c r="F1350" t="inlineStr">
        <is>
          <t>R&amp;R TRANSPORTE E LOGISTICA</t>
        </is>
      </c>
      <c r="G1350" s="27" t="n">
        <v>45884</v>
      </c>
      <c r="H1350" s="14" t="n">
        <v>23.95</v>
      </c>
      <c r="I1350" s="14" t="n">
        <v>0</v>
      </c>
      <c r="J1350" s="14" t="n">
        <v>0</v>
      </c>
      <c r="K1350" s="14" t="n">
        <v>0</v>
      </c>
      <c r="L1350" s="14" t="n">
        <v>0</v>
      </c>
      <c r="M1350" s="14">
        <f>IF(B1350="Frete de venda",0,(1-ISNUMBER(SEARCH("556",P1350)))*(I1350*VLOOKUP($B1350,Premissas!$A$4:$E$7,2,0)+J1350*VLOOKUP($B1350,Premissas!$A$4:$E$7,3,0))+K1350*VLOOKUP($B1350,Premissas!$A$4:$E$7,4,0)+L1350*VLOOKUP($B1350,Premissas!$A$4:$E$7,5,0))</f>
        <v/>
      </c>
      <c r="N1350" s="14">
        <f>H1350-M1350</f>
        <v/>
      </c>
      <c r="O1350" t="inlineStr">
        <is>
          <t>Não</t>
        </is>
      </c>
      <c r="P1350" t="inlineStr">
        <is>
          <t>1.350</t>
        </is>
      </c>
    </row>
    <row r="1351">
      <c r="A1351" t="inlineStr">
        <is>
          <t>Antes de 2026</t>
        </is>
      </c>
      <c r="B1351" t="inlineStr">
        <is>
          <t>Frete de venda</t>
        </is>
      </c>
      <c r="C1351" t="inlineStr">
        <is>
          <t>Frete de venda (para clientes)</t>
        </is>
      </c>
      <c r="D1351" t="inlineStr">
        <is>
          <t>CT-e</t>
        </is>
      </c>
      <c r="E1351" t="inlineStr">
        <is>
          <t>000005277</t>
        </is>
      </c>
      <c r="F1351" t="inlineStr">
        <is>
          <t>R&amp;R TRANSPORTE E LOGISTICA</t>
        </is>
      </c>
      <c r="G1351" s="27" t="n">
        <v>45926</v>
      </c>
      <c r="H1351" s="14" t="n">
        <v>28.82</v>
      </c>
      <c r="I1351" s="14" t="n">
        <v>0</v>
      </c>
      <c r="J1351" s="14" t="n">
        <v>0</v>
      </c>
      <c r="K1351" s="14" t="n">
        <v>0</v>
      </c>
      <c r="L1351" s="14" t="n">
        <v>0</v>
      </c>
      <c r="M1351" s="14">
        <f>IF(B1351="Frete de venda",0,(1-ISNUMBER(SEARCH("556",P1351)))*(I1351*VLOOKUP($B1351,Premissas!$A$4:$E$7,2,0)+J1351*VLOOKUP($B1351,Premissas!$A$4:$E$7,3,0))+K1351*VLOOKUP($B1351,Premissas!$A$4:$E$7,4,0)+L1351*VLOOKUP($B1351,Premissas!$A$4:$E$7,5,0))</f>
        <v/>
      </c>
      <c r="N1351" s="14">
        <f>H1351-M1351</f>
        <v/>
      </c>
      <c r="O1351" t="inlineStr">
        <is>
          <t>Não</t>
        </is>
      </c>
      <c r="P1351" t="inlineStr">
        <is>
          <t>1.350</t>
        </is>
      </c>
    </row>
    <row r="1352">
      <c r="A1352" t="inlineStr">
        <is>
          <t>Antes de 2026</t>
        </is>
      </c>
      <c r="B1352" t="inlineStr">
        <is>
          <t>Frete de venda</t>
        </is>
      </c>
      <c r="C1352" t="inlineStr">
        <is>
          <t>Frete de venda (para clientes)</t>
        </is>
      </c>
      <c r="D1352" t="inlineStr">
        <is>
          <t>CT-e</t>
        </is>
      </c>
      <c r="E1352" t="inlineStr">
        <is>
          <t>000005902</t>
        </is>
      </c>
      <c r="F1352" t="inlineStr">
        <is>
          <t>R&amp;R TRANSPORTE E LOGISTICA</t>
        </is>
      </c>
      <c r="G1352" s="27" t="n">
        <v>45993</v>
      </c>
      <c r="H1352" s="14" t="n">
        <v>35.24</v>
      </c>
      <c r="I1352" s="14" t="n">
        <v>0</v>
      </c>
      <c r="J1352" s="14" t="n">
        <v>0</v>
      </c>
      <c r="K1352" s="14" t="n">
        <v>0</v>
      </c>
      <c r="L1352" s="14" t="n">
        <v>0</v>
      </c>
      <c r="M1352" s="14">
        <f>IF(B1352="Frete de venda",0,(1-ISNUMBER(SEARCH("556",P1352)))*(I1352*VLOOKUP($B1352,Premissas!$A$4:$E$7,2,0)+J1352*VLOOKUP($B1352,Premissas!$A$4:$E$7,3,0))+K1352*VLOOKUP($B1352,Premissas!$A$4:$E$7,4,0)+L1352*VLOOKUP($B1352,Premissas!$A$4:$E$7,5,0))</f>
        <v/>
      </c>
      <c r="N1352" s="14">
        <f>H1352-M1352</f>
        <v/>
      </c>
      <c r="O1352" t="inlineStr">
        <is>
          <t>Não</t>
        </is>
      </c>
      <c r="P1352" t="inlineStr">
        <is>
          <t>1.350</t>
        </is>
      </c>
    </row>
    <row r="1353">
      <c r="A1353" t="inlineStr">
        <is>
          <t>Antes de 2026</t>
        </is>
      </c>
      <c r="B1353" t="inlineStr">
        <is>
          <t>Frete de venda</t>
        </is>
      </c>
      <c r="C1353" t="inlineStr">
        <is>
          <t>Frete de venda (para clientes)</t>
        </is>
      </c>
      <c r="D1353" t="inlineStr">
        <is>
          <t>CT-e</t>
        </is>
      </c>
      <c r="E1353" t="inlineStr">
        <is>
          <t>000004243</t>
        </is>
      </c>
      <c r="F1353" t="inlineStr">
        <is>
          <t>R&amp;R TRANSPORTE E LOGISTICA</t>
        </is>
      </c>
      <c r="G1353" s="27" t="n">
        <v>45793</v>
      </c>
      <c r="H1353" s="14" t="n">
        <v>31.65</v>
      </c>
      <c r="I1353" s="14" t="n">
        <v>0</v>
      </c>
      <c r="J1353" s="14" t="n">
        <v>0</v>
      </c>
      <c r="K1353" s="14" t="n">
        <v>0</v>
      </c>
      <c r="L1353" s="14" t="n">
        <v>0</v>
      </c>
      <c r="M1353" s="14">
        <f>IF(B1353="Frete de venda",0,(1-ISNUMBER(SEARCH("556",P1353)))*(I1353*VLOOKUP($B1353,Premissas!$A$4:$E$7,2,0)+J1353*VLOOKUP($B1353,Premissas!$A$4:$E$7,3,0))+K1353*VLOOKUP($B1353,Premissas!$A$4:$E$7,4,0)+L1353*VLOOKUP($B1353,Premissas!$A$4:$E$7,5,0))</f>
        <v/>
      </c>
      <c r="N1353" s="14">
        <f>H1353-M1353</f>
        <v/>
      </c>
      <c r="O1353" t="inlineStr">
        <is>
          <t>Não</t>
        </is>
      </c>
      <c r="P1353" t="inlineStr">
        <is>
          <t>1.350</t>
        </is>
      </c>
    </row>
    <row r="1354">
      <c r="A1354" t="inlineStr">
        <is>
          <t>Antes de 2026</t>
        </is>
      </c>
      <c r="B1354" t="inlineStr">
        <is>
          <t>Frete de venda</t>
        </is>
      </c>
      <c r="C1354" t="inlineStr">
        <is>
          <t>Frete de venda (para clientes)</t>
        </is>
      </c>
      <c r="D1354" t="inlineStr">
        <is>
          <t>CT-e</t>
        </is>
      </c>
      <c r="E1354" t="inlineStr">
        <is>
          <t>000004744</t>
        </is>
      </c>
      <c r="F1354" t="inlineStr">
        <is>
          <t>R&amp;R TRANSPORTE E LOGISTICA</t>
        </is>
      </c>
      <c r="G1354" s="27" t="n">
        <v>45863</v>
      </c>
      <c r="H1354" s="14" t="n">
        <v>30.49</v>
      </c>
      <c r="I1354" s="14" t="n">
        <v>0</v>
      </c>
      <c r="J1354" s="14" t="n">
        <v>0</v>
      </c>
      <c r="K1354" s="14" t="n">
        <v>0</v>
      </c>
      <c r="L1354" s="14" t="n">
        <v>0</v>
      </c>
      <c r="M1354" s="14">
        <f>IF(B1354="Frete de venda",0,(1-ISNUMBER(SEARCH("556",P1354)))*(I1354*VLOOKUP($B1354,Premissas!$A$4:$E$7,2,0)+J1354*VLOOKUP($B1354,Premissas!$A$4:$E$7,3,0))+K1354*VLOOKUP($B1354,Premissas!$A$4:$E$7,4,0)+L1354*VLOOKUP($B1354,Premissas!$A$4:$E$7,5,0))</f>
        <v/>
      </c>
      <c r="N1354" s="14">
        <f>H1354-M1354</f>
        <v/>
      </c>
      <c r="O1354" t="inlineStr">
        <is>
          <t>Não</t>
        </is>
      </c>
      <c r="P1354" t="inlineStr">
        <is>
          <t>1.350</t>
        </is>
      </c>
    </row>
    <row r="1355">
      <c r="A1355" t="inlineStr">
        <is>
          <t>Antes de 2026</t>
        </is>
      </c>
      <c r="B1355" t="inlineStr">
        <is>
          <t>Frete de venda</t>
        </is>
      </c>
      <c r="C1355" t="inlineStr">
        <is>
          <t>Frete de venda (para clientes)</t>
        </is>
      </c>
      <c r="D1355" t="inlineStr">
        <is>
          <t>CT-e</t>
        </is>
      </c>
      <c r="E1355" t="inlineStr">
        <is>
          <t>000005246</t>
        </is>
      </c>
      <c r="F1355" t="inlineStr">
        <is>
          <t>R&amp;R TRANSPORTE E LOGISTICA</t>
        </is>
      </c>
      <c r="G1355" s="27" t="n">
        <v>45918</v>
      </c>
      <c r="H1355" s="14" t="n">
        <v>13.01</v>
      </c>
      <c r="I1355" s="14" t="n">
        <v>0</v>
      </c>
      <c r="J1355" s="14" t="n">
        <v>0</v>
      </c>
      <c r="K1355" s="14" t="n">
        <v>0</v>
      </c>
      <c r="L1355" s="14" t="n">
        <v>0</v>
      </c>
      <c r="M1355" s="14">
        <f>IF(B1355="Frete de venda",0,(1-ISNUMBER(SEARCH("556",P1355)))*(I1355*VLOOKUP($B1355,Premissas!$A$4:$E$7,2,0)+J1355*VLOOKUP($B1355,Premissas!$A$4:$E$7,3,0))+K1355*VLOOKUP($B1355,Premissas!$A$4:$E$7,4,0)+L1355*VLOOKUP($B1355,Premissas!$A$4:$E$7,5,0))</f>
        <v/>
      </c>
      <c r="N1355" s="14">
        <f>H1355-M1355</f>
        <v/>
      </c>
      <c r="O1355" t="inlineStr">
        <is>
          <t>Não</t>
        </is>
      </c>
      <c r="P1355" t="inlineStr">
        <is>
          <t>1.350</t>
        </is>
      </c>
    </row>
    <row r="1356">
      <c r="A1356" t="inlineStr">
        <is>
          <t>Antes de 2026</t>
        </is>
      </c>
      <c r="B1356" t="inlineStr">
        <is>
          <t>Frete de venda</t>
        </is>
      </c>
      <c r="C1356" t="inlineStr">
        <is>
          <t>Frete de venda (para clientes)</t>
        </is>
      </c>
      <c r="D1356" t="inlineStr">
        <is>
          <t>CT-e</t>
        </is>
      </c>
      <c r="E1356" t="inlineStr">
        <is>
          <t>000005676</t>
        </is>
      </c>
      <c r="F1356" t="inlineStr">
        <is>
          <t>R&amp;R TRANSPORTE E LOGISTICA</t>
        </is>
      </c>
      <c r="G1356" s="27" t="n">
        <v>45967</v>
      </c>
      <c r="H1356" s="14" t="n">
        <v>21</v>
      </c>
      <c r="I1356" s="14" t="n">
        <v>0</v>
      </c>
      <c r="J1356" s="14" t="n">
        <v>0</v>
      </c>
      <c r="K1356" s="14" t="n">
        <v>0</v>
      </c>
      <c r="L1356" s="14" t="n">
        <v>0</v>
      </c>
      <c r="M1356" s="14">
        <f>IF(B1356="Frete de venda",0,(1-ISNUMBER(SEARCH("556",P1356)))*(I1356*VLOOKUP($B1356,Premissas!$A$4:$E$7,2,0)+J1356*VLOOKUP($B1356,Premissas!$A$4:$E$7,3,0))+K1356*VLOOKUP($B1356,Premissas!$A$4:$E$7,4,0)+L1356*VLOOKUP($B1356,Premissas!$A$4:$E$7,5,0))</f>
        <v/>
      </c>
      <c r="N1356" s="14">
        <f>H1356-M1356</f>
        <v/>
      </c>
      <c r="O1356" t="inlineStr">
        <is>
          <t>Não</t>
        </is>
      </c>
      <c r="P1356" t="inlineStr">
        <is>
          <t>1.350</t>
        </is>
      </c>
    </row>
    <row r="1357">
      <c r="A1357" t="inlineStr">
        <is>
          <t>Antes de 2026</t>
        </is>
      </c>
      <c r="B1357" t="inlineStr">
        <is>
          <t>Frete de venda</t>
        </is>
      </c>
      <c r="C1357" t="inlineStr">
        <is>
          <t>Frete de venda (para clientes)</t>
        </is>
      </c>
      <c r="D1357" t="inlineStr">
        <is>
          <t>CT-e</t>
        </is>
      </c>
      <c r="E1357" t="inlineStr">
        <is>
          <t>000006083</t>
        </is>
      </c>
      <c r="F1357" t="inlineStr">
        <is>
          <t>R&amp;R TRANSPORTE E LOGISTICA</t>
        </is>
      </c>
      <c r="G1357" s="27" t="n">
        <v>46021</v>
      </c>
      <c r="H1357" s="14" t="n">
        <v>8.140000000000001</v>
      </c>
      <c r="I1357" s="14" t="n">
        <v>0</v>
      </c>
      <c r="J1357" s="14" t="n">
        <v>0</v>
      </c>
      <c r="K1357" s="14" t="n">
        <v>0</v>
      </c>
      <c r="L1357" s="14" t="n">
        <v>0</v>
      </c>
      <c r="M1357" s="14">
        <f>IF(B1357="Frete de venda",0,(1-ISNUMBER(SEARCH("556",P1357)))*(I1357*VLOOKUP($B1357,Premissas!$A$4:$E$7,2,0)+J1357*VLOOKUP($B1357,Premissas!$A$4:$E$7,3,0))+K1357*VLOOKUP($B1357,Premissas!$A$4:$E$7,4,0)+L1357*VLOOKUP($B1357,Premissas!$A$4:$E$7,5,0))</f>
        <v/>
      </c>
      <c r="N1357" s="14">
        <f>H1357-M1357</f>
        <v/>
      </c>
      <c r="O1357" t="inlineStr">
        <is>
          <t>Não</t>
        </is>
      </c>
      <c r="P1357" t="inlineStr">
        <is>
          <t>1.350</t>
        </is>
      </c>
    </row>
    <row r="1358">
      <c r="A1358" t="inlineStr">
        <is>
          <t>Antes de 2026</t>
        </is>
      </c>
      <c r="B1358" t="inlineStr">
        <is>
          <t>Frete de venda</t>
        </is>
      </c>
      <c r="C1358" t="inlineStr">
        <is>
          <t>Frete de venda (para clientes)</t>
        </is>
      </c>
      <c r="D1358" t="inlineStr">
        <is>
          <t>CT-e</t>
        </is>
      </c>
      <c r="E1358" t="inlineStr">
        <is>
          <t>000004947</t>
        </is>
      </c>
      <c r="F1358" t="inlineStr">
        <is>
          <t>R&amp;R TRANSPORTE E LOGISTICA</t>
        </is>
      </c>
      <c r="G1358" s="27" t="n">
        <v>45885</v>
      </c>
      <c r="H1358" s="14" t="n">
        <v>64.61</v>
      </c>
      <c r="I1358" s="14" t="n">
        <v>0</v>
      </c>
      <c r="J1358" s="14" t="n">
        <v>0</v>
      </c>
      <c r="K1358" s="14" t="n">
        <v>0</v>
      </c>
      <c r="L1358" s="14" t="n">
        <v>0</v>
      </c>
      <c r="M1358" s="14">
        <f>IF(B1358="Frete de venda",0,(1-ISNUMBER(SEARCH("556",P1358)))*(I1358*VLOOKUP($B1358,Premissas!$A$4:$E$7,2,0)+J1358*VLOOKUP($B1358,Premissas!$A$4:$E$7,3,0))+K1358*VLOOKUP($B1358,Premissas!$A$4:$E$7,4,0)+L1358*VLOOKUP($B1358,Premissas!$A$4:$E$7,5,0))</f>
        <v/>
      </c>
      <c r="N1358" s="14">
        <f>H1358-M1358</f>
        <v/>
      </c>
      <c r="O1358" t="inlineStr">
        <is>
          <t>Não</t>
        </is>
      </c>
      <c r="P1358" t="inlineStr">
        <is>
          <t>1.350</t>
        </is>
      </c>
    </row>
    <row r="1359">
      <c r="A1359" t="inlineStr">
        <is>
          <t>Antes de 2026</t>
        </is>
      </c>
      <c r="B1359" t="inlineStr">
        <is>
          <t>Frete de venda</t>
        </is>
      </c>
      <c r="C1359" t="inlineStr">
        <is>
          <t>Frete de venda (para clientes)</t>
        </is>
      </c>
      <c r="D1359" t="inlineStr">
        <is>
          <t>CT-e</t>
        </is>
      </c>
      <c r="E1359" t="inlineStr">
        <is>
          <t>000005392</t>
        </is>
      </c>
      <c r="F1359" t="inlineStr">
        <is>
          <t>R&amp;R TRANSPORTE E LOGISTICA</t>
        </is>
      </c>
      <c r="G1359" s="27" t="n">
        <v>45933</v>
      </c>
      <c r="H1359" s="14" t="n">
        <v>191.63</v>
      </c>
      <c r="I1359" s="14" t="n">
        <v>0</v>
      </c>
      <c r="J1359" s="14" t="n">
        <v>0</v>
      </c>
      <c r="K1359" s="14" t="n">
        <v>0</v>
      </c>
      <c r="L1359" s="14" t="n">
        <v>0</v>
      </c>
      <c r="M1359" s="14">
        <f>IF(B1359="Frete de venda",0,(1-ISNUMBER(SEARCH("556",P1359)))*(I1359*VLOOKUP($B1359,Premissas!$A$4:$E$7,2,0)+J1359*VLOOKUP($B1359,Premissas!$A$4:$E$7,3,0))+K1359*VLOOKUP($B1359,Premissas!$A$4:$E$7,4,0)+L1359*VLOOKUP($B1359,Premissas!$A$4:$E$7,5,0))</f>
        <v/>
      </c>
      <c r="N1359" s="14">
        <f>H1359-M1359</f>
        <v/>
      </c>
      <c r="O1359" t="inlineStr">
        <is>
          <t>Não</t>
        </is>
      </c>
      <c r="P1359" t="inlineStr">
        <is>
          <t>1.350</t>
        </is>
      </c>
    </row>
    <row r="1360">
      <c r="A1360" t="inlineStr">
        <is>
          <t>Antes de 2026</t>
        </is>
      </c>
      <c r="B1360" t="inlineStr">
        <is>
          <t>Frete de venda</t>
        </is>
      </c>
      <c r="C1360" t="inlineStr">
        <is>
          <t>Frete de venda (para clientes)</t>
        </is>
      </c>
      <c r="D1360" t="inlineStr">
        <is>
          <t>CT-e</t>
        </is>
      </c>
      <c r="E1360" t="inlineStr">
        <is>
          <t>000005021</t>
        </is>
      </c>
      <c r="F1360" t="inlineStr">
        <is>
          <t>R&amp;R TRANSPORTE E LOGISTICA</t>
        </is>
      </c>
      <c r="G1360" s="27" t="n">
        <v>45895</v>
      </c>
      <c r="H1360" s="14" t="n">
        <v>26.86</v>
      </c>
      <c r="I1360" s="14" t="n">
        <v>0</v>
      </c>
      <c r="J1360" s="14" t="n">
        <v>0</v>
      </c>
      <c r="K1360" s="14" t="n">
        <v>0</v>
      </c>
      <c r="L1360" s="14" t="n">
        <v>0</v>
      </c>
      <c r="M1360" s="14">
        <f>IF(B1360="Frete de venda",0,(1-ISNUMBER(SEARCH("556",P1360)))*(I1360*VLOOKUP($B1360,Premissas!$A$4:$E$7,2,0)+J1360*VLOOKUP($B1360,Premissas!$A$4:$E$7,3,0))+K1360*VLOOKUP($B1360,Premissas!$A$4:$E$7,4,0)+L1360*VLOOKUP($B1360,Premissas!$A$4:$E$7,5,0))</f>
        <v/>
      </c>
      <c r="N1360" s="14">
        <f>H1360-M1360</f>
        <v/>
      </c>
      <c r="O1360" t="inlineStr">
        <is>
          <t>Não</t>
        </is>
      </c>
      <c r="P1360" t="inlineStr">
        <is>
          <t>1.350</t>
        </is>
      </c>
    </row>
    <row r="1361">
      <c r="A1361" t="inlineStr">
        <is>
          <t>Antes de 2026</t>
        </is>
      </c>
      <c r="B1361" t="inlineStr">
        <is>
          <t>Frete de venda</t>
        </is>
      </c>
      <c r="C1361" t="inlineStr">
        <is>
          <t>Frete de venda (para clientes)</t>
        </is>
      </c>
      <c r="D1361" t="inlineStr">
        <is>
          <t>CT-e</t>
        </is>
      </c>
      <c r="E1361" t="inlineStr">
        <is>
          <t>000005085</t>
        </is>
      </c>
      <c r="F1361" t="inlineStr">
        <is>
          <t>R&amp;R TRANSPORTE E LOGISTICA</t>
        </is>
      </c>
      <c r="G1361" s="27" t="n">
        <v>45898</v>
      </c>
      <c r="H1361" s="14" t="n">
        <v>67.34999999999999</v>
      </c>
      <c r="I1361" s="14" t="n">
        <v>0</v>
      </c>
      <c r="J1361" s="14" t="n">
        <v>0</v>
      </c>
      <c r="K1361" s="14" t="n">
        <v>0</v>
      </c>
      <c r="L1361" s="14" t="n">
        <v>0</v>
      </c>
      <c r="M1361" s="14">
        <f>IF(B1361="Frete de venda",0,(1-ISNUMBER(SEARCH("556",P1361)))*(I1361*VLOOKUP($B1361,Premissas!$A$4:$E$7,2,0)+J1361*VLOOKUP($B1361,Premissas!$A$4:$E$7,3,0))+K1361*VLOOKUP($B1361,Premissas!$A$4:$E$7,4,0)+L1361*VLOOKUP($B1361,Premissas!$A$4:$E$7,5,0))</f>
        <v/>
      </c>
      <c r="N1361" s="14">
        <f>H1361-M1361</f>
        <v/>
      </c>
      <c r="O1361" t="inlineStr">
        <is>
          <t>Não</t>
        </is>
      </c>
      <c r="P1361" t="inlineStr">
        <is>
          <t>1.350</t>
        </is>
      </c>
    </row>
    <row r="1362">
      <c r="A1362" t="inlineStr">
        <is>
          <t>Antes de 2026</t>
        </is>
      </c>
      <c r="B1362" t="inlineStr">
        <is>
          <t>Frete de venda</t>
        </is>
      </c>
      <c r="C1362" t="inlineStr">
        <is>
          <t>Frete de venda (para clientes)</t>
        </is>
      </c>
      <c r="D1362" t="inlineStr">
        <is>
          <t>CT-e</t>
        </is>
      </c>
      <c r="E1362" t="inlineStr">
        <is>
          <t>000004225</t>
        </is>
      </c>
      <c r="F1362" t="inlineStr">
        <is>
          <t>R&amp;R TRANSPORTE E LOGISTICA</t>
        </is>
      </c>
      <c r="G1362" s="27" t="n">
        <v>45791</v>
      </c>
      <c r="H1362" s="14" t="n">
        <v>46.56</v>
      </c>
      <c r="I1362" s="14" t="n">
        <v>0</v>
      </c>
      <c r="J1362" s="14" t="n">
        <v>0</v>
      </c>
      <c r="K1362" s="14" t="n">
        <v>0</v>
      </c>
      <c r="L1362" s="14" t="n">
        <v>0</v>
      </c>
      <c r="M1362" s="14">
        <f>IF(B1362="Frete de venda",0,(1-ISNUMBER(SEARCH("556",P1362)))*(I1362*VLOOKUP($B1362,Premissas!$A$4:$E$7,2,0)+J1362*VLOOKUP($B1362,Premissas!$A$4:$E$7,3,0))+K1362*VLOOKUP($B1362,Premissas!$A$4:$E$7,4,0)+L1362*VLOOKUP($B1362,Premissas!$A$4:$E$7,5,0))</f>
        <v/>
      </c>
      <c r="N1362" s="14">
        <f>H1362-M1362</f>
        <v/>
      </c>
      <c r="O1362" t="inlineStr">
        <is>
          <t>Não</t>
        </is>
      </c>
      <c r="P1362" t="inlineStr">
        <is>
          <t>1.350</t>
        </is>
      </c>
    </row>
    <row r="1363">
      <c r="A1363" t="inlineStr">
        <is>
          <t>Antes de 2026</t>
        </is>
      </c>
      <c r="B1363" t="inlineStr">
        <is>
          <t>Frete de venda</t>
        </is>
      </c>
      <c r="C1363" t="inlineStr">
        <is>
          <t>Frete de venda (para clientes)</t>
        </is>
      </c>
      <c r="D1363" t="inlineStr">
        <is>
          <t>CT-e</t>
        </is>
      </c>
      <c r="E1363" t="inlineStr">
        <is>
          <t>000004929</t>
        </is>
      </c>
      <c r="F1363" t="inlineStr">
        <is>
          <t>R&amp;R TRANSPORTE E LOGISTICA</t>
        </is>
      </c>
      <c r="G1363" s="27" t="n">
        <v>45884</v>
      </c>
      <c r="H1363" s="14" t="n">
        <v>20.32</v>
      </c>
      <c r="I1363" s="14" t="n">
        <v>0</v>
      </c>
      <c r="J1363" s="14" t="n">
        <v>0</v>
      </c>
      <c r="K1363" s="14" t="n">
        <v>0</v>
      </c>
      <c r="L1363" s="14" t="n">
        <v>0</v>
      </c>
      <c r="M1363" s="14">
        <f>IF(B1363="Frete de venda",0,(1-ISNUMBER(SEARCH("556",P1363)))*(I1363*VLOOKUP($B1363,Premissas!$A$4:$E$7,2,0)+J1363*VLOOKUP($B1363,Premissas!$A$4:$E$7,3,0))+K1363*VLOOKUP($B1363,Premissas!$A$4:$E$7,4,0)+L1363*VLOOKUP($B1363,Premissas!$A$4:$E$7,5,0))</f>
        <v/>
      </c>
      <c r="N1363" s="14">
        <f>H1363-M1363</f>
        <v/>
      </c>
      <c r="O1363" t="inlineStr">
        <is>
          <t>Não</t>
        </is>
      </c>
      <c r="P1363" t="inlineStr">
        <is>
          <t>1.350</t>
        </is>
      </c>
    </row>
    <row r="1364">
      <c r="A1364" t="inlineStr">
        <is>
          <t>Antes de 2026</t>
        </is>
      </c>
      <c r="B1364" t="inlineStr">
        <is>
          <t>Frete de venda</t>
        </is>
      </c>
      <c r="C1364" t="inlineStr">
        <is>
          <t>Frete de venda (para clientes)</t>
        </is>
      </c>
      <c r="D1364" t="inlineStr">
        <is>
          <t>CT-e</t>
        </is>
      </c>
      <c r="E1364" t="inlineStr">
        <is>
          <t>000005770</t>
        </is>
      </c>
      <c r="F1364" t="inlineStr">
        <is>
          <t>R&amp;R TRANSPORTE E LOGISTICA</t>
        </is>
      </c>
      <c r="G1364" s="27" t="n">
        <v>45981</v>
      </c>
      <c r="H1364" s="14" t="n">
        <v>21.44</v>
      </c>
      <c r="I1364" s="14" t="n">
        <v>0</v>
      </c>
      <c r="J1364" s="14" t="n">
        <v>0</v>
      </c>
      <c r="K1364" s="14" t="n">
        <v>0</v>
      </c>
      <c r="L1364" s="14" t="n">
        <v>0</v>
      </c>
      <c r="M1364" s="14">
        <f>IF(B1364="Frete de venda",0,(1-ISNUMBER(SEARCH("556",P1364)))*(I1364*VLOOKUP($B1364,Premissas!$A$4:$E$7,2,0)+J1364*VLOOKUP($B1364,Premissas!$A$4:$E$7,3,0))+K1364*VLOOKUP($B1364,Premissas!$A$4:$E$7,4,0)+L1364*VLOOKUP($B1364,Premissas!$A$4:$E$7,5,0))</f>
        <v/>
      </c>
      <c r="N1364" s="14">
        <f>H1364-M1364</f>
        <v/>
      </c>
      <c r="O1364" t="inlineStr">
        <is>
          <t>Não</t>
        </is>
      </c>
      <c r="P1364" t="inlineStr">
        <is>
          <t>1.350</t>
        </is>
      </c>
    </row>
    <row r="1365">
      <c r="A1365" t="inlineStr">
        <is>
          <t>Antes de 2026</t>
        </is>
      </c>
      <c r="B1365" t="inlineStr">
        <is>
          <t>Frete de venda</t>
        </is>
      </c>
      <c r="C1365" t="inlineStr">
        <is>
          <t>Frete de venda (para clientes)</t>
        </is>
      </c>
      <c r="D1365" t="inlineStr">
        <is>
          <t>CT-e</t>
        </is>
      </c>
      <c r="E1365" t="inlineStr">
        <is>
          <t>000004922</t>
        </is>
      </c>
      <c r="F1365" t="inlineStr">
        <is>
          <t>R&amp;R TRANSPORTE E LOGISTICA</t>
        </is>
      </c>
      <c r="G1365" s="27" t="n">
        <v>45884</v>
      </c>
      <c r="H1365" s="14" t="n">
        <v>20.19</v>
      </c>
      <c r="I1365" s="14" t="n">
        <v>0</v>
      </c>
      <c r="J1365" s="14" t="n">
        <v>0</v>
      </c>
      <c r="K1365" s="14" t="n">
        <v>0</v>
      </c>
      <c r="L1365" s="14" t="n">
        <v>0</v>
      </c>
      <c r="M1365" s="14">
        <f>IF(B1365="Frete de venda",0,(1-ISNUMBER(SEARCH("556",P1365)))*(I1365*VLOOKUP($B1365,Premissas!$A$4:$E$7,2,0)+J1365*VLOOKUP($B1365,Premissas!$A$4:$E$7,3,0))+K1365*VLOOKUP($B1365,Premissas!$A$4:$E$7,4,0)+L1365*VLOOKUP($B1365,Premissas!$A$4:$E$7,5,0))</f>
        <v/>
      </c>
      <c r="N1365" s="14">
        <f>H1365-M1365</f>
        <v/>
      </c>
      <c r="O1365" t="inlineStr">
        <is>
          <t>Não</t>
        </is>
      </c>
      <c r="P1365" t="inlineStr">
        <is>
          <t>1.350</t>
        </is>
      </c>
    </row>
    <row r="1366">
      <c r="A1366" t="inlineStr">
        <is>
          <t>Antes de 2026</t>
        </is>
      </c>
      <c r="B1366" t="inlineStr">
        <is>
          <t>Frete de venda</t>
        </is>
      </c>
      <c r="C1366" t="inlineStr">
        <is>
          <t>Frete de venda (para clientes)</t>
        </is>
      </c>
      <c r="D1366" t="inlineStr">
        <is>
          <t>CT-e</t>
        </is>
      </c>
      <c r="E1366" t="inlineStr">
        <is>
          <t>000005380</t>
        </is>
      </c>
      <c r="F1366" t="inlineStr">
        <is>
          <t>R&amp;R TRANSPORTE E LOGISTICA</t>
        </is>
      </c>
      <c r="G1366" s="27" t="n">
        <v>45932</v>
      </c>
      <c r="H1366" s="14" t="n">
        <v>51.52</v>
      </c>
      <c r="I1366" s="14" t="n">
        <v>0</v>
      </c>
      <c r="J1366" s="14" t="n">
        <v>0</v>
      </c>
      <c r="K1366" s="14" t="n">
        <v>0</v>
      </c>
      <c r="L1366" s="14" t="n">
        <v>0</v>
      </c>
      <c r="M1366" s="14">
        <f>IF(B1366="Frete de venda",0,(1-ISNUMBER(SEARCH("556",P1366)))*(I1366*VLOOKUP($B1366,Premissas!$A$4:$E$7,2,0)+J1366*VLOOKUP($B1366,Premissas!$A$4:$E$7,3,0))+K1366*VLOOKUP($B1366,Premissas!$A$4:$E$7,4,0)+L1366*VLOOKUP($B1366,Premissas!$A$4:$E$7,5,0))</f>
        <v/>
      </c>
      <c r="N1366" s="14">
        <f>H1366-M1366</f>
        <v/>
      </c>
      <c r="O1366" t="inlineStr">
        <is>
          <t>Não</t>
        </is>
      </c>
      <c r="P1366" t="inlineStr">
        <is>
          <t>1.350</t>
        </is>
      </c>
    </row>
    <row r="1367">
      <c r="A1367" t="inlineStr">
        <is>
          <t>Antes de 2026</t>
        </is>
      </c>
      <c r="B1367" t="inlineStr">
        <is>
          <t>Frete de venda</t>
        </is>
      </c>
      <c r="C1367" t="inlineStr">
        <is>
          <t>Frete de venda (para clientes)</t>
        </is>
      </c>
      <c r="D1367" t="inlineStr">
        <is>
          <t>CT-e</t>
        </is>
      </c>
      <c r="E1367" t="inlineStr">
        <is>
          <t>000005108</t>
        </is>
      </c>
      <c r="F1367" t="inlineStr">
        <is>
          <t>R&amp;R TRANSPORTE E LOGISTICA</t>
        </is>
      </c>
      <c r="G1367" s="27" t="n">
        <v>45903</v>
      </c>
      <c r="H1367" s="14" t="n">
        <v>283.93</v>
      </c>
      <c r="I1367" s="14" t="n">
        <v>0</v>
      </c>
      <c r="J1367" s="14" t="n">
        <v>0</v>
      </c>
      <c r="K1367" s="14" t="n">
        <v>0</v>
      </c>
      <c r="L1367" s="14" t="n">
        <v>0</v>
      </c>
      <c r="M1367" s="14">
        <f>IF(B1367="Frete de venda",0,(1-ISNUMBER(SEARCH("556",P1367)))*(I1367*VLOOKUP($B1367,Premissas!$A$4:$E$7,2,0)+J1367*VLOOKUP($B1367,Premissas!$A$4:$E$7,3,0))+K1367*VLOOKUP($B1367,Premissas!$A$4:$E$7,4,0)+L1367*VLOOKUP($B1367,Premissas!$A$4:$E$7,5,0))</f>
        <v/>
      </c>
      <c r="N1367" s="14">
        <f>H1367-M1367</f>
        <v/>
      </c>
      <c r="O1367" t="inlineStr">
        <is>
          <t>Não</t>
        </is>
      </c>
      <c r="P1367" t="inlineStr">
        <is>
          <t>1.350</t>
        </is>
      </c>
    </row>
    <row r="1368">
      <c r="A1368" t="inlineStr">
        <is>
          <t>Antes de 2026</t>
        </is>
      </c>
      <c r="B1368" t="inlineStr">
        <is>
          <t>Frete de venda</t>
        </is>
      </c>
      <c r="C1368" t="inlineStr">
        <is>
          <t>Frete de venda (para clientes)</t>
        </is>
      </c>
      <c r="D1368" t="inlineStr">
        <is>
          <t>CT-e</t>
        </is>
      </c>
      <c r="E1368" t="inlineStr">
        <is>
          <t>000004129</t>
        </is>
      </c>
      <c r="F1368" t="inlineStr">
        <is>
          <t>R&amp;R TRANSPORTE E LOGISTICA</t>
        </is>
      </c>
      <c r="G1368" s="27" t="n">
        <v>45779</v>
      </c>
      <c r="H1368" s="14" t="n">
        <v>70</v>
      </c>
      <c r="I1368" s="14" t="n">
        <v>0</v>
      </c>
      <c r="J1368" s="14" t="n">
        <v>0</v>
      </c>
      <c r="K1368" s="14" t="n">
        <v>0</v>
      </c>
      <c r="L1368" s="14" t="n">
        <v>0</v>
      </c>
      <c r="M1368" s="14">
        <f>IF(B1368="Frete de venda",0,(1-ISNUMBER(SEARCH("556",P1368)))*(I1368*VLOOKUP($B1368,Premissas!$A$4:$E$7,2,0)+J1368*VLOOKUP($B1368,Premissas!$A$4:$E$7,3,0))+K1368*VLOOKUP($B1368,Premissas!$A$4:$E$7,4,0)+L1368*VLOOKUP($B1368,Premissas!$A$4:$E$7,5,0))</f>
        <v/>
      </c>
      <c r="N1368" s="14">
        <f>H1368-M1368</f>
        <v/>
      </c>
      <c r="O1368" t="inlineStr">
        <is>
          <t>Não</t>
        </is>
      </c>
      <c r="P1368" t="inlineStr">
        <is>
          <t>1.350</t>
        </is>
      </c>
    </row>
    <row r="1369">
      <c r="A1369" t="inlineStr">
        <is>
          <t>Antes de 2026</t>
        </is>
      </c>
      <c r="B1369" t="inlineStr">
        <is>
          <t>Frete de venda</t>
        </is>
      </c>
      <c r="C1369" t="inlineStr">
        <is>
          <t>Frete de venda (para clientes)</t>
        </is>
      </c>
      <c r="D1369" t="inlineStr">
        <is>
          <t>CT-e</t>
        </is>
      </c>
      <c r="E1369" t="inlineStr">
        <is>
          <t>000004283</t>
        </is>
      </c>
      <c r="F1369" t="inlineStr">
        <is>
          <t>R&amp;R TRANSPORTE E LOGISTICA</t>
        </is>
      </c>
      <c r="G1369" s="27" t="n">
        <v>45803</v>
      </c>
      <c r="H1369" s="14" t="n">
        <v>180</v>
      </c>
      <c r="I1369" s="14" t="n">
        <v>0</v>
      </c>
      <c r="J1369" s="14" t="n">
        <v>0</v>
      </c>
      <c r="K1369" s="14" t="n">
        <v>0</v>
      </c>
      <c r="L1369" s="14" t="n">
        <v>0</v>
      </c>
      <c r="M1369" s="14">
        <f>IF(B1369="Frete de venda",0,(1-ISNUMBER(SEARCH("556",P1369)))*(I1369*VLOOKUP($B1369,Premissas!$A$4:$E$7,2,0)+J1369*VLOOKUP($B1369,Premissas!$A$4:$E$7,3,0))+K1369*VLOOKUP($B1369,Premissas!$A$4:$E$7,4,0)+L1369*VLOOKUP($B1369,Premissas!$A$4:$E$7,5,0))</f>
        <v/>
      </c>
      <c r="N1369" s="14">
        <f>H1369-M1369</f>
        <v/>
      </c>
      <c r="O1369" t="inlineStr">
        <is>
          <t>Não</t>
        </is>
      </c>
      <c r="P1369" t="inlineStr">
        <is>
          <t>1.350</t>
        </is>
      </c>
    </row>
    <row r="1370">
      <c r="A1370" t="inlineStr">
        <is>
          <t>Antes de 2026</t>
        </is>
      </c>
      <c r="B1370" t="inlineStr">
        <is>
          <t>Frete de venda</t>
        </is>
      </c>
      <c r="C1370" t="inlineStr">
        <is>
          <t>Frete de venda (para clientes)</t>
        </is>
      </c>
      <c r="D1370" t="inlineStr">
        <is>
          <t>CT-e</t>
        </is>
      </c>
      <c r="E1370" t="inlineStr">
        <is>
          <t>000004454</t>
        </is>
      </c>
      <c r="F1370" t="inlineStr">
        <is>
          <t>R&amp;R TRANSPORTE E LOGISTICA</t>
        </is>
      </c>
      <c r="G1370" s="27" t="n">
        <v>45826</v>
      </c>
      <c r="H1370" s="14" t="n">
        <v>195.54</v>
      </c>
      <c r="I1370" s="14" t="n">
        <v>0</v>
      </c>
      <c r="J1370" s="14" t="n">
        <v>0</v>
      </c>
      <c r="K1370" s="14" t="n">
        <v>0</v>
      </c>
      <c r="L1370" s="14" t="n">
        <v>0</v>
      </c>
      <c r="M1370" s="14">
        <f>IF(B1370="Frete de venda",0,(1-ISNUMBER(SEARCH("556",P1370)))*(I1370*VLOOKUP($B1370,Premissas!$A$4:$E$7,2,0)+J1370*VLOOKUP($B1370,Premissas!$A$4:$E$7,3,0))+K1370*VLOOKUP($B1370,Premissas!$A$4:$E$7,4,0)+L1370*VLOOKUP($B1370,Premissas!$A$4:$E$7,5,0))</f>
        <v/>
      </c>
      <c r="N1370" s="14">
        <f>H1370-M1370</f>
        <v/>
      </c>
      <c r="O1370" t="inlineStr">
        <is>
          <t>Não</t>
        </is>
      </c>
      <c r="P1370" t="inlineStr">
        <is>
          <t>1.350</t>
        </is>
      </c>
    </row>
    <row r="1371">
      <c r="A1371" t="inlineStr">
        <is>
          <t>Antes de 2026</t>
        </is>
      </c>
      <c r="B1371" t="inlineStr">
        <is>
          <t>Frete de venda</t>
        </is>
      </c>
      <c r="C1371" t="inlineStr">
        <is>
          <t>Frete de venda (para clientes)</t>
        </is>
      </c>
      <c r="D1371" t="inlineStr">
        <is>
          <t>CT-e</t>
        </is>
      </c>
      <c r="E1371" t="inlineStr">
        <is>
          <t>000004640</t>
        </is>
      </c>
      <c r="F1371" t="inlineStr">
        <is>
          <t>R&amp;R TRANSPORTE E LOGISTICA</t>
        </is>
      </c>
      <c r="G1371" s="27" t="n">
        <v>45853</v>
      </c>
      <c r="H1371" s="14" t="n">
        <v>93.31</v>
      </c>
      <c r="I1371" s="14" t="n">
        <v>0</v>
      </c>
      <c r="J1371" s="14" t="n">
        <v>0</v>
      </c>
      <c r="K1371" s="14" t="n">
        <v>0</v>
      </c>
      <c r="L1371" s="14" t="n">
        <v>0</v>
      </c>
      <c r="M1371" s="14">
        <f>IF(B1371="Frete de venda",0,(1-ISNUMBER(SEARCH("556",P1371)))*(I1371*VLOOKUP($B1371,Premissas!$A$4:$E$7,2,0)+J1371*VLOOKUP($B1371,Premissas!$A$4:$E$7,3,0))+K1371*VLOOKUP($B1371,Premissas!$A$4:$E$7,4,0)+L1371*VLOOKUP($B1371,Premissas!$A$4:$E$7,5,0))</f>
        <v/>
      </c>
      <c r="N1371" s="14">
        <f>H1371-M1371</f>
        <v/>
      </c>
      <c r="O1371" t="inlineStr">
        <is>
          <t>Não</t>
        </is>
      </c>
      <c r="P1371" t="inlineStr">
        <is>
          <t>1.350</t>
        </is>
      </c>
    </row>
    <row r="1372">
      <c r="A1372" t="inlineStr">
        <is>
          <t>Antes de 2026</t>
        </is>
      </c>
      <c r="B1372" t="inlineStr">
        <is>
          <t>Frete de venda</t>
        </is>
      </c>
      <c r="C1372" t="inlineStr">
        <is>
          <t>Frete de venda (para clientes)</t>
        </is>
      </c>
      <c r="D1372" t="inlineStr">
        <is>
          <t>CT-e</t>
        </is>
      </c>
      <c r="E1372" t="inlineStr">
        <is>
          <t>000004945</t>
        </is>
      </c>
      <c r="F1372" t="inlineStr">
        <is>
          <t>R&amp;R TRANSPORTE E LOGISTICA</t>
        </is>
      </c>
      <c r="G1372" s="27" t="n">
        <v>45885</v>
      </c>
      <c r="H1372" s="14" t="n">
        <v>71.44</v>
      </c>
      <c r="I1372" s="14" t="n">
        <v>0</v>
      </c>
      <c r="J1372" s="14" t="n">
        <v>0</v>
      </c>
      <c r="K1372" s="14" t="n">
        <v>0</v>
      </c>
      <c r="L1372" s="14" t="n">
        <v>0</v>
      </c>
      <c r="M1372" s="14">
        <f>IF(B1372="Frete de venda",0,(1-ISNUMBER(SEARCH("556",P1372)))*(I1372*VLOOKUP($B1372,Premissas!$A$4:$E$7,2,0)+J1372*VLOOKUP($B1372,Premissas!$A$4:$E$7,3,0))+K1372*VLOOKUP($B1372,Premissas!$A$4:$E$7,4,0)+L1372*VLOOKUP($B1372,Premissas!$A$4:$E$7,5,0))</f>
        <v/>
      </c>
      <c r="N1372" s="14">
        <f>H1372-M1372</f>
        <v/>
      </c>
      <c r="O1372" t="inlineStr">
        <is>
          <t>Não</t>
        </is>
      </c>
      <c r="P1372" t="inlineStr">
        <is>
          <t>1.350</t>
        </is>
      </c>
    </row>
    <row r="1373">
      <c r="A1373" t="inlineStr">
        <is>
          <t>Antes de 2026</t>
        </is>
      </c>
      <c r="B1373" t="inlineStr">
        <is>
          <t>Frete de venda</t>
        </is>
      </c>
      <c r="C1373" t="inlineStr">
        <is>
          <t>Frete de venda (para clientes)</t>
        </is>
      </c>
      <c r="D1373" t="inlineStr">
        <is>
          <t>CT-e</t>
        </is>
      </c>
      <c r="E1373" t="inlineStr">
        <is>
          <t>000005150</t>
        </is>
      </c>
      <c r="F1373" t="inlineStr">
        <is>
          <t>R&amp;R TRANSPORTE E LOGISTICA</t>
        </is>
      </c>
      <c r="G1373" s="27" t="n">
        <v>45910</v>
      </c>
      <c r="H1373" s="14" t="n">
        <v>198.48</v>
      </c>
      <c r="I1373" s="14" t="n">
        <v>0</v>
      </c>
      <c r="J1373" s="14" t="n">
        <v>0</v>
      </c>
      <c r="K1373" s="14" t="n">
        <v>0</v>
      </c>
      <c r="L1373" s="14" t="n">
        <v>0</v>
      </c>
      <c r="M1373" s="14">
        <f>IF(B1373="Frete de venda",0,(1-ISNUMBER(SEARCH("556",P1373)))*(I1373*VLOOKUP($B1373,Premissas!$A$4:$E$7,2,0)+J1373*VLOOKUP($B1373,Premissas!$A$4:$E$7,3,0))+K1373*VLOOKUP($B1373,Premissas!$A$4:$E$7,4,0)+L1373*VLOOKUP($B1373,Premissas!$A$4:$E$7,5,0))</f>
        <v/>
      </c>
      <c r="N1373" s="14">
        <f>H1373-M1373</f>
        <v/>
      </c>
      <c r="O1373" t="inlineStr">
        <is>
          <t>Não</t>
        </is>
      </c>
      <c r="P1373" t="inlineStr">
        <is>
          <t>1.350</t>
        </is>
      </c>
    </row>
    <row r="1374">
      <c r="A1374" t="inlineStr">
        <is>
          <t>Antes de 2026</t>
        </is>
      </c>
      <c r="B1374" t="inlineStr">
        <is>
          <t>Frete de venda</t>
        </is>
      </c>
      <c r="C1374" t="inlineStr">
        <is>
          <t>Frete de venda (para clientes)</t>
        </is>
      </c>
      <c r="D1374" t="inlineStr">
        <is>
          <t>CT-e</t>
        </is>
      </c>
      <c r="E1374" t="inlineStr">
        <is>
          <t>000005661</t>
        </is>
      </c>
      <c r="F1374" t="inlineStr">
        <is>
          <t>R&amp;R TRANSPORTE E LOGISTICA</t>
        </is>
      </c>
      <c r="G1374" s="27" t="n">
        <v>45964</v>
      </c>
      <c r="H1374" s="14" t="n">
        <v>4000</v>
      </c>
      <c r="I1374" s="14" t="n">
        <v>0</v>
      </c>
      <c r="J1374" s="14" t="n">
        <v>0</v>
      </c>
      <c r="K1374" s="14" t="n">
        <v>0</v>
      </c>
      <c r="L1374" s="14" t="n">
        <v>0</v>
      </c>
      <c r="M1374" s="14">
        <f>IF(B1374="Frete de venda",0,(1-ISNUMBER(SEARCH("556",P1374)))*(I1374*VLOOKUP($B1374,Premissas!$A$4:$E$7,2,0)+J1374*VLOOKUP($B1374,Premissas!$A$4:$E$7,3,0))+K1374*VLOOKUP($B1374,Premissas!$A$4:$E$7,4,0)+L1374*VLOOKUP($B1374,Premissas!$A$4:$E$7,5,0))</f>
        <v/>
      </c>
      <c r="N1374" s="14">
        <f>H1374-M1374</f>
        <v/>
      </c>
      <c r="O1374" t="inlineStr">
        <is>
          <t>Não</t>
        </is>
      </c>
      <c r="P1374" t="inlineStr">
        <is>
          <t>1.350</t>
        </is>
      </c>
    </row>
    <row r="1375">
      <c r="A1375" t="inlineStr">
        <is>
          <t>Antes de 2026</t>
        </is>
      </c>
      <c r="B1375" t="inlineStr">
        <is>
          <t>Frete de venda</t>
        </is>
      </c>
      <c r="C1375" t="inlineStr">
        <is>
          <t>Frete de venda (para clientes)</t>
        </is>
      </c>
      <c r="D1375" t="inlineStr">
        <is>
          <t>CT-e</t>
        </is>
      </c>
      <c r="E1375" t="inlineStr">
        <is>
          <t>000005703</t>
        </is>
      </c>
      <c r="F1375" t="inlineStr">
        <is>
          <t>R&amp;R TRANSPORTE E LOGISTICA</t>
        </is>
      </c>
      <c r="G1375" s="27" t="n">
        <v>45969</v>
      </c>
      <c r="H1375" s="14" t="n">
        <v>450</v>
      </c>
      <c r="I1375" s="14" t="n">
        <v>0</v>
      </c>
      <c r="J1375" s="14" t="n">
        <v>0</v>
      </c>
      <c r="K1375" s="14" t="n">
        <v>0</v>
      </c>
      <c r="L1375" s="14" t="n">
        <v>0</v>
      </c>
      <c r="M1375" s="14">
        <f>IF(B1375="Frete de venda",0,(1-ISNUMBER(SEARCH("556",P1375)))*(I1375*VLOOKUP($B1375,Premissas!$A$4:$E$7,2,0)+J1375*VLOOKUP($B1375,Premissas!$A$4:$E$7,3,0))+K1375*VLOOKUP($B1375,Premissas!$A$4:$E$7,4,0)+L1375*VLOOKUP($B1375,Premissas!$A$4:$E$7,5,0))</f>
        <v/>
      </c>
      <c r="N1375" s="14">
        <f>H1375-M1375</f>
        <v/>
      </c>
      <c r="O1375" t="inlineStr">
        <is>
          <t>Não</t>
        </is>
      </c>
      <c r="P1375" t="inlineStr">
        <is>
          <t>1.350</t>
        </is>
      </c>
    </row>
    <row r="1376">
      <c r="A1376" t="inlineStr">
        <is>
          <t>Antes de 2026</t>
        </is>
      </c>
      <c r="B1376" t="inlineStr">
        <is>
          <t>Frete de venda</t>
        </is>
      </c>
      <c r="C1376" t="inlineStr">
        <is>
          <t>Frete de venda (para clientes)</t>
        </is>
      </c>
      <c r="D1376" t="inlineStr">
        <is>
          <t>CT-e</t>
        </is>
      </c>
      <c r="E1376" t="inlineStr">
        <is>
          <t>000005942</t>
        </is>
      </c>
      <c r="F1376" t="inlineStr">
        <is>
          <t>R&amp;R TRANSPORTE E LOGISTICA</t>
        </is>
      </c>
      <c r="G1376" s="27" t="n">
        <v>45999</v>
      </c>
      <c r="H1376" s="14" t="n">
        <v>111.37</v>
      </c>
      <c r="I1376" s="14" t="n">
        <v>0</v>
      </c>
      <c r="J1376" s="14" t="n">
        <v>0</v>
      </c>
      <c r="K1376" s="14" t="n">
        <v>0</v>
      </c>
      <c r="L1376" s="14" t="n">
        <v>0</v>
      </c>
      <c r="M1376" s="14">
        <f>IF(B1376="Frete de venda",0,(1-ISNUMBER(SEARCH("556",P1376)))*(I1376*VLOOKUP($B1376,Premissas!$A$4:$E$7,2,0)+J1376*VLOOKUP($B1376,Premissas!$A$4:$E$7,3,0))+K1376*VLOOKUP($B1376,Premissas!$A$4:$E$7,4,0)+L1376*VLOOKUP($B1376,Premissas!$A$4:$E$7,5,0))</f>
        <v/>
      </c>
      <c r="N1376" s="14">
        <f>H1376-M1376</f>
        <v/>
      </c>
      <c r="O1376" t="inlineStr">
        <is>
          <t>Não</t>
        </is>
      </c>
      <c r="P1376" t="inlineStr">
        <is>
          <t>1.350</t>
        </is>
      </c>
    </row>
    <row r="1377">
      <c r="A1377" t="inlineStr">
        <is>
          <t>Antes de 2026</t>
        </is>
      </c>
      <c r="B1377" t="inlineStr">
        <is>
          <t>Frete de venda</t>
        </is>
      </c>
      <c r="C1377" t="inlineStr">
        <is>
          <t>Frete de venda (para clientes)</t>
        </is>
      </c>
      <c r="D1377" t="inlineStr">
        <is>
          <t>CT-e</t>
        </is>
      </c>
      <c r="E1377" t="inlineStr">
        <is>
          <t>000004592</t>
        </is>
      </c>
      <c r="F1377" t="inlineStr">
        <is>
          <t>R&amp;R TRANSPORTE E LOGISTICA</t>
        </is>
      </c>
      <c r="G1377" s="27" t="n">
        <v>45842</v>
      </c>
      <c r="H1377" s="14" t="n">
        <v>25.32</v>
      </c>
      <c r="I1377" s="14" t="n">
        <v>0</v>
      </c>
      <c r="J1377" s="14" t="n">
        <v>0</v>
      </c>
      <c r="K1377" s="14" t="n">
        <v>0</v>
      </c>
      <c r="L1377" s="14" t="n">
        <v>0</v>
      </c>
      <c r="M1377" s="14">
        <f>IF(B1377="Frete de venda",0,(1-ISNUMBER(SEARCH("556",P1377)))*(I1377*VLOOKUP($B1377,Premissas!$A$4:$E$7,2,0)+J1377*VLOOKUP($B1377,Premissas!$A$4:$E$7,3,0))+K1377*VLOOKUP($B1377,Premissas!$A$4:$E$7,4,0)+L1377*VLOOKUP($B1377,Premissas!$A$4:$E$7,5,0))</f>
        <v/>
      </c>
      <c r="N1377" s="14">
        <f>H1377-M1377</f>
        <v/>
      </c>
      <c r="O1377" t="inlineStr">
        <is>
          <t>Não</t>
        </is>
      </c>
      <c r="P1377" t="inlineStr">
        <is>
          <t>1.350</t>
        </is>
      </c>
    </row>
    <row r="1378">
      <c r="A1378" t="inlineStr">
        <is>
          <t>Antes de 2026</t>
        </is>
      </c>
      <c r="B1378" t="inlineStr">
        <is>
          <t>Frete de venda</t>
        </is>
      </c>
      <c r="C1378" t="inlineStr">
        <is>
          <t>Frete de venda (para clientes)</t>
        </is>
      </c>
      <c r="D1378" t="inlineStr">
        <is>
          <t>CT-e</t>
        </is>
      </c>
      <c r="E1378" t="inlineStr">
        <is>
          <t>000004206</t>
        </is>
      </c>
      <c r="F1378" t="inlineStr">
        <is>
          <t>R&amp;R TRANSPORTE E LOGISTICA</t>
        </is>
      </c>
      <c r="G1378" s="27" t="n">
        <v>45790</v>
      </c>
      <c r="H1378" s="14" t="n">
        <v>30</v>
      </c>
      <c r="I1378" s="14" t="n">
        <v>0</v>
      </c>
      <c r="J1378" s="14" t="n">
        <v>0</v>
      </c>
      <c r="K1378" s="14" t="n">
        <v>0</v>
      </c>
      <c r="L1378" s="14" t="n">
        <v>0</v>
      </c>
      <c r="M1378" s="14">
        <f>IF(B1378="Frete de venda",0,(1-ISNUMBER(SEARCH("556",P1378)))*(I1378*VLOOKUP($B1378,Premissas!$A$4:$E$7,2,0)+J1378*VLOOKUP($B1378,Premissas!$A$4:$E$7,3,0))+K1378*VLOOKUP($B1378,Premissas!$A$4:$E$7,4,0)+L1378*VLOOKUP($B1378,Premissas!$A$4:$E$7,5,0))</f>
        <v/>
      </c>
      <c r="N1378" s="14">
        <f>H1378-M1378</f>
        <v/>
      </c>
      <c r="O1378" t="inlineStr">
        <is>
          <t>Não</t>
        </is>
      </c>
      <c r="P1378" t="inlineStr">
        <is>
          <t>1.350</t>
        </is>
      </c>
    </row>
    <row r="1379">
      <c r="A1379" t="inlineStr">
        <is>
          <t>Antes de 2026</t>
        </is>
      </c>
      <c r="B1379" t="inlineStr">
        <is>
          <t>Frete de venda</t>
        </is>
      </c>
      <c r="C1379" t="inlineStr">
        <is>
          <t>Frete de venda (para clientes)</t>
        </is>
      </c>
      <c r="D1379" t="inlineStr">
        <is>
          <t>CT-e</t>
        </is>
      </c>
      <c r="E1379" t="inlineStr">
        <is>
          <t>000005345</t>
        </is>
      </c>
      <c r="F1379" t="inlineStr">
        <is>
          <t>R&amp;R TRANSPORTE E LOGISTICA</t>
        </is>
      </c>
      <c r="G1379" s="27" t="n">
        <v>45929</v>
      </c>
      <c r="H1379" s="14" t="n">
        <v>16.4</v>
      </c>
      <c r="I1379" s="14" t="n">
        <v>0</v>
      </c>
      <c r="J1379" s="14" t="n">
        <v>0</v>
      </c>
      <c r="K1379" s="14" t="n">
        <v>0</v>
      </c>
      <c r="L1379" s="14" t="n">
        <v>0</v>
      </c>
      <c r="M1379" s="14">
        <f>IF(B1379="Frete de venda",0,(1-ISNUMBER(SEARCH("556",P1379)))*(I1379*VLOOKUP($B1379,Premissas!$A$4:$E$7,2,0)+J1379*VLOOKUP($B1379,Premissas!$A$4:$E$7,3,0))+K1379*VLOOKUP($B1379,Premissas!$A$4:$E$7,4,0)+L1379*VLOOKUP($B1379,Premissas!$A$4:$E$7,5,0))</f>
        <v/>
      </c>
      <c r="N1379" s="14">
        <f>H1379-M1379</f>
        <v/>
      </c>
      <c r="O1379" t="inlineStr">
        <is>
          <t>Não</t>
        </is>
      </c>
      <c r="P1379" t="inlineStr">
        <is>
          <t>1.350</t>
        </is>
      </c>
    </row>
    <row r="1380">
      <c r="A1380" t="inlineStr">
        <is>
          <t>Antes de 2026</t>
        </is>
      </c>
      <c r="B1380" t="inlineStr">
        <is>
          <t>Frete de venda</t>
        </is>
      </c>
      <c r="C1380" t="inlineStr">
        <is>
          <t>Frete de venda (para clientes)</t>
        </is>
      </c>
      <c r="D1380" t="inlineStr">
        <is>
          <t>CT-e</t>
        </is>
      </c>
      <c r="E1380" t="inlineStr">
        <is>
          <t>000004971</t>
        </is>
      </c>
      <c r="F1380" t="inlineStr">
        <is>
          <t>R&amp;R TRANSPORTE E LOGISTICA</t>
        </is>
      </c>
      <c r="G1380" s="27" t="n">
        <v>45890</v>
      </c>
      <c r="H1380" s="14" t="n">
        <v>1000</v>
      </c>
      <c r="I1380" s="14" t="n">
        <v>0</v>
      </c>
      <c r="J1380" s="14" t="n">
        <v>0</v>
      </c>
      <c r="K1380" s="14" t="n">
        <v>0</v>
      </c>
      <c r="L1380" s="14" t="n">
        <v>0</v>
      </c>
      <c r="M1380" s="14">
        <f>IF(B1380="Frete de venda",0,(1-ISNUMBER(SEARCH("556",P1380)))*(I1380*VLOOKUP($B1380,Premissas!$A$4:$E$7,2,0)+J1380*VLOOKUP($B1380,Premissas!$A$4:$E$7,3,0))+K1380*VLOOKUP($B1380,Premissas!$A$4:$E$7,4,0)+L1380*VLOOKUP($B1380,Premissas!$A$4:$E$7,5,0))</f>
        <v/>
      </c>
      <c r="N1380" s="14">
        <f>H1380-M1380</f>
        <v/>
      </c>
      <c r="O1380" t="inlineStr">
        <is>
          <t>Não</t>
        </is>
      </c>
      <c r="P1380" t="inlineStr">
        <is>
          <t>1.350</t>
        </is>
      </c>
    </row>
    <row r="1381">
      <c r="A1381" t="inlineStr">
        <is>
          <t>Antes de 2026</t>
        </is>
      </c>
      <c r="B1381" t="inlineStr">
        <is>
          <t>Frete de venda</t>
        </is>
      </c>
      <c r="C1381" t="inlineStr">
        <is>
          <t>Frete de venda (para clientes)</t>
        </is>
      </c>
      <c r="D1381" t="inlineStr">
        <is>
          <t>CT-e</t>
        </is>
      </c>
      <c r="E1381" t="inlineStr">
        <is>
          <t>000004972</t>
        </is>
      </c>
      <c r="F1381" t="inlineStr">
        <is>
          <t>R&amp;R TRANSPORTE E LOGISTICA</t>
        </is>
      </c>
      <c r="G1381" s="27" t="n">
        <v>45890</v>
      </c>
      <c r="H1381" s="14" t="n">
        <v>380</v>
      </c>
      <c r="I1381" s="14" t="n">
        <v>0</v>
      </c>
      <c r="J1381" s="14" t="n">
        <v>0</v>
      </c>
      <c r="K1381" s="14" t="n">
        <v>0</v>
      </c>
      <c r="L1381" s="14" t="n">
        <v>0</v>
      </c>
      <c r="M1381" s="14">
        <f>IF(B1381="Frete de venda",0,(1-ISNUMBER(SEARCH("556",P1381)))*(I1381*VLOOKUP($B1381,Premissas!$A$4:$E$7,2,0)+J1381*VLOOKUP($B1381,Premissas!$A$4:$E$7,3,0))+K1381*VLOOKUP($B1381,Premissas!$A$4:$E$7,4,0)+L1381*VLOOKUP($B1381,Premissas!$A$4:$E$7,5,0))</f>
        <v/>
      </c>
      <c r="N1381" s="14">
        <f>H1381-M1381</f>
        <v/>
      </c>
      <c r="O1381" t="inlineStr">
        <is>
          <t>Não</t>
        </is>
      </c>
      <c r="P1381" t="inlineStr">
        <is>
          <t>1.350</t>
        </is>
      </c>
    </row>
    <row r="1382">
      <c r="A1382" t="inlineStr">
        <is>
          <t>Antes de 2026</t>
        </is>
      </c>
      <c r="B1382" t="inlineStr">
        <is>
          <t>Frete de venda</t>
        </is>
      </c>
      <c r="C1382" t="inlineStr">
        <is>
          <t>Frete de venda (para clientes)</t>
        </is>
      </c>
      <c r="D1382" t="inlineStr">
        <is>
          <t>CT-e</t>
        </is>
      </c>
      <c r="E1382" t="inlineStr">
        <is>
          <t>000005493</t>
        </is>
      </c>
      <c r="F1382" t="inlineStr">
        <is>
          <t>R&amp;R TRANSPORTE E LOGISTICA</t>
        </is>
      </c>
      <c r="G1382" s="27" t="n">
        <v>45947</v>
      </c>
      <c r="H1382" s="14" t="n">
        <v>935</v>
      </c>
      <c r="I1382" s="14" t="n">
        <v>0</v>
      </c>
      <c r="J1382" s="14" t="n">
        <v>0</v>
      </c>
      <c r="K1382" s="14" t="n">
        <v>0</v>
      </c>
      <c r="L1382" s="14" t="n">
        <v>0</v>
      </c>
      <c r="M1382" s="14">
        <f>IF(B1382="Frete de venda",0,(1-ISNUMBER(SEARCH("556",P1382)))*(I1382*VLOOKUP($B1382,Premissas!$A$4:$E$7,2,0)+J1382*VLOOKUP($B1382,Premissas!$A$4:$E$7,3,0))+K1382*VLOOKUP($B1382,Premissas!$A$4:$E$7,4,0)+L1382*VLOOKUP($B1382,Premissas!$A$4:$E$7,5,0))</f>
        <v/>
      </c>
      <c r="N1382" s="14">
        <f>H1382-M1382</f>
        <v/>
      </c>
      <c r="O1382" t="inlineStr">
        <is>
          <t>Não</t>
        </is>
      </c>
      <c r="P1382" t="inlineStr">
        <is>
          <t>1.350</t>
        </is>
      </c>
    </row>
    <row r="1383">
      <c r="A1383" t="inlineStr">
        <is>
          <t>Antes de 2026</t>
        </is>
      </c>
      <c r="B1383" t="inlineStr">
        <is>
          <t>Frete de venda</t>
        </is>
      </c>
      <c r="C1383" t="inlineStr">
        <is>
          <t>Frete de venda (para clientes)</t>
        </is>
      </c>
      <c r="D1383" t="inlineStr">
        <is>
          <t>CT-e</t>
        </is>
      </c>
      <c r="E1383" t="inlineStr">
        <is>
          <t>000005949</t>
        </is>
      </c>
      <c r="F1383" t="inlineStr">
        <is>
          <t>R&amp;R TRANSPORTE E LOGISTICA</t>
        </is>
      </c>
      <c r="G1383" s="27" t="n">
        <v>46000</v>
      </c>
      <c r="H1383" s="14" t="n">
        <v>700</v>
      </c>
      <c r="I1383" s="14" t="n">
        <v>0</v>
      </c>
      <c r="J1383" s="14" t="n">
        <v>0</v>
      </c>
      <c r="K1383" s="14" t="n">
        <v>0</v>
      </c>
      <c r="L1383" s="14" t="n">
        <v>0</v>
      </c>
      <c r="M1383" s="14">
        <f>IF(B1383="Frete de venda",0,(1-ISNUMBER(SEARCH("556",P1383)))*(I1383*VLOOKUP($B1383,Premissas!$A$4:$E$7,2,0)+J1383*VLOOKUP($B1383,Premissas!$A$4:$E$7,3,0))+K1383*VLOOKUP($B1383,Premissas!$A$4:$E$7,4,0)+L1383*VLOOKUP($B1383,Premissas!$A$4:$E$7,5,0))</f>
        <v/>
      </c>
      <c r="N1383" s="14">
        <f>H1383-M1383</f>
        <v/>
      </c>
      <c r="O1383" t="inlineStr">
        <is>
          <t>Não</t>
        </is>
      </c>
      <c r="P1383" t="inlineStr">
        <is>
          <t>1.350</t>
        </is>
      </c>
    </row>
    <row r="1384">
      <c r="A1384" t="inlineStr">
        <is>
          <t>Antes de 2026</t>
        </is>
      </c>
      <c r="B1384" t="inlineStr">
        <is>
          <t>Frete de venda</t>
        </is>
      </c>
      <c r="C1384" t="inlineStr">
        <is>
          <t>Frete de venda (para clientes)</t>
        </is>
      </c>
      <c r="D1384" t="inlineStr">
        <is>
          <t>CT-e</t>
        </is>
      </c>
      <c r="E1384" t="inlineStr">
        <is>
          <t>000005969</t>
        </is>
      </c>
      <c r="F1384" t="inlineStr">
        <is>
          <t>R&amp;R TRANSPORTE E LOGISTICA</t>
        </is>
      </c>
      <c r="G1384" s="27" t="n">
        <v>46003</v>
      </c>
      <c r="H1384" s="14" t="n">
        <v>700</v>
      </c>
      <c r="I1384" s="14" t="n">
        <v>0</v>
      </c>
      <c r="J1384" s="14" t="n">
        <v>0</v>
      </c>
      <c r="K1384" s="14" t="n">
        <v>0</v>
      </c>
      <c r="L1384" s="14" t="n">
        <v>0</v>
      </c>
      <c r="M1384" s="14">
        <f>IF(B1384="Frete de venda",0,(1-ISNUMBER(SEARCH("556",P1384)))*(I1384*VLOOKUP($B1384,Premissas!$A$4:$E$7,2,0)+J1384*VLOOKUP($B1384,Premissas!$A$4:$E$7,3,0))+K1384*VLOOKUP($B1384,Premissas!$A$4:$E$7,4,0)+L1384*VLOOKUP($B1384,Premissas!$A$4:$E$7,5,0))</f>
        <v/>
      </c>
      <c r="N1384" s="14">
        <f>H1384-M1384</f>
        <v/>
      </c>
      <c r="O1384" t="inlineStr">
        <is>
          <t>Não</t>
        </is>
      </c>
      <c r="P1384" t="inlineStr">
        <is>
          <t>1.350</t>
        </is>
      </c>
    </row>
    <row r="1385">
      <c r="A1385" t="inlineStr">
        <is>
          <t>Antes de 2026</t>
        </is>
      </c>
      <c r="B1385" t="inlineStr">
        <is>
          <t>Frete de venda</t>
        </is>
      </c>
      <c r="C1385" t="inlineStr">
        <is>
          <t>Frete de venda (para clientes)</t>
        </is>
      </c>
      <c r="D1385" t="inlineStr">
        <is>
          <t>CT-e</t>
        </is>
      </c>
      <c r="E1385" t="inlineStr">
        <is>
          <t>000000592</t>
        </is>
      </c>
      <c r="F1385" t="inlineStr">
        <is>
          <t>REIMAG - REINALDO DOMINGUES BARROS DA SILVA</t>
        </is>
      </c>
      <c r="G1385" s="27" t="n">
        <v>46010</v>
      </c>
      <c r="H1385" s="14" t="n">
        <v>375</v>
      </c>
      <c r="I1385" s="14" t="n">
        <v>0</v>
      </c>
      <c r="J1385" s="14" t="n">
        <v>0</v>
      </c>
      <c r="K1385" s="14" t="n">
        <v>0</v>
      </c>
      <c r="L1385" s="14" t="n">
        <v>0</v>
      </c>
      <c r="M1385" s="14">
        <f>IF(B1385="Frete de venda",0,(1-ISNUMBER(SEARCH("556",P1385)))*(I1385*VLOOKUP($B1385,Premissas!$A$4:$E$7,2,0)+J1385*VLOOKUP($B1385,Premissas!$A$4:$E$7,3,0))+K1385*VLOOKUP($B1385,Premissas!$A$4:$E$7,4,0)+L1385*VLOOKUP($B1385,Premissas!$A$4:$E$7,5,0))</f>
        <v/>
      </c>
      <c r="N1385" s="14">
        <f>H1385-M1385</f>
        <v/>
      </c>
      <c r="O1385" t="inlineStr">
        <is>
          <t>Não</t>
        </is>
      </c>
      <c r="P1385" t="inlineStr">
        <is>
          <t>1.350</t>
        </is>
      </c>
    </row>
    <row r="1386">
      <c r="A1386" t="inlineStr">
        <is>
          <t>Antes de 2026</t>
        </is>
      </c>
      <c r="B1386" t="inlineStr">
        <is>
          <t>Frete de venda</t>
        </is>
      </c>
      <c r="C1386" t="inlineStr">
        <is>
          <t>Frete de venda (para clientes)</t>
        </is>
      </c>
      <c r="D1386" t="inlineStr">
        <is>
          <t>CT-e</t>
        </is>
      </c>
      <c r="E1386" t="inlineStr">
        <is>
          <t>000005167</t>
        </is>
      </c>
      <c r="F1386" t="inlineStr">
        <is>
          <t>R&amp;R TRANSPORTE E LOGISTICA</t>
        </is>
      </c>
      <c r="G1386" s="27" t="n">
        <v>45911</v>
      </c>
      <c r="H1386" s="14" t="n">
        <v>19.65</v>
      </c>
      <c r="I1386" s="14" t="n">
        <v>0</v>
      </c>
      <c r="J1386" s="14" t="n">
        <v>0</v>
      </c>
      <c r="K1386" s="14" t="n">
        <v>0</v>
      </c>
      <c r="L1386" s="14" t="n">
        <v>0</v>
      </c>
      <c r="M1386" s="14">
        <f>IF(B1386="Frete de venda",0,(1-ISNUMBER(SEARCH("556",P1386)))*(I1386*VLOOKUP($B1386,Premissas!$A$4:$E$7,2,0)+J1386*VLOOKUP($B1386,Premissas!$A$4:$E$7,3,0))+K1386*VLOOKUP($B1386,Premissas!$A$4:$E$7,4,0)+L1386*VLOOKUP($B1386,Premissas!$A$4:$E$7,5,0))</f>
        <v/>
      </c>
      <c r="N1386" s="14">
        <f>H1386-M1386</f>
        <v/>
      </c>
      <c r="O1386" t="inlineStr">
        <is>
          <t>Não</t>
        </is>
      </c>
      <c r="P1386" t="inlineStr">
        <is>
          <t>1.350</t>
        </is>
      </c>
    </row>
    <row r="1387">
      <c r="A1387" t="inlineStr">
        <is>
          <t>Antes de 2026</t>
        </is>
      </c>
      <c r="B1387" t="inlineStr">
        <is>
          <t>Frete de venda</t>
        </is>
      </c>
      <c r="C1387" t="inlineStr">
        <is>
          <t>Frete de venda (para clientes)</t>
        </is>
      </c>
      <c r="D1387" t="inlineStr">
        <is>
          <t>CT-e</t>
        </is>
      </c>
      <c r="E1387" t="inlineStr">
        <is>
          <t>000006012</t>
        </is>
      </c>
      <c r="F1387" t="inlineStr">
        <is>
          <t>R&amp;R TRANSPORTE E LOGISTICA</t>
        </is>
      </c>
      <c r="G1387" s="27" t="n">
        <v>46010</v>
      </c>
      <c r="H1387" s="14" t="n">
        <v>16.78</v>
      </c>
      <c r="I1387" s="14" t="n">
        <v>0</v>
      </c>
      <c r="J1387" s="14" t="n">
        <v>0</v>
      </c>
      <c r="K1387" s="14" t="n">
        <v>0</v>
      </c>
      <c r="L1387" s="14" t="n">
        <v>0</v>
      </c>
      <c r="M1387" s="14">
        <f>IF(B1387="Frete de venda",0,(1-ISNUMBER(SEARCH("556",P1387)))*(I1387*VLOOKUP($B1387,Premissas!$A$4:$E$7,2,0)+J1387*VLOOKUP($B1387,Premissas!$A$4:$E$7,3,0))+K1387*VLOOKUP($B1387,Premissas!$A$4:$E$7,4,0)+L1387*VLOOKUP($B1387,Premissas!$A$4:$E$7,5,0))</f>
        <v/>
      </c>
      <c r="N1387" s="14">
        <f>H1387-M1387</f>
        <v/>
      </c>
      <c r="O1387" t="inlineStr">
        <is>
          <t>Não</t>
        </is>
      </c>
      <c r="P1387" t="inlineStr">
        <is>
          <t>1.350</t>
        </is>
      </c>
    </row>
    <row r="1388">
      <c r="A1388" t="inlineStr">
        <is>
          <t>Antes de 2026</t>
        </is>
      </c>
      <c r="B1388" t="inlineStr">
        <is>
          <t>Frete de venda</t>
        </is>
      </c>
      <c r="C1388" t="inlineStr">
        <is>
          <t>Frete de venda (para clientes)</t>
        </is>
      </c>
      <c r="D1388" t="inlineStr">
        <is>
          <t>CT-e</t>
        </is>
      </c>
      <c r="E1388" t="inlineStr">
        <is>
          <t>000005164</t>
        </is>
      </c>
      <c r="F1388" t="inlineStr">
        <is>
          <t>R&amp;R TRANSPORTE E LOGISTICA</t>
        </is>
      </c>
      <c r="G1388" s="27" t="n">
        <v>45911</v>
      </c>
      <c r="H1388" s="14" t="n">
        <v>20.6</v>
      </c>
      <c r="I1388" s="14" t="n">
        <v>0</v>
      </c>
      <c r="J1388" s="14" t="n">
        <v>0</v>
      </c>
      <c r="K1388" s="14" t="n">
        <v>0</v>
      </c>
      <c r="L1388" s="14" t="n">
        <v>0</v>
      </c>
      <c r="M1388" s="14">
        <f>IF(B1388="Frete de venda",0,(1-ISNUMBER(SEARCH("556",P1388)))*(I1388*VLOOKUP($B1388,Premissas!$A$4:$E$7,2,0)+J1388*VLOOKUP($B1388,Premissas!$A$4:$E$7,3,0))+K1388*VLOOKUP($B1388,Premissas!$A$4:$E$7,4,0)+L1388*VLOOKUP($B1388,Premissas!$A$4:$E$7,5,0))</f>
        <v/>
      </c>
      <c r="N1388" s="14">
        <f>H1388-M1388</f>
        <v/>
      </c>
      <c r="O1388" t="inlineStr">
        <is>
          <t>Não</t>
        </is>
      </c>
      <c r="P1388" t="inlineStr">
        <is>
          <t>1.350</t>
        </is>
      </c>
    </row>
    <row r="1389">
      <c r="A1389" t="inlineStr">
        <is>
          <t>Antes de 2026</t>
        </is>
      </c>
      <c r="B1389" t="inlineStr">
        <is>
          <t>Frete de venda</t>
        </is>
      </c>
      <c r="C1389" t="inlineStr">
        <is>
          <t>Frete de venda (para clientes)</t>
        </is>
      </c>
      <c r="D1389" t="inlineStr">
        <is>
          <t>CT-e</t>
        </is>
      </c>
      <c r="E1389" t="inlineStr">
        <is>
          <t>000005623</t>
        </is>
      </c>
      <c r="F1389" t="inlineStr">
        <is>
          <t>R&amp;R TRANSPORTE E LOGISTICA</t>
        </is>
      </c>
      <c r="G1389" s="27" t="n">
        <v>45960</v>
      </c>
      <c r="H1389" s="14" t="n">
        <v>81.09999999999999</v>
      </c>
      <c r="I1389" s="14" t="n">
        <v>0</v>
      </c>
      <c r="J1389" s="14" t="n">
        <v>0</v>
      </c>
      <c r="K1389" s="14" t="n">
        <v>0</v>
      </c>
      <c r="L1389" s="14" t="n">
        <v>0</v>
      </c>
      <c r="M1389" s="14">
        <f>IF(B1389="Frete de venda",0,(1-ISNUMBER(SEARCH("556",P1389)))*(I1389*VLOOKUP($B1389,Premissas!$A$4:$E$7,2,0)+J1389*VLOOKUP($B1389,Premissas!$A$4:$E$7,3,0))+K1389*VLOOKUP($B1389,Premissas!$A$4:$E$7,4,0)+L1389*VLOOKUP($B1389,Premissas!$A$4:$E$7,5,0))</f>
        <v/>
      </c>
      <c r="N1389" s="14">
        <f>H1389-M1389</f>
        <v/>
      </c>
      <c r="O1389" t="inlineStr">
        <is>
          <t>Não</t>
        </is>
      </c>
      <c r="P1389" t="inlineStr">
        <is>
          <t>1.350</t>
        </is>
      </c>
    </row>
    <row r="1390">
      <c r="A1390" t="inlineStr">
        <is>
          <t>Antes de 2026</t>
        </is>
      </c>
      <c r="B1390" t="inlineStr">
        <is>
          <t>Frete de venda</t>
        </is>
      </c>
      <c r="C1390" t="inlineStr">
        <is>
          <t>Frete de venda (para clientes)</t>
        </is>
      </c>
      <c r="D1390" t="inlineStr">
        <is>
          <t>CT-e</t>
        </is>
      </c>
      <c r="E1390" t="inlineStr">
        <is>
          <t>000006021</t>
        </is>
      </c>
      <c r="F1390" t="inlineStr">
        <is>
          <t>R&amp;R TRANSPORTE E LOGISTICA</t>
        </is>
      </c>
      <c r="G1390" s="27" t="n">
        <v>46010</v>
      </c>
      <c r="H1390" s="14" t="n">
        <v>69</v>
      </c>
      <c r="I1390" s="14" t="n">
        <v>0</v>
      </c>
      <c r="J1390" s="14" t="n">
        <v>0</v>
      </c>
      <c r="K1390" s="14" t="n">
        <v>0</v>
      </c>
      <c r="L1390" s="14" t="n">
        <v>0</v>
      </c>
      <c r="M1390" s="14">
        <f>IF(B1390="Frete de venda",0,(1-ISNUMBER(SEARCH("556",P1390)))*(I1390*VLOOKUP($B1390,Premissas!$A$4:$E$7,2,0)+J1390*VLOOKUP($B1390,Premissas!$A$4:$E$7,3,0))+K1390*VLOOKUP($B1390,Premissas!$A$4:$E$7,4,0)+L1390*VLOOKUP($B1390,Premissas!$A$4:$E$7,5,0))</f>
        <v/>
      </c>
      <c r="N1390" s="14">
        <f>H1390-M1390</f>
        <v/>
      </c>
      <c r="O1390" t="inlineStr">
        <is>
          <t>Não</t>
        </is>
      </c>
      <c r="P1390" t="inlineStr">
        <is>
          <t>1.350</t>
        </is>
      </c>
    </row>
    <row r="1391">
      <c r="A1391" t="inlineStr">
        <is>
          <t>Antes de 2026</t>
        </is>
      </c>
      <c r="B1391" t="inlineStr">
        <is>
          <t>Frete de venda</t>
        </is>
      </c>
      <c r="C1391" t="inlineStr">
        <is>
          <t>Frete de venda (para clientes)</t>
        </is>
      </c>
      <c r="D1391" t="inlineStr">
        <is>
          <t>CT-e</t>
        </is>
      </c>
      <c r="E1391" t="inlineStr">
        <is>
          <t>000005080</t>
        </is>
      </c>
      <c r="F1391" t="inlineStr">
        <is>
          <t>R&amp;R TRANSPORTE E LOGISTICA</t>
        </is>
      </c>
      <c r="G1391" s="27" t="n">
        <v>45898</v>
      </c>
      <c r="H1391" s="14" t="n">
        <v>73.48999999999999</v>
      </c>
      <c r="I1391" s="14" t="n">
        <v>0</v>
      </c>
      <c r="J1391" s="14" t="n">
        <v>0</v>
      </c>
      <c r="K1391" s="14" t="n">
        <v>0</v>
      </c>
      <c r="L1391" s="14" t="n">
        <v>0</v>
      </c>
      <c r="M1391" s="14">
        <f>IF(B1391="Frete de venda",0,(1-ISNUMBER(SEARCH("556",P1391)))*(I1391*VLOOKUP($B1391,Premissas!$A$4:$E$7,2,0)+J1391*VLOOKUP($B1391,Premissas!$A$4:$E$7,3,0))+K1391*VLOOKUP($B1391,Premissas!$A$4:$E$7,4,0)+L1391*VLOOKUP($B1391,Premissas!$A$4:$E$7,5,0))</f>
        <v/>
      </c>
      <c r="N1391" s="14">
        <f>H1391-M1391</f>
        <v/>
      </c>
      <c r="O1391" t="inlineStr">
        <is>
          <t>Não</t>
        </is>
      </c>
      <c r="P1391" t="inlineStr">
        <is>
          <t>1.350</t>
        </is>
      </c>
    </row>
    <row r="1392">
      <c r="A1392" t="inlineStr">
        <is>
          <t>Antes de 2026</t>
        </is>
      </c>
      <c r="B1392" t="inlineStr">
        <is>
          <t>Frete de venda</t>
        </is>
      </c>
      <c r="C1392" t="inlineStr">
        <is>
          <t>Frete de venda (para clientes)</t>
        </is>
      </c>
      <c r="D1392" t="inlineStr">
        <is>
          <t>CT-e</t>
        </is>
      </c>
      <c r="E1392" t="inlineStr">
        <is>
          <t>000005847</t>
        </is>
      </c>
      <c r="F1392" t="inlineStr">
        <is>
          <t>R&amp;R TRANSPORTE E LOGISTICA</t>
        </is>
      </c>
      <c r="G1392" s="27" t="n">
        <v>45988</v>
      </c>
      <c r="H1392" s="14" t="n">
        <v>11.78</v>
      </c>
      <c r="I1392" s="14" t="n">
        <v>0</v>
      </c>
      <c r="J1392" s="14" t="n">
        <v>0</v>
      </c>
      <c r="K1392" s="14" t="n">
        <v>0</v>
      </c>
      <c r="L1392" s="14" t="n">
        <v>0</v>
      </c>
      <c r="M1392" s="14">
        <f>IF(B1392="Frete de venda",0,(1-ISNUMBER(SEARCH("556",P1392)))*(I1392*VLOOKUP($B1392,Premissas!$A$4:$E$7,2,0)+J1392*VLOOKUP($B1392,Premissas!$A$4:$E$7,3,0))+K1392*VLOOKUP($B1392,Premissas!$A$4:$E$7,4,0)+L1392*VLOOKUP($B1392,Premissas!$A$4:$E$7,5,0))</f>
        <v/>
      </c>
      <c r="N1392" s="14">
        <f>H1392-M1392</f>
        <v/>
      </c>
      <c r="O1392" t="inlineStr">
        <is>
          <t>Não</t>
        </is>
      </c>
      <c r="P1392" t="inlineStr">
        <is>
          <t>1.350</t>
        </is>
      </c>
    </row>
    <row r="1393">
      <c r="A1393" t="inlineStr">
        <is>
          <t>Antes de 2026</t>
        </is>
      </c>
      <c r="B1393" t="inlineStr">
        <is>
          <t>Frete de venda</t>
        </is>
      </c>
      <c r="C1393" t="inlineStr">
        <is>
          <t>Frete de venda (para clientes)</t>
        </is>
      </c>
      <c r="D1393" t="inlineStr">
        <is>
          <t>CT-e</t>
        </is>
      </c>
      <c r="E1393" t="inlineStr">
        <is>
          <t>000005090</t>
        </is>
      </c>
      <c r="F1393" t="inlineStr">
        <is>
          <t>R&amp;R TRANSPORTE E LOGISTICA</t>
        </is>
      </c>
      <c r="G1393" s="27" t="n">
        <v>45899</v>
      </c>
      <c r="H1393" s="14" t="n">
        <v>235</v>
      </c>
      <c r="I1393" s="14" t="n">
        <v>0</v>
      </c>
      <c r="J1393" s="14" t="n">
        <v>0</v>
      </c>
      <c r="K1393" s="14" t="n">
        <v>0</v>
      </c>
      <c r="L1393" s="14" t="n">
        <v>0</v>
      </c>
      <c r="M1393" s="14">
        <f>IF(B1393="Frete de venda",0,(1-ISNUMBER(SEARCH("556",P1393)))*(I1393*VLOOKUP($B1393,Premissas!$A$4:$E$7,2,0)+J1393*VLOOKUP($B1393,Premissas!$A$4:$E$7,3,0))+K1393*VLOOKUP($B1393,Premissas!$A$4:$E$7,4,0)+L1393*VLOOKUP($B1393,Premissas!$A$4:$E$7,5,0))</f>
        <v/>
      </c>
      <c r="N1393" s="14">
        <f>H1393-M1393</f>
        <v/>
      </c>
      <c r="O1393" t="inlineStr">
        <is>
          <t>Não</t>
        </is>
      </c>
      <c r="P1393" t="inlineStr">
        <is>
          <t>1.350</t>
        </is>
      </c>
    </row>
    <row r="1394">
      <c r="A1394" t="inlineStr">
        <is>
          <t>Antes de 2026</t>
        </is>
      </c>
      <c r="B1394" t="inlineStr">
        <is>
          <t>Frete de venda</t>
        </is>
      </c>
      <c r="C1394" t="inlineStr">
        <is>
          <t>Frete de venda (para clientes)</t>
        </is>
      </c>
      <c r="D1394" t="inlineStr">
        <is>
          <t>CT-e</t>
        </is>
      </c>
      <c r="E1394" t="inlineStr">
        <is>
          <t>000005455</t>
        </is>
      </c>
      <c r="F1394" t="inlineStr">
        <is>
          <t>R&amp;R TRANSPORTE E LOGISTICA</t>
        </is>
      </c>
      <c r="G1394" s="27" t="n">
        <v>45943</v>
      </c>
      <c r="H1394" s="14" t="n">
        <v>140</v>
      </c>
      <c r="I1394" s="14" t="n">
        <v>0</v>
      </c>
      <c r="J1394" s="14" t="n">
        <v>0</v>
      </c>
      <c r="K1394" s="14" t="n">
        <v>0</v>
      </c>
      <c r="L1394" s="14" t="n">
        <v>0</v>
      </c>
      <c r="M1394" s="14">
        <f>IF(B1394="Frete de venda",0,(1-ISNUMBER(SEARCH("556",P1394)))*(I1394*VLOOKUP($B1394,Premissas!$A$4:$E$7,2,0)+J1394*VLOOKUP($B1394,Premissas!$A$4:$E$7,3,0))+K1394*VLOOKUP($B1394,Premissas!$A$4:$E$7,4,0)+L1394*VLOOKUP($B1394,Premissas!$A$4:$E$7,5,0))</f>
        <v/>
      </c>
      <c r="N1394" s="14">
        <f>H1394-M1394</f>
        <v/>
      </c>
      <c r="O1394" t="inlineStr">
        <is>
          <t>Não</t>
        </is>
      </c>
      <c r="P1394" t="inlineStr">
        <is>
          <t>1.350</t>
        </is>
      </c>
    </row>
    <row r="1395">
      <c r="A1395" t="inlineStr">
        <is>
          <t>Antes de 2026</t>
        </is>
      </c>
      <c r="B1395" t="inlineStr">
        <is>
          <t>Frete de venda</t>
        </is>
      </c>
      <c r="C1395" t="inlineStr">
        <is>
          <t>Frete de venda (para clientes)</t>
        </is>
      </c>
      <c r="D1395" t="inlineStr">
        <is>
          <t>CT-e</t>
        </is>
      </c>
      <c r="E1395" t="inlineStr">
        <is>
          <t>000005586</t>
        </is>
      </c>
      <c r="F1395" t="inlineStr">
        <is>
          <t>R&amp;R TRANSPORTE E LOGISTICA</t>
        </is>
      </c>
      <c r="G1395" s="27" t="n">
        <v>45957</v>
      </c>
      <c r="H1395" s="14" t="n">
        <v>117</v>
      </c>
      <c r="I1395" s="14" t="n">
        <v>0</v>
      </c>
      <c r="J1395" s="14" t="n">
        <v>0</v>
      </c>
      <c r="K1395" s="14" t="n">
        <v>0</v>
      </c>
      <c r="L1395" s="14" t="n">
        <v>0</v>
      </c>
      <c r="M1395" s="14">
        <f>IF(B1395="Frete de venda",0,(1-ISNUMBER(SEARCH("556",P1395)))*(I1395*VLOOKUP($B1395,Premissas!$A$4:$E$7,2,0)+J1395*VLOOKUP($B1395,Premissas!$A$4:$E$7,3,0))+K1395*VLOOKUP($B1395,Premissas!$A$4:$E$7,4,0)+L1395*VLOOKUP($B1395,Premissas!$A$4:$E$7,5,0))</f>
        <v/>
      </c>
      <c r="N1395" s="14">
        <f>H1395-M1395</f>
        <v/>
      </c>
      <c r="O1395" t="inlineStr">
        <is>
          <t>Não</t>
        </is>
      </c>
      <c r="P1395" t="inlineStr">
        <is>
          <t>1.350</t>
        </is>
      </c>
    </row>
    <row r="1396">
      <c r="A1396" t="inlineStr">
        <is>
          <t>Antes de 2026</t>
        </is>
      </c>
      <c r="B1396" t="inlineStr">
        <is>
          <t>Frete de venda</t>
        </is>
      </c>
      <c r="C1396" t="inlineStr">
        <is>
          <t>Frete de venda (para clientes)</t>
        </is>
      </c>
      <c r="D1396" t="inlineStr">
        <is>
          <t>CT-e</t>
        </is>
      </c>
      <c r="E1396" t="inlineStr">
        <is>
          <t>000000094</t>
        </is>
      </c>
      <c r="F1396" t="inlineStr">
        <is>
          <t>ADIL CARLOS DA SILVA</t>
        </is>
      </c>
      <c r="G1396" s="27" t="n">
        <v>45782</v>
      </c>
      <c r="H1396" s="14" t="n">
        <v>10</v>
      </c>
      <c r="I1396" s="14" t="n">
        <v>0</v>
      </c>
      <c r="J1396" s="14" t="n">
        <v>0</v>
      </c>
      <c r="K1396" s="14" t="n">
        <v>0</v>
      </c>
      <c r="L1396" s="14" t="n">
        <v>0</v>
      </c>
      <c r="M1396" s="14">
        <f>IF(B1396="Frete de venda",0,(1-ISNUMBER(SEARCH("556",P1396)))*(I1396*VLOOKUP($B1396,Premissas!$A$4:$E$7,2,0)+J1396*VLOOKUP($B1396,Premissas!$A$4:$E$7,3,0))+K1396*VLOOKUP($B1396,Premissas!$A$4:$E$7,4,0)+L1396*VLOOKUP($B1396,Premissas!$A$4:$E$7,5,0))</f>
        <v/>
      </c>
      <c r="N1396" s="14">
        <f>H1396-M1396</f>
        <v/>
      </c>
      <c r="O1396" t="inlineStr">
        <is>
          <t>Não</t>
        </is>
      </c>
      <c r="P1396" t="inlineStr">
        <is>
          <t>2.350</t>
        </is>
      </c>
    </row>
    <row r="1397">
      <c r="A1397" t="inlineStr">
        <is>
          <t>Antes de 2026</t>
        </is>
      </c>
      <c r="B1397" t="inlineStr">
        <is>
          <t>Frete de venda</t>
        </is>
      </c>
      <c r="C1397" t="inlineStr">
        <is>
          <t>Frete de venda (para clientes)</t>
        </is>
      </c>
      <c r="D1397" t="inlineStr">
        <is>
          <t>CT-e</t>
        </is>
      </c>
      <c r="E1397" t="inlineStr">
        <is>
          <t>000004405</t>
        </is>
      </c>
      <c r="F1397" t="inlineStr">
        <is>
          <t>R&amp;R TRANSPORTE E LOGISTICA</t>
        </is>
      </c>
      <c r="G1397" s="27" t="n">
        <v>45818</v>
      </c>
      <c r="H1397" s="14" t="n">
        <v>48</v>
      </c>
      <c r="I1397" s="14" t="n">
        <v>0</v>
      </c>
      <c r="J1397" s="14" t="n">
        <v>0</v>
      </c>
      <c r="K1397" s="14" t="n">
        <v>0</v>
      </c>
      <c r="L1397" s="14" t="n">
        <v>0</v>
      </c>
      <c r="M1397" s="14">
        <f>IF(B1397="Frete de venda",0,(1-ISNUMBER(SEARCH("556",P1397)))*(I1397*VLOOKUP($B1397,Premissas!$A$4:$E$7,2,0)+J1397*VLOOKUP($B1397,Premissas!$A$4:$E$7,3,0))+K1397*VLOOKUP($B1397,Premissas!$A$4:$E$7,4,0)+L1397*VLOOKUP($B1397,Premissas!$A$4:$E$7,5,0))</f>
        <v/>
      </c>
      <c r="N1397" s="14">
        <f>H1397-M1397</f>
        <v/>
      </c>
      <c r="O1397" t="inlineStr">
        <is>
          <t>Não</t>
        </is>
      </c>
      <c r="P1397" t="inlineStr">
        <is>
          <t>1.350</t>
        </is>
      </c>
    </row>
    <row r="1398">
      <c r="A1398" t="inlineStr">
        <is>
          <t>Antes de 2026</t>
        </is>
      </c>
      <c r="B1398" t="inlineStr">
        <is>
          <t>Frete de venda</t>
        </is>
      </c>
      <c r="C1398" t="inlineStr">
        <is>
          <t>Frete de venda (para clientes)</t>
        </is>
      </c>
      <c r="D1398" t="inlineStr">
        <is>
          <t>CT-e</t>
        </is>
      </c>
      <c r="E1398" t="inlineStr">
        <is>
          <t>000005390</t>
        </is>
      </c>
      <c r="F1398" t="inlineStr">
        <is>
          <t>R&amp;R TRANSPORTE E LOGISTICA</t>
        </is>
      </c>
      <c r="G1398" s="27" t="n">
        <v>45933</v>
      </c>
      <c r="H1398" s="14" t="n">
        <v>53.62</v>
      </c>
      <c r="I1398" s="14" t="n">
        <v>0</v>
      </c>
      <c r="J1398" s="14" t="n">
        <v>0</v>
      </c>
      <c r="K1398" s="14" t="n">
        <v>0</v>
      </c>
      <c r="L1398" s="14" t="n">
        <v>0</v>
      </c>
      <c r="M1398" s="14">
        <f>IF(B1398="Frete de venda",0,(1-ISNUMBER(SEARCH("556",P1398)))*(I1398*VLOOKUP($B1398,Premissas!$A$4:$E$7,2,0)+J1398*VLOOKUP($B1398,Premissas!$A$4:$E$7,3,0))+K1398*VLOOKUP($B1398,Premissas!$A$4:$E$7,4,0)+L1398*VLOOKUP($B1398,Premissas!$A$4:$E$7,5,0))</f>
        <v/>
      </c>
      <c r="N1398" s="14">
        <f>H1398-M1398</f>
        <v/>
      </c>
      <c r="O1398" t="inlineStr">
        <is>
          <t>Não</t>
        </is>
      </c>
      <c r="P1398" t="inlineStr">
        <is>
          <t>1.350</t>
        </is>
      </c>
    </row>
    <row r="1399">
      <c r="A1399" t="inlineStr">
        <is>
          <t>Antes de 2026</t>
        </is>
      </c>
      <c r="B1399" t="inlineStr">
        <is>
          <t>Frete de venda</t>
        </is>
      </c>
      <c r="C1399" t="inlineStr">
        <is>
          <t>Frete de venda (para clientes)</t>
        </is>
      </c>
      <c r="D1399" t="inlineStr">
        <is>
          <t>CT-e</t>
        </is>
      </c>
      <c r="E1399" t="inlineStr">
        <is>
          <t>000004998</t>
        </is>
      </c>
      <c r="F1399" t="inlineStr">
        <is>
          <t>R&amp;R TRANSPORTE E LOGISTICA</t>
        </is>
      </c>
      <c r="G1399" s="27" t="n">
        <v>45894</v>
      </c>
      <c r="H1399" s="14" t="n">
        <v>34.66</v>
      </c>
      <c r="I1399" s="14" t="n">
        <v>0</v>
      </c>
      <c r="J1399" s="14" t="n">
        <v>0</v>
      </c>
      <c r="K1399" s="14" t="n">
        <v>0</v>
      </c>
      <c r="L1399" s="14" t="n">
        <v>0</v>
      </c>
      <c r="M1399" s="14">
        <f>IF(B1399="Frete de venda",0,(1-ISNUMBER(SEARCH("556",P1399)))*(I1399*VLOOKUP($B1399,Premissas!$A$4:$E$7,2,0)+J1399*VLOOKUP($B1399,Premissas!$A$4:$E$7,3,0))+K1399*VLOOKUP($B1399,Premissas!$A$4:$E$7,4,0)+L1399*VLOOKUP($B1399,Premissas!$A$4:$E$7,5,0))</f>
        <v/>
      </c>
      <c r="N1399" s="14">
        <f>H1399-M1399</f>
        <v/>
      </c>
      <c r="O1399" t="inlineStr">
        <is>
          <t>Não</t>
        </is>
      </c>
      <c r="P1399" t="inlineStr">
        <is>
          <t>1.350</t>
        </is>
      </c>
    </row>
    <row r="1400">
      <c r="A1400" t="inlineStr">
        <is>
          <t>Antes de 2026</t>
        </is>
      </c>
      <c r="B1400" t="inlineStr">
        <is>
          <t>Frete de venda</t>
        </is>
      </c>
      <c r="C1400" t="inlineStr">
        <is>
          <t>Frete de venda (para clientes)</t>
        </is>
      </c>
      <c r="D1400" t="inlineStr">
        <is>
          <t>CT-e</t>
        </is>
      </c>
      <c r="E1400" t="inlineStr">
        <is>
          <t>000000595</t>
        </is>
      </c>
      <c r="F1400" t="inlineStr">
        <is>
          <t>REIMAG - REINALDO DOMINGUES BARROS DA SILVA</t>
        </is>
      </c>
      <c r="G1400" s="27" t="n">
        <v>46017</v>
      </c>
      <c r="H1400" s="14" t="n">
        <v>350</v>
      </c>
      <c r="I1400" s="14" t="n">
        <v>0</v>
      </c>
      <c r="J1400" s="14" t="n">
        <v>0</v>
      </c>
      <c r="K1400" s="14" t="n">
        <v>0</v>
      </c>
      <c r="L1400" s="14" t="n">
        <v>0</v>
      </c>
      <c r="M1400" s="14">
        <f>IF(B1400="Frete de venda",0,(1-ISNUMBER(SEARCH("556",P1400)))*(I1400*VLOOKUP($B1400,Premissas!$A$4:$E$7,2,0)+J1400*VLOOKUP($B1400,Premissas!$A$4:$E$7,3,0))+K1400*VLOOKUP($B1400,Premissas!$A$4:$E$7,4,0)+L1400*VLOOKUP($B1400,Premissas!$A$4:$E$7,5,0))</f>
        <v/>
      </c>
      <c r="N1400" s="14">
        <f>H1400-M1400</f>
        <v/>
      </c>
      <c r="O1400" t="inlineStr">
        <is>
          <t>Não</t>
        </is>
      </c>
      <c r="P1400" t="inlineStr">
        <is>
          <t>1.350</t>
        </is>
      </c>
    </row>
    <row r="1401">
      <c r="A1401" t="inlineStr">
        <is>
          <t>Antes de 2026</t>
        </is>
      </c>
      <c r="B1401" t="inlineStr">
        <is>
          <t>Frete de venda</t>
        </is>
      </c>
      <c r="C1401" t="inlineStr">
        <is>
          <t>Frete de venda (para clientes)</t>
        </is>
      </c>
      <c r="D1401" t="inlineStr">
        <is>
          <t>CT-e</t>
        </is>
      </c>
      <c r="E1401" t="inlineStr">
        <is>
          <t>000000596</t>
        </is>
      </c>
      <c r="F1401" t="inlineStr">
        <is>
          <t>REIMAG - REINALDO DOMINGUES BARROS DA SILVA</t>
        </is>
      </c>
      <c r="G1401" s="27" t="n">
        <v>46017</v>
      </c>
      <c r="H1401" s="14" t="n">
        <v>350</v>
      </c>
      <c r="I1401" s="14" t="n">
        <v>0</v>
      </c>
      <c r="J1401" s="14" t="n">
        <v>0</v>
      </c>
      <c r="K1401" s="14" t="n">
        <v>0</v>
      </c>
      <c r="L1401" s="14" t="n">
        <v>0</v>
      </c>
      <c r="M1401" s="14">
        <f>IF(B1401="Frete de venda",0,(1-ISNUMBER(SEARCH("556",P1401)))*(I1401*VLOOKUP($B1401,Premissas!$A$4:$E$7,2,0)+J1401*VLOOKUP($B1401,Premissas!$A$4:$E$7,3,0))+K1401*VLOOKUP($B1401,Premissas!$A$4:$E$7,4,0)+L1401*VLOOKUP($B1401,Premissas!$A$4:$E$7,5,0))</f>
        <v/>
      </c>
      <c r="N1401" s="14">
        <f>H1401-M1401</f>
        <v/>
      </c>
      <c r="O1401" t="inlineStr">
        <is>
          <t>Não</t>
        </is>
      </c>
      <c r="P1401" t="inlineStr">
        <is>
          <t>1.350</t>
        </is>
      </c>
    </row>
    <row r="1402">
      <c r="A1402" t="inlineStr">
        <is>
          <t>Antes de 2026</t>
        </is>
      </c>
      <c r="B1402" t="inlineStr">
        <is>
          <t>Frete de venda</t>
        </is>
      </c>
      <c r="C1402" t="inlineStr">
        <is>
          <t>Frete de venda (para clientes)</t>
        </is>
      </c>
      <c r="D1402" t="inlineStr">
        <is>
          <t>CT-e</t>
        </is>
      </c>
      <c r="E1402" t="inlineStr">
        <is>
          <t>000004990</t>
        </is>
      </c>
      <c r="F1402" t="inlineStr">
        <is>
          <t>R&amp;R TRANSPORTE E LOGISTICA</t>
        </is>
      </c>
      <c r="G1402" s="27" t="n">
        <v>45892</v>
      </c>
      <c r="H1402" s="14" t="n">
        <v>450</v>
      </c>
      <c r="I1402" s="14" t="n">
        <v>0</v>
      </c>
      <c r="J1402" s="14" t="n">
        <v>0</v>
      </c>
      <c r="K1402" s="14" t="n">
        <v>0</v>
      </c>
      <c r="L1402" s="14" t="n">
        <v>0</v>
      </c>
      <c r="M1402" s="14">
        <f>IF(B1402="Frete de venda",0,(1-ISNUMBER(SEARCH("556",P1402)))*(I1402*VLOOKUP($B1402,Premissas!$A$4:$E$7,2,0)+J1402*VLOOKUP($B1402,Premissas!$A$4:$E$7,3,0))+K1402*VLOOKUP($B1402,Premissas!$A$4:$E$7,4,0)+L1402*VLOOKUP($B1402,Premissas!$A$4:$E$7,5,0))</f>
        <v/>
      </c>
      <c r="N1402" s="14">
        <f>H1402-M1402</f>
        <v/>
      </c>
      <c r="O1402" t="inlineStr">
        <is>
          <t>Não</t>
        </is>
      </c>
      <c r="P1402" t="inlineStr">
        <is>
          <t>1.350</t>
        </is>
      </c>
    </row>
    <row r="1403">
      <c r="A1403" t="inlineStr">
        <is>
          <t>Antes de 2026</t>
        </is>
      </c>
      <c r="B1403" t="inlineStr">
        <is>
          <t>Frete de venda</t>
        </is>
      </c>
      <c r="C1403" t="inlineStr">
        <is>
          <t>Frete de venda (para clientes)</t>
        </is>
      </c>
      <c r="D1403" t="inlineStr">
        <is>
          <t>CT-e</t>
        </is>
      </c>
      <c r="E1403" t="inlineStr">
        <is>
          <t>000005265</t>
        </is>
      </c>
      <c r="F1403" t="inlineStr">
        <is>
          <t>R&amp;R TRANSPORTE E LOGISTICA</t>
        </is>
      </c>
      <c r="G1403" s="27" t="n">
        <v>45923</v>
      </c>
      <c r="H1403" s="14" t="n">
        <v>450</v>
      </c>
      <c r="I1403" s="14" t="n">
        <v>0</v>
      </c>
      <c r="J1403" s="14" t="n">
        <v>0</v>
      </c>
      <c r="K1403" s="14" t="n">
        <v>0</v>
      </c>
      <c r="L1403" s="14" t="n">
        <v>0</v>
      </c>
      <c r="M1403" s="14">
        <f>IF(B1403="Frete de venda",0,(1-ISNUMBER(SEARCH("556",P1403)))*(I1403*VLOOKUP($B1403,Premissas!$A$4:$E$7,2,0)+J1403*VLOOKUP($B1403,Premissas!$A$4:$E$7,3,0))+K1403*VLOOKUP($B1403,Premissas!$A$4:$E$7,4,0)+L1403*VLOOKUP($B1403,Premissas!$A$4:$E$7,5,0))</f>
        <v/>
      </c>
      <c r="N1403" s="14">
        <f>H1403-M1403</f>
        <v/>
      </c>
      <c r="O1403" t="inlineStr">
        <is>
          <t>Não</t>
        </is>
      </c>
      <c r="P1403" t="inlineStr">
        <is>
          <t>1.350</t>
        </is>
      </c>
    </row>
    <row r="1404">
      <c r="A1404" t="inlineStr">
        <is>
          <t>Antes de 2026</t>
        </is>
      </c>
      <c r="B1404" t="inlineStr">
        <is>
          <t>Frete de venda</t>
        </is>
      </c>
      <c r="C1404" t="inlineStr">
        <is>
          <t>Frete de venda (para clientes)</t>
        </is>
      </c>
      <c r="D1404" t="inlineStr">
        <is>
          <t>CT-e</t>
        </is>
      </c>
      <c r="E1404" t="inlineStr">
        <is>
          <t>000005344</t>
        </is>
      </c>
      <c r="F1404" t="inlineStr">
        <is>
          <t>R&amp;R TRANSPORTE E LOGISTICA</t>
        </is>
      </c>
      <c r="G1404" s="27" t="n">
        <v>45929</v>
      </c>
      <c r="H1404" s="14" t="n">
        <v>28.11</v>
      </c>
      <c r="I1404" s="14" t="n">
        <v>0</v>
      </c>
      <c r="J1404" s="14" t="n">
        <v>0</v>
      </c>
      <c r="K1404" s="14" t="n">
        <v>0</v>
      </c>
      <c r="L1404" s="14" t="n">
        <v>0</v>
      </c>
      <c r="M1404" s="14">
        <f>IF(B1404="Frete de venda",0,(1-ISNUMBER(SEARCH("556",P1404)))*(I1404*VLOOKUP($B1404,Premissas!$A$4:$E$7,2,0)+J1404*VLOOKUP($B1404,Premissas!$A$4:$E$7,3,0))+K1404*VLOOKUP($B1404,Premissas!$A$4:$E$7,4,0)+L1404*VLOOKUP($B1404,Premissas!$A$4:$E$7,5,0))</f>
        <v/>
      </c>
      <c r="N1404" s="14">
        <f>H1404-M1404</f>
        <v/>
      </c>
      <c r="O1404" t="inlineStr">
        <is>
          <t>Não</t>
        </is>
      </c>
      <c r="P1404" t="inlineStr">
        <is>
          <t>1.350</t>
        </is>
      </c>
    </row>
    <row r="1405">
      <c r="A1405" t="inlineStr">
        <is>
          <t>Antes de 2026</t>
        </is>
      </c>
      <c r="B1405" t="inlineStr">
        <is>
          <t>Frete de venda</t>
        </is>
      </c>
      <c r="C1405" t="inlineStr">
        <is>
          <t>Frete de venda (para clientes)</t>
        </is>
      </c>
      <c r="D1405" t="inlineStr">
        <is>
          <t>CT-e</t>
        </is>
      </c>
      <c r="E1405" t="inlineStr">
        <is>
          <t>000004130</t>
        </is>
      </c>
      <c r="F1405" t="inlineStr">
        <is>
          <t>R&amp;R TRANSPORTE E LOGISTICA</t>
        </is>
      </c>
      <c r="G1405" s="27" t="n">
        <v>45779</v>
      </c>
      <c r="H1405" s="14" t="n">
        <v>88</v>
      </c>
      <c r="I1405" s="14" t="n">
        <v>0</v>
      </c>
      <c r="J1405" s="14" t="n">
        <v>0</v>
      </c>
      <c r="K1405" s="14" t="n">
        <v>0</v>
      </c>
      <c r="L1405" s="14" t="n">
        <v>0</v>
      </c>
      <c r="M1405" s="14">
        <f>IF(B1405="Frete de venda",0,(1-ISNUMBER(SEARCH("556",P1405)))*(I1405*VLOOKUP($B1405,Premissas!$A$4:$E$7,2,0)+J1405*VLOOKUP($B1405,Premissas!$A$4:$E$7,3,0))+K1405*VLOOKUP($B1405,Premissas!$A$4:$E$7,4,0)+L1405*VLOOKUP($B1405,Premissas!$A$4:$E$7,5,0))</f>
        <v/>
      </c>
      <c r="N1405" s="14">
        <f>H1405-M1405</f>
        <v/>
      </c>
      <c r="O1405" t="inlineStr">
        <is>
          <t>Não</t>
        </is>
      </c>
      <c r="P1405" t="inlineStr">
        <is>
          <t>1.350</t>
        </is>
      </c>
    </row>
    <row r="1406">
      <c r="A1406" t="inlineStr">
        <is>
          <t>Antes de 2026</t>
        </is>
      </c>
      <c r="B1406" t="inlineStr">
        <is>
          <t>Frete de venda</t>
        </is>
      </c>
      <c r="C1406" t="inlineStr">
        <is>
          <t>Frete de venda (para clientes)</t>
        </is>
      </c>
      <c r="D1406" t="inlineStr">
        <is>
          <t>CT-e</t>
        </is>
      </c>
      <c r="E1406" t="inlineStr">
        <is>
          <t>000004946</t>
        </is>
      </c>
      <c r="F1406" t="inlineStr">
        <is>
          <t>R&amp;R TRANSPORTE E LOGISTICA</t>
        </is>
      </c>
      <c r="G1406" s="27" t="n">
        <v>45885</v>
      </c>
      <c r="H1406" s="14" t="n">
        <v>76.23999999999999</v>
      </c>
      <c r="I1406" s="14" t="n">
        <v>0</v>
      </c>
      <c r="J1406" s="14" t="n">
        <v>0</v>
      </c>
      <c r="K1406" s="14" t="n">
        <v>0</v>
      </c>
      <c r="L1406" s="14" t="n">
        <v>0</v>
      </c>
      <c r="M1406" s="14">
        <f>IF(B1406="Frete de venda",0,(1-ISNUMBER(SEARCH("556",P1406)))*(I1406*VLOOKUP($B1406,Premissas!$A$4:$E$7,2,0)+J1406*VLOOKUP($B1406,Premissas!$A$4:$E$7,3,0))+K1406*VLOOKUP($B1406,Premissas!$A$4:$E$7,4,0)+L1406*VLOOKUP($B1406,Premissas!$A$4:$E$7,5,0))</f>
        <v/>
      </c>
      <c r="N1406" s="14">
        <f>H1406-M1406</f>
        <v/>
      </c>
      <c r="O1406" t="inlineStr">
        <is>
          <t>Não</t>
        </is>
      </c>
      <c r="P1406" t="inlineStr">
        <is>
          <t>1.350</t>
        </is>
      </c>
    </row>
    <row r="1407">
      <c r="A1407" t="inlineStr">
        <is>
          <t>Antes de 2026</t>
        </is>
      </c>
      <c r="B1407" t="inlineStr">
        <is>
          <t>Frete de venda</t>
        </is>
      </c>
      <c r="C1407" t="inlineStr">
        <is>
          <t>Frete de venda (para clientes)</t>
        </is>
      </c>
      <c r="D1407" t="inlineStr">
        <is>
          <t>CT-e</t>
        </is>
      </c>
      <c r="E1407" t="inlineStr">
        <is>
          <t>000005940</t>
        </is>
      </c>
      <c r="F1407" t="inlineStr">
        <is>
          <t>R&amp;R TRANSPORTE E LOGISTICA</t>
        </is>
      </c>
      <c r="G1407" s="27" t="n">
        <v>45999</v>
      </c>
      <c r="H1407" s="14" t="n">
        <v>93.73</v>
      </c>
      <c r="I1407" s="14" t="n">
        <v>0</v>
      </c>
      <c r="J1407" s="14" t="n">
        <v>0</v>
      </c>
      <c r="K1407" s="14" t="n">
        <v>0</v>
      </c>
      <c r="L1407" s="14" t="n">
        <v>0</v>
      </c>
      <c r="M1407" s="14">
        <f>IF(B1407="Frete de venda",0,(1-ISNUMBER(SEARCH("556",P1407)))*(I1407*VLOOKUP($B1407,Premissas!$A$4:$E$7,2,0)+J1407*VLOOKUP($B1407,Premissas!$A$4:$E$7,3,0))+K1407*VLOOKUP($B1407,Premissas!$A$4:$E$7,4,0)+L1407*VLOOKUP($B1407,Premissas!$A$4:$E$7,5,0))</f>
        <v/>
      </c>
      <c r="N1407" s="14">
        <f>H1407-M1407</f>
        <v/>
      </c>
      <c r="O1407" t="inlineStr">
        <is>
          <t>Não</t>
        </is>
      </c>
      <c r="P1407" t="inlineStr">
        <is>
          <t>1.350</t>
        </is>
      </c>
    </row>
    <row r="1408">
      <c r="A1408" t="inlineStr">
        <is>
          <t>Antes de 2026</t>
        </is>
      </c>
      <c r="B1408" t="inlineStr">
        <is>
          <t>Frete de venda</t>
        </is>
      </c>
      <c r="C1408" t="inlineStr">
        <is>
          <t>Frete de venda (para clientes)</t>
        </is>
      </c>
      <c r="D1408" t="inlineStr">
        <is>
          <t>CT-e</t>
        </is>
      </c>
      <c r="E1408" t="inlineStr">
        <is>
          <t>000004496</t>
        </is>
      </c>
      <c r="F1408" t="inlineStr">
        <is>
          <t>R&amp;R TRANSPORTE E LOGISTICA</t>
        </is>
      </c>
      <c r="G1408" s="27" t="n">
        <v>45831</v>
      </c>
      <c r="H1408" s="14" t="n">
        <v>18.52</v>
      </c>
      <c r="I1408" s="14" t="n">
        <v>0</v>
      </c>
      <c r="J1408" s="14" t="n">
        <v>0</v>
      </c>
      <c r="K1408" s="14" t="n">
        <v>0</v>
      </c>
      <c r="L1408" s="14" t="n">
        <v>0</v>
      </c>
      <c r="M1408" s="14">
        <f>IF(B1408="Frete de venda",0,(1-ISNUMBER(SEARCH("556",P1408)))*(I1408*VLOOKUP($B1408,Premissas!$A$4:$E$7,2,0)+J1408*VLOOKUP($B1408,Premissas!$A$4:$E$7,3,0))+K1408*VLOOKUP($B1408,Premissas!$A$4:$E$7,4,0)+L1408*VLOOKUP($B1408,Premissas!$A$4:$E$7,5,0))</f>
        <v/>
      </c>
      <c r="N1408" s="14">
        <f>H1408-M1408</f>
        <v/>
      </c>
      <c r="O1408" t="inlineStr">
        <is>
          <t>Não</t>
        </is>
      </c>
      <c r="P1408" t="inlineStr">
        <is>
          <t>1.350</t>
        </is>
      </c>
    </row>
    <row r="1409">
      <c r="A1409" t="inlineStr">
        <is>
          <t>Antes de 2026</t>
        </is>
      </c>
      <c r="B1409" t="inlineStr">
        <is>
          <t>Frete de venda</t>
        </is>
      </c>
      <c r="C1409" t="inlineStr">
        <is>
          <t>Frete de venda (para clientes)</t>
        </is>
      </c>
      <c r="D1409" t="inlineStr">
        <is>
          <t>CT-e</t>
        </is>
      </c>
      <c r="E1409" t="inlineStr">
        <is>
          <t>000005334</t>
        </is>
      </c>
      <c r="F1409" t="inlineStr">
        <is>
          <t>R&amp;R TRANSPORTE E LOGISTICA</t>
        </is>
      </c>
      <c r="G1409" s="27" t="n">
        <v>45929</v>
      </c>
      <c r="H1409" s="14" t="n">
        <v>18.1</v>
      </c>
      <c r="I1409" s="14" t="n">
        <v>0</v>
      </c>
      <c r="J1409" s="14" t="n">
        <v>0</v>
      </c>
      <c r="K1409" s="14" t="n">
        <v>0</v>
      </c>
      <c r="L1409" s="14" t="n">
        <v>0</v>
      </c>
      <c r="M1409" s="14">
        <f>IF(B1409="Frete de venda",0,(1-ISNUMBER(SEARCH("556",P1409)))*(I1409*VLOOKUP($B1409,Premissas!$A$4:$E$7,2,0)+J1409*VLOOKUP($B1409,Premissas!$A$4:$E$7,3,0))+K1409*VLOOKUP($B1409,Premissas!$A$4:$E$7,4,0)+L1409*VLOOKUP($B1409,Premissas!$A$4:$E$7,5,0))</f>
        <v/>
      </c>
      <c r="N1409" s="14">
        <f>H1409-M1409</f>
        <v/>
      </c>
      <c r="O1409" t="inlineStr">
        <is>
          <t>Não</t>
        </is>
      </c>
      <c r="P1409" t="inlineStr">
        <is>
          <t>1.350</t>
        </is>
      </c>
    </row>
    <row r="1410">
      <c r="A1410" t="inlineStr">
        <is>
          <t>Antes de 2026</t>
        </is>
      </c>
      <c r="B1410" t="inlineStr">
        <is>
          <t>Frete de venda</t>
        </is>
      </c>
      <c r="C1410" t="inlineStr">
        <is>
          <t>Frete de venda (para clientes)</t>
        </is>
      </c>
      <c r="D1410" t="inlineStr">
        <is>
          <t>CT-e</t>
        </is>
      </c>
      <c r="E1410" t="inlineStr">
        <is>
          <t>000006028</t>
        </is>
      </c>
      <c r="F1410" t="inlineStr">
        <is>
          <t>R&amp;R TRANSPORTE E LOGISTICA</t>
        </is>
      </c>
      <c r="G1410" s="27" t="n">
        <v>46011</v>
      </c>
      <c r="H1410" s="14" t="n">
        <v>41</v>
      </c>
      <c r="I1410" s="14" t="n">
        <v>0</v>
      </c>
      <c r="J1410" s="14" t="n">
        <v>0</v>
      </c>
      <c r="K1410" s="14" t="n">
        <v>0</v>
      </c>
      <c r="L1410" s="14" t="n">
        <v>0</v>
      </c>
      <c r="M1410" s="14">
        <f>IF(B1410="Frete de venda",0,(1-ISNUMBER(SEARCH("556",P1410)))*(I1410*VLOOKUP($B1410,Premissas!$A$4:$E$7,2,0)+J1410*VLOOKUP($B1410,Premissas!$A$4:$E$7,3,0))+K1410*VLOOKUP($B1410,Premissas!$A$4:$E$7,4,0)+L1410*VLOOKUP($B1410,Premissas!$A$4:$E$7,5,0))</f>
        <v/>
      </c>
      <c r="N1410" s="14">
        <f>H1410-M1410</f>
        <v/>
      </c>
      <c r="O1410" t="inlineStr">
        <is>
          <t>Não</t>
        </is>
      </c>
      <c r="P1410" t="inlineStr">
        <is>
          <t>1.350</t>
        </is>
      </c>
    </row>
    <row r="1411">
      <c r="A1411" t="inlineStr">
        <is>
          <t>Antes de 2026</t>
        </is>
      </c>
      <c r="B1411" t="inlineStr">
        <is>
          <t>Frete de venda</t>
        </is>
      </c>
      <c r="C1411" t="inlineStr">
        <is>
          <t>Frete de venda (para clientes)</t>
        </is>
      </c>
      <c r="D1411" t="inlineStr">
        <is>
          <t>CT-e</t>
        </is>
      </c>
      <c r="E1411" t="inlineStr">
        <is>
          <t>000004869</t>
        </is>
      </c>
      <c r="F1411" t="inlineStr">
        <is>
          <t>R&amp;R TRANSPORTE E LOGISTICA</t>
        </is>
      </c>
      <c r="G1411" s="27" t="n">
        <v>45877</v>
      </c>
      <c r="H1411" s="14" t="n">
        <v>27.47</v>
      </c>
      <c r="I1411" s="14" t="n">
        <v>0</v>
      </c>
      <c r="J1411" s="14" t="n">
        <v>0</v>
      </c>
      <c r="K1411" s="14" t="n">
        <v>0</v>
      </c>
      <c r="L1411" s="14" t="n">
        <v>0</v>
      </c>
      <c r="M1411" s="14">
        <f>IF(B1411="Frete de venda",0,(1-ISNUMBER(SEARCH("556",P1411)))*(I1411*VLOOKUP($B1411,Premissas!$A$4:$E$7,2,0)+J1411*VLOOKUP($B1411,Premissas!$A$4:$E$7,3,0))+K1411*VLOOKUP($B1411,Premissas!$A$4:$E$7,4,0)+L1411*VLOOKUP($B1411,Premissas!$A$4:$E$7,5,0))</f>
        <v/>
      </c>
      <c r="N1411" s="14">
        <f>H1411-M1411</f>
        <v/>
      </c>
      <c r="O1411" t="inlineStr">
        <is>
          <t>Não</t>
        </is>
      </c>
      <c r="P1411" t="inlineStr">
        <is>
          <t>1.350</t>
        </is>
      </c>
    </row>
    <row r="1412">
      <c r="A1412" t="inlineStr">
        <is>
          <t>Antes de 2026</t>
        </is>
      </c>
      <c r="B1412" t="inlineStr">
        <is>
          <t>Frete de venda</t>
        </is>
      </c>
      <c r="C1412" t="inlineStr">
        <is>
          <t>Frete de venda (para clientes)</t>
        </is>
      </c>
      <c r="D1412" t="inlineStr">
        <is>
          <t>CT-e</t>
        </is>
      </c>
      <c r="E1412" t="inlineStr">
        <is>
          <t>000005503</t>
        </is>
      </c>
      <c r="F1412" t="inlineStr">
        <is>
          <t>R&amp;R TRANSPORTE E LOGISTICA</t>
        </is>
      </c>
      <c r="G1412" s="27" t="n">
        <v>45947</v>
      </c>
      <c r="H1412" s="14" t="n">
        <v>39.35</v>
      </c>
      <c r="I1412" s="14" t="n">
        <v>0</v>
      </c>
      <c r="J1412" s="14" t="n">
        <v>0</v>
      </c>
      <c r="K1412" s="14" t="n">
        <v>0</v>
      </c>
      <c r="L1412" s="14" t="n">
        <v>0</v>
      </c>
      <c r="M1412" s="14">
        <f>IF(B1412="Frete de venda",0,(1-ISNUMBER(SEARCH("556",P1412)))*(I1412*VLOOKUP($B1412,Premissas!$A$4:$E$7,2,0)+J1412*VLOOKUP($B1412,Premissas!$A$4:$E$7,3,0))+K1412*VLOOKUP($B1412,Premissas!$A$4:$E$7,4,0)+L1412*VLOOKUP($B1412,Premissas!$A$4:$E$7,5,0))</f>
        <v/>
      </c>
      <c r="N1412" s="14">
        <f>H1412-M1412</f>
        <v/>
      </c>
      <c r="O1412" t="inlineStr">
        <is>
          <t>Não</t>
        </is>
      </c>
      <c r="P1412" t="inlineStr">
        <is>
          <t>1.350</t>
        </is>
      </c>
    </row>
    <row r="1413">
      <c r="A1413" t="inlineStr">
        <is>
          <t>Antes de 2026</t>
        </is>
      </c>
      <c r="B1413" t="inlineStr">
        <is>
          <t>Frete de venda</t>
        </is>
      </c>
      <c r="C1413" t="inlineStr">
        <is>
          <t>Frete de venda (para clientes)</t>
        </is>
      </c>
      <c r="D1413" t="inlineStr">
        <is>
          <t>CT-e</t>
        </is>
      </c>
      <c r="E1413" t="inlineStr">
        <is>
          <t>000005933</t>
        </is>
      </c>
      <c r="F1413" t="inlineStr">
        <is>
          <t>R&amp;R TRANSPORTE E LOGISTICA</t>
        </is>
      </c>
      <c r="G1413" s="27" t="n">
        <v>45996</v>
      </c>
      <c r="H1413" s="14" t="n">
        <v>33.24</v>
      </c>
      <c r="I1413" s="14" t="n">
        <v>0</v>
      </c>
      <c r="J1413" s="14" t="n">
        <v>0</v>
      </c>
      <c r="K1413" s="14" t="n">
        <v>0</v>
      </c>
      <c r="L1413" s="14" t="n">
        <v>0</v>
      </c>
      <c r="M1413" s="14">
        <f>IF(B1413="Frete de venda",0,(1-ISNUMBER(SEARCH("556",P1413)))*(I1413*VLOOKUP($B1413,Premissas!$A$4:$E$7,2,0)+J1413*VLOOKUP($B1413,Premissas!$A$4:$E$7,3,0))+K1413*VLOOKUP($B1413,Premissas!$A$4:$E$7,4,0)+L1413*VLOOKUP($B1413,Premissas!$A$4:$E$7,5,0))</f>
        <v/>
      </c>
      <c r="N1413" s="14">
        <f>H1413-M1413</f>
        <v/>
      </c>
      <c r="O1413" t="inlineStr">
        <is>
          <t>Não</t>
        </is>
      </c>
      <c r="P1413" t="inlineStr">
        <is>
          <t>1.350</t>
        </is>
      </c>
    </row>
    <row r="1414">
      <c r="A1414" t="inlineStr">
        <is>
          <t>Antes de 2026</t>
        </is>
      </c>
      <c r="B1414" t="inlineStr">
        <is>
          <t>Frete de venda</t>
        </is>
      </c>
      <c r="C1414" t="inlineStr">
        <is>
          <t>Frete de venda (para clientes)</t>
        </is>
      </c>
      <c r="D1414" t="inlineStr">
        <is>
          <t>CT-e</t>
        </is>
      </c>
      <c r="E1414" t="inlineStr">
        <is>
          <t>000004681</t>
        </is>
      </c>
      <c r="F1414" t="inlineStr">
        <is>
          <t>R&amp;R TRANSPORTE E LOGISTICA</t>
        </is>
      </c>
      <c r="G1414" s="27" t="n">
        <v>45856</v>
      </c>
      <c r="H1414" s="14" t="n">
        <v>36.91</v>
      </c>
      <c r="I1414" s="14" t="n">
        <v>0</v>
      </c>
      <c r="J1414" s="14" t="n">
        <v>0</v>
      </c>
      <c r="K1414" s="14" t="n">
        <v>0</v>
      </c>
      <c r="L1414" s="14" t="n">
        <v>0</v>
      </c>
      <c r="M1414" s="14">
        <f>IF(B1414="Frete de venda",0,(1-ISNUMBER(SEARCH("556",P1414)))*(I1414*VLOOKUP($B1414,Premissas!$A$4:$E$7,2,0)+J1414*VLOOKUP($B1414,Premissas!$A$4:$E$7,3,0))+K1414*VLOOKUP($B1414,Premissas!$A$4:$E$7,4,0)+L1414*VLOOKUP($B1414,Premissas!$A$4:$E$7,5,0))</f>
        <v/>
      </c>
      <c r="N1414" s="14">
        <f>H1414-M1414</f>
        <v/>
      </c>
      <c r="O1414" t="inlineStr">
        <is>
          <t>Não</t>
        </is>
      </c>
      <c r="P1414" t="inlineStr">
        <is>
          <t>1.350</t>
        </is>
      </c>
    </row>
    <row r="1415">
      <c r="A1415" t="inlineStr">
        <is>
          <t>Antes de 2026</t>
        </is>
      </c>
      <c r="B1415" t="inlineStr">
        <is>
          <t>Frete de venda</t>
        </is>
      </c>
      <c r="C1415" t="inlineStr">
        <is>
          <t>Frete de venda (para clientes)</t>
        </is>
      </c>
      <c r="D1415" t="inlineStr">
        <is>
          <t>CT-e</t>
        </is>
      </c>
      <c r="E1415" t="inlineStr">
        <is>
          <t>000005011</t>
        </is>
      </c>
      <c r="F1415" t="inlineStr">
        <is>
          <t>R&amp;R TRANSPORTE E LOGISTICA</t>
        </is>
      </c>
      <c r="G1415" s="27" t="n">
        <v>45895</v>
      </c>
      <c r="H1415" s="14" t="n">
        <v>21.36</v>
      </c>
      <c r="I1415" s="14" t="n">
        <v>0</v>
      </c>
      <c r="J1415" s="14" t="n">
        <v>0</v>
      </c>
      <c r="K1415" s="14" t="n">
        <v>0</v>
      </c>
      <c r="L1415" s="14" t="n">
        <v>0</v>
      </c>
      <c r="M1415" s="14">
        <f>IF(B1415="Frete de venda",0,(1-ISNUMBER(SEARCH("556",P1415)))*(I1415*VLOOKUP($B1415,Premissas!$A$4:$E$7,2,0)+J1415*VLOOKUP($B1415,Premissas!$A$4:$E$7,3,0))+K1415*VLOOKUP($B1415,Premissas!$A$4:$E$7,4,0)+L1415*VLOOKUP($B1415,Premissas!$A$4:$E$7,5,0))</f>
        <v/>
      </c>
      <c r="N1415" s="14">
        <f>H1415-M1415</f>
        <v/>
      </c>
      <c r="O1415" t="inlineStr">
        <is>
          <t>Não</t>
        </is>
      </c>
      <c r="P1415" t="inlineStr">
        <is>
          <t>1.350</t>
        </is>
      </c>
    </row>
    <row r="1416">
      <c r="A1416" t="inlineStr">
        <is>
          <t>Antes de 2026</t>
        </is>
      </c>
      <c r="B1416" t="inlineStr">
        <is>
          <t>Frete de venda</t>
        </is>
      </c>
      <c r="C1416" t="inlineStr">
        <is>
          <t>Frete de venda (para clientes)</t>
        </is>
      </c>
      <c r="D1416" t="inlineStr">
        <is>
          <t>CT-e</t>
        </is>
      </c>
      <c r="E1416" t="inlineStr">
        <is>
          <t>000005779</t>
        </is>
      </c>
      <c r="F1416" t="inlineStr">
        <is>
          <t>R&amp;R TRANSPORTE E LOGISTICA</t>
        </is>
      </c>
      <c r="G1416" s="27" t="n">
        <v>45981</v>
      </c>
      <c r="H1416" s="14" t="n">
        <v>18.4</v>
      </c>
      <c r="I1416" s="14" t="n">
        <v>0</v>
      </c>
      <c r="J1416" s="14" t="n">
        <v>0</v>
      </c>
      <c r="K1416" s="14" t="n">
        <v>0</v>
      </c>
      <c r="L1416" s="14" t="n">
        <v>0</v>
      </c>
      <c r="M1416" s="14">
        <f>IF(B1416="Frete de venda",0,(1-ISNUMBER(SEARCH("556",P1416)))*(I1416*VLOOKUP($B1416,Premissas!$A$4:$E$7,2,0)+J1416*VLOOKUP($B1416,Premissas!$A$4:$E$7,3,0))+K1416*VLOOKUP($B1416,Premissas!$A$4:$E$7,4,0)+L1416*VLOOKUP($B1416,Premissas!$A$4:$E$7,5,0))</f>
        <v/>
      </c>
      <c r="N1416" s="14">
        <f>H1416-M1416</f>
        <v/>
      </c>
      <c r="O1416" t="inlineStr">
        <is>
          <t>Não</t>
        </is>
      </c>
      <c r="P1416" t="inlineStr">
        <is>
          <t>1.350</t>
        </is>
      </c>
    </row>
    <row r="1417">
      <c r="A1417" t="inlineStr">
        <is>
          <t>Antes de 2026</t>
        </is>
      </c>
      <c r="B1417" t="inlineStr">
        <is>
          <t>Frete de venda</t>
        </is>
      </c>
      <c r="C1417" t="inlineStr">
        <is>
          <t>Frete de venda (para clientes)</t>
        </is>
      </c>
      <c r="D1417" t="inlineStr">
        <is>
          <t>CT-e</t>
        </is>
      </c>
      <c r="E1417" t="inlineStr">
        <is>
          <t>000005058</t>
        </is>
      </c>
      <c r="F1417" t="inlineStr">
        <is>
          <t>R&amp;R TRANSPORTE E LOGISTICA</t>
        </is>
      </c>
      <c r="G1417" s="27" t="n">
        <v>45896</v>
      </c>
      <c r="H1417" s="14" t="n">
        <v>15.34</v>
      </c>
      <c r="I1417" s="14" t="n">
        <v>0</v>
      </c>
      <c r="J1417" s="14" t="n">
        <v>0</v>
      </c>
      <c r="K1417" s="14" t="n">
        <v>0</v>
      </c>
      <c r="L1417" s="14" t="n">
        <v>0</v>
      </c>
      <c r="M1417" s="14">
        <f>IF(B1417="Frete de venda",0,(1-ISNUMBER(SEARCH("556",P1417)))*(I1417*VLOOKUP($B1417,Premissas!$A$4:$E$7,2,0)+J1417*VLOOKUP($B1417,Premissas!$A$4:$E$7,3,0))+K1417*VLOOKUP($B1417,Premissas!$A$4:$E$7,4,0)+L1417*VLOOKUP($B1417,Premissas!$A$4:$E$7,5,0))</f>
        <v/>
      </c>
      <c r="N1417" s="14">
        <f>H1417-M1417</f>
        <v/>
      </c>
      <c r="O1417" t="inlineStr">
        <is>
          <t>Não</t>
        </is>
      </c>
      <c r="P1417" t="inlineStr">
        <is>
          <t>1.350</t>
        </is>
      </c>
    </row>
    <row r="1418">
      <c r="A1418" t="inlineStr">
        <is>
          <t>Antes de 2026</t>
        </is>
      </c>
      <c r="B1418" t="inlineStr">
        <is>
          <t>Frete de venda</t>
        </is>
      </c>
      <c r="C1418" t="inlineStr">
        <is>
          <t>Frete de venda (para clientes)</t>
        </is>
      </c>
      <c r="D1418" t="inlineStr">
        <is>
          <t>CT-e</t>
        </is>
      </c>
      <c r="E1418" t="inlineStr">
        <is>
          <t>000005853</t>
        </is>
      </c>
      <c r="F1418" t="inlineStr">
        <is>
          <t>R&amp;R TRANSPORTE E LOGISTICA</t>
        </is>
      </c>
      <c r="G1418" s="27" t="n">
        <v>45988</v>
      </c>
      <c r="H1418" s="14" t="n">
        <v>11.52</v>
      </c>
      <c r="I1418" s="14" t="n">
        <v>0</v>
      </c>
      <c r="J1418" s="14" t="n">
        <v>0</v>
      </c>
      <c r="K1418" s="14" t="n">
        <v>0</v>
      </c>
      <c r="L1418" s="14" t="n">
        <v>0</v>
      </c>
      <c r="M1418" s="14">
        <f>IF(B1418="Frete de venda",0,(1-ISNUMBER(SEARCH("556",P1418)))*(I1418*VLOOKUP($B1418,Premissas!$A$4:$E$7,2,0)+J1418*VLOOKUP($B1418,Premissas!$A$4:$E$7,3,0))+K1418*VLOOKUP($B1418,Premissas!$A$4:$E$7,4,0)+L1418*VLOOKUP($B1418,Premissas!$A$4:$E$7,5,0))</f>
        <v/>
      </c>
      <c r="N1418" s="14">
        <f>H1418-M1418</f>
        <v/>
      </c>
      <c r="O1418" t="inlineStr">
        <is>
          <t>Não</t>
        </is>
      </c>
      <c r="P1418" t="inlineStr">
        <is>
          <t>1.350</t>
        </is>
      </c>
    </row>
    <row r="1419">
      <c r="A1419" t="inlineStr">
        <is>
          <t>Antes de 2026</t>
        </is>
      </c>
      <c r="B1419" t="inlineStr">
        <is>
          <t>Frete de venda</t>
        </is>
      </c>
      <c r="C1419" t="inlineStr">
        <is>
          <t>Frete de venda (para clientes)</t>
        </is>
      </c>
      <c r="D1419" t="inlineStr">
        <is>
          <t>CT-e</t>
        </is>
      </c>
      <c r="E1419" t="inlineStr">
        <is>
          <t>000004485</t>
        </is>
      </c>
      <c r="F1419" t="inlineStr">
        <is>
          <t>R&amp;R TRANSPORTE E LOGISTICA</t>
        </is>
      </c>
      <c r="G1419" s="27" t="n">
        <v>45831</v>
      </c>
      <c r="H1419" s="14" t="n">
        <v>19.9</v>
      </c>
      <c r="I1419" s="14" t="n">
        <v>0</v>
      </c>
      <c r="J1419" s="14" t="n">
        <v>0</v>
      </c>
      <c r="K1419" s="14" t="n">
        <v>0</v>
      </c>
      <c r="L1419" s="14" t="n">
        <v>0</v>
      </c>
      <c r="M1419" s="14">
        <f>IF(B1419="Frete de venda",0,(1-ISNUMBER(SEARCH("556",P1419)))*(I1419*VLOOKUP($B1419,Premissas!$A$4:$E$7,2,0)+J1419*VLOOKUP($B1419,Premissas!$A$4:$E$7,3,0))+K1419*VLOOKUP($B1419,Premissas!$A$4:$E$7,4,0)+L1419*VLOOKUP($B1419,Premissas!$A$4:$E$7,5,0))</f>
        <v/>
      </c>
      <c r="N1419" s="14">
        <f>H1419-M1419</f>
        <v/>
      </c>
      <c r="O1419" t="inlineStr">
        <is>
          <t>Não</t>
        </is>
      </c>
      <c r="P1419" t="inlineStr">
        <is>
          <t>1.350</t>
        </is>
      </c>
    </row>
    <row r="1420">
      <c r="A1420" t="inlineStr">
        <is>
          <t>Antes de 2026</t>
        </is>
      </c>
      <c r="B1420" t="inlineStr">
        <is>
          <t>Frete de venda</t>
        </is>
      </c>
      <c r="C1420" t="inlineStr">
        <is>
          <t>Frete de venda (para clientes)</t>
        </is>
      </c>
      <c r="D1420" t="inlineStr">
        <is>
          <t>CT-e</t>
        </is>
      </c>
      <c r="E1420" t="inlineStr">
        <is>
          <t>000005799</t>
        </is>
      </c>
      <c r="F1420" t="inlineStr">
        <is>
          <t>R&amp;R TRANSPORTE E LOGISTICA</t>
        </is>
      </c>
      <c r="G1420" s="27" t="n">
        <v>45981</v>
      </c>
      <c r="H1420" s="14" t="n">
        <v>10.66</v>
      </c>
      <c r="I1420" s="14" t="n">
        <v>0</v>
      </c>
      <c r="J1420" s="14" t="n">
        <v>0</v>
      </c>
      <c r="K1420" s="14" t="n">
        <v>0</v>
      </c>
      <c r="L1420" s="14" t="n">
        <v>0</v>
      </c>
      <c r="M1420" s="14">
        <f>IF(B1420="Frete de venda",0,(1-ISNUMBER(SEARCH("556",P1420)))*(I1420*VLOOKUP($B1420,Premissas!$A$4:$E$7,2,0)+J1420*VLOOKUP($B1420,Premissas!$A$4:$E$7,3,0))+K1420*VLOOKUP($B1420,Premissas!$A$4:$E$7,4,0)+L1420*VLOOKUP($B1420,Premissas!$A$4:$E$7,5,0))</f>
        <v/>
      </c>
      <c r="N1420" s="14">
        <f>H1420-M1420</f>
        <v/>
      </c>
      <c r="O1420" t="inlineStr">
        <is>
          <t>Não</t>
        </is>
      </c>
      <c r="P1420" t="inlineStr">
        <is>
          <t>1.350</t>
        </is>
      </c>
    </row>
    <row r="1421">
      <c r="A1421" t="inlineStr">
        <is>
          <t>Antes de 2026</t>
        </is>
      </c>
      <c r="B1421" t="inlineStr">
        <is>
          <t>Frete de venda</t>
        </is>
      </c>
      <c r="C1421" t="inlineStr">
        <is>
          <t>Frete de venda (para clientes)</t>
        </is>
      </c>
      <c r="D1421" t="inlineStr">
        <is>
          <t>CT-e</t>
        </is>
      </c>
      <c r="E1421" t="inlineStr">
        <is>
          <t>000004320</t>
        </is>
      </c>
      <c r="F1421" t="inlineStr">
        <is>
          <t>R&amp;R TRANSPORTE E LOGISTICA</t>
        </is>
      </c>
      <c r="G1421" s="27" t="n">
        <v>45806</v>
      </c>
      <c r="H1421" s="14" t="n">
        <v>21.87</v>
      </c>
      <c r="I1421" s="14" t="n">
        <v>0</v>
      </c>
      <c r="J1421" s="14" t="n">
        <v>0</v>
      </c>
      <c r="K1421" s="14" t="n">
        <v>0</v>
      </c>
      <c r="L1421" s="14" t="n">
        <v>0</v>
      </c>
      <c r="M1421" s="14">
        <f>IF(B1421="Frete de venda",0,(1-ISNUMBER(SEARCH("556",P1421)))*(I1421*VLOOKUP($B1421,Premissas!$A$4:$E$7,2,0)+J1421*VLOOKUP($B1421,Premissas!$A$4:$E$7,3,0))+K1421*VLOOKUP($B1421,Premissas!$A$4:$E$7,4,0)+L1421*VLOOKUP($B1421,Premissas!$A$4:$E$7,5,0))</f>
        <v/>
      </c>
      <c r="N1421" s="14">
        <f>H1421-M1421</f>
        <v/>
      </c>
      <c r="O1421" t="inlineStr">
        <is>
          <t>Não</t>
        </is>
      </c>
      <c r="P1421" t="inlineStr">
        <is>
          <t>1.350</t>
        </is>
      </c>
    </row>
    <row r="1422">
      <c r="A1422" t="inlineStr">
        <is>
          <t>Antes de 2026</t>
        </is>
      </c>
      <c r="B1422" t="inlineStr">
        <is>
          <t>Frete de venda</t>
        </is>
      </c>
      <c r="C1422" t="inlineStr">
        <is>
          <t>Frete de venda (para clientes)</t>
        </is>
      </c>
      <c r="D1422" t="inlineStr">
        <is>
          <t>CT-e</t>
        </is>
      </c>
      <c r="E1422" t="inlineStr">
        <is>
          <t>000005442</t>
        </is>
      </c>
      <c r="F1422" t="inlineStr">
        <is>
          <t>R&amp;R TRANSPORTE E LOGISTICA</t>
        </is>
      </c>
      <c r="G1422" s="27" t="n">
        <v>45940</v>
      </c>
      <c r="H1422" s="14" t="n">
        <v>20.86</v>
      </c>
      <c r="I1422" s="14" t="n">
        <v>0</v>
      </c>
      <c r="J1422" s="14" t="n">
        <v>0</v>
      </c>
      <c r="K1422" s="14" t="n">
        <v>0</v>
      </c>
      <c r="L1422" s="14" t="n">
        <v>0</v>
      </c>
      <c r="M1422" s="14">
        <f>IF(B1422="Frete de venda",0,(1-ISNUMBER(SEARCH("556",P1422)))*(I1422*VLOOKUP($B1422,Premissas!$A$4:$E$7,2,0)+J1422*VLOOKUP($B1422,Premissas!$A$4:$E$7,3,0))+K1422*VLOOKUP($B1422,Premissas!$A$4:$E$7,4,0)+L1422*VLOOKUP($B1422,Premissas!$A$4:$E$7,5,0))</f>
        <v/>
      </c>
      <c r="N1422" s="14">
        <f>H1422-M1422</f>
        <v/>
      </c>
      <c r="O1422" t="inlineStr">
        <is>
          <t>Não</t>
        </is>
      </c>
      <c r="P1422" t="inlineStr">
        <is>
          <t>1.350</t>
        </is>
      </c>
    </row>
    <row r="1423">
      <c r="A1423" t="inlineStr">
        <is>
          <t>Antes de 2026</t>
        </is>
      </c>
      <c r="B1423" t="inlineStr">
        <is>
          <t>Frete de venda</t>
        </is>
      </c>
      <c r="C1423" t="inlineStr">
        <is>
          <t>Frete de venda (para clientes)</t>
        </is>
      </c>
      <c r="D1423" t="inlineStr">
        <is>
          <t>CT-e</t>
        </is>
      </c>
      <c r="E1423" t="inlineStr">
        <is>
          <t>000005645</t>
        </is>
      </c>
      <c r="F1423" t="inlineStr">
        <is>
          <t>R&amp;R TRANSPORTE E LOGISTICA</t>
        </is>
      </c>
      <c r="G1423" s="27" t="n">
        <v>45961</v>
      </c>
      <c r="H1423" s="14" t="n">
        <v>41.88</v>
      </c>
      <c r="I1423" s="14" t="n">
        <v>0</v>
      </c>
      <c r="J1423" s="14" t="n">
        <v>0</v>
      </c>
      <c r="K1423" s="14" t="n">
        <v>0</v>
      </c>
      <c r="L1423" s="14" t="n">
        <v>0</v>
      </c>
      <c r="M1423" s="14">
        <f>IF(B1423="Frete de venda",0,(1-ISNUMBER(SEARCH("556",P1423)))*(I1423*VLOOKUP($B1423,Premissas!$A$4:$E$7,2,0)+J1423*VLOOKUP($B1423,Premissas!$A$4:$E$7,3,0))+K1423*VLOOKUP($B1423,Premissas!$A$4:$E$7,4,0)+L1423*VLOOKUP($B1423,Premissas!$A$4:$E$7,5,0))</f>
        <v/>
      </c>
      <c r="N1423" s="14">
        <f>H1423-M1423</f>
        <v/>
      </c>
      <c r="O1423" t="inlineStr">
        <is>
          <t>Não</t>
        </is>
      </c>
      <c r="P1423" t="inlineStr">
        <is>
          <t>1.350</t>
        </is>
      </c>
    </row>
    <row r="1424">
      <c r="A1424" t="inlineStr">
        <is>
          <t>Antes de 2026</t>
        </is>
      </c>
      <c r="B1424" t="inlineStr">
        <is>
          <t>Frete de venda</t>
        </is>
      </c>
      <c r="C1424" t="inlineStr">
        <is>
          <t>Frete de venda (para clientes)</t>
        </is>
      </c>
      <c r="D1424" t="inlineStr">
        <is>
          <t>CT-e</t>
        </is>
      </c>
      <c r="E1424" t="inlineStr">
        <is>
          <t>000004786</t>
        </is>
      </c>
      <c r="F1424" t="inlineStr">
        <is>
          <t>R&amp;R TRANSPORTE E LOGISTICA</t>
        </is>
      </c>
      <c r="G1424" s="27" t="n">
        <v>45868</v>
      </c>
      <c r="H1424" s="14" t="n">
        <v>33.13</v>
      </c>
      <c r="I1424" s="14" t="n">
        <v>0</v>
      </c>
      <c r="J1424" s="14" t="n">
        <v>0</v>
      </c>
      <c r="K1424" s="14" t="n">
        <v>0</v>
      </c>
      <c r="L1424" s="14" t="n">
        <v>0</v>
      </c>
      <c r="M1424" s="14">
        <f>IF(B1424="Frete de venda",0,(1-ISNUMBER(SEARCH("556",P1424)))*(I1424*VLOOKUP($B1424,Premissas!$A$4:$E$7,2,0)+J1424*VLOOKUP($B1424,Premissas!$A$4:$E$7,3,0))+K1424*VLOOKUP($B1424,Premissas!$A$4:$E$7,4,0)+L1424*VLOOKUP($B1424,Premissas!$A$4:$E$7,5,0))</f>
        <v/>
      </c>
      <c r="N1424" s="14">
        <f>H1424-M1424</f>
        <v/>
      </c>
      <c r="O1424" t="inlineStr">
        <is>
          <t>Não</t>
        </is>
      </c>
      <c r="P1424" t="inlineStr">
        <is>
          <t>1.350</t>
        </is>
      </c>
    </row>
    <row r="1425">
      <c r="A1425" t="inlineStr">
        <is>
          <t>Antes de 2026</t>
        </is>
      </c>
      <c r="B1425" t="inlineStr">
        <is>
          <t>Frete de venda</t>
        </is>
      </c>
      <c r="C1425" t="inlineStr">
        <is>
          <t>Frete de venda (para clientes)</t>
        </is>
      </c>
      <c r="D1425" t="inlineStr">
        <is>
          <t>CT-e</t>
        </is>
      </c>
      <c r="E1425" t="inlineStr">
        <is>
          <t>000004674</t>
        </is>
      </c>
      <c r="F1425" t="inlineStr">
        <is>
          <t>R&amp;R TRANSPORTE E LOGISTICA</t>
        </is>
      </c>
      <c r="G1425" s="27" t="n">
        <v>45855</v>
      </c>
      <c r="H1425" s="14" t="n">
        <v>23.74</v>
      </c>
      <c r="I1425" s="14" t="n">
        <v>0</v>
      </c>
      <c r="J1425" s="14" t="n">
        <v>0</v>
      </c>
      <c r="K1425" s="14" t="n">
        <v>0</v>
      </c>
      <c r="L1425" s="14" t="n">
        <v>0</v>
      </c>
      <c r="M1425" s="14">
        <f>IF(B1425="Frete de venda",0,(1-ISNUMBER(SEARCH("556",P1425)))*(I1425*VLOOKUP($B1425,Premissas!$A$4:$E$7,2,0)+J1425*VLOOKUP($B1425,Premissas!$A$4:$E$7,3,0))+K1425*VLOOKUP($B1425,Premissas!$A$4:$E$7,4,0)+L1425*VLOOKUP($B1425,Premissas!$A$4:$E$7,5,0))</f>
        <v/>
      </c>
      <c r="N1425" s="14">
        <f>H1425-M1425</f>
        <v/>
      </c>
      <c r="O1425" t="inlineStr">
        <is>
          <t>Não</t>
        </is>
      </c>
      <c r="P1425" t="inlineStr">
        <is>
          <t>1.350</t>
        </is>
      </c>
    </row>
    <row r="1426">
      <c r="A1426" t="inlineStr">
        <is>
          <t>Antes de 2026</t>
        </is>
      </c>
      <c r="B1426" t="inlineStr">
        <is>
          <t>Frete de venda</t>
        </is>
      </c>
      <c r="C1426" t="inlineStr">
        <is>
          <t>Frete de venda (para clientes)</t>
        </is>
      </c>
      <c r="D1426" t="inlineStr">
        <is>
          <t>CT-e</t>
        </is>
      </c>
      <c r="E1426" t="inlineStr">
        <is>
          <t>000005009</t>
        </is>
      </c>
      <c r="F1426" t="inlineStr">
        <is>
          <t>R&amp;R TRANSPORTE E LOGISTICA</t>
        </is>
      </c>
      <c r="G1426" s="27" t="n">
        <v>45895</v>
      </c>
      <c r="H1426" s="14" t="n">
        <v>101</v>
      </c>
      <c r="I1426" s="14" t="n">
        <v>0</v>
      </c>
      <c r="J1426" s="14" t="n">
        <v>0</v>
      </c>
      <c r="K1426" s="14" t="n">
        <v>0</v>
      </c>
      <c r="L1426" s="14" t="n">
        <v>0</v>
      </c>
      <c r="M1426" s="14">
        <f>IF(B1426="Frete de venda",0,(1-ISNUMBER(SEARCH("556",P1426)))*(I1426*VLOOKUP($B1426,Premissas!$A$4:$E$7,2,0)+J1426*VLOOKUP($B1426,Premissas!$A$4:$E$7,3,0))+K1426*VLOOKUP($B1426,Premissas!$A$4:$E$7,4,0)+L1426*VLOOKUP($B1426,Premissas!$A$4:$E$7,5,0))</f>
        <v/>
      </c>
      <c r="N1426" s="14">
        <f>H1426-M1426</f>
        <v/>
      </c>
      <c r="O1426" t="inlineStr">
        <is>
          <t>Não</t>
        </is>
      </c>
      <c r="P1426" t="inlineStr">
        <is>
          <t>1.350</t>
        </is>
      </c>
    </row>
    <row r="1427">
      <c r="A1427" t="inlineStr">
        <is>
          <t>Antes de 2026</t>
        </is>
      </c>
      <c r="B1427" t="inlineStr">
        <is>
          <t>Frete de venda</t>
        </is>
      </c>
      <c r="C1427" t="inlineStr">
        <is>
          <t>Frete de venda (para clientes)</t>
        </is>
      </c>
      <c r="D1427" t="inlineStr">
        <is>
          <t>CT-e</t>
        </is>
      </c>
      <c r="E1427" t="inlineStr">
        <is>
          <t>000004497</t>
        </is>
      </c>
      <c r="F1427" t="inlineStr">
        <is>
          <t>R&amp;R TRANSPORTE E LOGISTICA</t>
        </is>
      </c>
      <c r="G1427" s="27" t="n">
        <v>45831</v>
      </c>
      <c r="H1427" s="14" t="n">
        <v>20.16</v>
      </c>
      <c r="I1427" s="14" t="n">
        <v>0</v>
      </c>
      <c r="J1427" s="14" t="n">
        <v>0</v>
      </c>
      <c r="K1427" s="14" t="n">
        <v>0</v>
      </c>
      <c r="L1427" s="14" t="n">
        <v>0</v>
      </c>
      <c r="M1427" s="14">
        <f>IF(B1427="Frete de venda",0,(1-ISNUMBER(SEARCH("556",P1427)))*(I1427*VLOOKUP($B1427,Premissas!$A$4:$E$7,2,0)+J1427*VLOOKUP($B1427,Premissas!$A$4:$E$7,3,0))+K1427*VLOOKUP($B1427,Premissas!$A$4:$E$7,4,0)+L1427*VLOOKUP($B1427,Premissas!$A$4:$E$7,5,0))</f>
        <v/>
      </c>
      <c r="N1427" s="14">
        <f>H1427-M1427</f>
        <v/>
      </c>
      <c r="O1427" t="inlineStr">
        <is>
          <t>Não</t>
        </is>
      </c>
      <c r="P1427" t="inlineStr">
        <is>
          <t>1.350</t>
        </is>
      </c>
    </row>
    <row r="1428">
      <c r="A1428" t="inlineStr">
        <is>
          <t>Antes de 2026</t>
        </is>
      </c>
      <c r="B1428" t="inlineStr">
        <is>
          <t>Frete de venda</t>
        </is>
      </c>
      <c r="C1428" t="inlineStr">
        <is>
          <t>Frete de venda (para clientes)</t>
        </is>
      </c>
      <c r="D1428" t="inlineStr">
        <is>
          <t>CT-e</t>
        </is>
      </c>
      <c r="E1428" t="inlineStr">
        <is>
          <t>000005340</t>
        </is>
      </c>
      <c r="F1428" t="inlineStr">
        <is>
          <t>R&amp;R TRANSPORTE E LOGISTICA</t>
        </is>
      </c>
      <c r="G1428" s="27" t="n">
        <v>45929</v>
      </c>
      <c r="H1428" s="14" t="n">
        <v>16.5</v>
      </c>
      <c r="I1428" s="14" t="n">
        <v>0</v>
      </c>
      <c r="J1428" s="14" t="n">
        <v>0</v>
      </c>
      <c r="K1428" s="14" t="n">
        <v>0</v>
      </c>
      <c r="L1428" s="14" t="n">
        <v>0</v>
      </c>
      <c r="M1428" s="14">
        <f>IF(B1428="Frete de venda",0,(1-ISNUMBER(SEARCH("556",P1428)))*(I1428*VLOOKUP($B1428,Premissas!$A$4:$E$7,2,0)+J1428*VLOOKUP($B1428,Premissas!$A$4:$E$7,3,0))+K1428*VLOOKUP($B1428,Premissas!$A$4:$E$7,4,0)+L1428*VLOOKUP($B1428,Premissas!$A$4:$E$7,5,0))</f>
        <v/>
      </c>
      <c r="N1428" s="14">
        <f>H1428-M1428</f>
        <v/>
      </c>
      <c r="O1428" t="inlineStr">
        <is>
          <t>Não</t>
        </is>
      </c>
      <c r="P1428" t="inlineStr">
        <is>
          <t>1.350</t>
        </is>
      </c>
    </row>
    <row r="1429">
      <c r="A1429" t="inlineStr">
        <is>
          <t>Antes de 2026</t>
        </is>
      </c>
      <c r="B1429" t="inlineStr">
        <is>
          <t>Frete de venda</t>
        </is>
      </c>
      <c r="C1429" t="inlineStr">
        <is>
          <t>Frete de venda (para clientes)</t>
        </is>
      </c>
      <c r="D1429" t="inlineStr">
        <is>
          <t>CT-e</t>
        </is>
      </c>
      <c r="E1429" t="inlineStr">
        <is>
          <t>000005788</t>
        </is>
      </c>
      <c r="F1429" t="inlineStr">
        <is>
          <t>R&amp;R TRANSPORTE E LOGISTICA</t>
        </is>
      </c>
      <c r="G1429" s="27" t="n">
        <v>45981</v>
      </c>
      <c r="H1429" s="14" t="n">
        <v>19.6</v>
      </c>
      <c r="I1429" s="14" t="n">
        <v>0</v>
      </c>
      <c r="J1429" s="14" t="n">
        <v>0</v>
      </c>
      <c r="K1429" s="14" t="n">
        <v>0</v>
      </c>
      <c r="L1429" s="14" t="n">
        <v>0</v>
      </c>
      <c r="M1429" s="14">
        <f>IF(B1429="Frete de venda",0,(1-ISNUMBER(SEARCH("556",P1429)))*(I1429*VLOOKUP($B1429,Premissas!$A$4:$E$7,2,0)+J1429*VLOOKUP($B1429,Premissas!$A$4:$E$7,3,0))+K1429*VLOOKUP($B1429,Premissas!$A$4:$E$7,4,0)+L1429*VLOOKUP($B1429,Premissas!$A$4:$E$7,5,0))</f>
        <v/>
      </c>
      <c r="N1429" s="14">
        <f>H1429-M1429</f>
        <v/>
      </c>
      <c r="O1429" t="inlineStr">
        <is>
          <t>Não</t>
        </is>
      </c>
      <c r="P1429" t="inlineStr">
        <is>
          <t>1.350</t>
        </is>
      </c>
    </row>
    <row r="1430">
      <c r="A1430" t="inlineStr">
        <is>
          <t>Antes de 2026</t>
        </is>
      </c>
      <c r="B1430" t="inlineStr">
        <is>
          <t>Frete de venda</t>
        </is>
      </c>
      <c r="C1430" t="inlineStr">
        <is>
          <t>Frete de venda (para clientes)</t>
        </is>
      </c>
      <c r="D1430" t="inlineStr">
        <is>
          <t>CT-e</t>
        </is>
      </c>
      <c r="E1430" t="inlineStr">
        <is>
          <t>000004620</t>
        </is>
      </c>
      <c r="F1430" t="inlineStr">
        <is>
          <t>R&amp;R TRANSPORTE E LOGISTICA</t>
        </is>
      </c>
      <c r="G1430" s="27" t="n">
        <v>45848</v>
      </c>
      <c r="H1430" s="14" t="n">
        <v>80.53</v>
      </c>
      <c r="I1430" s="14" t="n">
        <v>0</v>
      </c>
      <c r="J1430" s="14" t="n">
        <v>0</v>
      </c>
      <c r="K1430" s="14" t="n">
        <v>0</v>
      </c>
      <c r="L1430" s="14" t="n">
        <v>0</v>
      </c>
      <c r="M1430" s="14">
        <f>IF(B1430="Frete de venda",0,(1-ISNUMBER(SEARCH("556",P1430)))*(I1430*VLOOKUP($B1430,Premissas!$A$4:$E$7,2,0)+J1430*VLOOKUP($B1430,Premissas!$A$4:$E$7,3,0))+K1430*VLOOKUP($B1430,Premissas!$A$4:$E$7,4,0)+L1430*VLOOKUP($B1430,Premissas!$A$4:$E$7,5,0))</f>
        <v/>
      </c>
      <c r="N1430" s="14">
        <f>H1430-M1430</f>
        <v/>
      </c>
      <c r="O1430" t="inlineStr">
        <is>
          <t>Não</t>
        </is>
      </c>
      <c r="P1430" t="inlineStr">
        <is>
          <t>1.350</t>
        </is>
      </c>
    </row>
    <row r="1431">
      <c r="A1431" t="inlineStr">
        <is>
          <t>Antes de 2026</t>
        </is>
      </c>
      <c r="B1431" t="inlineStr">
        <is>
          <t>Frete de venda</t>
        </is>
      </c>
      <c r="C1431" t="inlineStr">
        <is>
          <t>Frete de venda (para clientes)</t>
        </is>
      </c>
      <c r="D1431" t="inlineStr">
        <is>
          <t>CT-e</t>
        </is>
      </c>
      <c r="E1431" t="inlineStr">
        <is>
          <t>000004722</t>
        </is>
      </c>
      <c r="F1431" t="inlineStr">
        <is>
          <t>R&amp;R TRANSPORTE E LOGISTICA</t>
        </is>
      </c>
      <c r="G1431" s="27" t="n">
        <v>45861</v>
      </c>
      <c r="H1431" s="14" t="n">
        <v>49.73</v>
      </c>
      <c r="I1431" s="14" t="n">
        <v>0</v>
      </c>
      <c r="J1431" s="14" t="n">
        <v>0</v>
      </c>
      <c r="K1431" s="14" t="n">
        <v>0</v>
      </c>
      <c r="L1431" s="14" t="n">
        <v>0</v>
      </c>
      <c r="M1431" s="14">
        <f>IF(B1431="Frete de venda",0,(1-ISNUMBER(SEARCH("556",P1431)))*(I1431*VLOOKUP($B1431,Premissas!$A$4:$E$7,2,0)+J1431*VLOOKUP($B1431,Premissas!$A$4:$E$7,3,0))+K1431*VLOOKUP($B1431,Premissas!$A$4:$E$7,4,0)+L1431*VLOOKUP($B1431,Premissas!$A$4:$E$7,5,0))</f>
        <v/>
      </c>
      <c r="N1431" s="14">
        <f>H1431-M1431</f>
        <v/>
      </c>
      <c r="O1431" t="inlineStr">
        <is>
          <t>Não</t>
        </is>
      </c>
      <c r="P1431" t="inlineStr">
        <is>
          <t>1.350</t>
        </is>
      </c>
    </row>
    <row r="1432">
      <c r="A1432" t="inlineStr">
        <is>
          <t>Antes de 2026</t>
        </is>
      </c>
      <c r="B1432" t="inlineStr">
        <is>
          <t>Frete de venda</t>
        </is>
      </c>
      <c r="C1432" t="inlineStr">
        <is>
          <t>Frete de venda (para clientes)</t>
        </is>
      </c>
      <c r="D1432" t="inlineStr">
        <is>
          <t>CT-e</t>
        </is>
      </c>
      <c r="E1432" t="inlineStr">
        <is>
          <t>000005049</t>
        </is>
      </c>
      <c r="F1432" t="inlineStr">
        <is>
          <t>R&amp;R TRANSPORTE E LOGISTICA</t>
        </is>
      </c>
      <c r="G1432" s="27" t="n">
        <v>45896</v>
      </c>
      <c r="H1432" s="14" t="n">
        <v>17.37</v>
      </c>
      <c r="I1432" s="14" t="n">
        <v>0</v>
      </c>
      <c r="J1432" s="14" t="n">
        <v>0</v>
      </c>
      <c r="K1432" s="14" t="n">
        <v>0</v>
      </c>
      <c r="L1432" s="14" t="n">
        <v>0</v>
      </c>
      <c r="M1432" s="14">
        <f>IF(B1432="Frete de venda",0,(1-ISNUMBER(SEARCH("556",P1432)))*(I1432*VLOOKUP($B1432,Premissas!$A$4:$E$7,2,0)+J1432*VLOOKUP($B1432,Premissas!$A$4:$E$7,3,0))+K1432*VLOOKUP($B1432,Premissas!$A$4:$E$7,4,0)+L1432*VLOOKUP($B1432,Premissas!$A$4:$E$7,5,0))</f>
        <v/>
      </c>
      <c r="N1432" s="14">
        <f>H1432-M1432</f>
        <v/>
      </c>
      <c r="O1432" t="inlineStr">
        <is>
          <t>Não</t>
        </is>
      </c>
      <c r="P1432" t="inlineStr">
        <is>
          <t>1.350</t>
        </is>
      </c>
    </row>
    <row r="1433">
      <c r="A1433" t="inlineStr">
        <is>
          <t>Antes de 2026</t>
        </is>
      </c>
      <c r="B1433" t="inlineStr">
        <is>
          <t>Frete de venda</t>
        </is>
      </c>
      <c r="C1433" t="inlineStr">
        <is>
          <t>Frete de venda (para clientes)</t>
        </is>
      </c>
      <c r="D1433" t="inlineStr">
        <is>
          <t>CT-e</t>
        </is>
      </c>
      <c r="E1433" t="inlineStr">
        <is>
          <t>000004593</t>
        </is>
      </c>
      <c r="F1433" t="inlineStr">
        <is>
          <t>R&amp;R TRANSPORTE E LOGISTICA</t>
        </is>
      </c>
      <c r="G1433" s="27" t="n">
        <v>45842</v>
      </c>
      <c r="H1433" s="14" t="n">
        <v>40.72</v>
      </c>
      <c r="I1433" s="14" t="n">
        <v>0</v>
      </c>
      <c r="J1433" s="14" t="n">
        <v>0</v>
      </c>
      <c r="K1433" s="14" t="n">
        <v>0</v>
      </c>
      <c r="L1433" s="14" t="n">
        <v>0</v>
      </c>
      <c r="M1433" s="14">
        <f>IF(B1433="Frete de venda",0,(1-ISNUMBER(SEARCH("556",P1433)))*(I1433*VLOOKUP($B1433,Premissas!$A$4:$E$7,2,0)+J1433*VLOOKUP($B1433,Premissas!$A$4:$E$7,3,0))+K1433*VLOOKUP($B1433,Premissas!$A$4:$E$7,4,0)+L1433*VLOOKUP($B1433,Premissas!$A$4:$E$7,5,0))</f>
        <v/>
      </c>
      <c r="N1433" s="14">
        <f>H1433-M1433</f>
        <v/>
      </c>
      <c r="O1433" t="inlineStr">
        <is>
          <t>Não</t>
        </is>
      </c>
      <c r="P1433" t="inlineStr">
        <is>
          <t>1.350</t>
        </is>
      </c>
    </row>
    <row r="1434">
      <c r="A1434" t="inlineStr">
        <is>
          <t>Antes de 2026</t>
        </is>
      </c>
      <c r="B1434" t="inlineStr">
        <is>
          <t>Frete de venda</t>
        </is>
      </c>
      <c r="C1434" t="inlineStr">
        <is>
          <t>Frete de venda (para clientes)</t>
        </is>
      </c>
      <c r="D1434" t="inlineStr">
        <is>
          <t>CT-e</t>
        </is>
      </c>
      <c r="E1434" t="inlineStr">
        <is>
          <t>000005405</t>
        </is>
      </c>
      <c r="F1434" t="inlineStr">
        <is>
          <t>R&amp;R TRANSPORTE E LOGISTICA</t>
        </is>
      </c>
      <c r="G1434" s="27" t="n">
        <v>45937</v>
      </c>
      <c r="H1434" s="14" t="n">
        <v>28.37</v>
      </c>
      <c r="I1434" s="14" t="n">
        <v>0</v>
      </c>
      <c r="J1434" s="14" t="n">
        <v>0</v>
      </c>
      <c r="K1434" s="14" t="n">
        <v>0</v>
      </c>
      <c r="L1434" s="14" t="n">
        <v>0</v>
      </c>
      <c r="M1434" s="14">
        <f>IF(B1434="Frete de venda",0,(1-ISNUMBER(SEARCH("556",P1434)))*(I1434*VLOOKUP($B1434,Premissas!$A$4:$E$7,2,0)+J1434*VLOOKUP($B1434,Premissas!$A$4:$E$7,3,0))+K1434*VLOOKUP($B1434,Premissas!$A$4:$E$7,4,0)+L1434*VLOOKUP($B1434,Premissas!$A$4:$E$7,5,0))</f>
        <v/>
      </c>
      <c r="N1434" s="14">
        <f>H1434-M1434</f>
        <v/>
      </c>
      <c r="O1434" t="inlineStr">
        <is>
          <t>Não</t>
        </is>
      </c>
      <c r="P1434" t="inlineStr">
        <is>
          <t>1.350</t>
        </is>
      </c>
    </row>
    <row r="1435">
      <c r="A1435" t="inlineStr">
        <is>
          <t>Antes de 2026</t>
        </is>
      </c>
      <c r="B1435" t="inlineStr">
        <is>
          <t>Frete de venda</t>
        </is>
      </c>
      <c r="C1435" t="inlineStr">
        <is>
          <t>Frete de venda (para clientes)</t>
        </is>
      </c>
      <c r="D1435" t="inlineStr">
        <is>
          <t>CT-e</t>
        </is>
      </c>
      <c r="E1435" t="inlineStr">
        <is>
          <t>000004140</t>
        </is>
      </c>
      <c r="F1435" t="inlineStr">
        <is>
          <t>R&amp;R TRANSPORTE E LOGISTICA</t>
        </is>
      </c>
      <c r="G1435" s="27" t="n">
        <v>45783</v>
      </c>
      <c r="H1435" s="14" t="n">
        <v>22.46</v>
      </c>
      <c r="I1435" s="14" t="n">
        <v>0</v>
      </c>
      <c r="J1435" s="14" t="n">
        <v>0</v>
      </c>
      <c r="K1435" s="14" t="n">
        <v>0</v>
      </c>
      <c r="L1435" s="14" t="n">
        <v>0</v>
      </c>
      <c r="M1435" s="14">
        <f>IF(B1435="Frete de venda",0,(1-ISNUMBER(SEARCH("556",P1435)))*(I1435*VLOOKUP($B1435,Premissas!$A$4:$E$7,2,0)+J1435*VLOOKUP($B1435,Premissas!$A$4:$E$7,3,0))+K1435*VLOOKUP($B1435,Premissas!$A$4:$E$7,4,0)+L1435*VLOOKUP($B1435,Premissas!$A$4:$E$7,5,0))</f>
        <v/>
      </c>
      <c r="N1435" s="14">
        <f>H1435-M1435</f>
        <v/>
      </c>
      <c r="O1435" t="inlineStr">
        <is>
          <t>Não</t>
        </is>
      </c>
      <c r="P1435" t="inlineStr">
        <is>
          <t>1.350</t>
        </is>
      </c>
    </row>
    <row r="1436">
      <c r="A1436" t="inlineStr">
        <is>
          <t>Antes de 2026</t>
        </is>
      </c>
      <c r="B1436" t="inlineStr">
        <is>
          <t>Frete de venda</t>
        </is>
      </c>
      <c r="C1436" t="inlineStr">
        <is>
          <t>Frete de venda (para clientes)</t>
        </is>
      </c>
      <c r="D1436" t="inlineStr">
        <is>
          <t>CT-e</t>
        </is>
      </c>
      <c r="E1436" t="inlineStr">
        <is>
          <t>000004204</t>
        </is>
      </c>
      <c r="F1436" t="inlineStr">
        <is>
          <t>R&amp;R TRANSPORTE E LOGISTICA</t>
        </is>
      </c>
      <c r="G1436" s="27" t="n">
        <v>45790</v>
      </c>
      <c r="H1436" s="14" t="n">
        <v>20.72</v>
      </c>
      <c r="I1436" s="14" t="n">
        <v>0</v>
      </c>
      <c r="J1436" s="14" t="n">
        <v>0</v>
      </c>
      <c r="K1436" s="14" t="n">
        <v>0</v>
      </c>
      <c r="L1436" s="14" t="n">
        <v>0</v>
      </c>
      <c r="M1436" s="14">
        <f>IF(B1436="Frete de venda",0,(1-ISNUMBER(SEARCH("556",P1436)))*(I1436*VLOOKUP($B1436,Premissas!$A$4:$E$7,2,0)+J1436*VLOOKUP($B1436,Premissas!$A$4:$E$7,3,0))+K1436*VLOOKUP($B1436,Premissas!$A$4:$E$7,4,0)+L1436*VLOOKUP($B1436,Premissas!$A$4:$E$7,5,0))</f>
        <v/>
      </c>
      <c r="N1436" s="14">
        <f>H1436-M1436</f>
        <v/>
      </c>
      <c r="O1436" t="inlineStr">
        <is>
          <t>Não</t>
        </is>
      </c>
      <c r="P1436" t="inlineStr">
        <is>
          <t>1.350</t>
        </is>
      </c>
    </row>
    <row r="1437">
      <c r="A1437" t="inlineStr">
        <is>
          <t>Antes de 2026</t>
        </is>
      </c>
      <c r="B1437" t="inlineStr">
        <is>
          <t>Frete de venda</t>
        </is>
      </c>
      <c r="C1437" t="inlineStr">
        <is>
          <t>Frete de venda (para clientes)</t>
        </is>
      </c>
      <c r="D1437" t="inlineStr">
        <is>
          <t>CT-e</t>
        </is>
      </c>
      <c r="E1437" t="inlineStr">
        <is>
          <t>000004825</t>
        </is>
      </c>
      <c r="F1437" t="inlineStr">
        <is>
          <t>R&amp;R TRANSPORTE E LOGISTICA</t>
        </is>
      </c>
      <c r="G1437" s="27" t="n">
        <v>45870</v>
      </c>
      <c r="H1437" s="14" t="n">
        <v>15.54</v>
      </c>
      <c r="I1437" s="14" t="n">
        <v>0</v>
      </c>
      <c r="J1437" s="14" t="n">
        <v>0</v>
      </c>
      <c r="K1437" s="14" t="n">
        <v>0</v>
      </c>
      <c r="L1437" s="14" t="n">
        <v>0</v>
      </c>
      <c r="M1437" s="14">
        <f>IF(B1437="Frete de venda",0,(1-ISNUMBER(SEARCH("556",P1437)))*(I1437*VLOOKUP($B1437,Premissas!$A$4:$E$7,2,0)+J1437*VLOOKUP($B1437,Premissas!$A$4:$E$7,3,0))+K1437*VLOOKUP($B1437,Premissas!$A$4:$E$7,4,0)+L1437*VLOOKUP($B1437,Premissas!$A$4:$E$7,5,0))</f>
        <v/>
      </c>
      <c r="N1437" s="14">
        <f>H1437-M1437</f>
        <v/>
      </c>
      <c r="O1437" t="inlineStr">
        <is>
          <t>Não</t>
        </is>
      </c>
      <c r="P1437" t="inlineStr">
        <is>
          <t>1.350</t>
        </is>
      </c>
    </row>
    <row r="1438">
      <c r="A1438" t="inlineStr">
        <is>
          <t>Antes de 2026</t>
        </is>
      </c>
      <c r="B1438" t="inlineStr">
        <is>
          <t>Frete de venda</t>
        </is>
      </c>
      <c r="C1438" t="inlineStr">
        <is>
          <t>Frete de venda (para clientes)</t>
        </is>
      </c>
      <c r="D1438" t="inlineStr">
        <is>
          <t>CT-e</t>
        </is>
      </c>
      <c r="E1438" t="inlineStr">
        <is>
          <t>000005026</t>
        </is>
      </c>
      <c r="F1438" t="inlineStr">
        <is>
          <t>R&amp;R TRANSPORTE E LOGISTICA</t>
        </is>
      </c>
      <c r="G1438" s="27" t="n">
        <v>45895</v>
      </c>
      <c r="H1438" s="14" t="n">
        <v>15.32</v>
      </c>
      <c r="I1438" s="14" t="n">
        <v>0</v>
      </c>
      <c r="J1438" s="14" t="n">
        <v>0</v>
      </c>
      <c r="K1438" s="14" t="n">
        <v>0</v>
      </c>
      <c r="L1438" s="14" t="n">
        <v>0</v>
      </c>
      <c r="M1438" s="14">
        <f>IF(B1438="Frete de venda",0,(1-ISNUMBER(SEARCH("556",P1438)))*(I1438*VLOOKUP($B1438,Premissas!$A$4:$E$7,2,0)+J1438*VLOOKUP($B1438,Premissas!$A$4:$E$7,3,0))+K1438*VLOOKUP($B1438,Premissas!$A$4:$E$7,4,0)+L1438*VLOOKUP($B1438,Premissas!$A$4:$E$7,5,0))</f>
        <v/>
      </c>
      <c r="N1438" s="14">
        <f>H1438-M1438</f>
        <v/>
      </c>
      <c r="O1438" t="inlineStr">
        <is>
          <t>Não</t>
        </is>
      </c>
      <c r="P1438" t="inlineStr">
        <is>
          <t>1.350</t>
        </is>
      </c>
    </row>
    <row r="1439">
      <c r="A1439" t="inlineStr">
        <is>
          <t>Antes de 2026</t>
        </is>
      </c>
      <c r="B1439" t="inlineStr">
        <is>
          <t>Frete de venda</t>
        </is>
      </c>
      <c r="C1439" t="inlineStr">
        <is>
          <t>Frete de venda (para clientes)</t>
        </is>
      </c>
      <c r="D1439" t="inlineStr">
        <is>
          <t>CT-e</t>
        </is>
      </c>
      <c r="E1439" t="inlineStr">
        <is>
          <t>000005558</t>
        </is>
      </c>
      <c r="F1439" t="inlineStr">
        <is>
          <t>R&amp;R TRANSPORTE E LOGISTICA</t>
        </is>
      </c>
      <c r="G1439" s="27" t="n">
        <v>45955</v>
      </c>
      <c r="H1439" s="14" t="n">
        <v>20.76</v>
      </c>
      <c r="I1439" s="14" t="n">
        <v>0</v>
      </c>
      <c r="J1439" s="14" t="n">
        <v>0</v>
      </c>
      <c r="K1439" s="14" t="n">
        <v>0</v>
      </c>
      <c r="L1439" s="14" t="n">
        <v>0</v>
      </c>
      <c r="M1439" s="14">
        <f>IF(B1439="Frete de venda",0,(1-ISNUMBER(SEARCH("556",P1439)))*(I1439*VLOOKUP($B1439,Premissas!$A$4:$E$7,2,0)+J1439*VLOOKUP($B1439,Premissas!$A$4:$E$7,3,0))+K1439*VLOOKUP($B1439,Premissas!$A$4:$E$7,4,0)+L1439*VLOOKUP($B1439,Premissas!$A$4:$E$7,5,0))</f>
        <v/>
      </c>
      <c r="N1439" s="14">
        <f>H1439-M1439</f>
        <v/>
      </c>
      <c r="O1439" t="inlineStr">
        <is>
          <t>Não</t>
        </is>
      </c>
      <c r="P1439" t="inlineStr">
        <is>
          <t>1.350</t>
        </is>
      </c>
    </row>
    <row r="1440">
      <c r="A1440" t="inlineStr">
        <is>
          <t>Antes de 2026</t>
        </is>
      </c>
      <c r="B1440" t="inlineStr">
        <is>
          <t>Frete de venda</t>
        </is>
      </c>
      <c r="C1440" t="inlineStr">
        <is>
          <t>Frete de venda (para clientes)</t>
        </is>
      </c>
      <c r="D1440" t="inlineStr">
        <is>
          <t>CT-e</t>
        </is>
      </c>
      <c r="E1440" t="inlineStr">
        <is>
          <t>000006035</t>
        </is>
      </c>
      <c r="F1440" t="inlineStr">
        <is>
          <t>R&amp;R TRANSPORTE E LOGISTICA</t>
        </is>
      </c>
      <c r="G1440" s="27" t="n">
        <v>46011</v>
      </c>
      <c r="H1440" s="14" t="n">
        <v>29.5</v>
      </c>
      <c r="I1440" s="14" t="n">
        <v>0</v>
      </c>
      <c r="J1440" s="14" t="n">
        <v>0</v>
      </c>
      <c r="K1440" s="14" t="n">
        <v>0</v>
      </c>
      <c r="L1440" s="14" t="n">
        <v>0</v>
      </c>
      <c r="M1440" s="14">
        <f>IF(B1440="Frete de venda",0,(1-ISNUMBER(SEARCH("556",P1440)))*(I1440*VLOOKUP($B1440,Premissas!$A$4:$E$7,2,0)+J1440*VLOOKUP($B1440,Premissas!$A$4:$E$7,3,0))+K1440*VLOOKUP($B1440,Premissas!$A$4:$E$7,4,0)+L1440*VLOOKUP($B1440,Premissas!$A$4:$E$7,5,0))</f>
        <v/>
      </c>
      <c r="N1440" s="14">
        <f>H1440-M1440</f>
        <v/>
      </c>
      <c r="O1440" t="inlineStr">
        <is>
          <t>Não</t>
        </is>
      </c>
      <c r="P1440" t="inlineStr">
        <is>
          <t>1.350</t>
        </is>
      </c>
    </row>
    <row r="1441">
      <c r="A1441" t="inlineStr">
        <is>
          <t>Antes de 2026</t>
        </is>
      </c>
      <c r="B1441" t="inlineStr">
        <is>
          <t>Frete de venda</t>
        </is>
      </c>
      <c r="C1441" t="inlineStr">
        <is>
          <t>Frete de venda (para clientes)</t>
        </is>
      </c>
      <c r="D1441" t="inlineStr">
        <is>
          <t>CT-e</t>
        </is>
      </c>
      <c r="E1441" t="inlineStr">
        <is>
          <t>000004494</t>
        </is>
      </c>
      <c r="F1441" t="inlineStr">
        <is>
          <t>R&amp;R TRANSPORTE E LOGISTICA</t>
        </is>
      </c>
      <c r="G1441" s="27" t="n">
        <v>45831</v>
      </c>
      <c r="H1441" s="14" t="n">
        <v>14.29</v>
      </c>
      <c r="I1441" s="14" t="n">
        <v>0</v>
      </c>
      <c r="J1441" s="14" t="n">
        <v>0</v>
      </c>
      <c r="K1441" s="14" t="n">
        <v>0</v>
      </c>
      <c r="L1441" s="14" t="n">
        <v>0</v>
      </c>
      <c r="M1441" s="14">
        <f>IF(B1441="Frete de venda",0,(1-ISNUMBER(SEARCH("556",P1441)))*(I1441*VLOOKUP($B1441,Premissas!$A$4:$E$7,2,0)+J1441*VLOOKUP($B1441,Premissas!$A$4:$E$7,3,0))+K1441*VLOOKUP($B1441,Premissas!$A$4:$E$7,4,0)+L1441*VLOOKUP($B1441,Premissas!$A$4:$E$7,5,0))</f>
        <v/>
      </c>
      <c r="N1441" s="14">
        <f>H1441-M1441</f>
        <v/>
      </c>
      <c r="O1441" t="inlineStr">
        <is>
          <t>Não</t>
        </is>
      </c>
      <c r="P1441" t="inlineStr">
        <is>
          <t>1.350</t>
        </is>
      </c>
    </row>
    <row r="1442">
      <c r="A1442" t="inlineStr">
        <is>
          <t>Antes de 2026</t>
        </is>
      </c>
      <c r="B1442" t="inlineStr">
        <is>
          <t>Frete de venda</t>
        </is>
      </c>
      <c r="C1442" t="inlineStr">
        <is>
          <t>Frete de venda (para clientes)</t>
        </is>
      </c>
      <c r="D1442" t="inlineStr">
        <is>
          <t>CT-e</t>
        </is>
      </c>
      <c r="E1442" t="inlineStr">
        <is>
          <t>000004830</t>
        </is>
      </c>
      <c r="F1442" t="inlineStr">
        <is>
          <t>R&amp;R TRANSPORTE E LOGISTICA</t>
        </is>
      </c>
      <c r="G1442" s="27" t="n">
        <v>45870</v>
      </c>
      <c r="H1442" s="14" t="n">
        <v>13.87</v>
      </c>
      <c r="I1442" s="14" t="n">
        <v>0</v>
      </c>
      <c r="J1442" s="14" t="n">
        <v>0</v>
      </c>
      <c r="K1442" s="14" t="n">
        <v>0</v>
      </c>
      <c r="L1442" s="14" t="n">
        <v>0</v>
      </c>
      <c r="M1442" s="14">
        <f>IF(B1442="Frete de venda",0,(1-ISNUMBER(SEARCH("556",P1442)))*(I1442*VLOOKUP($B1442,Premissas!$A$4:$E$7,2,0)+J1442*VLOOKUP($B1442,Premissas!$A$4:$E$7,3,0))+K1442*VLOOKUP($B1442,Premissas!$A$4:$E$7,4,0)+L1442*VLOOKUP($B1442,Premissas!$A$4:$E$7,5,0))</f>
        <v/>
      </c>
      <c r="N1442" s="14">
        <f>H1442-M1442</f>
        <v/>
      </c>
      <c r="O1442" t="inlineStr">
        <is>
          <t>Não</t>
        </is>
      </c>
      <c r="P1442" t="inlineStr">
        <is>
          <t>1.350</t>
        </is>
      </c>
    </row>
    <row r="1443">
      <c r="A1443" t="inlineStr">
        <is>
          <t>Antes de 2026</t>
        </is>
      </c>
      <c r="B1443" t="inlineStr">
        <is>
          <t>Frete de venda</t>
        </is>
      </c>
      <c r="C1443" t="inlineStr">
        <is>
          <t>Frete de venda (para clientes)</t>
        </is>
      </c>
      <c r="D1443" t="inlineStr">
        <is>
          <t>CT-e</t>
        </is>
      </c>
      <c r="E1443" t="inlineStr">
        <is>
          <t>000005328</t>
        </is>
      </c>
      <c r="F1443" t="inlineStr">
        <is>
          <t>R&amp;R TRANSPORTE E LOGISTICA</t>
        </is>
      </c>
      <c r="G1443" s="27" t="n">
        <v>45929</v>
      </c>
      <c r="H1443" s="14" t="n">
        <v>12.21</v>
      </c>
      <c r="I1443" s="14" t="n">
        <v>0</v>
      </c>
      <c r="J1443" s="14" t="n">
        <v>0</v>
      </c>
      <c r="K1443" s="14" t="n">
        <v>0</v>
      </c>
      <c r="L1443" s="14" t="n">
        <v>0</v>
      </c>
      <c r="M1443" s="14">
        <f>IF(B1443="Frete de venda",0,(1-ISNUMBER(SEARCH("556",P1443)))*(I1443*VLOOKUP($B1443,Premissas!$A$4:$E$7,2,0)+J1443*VLOOKUP($B1443,Premissas!$A$4:$E$7,3,0))+K1443*VLOOKUP($B1443,Premissas!$A$4:$E$7,4,0)+L1443*VLOOKUP($B1443,Premissas!$A$4:$E$7,5,0))</f>
        <v/>
      </c>
      <c r="N1443" s="14">
        <f>H1443-M1443</f>
        <v/>
      </c>
      <c r="O1443" t="inlineStr">
        <is>
          <t>Não</t>
        </is>
      </c>
      <c r="P1443" t="inlineStr">
        <is>
          <t>1.350</t>
        </is>
      </c>
    </row>
    <row r="1444">
      <c r="A1444" t="inlineStr">
        <is>
          <t>Antes de 2026</t>
        </is>
      </c>
      <c r="B1444" t="inlineStr">
        <is>
          <t>Frete de venda</t>
        </is>
      </c>
      <c r="C1444" t="inlineStr">
        <is>
          <t>Frete de venda (para clientes)</t>
        </is>
      </c>
      <c r="D1444" t="inlineStr">
        <is>
          <t>CT-e</t>
        </is>
      </c>
      <c r="E1444" t="inlineStr">
        <is>
          <t>000004492</t>
        </is>
      </c>
      <c r="F1444" t="inlineStr">
        <is>
          <t>R&amp;R TRANSPORTE E LOGISTICA</t>
        </is>
      </c>
      <c r="G1444" s="27" t="n">
        <v>45831</v>
      </c>
      <c r="H1444" s="14" t="n">
        <v>14.21</v>
      </c>
      <c r="I1444" s="14" t="n">
        <v>0</v>
      </c>
      <c r="J1444" s="14" t="n">
        <v>0</v>
      </c>
      <c r="K1444" s="14" t="n">
        <v>0</v>
      </c>
      <c r="L1444" s="14" t="n">
        <v>0</v>
      </c>
      <c r="M1444" s="14">
        <f>IF(B1444="Frete de venda",0,(1-ISNUMBER(SEARCH("556",P1444)))*(I1444*VLOOKUP($B1444,Premissas!$A$4:$E$7,2,0)+J1444*VLOOKUP($B1444,Premissas!$A$4:$E$7,3,0))+K1444*VLOOKUP($B1444,Premissas!$A$4:$E$7,4,0)+L1444*VLOOKUP($B1444,Premissas!$A$4:$E$7,5,0))</f>
        <v/>
      </c>
      <c r="N1444" s="14">
        <f>H1444-M1444</f>
        <v/>
      </c>
      <c r="O1444" t="inlineStr">
        <is>
          <t>Não</t>
        </is>
      </c>
      <c r="P1444" t="inlineStr">
        <is>
          <t>1.350</t>
        </is>
      </c>
    </row>
    <row r="1445">
      <c r="A1445" t="inlineStr">
        <is>
          <t>Antes de 2026</t>
        </is>
      </c>
      <c r="B1445" t="inlineStr">
        <is>
          <t>Frete de venda</t>
        </is>
      </c>
      <c r="C1445" t="inlineStr">
        <is>
          <t>Frete de venda (para clientes)</t>
        </is>
      </c>
      <c r="D1445" t="inlineStr">
        <is>
          <t>CT-e</t>
        </is>
      </c>
      <c r="E1445" t="inlineStr">
        <is>
          <t>000005331</t>
        </is>
      </c>
      <c r="F1445" t="inlineStr">
        <is>
          <t>R&amp;R TRANSPORTE E LOGISTICA</t>
        </is>
      </c>
      <c r="G1445" s="27" t="n">
        <v>45929</v>
      </c>
      <c r="H1445" s="14" t="n">
        <v>16.55</v>
      </c>
      <c r="I1445" s="14" t="n">
        <v>0</v>
      </c>
      <c r="J1445" s="14" t="n">
        <v>0</v>
      </c>
      <c r="K1445" s="14" t="n">
        <v>0</v>
      </c>
      <c r="L1445" s="14" t="n">
        <v>0</v>
      </c>
      <c r="M1445" s="14">
        <f>IF(B1445="Frete de venda",0,(1-ISNUMBER(SEARCH("556",P1445)))*(I1445*VLOOKUP($B1445,Premissas!$A$4:$E$7,2,0)+J1445*VLOOKUP($B1445,Premissas!$A$4:$E$7,3,0))+K1445*VLOOKUP($B1445,Premissas!$A$4:$E$7,4,0)+L1445*VLOOKUP($B1445,Premissas!$A$4:$E$7,5,0))</f>
        <v/>
      </c>
      <c r="N1445" s="14">
        <f>H1445-M1445</f>
        <v/>
      </c>
      <c r="O1445" t="inlineStr">
        <is>
          <t>Não</t>
        </is>
      </c>
      <c r="P1445" t="inlineStr">
        <is>
          <t>1.350</t>
        </is>
      </c>
    </row>
    <row r="1446">
      <c r="A1446" t="inlineStr">
        <is>
          <t>Antes de 2026</t>
        </is>
      </c>
      <c r="B1446" t="inlineStr">
        <is>
          <t>Frete de venda</t>
        </is>
      </c>
      <c r="C1446" t="inlineStr">
        <is>
          <t>Frete de venda (para clientes)</t>
        </is>
      </c>
      <c r="D1446" t="inlineStr">
        <is>
          <t>CT-e</t>
        </is>
      </c>
      <c r="E1446" t="inlineStr">
        <is>
          <t>000005563</t>
        </is>
      </c>
      <c r="F1446" t="inlineStr">
        <is>
          <t>R&amp;R TRANSPORTE E LOGISTICA</t>
        </is>
      </c>
      <c r="G1446" s="27" t="n">
        <v>45955</v>
      </c>
      <c r="H1446" s="14" t="n">
        <v>38.53</v>
      </c>
      <c r="I1446" s="14" t="n">
        <v>0</v>
      </c>
      <c r="J1446" s="14" t="n">
        <v>0</v>
      </c>
      <c r="K1446" s="14" t="n">
        <v>0</v>
      </c>
      <c r="L1446" s="14" t="n">
        <v>0</v>
      </c>
      <c r="M1446" s="14">
        <f>IF(B1446="Frete de venda",0,(1-ISNUMBER(SEARCH("556",P1446)))*(I1446*VLOOKUP($B1446,Premissas!$A$4:$E$7,2,0)+J1446*VLOOKUP($B1446,Premissas!$A$4:$E$7,3,0))+K1446*VLOOKUP($B1446,Premissas!$A$4:$E$7,4,0)+L1446*VLOOKUP($B1446,Premissas!$A$4:$E$7,5,0))</f>
        <v/>
      </c>
      <c r="N1446" s="14">
        <f>H1446-M1446</f>
        <v/>
      </c>
      <c r="O1446" t="inlineStr">
        <is>
          <t>Não</t>
        </is>
      </c>
      <c r="P1446" t="inlineStr">
        <is>
          <t>1.350</t>
        </is>
      </c>
    </row>
    <row r="1447">
      <c r="A1447" t="inlineStr">
        <is>
          <t>Antes de 2026</t>
        </is>
      </c>
      <c r="B1447" t="inlineStr">
        <is>
          <t>Frete de venda</t>
        </is>
      </c>
      <c r="C1447" t="inlineStr">
        <is>
          <t>Frete de venda (para clientes)</t>
        </is>
      </c>
      <c r="D1447" t="inlineStr">
        <is>
          <t>CT-e</t>
        </is>
      </c>
      <c r="E1447" t="inlineStr">
        <is>
          <t>000004229</t>
        </is>
      </c>
      <c r="F1447" t="inlineStr">
        <is>
          <t>R&amp;R TRANSPORTE E LOGISTICA</t>
        </is>
      </c>
      <c r="G1447" s="27" t="n">
        <v>45792</v>
      </c>
      <c r="H1447" s="14" t="n">
        <v>700</v>
      </c>
      <c r="I1447" s="14" t="n">
        <v>0</v>
      </c>
      <c r="J1447" s="14" t="n">
        <v>0</v>
      </c>
      <c r="K1447" s="14" t="n">
        <v>0</v>
      </c>
      <c r="L1447" s="14" t="n">
        <v>0</v>
      </c>
      <c r="M1447" s="14">
        <f>IF(B1447="Frete de venda",0,(1-ISNUMBER(SEARCH("556",P1447)))*(I1447*VLOOKUP($B1447,Premissas!$A$4:$E$7,2,0)+J1447*VLOOKUP($B1447,Premissas!$A$4:$E$7,3,0))+K1447*VLOOKUP($B1447,Premissas!$A$4:$E$7,4,0)+L1447*VLOOKUP($B1447,Premissas!$A$4:$E$7,5,0))</f>
        <v/>
      </c>
      <c r="N1447" s="14">
        <f>H1447-M1447</f>
        <v/>
      </c>
      <c r="O1447" t="inlineStr">
        <is>
          <t>Não</t>
        </is>
      </c>
      <c r="P1447" t="inlineStr">
        <is>
          <t>1.350</t>
        </is>
      </c>
    </row>
    <row r="1448">
      <c r="A1448" t="inlineStr">
        <is>
          <t>Antes de 2026</t>
        </is>
      </c>
      <c r="B1448" t="inlineStr">
        <is>
          <t>Frete de venda</t>
        </is>
      </c>
      <c r="C1448" t="inlineStr">
        <is>
          <t>Frete de venda (para clientes)</t>
        </is>
      </c>
      <c r="D1448" t="inlineStr">
        <is>
          <t>CT-e</t>
        </is>
      </c>
      <c r="E1448" t="inlineStr">
        <is>
          <t>000005647</t>
        </is>
      </c>
      <c r="F1448" t="inlineStr">
        <is>
          <t>R&amp;R TRANSPORTE E LOGISTICA</t>
        </is>
      </c>
      <c r="G1448" s="27" t="n">
        <v>45961</v>
      </c>
      <c r="H1448" s="14" t="n">
        <v>41.17</v>
      </c>
      <c r="I1448" s="14" t="n">
        <v>0</v>
      </c>
      <c r="J1448" s="14" t="n">
        <v>0</v>
      </c>
      <c r="K1448" s="14" t="n">
        <v>0</v>
      </c>
      <c r="L1448" s="14" t="n">
        <v>0</v>
      </c>
      <c r="M1448" s="14">
        <f>IF(B1448="Frete de venda",0,(1-ISNUMBER(SEARCH("556",P1448)))*(I1448*VLOOKUP($B1448,Premissas!$A$4:$E$7,2,0)+J1448*VLOOKUP($B1448,Premissas!$A$4:$E$7,3,0))+K1448*VLOOKUP($B1448,Premissas!$A$4:$E$7,4,0)+L1448*VLOOKUP($B1448,Premissas!$A$4:$E$7,5,0))</f>
        <v/>
      </c>
      <c r="N1448" s="14">
        <f>H1448-M1448</f>
        <v/>
      </c>
      <c r="O1448" t="inlineStr">
        <is>
          <t>Não</t>
        </is>
      </c>
      <c r="P1448" t="inlineStr">
        <is>
          <t>1.350</t>
        </is>
      </c>
    </row>
    <row r="1449">
      <c r="A1449" t="inlineStr">
        <is>
          <t>Antes de 2026</t>
        </is>
      </c>
      <c r="B1449" t="inlineStr">
        <is>
          <t>Frete de venda</t>
        </is>
      </c>
      <c r="C1449" t="inlineStr">
        <is>
          <t>Frete de venda (para clientes)</t>
        </is>
      </c>
      <c r="D1449" t="inlineStr">
        <is>
          <t>CT-e</t>
        </is>
      </c>
      <c r="E1449" t="inlineStr">
        <is>
          <t>000005406</t>
        </is>
      </c>
      <c r="F1449" t="inlineStr">
        <is>
          <t>R&amp;R TRANSPORTE E LOGISTICA</t>
        </is>
      </c>
      <c r="G1449" s="27" t="n">
        <v>45937</v>
      </c>
      <c r="H1449" s="14" t="n">
        <v>44.09</v>
      </c>
      <c r="I1449" s="14" t="n">
        <v>0</v>
      </c>
      <c r="J1449" s="14" t="n">
        <v>0</v>
      </c>
      <c r="K1449" s="14" t="n">
        <v>0</v>
      </c>
      <c r="L1449" s="14" t="n">
        <v>0</v>
      </c>
      <c r="M1449" s="14">
        <f>IF(B1449="Frete de venda",0,(1-ISNUMBER(SEARCH("556",P1449)))*(I1449*VLOOKUP($B1449,Premissas!$A$4:$E$7,2,0)+J1449*VLOOKUP($B1449,Premissas!$A$4:$E$7,3,0))+K1449*VLOOKUP($B1449,Premissas!$A$4:$E$7,4,0)+L1449*VLOOKUP($B1449,Premissas!$A$4:$E$7,5,0))</f>
        <v/>
      </c>
      <c r="N1449" s="14">
        <f>H1449-M1449</f>
        <v/>
      </c>
      <c r="O1449" t="inlineStr">
        <is>
          <t>Não</t>
        </is>
      </c>
      <c r="P1449" t="inlineStr">
        <is>
          <t>1.350</t>
        </is>
      </c>
    </row>
    <row r="1450">
      <c r="A1450" t="inlineStr">
        <is>
          <t>Antes de 2026</t>
        </is>
      </c>
      <c r="B1450" t="inlineStr">
        <is>
          <t>Frete de venda</t>
        </is>
      </c>
      <c r="C1450" t="inlineStr">
        <is>
          <t>Frete de venda (para clientes)</t>
        </is>
      </c>
      <c r="D1450" t="inlineStr">
        <is>
          <t>CT-e</t>
        </is>
      </c>
      <c r="E1450" t="inlineStr">
        <is>
          <t>000004115</t>
        </is>
      </c>
      <c r="F1450" t="inlineStr">
        <is>
          <t>R&amp;R TRANSPORTE E LOGISTICA</t>
        </is>
      </c>
      <c r="G1450" s="27" t="n">
        <v>45778</v>
      </c>
      <c r="H1450" s="14" t="n">
        <v>215</v>
      </c>
      <c r="I1450" s="14" t="n">
        <v>0</v>
      </c>
      <c r="J1450" s="14" t="n">
        <v>0</v>
      </c>
      <c r="K1450" s="14" t="n">
        <v>0</v>
      </c>
      <c r="L1450" s="14" t="n">
        <v>0</v>
      </c>
      <c r="M1450" s="14">
        <f>IF(B1450="Frete de venda",0,(1-ISNUMBER(SEARCH("556",P1450)))*(I1450*VLOOKUP($B1450,Premissas!$A$4:$E$7,2,0)+J1450*VLOOKUP($B1450,Premissas!$A$4:$E$7,3,0))+K1450*VLOOKUP($B1450,Premissas!$A$4:$E$7,4,0)+L1450*VLOOKUP($B1450,Premissas!$A$4:$E$7,5,0))</f>
        <v/>
      </c>
      <c r="N1450" s="14">
        <f>H1450-M1450</f>
        <v/>
      </c>
      <c r="O1450" t="inlineStr">
        <is>
          <t>Não</t>
        </is>
      </c>
      <c r="P1450" t="inlineStr">
        <is>
          <t>1.350</t>
        </is>
      </c>
    </row>
    <row r="1451">
      <c r="A1451" t="inlineStr">
        <is>
          <t>Antes de 2026</t>
        </is>
      </c>
      <c r="B1451" t="inlineStr">
        <is>
          <t>Frete de venda</t>
        </is>
      </c>
      <c r="C1451" t="inlineStr">
        <is>
          <t>Frete de venda (para clientes)</t>
        </is>
      </c>
      <c r="D1451" t="inlineStr">
        <is>
          <t>CT-e</t>
        </is>
      </c>
      <c r="E1451" t="inlineStr">
        <is>
          <t>000004688</t>
        </is>
      </c>
      <c r="F1451" t="inlineStr">
        <is>
          <t>R&amp;R TRANSPORTE E LOGISTICA</t>
        </is>
      </c>
      <c r="G1451" s="27" t="n">
        <v>45856</v>
      </c>
      <c r="H1451" s="14" t="n">
        <v>19.32</v>
      </c>
      <c r="I1451" s="14" t="n">
        <v>0</v>
      </c>
      <c r="J1451" s="14" t="n">
        <v>0</v>
      </c>
      <c r="K1451" s="14" t="n">
        <v>0</v>
      </c>
      <c r="L1451" s="14" t="n">
        <v>0</v>
      </c>
      <c r="M1451" s="14">
        <f>IF(B1451="Frete de venda",0,(1-ISNUMBER(SEARCH("556",P1451)))*(I1451*VLOOKUP($B1451,Premissas!$A$4:$E$7,2,0)+J1451*VLOOKUP($B1451,Premissas!$A$4:$E$7,3,0))+K1451*VLOOKUP($B1451,Premissas!$A$4:$E$7,4,0)+L1451*VLOOKUP($B1451,Premissas!$A$4:$E$7,5,0))</f>
        <v/>
      </c>
      <c r="N1451" s="14">
        <f>H1451-M1451</f>
        <v/>
      </c>
      <c r="O1451" t="inlineStr">
        <is>
          <t>Não</t>
        </is>
      </c>
      <c r="P1451" t="inlineStr">
        <is>
          <t>1.350</t>
        </is>
      </c>
    </row>
    <row r="1452">
      <c r="A1452" t="inlineStr">
        <is>
          <t>Antes de 2026</t>
        </is>
      </c>
      <c r="B1452" t="inlineStr">
        <is>
          <t>Frete de venda</t>
        </is>
      </c>
      <c r="C1452" t="inlineStr">
        <is>
          <t>Frete de venda (para clientes)</t>
        </is>
      </c>
      <c r="D1452" t="inlineStr">
        <is>
          <t>CT-e</t>
        </is>
      </c>
      <c r="E1452" t="inlineStr">
        <is>
          <t>000005792</t>
        </is>
      </c>
      <c r="F1452" t="inlineStr">
        <is>
          <t>R&amp;R TRANSPORTE E LOGISTICA</t>
        </is>
      </c>
      <c r="G1452" s="27" t="n">
        <v>45981</v>
      </c>
      <c r="H1452" s="14" t="n">
        <v>21.46</v>
      </c>
      <c r="I1452" s="14" t="n">
        <v>0</v>
      </c>
      <c r="J1452" s="14" t="n">
        <v>0</v>
      </c>
      <c r="K1452" s="14" t="n">
        <v>0</v>
      </c>
      <c r="L1452" s="14" t="n">
        <v>0</v>
      </c>
      <c r="M1452" s="14">
        <f>IF(B1452="Frete de venda",0,(1-ISNUMBER(SEARCH("556",P1452)))*(I1452*VLOOKUP($B1452,Premissas!$A$4:$E$7,2,0)+J1452*VLOOKUP($B1452,Premissas!$A$4:$E$7,3,0))+K1452*VLOOKUP($B1452,Premissas!$A$4:$E$7,4,0)+L1452*VLOOKUP($B1452,Premissas!$A$4:$E$7,5,0))</f>
        <v/>
      </c>
      <c r="N1452" s="14">
        <f>H1452-M1452</f>
        <v/>
      </c>
      <c r="O1452" t="inlineStr">
        <is>
          <t>Não</t>
        </is>
      </c>
      <c r="P1452" t="inlineStr">
        <is>
          <t>1.350</t>
        </is>
      </c>
    </row>
    <row r="1453">
      <c r="A1453" t="inlineStr">
        <is>
          <t>Antes de 2026</t>
        </is>
      </c>
      <c r="B1453" t="inlineStr">
        <is>
          <t>Frete de venda</t>
        </is>
      </c>
      <c r="C1453" t="inlineStr">
        <is>
          <t>Frete de venda (para clientes)</t>
        </is>
      </c>
      <c r="D1453" t="inlineStr">
        <is>
          <t>CT-e</t>
        </is>
      </c>
      <c r="E1453" t="inlineStr">
        <is>
          <t>000004817</t>
        </is>
      </c>
      <c r="F1453" t="inlineStr">
        <is>
          <t>R&amp;R TRANSPORTE E LOGISTICA</t>
        </is>
      </c>
      <c r="G1453" s="27" t="n">
        <v>45870</v>
      </c>
      <c r="H1453" s="14" t="n">
        <v>23.47</v>
      </c>
      <c r="I1453" s="14" t="n">
        <v>0</v>
      </c>
      <c r="J1453" s="14" t="n">
        <v>0</v>
      </c>
      <c r="K1453" s="14" t="n">
        <v>0</v>
      </c>
      <c r="L1453" s="14" t="n">
        <v>0</v>
      </c>
      <c r="M1453" s="14">
        <f>IF(B1453="Frete de venda",0,(1-ISNUMBER(SEARCH("556",P1453)))*(I1453*VLOOKUP($B1453,Premissas!$A$4:$E$7,2,0)+J1453*VLOOKUP($B1453,Premissas!$A$4:$E$7,3,0))+K1453*VLOOKUP($B1453,Premissas!$A$4:$E$7,4,0)+L1453*VLOOKUP($B1453,Premissas!$A$4:$E$7,5,0))</f>
        <v/>
      </c>
      <c r="N1453" s="14">
        <f>H1453-M1453</f>
        <v/>
      </c>
      <c r="O1453" t="inlineStr">
        <is>
          <t>Não</t>
        </is>
      </c>
      <c r="P1453" t="inlineStr">
        <is>
          <t>1.350</t>
        </is>
      </c>
    </row>
    <row r="1454">
      <c r="A1454" t="inlineStr">
        <is>
          <t>Antes de 2026</t>
        </is>
      </c>
      <c r="B1454" t="inlineStr">
        <is>
          <t>Frete de venda</t>
        </is>
      </c>
      <c r="C1454" t="inlineStr">
        <is>
          <t>Frete de venda (para clientes)</t>
        </is>
      </c>
      <c r="D1454" t="inlineStr">
        <is>
          <t>CT-e</t>
        </is>
      </c>
      <c r="E1454" t="inlineStr">
        <is>
          <t>000004438</t>
        </is>
      </c>
      <c r="F1454" t="inlineStr">
        <is>
          <t>R&amp;R TRANSPORTE E LOGISTICA</t>
        </is>
      </c>
      <c r="G1454" s="27" t="n">
        <v>45824</v>
      </c>
      <c r="H1454" s="14" t="n">
        <v>29.55</v>
      </c>
      <c r="I1454" s="14" t="n">
        <v>0</v>
      </c>
      <c r="J1454" s="14" t="n">
        <v>0</v>
      </c>
      <c r="K1454" s="14" t="n">
        <v>0</v>
      </c>
      <c r="L1454" s="14" t="n">
        <v>0</v>
      </c>
      <c r="M1454" s="14">
        <f>IF(B1454="Frete de venda",0,(1-ISNUMBER(SEARCH("556",P1454)))*(I1454*VLOOKUP($B1454,Premissas!$A$4:$E$7,2,0)+J1454*VLOOKUP($B1454,Premissas!$A$4:$E$7,3,0))+K1454*VLOOKUP($B1454,Premissas!$A$4:$E$7,4,0)+L1454*VLOOKUP($B1454,Premissas!$A$4:$E$7,5,0))</f>
        <v/>
      </c>
      <c r="N1454" s="14">
        <f>H1454-M1454</f>
        <v/>
      </c>
      <c r="O1454" t="inlineStr">
        <is>
          <t>Não</t>
        </is>
      </c>
      <c r="P1454" t="inlineStr">
        <is>
          <t>1.350</t>
        </is>
      </c>
    </row>
    <row r="1455">
      <c r="A1455" t="inlineStr">
        <is>
          <t>Antes de 2026</t>
        </is>
      </c>
      <c r="B1455" t="inlineStr">
        <is>
          <t>Frete de venda</t>
        </is>
      </c>
      <c r="C1455" t="inlineStr">
        <is>
          <t>Frete de venda (para clientes)</t>
        </is>
      </c>
      <c r="D1455" t="inlineStr">
        <is>
          <t>CT-e</t>
        </is>
      </c>
      <c r="E1455" t="inlineStr">
        <is>
          <t>000006085</t>
        </is>
      </c>
      <c r="F1455" t="inlineStr">
        <is>
          <t>R&amp;R TRANSPORTE E LOGISTICA</t>
        </is>
      </c>
      <c r="G1455" s="27" t="n">
        <v>46021</v>
      </c>
      <c r="H1455" s="14" t="n">
        <v>20.12</v>
      </c>
      <c r="I1455" s="14" t="n">
        <v>0</v>
      </c>
      <c r="J1455" s="14" t="n">
        <v>0</v>
      </c>
      <c r="K1455" s="14" t="n">
        <v>0</v>
      </c>
      <c r="L1455" s="14" t="n">
        <v>0</v>
      </c>
      <c r="M1455" s="14">
        <f>IF(B1455="Frete de venda",0,(1-ISNUMBER(SEARCH("556",P1455)))*(I1455*VLOOKUP($B1455,Premissas!$A$4:$E$7,2,0)+J1455*VLOOKUP($B1455,Premissas!$A$4:$E$7,3,0))+K1455*VLOOKUP($B1455,Premissas!$A$4:$E$7,4,0)+L1455*VLOOKUP($B1455,Premissas!$A$4:$E$7,5,0))</f>
        <v/>
      </c>
      <c r="N1455" s="14">
        <f>H1455-M1455</f>
        <v/>
      </c>
      <c r="O1455" t="inlineStr">
        <is>
          <t>Não</t>
        </is>
      </c>
      <c r="P1455" t="inlineStr">
        <is>
          <t>1.350</t>
        </is>
      </c>
    </row>
    <row r="1456">
      <c r="A1456" t="inlineStr">
        <is>
          <t>Antes de 2026</t>
        </is>
      </c>
      <c r="B1456" t="inlineStr">
        <is>
          <t>Frete de venda</t>
        </is>
      </c>
      <c r="C1456" t="inlineStr">
        <is>
          <t>Frete de venda (para clientes)</t>
        </is>
      </c>
      <c r="D1456" t="inlineStr">
        <is>
          <t>CT-e</t>
        </is>
      </c>
      <c r="E1456" t="inlineStr">
        <is>
          <t>000005588</t>
        </is>
      </c>
      <c r="F1456" t="inlineStr">
        <is>
          <t>R&amp;R TRANSPORTE E LOGISTICA</t>
        </is>
      </c>
      <c r="G1456" s="27" t="n">
        <v>45957</v>
      </c>
      <c r="H1456" s="14" t="n">
        <v>117</v>
      </c>
      <c r="I1456" s="14" t="n">
        <v>0</v>
      </c>
      <c r="J1456" s="14" t="n">
        <v>0</v>
      </c>
      <c r="K1456" s="14" t="n">
        <v>0</v>
      </c>
      <c r="L1456" s="14" t="n">
        <v>0</v>
      </c>
      <c r="M1456" s="14">
        <f>IF(B1456="Frete de venda",0,(1-ISNUMBER(SEARCH("556",P1456)))*(I1456*VLOOKUP($B1456,Premissas!$A$4:$E$7,2,0)+J1456*VLOOKUP($B1456,Premissas!$A$4:$E$7,3,0))+K1456*VLOOKUP($B1456,Premissas!$A$4:$E$7,4,0)+L1456*VLOOKUP($B1456,Premissas!$A$4:$E$7,5,0))</f>
        <v/>
      </c>
      <c r="N1456" s="14">
        <f>H1456-M1456</f>
        <v/>
      </c>
      <c r="O1456" t="inlineStr">
        <is>
          <t>Não</t>
        </is>
      </c>
      <c r="P1456" t="inlineStr">
        <is>
          <t>1.350</t>
        </is>
      </c>
    </row>
    <row r="1457">
      <c r="A1457" t="inlineStr">
        <is>
          <t>Antes de 2026</t>
        </is>
      </c>
      <c r="B1457" t="inlineStr">
        <is>
          <t>Frete de venda</t>
        </is>
      </c>
      <c r="C1457" t="inlineStr">
        <is>
          <t>Frete de venda (para clientes)</t>
        </is>
      </c>
      <c r="D1457" t="inlineStr">
        <is>
          <t>CT-e</t>
        </is>
      </c>
      <c r="E1457" t="inlineStr">
        <is>
          <t>000004484</t>
        </is>
      </c>
      <c r="F1457" t="inlineStr">
        <is>
          <t>R&amp;R TRANSPORTE E LOGISTICA</t>
        </is>
      </c>
      <c r="G1457" s="27" t="n">
        <v>45831</v>
      </c>
      <c r="H1457" s="14" t="n">
        <v>14.16</v>
      </c>
      <c r="I1457" s="14" t="n">
        <v>0</v>
      </c>
      <c r="J1457" s="14" t="n">
        <v>0</v>
      </c>
      <c r="K1457" s="14" t="n">
        <v>0</v>
      </c>
      <c r="L1457" s="14" t="n">
        <v>0</v>
      </c>
      <c r="M1457" s="14">
        <f>IF(B1457="Frete de venda",0,(1-ISNUMBER(SEARCH("556",P1457)))*(I1457*VLOOKUP($B1457,Premissas!$A$4:$E$7,2,0)+J1457*VLOOKUP($B1457,Premissas!$A$4:$E$7,3,0))+K1457*VLOOKUP($B1457,Premissas!$A$4:$E$7,4,0)+L1457*VLOOKUP($B1457,Premissas!$A$4:$E$7,5,0))</f>
        <v/>
      </c>
      <c r="N1457" s="14">
        <f>H1457-M1457</f>
        <v/>
      </c>
      <c r="O1457" t="inlineStr">
        <is>
          <t>Não</t>
        </is>
      </c>
      <c r="P1457" t="inlineStr">
        <is>
          <t>1.350</t>
        </is>
      </c>
    </row>
    <row r="1458">
      <c r="A1458" t="inlineStr">
        <is>
          <t>Antes de 2026</t>
        </is>
      </c>
      <c r="B1458" t="inlineStr">
        <is>
          <t>Frete de venda</t>
        </is>
      </c>
      <c r="C1458" t="inlineStr">
        <is>
          <t>Frete de venda (para clientes)</t>
        </is>
      </c>
      <c r="D1458" t="inlineStr">
        <is>
          <t>CT-e</t>
        </is>
      </c>
      <c r="E1458" t="inlineStr">
        <is>
          <t>000004487</t>
        </is>
      </c>
      <c r="F1458" t="inlineStr">
        <is>
          <t>R&amp;R TRANSPORTE E LOGISTICA</t>
        </is>
      </c>
      <c r="G1458" s="27" t="n">
        <v>45831</v>
      </c>
      <c r="H1458" s="14" t="n">
        <v>7.83</v>
      </c>
      <c r="I1458" s="14" t="n">
        <v>0</v>
      </c>
      <c r="J1458" s="14" t="n">
        <v>0</v>
      </c>
      <c r="K1458" s="14" t="n">
        <v>0</v>
      </c>
      <c r="L1458" s="14" t="n">
        <v>0</v>
      </c>
      <c r="M1458" s="14">
        <f>IF(B1458="Frete de venda",0,(1-ISNUMBER(SEARCH("556",P1458)))*(I1458*VLOOKUP($B1458,Premissas!$A$4:$E$7,2,0)+J1458*VLOOKUP($B1458,Premissas!$A$4:$E$7,3,0))+K1458*VLOOKUP($B1458,Premissas!$A$4:$E$7,4,0)+L1458*VLOOKUP($B1458,Premissas!$A$4:$E$7,5,0))</f>
        <v/>
      </c>
      <c r="N1458" s="14">
        <f>H1458-M1458</f>
        <v/>
      </c>
      <c r="O1458" t="inlineStr">
        <is>
          <t>Não</t>
        </is>
      </c>
      <c r="P1458" t="inlineStr">
        <is>
          <t>1.350</t>
        </is>
      </c>
    </row>
    <row r="1459">
      <c r="A1459" t="inlineStr">
        <is>
          <t>Antes de 2026</t>
        </is>
      </c>
      <c r="B1459" t="inlineStr">
        <is>
          <t>Frete de venda</t>
        </is>
      </c>
      <c r="C1459" t="inlineStr">
        <is>
          <t>Frete de venda (para clientes)</t>
        </is>
      </c>
      <c r="D1459" t="inlineStr">
        <is>
          <t>CT-e</t>
        </is>
      </c>
      <c r="E1459" t="inlineStr">
        <is>
          <t>000004816</t>
        </is>
      </c>
      <c r="F1459" t="inlineStr">
        <is>
          <t>R&amp;R TRANSPORTE E LOGISTICA</t>
        </is>
      </c>
      <c r="G1459" s="27" t="n">
        <v>45870</v>
      </c>
      <c r="H1459" s="14" t="n">
        <v>16.76</v>
      </c>
      <c r="I1459" s="14" t="n">
        <v>0</v>
      </c>
      <c r="J1459" s="14" t="n">
        <v>0</v>
      </c>
      <c r="K1459" s="14" t="n">
        <v>0</v>
      </c>
      <c r="L1459" s="14" t="n">
        <v>0</v>
      </c>
      <c r="M1459" s="14">
        <f>IF(B1459="Frete de venda",0,(1-ISNUMBER(SEARCH("556",P1459)))*(I1459*VLOOKUP($B1459,Premissas!$A$4:$E$7,2,0)+J1459*VLOOKUP($B1459,Premissas!$A$4:$E$7,3,0))+K1459*VLOOKUP($B1459,Premissas!$A$4:$E$7,4,0)+L1459*VLOOKUP($B1459,Premissas!$A$4:$E$7,5,0))</f>
        <v/>
      </c>
      <c r="N1459" s="14">
        <f>H1459-M1459</f>
        <v/>
      </c>
      <c r="O1459" t="inlineStr">
        <is>
          <t>Não</t>
        </is>
      </c>
      <c r="P1459" t="inlineStr">
        <is>
          <t>1.350</t>
        </is>
      </c>
    </row>
    <row r="1460">
      <c r="A1460" t="inlineStr">
        <is>
          <t>Antes de 2026</t>
        </is>
      </c>
      <c r="B1460" t="inlineStr">
        <is>
          <t>Frete de venda</t>
        </is>
      </c>
      <c r="C1460" t="inlineStr">
        <is>
          <t>Frete de venda (para clientes)</t>
        </is>
      </c>
      <c r="D1460" t="inlineStr">
        <is>
          <t>CT-e</t>
        </is>
      </c>
      <c r="E1460" t="inlineStr">
        <is>
          <t>000005317</t>
        </is>
      </c>
      <c r="F1460" t="inlineStr">
        <is>
          <t>R&amp;R TRANSPORTE E LOGISTICA</t>
        </is>
      </c>
      <c r="G1460" s="27" t="n">
        <v>45929</v>
      </c>
      <c r="H1460" s="14" t="n">
        <v>17.57</v>
      </c>
      <c r="I1460" s="14" t="n">
        <v>0</v>
      </c>
      <c r="J1460" s="14" t="n">
        <v>0</v>
      </c>
      <c r="K1460" s="14" t="n">
        <v>0</v>
      </c>
      <c r="L1460" s="14" t="n">
        <v>0</v>
      </c>
      <c r="M1460" s="14">
        <f>IF(B1460="Frete de venda",0,(1-ISNUMBER(SEARCH("556",P1460)))*(I1460*VLOOKUP($B1460,Premissas!$A$4:$E$7,2,0)+J1460*VLOOKUP($B1460,Premissas!$A$4:$E$7,3,0))+K1460*VLOOKUP($B1460,Premissas!$A$4:$E$7,4,0)+L1460*VLOOKUP($B1460,Premissas!$A$4:$E$7,5,0))</f>
        <v/>
      </c>
      <c r="N1460" s="14">
        <f>H1460-M1460</f>
        <v/>
      </c>
      <c r="O1460" t="inlineStr">
        <is>
          <t>Não</t>
        </is>
      </c>
      <c r="P1460" t="inlineStr">
        <is>
          <t>1.350</t>
        </is>
      </c>
    </row>
    <row r="1461">
      <c r="A1461" t="inlineStr">
        <is>
          <t>Antes de 2026</t>
        </is>
      </c>
      <c r="B1461" t="inlineStr">
        <is>
          <t>Frete de venda</t>
        </is>
      </c>
      <c r="C1461" t="inlineStr">
        <is>
          <t>Frete de venda (para clientes)</t>
        </is>
      </c>
      <c r="D1461" t="inlineStr">
        <is>
          <t>CT-e</t>
        </is>
      </c>
      <c r="E1461" t="inlineStr">
        <is>
          <t>000004899</t>
        </is>
      </c>
      <c r="F1461" t="inlineStr">
        <is>
          <t>R&amp;R TRANSPORTE E LOGISTICA</t>
        </is>
      </c>
      <c r="G1461" s="27" t="n">
        <v>45881</v>
      </c>
      <c r="H1461" s="14" t="n">
        <v>25.96</v>
      </c>
      <c r="I1461" s="14" t="n">
        <v>0</v>
      </c>
      <c r="J1461" s="14" t="n">
        <v>0</v>
      </c>
      <c r="K1461" s="14" t="n">
        <v>0</v>
      </c>
      <c r="L1461" s="14" t="n">
        <v>0</v>
      </c>
      <c r="M1461" s="14">
        <f>IF(B1461="Frete de venda",0,(1-ISNUMBER(SEARCH("556",P1461)))*(I1461*VLOOKUP($B1461,Premissas!$A$4:$E$7,2,0)+J1461*VLOOKUP($B1461,Premissas!$A$4:$E$7,3,0))+K1461*VLOOKUP($B1461,Premissas!$A$4:$E$7,4,0)+L1461*VLOOKUP($B1461,Premissas!$A$4:$E$7,5,0))</f>
        <v/>
      </c>
      <c r="N1461" s="14">
        <f>H1461-M1461</f>
        <v/>
      </c>
      <c r="O1461" t="inlineStr">
        <is>
          <t>Não</t>
        </is>
      </c>
      <c r="P1461" t="inlineStr">
        <is>
          <t>1.350</t>
        </is>
      </c>
    </row>
    <row r="1462">
      <c r="A1462" t="inlineStr">
        <is>
          <t>Antes de 2026</t>
        </is>
      </c>
      <c r="B1462" t="inlineStr">
        <is>
          <t>Frete de venda</t>
        </is>
      </c>
      <c r="C1462" t="inlineStr">
        <is>
          <t>Frete de venda (para clientes)</t>
        </is>
      </c>
      <c r="D1462" t="inlineStr">
        <is>
          <t>CT-e</t>
        </is>
      </c>
      <c r="E1462" t="inlineStr">
        <is>
          <t>000005324</t>
        </is>
      </c>
      <c r="F1462" t="inlineStr">
        <is>
          <t>R&amp;R TRANSPORTE E LOGISTICA</t>
        </is>
      </c>
      <c r="G1462" s="27" t="n">
        <v>45929</v>
      </c>
      <c r="H1462" s="14" t="n">
        <v>15.89</v>
      </c>
      <c r="I1462" s="14" t="n">
        <v>0</v>
      </c>
      <c r="J1462" s="14" t="n">
        <v>0</v>
      </c>
      <c r="K1462" s="14" t="n">
        <v>0</v>
      </c>
      <c r="L1462" s="14" t="n">
        <v>0</v>
      </c>
      <c r="M1462" s="14">
        <f>IF(B1462="Frete de venda",0,(1-ISNUMBER(SEARCH("556",P1462)))*(I1462*VLOOKUP($B1462,Premissas!$A$4:$E$7,2,0)+J1462*VLOOKUP($B1462,Premissas!$A$4:$E$7,3,0))+K1462*VLOOKUP($B1462,Premissas!$A$4:$E$7,4,0)+L1462*VLOOKUP($B1462,Premissas!$A$4:$E$7,5,0))</f>
        <v/>
      </c>
      <c r="N1462" s="14">
        <f>H1462-M1462</f>
        <v/>
      </c>
      <c r="O1462" t="inlineStr">
        <is>
          <t>Não</t>
        </is>
      </c>
      <c r="P1462" t="inlineStr">
        <is>
          <t>1.350</t>
        </is>
      </c>
    </row>
    <row r="1463">
      <c r="A1463" t="inlineStr">
        <is>
          <t>Antes de 2026</t>
        </is>
      </c>
      <c r="B1463" t="inlineStr">
        <is>
          <t>Frete de venda</t>
        </is>
      </c>
      <c r="C1463" t="inlineStr">
        <is>
          <t>Frete de venda (para clientes)</t>
        </is>
      </c>
      <c r="D1463" t="inlineStr">
        <is>
          <t>CT-e</t>
        </is>
      </c>
      <c r="E1463" t="inlineStr">
        <is>
          <t>000004691</t>
        </is>
      </c>
      <c r="F1463" t="inlineStr">
        <is>
          <t>R&amp;R TRANSPORTE E LOGISTICA</t>
        </is>
      </c>
      <c r="G1463" s="27" t="n">
        <v>45856</v>
      </c>
      <c r="H1463" s="14" t="n">
        <v>24.95</v>
      </c>
      <c r="I1463" s="14" t="n">
        <v>0</v>
      </c>
      <c r="J1463" s="14" t="n">
        <v>0</v>
      </c>
      <c r="K1463" s="14" t="n">
        <v>0</v>
      </c>
      <c r="L1463" s="14" t="n">
        <v>0</v>
      </c>
      <c r="M1463" s="14">
        <f>IF(B1463="Frete de venda",0,(1-ISNUMBER(SEARCH("556",P1463)))*(I1463*VLOOKUP($B1463,Premissas!$A$4:$E$7,2,0)+J1463*VLOOKUP($B1463,Premissas!$A$4:$E$7,3,0))+K1463*VLOOKUP($B1463,Premissas!$A$4:$E$7,4,0)+L1463*VLOOKUP($B1463,Premissas!$A$4:$E$7,5,0))</f>
        <v/>
      </c>
      <c r="N1463" s="14">
        <f>H1463-M1463</f>
        <v/>
      </c>
      <c r="O1463" t="inlineStr">
        <is>
          <t>Não</t>
        </is>
      </c>
      <c r="P1463" t="inlineStr">
        <is>
          <t>1.350</t>
        </is>
      </c>
    </row>
    <row r="1464">
      <c r="A1464" t="inlineStr">
        <is>
          <t>Antes de 2026</t>
        </is>
      </c>
      <c r="B1464" t="inlineStr">
        <is>
          <t>Frete de venda</t>
        </is>
      </c>
      <c r="C1464" t="inlineStr">
        <is>
          <t>Frete de venda (para clientes)</t>
        </is>
      </c>
      <c r="D1464" t="inlineStr">
        <is>
          <t>CT-e</t>
        </is>
      </c>
      <c r="E1464" t="inlineStr">
        <is>
          <t>000005056</t>
        </is>
      </c>
      <c r="F1464" t="inlineStr">
        <is>
          <t>R&amp;R TRANSPORTE E LOGISTICA</t>
        </is>
      </c>
      <c r="G1464" s="27" t="n">
        <v>45896</v>
      </c>
      <c r="H1464" s="14" t="n">
        <v>12.46</v>
      </c>
      <c r="I1464" s="14" t="n">
        <v>0</v>
      </c>
      <c r="J1464" s="14" t="n">
        <v>0</v>
      </c>
      <c r="K1464" s="14" t="n">
        <v>0</v>
      </c>
      <c r="L1464" s="14" t="n">
        <v>0</v>
      </c>
      <c r="M1464" s="14">
        <f>IF(B1464="Frete de venda",0,(1-ISNUMBER(SEARCH("556",P1464)))*(I1464*VLOOKUP($B1464,Premissas!$A$4:$E$7,2,0)+J1464*VLOOKUP($B1464,Premissas!$A$4:$E$7,3,0))+K1464*VLOOKUP($B1464,Premissas!$A$4:$E$7,4,0)+L1464*VLOOKUP($B1464,Premissas!$A$4:$E$7,5,0))</f>
        <v/>
      </c>
      <c r="N1464" s="14">
        <f>H1464-M1464</f>
        <v/>
      </c>
      <c r="O1464" t="inlineStr">
        <is>
          <t>Não</t>
        </is>
      </c>
      <c r="P1464" t="inlineStr">
        <is>
          <t>1.350</t>
        </is>
      </c>
    </row>
    <row r="1465">
      <c r="A1465" t="inlineStr">
        <is>
          <t>Antes de 2026</t>
        </is>
      </c>
      <c r="B1465" t="inlineStr">
        <is>
          <t>Frete de venda</t>
        </is>
      </c>
      <c r="C1465" t="inlineStr">
        <is>
          <t>Frete de venda (para clientes)</t>
        </is>
      </c>
      <c r="D1465" t="inlineStr">
        <is>
          <t>CT-e</t>
        </is>
      </c>
      <c r="E1465" t="inlineStr">
        <is>
          <t>000004633</t>
        </is>
      </c>
      <c r="F1465" t="inlineStr">
        <is>
          <t>R&amp;R TRANSPORTE E LOGISTICA</t>
        </is>
      </c>
      <c r="G1465" s="27" t="n">
        <v>45850</v>
      </c>
      <c r="H1465" s="14" t="n">
        <v>21.73</v>
      </c>
      <c r="I1465" s="14" t="n">
        <v>0</v>
      </c>
      <c r="J1465" s="14" t="n">
        <v>0</v>
      </c>
      <c r="K1465" s="14" t="n">
        <v>0</v>
      </c>
      <c r="L1465" s="14" t="n">
        <v>0</v>
      </c>
      <c r="M1465" s="14">
        <f>IF(B1465="Frete de venda",0,(1-ISNUMBER(SEARCH("556",P1465)))*(I1465*VLOOKUP($B1465,Premissas!$A$4:$E$7,2,0)+J1465*VLOOKUP($B1465,Premissas!$A$4:$E$7,3,0))+K1465*VLOOKUP($B1465,Premissas!$A$4:$E$7,4,0)+L1465*VLOOKUP($B1465,Premissas!$A$4:$E$7,5,0))</f>
        <v/>
      </c>
      <c r="N1465" s="14">
        <f>H1465-M1465</f>
        <v/>
      </c>
      <c r="O1465" t="inlineStr">
        <is>
          <t>Não</t>
        </is>
      </c>
      <c r="P1465" t="inlineStr">
        <is>
          <t>1.350</t>
        </is>
      </c>
    </row>
    <row r="1466">
      <c r="A1466" t="inlineStr">
        <is>
          <t>Antes de 2026</t>
        </is>
      </c>
      <c r="B1466" t="inlineStr">
        <is>
          <t>Frete de venda</t>
        </is>
      </c>
      <c r="C1466" t="inlineStr">
        <is>
          <t>Frete de venda (para clientes)</t>
        </is>
      </c>
      <c r="D1466" t="inlineStr">
        <is>
          <t>CT-e</t>
        </is>
      </c>
      <c r="E1466" t="inlineStr">
        <is>
          <t>000006061</t>
        </is>
      </c>
      <c r="F1466" t="inlineStr">
        <is>
          <t>R&amp;R TRANSPORTE E LOGISTICA</t>
        </is>
      </c>
      <c r="G1466" s="27" t="n">
        <v>46017</v>
      </c>
      <c r="H1466" s="14" t="n">
        <v>52.3</v>
      </c>
      <c r="I1466" s="14" t="n">
        <v>0</v>
      </c>
      <c r="J1466" s="14" t="n">
        <v>0</v>
      </c>
      <c r="K1466" s="14" t="n">
        <v>0</v>
      </c>
      <c r="L1466" s="14" t="n">
        <v>0</v>
      </c>
      <c r="M1466" s="14">
        <f>IF(B1466="Frete de venda",0,(1-ISNUMBER(SEARCH("556",P1466)))*(I1466*VLOOKUP($B1466,Premissas!$A$4:$E$7,2,0)+J1466*VLOOKUP($B1466,Premissas!$A$4:$E$7,3,0))+K1466*VLOOKUP($B1466,Premissas!$A$4:$E$7,4,0)+L1466*VLOOKUP($B1466,Premissas!$A$4:$E$7,5,0))</f>
        <v/>
      </c>
      <c r="N1466" s="14">
        <f>H1466-M1466</f>
        <v/>
      </c>
      <c r="O1466" t="inlineStr">
        <is>
          <t>Não</t>
        </is>
      </c>
      <c r="P1466" t="inlineStr">
        <is>
          <t>1.350</t>
        </is>
      </c>
    </row>
    <row r="1467">
      <c r="A1467" t="inlineStr">
        <is>
          <t>Antes de 2026</t>
        </is>
      </c>
      <c r="B1467" t="inlineStr">
        <is>
          <t>Frete de venda</t>
        </is>
      </c>
      <c r="C1467" t="inlineStr">
        <is>
          <t>Frete de venda (para clientes)</t>
        </is>
      </c>
      <c r="D1467" t="inlineStr">
        <is>
          <t>CT-e</t>
        </is>
      </c>
      <c r="E1467" t="inlineStr">
        <is>
          <t>000005065</t>
        </is>
      </c>
      <c r="F1467" t="inlineStr">
        <is>
          <t>R&amp;R TRANSPORTE E LOGISTICA</t>
        </is>
      </c>
      <c r="G1467" s="27" t="n">
        <v>45897</v>
      </c>
      <c r="H1467" s="14" t="n">
        <v>27.17</v>
      </c>
      <c r="I1467" s="14" t="n">
        <v>0</v>
      </c>
      <c r="J1467" s="14" t="n">
        <v>0</v>
      </c>
      <c r="K1467" s="14" t="n">
        <v>0</v>
      </c>
      <c r="L1467" s="14" t="n">
        <v>0</v>
      </c>
      <c r="M1467" s="14">
        <f>IF(B1467="Frete de venda",0,(1-ISNUMBER(SEARCH("556",P1467)))*(I1467*VLOOKUP($B1467,Premissas!$A$4:$E$7,2,0)+J1467*VLOOKUP($B1467,Premissas!$A$4:$E$7,3,0))+K1467*VLOOKUP($B1467,Premissas!$A$4:$E$7,4,0)+L1467*VLOOKUP($B1467,Premissas!$A$4:$E$7,5,0))</f>
        <v/>
      </c>
      <c r="N1467" s="14">
        <f>H1467-M1467</f>
        <v/>
      </c>
      <c r="O1467" t="inlineStr">
        <is>
          <t>Não</t>
        </is>
      </c>
      <c r="P1467" t="inlineStr">
        <is>
          <t>1.350</t>
        </is>
      </c>
    </row>
    <row r="1468">
      <c r="A1468" t="inlineStr">
        <is>
          <t>Antes de 2026</t>
        </is>
      </c>
      <c r="B1468" t="inlineStr">
        <is>
          <t>Frete de venda</t>
        </is>
      </c>
      <c r="C1468" t="inlineStr">
        <is>
          <t>Frete de venda (para clientes)</t>
        </is>
      </c>
      <c r="D1468" t="inlineStr">
        <is>
          <t>CT-e</t>
        </is>
      </c>
      <c r="E1468" t="inlineStr">
        <is>
          <t>000005628</t>
        </is>
      </c>
      <c r="F1468" t="inlineStr">
        <is>
          <t>R&amp;R TRANSPORTE E LOGISTICA</t>
        </is>
      </c>
      <c r="G1468" s="27" t="n">
        <v>45961</v>
      </c>
      <c r="H1468" s="14" t="n">
        <v>16.4</v>
      </c>
      <c r="I1468" s="14" t="n">
        <v>0</v>
      </c>
      <c r="J1468" s="14" t="n">
        <v>0</v>
      </c>
      <c r="K1468" s="14" t="n">
        <v>0</v>
      </c>
      <c r="L1468" s="14" t="n">
        <v>0</v>
      </c>
      <c r="M1468" s="14">
        <f>IF(B1468="Frete de venda",0,(1-ISNUMBER(SEARCH("556",P1468)))*(I1468*VLOOKUP($B1468,Premissas!$A$4:$E$7,2,0)+J1468*VLOOKUP($B1468,Premissas!$A$4:$E$7,3,0))+K1468*VLOOKUP($B1468,Premissas!$A$4:$E$7,4,0)+L1468*VLOOKUP($B1468,Premissas!$A$4:$E$7,5,0))</f>
        <v/>
      </c>
      <c r="N1468" s="14">
        <f>H1468-M1468</f>
        <v/>
      </c>
      <c r="O1468" t="inlineStr">
        <is>
          <t>Não</t>
        </is>
      </c>
      <c r="P1468" t="inlineStr">
        <is>
          <t>1.350</t>
        </is>
      </c>
    </row>
    <row r="1469">
      <c r="A1469" t="inlineStr">
        <is>
          <t>Antes de 2026</t>
        </is>
      </c>
      <c r="B1469" t="inlineStr">
        <is>
          <t>Frete de venda</t>
        </is>
      </c>
      <c r="C1469" t="inlineStr">
        <is>
          <t>Frete de venda (para clientes)</t>
        </is>
      </c>
      <c r="D1469" t="inlineStr">
        <is>
          <t>CT-e</t>
        </is>
      </c>
      <c r="E1469" t="inlineStr">
        <is>
          <t>000004797</t>
        </is>
      </c>
      <c r="F1469" t="inlineStr">
        <is>
          <t>R&amp;R TRANSPORTE E LOGISTICA</t>
        </is>
      </c>
      <c r="G1469" s="27" t="n">
        <v>45869</v>
      </c>
      <c r="H1469" s="14" t="n">
        <v>49.86</v>
      </c>
      <c r="I1469" s="14" t="n">
        <v>0</v>
      </c>
      <c r="J1469" s="14" t="n">
        <v>0</v>
      </c>
      <c r="K1469" s="14" t="n">
        <v>0</v>
      </c>
      <c r="L1469" s="14" t="n">
        <v>0</v>
      </c>
      <c r="M1469" s="14">
        <f>IF(B1469="Frete de venda",0,(1-ISNUMBER(SEARCH("556",P1469)))*(I1469*VLOOKUP($B1469,Premissas!$A$4:$E$7,2,0)+J1469*VLOOKUP($B1469,Premissas!$A$4:$E$7,3,0))+K1469*VLOOKUP($B1469,Premissas!$A$4:$E$7,4,0)+L1469*VLOOKUP($B1469,Premissas!$A$4:$E$7,5,0))</f>
        <v/>
      </c>
      <c r="N1469" s="14">
        <f>H1469-M1469</f>
        <v/>
      </c>
      <c r="O1469" t="inlineStr">
        <is>
          <t>Não</t>
        </is>
      </c>
      <c r="P1469" t="inlineStr">
        <is>
          <t>1.350</t>
        </is>
      </c>
    </row>
    <row r="1470">
      <c r="A1470" t="inlineStr">
        <is>
          <t>Antes de 2026</t>
        </is>
      </c>
      <c r="B1470" t="inlineStr">
        <is>
          <t>Frete de venda</t>
        </is>
      </c>
      <c r="C1470" t="inlineStr">
        <is>
          <t>Frete de venda (para clientes)</t>
        </is>
      </c>
      <c r="D1470" t="inlineStr">
        <is>
          <t>CT-e</t>
        </is>
      </c>
      <c r="E1470" t="inlineStr">
        <is>
          <t>000004827</t>
        </is>
      </c>
      <c r="F1470" t="inlineStr">
        <is>
          <t>R&amp;R TRANSPORTE E LOGISTICA</t>
        </is>
      </c>
      <c r="G1470" s="27" t="n">
        <v>45870</v>
      </c>
      <c r="H1470" s="14" t="n">
        <v>15.12</v>
      </c>
      <c r="I1470" s="14" t="n">
        <v>0</v>
      </c>
      <c r="J1470" s="14" t="n">
        <v>0</v>
      </c>
      <c r="K1470" s="14" t="n">
        <v>0</v>
      </c>
      <c r="L1470" s="14" t="n">
        <v>0</v>
      </c>
      <c r="M1470" s="14">
        <f>IF(B1470="Frete de venda",0,(1-ISNUMBER(SEARCH("556",P1470)))*(I1470*VLOOKUP($B1470,Premissas!$A$4:$E$7,2,0)+J1470*VLOOKUP($B1470,Premissas!$A$4:$E$7,3,0))+K1470*VLOOKUP($B1470,Premissas!$A$4:$E$7,4,0)+L1470*VLOOKUP($B1470,Premissas!$A$4:$E$7,5,0))</f>
        <v/>
      </c>
      <c r="N1470" s="14">
        <f>H1470-M1470</f>
        <v/>
      </c>
      <c r="O1470" t="inlineStr">
        <is>
          <t>Não</t>
        </is>
      </c>
      <c r="P1470" t="inlineStr">
        <is>
          <t>1.350</t>
        </is>
      </c>
    </row>
    <row r="1471">
      <c r="A1471" t="inlineStr">
        <is>
          <t>Antes de 2026</t>
        </is>
      </c>
      <c r="B1471" t="inlineStr">
        <is>
          <t>Frete de venda</t>
        </is>
      </c>
      <c r="C1471" t="inlineStr">
        <is>
          <t>Frete de venda (para clientes)</t>
        </is>
      </c>
      <c r="D1471" t="inlineStr">
        <is>
          <t>CT-e</t>
        </is>
      </c>
      <c r="E1471" t="inlineStr">
        <is>
          <t>000005336</t>
        </is>
      </c>
      <c r="F1471" t="inlineStr">
        <is>
          <t>R&amp;R TRANSPORTE E LOGISTICA</t>
        </is>
      </c>
      <c r="G1471" s="27" t="n">
        <v>45929</v>
      </c>
      <c r="H1471" s="14" t="n">
        <v>6.09</v>
      </c>
      <c r="I1471" s="14" t="n">
        <v>0</v>
      </c>
      <c r="J1471" s="14" t="n">
        <v>0</v>
      </c>
      <c r="K1471" s="14" t="n">
        <v>0</v>
      </c>
      <c r="L1471" s="14" t="n">
        <v>0</v>
      </c>
      <c r="M1471" s="14">
        <f>IF(B1471="Frete de venda",0,(1-ISNUMBER(SEARCH("556",P1471)))*(I1471*VLOOKUP($B1471,Premissas!$A$4:$E$7,2,0)+J1471*VLOOKUP($B1471,Premissas!$A$4:$E$7,3,0))+K1471*VLOOKUP($B1471,Premissas!$A$4:$E$7,4,0)+L1471*VLOOKUP($B1471,Premissas!$A$4:$E$7,5,0))</f>
        <v/>
      </c>
      <c r="N1471" s="14">
        <f>H1471-M1471</f>
        <v/>
      </c>
      <c r="O1471" t="inlineStr">
        <is>
          <t>Não</t>
        </is>
      </c>
      <c r="P1471" t="inlineStr">
        <is>
          <t>1.350</t>
        </is>
      </c>
    </row>
    <row r="1472">
      <c r="A1472" t="inlineStr">
        <is>
          <t>Antes de 2026</t>
        </is>
      </c>
      <c r="B1472" t="inlineStr">
        <is>
          <t>Frete de venda</t>
        </is>
      </c>
      <c r="C1472" t="inlineStr">
        <is>
          <t>Frete de venda (para clientes)</t>
        </is>
      </c>
      <c r="D1472" t="inlineStr">
        <is>
          <t>CT-e</t>
        </is>
      </c>
      <c r="E1472" t="inlineStr">
        <is>
          <t>000005595</t>
        </is>
      </c>
      <c r="F1472" t="inlineStr">
        <is>
          <t>R&amp;R TRANSPORTE E LOGISTICA</t>
        </is>
      </c>
      <c r="G1472" s="27" t="n">
        <v>45957</v>
      </c>
      <c r="H1472" s="14" t="n">
        <v>467</v>
      </c>
      <c r="I1472" s="14" t="n">
        <v>0</v>
      </c>
      <c r="J1472" s="14" t="n">
        <v>0</v>
      </c>
      <c r="K1472" s="14" t="n">
        <v>0</v>
      </c>
      <c r="L1472" s="14" t="n">
        <v>0</v>
      </c>
      <c r="M1472" s="14">
        <f>IF(B1472="Frete de venda",0,(1-ISNUMBER(SEARCH("556",P1472)))*(I1472*VLOOKUP($B1472,Premissas!$A$4:$E$7,2,0)+J1472*VLOOKUP($B1472,Premissas!$A$4:$E$7,3,0))+K1472*VLOOKUP($B1472,Premissas!$A$4:$E$7,4,0)+L1472*VLOOKUP($B1472,Premissas!$A$4:$E$7,5,0))</f>
        <v/>
      </c>
      <c r="N1472" s="14">
        <f>H1472-M1472</f>
        <v/>
      </c>
      <c r="O1472" t="inlineStr">
        <is>
          <t>Não</t>
        </is>
      </c>
      <c r="P1472" t="inlineStr">
        <is>
          <t>1.350</t>
        </is>
      </c>
    </row>
    <row r="1473">
      <c r="A1473" t="inlineStr">
        <is>
          <t>Antes de 2026</t>
        </is>
      </c>
      <c r="B1473" t="inlineStr">
        <is>
          <t>Frete de venda</t>
        </is>
      </c>
      <c r="C1473" t="inlineStr">
        <is>
          <t>Frete de venda (para clientes)</t>
        </is>
      </c>
      <c r="D1473" t="inlineStr">
        <is>
          <t>CT-e</t>
        </is>
      </c>
      <c r="E1473" t="inlineStr">
        <is>
          <t>000004480</t>
        </is>
      </c>
      <c r="F1473" t="inlineStr">
        <is>
          <t>R&amp;R TRANSPORTE E LOGISTICA</t>
        </is>
      </c>
      <c r="G1473" s="27" t="n">
        <v>45831</v>
      </c>
      <c r="H1473" s="14" t="n">
        <v>47.03</v>
      </c>
      <c r="I1473" s="14" t="n">
        <v>0</v>
      </c>
      <c r="J1473" s="14" t="n">
        <v>0</v>
      </c>
      <c r="K1473" s="14" t="n">
        <v>0</v>
      </c>
      <c r="L1473" s="14" t="n">
        <v>0</v>
      </c>
      <c r="M1473" s="14">
        <f>IF(B1473="Frete de venda",0,(1-ISNUMBER(SEARCH("556",P1473)))*(I1473*VLOOKUP($B1473,Premissas!$A$4:$E$7,2,0)+J1473*VLOOKUP($B1473,Premissas!$A$4:$E$7,3,0))+K1473*VLOOKUP($B1473,Premissas!$A$4:$E$7,4,0)+L1473*VLOOKUP($B1473,Premissas!$A$4:$E$7,5,0))</f>
        <v/>
      </c>
      <c r="N1473" s="14">
        <f>H1473-M1473</f>
        <v/>
      </c>
      <c r="O1473" t="inlineStr">
        <is>
          <t>Não</t>
        </is>
      </c>
      <c r="P1473" t="inlineStr">
        <is>
          <t>1.350</t>
        </is>
      </c>
    </row>
    <row r="1474">
      <c r="A1474" t="inlineStr">
        <is>
          <t>Antes de 2026</t>
        </is>
      </c>
      <c r="B1474" t="inlineStr">
        <is>
          <t>Frete de venda</t>
        </is>
      </c>
      <c r="C1474" t="inlineStr">
        <is>
          <t>Frete de venda (para clientes)</t>
        </is>
      </c>
      <c r="D1474" t="inlineStr">
        <is>
          <t>CT-e</t>
        </is>
      </c>
      <c r="E1474" t="inlineStr">
        <is>
          <t>000004150</t>
        </is>
      </c>
      <c r="F1474" t="inlineStr">
        <is>
          <t>R&amp;R TRANSPORTE E LOGISTICA</t>
        </is>
      </c>
      <c r="G1474" s="27" t="n">
        <v>45783</v>
      </c>
      <c r="H1474" s="14" t="n">
        <v>32.78</v>
      </c>
      <c r="I1474" s="14" t="n">
        <v>0</v>
      </c>
      <c r="J1474" s="14" t="n">
        <v>0</v>
      </c>
      <c r="K1474" s="14" t="n">
        <v>0</v>
      </c>
      <c r="L1474" s="14" t="n">
        <v>0</v>
      </c>
      <c r="M1474" s="14">
        <f>IF(B1474="Frete de venda",0,(1-ISNUMBER(SEARCH("556",P1474)))*(I1474*VLOOKUP($B1474,Premissas!$A$4:$E$7,2,0)+J1474*VLOOKUP($B1474,Premissas!$A$4:$E$7,3,0))+K1474*VLOOKUP($B1474,Premissas!$A$4:$E$7,4,0)+L1474*VLOOKUP($B1474,Premissas!$A$4:$E$7,5,0))</f>
        <v/>
      </c>
      <c r="N1474" s="14">
        <f>H1474-M1474</f>
        <v/>
      </c>
      <c r="O1474" t="inlineStr">
        <is>
          <t>Não</t>
        </is>
      </c>
      <c r="P1474" t="inlineStr">
        <is>
          <t>1.350</t>
        </is>
      </c>
    </row>
    <row r="1475">
      <c r="A1475" t="inlineStr">
        <is>
          <t>Antes de 2026</t>
        </is>
      </c>
      <c r="B1475" t="inlineStr">
        <is>
          <t>Frete de venda</t>
        </is>
      </c>
      <c r="C1475" t="inlineStr">
        <is>
          <t>Frete de venda (para clientes)</t>
        </is>
      </c>
      <c r="D1475" t="inlineStr">
        <is>
          <t>CT-e</t>
        </is>
      </c>
      <c r="E1475" t="inlineStr">
        <is>
          <t>000005133</t>
        </is>
      </c>
      <c r="F1475" t="inlineStr">
        <is>
          <t>R&amp;R TRANSPORTE E LOGISTICA</t>
        </is>
      </c>
      <c r="G1475" s="27" t="n">
        <v>45908</v>
      </c>
      <c r="H1475" s="14" t="n">
        <v>20.16</v>
      </c>
      <c r="I1475" s="14" t="n">
        <v>0</v>
      </c>
      <c r="J1475" s="14" t="n">
        <v>0</v>
      </c>
      <c r="K1475" s="14" t="n">
        <v>0</v>
      </c>
      <c r="L1475" s="14" t="n">
        <v>0</v>
      </c>
      <c r="M1475" s="14">
        <f>IF(B1475="Frete de venda",0,(1-ISNUMBER(SEARCH("556",P1475)))*(I1475*VLOOKUP($B1475,Premissas!$A$4:$E$7,2,0)+J1475*VLOOKUP($B1475,Premissas!$A$4:$E$7,3,0))+K1475*VLOOKUP($B1475,Premissas!$A$4:$E$7,4,0)+L1475*VLOOKUP($B1475,Premissas!$A$4:$E$7,5,0))</f>
        <v/>
      </c>
      <c r="N1475" s="14">
        <f>H1475-M1475</f>
        <v/>
      </c>
      <c r="O1475" t="inlineStr">
        <is>
          <t>Não</t>
        </is>
      </c>
      <c r="P1475" t="inlineStr">
        <is>
          <t>1.350</t>
        </is>
      </c>
    </row>
    <row r="1476">
      <c r="A1476" t="inlineStr">
        <is>
          <t>Antes de 2026</t>
        </is>
      </c>
      <c r="B1476" t="inlineStr">
        <is>
          <t>Frete de venda</t>
        </is>
      </c>
      <c r="C1476" t="inlineStr">
        <is>
          <t>Frete de venda (para clientes)</t>
        </is>
      </c>
      <c r="D1476" t="inlineStr">
        <is>
          <t>CT-e</t>
        </is>
      </c>
      <c r="E1476" t="inlineStr">
        <is>
          <t>000005890</t>
        </is>
      </c>
      <c r="F1476" t="inlineStr">
        <is>
          <t>R&amp;R TRANSPORTE E LOGISTICA</t>
        </is>
      </c>
      <c r="G1476" s="27" t="n">
        <v>45993</v>
      </c>
      <c r="H1476" s="14" t="n">
        <v>23.59</v>
      </c>
      <c r="I1476" s="14" t="n">
        <v>0</v>
      </c>
      <c r="J1476" s="14" t="n">
        <v>0</v>
      </c>
      <c r="K1476" s="14" t="n">
        <v>0</v>
      </c>
      <c r="L1476" s="14" t="n">
        <v>0</v>
      </c>
      <c r="M1476" s="14">
        <f>IF(B1476="Frete de venda",0,(1-ISNUMBER(SEARCH("556",P1476)))*(I1476*VLOOKUP($B1476,Premissas!$A$4:$E$7,2,0)+J1476*VLOOKUP($B1476,Premissas!$A$4:$E$7,3,0))+K1476*VLOOKUP($B1476,Premissas!$A$4:$E$7,4,0)+L1476*VLOOKUP($B1476,Premissas!$A$4:$E$7,5,0))</f>
        <v/>
      </c>
      <c r="N1476" s="14">
        <f>H1476-M1476</f>
        <v/>
      </c>
      <c r="O1476" t="inlineStr">
        <is>
          <t>Não</t>
        </is>
      </c>
      <c r="P1476" t="inlineStr">
        <is>
          <t>1.350</t>
        </is>
      </c>
    </row>
    <row r="1477">
      <c r="A1477" t="inlineStr">
        <is>
          <t>Antes de 2026</t>
        </is>
      </c>
      <c r="B1477" t="inlineStr">
        <is>
          <t>Frete de venda</t>
        </is>
      </c>
      <c r="C1477" t="inlineStr">
        <is>
          <t>Frete de venda (para clientes)</t>
        </is>
      </c>
      <c r="D1477" t="inlineStr">
        <is>
          <t>CT-e</t>
        </is>
      </c>
      <c r="E1477" t="inlineStr">
        <is>
          <t>000004157</t>
        </is>
      </c>
      <c r="F1477" t="inlineStr">
        <is>
          <t>R&amp;R TRANSPORTE E LOGISTICA</t>
        </is>
      </c>
      <c r="G1477" s="27" t="n">
        <v>45784</v>
      </c>
      <c r="H1477" s="14" t="n">
        <v>49.49</v>
      </c>
      <c r="I1477" s="14" t="n">
        <v>0</v>
      </c>
      <c r="J1477" s="14" t="n">
        <v>0</v>
      </c>
      <c r="K1477" s="14" t="n">
        <v>0</v>
      </c>
      <c r="L1477" s="14" t="n">
        <v>0</v>
      </c>
      <c r="M1477" s="14">
        <f>IF(B1477="Frete de venda",0,(1-ISNUMBER(SEARCH("556",P1477)))*(I1477*VLOOKUP($B1477,Premissas!$A$4:$E$7,2,0)+J1477*VLOOKUP($B1477,Premissas!$A$4:$E$7,3,0))+K1477*VLOOKUP($B1477,Premissas!$A$4:$E$7,4,0)+L1477*VLOOKUP($B1477,Premissas!$A$4:$E$7,5,0))</f>
        <v/>
      </c>
      <c r="N1477" s="14">
        <f>H1477-M1477</f>
        <v/>
      </c>
      <c r="O1477" t="inlineStr">
        <is>
          <t>Não</t>
        </is>
      </c>
      <c r="P1477" t="inlineStr">
        <is>
          <t>1.350</t>
        </is>
      </c>
    </row>
    <row r="1478">
      <c r="A1478" t="inlineStr">
        <is>
          <t>Antes de 2026</t>
        </is>
      </c>
      <c r="B1478" t="inlineStr">
        <is>
          <t>Frete de venda</t>
        </is>
      </c>
      <c r="C1478" t="inlineStr">
        <is>
          <t>Frete de venda (para clientes)</t>
        </is>
      </c>
      <c r="D1478" t="inlineStr">
        <is>
          <t>CT-e</t>
        </is>
      </c>
      <c r="E1478" t="inlineStr">
        <is>
          <t>000005400</t>
        </is>
      </c>
      <c r="F1478" t="inlineStr">
        <is>
          <t>R&amp;R TRANSPORTE E LOGISTICA</t>
        </is>
      </c>
      <c r="G1478" s="27" t="n">
        <v>45937</v>
      </c>
      <c r="H1478" s="14" t="n">
        <v>19.61</v>
      </c>
      <c r="I1478" s="14" t="n">
        <v>0</v>
      </c>
      <c r="J1478" s="14" t="n">
        <v>0</v>
      </c>
      <c r="K1478" s="14" t="n">
        <v>0</v>
      </c>
      <c r="L1478" s="14" t="n">
        <v>0</v>
      </c>
      <c r="M1478" s="14">
        <f>IF(B1478="Frete de venda",0,(1-ISNUMBER(SEARCH("556",P1478)))*(I1478*VLOOKUP($B1478,Premissas!$A$4:$E$7,2,0)+J1478*VLOOKUP($B1478,Premissas!$A$4:$E$7,3,0))+K1478*VLOOKUP($B1478,Premissas!$A$4:$E$7,4,0)+L1478*VLOOKUP($B1478,Premissas!$A$4:$E$7,5,0))</f>
        <v/>
      </c>
      <c r="N1478" s="14">
        <f>H1478-M1478</f>
        <v/>
      </c>
      <c r="O1478" t="inlineStr">
        <is>
          <t>Não</t>
        </is>
      </c>
      <c r="P1478" t="inlineStr">
        <is>
          <t>1.350</t>
        </is>
      </c>
    </row>
    <row r="1479">
      <c r="A1479" t="inlineStr">
        <is>
          <t>Antes de 2026</t>
        </is>
      </c>
      <c r="B1479" t="inlineStr">
        <is>
          <t>Frete de venda</t>
        </is>
      </c>
      <c r="C1479" t="inlineStr">
        <is>
          <t>Frete de venda (para clientes)</t>
        </is>
      </c>
      <c r="D1479" t="inlineStr">
        <is>
          <t>CT-e</t>
        </is>
      </c>
      <c r="E1479" t="inlineStr">
        <is>
          <t>000006017</t>
        </is>
      </c>
      <c r="F1479" t="inlineStr">
        <is>
          <t>R&amp;R TRANSPORTE E LOGISTICA</t>
        </is>
      </c>
      <c r="G1479" s="27" t="n">
        <v>46010</v>
      </c>
      <c r="H1479" s="14" t="n">
        <v>23.86</v>
      </c>
      <c r="I1479" s="14" t="n">
        <v>0</v>
      </c>
      <c r="J1479" s="14" t="n">
        <v>0</v>
      </c>
      <c r="K1479" s="14" t="n">
        <v>0</v>
      </c>
      <c r="L1479" s="14" t="n">
        <v>0</v>
      </c>
      <c r="M1479" s="14">
        <f>IF(B1479="Frete de venda",0,(1-ISNUMBER(SEARCH("556",P1479)))*(I1479*VLOOKUP($B1479,Premissas!$A$4:$E$7,2,0)+J1479*VLOOKUP($B1479,Premissas!$A$4:$E$7,3,0))+K1479*VLOOKUP($B1479,Premissas!$A$4:$E$7,4,0)+L1479*VLOOKUP($B1479,Premissas!$A$4:$E$7,5,0))</f>
        <v/>
      </c>
      <c r="N1479" s="14">
        <f>H1479-M1479</f>
        <v/>
      </c>
      <c r="O1479" t="inlineStr">
        <is>
          <t>Não</t>
        </is>
      </c>
      <c r="P1479" t="inlineStr">
        <is>
          <t>1.350</t>
        </is>
      </c>
    </row>
    <row r="1480">
      <c r="A1480" t="inlineStr">
        <is>
          <t>Antes de 2026</t>
        </is>
      </c>
      <c r="B1480" t="inlineStr">
        <is>
          <t>Frete de venda</t>
        </is>
      </c>
      <c r="C1480" t="inlineStr">
        <is>
          <t>Frete de venda (para clientes)</t>
        </is>
      </c>
      <c r="D1480" t="inlineStr">
        <is>
          <t>CT-e</t>
        </is>
      </c>
      <c r="E1480" t="inlineStr">
        <is>
          <t>000004896</t>
        </is>
      </c>
      <c r="F1480" t="inlineStr">
        <is>
          <t>R&amp;R TRANSPORTE E LOGISTICA</t>
        </is>
      </c>
      <c r="G1480" s="27" t="n">
        <v>45881</v>
      </c>
      <c r="H1480" s="14" t="n">
        <v>25.81</v>
      </c>
      <c r="I1480" s="14" t="n">
        <v>0</v>
      </c>
      <c r="J1480" s="14" t="n">
        <v>0</v>
      </c>
      <c r="K1480" s="14" t="n">
        <v>0</v>
      </c>
      <c r="L1480" s="14" t="n">
        <v>0</v>
      </c>
      <c r="M1480" s="14">
        <f>IF(B1480="Frete de venda",0,(1-ISNUMBER(SEARCH("556",P1480)))*(I1480*VLOOKUP($B1480,Premissas!$A$4:$E$7,2,0)+J1480*VLOOKUP($B1480,Premissas!$A$4:$E$7,3,0))+K1480*VLOOKUP($B1480,Premissas!$A$4:$E$7,4,0)+L1480*VLOOKUP($B1480,Premissas!$A$4:$E$7,5,0))</f>
        <v/>
      </c>
      <c r="N1480" s="14">
        <f>H1480-M1480</f>
        <v/>
      </c>
      <c r="O1480" t="inlineStr">
        <is>
          <t>Não</t>
        </is>
      </c>
      <c r="P1480" t="inlineStr">
        <is>
          <t>1.350</t>
        </is>
      </c>
    </row>
    <row r="1481">
      <c r="A1481" t="inlineStr">
        <is>
          <t>Antes de 2026</t>
        </is>
      </c>
      <c r="B1481" t="inlineStr">
        <is>
          <t>Frete de venda</t>
        </is>
      </c>
      <c r="C1481" t="inlineStr">
        <is>
          <t>Frete de venda (para clientes)</t>
        </is>
      </c>
      <c r="D1481" t="inlineStr">
        <is>
          <t>CT-e</t>
        </is>
      </c>
      <c r="E1481" t="inlineStr">
        <is>
          <t>000005685</t>
        </is>
      </c>
      <c r="F1481" t="inlineStr">
        <is>
          <t>R&amp;R TRANSPORTE E LOGISTICA</t>
        </is>
      </c>
      <c r="G1481" s="27" t="n">
        <v>45967</v>
      </c>
      <c r="H1481" s="14" t="n">
        <v>16</v>
      </c>
      <c r="I1481" s="14" t="n">
        <v>0</v>
      </c>
      <c r="J1481" s="14" t="n">
        <v>0</v>
      </c>
      <c r="K1481" s="14" t="n">
        <v>0</v>
      </c>
      <c r="L1481" s="14" t="n">
        <v>0</v>
      </c>
      <c r="M1481" s="14">
        <f>IF(B1481="Frete de venda",0,(1-ISNUMBER(SEARCH("556",P1481)))*(I1481*VLOOKUP($B1481,Premissas!$A$4:$E$7,2,0)+J1481*VLOOKUP($B1481,Premissas!$A$4:$E$7,3,0))+K1481*VLOOKUP($B1481,Premissas!$A$4:$E$7,4,0)+L1481*VLOOKUP($B1481,Premissas!$A$4:$E$7,5,0))</f>
        <v/>
      </c>
      <c r="N1481" s="14">
        <f>H1481-M1481</f>
        <v/>
      </c>
      <c r="O1481" t="inlineStr">
        <is>
          <t>Não</t>
        </is>
      </c>
      <c r="P1481" t="inlineStr">
        <is>
          <t>1.350</t>
        </is>
      </c>
    </row>
    <row r="1482">
      <c r="A1482" t="inlineStr">
        <is>
          <t>Antes de 2026</t>
        </is>
      </c>
      <c r="B1482" t="inlineStr">
        <is>
          <t>Frete de venda</t>
        </is>
      </c>
      <c r="C1482" t="inlineStr">
        <is>
          <t>Frete de venda (para clientes)</t>
        </is>
      </c>
      <c r="D1482" t="inlineStr">
        <is>
          <t>CT-e</t>
        </is>
      </c>
      <c r="E1482" t="inlineStr">
        <is>
          <t>000006023</t>
        </is>
      </c>
      <c r="F1482" t="inlineStr">
        <is>
          <t>R&amp;R TRANSPORTE E LOGISTICA</t>
        </is>
      </c>
      <c r="G1482" s="27" t="n">
        <v>46010</v>
      </c>
      <c r="H1482" s="14" t="n">
        <v>30.53</v>
      </c>
      <c r="I1482" s="14" t="n">
        <v>0</v>
      </c>
      <c r="J1482" s="14" t="n">
        <v>0</v>
      </c>
      <c r="K1482" s="14" t="n">
        <v>0</v>
      </c>
      <c r="L1482" s="14" t="n">
        <v>0</v>
      </c>
      <c r="M1482" s="14">
        <f>IF(B1482="Frete de venda",0,(1-ISNUMBER(SEARCH("556",P1482)))*(I1482*VLOOKUP($B1482,Premissas!$A$4:$E$7,2,0)+J1482*VLOOKUP($B1482,Premissas!$A$4:$E$7,3,0))+K1482*VLOOKUP($B1482,Premissas!$A$4:$E$7,4,0)+L1482*VLOOKUP($B1482,Premissas!$A$4:$E$7,5,0))</f>
        <v/>
      </c>
      <c r="N1482" s="14">
        <f>H1482-M1482</f>
        <v/>
      </c>
      <c r="O1482" t="inlineStr">
        <is>
          <t>Não</t>
        </is>
      </c>
      <c r="P1482" t="inlineStr">
        <is>
          <t>1.350</t>
        </is>
      </c>
    </row>
    <row r="1483">
      <c r="A1483" t="inlineStr">
        <is>
          <t>Antes de 2026</t>
        </is>
      </c>
      <c r="B1483" t="inlineStr">
        <is>
          <t>Frete de venda</t>
        </is>
      </c>
      <c r="C1483" t="inlineStr">
        <is>
          <t>Frete de venda (para clientes)</t>
        </is>
      </c>
      <c r="D1483" t="inlineStr">
        <is>
          <t>CT-e</t>
        </is>
      </c>
      <c r="E1483" t="inlineStr">
        <is>
          <t>000004506</t>
        </is>
      </c>
      <c r="F1483" t="inlineStr">
        <is>
          <t>R&amp;R TRANSPORTE E LOGISTICA</t>
        </is>
      </c>
      <c r="G1483" s="27" t="n">
        <v>45833</v>
      </c>
      <c r="H1483" s="14" t="n">
        <v>30.83</v>
      </c>
      <c r="I1483" s="14" t="n">
        <v>0</v>
      </c>
      <c r="J1483" s="14" t="n">
        <v>0</v>
      </c>
      <c r="K1483" s="14" t="n">
        <v>0</v>
      </c>
      <c r="L1483" s="14" t="n">
        <v>0</v>
      </c>
      <c r="M1483" s="14">
        <f>IF(B1483="Frete de venda",0,(1-ISNUMBER(SEARCH("556",P1483)))*(I1483*VLOOKUP($B1483,Premissas!$A$4:$E$7,2,0)+J1483*VLOOKUP($B1483,Premissas!$A$4:$E$7,3,0))+K1483*VLOOKUP($B1483,Premissas!$A$4:$E$7,4,0)+L1483*VLOOKUP($B1483,Premissas!$A$4:$E$7,5,0))</f>
        <v/>
      </c>
      <c r="N1483" s="14">
        <f>H1483-M1483</f>
        <v/>
      </c>
      <c r="O1483" t="inlineStr">
        <is>
          <t>Não</t>
        </is>
      </c>
      <c r="P1483" t="inlineStr">
        <is>
          <t>1.350</t>
        </is>
      </c>
    </row>
    <row r="1484">
      <c r="A1484" t="inlineStr">
        <is>
          <t>Antes de 2026</t>
        </is>
      </c>
      <c r="B1484" t="inlineStr">
        <is>
          <t>Frete de venda</t>
        </is>
      </c>
      <c r="C1484" t="inlineStr">
        <is>
          <t>Frete de venda (para clientes)</t>
        </is>
      </c>
      <c r="D1484" t="inlineStr">
        <is>
          <t>CT-e</t>
        </is>
      </c>
      <c r="E1484" t="inlineStr">
        <is>
          <t>000004108</t>
        </is>
      </c>
      <c r="F1484" t="inlineStr">
        <is>
          <t>R&amp;R TRANSPORTE E LOGISTICA</t>
        </is>
      </c>
      <c r="G1484" s="27" t="n">
        <v>45776</v>
      </c>
      <c r="H1484" s="14" t="n">
        <v>58.92</v>
      </c>
      <c r="I1484" s="14" t="n">
        <v>0</v>
      </c>
      <c r="J1484" s="14" t="n">
        <v>0</v>
      </c>
      <c r="K1484" s="14" t="n">
        <v>0</v>
      </c>
      <c r="L1484" s="14" t="n">
        <v>0</v>
      </c>
      <c r="M1484" s="14">
        <f>IF(B1484="Frete de venda",0,(1-ISNUMBER(SEARCH("556",P1484)))*(I1484*VLOOKUP($B1484,Premissas!$A$4:$E$7,2,0)+J1484*VLOOKUP($B1484,Premissas!$A$4:$E$7,3,0))+K1484*VLOOKUP($B1484,Premissas!$A$4:$E$7,4,0)+L1484*VLOOKUP($B1484,Premissas!$A$4:$E$7,5,0))</f>
        <v/>
      </c>
      <c r="N1484" s="14">
        <f>H1484-M1484</f>
        <v/>
      </c>
      <c r="O1484" t="inlineStr">
        <is>
          <t>Não</t>
        </is>
      </c>
      <c r="P1484" t="inlineStr">
        <is>
          <t>1.350</t>
        </is>
      </c>
    </row>
    <row r="1485">
      <c r="A1485" t="inlineStr">
        <is>
          <t>Antes de 2026</t>
        </is>
      </c>
      <c r="B1485" t="inlineStr">
        <is>
          <t>Frete de venda</t>
        </is>
      </c>
      <c r="C1485" t="inlineStr">
        <is>
          <t>Frete de venda (para clientes)</t>
        </is>
      </c>
      <c r="D1485" t="inlineStr">
        <is>
          <t>CT-e</t>
        </is>
      </c>
      <c r="E1485" t="inlineStr">
        <is>
          <t>000004403</t>
        </is>
      </c>
      <c r="F1485" t="inlineStr">
        <is>
          <t>R&amp;R TRANSPORTE E LOGISTICA</t>
        </is>
      </c>
      <c r="G1485" s="27" t="n">
        <v>45818</v>
      </c>
      <c r="H1485" s="14" t="n">
        <v>47</v>
      </c>
      <c r="I1485" s="14" t="n">
        <v>0</v>
      </c>
      <c r="J1485" s="14" t="n">
        <v>0</v>
      </c>
      <c r="K1485" s="14" t="n">
        <v>0</v>
      </c>
      <c r="L1485" s="14" t="n">
        <v>0</v>
      </c>
      <c r="M1485" s="14">
        <f>IF(B1485="Frete de venda",0,(1-ISNUMBER(SEARCH("556",P1485)))*(I1485*VLOOKUP($B1485,Premissas!$A$4:$E$7,2,0)+J1485*VLOOKUP($B1485,Premissas!$A$4:$E$7,3,0))+K1485*VLOOKUP($B1485,Premissas!$A$4:$E$7,4,0)+L1485*VLOOKUP($B1485,Premissas!$A$4:$E$7,5,0))</f>
        <v/>
      </c>
      <c r="N1485" s="14">
        <f>H1485-M1485</f>
        <v/>
      </c>
      <c r="O1485" t="inlineStr">
        <is>
          <t>Não</t>
        </is>
      </c>
      <c r="P1485" t="inlineStr">
        <is>
          <t>1.350</t>
        </is>
      </c>
    </row>
    <row r="1486">
      <c r="A1486" t="inlineStr">
        <is>
          <t>Antes de 2026</t>
        </is>
      </c>
      <c r="B1486" t="inlineStr">
        <is>
          <t>Frete de venda</t>
        </is>
      </c>
      <c r="C1486" t="inlineStr">
        <is>
          <t>Frete de venda (para clientes)</t>
        </is>
      </c>
      <c r="D1486" t="inlineStr">
        <is>
          <t>CT-e</t>
        </is>
      </c>
      <c r="E1486" t="inlineStr">
        <is>
          <t>000004576</t>
        </is>
      </c>
      <c r="F1486" t="inlineStr">
        <is>
          <t>R&amp;R TRANSPORTE E LOGISTICA</t>
        </is>
      </c>
      <c r="G1486" s="27" t="n">
        <v>45842</v>
      </c>
      <c r="H1486" s="14" t="n">
        <v>114.13</v>
      </c>
      <c r="I1486" s="14" t="n">
        <v>0</v>
      </c>
      <c r="J1486" s="14" t="n">
        <v>0</v>
      </c>
      <c r="K1486" s="14" t="n">
        <v>0</v>
      </c>
      <c r="L1486" s="14" t="n">
        <v>0</v>
      </c>
      <c r="M1486" s="14">
        <f>IF(B1486="Frete de venda",0,(1-ISNUMBER(SEARCH("556",P1486)))*(I1486*VLOOKUP($B1486,Premissas!$A$4:$E$7,2,0)+J1486*VLOOKUP($B1486,Premissas!$A$4:$E$7,3,0))+K1486*VLOOKUP($B1486,Premissas!$A$4:$E$7,4,0)+L1486*VLOOKUP($B1486,Premissas!$A$4:$E$7,5,0))</f>
        <v/>
      </c>
      <c r="N1486" s="14">
        <f>H1486-M1486</f>
        <v/>
      </c>
      <c r="O1486" t="inlineStr">
        <is>
          <t>Não</t>
        </is>
      </c>
      <c r="P1486" t="inlineStr">
        <is>
          <t>1.350</t>
        </is>
      </c>
    </row>
    <row r="1487">
      <c r="A1487" t="inlineStr">
        <is>
          <t>Antes de 2026</t>
        </is>
      </c>
      <c r="B1487" t="inlineStr">
        <is>
          <t>Frete de venda</t>
        </is>
      </c>
      <c r="C1487" t="inlineStr">
        <is>
          <t>Frete de venda (para clientes)</t>
        </is>
      </c>
      <c r="D1487" t="inlineStr">
        <is>
          <t>CT-e</t>
        </is>
      </c>
      <c r="E1487" t="inlineStr">
        <is>
          <t>000004982</t>
        </is>
      </c>
      <c r="F1487" t="inlineStr">
        <is>
          <t>R&amp;R TRANSPORTE E LOGISTICA</t>
        </is>
      </c>
      <c r="G1487" s="27" t="n">
        <v>45891</v>
      </c>
      <c r="H1487" s="14" t="n">
        <v>205.91</v>
      </c>
      <c r="I1487" s="14" t="n">
        <v>0</v>
      </c>
      <c r="J1487" s="14" t="n">
        <v>0</v>
      </c>
      <c r="K1487" s="14" t="n">
        <v>0</v>
      </c>
      <c r="L1487" s="14" t="n">
        <v>0</v>
      </c>
      <c r="M1487" s="14">
        <f>IF(B1487="Frete de venda",0,(1-ISNUMBER(SEARCH("556",P1487)))*(I1487*VLOOKUP($B1487,Premissas!$A$4:$E$7,2,0)+J1487*VLOOKUP($B1487,Premissas!$A$4:$E$7,3,0))+K1487*VLOOKUP($B1487,Premissas!$A$4:$E$7,4,0)+L1487*VLOOKUP($B1487,Premissas!$A$4:$E$7,5,0))</f>
        <v/>
      </c>
      <c r="N1487" s="14">
        <f>H1487-M1487</f>
        <v/>
      </c>
      <c r="O1487" t="inlineStr">
        <is>
          <t>Não</t>
        </is>
      </c>
      <c r="P1487" t="inlineStr">
        <is>
          <t>1.350</t>
        </is>
      </c>
    </row>
    <row r="1488">
      <c r="A1488" t="inlineStr">
        <is>
          <t>Antes de 2026</t>
        </is>
      </c>
      <c r="B1488" t="inlineStr">
        <is>
          <t>Frete de venda</t>
        </is>
      </c>
      <c r="C1488" t="inlineStr">
        <is>
          <t>Frete de venda (para clientes)</t>
        </is>
      </c>
      <c r="D1488" t="inlineStr">
        <is>
          <t>CT-e</t>
        </is>
      </c>
      <c r="E1488" t="inlineStr">
        <is>
          <t>000004981</t>
        </is>
      </c>
      <c r="F1488" t="inlineStr">
        <is>
          <t>R&amp;R TRANSPORTE E LOGISTICA</t>
        </is>
      </c>
      <c r="G1488" s="27" t="n">
        <v>45891</v>
      </c>
      <c r="H1488" s="14" t="n">
        <v>100.85</v>
      </c>
      <c r="I1488" s="14" t="n">
        <v>0</v>
      </c>
      <c r="J1488" s="14" t="n">
        <v>0</v>
      </c>
      <c r="K1488" s="14" t="n">
        <v>0</v>
      </c>
      <c r="L1488" s="14" t="n">
        <v>0</v>
      </c>
      <c r="M1488" s="14">
        <f>IF(B1488="Frete de venda",0,(1-ISNUMBER(SEARCH("556",P1488)))*(I1488*VLOOKUP($B1488,Premissas!$A$4:$E$7,2,0)+J1488*VLOOKUP($B1488,Premissas!$A$4:$E$7,3,0))+K1488*VLOOKUP($B1488,Premissas!$A$4:$E$7,4,0)+L1488*VLOOKUP($B1488,Premissas!$A$4:$E$7,5,0))</f>
        <v/>
      </c>
      <c r="N1488" s="14">
        <f>H1488-M1488</f>
        <v/>
      </c>
      <c r="O1488" t="inlineStr">
        <is>
          <t>Não</t>
        </is>
      </c>
      <c r="P1488" t="inlineStr">
        <is>
          <t>1.350</t>
        </is>
      </c>
    </row>
    <row r="1489">
      <c r="A1489" t="inlineStr">
        <is>
          <t>Antes de 2026</t>
        </is>
      </c>
      <c r="B1489" t="inlineStr">
        <is>
          <t>Frete de venda</t>
        </is>
      </c>
      <c r="C1489" t="inlineStr">
        <is>
          <t>Frete de venda (para clientes)</t>
        </is>
      </c>
      <c r="D1489" t="inlineStr">
        <is>
          <t>CT-e</t>
        </is>
      </c>
      <c r="E1489" t="inlineStr">
        <is>
          <t>000005550</t>
        </is>
      </c>
      <c r="F1489" t="inlineStr">
        <is>
          <t>R&amp;R TRANSPORTE E LOGISTICA</t>
        </is>
      </c>
      <c r="G1489" s="27" t="n">
        <v>45954</v>
      </c>
      <c r="H1489" s="14" t="n">
        <v>149.06</v>
      </c>
      <c r="I1489" s="14" t="n">
        <v>0</v>
      </c>
      <c r="J1489" s="14" t="n">
        <v>0</v>
      </c>
      <c r="K1489" s="14" t="n">
        <v>0</v>
      </c>
      <c r="L1489" s="14" t="n">
        <v>0</v>
      </c>
      <c r="M1489" s="14">
        <f>IF(B1489="Frete de venda",0,(1-ISNUMBER(SEARCH("556",P1489)))*(I1489*VLOOKUP($B1489,Premissas!$A$4:$E$7,2,0)+J1489*VLOOKUP($B1489,Premissas!$A$4:$E$7,3,0))+K1489*VLOOKUP($B1489,Premissas!$A$4:$E$7,4,0)+L1489*VLOOKUP($B1489,Premissas!$A$4:$E$7,5,0))</f>
        <v/>
      </c>
      <c r="N1489" s="14">
        <f>H1489-M1489</f>
        <v/>
      </c>
      <c r="O1489" t="inlineStr">
        <is>
          <t>Não</t>
        </is>
      </c>
      <c r="P1489" t="inlineStr">
        <is>
          <t>1.350</t>
        </is>
      </c>
    </row>
    <row r="1490">
      <c r="A1490" t="inlineStr">
        <is>
          <t>Antes de 2026</t>
        </is>
      </c>
      <c r="B1490" t="inlineStr">
        <is>
          <t>Frete de venda</t>
        </is>
      </c>
      <c r="C1490" t="inlineStr">
        <is>
          <t>Frete de venda (para clientes)</t>
        </is>
      </c>
      <c r="D1490" t="inlineStr">
        <is>
          <t>CT-e</t>
        </is>
      </c>
      <c r="E1490" t="inlineStr">
        <is>
          <t>000004573</t>
        </is>
      </c>
      <c r="F1490" t="inlineStr">
        <is>
          <t>R&amp;R TRANSPORTE E LOGISTICA</t>
        </is>
      </c>
      <c r="G1490" s="27" t="n">
        <v>45841</v>
      </c>
      <c r="H1490" s="14" t="n">
        <v>34.79</v>
      </c>
      <c r="I1490" s="14" t="n">
        <v>0</v>
      </c>
      <c r="J1490" s="14" t="n">
        <v>0</v>
      </c>
      <c r="K1490" s="14" t="n">
        <v>0</v>
      </c>
      <c r="L1490" s="14" t="n">
        <v>0</v>
      </c>
      <c r="M1490" s="14">
        <f>IF(B1490="Frete de venda",0,(1-ISNUMBER(SEARCH("556",P1490)))*(I1490*VLOOKUP($B1490,Premissas!$A$4:$E$7,2,0)+J1490*VLOOKUP($B1490,Premissas!$A$4:$E$7,3,0))+K1490*VLOOKUP($B1490,Premissas!$A$4:$E$7,4,0)+L1490*VLOOKUP($B1490,Premissas!$A$4:$E$7,5,0))</f>
        <v/>
      </c>
      <c r="N1490" s="14">
        <f>H1490-M1490</f>
        <v/>
      </c>
      <c r="O1490" t="inlineStr">
        <is>
          <t>Não</t>
        </is>
      </c>
      <c r="P1490" t="inlineStr">
        <is>
          <t>1.350</t>
        </is>
      </c>
    </row>
    <row r="1491">
      <c r="A1491" t="inlineStr">
        <is>
          <t>Antes de 2026</t>
        </is>
      </c>
      <c r="B1491" t="inlineStr">
        <is>
          <t>Frete de venda</t>
        </is>
      </c>
      <c r="C1491" t="inlineStr">
        <is>
          <t>Frete de venda (para clientes)</t>
        </is>
      </c>
      <c r="D1491" t="inlineStr">
        <is>
          <t>CT-e</t>
        </is>
      </c>
      <c r="E1491" t="inlineStr">
        <is>
          <t>000004384</t>
        </is>
      </c>
      <c r="F1491" t="inlineStr">
        <is>
          <t>R&amp;R TRANSPORTE E LOGISTICA</t>
        </is>
      </c>
      <c r="G1491" s="27" t="n">
        <v>45813</v>
      </c>
      <c r="H1491" s="14" t="n">
        <v>173.32</v>
      </c>
      <c r="I1491" s="14" t="n">
        <v>0</v>
      </c>
      <c r="J1491" s="14" t="n">
        <v>0</v>
      </c>
      <c r="K1491" s="14" t="n">
        <v>0</v>
      </c>
      <c r="L1491" s="14" t="n">
        <v>0</v>
      </c>
      <c r="M1491" s="14">
        <f>IF(B1491="Frete de venda",0,(1-ISNUMBER(SEARCH("556",P1491)))*(I1491*VLOOKUP($B1491,Premissas!$A$4:$E$7,2,0)+J1491*VLOOKUP($B1491,Premissas!$A$4:$E$7,3,0))+K1491*VLOOKUP($B1491,Premissas!$A$4:$E$7,4,0)+L1491*VLOOKUP($B1491,Premissas!$A$4:$E$7,5,0))</f>
        <v/>
      </c>
      <c r="N1491" s="14">
        <f>H1491-M1491</f>
        <v/>
      </c>
      <c r="O1491" t="inlineStr">
        <is>
          <t>Não</t>
        </is>
      </c>
      <c r="P1491" t="inlineStr">
        <is>
          <t>1.350</t>
        </is>
      </c>
    </row>
    <row r="1492">
      <c r="A1492" t="inlineStr">
        <is>
          <t>Antes de 2026</t>
        </is>
      </c>
      <c r="B1492" t="inlineStr">
        <is>
          <t>Frete de venda</t>
        </is>
      </c>
      <c r="C1492" t="inlineStr">
        <is>
          <t>Frete de venda (para clientes)</t>
        </is>
      </c>
      <c r="D1492" t="inlineStr">
        <is>
          <t>CT-e</t>
        </is>
      </c>
      <c r="E1492" t="inlineStr">
        <is>
          <t>000005175</t>
        </is>
      </c>
      <c r="F1492" t="inlineStr">
        <is>
          <t>R&amp;R TRANSPORTE E LOGISTICA</t>
        </is>
      </c>
      <c r="G1492" s="27" t="n">
        <v>45913</v>
      </c>
      <c r="H1492" s="14" t="n">
        <v>164.77</v>
      </c>
      <c r="I1492" s="14" t="n">
        <v>0</v>
      </c>
      <c r="J1492" s="14" t="n">
        <v>0</v>
      </c>
      <c r="K1492" s="14" t="n">
        <v>0</v>
      </c>
      <c r="L1492" s="14" t="n">
        <v>0</v>
      </c>
      <c r="M1492" s="14">
        <f>IF(B1492="Frete de venda",0,(1-ISNUMBER(SEARCH("556",P1492)))*(I1492*VLOOKUP($B1492,Premissas!$A$4:$E$7,2,0)+J1492*VLOOKUP($B1492,Premissas!$A$4:$E$7,3,0))+K1492*VLOOKUP($B1492,Premissas!$A$4:$E$7,4,0)+L1492*VLOOKUP($B1492,Premissas!$A$4:$E$7,5,0))</f>
        <v/>
      </c>
      <c r="N1492" s="14">
        <f>H1492-M1492</f>
        <v/>
      </c>
      <c r="O1492" t="inlineStr">
        <is>
          <t>Não</t>
        </is>
      </c>
      <c r="P1492" t="inlineStr">
        <is>
          <t>1.350</t>
        </is>
      </c>
    </row>
    <row r="1493">
      <c r="A1493" t="inlineStr">
        <is>
          <t>Antes de 2026</t>
        </is>
      </c>
      <c r="B1493" t="inlineStr">
        <is>
          <t>Frete de venda</t>
        </is>
      </c>
      <c r="C1493" t="inlineStr">
        <is>
          <t>Frete de venda (para clientes)</t>
        </is>
      </c>
      <c r="D1493" t="inlineStr">
        <is>
          <t>CT-e</t>
        </is>
      </c>
      <c r="E1493" t="inlineStr">
        <is>
          <t>000004216</t>
        </is>
      </c>
      <c r="F1493" t="inlineStr">
        <is>
          <t>R&amp;R TRANSPORTE E LOGISTICA</t>
        </is>
      </c>
      <c r="G1493" s="27" t="n">
        <v>45790</v>
      </c>
      <c r="H1493" s="14" t="n">
        <v>51.68</v>
      </c>
      <c r="I1493" s="14" t="n">
        <v>0</v>
      </c>
      <c r="J1493" s="14" t="n">
        <v>0</v>
      </c>
      <c r="K1493" s="14" t="n">
        <v>0</v>
      </c>
      <c r="L1493" s="14" t="n">
        <v>0</v>
      </c>
      <c r="M1493" s="14">
        <f>IF(B1493="Frete de venda",0,(1-ISNUMBER(SEARCH("556",P1493)))*(I1493*VLOOKUP($B1493,Premissas!$A$4:$E$7,2,0)+J1493*VLOOKUP($B1493,Premissas!$A$4:$E$7,3,0))+K1493*VLOOKUP($B1493,Premissas!$A$4:$E$7,4,0)+L1493*VLOOKUP($B1493,Premissas!$A$4:$E$7,5,0))</f>
        <v/>
      </c>
      <c r="N1493" s="14">
        <f>H1493-M1493</f>
        <v/>
      </c>
      <c r="O1493" t="inlineStr">
        <is>
          <t>Não</t>
        </is>
      </c>
      <c r="P1493" t="inlineStr">
        <is>
          <t>1.350</t>
        </is>
      </c>
    </row>
    <row r="1494">
      <c r="A1494" t="inlineStr">
        <is>
          <t>Antes de 2026</t>
        </is>
      </c>
      <c r="B1494" t="inlineStr">
        <is>
          <t>Frete de venda</t>
        </is>
      </c>
      <c r="C1494" t="inlineStr">
        <is>
          <t>Frete de venda (para clientes)</t>
        </is>
      </c>
      <c r="D1494" t="inlineStr">
        <is>
          <t>CT-e</t>
        </is>
      </c>
      <c r="E1494" t="inlineStr">
        <is>
          <t>000004274</t>
        </is>
      </c>
      <c r="F1494" t="inlineStr">
        <is>
          <t>R&amp;R TRANSPORTE E LOGISTICA</t>
        </is>
      </c>
      <c r="G1494" s="27" t="n">
        <v>45800</v>
      </c>
      <c r="H1494" s="14" t="n">
        <v>40.43</v>
      </c>
      <c r="I1494" s="14" t="n">
        <v>0</v>
      </c>
      <c r="J1494" s="14" t="n">
        <v>0</v>
      </c>
      <c r="K1494" s="14" t="n">
        <v>0</v>
      </c>
      <c r="L1494" s="14" t="n">
        <v>0</v>
      </c>
      <c r="M1494" s="14">
        <f>IF(B1494="Frete de venda",0,(1-ISNUMBER(SEARCH("556",P1494)))*(I1494*VLOOKUP($B1494,Premissas!$A$4:$E$7,2,0)+J1494*VLOOKUP($B1494,Premissas!$A$4:$E$7,3,0))+K1494*VLOOKUP($B1494,Premissas!$A$4:$E$7,4,0)+L1494*VLOOKUP($B1494,Premissas!$A$4:$E$7,5,0))</f>
        <v/>
      </c>
      <c r="N1494" s="14">
        <f>H1494-M1494</f>
        <v/>
      </c>
      <c r="O1494" t="inlineStr">
        <is>
          <t>Não</t>
        </is>
      </c>
      <c r="P1494" t="inlineStr">
        <is>
          <t>1.350</t>
        </is>
      </c>
    </row>
    <row r="1495">
      <c r="A1495" t="inlineStr">
        <is>
          <t>Antes de 2026</t>
        </is>
      </c>
      <c r="B1495" t="inlineStr">
        <is>
          <t>Frete de venda</t>
        </is>
      </c>
      <c r="C1495" t="inlineStr">
        <is>
          <t>Frete de venda (para clientes)</t>
        </is>
      </c>
      <c r="D1495" t="inlineStr">
        <is>
          <t>CT-e</t>
        </is>
      </c>
      <c r="E1495" t="inlineStr">
        <is>
          <t>000005874</t>
        </is>
      </c>
      <c r="F1495" t="inlineStr">
        <is>
          <t>R&amp;R TRANSPORTE E LOGISTICA</t>
        </is>
      </c>
      <c r="G1495" s="27" t="n">
        <v>45990</v>
      </c>
      <c r="H1495" s="14" t="n">
        <v>33.75</v>
      </c>
      <c r="I1495" s="14" t="n">
        <v>0</v>
      </c>
      <c r="J1495" s="14" t="n">
        <v>0</v>
      </c>
      <c r="K1495" s="14" t="n">
        <v>0</v>
      </c>
      <c r="L1495" s="14" t="n">
        <v>0</v>
      </c>
      <c r="M1495" s="14">
        <f>IF(B1495="Frete de venda",0,(1-ISNUMBER(SEARCH("556",P1495)))*(I1495*VLOOKUP($B1495,Premissas!$A$4:$E$7,2,0)+J1495*VLOOKUP($B1495,Premissas!$A$4:$E$7,3,0))+K1495*VLOOKUP($B1495,Premissas!$A$4:$E$7,4,0)+L1495*VLOOKUP($B1495,Premissas!$A$4:$E$7,5,0))</f>
        <v/>
      </c>
      <c r="N1495" s="14">
        <f>H1495-M1495</f>
        <v/>
      </c>
      <c r="O1495" t="inlineStr">
        <is>
          <t>Não</t>
        </is>
      </c>
      <c r="P1495" t="inlineStr">
        <is>
          <t>1.350</t>
        </is>
      </c>
    </row>
    <row r="1496">
      <c r="A1496" t="inlineStr">
        <is>
          <t>Antes de 2026</t>
        </is>
      </c>
      <c r="B1496" t="inlineStr">
        <is>
          <t>Frete de venda</t>
        </is>
      </c>
      <c r="C1496" t="inlineStr">
        <is>
          <t>Frete de venda (para clientes)</t>
        </is>
      </c>
      <c r="D1496" t="inlineStr">
        <is>
          <t>CT-e</t>
        </is>
      </c>
      <c r="E1496" t="inlineStr">
        <is>
          <t>000004619</t>
        </is>
      </c>
      <c r="F1496" t="inlineStr">
        <is>
          <t>R&amp;R TRANSPORTE E LOGISTICA</t>
        </is>
      </c>
      <c r="G1496" s="27" t="n">
        <v>45848</v>
      </c>
      <c r="H1496" s="14" t="n">
        <v>176.32</v>
      </c>
      <c r="I1496" s="14" t="n">
        <v>0</v>
      </c>
      <c r="J1496" s="14" t="n">
        <v>0</v>
      </c>
      <c r="K1496" s="14" t="n">
        <v>0</v>
      </c>
      <c r="L1496" s="14" t="n">
        <v>0</v>
      </c>
      <c r="M1496" s="14">
        <f>IF(B1496="Frete de venda",0,(1-ISNUMBER(SEARCH("556",P1496)))*(I1496*VLOOKUP($B1496,Premissas!$A$4:$E$7,2,0)+J1496*VLOOKUP($B1496,Premissas!$A$4:$E$7,3,0))+K1496*VLOOKUP($B1496,Premissas!$A$4:$E$7,4,0)+L1496*VLOOKUP($B1496,Premissas!$A$4:$E$7,5,0))</f>
        <v/>
      </c>
      <c r="N1496" s="14">
        <f>H1496-M1496</f>
        <v/>
      </c>
      <c r="O1496" t="inlineStr">
        <is>
          <t>Não</t>
        </is>
      </c>
      <c r="P1496" t="inlineStr">
        <is>
          <t>1.350</t>
        </is>
      </c>
    </row>
    <row r="1497">
      <c r="A1497" t="inlineStr">
        <is>
          <t>Antes de 2026</t>
        </is>
      </c>
      <c r="B1497" t="inlineStr">
        <is>
          <t>Frete de venda</t>
        </is>
      </c>
      <c r="C1497" t="inlineStr">
        <is>
          <t>Frete de venda (para clientes)</t>
        </is>
      </c>
      <c r="D1497" t="inlineStr">
        <is>
          <t>CT-e</t>
        </is>
      </c>
      <c r="E1497" t="inlineStr">
        <is>
          <t>000005353</t>
        </is>
      </c>
      <c r="F1497" t="inlineStr">
        <is>
          <t>R&amp;R TRANSPORTE E LOGISTICA</t>
        </is>
      </c>
      <c r="G1497" s="27" t="n">
        <v>45929</v>
      </c>
      <c r="H1497" s="14" t="n">
        <v>14.44</v>
      </c>
      <c r="I1497" s="14" t="n">
        <v>0</v>
      </c>
      <c r="J1497" s="14" t="n">
        <v>0</v>
      </c>
      <c r="K1497" s="14" t="n">
        <v>0</v>
      </c>
      <c r="L1497" s="14" t="n">
        <v>0</v>
      </c>
      <c r="M1497" s="14">
        <f>IF(B1497="Frete de venda",0,(1-ISNUMBER(SEARCH("556",P1497)))*(I1497*VLOOKUP($B1497,Premissas!$A$4:$E$7,2,0)+J1497*VLOOKUP($B1497,Premissas!$A$4:$E$7,3,0))+K1497*VLOOKUP($B1497,Premissas!$A$4:$E$7,4,0)+L1497*VLOOKUP($B1497,Premissas!$A$4:$E$7,5,0))</f>
        <v/>
      </c>
      <c r="N1497" s="14">
        <f>H1497-M1497</f>
        <v/>
      </c>
      <c r="O1497" t="inlineStr">
        <is>
          <t>Não</t>
        </is>
      </c>
      <c r="P1497" t="inlineStr">
        <is>
          <t>1.350</t>
        </is>
      </c>
    </row>
    <row r="1498">
      <c r="A1498" t="inlineStr">
        <is>
          <t>Antes de 2026</t>
        </is>
      </c>
      <c r="B1498" t="inlineStr">
        <is>
          <t>Frete de venda</t>
        </is>
      </c>
      <c r="C1498" t="inlineStr">
        <is>
          <t>Frete de venda (para clientes)</t>
        </is>
      </c>
      <c r="D1498" t="inlineStr">
        <is>
          <t>CT-e</t>
        </is>
      </c>
      <c r="E1498" t="inlineStr">
        <is>
          <t>000005012</t>
        </is>
      </c>
      <c r="F1498" t="inlineStr">
        <is>
          <t>R&amp;R TRANSPORTE E LOGISTICA</t>
        </is>
      </c>
      <c r="G1498" s="27" t="n">
        <v>45895</v>
      </c>
      <c r="H1498" s="14" t="n">
        <v>16.89</v>
      </c>
      <c r="I1498" s="14" t="n">
        <v>0</v>
      </c>
      <c r="J1498" s="14" t="n">
        <v>0</v>
      </c>
      <c r="K1498" s="14" t="n">
        <v>0</v>
      </c>
      <c r="L1498" s="14" t="n">
        <v>0</v>
      </c>
      <c r="M1498" s="14">
        <f>IF(B1498="Frete de venda",0,(1-ISNUMBER(SEARCH("556",P1498)))*(I1498*VLOOKUP($B1498,Premissas!$A$4:$E$7,2,0)+J1498*VLOOKUP($B1498,Premissas!$A$4:$E$7,3,0))+K1498*VLOOKUP($B1498,Premissas!$A$4:$E$7,4,0)+L1498*VLOOKUP($B1498,Premissas!$A$4:$E$7,5,0))</f>
        <v/>
      </c>
      <c r="N1498" s="14">
        <f>H1498-M1498</f>
        <v/>
      </c>
      <c r="O1498" t="inlineStr">
        <is>
          <t>Não</t>
        </is>
      </c>
      <c r="P1498" t="inlineStr">
        <is>
          <t>1.350</t>
        </is>
      </c>
    </row>
    <row r="1499">
      <c r="A1499" t="inlineStr">
        <is>
          <t>Antes de 2026</t>
        </is>
      </c>
      <c r="B1499" t="inlineStr">
        <is>
          <t>Frete de venda</t>
        </is>
      </c>
      <c r="C1499" t="inlineStr">
        <is>
          <t>Frete de venda (para clientes)</t>
        </is>
      </c>
      <c r="D1499" t="inlineStr">
        <is>
          <t>CT-e</t>
        </is>
      </c>
      <c r="E1499" t="inlineStr">
        <is>
          <t>000004112</t>
        </is>
      </c>
      <c r="F1499" t="inlineStr">
        <is>
          <t>R&amp;R TRANSPORTE E LOGISTICA</t>
        </is>
      </c>
      <c r="G1499" s="27" t="n">
        <v>45776</v>
      </c>
      <c r="H1499" s="14" t="n">
        <v>43.11</v>
      </c>
      <c r="I1499" s="14" t="n">
        <v>0</v>
      </c>
      <c r="J1499" s="14" t="n">
        <v>0</v>
      </c>
      <c r="K1499" s="14" t="n">
        <v>0</v>
      </c>
      <c r="L1499" s="14" t="n">
        <v>0</v>
      </c>
      <c r="M1499" s="14">
        <f>IF(B1499="Frete de venda",0,(1-ISNUMBER(SEARCH("556",P1499)))*(I1499*VLOOKUP($B1499,Premissas!$A$4:$E$7,2,0)+J1499*VLOOKUP($B1499,Premissas!$A$4:$E$7,3,0))+K1499*VLOOKUP($B1499,Premissas!$A$4:$E$7,4,0)+L1499*VLOOKUP($B1499,Premissas!$A$4:$E$7,5,0))</f>
        <v/>
      </c>
      <c r="N1499" s="14">
        <f>H1499-M1499</f>
        <v/>
      </c>
      <c r="O1499" t="inlineStr">
        <is>
          <t>Não</t>
        </is>
      </c>
      <c r="P1499" t="inlineStr">
        <is>
          <t>1.350</t>
        </is>
      </c>
    </row>
    <row r="1500">
      <c r="A1500" t="inlineStr">
        <is>
          <t>Antes de 2026</t>
        </is>
      </c>
      <c r="B1500" t="inlineStr">
        <is>
          <t>Frete de venda</t>
        </is>
      </c>
      <c r="C1500" t="inlineStr">
        <is>
          <t>Frete de venda (para clientes)</t>
        </is>
      </c>
      <c r="D1500" t="inlineStr">
        <is>
          <t>CT-e</t>
        </is>
      </c>
      <c r="E1500" t="inlineStr">
        <is>
          <t>000005422</t>
        </is>
      </c>
      <c r="F1500" t="inlineStr">
        <is>
          <t>R&amp;R TRANSPORTE E LOGISTICA</t>
        </is>
      </c>
      <c r="G1500" s="27" t="n">
        <v>45939</v>
      </c>
      <c r="H1500" s="14" t="n">
        <v>43.58</v>
      </c>
      <c r="I1500" s="14" t="n">
        <v>0</v>
      </c>
      <c r="J1500" s="14" t="n">
        <v>0</v>
      </c>
      <c r="K1500" s="14" t="n">
        <v>0</v>
      </c>
      <c r="L1500" s="14" t="n">
        <v>0</v>
      </c>
      <c r="M1500" s="14">
        <f>IF(B1500="Frete de venda",0,(1-ISNUMBER(SEARCH("556",P1500)))*(I1500*VLOOKUP($B1500,Premissas!$A$4:$E$7,2,0)+J1500*VLOOKUP($B1500,Premissas!$A$4:$E$7,3,0))+K1500*VLOOKUP($B1500,Premissas!$A$4:$E$7,4,0)+L1500*VLOOKUP($B1500,Premissas!$A$4:$E$7,5,0))</f>
        <v/>
      </c>
      <c r="N1500" s="14">
        <f>H1500-M1500</f>
        <v/>
      </c>
      <c r="O1500" t="inlineStr">
        <is>
          <t>Não</t>
        </is>
      </c>
      <c r="P1500" t="inlineStr">
        <is>
          <t>1.350</t>
        </is>
      </c>
    </row>
    <row r="1501">
      <c r="A1501" t="inlineStr">
        <is>
          <t>Antes de 2026</t>
        </is>
      </c>
      <c r="B1501" t="inlineStr">
        <is>
          <t>Frete de venda</t>
        </is>
      </c>
      <c r="C1501" t="inlineStr">
        <is>
          <t>Frete de venda (para clientes)</t>
        </is>
      </c>
      <c r="D1501" t="inlineStr">
        <is>
          <t>CT-e</t>
        </is>
      </c>
      <c r="E1501" t="inlineStr">
        <is>
          <t>000004113</t>
        </is>
      </c>
      <c r="F1501" t="inlineStr">
        <is>
          <t>R&amp;R TRANSPORTE E LOGISTICA</t>
        </is>
      </c>
      <c r="G1501" s="27" t="n">
        <v>45776</v>
      </c>
      <c r="H1501" s="14" t="n">
        <v>51.4</v>
      </c>
      <c r="I1501" s="14" t="n">
        <v>0</v>
      </c>
      <c r="J1501" s="14" t="n">
        <v>0</v>
      </c>
      <c r="K1501" s="14" t="n">
        <v>0</v>
      </c>
      <c r="L1501" s="14" t="n">
        <v>0</v>
      </c>
      <c r="M1501" s="14">
        <f>IF(B1501="Frete de venda",0,(1-ISNUMBER(SEARCH("556",P1501)))*(I1501*VLOOKUP($B1501,Premissas!$A$4:$E$7,2,0)+J1501*VLOOKUP($B1501,Premissas!$A$4:$E$7,3,0))+K1501*VLOOKUP($B1501,Premissas!$A$4:$E$7,4,0)+L1501*VLOOKUP($B1501,Premissas!$A$4:$E$7,5,0))</f>
        <v/>
      </c>
      <c r="N1501" s="14">
        <f>H1501-M1501</f>
        <v/>
      </c>
      <c r="O1501" t="inlineStr">
        <is>
          <t>Não</t>
        </is>
      </c>
      <c r="P1501" t="inlineStr">
        <is>
          <t>1.350</t>
        </is>
      </c>
    </row>
    <row r="1502">
      <c r="A1502" t="inlineStr">
        <is>
          <t>Antes de 2026</t>
        </is>
      </c>
      <c r="B1502" t="inlineStr">
        <is>
          <t>Frete de venda</t>
        </is>
      </c>
      <c r="C1502" t="inlineStr">
        <is>
          <t>Frete de venda (para clientes)</t>
        </is>
      </c>
      <c r="D1502" t="inlineStr">
        <is>
          <t>CT-e</t>
        </is>
      </c>
      <c r="E1502" t="inlineStr">
        <is>
          <t>000004851</t>
        </is>
      </c>
      <c r="F1502" t="inlineStr">
        <is>
          <t>R&amp;R TRANSPORTE E LOGISTICA</t>
        </is>
      </c>
      <c r="G1502" s="27" t="n">
        <v>45875</v>
      </c>
      <c r="H1502" s="14" t="n">
        <v>107.89</v>
      </c>
      <c r="I1502" s="14" t="n">
        <v>0</v>
      </c>
      <c r="J1502" s="14" t="n">
        <v>0</v>
      </c>
      <c r="K1502" s="14" t="n">
        <v>0</v>
      </c>
      <c r="L1502" s="14" t="n">
        <v>0</v>
      </c>
      <c r="M1502" s="14">
        <f>IF(B1502="Frete de venda",0,(1-ISNUMBER(SEARCH("556",P1502)))*(I1502*VLOOKUP($B1502,Premissas!$A$4:$E$7,2,0)+J1502*VLOOKUP($B1502,Premissas!$A$4:$E$7,3,0))+K1502*VLOOKUP($B1502,Premissas!$A$4:$E$7,4,0)+L1502*VLOOKUP($B1502,Premissas!$A$4:$E$7,5,0))</f>
        <v/>
      </c>
      <c r="N1502" s="14">
        <f>H1502-M1502</f>
        <v/>
      </c>
      <c r="O1502" t="inlineStr">
        <is>
          <t>Não</t>
        </is>
      </c>
      <c r="P1502" t="inlineStr">
        <is>
          <t>1.350</t>
        </is>
      </c>
    </row>
    <row r="1503">
      <c r="A1503" t="inlineStr">
        <is>
          <t>Antes de 2026</t>
        </is>
      </c>
      <c r="B1503" t="inlineStr">
        <is>
          <t>Frete de venda</t>
        </is>
      </c>
      <c r="C1503" t="inlineStr">
        <is>
          <t>Frete de venda (para clientes)</t>
        </is>
      </c>
      <c r="D1503" t="inlineStr">
        <is>
          <t>CT-e</t>
        </is>
      </c>
      <c r="E1503" t="inlineStr">
        <is>
          <t>000005612</t>
        </is>
      </c>
      <c r="F1503" t="inlineStr">
        <is>
          <t>R&amp;R TRANSPORTE E LOGISTICA</t>
        </is>
      </c>
      <c r="G1503" s="27" t="n">
        <v>45959</v>
      </c>
      <c r="H1503" s="14" t="n">
        <v>96.41</v>
      </c>
      <c r="I1503" s="14" t="n">
        <v>0</v>
      </c>
      <c r="J1503" s="14" t="n">
        <v>0</v>
      </c>
      <c r="K1503" s="14" t="n">
        <v>0</v>
      </c>
      <c r="L1503" s="14" t="n">
        <v>0</v>
      </c>
      <c r="M1503" s="14">
        <f>IF(B1503="Frete de venda",0,(1-ISNUMBER(SEARCH("556",P1503)))*(I1503*VLOOKUP($B1503,Premissas!$A$4:$E$7,2,0)+J1503*VLOOKUP($B1503,Premissas!$A$4:$E$7,3,0))+K1503*VLOOKUP($B1503,Premissas!$A$4:$E$7,4,0)+L1503*VLOOKUP($B1503,Premissas!$A$4:$E$7,5,0))</f>
        <v/>
      </c>
      <c r="N1503" s="14">
        <f>H1503-M1503</f>
        <v/>
      </c>
      <c r="O1503" t="inlineStr">
        <is>
          <t>Não</t>
        </is>
      </c>
      <c r="P1503" t="inlineStr">
        <is>
          <t>1.350</t>
        </is>
      </c>
    </row>
    <row r="1504">
      <c r="A1504" t="inlineStr">
        <is>
          <t>Antes de 2026</t>
        </is>
      </c>
      <c r="B1504" t="inlineStr">
        <is>
          <t>Frete de venda</t>
        </is>
      </c>
      <c r="C1504" t="inlineStr">
        <is>
          <t>Frete de venda (para clientes)</t>
        </is>
      </c>
      <c r="D1504" t="inlineStr">
        <is>
          <t>CT-e</t>
        </is>
      </c>
      <c r="E1504" t="inlineStr">
        <is>
          <t>000019533</t>
        </is>
      </c>
      <c r="F1504" t="inlineStr">
        <is>
          <t>TRANSPORTE OLIVEIRA E MELLOI - IDEALIZA TRANSPORTES</t>
        </is>
      </c>
      <c r="G1504" s="27" t="n">
        <v>45546</v>
      </c>
      <c r="H1504" s="14" t="n">
        <v>268.75</v>
      </c>
      <c r="I1504" s="14" t="n">
        <v>0</v>
      </c>
      <c r="J1504" s="14" t="n">
        <v>0</v>
      </c>
      <c r="K1504" s="14" t="n">
        <v>0</v>
      </c>
      <c r="L1504" s="14" t="n">
        <v>0</v>
      </c>
      <c r="M1504" s="14">
        <f>IF(B1504="Frete de venda",0,(1-ISNUMBER(SEARCH("556",P1504)))*(I1504*VLOOKUP($B1504,Premissas!$A$4:$E$7,2,0)+J1504*VLOOKUP($B1504,Premissas!$A$4:$E$7,3,0))+K1504*VLOOKUP($B1504,Premissas!$A$4:$E$7,4,0)+L1504*VLOOKUP($B1504,Premissas!$A$4:$E$7,5,0))</f>
        <v/>
      </c>
      <c r="N1504" s="14">
        <f>H1504-M1504</f>
        <v/>
      </c>
      <c r="O1504" t="inlineStr">
        <is>
          <t>Não</t>
        </is>
      </c>
      <c r="P1504" t="inlineStr">
        <is>
          <t>1.350</t>
        </is>
      </c>
    </row>
    <row r="1505">
      <c r="A1505" t="inlineStr">
        <is>
          <t>Antes de 2026</t>
        </is>
      </c>
      <c r="B1505" t="inlineStr">
        <is>
          <t>Frete de venda</t>
        </is>
      </c>
      <c r="C1505" t="inlineStr">
        <is>
          <t>Frete de venda (para clientes)</t>
        </is>
      </c>
      <c r="D1505" t="inlineStr">
        <is>
          <t>CT-e</t>
        </is>
      </c>
      <c r="E1505" t="inlineStr">
        <is>
          <t>000020890</t>
        </is>
      </c>
      <c r="F1505" t="inlineStr">
        <is>
          <t>TRANSPORTE OLIVEIRA E MELLOI - IDEALIZA TRANSPORTES</t>
        </is>
      </c>
      <c r="G1505" s="27" t="n">
        <v>45685</v>
      </c>
      <c r="H1505" s="14" t="n">
        <v>458.46</v>
      </c>
      <c r="I1505" s="14" t="n">
        <v>0</v>
      </c>
      <c r="J1505" s="14" t="n">
        <v>0</v>
      </c>
      <c r="K1505" s="14" t="n">
        <v>0</v>
      </c>
      <c r="L1505" s="14" t="n">
        <v>0</v>
      </c>
      <c r="M1505" s="14">
        <f>IF(B1505="Frete de venda",0,(1-ISNUMBER(SEARCH("556",P1505)))*(I1505*VLOOKUP($B1505,Premissas!$A$4:$E$7,2,0)+J1505*VLOOKUP($B1505,Premissas!$A$4:$E$7,3,0))+K1505*VLOOKUP($B1505,Premissas!$A$4:$E$7,4,0)+L1505*VLOOKUP($B1505,Premissas!$A$4:$E$7,5,0))</f>
        <v/>
      </c>
      <c r="N1505" s="14">
        <f>H1505-M1505</f>
        <v/>
      </c>
      <c r="O1505" t="inlineStr">
        <is>
          <t>Não</t>
        </is>
      </c>
      <c r="P1505" t="inlineStr">
        <is>
          <t>1.350</t>
        </is>
      </c>
    </row>
    <row r="1506">
      <c r="A1506" t="inlineStr">
        <is>
          <t>Antes de 2026</t>
        </is>
      </c>
      <c r="B1506" t="inlineStr">
        <is>
          <t>Frete de venda</t>
        </is>
      </c>
      <c r="C1506" t="inlineStr">
        <is>
          <t>Frete de venda (para clientes)</t>
        </is>
      </c>
      <c r="D1506" t="inlineStr">
        <is>
          <t>CT-e</t>
        </is>
      </c>
      <c r="E1506" t="inlineStr">
        <is>
          <t>000004089</t>
        </is>
      </c>
      <c r="F1506" t="inlineStr">
        <is>
          <t>R&amp;R TRANSPORTE E LOGISTICA</t>
        </is>
      </c>
      <c r="G1506" s="27" t="n">
        <v>45775</v>
      </c>
      <c r="H1506" s="14" t="n">
        <v>35.82</v>
      </c>
      <c r="I1506" s="14" t="n">
        <v>0</v>
      </c>
      <c r="J1506" s="14" t="n">
        <v>0</v>
      </c>
      <c r="K1506" s="14" t="n">
        <v>0</v>
      </c>
      <c r="L1506" s="14" t="n">
        <v>0</v>
      </c>
      <c r="M1506" s="14">
        <f>IF(B1506="Frete de venda",0,(1-ISNUMBER(SEARCH("556",P1506)))*(I1506*VLOOKUP($B1506,Premissas!$A$4:$E$7,2,0)+J1506*VLOOKUP($B1506,Premissas!$A$4:$E$7,3,0))+K1506*VLOOKUP($B1506,Premissas!$A$4:$E$7,4,0)+L1506*VLOOKUP($B1506,Premissas!$A$4:$E$7,5,0))</f>
        <v/>
      </c>
      <c r="N1506" s="14">
        <f>H1506-M1506</f>
        <v/>
      </c>
      <c r="O1506" t="inlineStr">
        <is>
          <t>Não</t>
        </is>
      </c>
      <c r="P1506" t="inlineStr">
        <is>
          <t>1.350</t>
        </is>
      </c>
    </row>
    <row r="1507">
      <c r="A1507" t="inlineStr">
        <is>
          <t>Antes de 2026</t>
        </is>
      </c>
      <c r="B1507" t="inlineStr">
        <is>
          <t>Frete de venda</t>
        </is>
      </c>
      <c r="C1507" t="inlineStr">
        <is>
          <t>Frete de venda (para clientes)</t>
        </is>
      </c>
      <c r="D1507" t="inlineStr">
        <is>
          <t>CT-e</t>
        </is>
      </c>
      <c r="E1507" t="inlineStr">
        <is>
          <t>000005740</t>
        </is>
      </c>
      <c r="F1507" t="inlineStr">
        <is>
          <t>R&amp;R TRANSPORTE E LOGISTICA</t>
        </is>
      </c>
      <c r="G1507" s="27" t="n">
        <v>45978</v>
      </c>
      <c r="H1507" s="14" t="n">
        <v>786</v>
      </c>
      <c r="I1507" s="14" t="n">
        <v>0</v>
      </c>
      <c r="J1507" s="14" t="n">
        <v>0</v>
      </c>
      <c r="K1507" s="14" t="n">
        <v>0</v>
      </c>
      <c r="L1507" s="14" t="n">
        <v>0</v>
      </c>
      <c r="M1507" s="14">
        <f>IF(B1507="Frete de venda",0,(1-ISNUMBER(SEARCH("556",P1507)))*(I1507*VLOOKUP($B1507,Premissas!$A$4:$E$7,2,0)+J1507*VLOOKUP($B1507,Premissas!$A$4:$E$7,3,0))+K1507*VLOOKUP($B1507,Premissas!$A$4:$E$7,4,0)+L1507*VLOOKUP($B1507,Premissas!$A$4:$E$7,5,0))</f>
        <v/>
      </c>
      <c r="N1507" s="14">
        <f>H1507-M1507</f>
        <v/>
      </c>
      <c r="O1507" t="inlineStr">
        <is>
          <t>Não</t>
        </is>
      </c>
      <c r="P1507" t="inlineStr">
        <is>
          <t>1.350</t>
        </is>
      </c>
    </row>
    <row r="1508">
      <c r="A1508" t="inlineStr">
        <is>
          <t>Antes de 2026</t>
        </is>
      </c>
      <c r="B1508" t="inlineStr">
        <is>
          <t>Frete de venda</t>
        </is>
      </c>
      <c r="C1508" t="inlineStr">
        <is>
          <t>Frete de venda (para clientes)</t>
        </is>
      </c>
      <c r="D1508" t="inlineStr">
        <is>
          <t>CT-e</t>
        </is>
      </c>
      <c r="E1508" t="inlineStr">
        <is>
          <t>000004213</t>
        </is>
      </c>
      <c r="F1508" t="inlineStr">
        <is>
          <t>R&amp;R TRANSPORTE E LOGISTICA</t>
        </is>
      </c>
      <c r="G1508" s="27" t="n">
        <v>45790</v>
      </c>
      <c r="H1508" s="14" t="n">
        <v>19.97</v>
      </c>
      <c r="I1508" s="14" t="n">
        <v>0</v>
      </c>
      <c r="J1508" s="14" t="n">
        <v>0</v>
      </c>
      <c r="K1508" s="14" t="n">
        <v>0</v>
      </c>
      <c r="L1508" s="14" t="n">
        <v>0</v>
      </c>
      <c r="M1508" s="14">
        <f>IF(B1508="Frete de venda",0,(1-ISNUMBER(SEARCH("556",P1508)))*(I1508*VLOOKUP($B1508,Premissas!$A$4:$E$7,2,0)+J1508*VLOOKUP($B1508,Premissas!$A$4:$E$7,3,0))+K1508*VLOOKUP($B1508,Premissas!$A$4:$E$7,4,0)+L1508*VLOOKUP($B1508,Premissas!$A$4:$E$7,5,0))</f>
        <v/>
      </c>
      <c r="N1508" s="14">
        <f>H1508-M1508</f>
        <v/>
      </c>
      <c r="O1508" t="inlineStr">
        <is>
          <t>Não</t>
        </is>
      </c>
      <c r="P1508" t="inlineStr">
        <is>
          <t>1.350</t>
        </is>
      </c>
    </row>
    <row r="1509">
      <c r="A1509" t="inlineStr">
        <is>
          <t>Antes de 2026</t>
        </is>
      </c>
      <c r="B1509" t="inlineStr">
        <is>
          <t>Frete de venda</t>
        </is>
      </c>
      <c r="C1509" t="inlineStr">
        <is>
          <t>Frete de venda (para clientes)</t>
        </is>
      </c>
      <c r="D1509" t="inlineStr">
        <is>
          <t>CT-e</t>
        </is>
      </c>
      <c r="E1509" t="inlineStr">
        <is>
          <t>000004143</t>
        </is>
      </c>
      <c r="F1509" t="inlineStr">
        <is>
          <t>R&amp;R TRANSPORTE E LOGISTICA</t>
        </is>
      </c>
      <c r="G1509" s="27" t="n">
        <v>45783</v>
      </c>
      <c r="H1509" s="14" t="n">
        <v>27.4</v>
      </c>
      <c r="I1509" s="14" t="n">
        <v>0</v>
      </c>
      <c r="J1509" s="14" t="n">
        <v>0</v>
      </c>
      <c r="K1509" s="14" t="n">
        <v>0</v>
      </c>
      <c r="L1509" s="14" t="n">
        <v>0</v>
      </c>
      <c r="M1509" s="14">
        <f>IF(B1509="Frete de venda",0,(1-ISNUMBER(SEARCH("556",P1509)))*(I1509*VLOOKUP($B1509,Premissas!$A$4:$E$7,2,0)+J1509*VLOOKUP($B1509,Premissas!$A$4:$E$7,3,0))+K1509*VLOOKUP($B1509,Premissas!$A$4:$E$7,4,0)+L1509*VLOOKUP($B1509,Premissas!$A$4:$E$7,5,0))</f>
        <v/>
      </c>
      <c r="N1509" s="14">
        <f>H1509-M1509</f>
        <v/>
      </c>
      <c r="O1509" t="inlineStr">
        <is>
          <t>Não</t>
        </is>
      </c>
      <c r="P1509" t="inlineStr">
        <is>
          <t>1.350</t>
        </is>
      </c>
    </row>
    <row r="1510">
      <c r="A1510" t="inlineStr">
        <is>
          <t>Antes de 2026</t>
        </is>
      </c>
      <c r="B1510" t="inlineStr">
        <is>
          <t>Frete de venda</t>
        </is>
      </c>
      <c r="C1510" t="inlineStr">
        <is>
          <t>Frete de venda (para clientes)</t>
        </is>
      </c>
      <c r="D1510" t="inlineStr">
        <is>
          <t>CT-e</t>
        </is>
      </c>
      <c r="E1510" t="inlineStr">
        <is>
          <t>000004711</t>
        </is>
      </c>
      <c r="F1510" t="inlineStr">
        <is>
          <t>R&amp;R TRANSPORTE E LOGISTICA</t>
        </is>
      </c>
      <c r="G1510" s="27" t="n">
        <v>45860</v>
      </c>
      <c r="H1510" s="14" t="n">
        <v>31.38</v>
      </c>
      <c r="I1510" s="14" t="n">
        <v>0</v>
      </c>
      <c r="J1510" s="14" t="n">
        <v>0</v>
      </c>
      <c r="K1510" s="14" t="n">
        <v>0</v>
      </c>
      <c r="L1510" s="14" t="n">
        <v>0</v>
      </c>
      <c r="M1510" s="14">
        <f>IF(B1510="Frete de venda",0,(1-ISNUMBER(SEARCH("556",P1510)))*(I1510*VLOOKUP($B1510,Premissas!$A$4:$E$7,2,0)+J1510*VLOOKUP($B1510,Premissas!$A$4:$E$7,3,0))+K1510*VLOOKUP($B1510,Premissas!$A$4:$E$7,4,0)+L1510*VLOOKUP($B1510,Premissas!$A$4:$E$7,5,0))</f>
        <v/>
      </c>
      <c r="N1510" s="14">
        <f>H1510-M1510</f>
        <v/>
      </c>
      <c r="O1510" t="inlineStr">
        <is>
          <t>Não</t>
        </is>
      </c>
      <c r="P1510" t="inlineStr">
        <is>
          <t>1.350</t>
        </is>
      </c>
    </row>
    <row r="1511">
      <c r="A1511" t="inlineStr">
        <is>
          <t>Antes de 2026</t>
        </is>
      </c>
      <c r="B1511" t="inlineStr">
        <is>
          <t>Frete de venda</t>
        </is>
      </c>
      <c r="C1511" t="inlineStr">
        <is>
          <t>Frete de venda (para clientes)</t>
        </is>
      </c>
      <c r="D1511" t="inlineStr">
        <is>
          <t>CT-e</t>
        </is>
      </c>
      <c r="E1511" t="inlineStr">
        <is>
          <t>000005046</t>
        </is>
      </c>
      <c r="F1511" t="inlineStr">
        <is>
          <t>R&amp;R TRANSPORTE E LOGISTICA</t>
        </is>
      </c>
      <c r="G1511" s="27" t="n">
        <v>45896</v>
      </c>
      <c r="H1511" s="14" t="n">
        <v>23.75</v>
      </c>
      <c r="I1511" s="14" t="n">
        <v>0</v>
      </c>
      <c r="J1511" s="14" t="n">
        <v>0</v>
      </c>
      <c r="K1511" s="14" t="n">
        <v>0</v>
      </c>
      <c r="L1511" s="14" t="n">
        <v>0</v>
      </c>
      <c r="M1511" s="14">
        <f>IF(B1511="Frete de venda",0,(1-ISNUMBER(SEARCH("556",P1511)))*(I1511*VLOOKUP($B1511,Premissas!$A$4:$E$7,2,0)+J1511*VLOOKUP($B1511,Premissas!$A$4:$E$7,3,0))+K1511*VLOOKUP($B1511,Premissas!$A$4:$E$7,4,0)+L1511*VLOOKUP($B1511,Premissas!$A$4:$E$7,5,0))</f>
        <v/>
      </c>
      <c r="N1511" s="14">
        <f>H1511-M1511</f>
        <v/>
      </c>
      <c r="O1511" t="inlineStr">
        <is>
          <t>Não</t>
        </is>
      </c>
      <c r="P1511" t="inlineStr">
        <is>
          <t>1.350</t>
        </is>
      </c>
    </row>
    <row r="1512">
      <c r="A1512" t="inlineStr">
        <is>
          <t>Antes de 2026</t>
        </is>
      </c>
      <c r="B1512" t="inlineStr">
        <is>
          <t>Frete de venda</t>
        </is>
      </c>
      <c r="C1512" t="inlineStr">
        <is>
          <t>Frete de venda (para clientes)</t>
        </is>
      </c>
      <c r="D1512" t="inlineStr">
        <is>
          <t>CT-e</t>
        </is>
      </c>
      <c r="E1512" t="inlineStr">
        <is>
          <t>000005391</t>
        </is>
      </c>
      <c r="F1512" t="inlineStr">
        <is>
          <t>R&amp;R TRANSPORTE E LOGISTICA</t>
        </is>
      </c>
      <c r="G1512" s="27" t="n">
        <v>45933</v>
      </c>
      <c r="H1512" s="14" t="n">
        <v>87.13</v>
      </c>
      <c r="I1512" s="14" t="n">
        <v>0</v>
      </c>
      <c r="J1512" s="14" t="n">
        <v>0</v>
      </c>
      <c r="K1512" s="14" t="n">
        <v>0</v>
      </c>
      <c r="L1512" s="14" t="n">
        <v>0</v>
      </c>
      <c r="M1512" s="14">
        <f>IF(B1512="Frete de venda",0,(1-ISNUMBER(SEARCH("556",P1512)))*(I1512*VLOOKUP($B1512,Premissas!$A$4:$E$7,2,0)+J1512*VLOOKUP($B1512,Premissas!$A$4:$E$7,3,0))+K1512*VLOOKUP($B1512,Premissas!$A$4:$E$7,4,0)+L1512*VLOOKUP($B1512,Premissas!$A$4:$E$7,5,0))</f>
        <v/>
      </c>
      <c r="N1512" s="14">
        <f>H1512-M1512</f>
        <v/>
      </c>
      <c r="O1512" t="inlineStr">
        <is>
          <t>Não</t>
        </is>
      </c>
      <c r="P1512" t="inlineStr">
        <is>
          <t>1.350</t>
        </is>
      </c>
    </row>
    <row r="1513">
      <c r="A1513" t="inlineStr">
        <is>
          <t>Antes de 2026</t>
        </is>
      </c>
      <c r="B1513" t="inlineStr">
        <is>
          <t>Frete de venda</t>
        </is>
      </c>
      <c r="C1513" t="inlineStr">
        <is>
          <t>Frete de venda (para clientes)</t>
        </is>
      </c>
      <c r="D1513" t="inlineStr">
        <is>
          <t>CT-e</t>
        </is>
      </c>
      <c r="E1513" t="inlineStr">
        <is>
          <t>000005083</t>
        </is>
      </c>
      <c r="F1513" t="inlineStr">
        <is>
          <t>R&amp;R TRANSPORTE E LOGISTICA</t>
        </is>
      </c>
      <c r="G1513" s="27" t="n">
        <v>45898</v>
      </c>
      <c r="H1513" s="14" t="n">
        <v>30.48</v>
      </c>
      <c r="I1513" s="14" t="n">
        <v>0</v>
      </c>
      <c r="J1513" s="14" t="n">
        <v>0</v>
      </c>
      <c r="K1513" s="14" t="n">
        <v>0</v>
      </c>
      <c r="L1513" s="14" t="n">
        <v>0</v>
      </c>
      <c r="M1513" s="14">
        <f>IF(B1513="Frete de venda",0,(1-ISNUMBER(SEARCH("556",P1513)))*(I1513*VLOOKUP($B1513,Premissas!$A$4:$E$7,2,0)+J1513*VLOOKUP($B1513,Premissas!$A$4:$E$7,3,0))+K1513*VLOOKUP($B1513,Premissas!$A$4:$E$7,4,0)+L1513*VLOOKUP($B1513,Premissas!$A$4:$E$7,5,0))</f>
        <v/>
      </c>
      <c r="N1513" s="14">
        <f>H1513-M1513</f>
        <v/>
      </c>
      <c r="O1513" t="inlineStr">
        <is>
          <t>Não</t>
        </is>
      </c>
      <c r="P1513" t="inlineStr">
        <is>
          <t>1.350</t>
        </is>
      </c>
    </row>
    <row r="1514">
      <c r="A1514" t="inlineStr">
        <is>
          <t>Antes de 2026</t>
        </is>
      </c>
      <c r="B1514" t="inlineStr">
        <is>
          <t>Frete de venda</t>
        </is>
      </c>
      <c r="C1514" t="inlineStr">
        <is>
          <t>Frete de venda (para clientes)</t>
        </is>
      </c>
      <c r="D1514" t="inlineStr">
        <is>
          <t>CT-e</t>
        </is>
      </c>
      <c r="E1514" t="inlineStr">
        <is>
          <t>000005870</t>
        </is>
      </c>
      <c r="F1514" t="inlineStr">
        <is>
          <t>R&amp;R TRANSPORTE E LOGISTICA</t>
        </is>
      </c>
      <c r="G1514" s="27" t="n">
        <v>45990</v>
      </c>
      <c r="H1514" s="14" t="n">
        <v>28.05</v>
      </c>
      <c r="I1514" s="14" t="n">
        <v>0</v>
      </c>
      <c r="J1514" s="14" t="n">
        <v>0</v>
      </c>
      <c r="K1514" s="14" t="n">
        <v>0</v>
      </c>
      <c r="L1514" s="14" t="n">
        <v>0</v>
      </c>
      <c r="M1514" s="14">
        <f>IF(B1514="Frete de venda",0,(1-ISNUMBER(SEARCH("556",P1514)))*(I1514*VLOOKUP($B1514,Premissas!$A$4:$E$7,2,0)+J1514*VLOOKUP($B1514,Premissas!$A$4:$E$7,3,0))+K1514*VLOOKUP($B1514,Premissas!$A$4:$E$7,4,0)+L1514*VLOOKUP($B1514,Premissas!$A$4:$E$7,5,0))</f>
        <v/>
      </c>
      <c r="N1514" s="14">
        <f>H1514-M1514</f>
        <v/>
      </c>
      <c r="O1514" t="inlineStr">
        <is>
          <t>Não</t>
        </is>
      </c>
      <c r="P1514" t="inlineStr">
        <is>
          <t>1.350</t>
        </is>
      </c>
    </row>
    <row r="1515">
      <c r="A1515" t="inlineStr">
        <is>
          <t>Antes de 2026</t>
        </is>
      </c>
      <c r="B1515" t="inlineStr">
        <is>
          <t>Frete de venda</t>
        </is>
      </c>
      <c r="C1515" t="inlineStr">
        <is>
          <t>Frete de venda (para clientes)</t>
        </is>
      </c>
      <c r="D1515" t="inlineStr">
        <is>
          <t>CT-e</t>
        </is>
      </c>
      <c r="E1515" t="inlineStr">
        <is>
          <t>000005379</t>
        </is>
      </c>
      <c r="F1515" t="inlineStr">
        <is>
          <t>R&amp;R TRANSPORTE E LOGISTICA</t>
        </is>
      </c>
      <c r="G1515" s="27" t="n">
        <v>45932</v>
      </c>
      <c r="H1515" s="14" t="n">
        <v>37.17</v>
      </c>
      <c r="I1515" s="14" t="n">
        <v>0</v>
      </c>
      <c r="J1515" s="14" t="n">
        <v>0</v>
      </c>
      <c r="K1515" s="14" t="n">
        <v>0</v>
      </c>
      <c r="L1515" s="14" t="n">
        <v>0</v>
      </c>
      <c r="M1515" s="14">
        <f>IF(B1515="Frete de venda",0,(1-ISNUMBER(SEARCH("556",P1515)))*(I1515*VLOOKUP($B1515,Premissas!$A$4:$E$7,2,0)+J1515*VLOOKUP($B1515,Premissas!$A$4:$E$7,3,0))+K1515*VLOOKUP($B1515,Premissas!$A$4:$E$7,4,0)+L1515*VLOOKUP($B1515,Premissas!$A$4:$E$7,5,0))</f>
        <v/>
      </c>
      <c r="N1515" s="14">
        <f>H1515-M1515</f>
        <v/>
      </c>
      <c r="O1515" t="inlineStr">
        <is>
          <t>Não</t>
        </is>
      </c>
      <c r="P1515" t="inlineStr">
        <is>
          <t>1.350</t>
        </is>
      </c>
    </row>
    <row r="1516">
      <c r="A1516" t="inlineStr">
        <is>
          <t>Antes de 2026</t>
        </is>
      </c>
      <c r="B1516" t="inlineStr">
        <is>
          <t>Frete de venda</t>
        </is>
      </c>
      <c r="C1516" t="inlineStr">
        <is>
          <t>Frete de venda (para clientes)</t>
        </is>
      </c>
      <c r="D1516" t="inlineStr">
        <is>
          <t>CT-e</t>
        </is>
      </c>
      <c r="E1516" t="inlineStr">
        <is>
          <t>000004697</t>
        </is>
      </c>
      <c r="F1516" t="inlineStr">
        <is>
          <t>R&amp;R TRANSPORTE E LOGISTICA</t>
        </is>
      </c>
      <c r="G1516" s="27" t="n">
        <v>45860</v>
      </c>
      <c r="H1516" s="14" t="n">
        <v>1250</v>
      </c>
      <c r="I1516" s="14" t="n">
        <v>0</v>
      </c>
      <c r="J1516" s="14" t="n">
        <v>0</v>
      </c>
      <c r="K1516" s="14" t="n">
        <v>0</v>
      </c>
      <c r="L1516" s="14" t="n">
        <v>0</v>
      </c>
      <c r="M1516" s="14">
        <f>IF(B1516="Frete de venda",0,(1-ISNUMBER(SEARCH("556",P1516)))*(I1516*VLOOKUP($B1516,Premissas!$A$4:$E$7,2,0)+J1516*VLOOKUP($B1516,Premissas!$A$4:$E$7,3,0))+K1516*VLOOKUP($B1516,Premissas!$A$4:$E$7,4,0)+L1516*VLOOKUP($B1516,Premissas!$A$4:$E$7,5,0))</f>
        <v/>
      </c>
      <c r="N1516" s="14">
        <f>H1516-M1516</f>
        <v/>
      </c>
      <c r="O1516" t="inlineStr">
        <is>
          <t>Não</t>
        </is>
      </c>
      <c r="P1516" t="inlineStr">
        <is>
          <t>1.350</t>
        </is>
      </c>
    </row>
    <row r="1517">
      <c r="A1517" t="inlineStr">
        <is>
          <t>Antes de 2026</t>
        </is>
      </c>
      <c r="B1517" t="inlineStr">
        <is>
          <t>Frete de venda</t>
        </is>
      </c>
      <c r="C1517" t="inlineStr">
        <is>
          <t>Frete de venda (para clientes)</t>
        </is>
      </c>
      <c r="D1517" t="inlineStr">
        <is>
          <t>CT-e</t>
        </is>
      </c>
      <c r="E1517" t="inlineStr">
        <is>
          <t>000005349</t>
        </is>
      </c>
      <c r="F1517" t="inlineStr">
        <is>
          <t>R&amp;R TRANSPORTE E LOGISTICA</t>
        </is>
      </c>
      <c r="G1517" s="27" t="n">
        <v>45929</v>
      </c>
      <c r="H1517" s="14" t="n">
        <v>13.11</v>
      </c>
      <c r="I1517" s="14" t="n">
        <v>0</v>
      </c>
      <c r="J1517" s="14" t="n">
        <v>0</v>
      </c>
      <c r="K1517" s="14" t="n">
        <v>0</v>
      </c>
      <c r="L1517" s="14" t="n">
        <v>0</v>
      </c>
      <c r="M1517" s="14">
        <f>IF(B1517="Frete de venda",0,(1-ISNUMBER(SEARCH("556",P1517)))*(I1517*VLOOKUP($B1517,Premissas!$A$4:$E$7,2,0)+J1517*VLOOKUP($B1517,Premissas!$A$4:$E$7,3,0))+K1517*VLOOKUP($B1517,Premissas!$A$4:$E$7,4,0)+L1517*VLOOKUP($B1517,Premissas!$A$4:$E$7,5,0))</f>
        <v/>
      </c>
      <c r="N1517" s="14">
        <f>H1517-M1517</f>
        <v/>
      </c>
      <c r="O1517" t="inlineStr">
        <is>
          <t>Não</t>
        </is>
      </c>
      <c r="P1517" t="inlineStr">
        <is>
          <t>1.350</t>
        </is>
      </c>
    </row>
    <row r="1518">
      <c r="A1518" t="inlineStr">
        <is>
          <t>Antes de 2026</t>
        </is>
      </c>
      <c r="B1518" t="inlineStr">
        <is>
          <t>Frete de venda</t>
        </is>
      </c>
      <c r="C1518" t="inlineStr">
        <is>
          <t>Frete de venda (para clientes)</t>
        </is>
      </c>
      <c r="D1518" t="inlineStr">
        <is>
          <t>CT-e</t>
        </is>
      </c>
      <c r="E1518" t="inlineStr">
        <is>
          <t>000004544</t>
        </is>
      </c>
      <c r="F1518" t="inlineStr">
        <is>
          <t>R&amp;R TRANSPORTE E LOGISTICA</t>
        </is>
      </c>
      <c r="G1518" s="27" t="n">
        <v>45836</v>
      </c>
      <c r="H1518" s="14" t="n">
        <v>35.5</v>
      </c>
      <c r="I1518" s="14" t="n">
        <v>0</v>
      </c>
      <c r="J1518" s="14" t="n">
        <v>0</v>
      </c>
      <c r="K1518" s="14" t="n">
        <v>0</v>
      </c>
      <c r="L1518" s="14" t="n">
        <v>0</v>
      </c>
      <c r="M1518" s="14">
        <f>IF(B1518="Frete de venda",0,(1-ISNUMBER(SEARCH("556",P1518)))*(I1518*VLOOKUP($B1518,Premissas!$A$4:$E$7,2,0)+J1518*VLOOKUP($B1518,Premissas!$A$4:$E$7,3,0))+K1518*VLOOKUP($B1518,Premissas!$A$4:$E$7,4,0)+L1518*VLOOKUP($B1518,Premissas!$A$4:$E$7,5,0))</f>
        <v/>
      </c>
      <c r="N1518" s="14">
        <f>H1518-M1518</f>
        <v/>
      </c>
      <c r="O1518" t="inlineStr">
        <is>
          <t>Não</t>
        </is>
      </c>
      <c r="P1518" t="inlineStr">
        <is>
          <t>1.350</t>
        </is>
      </c>
    </row>
    <row r="1519">
      <c r="A1519" t="inlineStr">
        <is>
          <t>Antes de 2026</t>
        </is>
      </c>
      <c r="B1519" t="inlineStr">
        <is>
          <t>Frete de venda</t>
        </is>
      </c>
      <c r="C1519" t="inlineStr">
        <is>
          <t>Frete de venda (para clientes)</t>
        </is>
      </c>
      <c r="D1519" t="inlineStr">
        <is>
          <t>CT-e</t>
        </is>
      </c>
      <c r="E1519" t="inlineStr">
        <is>
          <t>000005686</t>
        </is>
      </c>
      <c r="F1519" t="inlineStr">
        <is>
          <t>R&amp;R TRANSPORTE E LOGISTICA</t>
        </is>
      </c>
      <c r="G1519" s="27" t="n">
        <v>45967</v>
      </c>
      <c r="H1519" s="14" t="n">
        <v>18</v>
      </c>
      <c r="I1519" s="14" t="n">
        <v>0</v>
      </c>
      <c r="J1519" s="14" t="n">
        <v>0</v>
      </c>
      <c r="K1519" s="14" t="n">
        <v>0</v>
      </c>
      <c r="L1519" s="14" t="n">
        <v>0</v>
      </c>
      <c r="M1519" s="14">
        <f>IF(B1519="Frete de venda",0,(1-ISNUMBER(SEARCH("556",P1519)))*(I1519*VLOOKUP($B1519,Premissas!$A$4:$E$7,2,0)+J1519*VLOOKUP($B1519,Premissas!$A$4:$E$7,3,0))+K1519*VLOOKUP($B1519,Premissas!$A$4:$E$7,4,0)+L1519*VLOOKUP($B1519,Premissas!$A$4:$E$7,5,0))</f>
        <v/>
      </c>
      <c r="N1519" s="14">
        <f>H1519-M1519</f>
        <v/>
      </c>
      <c r="O1519" t="inlineStr">
        <is>
          <t>Não</t>
        </is>
      </c>
      <c r="P1519" t="inlineStr">
        <is>
          <t>1.350</t>
        </is>
      </c>
    </row>
    <row r="1520">
      <c r="A1520" t="inlineStr">
        <is>
          <t>Antes de 2026</t>
        </is>
      </c>
      <c r="B1520" t="inlineStr">
        <is>
          <t>Frete de venda</t>
        </is>
      </c>
      <c r="C1520" t="inlineStr">
        <is>
          <t>Frete de venda (para clientes)</t>
        </is>
      </c>
      <c r="D1520" t="inlineStr">
        <is>
          <t>CT-e</t>
        </is>
      </c>
      <c r="E1520" t="inlineStr">
        <is>
          <t>000006009</t>
        </is>
      </c>
      <c r="F1520" t="inlineStr">
        <is>
          <t>R&amp;R TRANSPORTE E LOGISTICA</t>
        </is>
      </c>
      <c r="G1520" s="27" t="n">
        <v>46010</v>
      </c>
      <c r="H1520" s="14" t="n">
        <v>45.93</v>
      </c>
      <c r="I1520" s="14" t="n">
        <v>0</v>
      </c>
      <c r="J1520" s="14" t="n">
        <v>0</v>
      </c>
      <c r="K1520" s="14" t="n">
        <v>0</v>
      </c>
      <c r="L1520" s="14" t="n">
        <v>0</v>
      </c>
      <c r="M1520" s="14">
        <f>IF(B1520="Frete de venda",0,(1-ISNUMBER(SEARCH("556",P1520)))*(I1520*VLOOKUP($B1520,Premissas!$A$4:$E$7,2,0)+J1520*VLOOKUP($B1520,Premissas!$A$4:$E$7,3,0))+K1520*VLOOKUP($B1520,Premissas!$A$4:$E$7,4,0)+L1520*VLOOKUP($B1520,Premissas!$A$4:$E$7,5,0))</f>
        <v/>
      </c>
      <c r="N1520" s="14">
        <f>H1520-M1520</f>
        <v/>
      </c>
      <c r="O1520" t="inlineStr">
        <is>
          <t>Não</t>
        </is>
      </c>
      <c r="P1520" t="inlineStr">
        <is>
          <t>1.350</t>
        </is>
      </c>
    </row>
    <row r="1521">
      <c r="A1521" t="inlineStr">
        <is>
          <t>Antes de 2026</t>
        </is>
      </c>
      <c r="B1521" t="inlineStr">
        <is>
          <t>Frete de venda</t>
        </is>
      </c>
      <c r="C1521" t="inlineStr">
        <is>
          <t>Frete de venda (para clientes)</t>
        </is>
      </c>
      <c r="D1521" t="inlineStr">
        <is>
          <t>CT-e</t>
        </is>
      </c>
      <c r="E1521" t="inlineStr">
        <is>
          <t>000004784</t>
        </is>
      </c>
      <c r="F1521" t="inlineStr">
        <is>
          <t>R&amp;R TRANSPORTE E LOGISTICA</t>
        </is>
      </c>
      <c r="G1521" s="27" t="n">
        <v>45868</v>
      </c>
      <c r="H1521" s="14" t="n">
        <v>32.17</v>
      </c>
      <c r="I1521" s="14" t="n">
        <v>0</v>
      </c>
      <c r="J1521" s="14" t="n">
        <v>0</v>
      </c>
      <c r="K1521" s="14" t="n">
        <v>0</v>
      </c>
      <c r="L1521" s="14" t="n">
        <v>0</v>
      </c>
      <c r="M1521" s="14">
        <f>IF(B1521="Frete de venda",0,(1-ISNUMBER(SEARCH("556",P1521)))*(I1521*VLOOKUP($B1521,Premissas!$A$4:$E$7,2,0)+J1521*VLOOKUP($B1521,Premissas!$A$4:$E$7,3,0))+K1521*VLOOKUP($B1521,Premissas!$A$4:$E$7,4,0)+L1521*VLOOKUP($B1521,Premissas!$A$4:$E$7,5,0))</f>
        <v/>
      </c>
      <c r="N1521" s="14">
        <f>H1521-M1521</f>
        <v/>
      </c>
      <c r="O1521" t="inlineStr">
        <is>
          <t>Não</t>
        </is>
      </c>
      <c r="P1521" t="inlineStr">
        <is>
          <t>1.350</t>
        </is>
      </c>
    </row>
    <row r="1522">
      <c r="A1522" t="inlineStr">
        <is>
          <t>Antes de 2026</t>
        </is>
      </c>
      <c r="B1522" t="inlineStr">
        <is>
          <t>Frete de venda</t>
        </is>
      </c>
      <c r="C1522" t="inlineStr">
        <is>
          <t>Frete de venda (para clientes)</t>
        </is>
      </c>
      <c r="D1522" t="inlineStr">
        <is>
          <t>CT-e</t>
        </is>
      </c>
      <c r="E1522" t="inlineStr">
        <is>
          <t>000005176</t>
        </is>
      </c>
      <c r="F1522" t="inlineStr">
        <is>
          <t>R&amp;R TRANSPORTE E LOGISTICA</t>
        </is>
      </c>
      <c r="G1522" s="27" t="n">
        <v>45913</v>
      </c>
      <c r="H1522" s="14" t="n">
        <v>30.88</v>
      </c>
      <c r="I1522" s="14" t="n">
        <v>0</v>
      </c>
      <c r="J1522" s="14" t="n">
        <v>0</v>
      </c>
      <c r="K1522" s="14" t="n">
        <v>0</v>
      </c>
      <c r="L1522" s="14" t="n">
        <v>0</v>
      </c>
      <c r="M1522" s="14">
        <f>IF(B1522="Frete de venda",0,(1-ISNUMBER(SEARCH("556",P1522)))*(I1522*VLOOKUP($B1522,Premissas!$A$4:$E$7,2,0)+J1522*VLOOKUP($B1522,Premissas!$A$4:$E$7,3,0))+K1522*VLOOKUP($B1522,Premissas!$A$4:$E$7,4,0)+L1522*VLOOKUP($B1522,Premissas!$A$4:$E$7,5,0))</f>
        <v/>
      </c>
      <c r="N1522" s="14">
        <f>H1522-M1522</f>
        <v/>
      </c>
      <c r="O1522" t="inlineStr">
        <is>
          <t>Não</t>
        </is>
      </c>
      <c r="P1522" t="inlineStr">
        <is>
          <t>1.350</t>
        </is>
      </c>
    </row>
    <row r="1523">
      <c r="A1523" t="inlineStr">
        <is>
          <t>Antes de 2026</t>
        </is>
      </c>
      <c r="B1523" t="inlineStr">
        <is>
          <t>Frete de venda</t>
        </is>
      </c>
      <c r="C1523" t="inlineStr">
        <is>
          <t>Frete de venda (para clientes)</t>
        </is>
      </c>
      <c r="D1523" t="inlineStr">
        <is>
          <t>CT-e</t>
        </is>
      </c>
      <c r="E1523" t="inlineStr">
        <is>
          <t>000005337</t>
        </is>
      </c>
      <c r="F1523" t="inlineStr">
        <is>
          <t>R&amp;R TRANSPORTE E LOGISTICA</t>
        </is>
      </c>
      <c r="G1523" s="27" t="n">
        <v>45929</v>
      </c>
      <c r="H1523" s="14" t="n">
        <v>13.85</v>
      </c>
      <c r="I1523" s="14" t="n">
        <v>0</v>
      </c>
      <c r="J1523" s="14" t="n">
        <v>0</v>
      </c>
      <c r="K1523" s="14" t="n">
        <v>0</v>
      </c>
      <c r="L1523" s="14" t="n">
        <v>0</v>
      </c>
      <c r="M1523" s="14">
        <f>IF(B1523="Frete de venda",0,(1-ISNUMBER(SEARCH("556",P1523)))*(I1523*VLOOKUP($B1523,Premissas!$A$4:$E$7,2,0)+J1523*VLOOKUP($B1523,Premissas!$A$4:$E$7,3,0))+K1523*VLOOKUP($B1523,Premissas!$A$4:$E$7,4,0)+L1523*VLOOKUP($B1523,Premissas!$A$4:$E$7,5,0))</f>
        <v/>
      </c>
      <c r="N1523" s="14">
        <f>H1523-M1523</f>
        <v/>
      </c>
      <c r="O1523" t="inlineStr">
        <is>
          <t>Não</t>
        </is>
      </c>
      <c r="P1523" t="inlineStr">
        <is>
          <t>1.350</t>
        </is>
      </c>
    </row>
    <row r="1524">
      <c r="A1524" t="inlineStr">
        <is>
          <t>Antes de 2026</t>
        </is>
      </c>
      <c r="B1524" t="inlineStr">
        <is>
          <t>Frete de venda</t>
        </is>
      </c>
      <c r="C1524" t="inlineStr">
        <is>
          <t>Frete de venda (para clientes)</t>
        </is>
      </c>
      <c r="D1524" t="inlineStr">
        <is>
          <t>CT-e</t>
        </is>
      </c>
      <c r="E1524" t="inlineStr">
        <is>
          <t>000020456</t>
        </is>
      </c>
      <c r="F1524" t="inlineStr">
        <is>
          <t>TRANSPORTE OLIVEIRA E MELLOI - IDEALIZA TRANSPORTES</t>
        </is>
      </c>
      <c r="G1524" s="27" t="n">
        <v>45600</v>
      </c>
      <c r="H1524" s="14" t="n">
        <v>755.62</v>
      </c>
      <c r="I1524" s="14" t="n">
        <v>0</v>
      </c>
      <c r="J1524" s="14" t="n">
        <v>0</v>
      </c>
      <c r="K1524" s="14" t="n">
        <v>0</v>
      </c>
      <c r="L1524" s="14" t="n">
        <v>0</v>
      </c>
      <c r="M1524" s="14">
        <f>IF(B1524="Frete de venda",0,(1-ISNUMBER(SEARCH("556",P1524)))*(I1524*VLOOKUP($B1524,Premissas!$A$4:$E$7,2,0)+J1524*VLOOKUP($B1524,Premissas!$A$4:$E$7,3,0))+K1524*VLOOKUP($B1524,Premissas!$A$4:$E$7,4,0)+L1524*VLOOKUP($B1524,Premissas!$A$4:$E$7,5,0))</f>
        <v/>
      </c>
      <c r="N1524" s="14">
        <f>H1524-M1524</f>
        <v/>
      </c>
      <c r="O1524" t="inlineStr">
        <is>
          <t>Não</t>
        </is>
      </c>
      <c r="P1524" t="inlineStr">
        <is>
          <t>1.350</t>
        </is>
      </c>
    </row>
    <row r="1525">
      <c r="A1525" t="inlineStr">
        <is>
          <t>Antes de 2026</t>
        </is>
      </c>
      <c r="B1525" t="inlineStr">
        <is>
          <t>Frete de venda</t>
        </is>
      </c>
      <c r="C1525" t="inlineStr">
        <is>
          <t>Frete de venda (para clientes)</t>
        </is>
      </c>
      <c r="D1525" t="inlineStr">
        <is>
          <t>CT-e</t>
        </is>
      </c>
      <c r="E1525" t="inlineStr">
        <is>
          <t>000005407</t>
        </is>
      </c>
      <c r="F1525" t="inlineStr">
        <is>
          <t>R&amp;R TRANSPORTE E LOGISTICA</t>
        </is>
      </c>
      <c r="G1525" s="27" t="n">
        <v>45937</v>
      </c>
      <c r="H1525" s="14" t="n">
        <v>27.81</v>
      </c>
      <c r="I1525" s="14" t="n">
        <v>0</v>
      </c>
      <c r="J1525" s="14" t="n">
        <v>0</v>
      </c>
      <c r="K1525" s="14" t="n">
        <v>0</v>
      </c>
      <c r="L1525" s="14" t="n">
        <v>0</v>
      </c>
      <c r="M1525" s="14">
        <f>IF(B1525="Frete de venda",0,(1-ISNUMBER(SEARCH("556",P1525)))*(I1525*VLOOKUP($B1525,Premissas!$A$4:$E$7,2,0)+J1525*VLOOKUP($B1525,Premissas!$A$4:$E$7,3,0))+K1525*VLOOKUP($B1525,Premissas!$A$4:$E$7,4,0)+L1525*VLOOKUP($B1525,Premissas!$A$4:$E$7,5,0))</f>
        <v/>
      </c>
      <c r="N1525" s="14">
        <f>H1525-M1525</f>
        <v/>
      </c>
      <c r="O1525" t="inlineStr">
        <is>
          <t>Não</t>
        </is>
      </c>
      <c r="P1525" t="inlineStr">
        <is>
          <t>1.350</t>
        </is>
      </c>
    </row>
    <row r="1526">
      <c r="A1526" t="inlineStr">
        <is>
          <t>Antes de 2026</t>
        </is>
      </c>
      <c r="B1526" t="inlineStr">
        <is>
          <t>Frete de venda</t>
        </is>
      </c>
      <c r="C1526" t="inlineStr">
        <is>
          <t>Frete de venda (para clientes)</t>
        </is>
      </c>
      <c r="D1526" t="inlineStr">
        <is>
          <t>CT-e</t>
        </is>
      </c>
      <c r="E1526" t="inlineStr">
        <is>
          <t>000006020</t>
        </is>
      </c>
      <c r="F1526" t="inlineStr">
        <is>
          <t>R&amp;R TRANSPORTE E LOGISTICA</t>
        </is>
      </c>
      <c r="G1526" s="27" t="n">
        <v>46010</v>
      </c>
      <c r="H1526" s="14" t="n">
        <v>27.98</v>
      </c>
      <c r="I1526" s="14" t="n">
        <v>0</v>
      </c>
      <c r="J1526" s="14" t="n">
        <v>0</v>
      </c>
      <c r="K1526" s="14" t="n">
        <v>0</v>
      </c>
      <c r="L1526" s="14" t="n">
        <v>0</v>
      </c>
      <c r="M1526" s="14">
        <f>IF(B1526="Frete de venda",0,(1-ISNUMBER(SEARCH("556",P1526)))*(I1526*VLOOKUP($B1526,Premissas!$A$4:$E$7,2,0)+J1526*VLOOKUP($B1526,Premissas!$A$4:$E$7,3,0))+K1526*VLOOKUP($B1526,Premissas!$A$4:$E$7,4,0)+L1526*VLOOKUP($B1526,Premissas!$A$4:$E$7,5,0))</f>
        <v/>
      </c>
      <c r="N1526" s="14">
        <f>H1526-M1526</f>
        <v/>
      </c>
      <c r="O1526" t="inlineStr">
        <is>
          <t>Não</t>
        </is>
      </c>
      <c r="P1526" t="inlineStr">
        <is>
          <t>1.350</t>
        </is>
      </c>
    </row>
    <row r="1527">
      <c r="A1527" t="inlineStr">
        <is>
          <t>Antes de 2026</t>
        </is>
      </c>
      <c r="B1527" t="inlineStr">
        <is>
          <t>Frete de venda</t>
        </is>
      </c>
      <c r="C1527" t="inlineStr">
        <is>
          <t>Frete de venda (para clientes)</t>
        </is>
      </c>
      <c r="D1527" t="inlineStr">
        <is>
          <t>CT-e</t>
        </is>
      </c>
      <c r="E1527" t="inlineStr">
        <is>
          <t>000004151</t>
        </is>
      </c>
      <c r="F1527" t="inlineStr">
        <is>
          <t>R&amp;R TRANSPORTE E LOGISTICA</t>
        </is>
      </c>
      <c r="G1527" s="27" t="n">
        <v>45783</v>
      </c>
      <c r="H1527" s="14" t="n">
        <v>41.98</v>
      </c>
      <c r="I1527" s="14" t="n">
        <v>0</v>
      </c>
      <c r="J1527" s="14" t="n">
        <v>0</v>
      </c>
      <c r="K1527" s="14" t="n">
        <v>0</v>
      </c>
      <c r="L1527" s="14" t="n">
        <v>0</v>
      </c>
      <c r="M1527" s="14">
        <f>IF(B1527="Frete de venda",0,(1-ISNUMBER(SEARCH("556",P1527)))*(I1527*VLOOKUP($B1527,Premissas!$A$4:$E$7,2,0)+J1527*VLOOKUP($B1527,Premissas!$A$4:$E$7,3,0))+K1527*VLOOKUP($B1527,Premissas!$A$4:$E$7,4,0)+L1527*VLOOKUP($B1527,Premissas!$A$4:$E$7,5,0))</f>
        <v/>
      </c>
      <c r="N1527" s="14">
        <f>H1527-M1527</f>
        <v/>
      </c>
      <c r="O1527" t="inlineStr">
        <is>
          <t>Não</t>
        </is>
      </c>
      <c r="P1527" t="inlineStr">
        <is>
          <t>1.350</t>
        </is>
      </c>
    </row>
    <row r="1528">
      <c r="A1528" t="inlineStr">
        <is>
          <t>Antes de 2026</t>
        </is>
      </c>
      <c r="B1528" t="inlineStr">
        <is>
          <t>Frete de venda</t>
        </is>
      </c>
      <c r="C1528" t="inlineStr">
        <is>
          <t>Frete de venda (para clientes)</t>
        </is>
      </c>
      <c r="D1528" t="inlineStr">
        <is>
          <t>CT-e</t>
        </is>
      </c>
      <c r="E1528" t="inlineStr">
        <is>
          <t>000005141</t>
        </is>
      </c>
      <c r="F1528" t="inlineStr">
        <is>
          <t>R&amp;R TRANSPORTE E LOGISTICA</t>
        </is>
      </c>
      <c r="G1528" s="27" t="n">
        <v>45908</v>
      </c>
      <c r="H1528" s="14" t="n">
        <v>72.68000000000001</v>
      </c>
      <c r="I1528" s="14" t="n">
        <v>0</v>
      </c>
      <c r="J1528" s="14" t="n">
        <v>0</v>
      </c>
      <c r="K1528" s="14" t="n">
        <v>0</v>
      </c>
      <c r="L1528" s="14" t="n">
        <v>0</v>
      </c>
      <c r="M1528" s="14">
        <f>IF(B1528="Frete de venda",0,(1-ISNUMBER(SEARCH("556",P1528)))*(I1528*VLOOKUP($B1528,Premissas!$A$4:$E$7,2,0)+J1528*VLOOKUP($B1528,Premissas!$A$4:$E$7,3,0))+K1528*VLOOKUP($B1528,Premissas!$A$4:$E$7,4,0)+L1528*VLOOKUP($B1528,Premissas!$A$4:$E$7,5,0))</f>
        <v/>
      </c>
      <c r="N1528" s="14">
        <f>H1528-M1528</f>
        <v/>
      </c>
      <c r="O1528" t="inlineStr">
        <is>
          <t>Não</t>
        </is>
      </c>
      <c r="P1528" t="inlineStr">
        <is>
          <t>1.350</t>
        </is>
      </c>
    </row>
    <row r="1529">
      <c r="A1529" t="inlineStr">
        <is>
          <t>Antes de 2026</t>
        </is>
      </c>
      <c r="B1529" t="inlineStr">
        <is>
          <t>Frete de venda</t>
        </is>
      </c>
      <c r="C1529" t="inlineStr">
        <is>
          <t>Frete de venda (para clientes)</t>
        </is>
      </c>
      <c r="D1529" t="inlineStr">
        <is>
          <t>CT-e</t>
        </is>
      </c>
      <c r="E1529" t="inlineStr">
        <is>
          <t>000005962</t>
        </is>
      </c>
      <c r="F1529" t="inlineStr">
        <is>
          <t>R&amp;R TRANSPORTE E LOGISTICA</t>
        </is>
      </c>
      <c r="G1529" s="27" t="n">
        <v>46002</v>
      </c>
      <c r="H1529" s="14" t="n">
        <v>38.37</v>
      </c>
      <c r="I1529" s="14" t="n">
        <v>0</v>
      </c>
      <c r="J1529" s="14" t="n">
        <v>0</v>
      </c>
      <c r="K1529" s="14" t="n">
        <v>0</v>
      </c>
      <c r="L1529" s="14" t="n">
        <v>0</v>
      </c>
      <c r="M1529" s="14">
        <f>IF(B1529="Frete de venda",0,(1-ISNUMBER(SEARCH("556",P1529)))*(I1529*VLOOKUP($B1529,Premissas!$A$4:$E$7,2,0)+J1529*VLOOKUP($B1529,Premissas!$A$4:$E$7,3,0))+K1529*VLOOKUP($B1529,Premissas!$A$4:$E$7,4,0)+L1529*VLOOKUP($B1529,Premissas!$A$4:$E$7,5,0))</f>
        <v/>
      </c>
      <c r="N1529" s="14">
        <f>H1529-M1529</f>
        <v/>
      </c>
      <c r="O1529" t="inlineStr">
        <is>
          <t>Não</t>
        </is>
      </c>
      <c r="P1529" t="inlineStr">
        <is>
          <t>1.350</t>
        </is>
      </c>
    </row>
    <row r="1530">
      <c r="A1530" t="inlineStr">
        <is>
          <t>Antes de 2026</t>
        </is>
      </c>
      <c r="B1530" t="inlineStr">
        <is>
          <t>Frete de venda</t>
        </is>
      </c>
      <c r="C1530" t="inlineStr">
        <is>
          <t>Frete de venda (para clientes)</t>
        </is>
      </c>
      <c r="D1530" t="inlineStr">
        <is>
          <t>CT-e</t>
        </is>
      </c>
      <c r="E1530" t="inlineStr">
        <is>
          <t>000005034</t>
        </is>
      </c>
      <c r="F1530" t="inlineStr">
        <is>
          <t>R&amp;R TRANSPORTE E LOGISTICA</t>
        </is>
      </c>
      <c r="G1530" s="27" t="n">
        <v>45895</v>
      </c>
      <c r="H1530" s="14" t="n">
        <v>12.91</v>
      </c>
      <c r="I1530" s="14" t="n">
        <v>0</v>
      </c>
      <c r="J1530" s="14" t="n">
        <v>0</v>
      </c>
      <c r="K1530" s="14" t="n">
        <v>0</v>
      </c>
      <c r="L1530" s="14" t="n">
        <v>0</v>
      </c>
      <c r="M1530" s="14">
        <f>IF(B1530="Frete de venda",0,(1-ISNUMBER(SEARCH("556",P1530)))*(I1530*VLOOKUP($B1530,Premissas!$A$4:$E$7,2,0)+J1530*VLOOKUP($B1530,Premissas!$A$4:$E$7,3,0))+K1530*VLOOKUP($B1530,Premissas!$A$4:$E$7,4,0)+L1530*VLOOKUP($B1530,Premissas!$A$4:$E$7,5,0))</f>
        <v/>
      </c>
      <c r="N1530" s="14">
        <f>H1530-M1530</f>
        <v/>
      </c>
      <c r="O1530" t="inlineStr">
        <is>
          <t>Não</t>
        </is>
      </c>
      <c r="P1530" t="inlineStr">
        <is>
          <t>1.350</t>
        </is>
      </c>
    </row>
    <row r="1531">
      <c r="A1531" t="inlineStr">
        <is>
          <t>Antes de 2026</t>
        </is>
      </c>
      <c r="B1531" t="inlineStr">
        <is>
          <t>Frete de venda</t>
        </is>
      </c>
      <c r="C1531" t="inlineStr">
        <is>
          <t>Frete de venda (para clientes)</t>
        </is>
      </c>
      <c r="D1531" t="inlineStr">
        <is>
          <t>CT-e</t>
        </is>
      </c>
      <c r="E1531" t="inlineStr">
        <is>
          <t>000004680</t>
        </is>
      </c>
      <c r="F1531" t="inlineStr">
        <is>
          <t>R&amp;R TRANSPORTE E LOGISTICA</t>
        </is>
      </c>
      <c r="G1531" s="27" t="n">
        <v>45856</v>
      </c>
      <c r="H1531" s="14" t="n">
        <v>22.56</v>
      </c>
      <c r="I1531" s="14" t="n">
        <v>0</v>
      </c>
      <c r="J1531" s="14" t="n">
        <v>0</v>
      </c>
      <c r="K1531" s="14" t="n">
        <v>0</v>
      </c>
      <c r="L1531" s="14" t="n">
        <v>0</v>
      </c>
      <c r="M1531" s="14">
        <f>IF(B1531="Frete de venda",0,(1-ISNUMBER(SEARCH("556",P1531)))*(I1531*VLOOKUP($B1531,Premissas!$A$4:$E$7,2,0)+J1531*VLOOKUP($B1531,Premissas!$A$4:$E$7,3,0))+K1531*VLOOKUP($B1531,Premissas!$A$4:$E$7,4,0)+L1531*VLOOKUP($B1531,Premissas!$A$4:$E$7,5,0))</f>
        <v/>
      </c>
      <c r="N1531" s="14">
        <f>H1531-M1531</f>
        <v/>
      </c>
      <c r="O1531" t="inlineStr">
        <is>
          <t>Não</t>
        </is>
      </c>
      <c r="P1531" t="inlineStr">
        <is>
          <t>1.350</t>
        </is>
      </c>
    </row>
    <row r="1532">
      <c r="A1532" t="inlineStr">
        <is>
          <t>Antes de 2026</t>
        </is>
      </c>
      <c r="B1532" t="inlineStr">
        <is>
          <t>Frete de venda</t>
        </is>
      </c>
      <c r="C1532" t="inlineStr">
        <is>
          <t>Frete de venda (para clientes)</t>
        </is>
      </c>
      <c r="D1532" t="inlineStr">
        <is>
          <t>CT-e</t>
        </is>
      </c>
      <c r="E1532" t="inlineStr">
        <is>
          <t>000004503</t>
        </is>
      </c>
      <c r="F1532" t="inlineStr">
        <is>
          <t>R&amp;R TRANSPORTE E LOGISTICA</t>
        </is>
      </c>
      <c r="G1532" s="27" t="n">
        <v>45833</v>
      </c>
      <c r="H1532" s="14" t="n">
        <v>40.61</v>
      </c>
      <c r="I1532" s="14" t="n">
        <v>0</v>
      </c>
      <c r="J1532" s="14" t="n">
        <v>0</v>
      </c>
      <c r="K1532" s="14" t="n">
        <v>0</v>
      </c>
      <c r="L1532" s="14" t="n">
        <v>0</v>
      </c>
      <c r="M1532" s="14">
        <f>IF(B1532="Frete de venda",0,(1-ISNUMBER(SEARCH("556",P1532)))*(I1532*VLOOKUP($B1532,Premissas!$A$4:$E$7,2,0)+J1532*VLOOKUP($B1532,Premissas!$A$4:$E$7,3,0))+K1532*VLOOKUP($B1532,Premissas!$A$4:$E$7,4,0)+L1532*VLOOKUP($B1532,Premissas!$A$4:$E$7,5,0))</f>
        <v/>
      </c>
      <c r="N1532" s="14">
        <f>H1532-M1532</f>
        <v/>
      </c>
      <c r="O1532" t="inlineStr">
        <is>
          <t>Não</t>
        </is>
      </c>
      <c r="P1532" t="inlineStr">
        <is>
          <t>1.350</t>
        </is>
      </c>
    </row>
    <row r="1533">
      <c r="A1533" t="inlineStr">
        <is>
          <t>Antes de 2026</t>
        </is>
      </c>
      <c r="B1533" t="inlineStr">
        <is>
          <t>Frete de venda</t>
        </is>
      </c>
      <c r="C1533" t="inlineStr">
        <is>
          <t>Frete de venda (para clientes)</t>
        </is>
      </c>
      <c r="D1533" t="inlineStr">
        <is>
          <t>CT-e</t>
        </is>
      </c>
      <c r="E1533" t="inlineStr">
        <is>
          <t>000004110</t>
        </is>
      </c>
      <c r="F1533" t="inlineStr">
        <is>
          <t>R&amp;R TRANSPORTE E LOGISTICA</t>
        </is>
      </c>
      <c r="G1533" s="27" t="n">
        <v>45776</v>
      </c>
      <c r="H1533" s="14" t="n">
        <v>51.17</v>
      </c>
      <c r="I1533" s="14" t="n">
        <v>0</v>
      </c>
      <c r="J1533" s="14" t="n">
        <v>0</v>
      </c>
      <c r="K1533" s="14" t="n">
        <v>0</v>
      </c>
      <c r="L1533" s="14" t="n">
        <v>0</v>
      </c>
      <c r="M1533" s="14">
        <f>IF(B1533="Frete de venda",0,(1-ISNUMBER(SEARCH("556",P1533)))*(I1533*VLOOKUP($B1533,Premissas!$A$4:$E$7,2,0)+J1533*VLOOKUP($B1533,Premissas!$A$4:$E$7,3,0))+K1533*VLOOKUP($B1533,Premissas!$A$4:$E$7,4,0)+L1533*VLOOKUP($B1533,Premissas!$A$4:$E$7,5,0))</f>
        <v/>
      </c>
      <c r="N1533" s="14">
        <f>H1533-M1533</f>
        <v/>
      </c>
      <c r="O1533" t="inlineStr">
        <is>
          <t>Não</t>
        </is>
      </c>
      <c r="P1533" t="inlineStr">
        <is>
          <t>1.350</t>
        </is>
      </c>
    </row>
    <row r="1534">
      <c r="A1534" t="inlineStr">
        <is>
          <t>Antes de 2026</t>
        </is>
      </c>
      <c r="B1534" t="inlineStr">
        <is>
          <t>Frete de venda</t>
        </is>
      </c>
      <c r="C1534" t="inlineStr">
        <is>
          <t>Frete de venda (para clientes)</t>
        </is>
      </c>
      <c r="D1534" t="inlineStr">
        <is>
          <t>CT-e</t>
        </is>
      </c>
      <c r="E1534" t="inlineStr">
        <is>
          <t>000005259</t>
        </is>
      </c>
      <c r="F1534" t="inlineStr">
        <is>
          <t>R&amp;R TRANSPORTE E LOGISTICA</t>
        </is>
      </c>
      <c r="G1534" s="27" t="n">
        <v>45922</v>
      </c>
      <c r="H1534" s="14" t="n">
        <v>49.8</v>
      </c>
      <c r="I1534" s="14" t="n">
        <v>0</v>
      </c>
      <c r="J1534" s="14" t="n">
        <v>0</v>
      </c>
      <c r="K1534" s="14" t="n">
        <v>0</v>
      </c>
      <c r="L1534" s="14" t="n">
        <v>0</v>
      </c>
      <c r="M1534" s="14">
        <f>IF(B1534="Frete de venda",0,(1-ISNUMBER(SEARCH("556",P1534)))*(I1534*VLOOKUP($B1534,Premissas!$A$4:$E$7,2,0)+J1534*VLOOKUP($B1534,Premissas!$A$4:$E$7,3,0))+K1534*VLOOKUP($B1534,Premissas!$A$4:$E$7,4,0)+L1534*VLOOKUP($B1534,Premissas!$A$4:$E$7,5,0))</f>
        <v/>
      </c>
      <c r="N1534" s="14">
        <f>H1534-M1534</f>
        <v/>
      </c>
      <c r="O1534" t="inlineStr">
        <is>
          <t>Não</t>
        </is>
      </c>
      <c r="P1534" t="inlineStr">
        <is>
          <t>1.350</t>
        </is>
      </c>
    </row>
    <row r="1535">
      <c r="A1535" t="inlineStr">
        <is>
          <t>Antes de 2026</t>
        </is>
      </c>
      <c r="B1535" t="inlineStr">
        <is>
          <t>Frete de venda</t>
        </is>
      </c>
      <c r="C1535" t="inlineStr">
        <is>
          <t>Frete de venda (para clientes)</t>
        </is>
      </c>
      <c r="D1535" t="inlineStr">
        <is>
          <t>CT-e</t>
        </is>
      </c>
      <c r="E1535" t="inlineStr">
        <is>
          <t>000006037</t>
        </is>
      </c>
      <c r="F1535" t="inlineStr">
        <is>
          <t>R&amp;R TRANSPORTE E LOGISTICA</t>
        </is>
      </c>
      <c r="G1535" s="27" t="n">
        <v>46011</v>
      </c>
      <c r="H1535" s="14" t="n">
        <v>28</v>
      </c>
      <c r="I1535" s="14" t="n">
        <v>0</v>
      </c>
      <c r="J1535" s="14" t="n">
        <v>0</v>
      </c>
      <c r="K1535" s="14" t="n">
        <v>0</v>
      </c>
      <c r="L1535" s="14" t="n">
        <v>0</v>
      </c>
      <c r="M1535" s="14">
        <f>IF(B1535="Frete de venda",0,(1-ISNUMBER(SEARCH("556",P1535)))*(I1535*VLOOKUP($B1535,Premissas!$A$4:$E$7,2,0)+J1535*VLOOKUP($B1535,Premissas!$A$4:$E$7,3,0))+K1535*VLOOKUP($B1535,Premissas!$A$4:$E$7,4,0)+L1535*VLOOKUP($B1535,Premissas!$A$4:$E$7,5,0))</f>
        <v/>
      </c>
      <c r="N1535" s="14">
        <f>H1535-M1535</f>
        <v/>
      </c>
      <c r="O1535" t="inlineStr">
        <is>
          <t>Não</t>
        </is>
      </c>
      <c r="P1535" t="inlineStr">
        <is>
          <t>1.350</t>
        </is>
      </c>
    </row>
    <row r="1536">
      <c r="A1536" t="inlineStr">
        <is>
          <t>Antes de 2026</t>
        </is>
      </c>
      <c r="B1536" t="inlineStr">
        <is>
          <t>Frete de venda</t>
        </is>
      </c>
      <c r="C1536" t="inlineStr">
        <is>
          <t>Frete de venda (para clientes)</t>
        </is>
      </c>
      <c r="D1536" t="inlineStr">
        <is>
          <t>CT-e</t>
        </is>
      </c>
      <c r="E1536" t="inlineStr">
        <is>
          <t>000004815</t>
        </is>
      </c>
      <c r="F1536" t="inlineStr">
        <is>
          <t>R&amp;R TRANSPORTE E LOGISTICA</t>
        </is>
      </c>
      <c r="G1536" s="27" t="n">
        <v>45870</v>
      </c>
      <c r="H1536" s="14" t="n">
        <v>26.94</v>
      </c>
      <c r="I1536" s="14" t="n">
        <v>0</v>
      </c>
      <c r="J1536" s="14" t="n">
        <v>0</v>
      </c>
      <c r="K1536" s="14" t="n">
        <v>0</v>
      </c>
      <c r="L1536" s="14" t="n">
        <v>0</v>
      </c>
      <c r="M1536" s="14">
        <f>IF(B1536="Frete de venda",0,(1-ISNUMBER(SEARCH("556",P1536)))*(I1536*VLOOKUP($B1536,Premissas!$A$4:$E$7,2,0)+J1536*VLOOKUP($B1536,Premissas!$A$4:$E$7,3,0))+K1536*VLOOKUP($B1536,Premissas!$A$4:$E$7,4,0)+L1536*VLOOKUP($B1536,Premissas!$A$4:$E$7,5,0))</f>
        <v/>
      </c>
      <c r="N1536" s="14">
        <f>H1536-M1536</f>
        <v/>
      </c>
      <c r="O1536" t="inlineStr">
        <is>
          <t>Não</t>
        </is>
      </c>
      <c r="P1536" t="inlineStr">
        <is>
          <t>1.350</t>
        </is>
      </c>
    </row>
    <row r="1537">
      <c r="A1537" t="inlineStr">
        <is>
          <t>Antes de 2026</t>
        </is>
      </c>
      <c r="B1537" t="inlineStr">
        <is>
          <t>Frete de venda</t>
        </is>
      </c>
      <c r="C1537" t="inlineStr">
        <is>
          <t>Frete de venda (para clientes)</t>
        </is>
      </c>
      <c r="D1537" t="inlineStr">
        <is>
          <t>CT-e</t>
        </is>
      </c>
      <c r="E1537" t="inlineStr">
        <is>
          <t>000004210</t>
        </is>
      </c>
      <c r="F1537" t="inlineStr">
        <is>
          <t>R&amp;R TRANSPORTE E LOGISTICA</t>
        </is>
      </c>
      <c r="G1537" s="27" t="n">
        <v>45790</v>
      </c>
      <c r="H1537" s="14" t="n">
        <v>22.31</v>
      </c>
      <c r="I1537" s="14" t="n">
        <v>0</v>
      </c>
      <c r="J1537" s="14" t="n">
        <v>0</v>
      </c>
      <c r="K1537" s="14" t="n">
        <v>0</v>
      </c>
      <c r="L1537" s="14" t="n">
        <v>0</v>
      </c>
      <c r="M1537" s="14">
        <f>IF(B1537="Frete de venda",0,(1-ISNUMBER(SEARCH("556",P1537)))*(I1537*VLOOKUP($B1537,Premissas!$A$4:$E$7,2,0)+J1537*VLOOKUP($B1537,Premissas!$A$4:$E$7,3,0))+K1537*VLOOKUP($B1537,Premissas!$A$4:$E$7,4,0)+L1537*VLOOKUP($B1537,Premissas!$A$4:$E$7,5,0))</f>
        <v/>
      </c>
      <c r="N1537" s="14">
        <f>H1537-M1537</f>
        <v/>
      </c>
      <c r="O1537" t="inlineStr">
        <is>
          <t>Não</t>
        </is>
      </c>
      <c r="P1537" t="inlineStr">
        <is>
          <t>1.350</t>
        </is>
      </c>
    </row>
    <row r="1538">
      <c r="A1538" t="inlineStr">
        <is>
          <t>Antes de 2026</t>
        </is>
      </c>
      <c r="B1538" t="inlineStr">
        <is>
          <t>Frete de venda</t>
        </is>
      </c>
      <c r="C1538" t="inlineStr">
        <is>
          <t>Frete de venda (para clientes)</t>
        </is>
      </c>
      <c r="D1538" t="inlineStr">
        <is>
          <t>CT-e</t>
        </is>
      </c>
      <c r="E1538" t="inlineStr">
        <is>
          <t>000005332</t>
        </is>
      </c>
      <c r="F1538" t="inlineStr">
        <is>
          <t>R&amp;R TRANSPORTE E LOGISTICA</t>
        </is>
      </c>
      <c r="G1538" s="27" t="n">
        <v>45929</v>
      </c>
      <c r="H1538" s="14" t="n">
        <v>13.95</v>
      </c>
      <c r="I1538" s="14" t="n">
        <v>0</v>
      </c>
      <c r="J1538" s="14" t="n">
        <v>0</v>
      </c>
      <c r="K1538" s="14" t="n">
        <v>0</v>
      </c>
      <c r="L1538" s="14" t="n">
        <v>0</v>
      </c>
      <c r="M1538" s="14">
        <f>IF(B1538="Frete de venda",0,(1-ISNUMBER(SEARCH("556",P1538)))*(I1538*VLOOKUP($B1538,Premissas!$A$4:$E$7,2,0)+J1538*VLOOKUP($B1538,Premissas!$A$4:$E$7,3,0))+K1538*VLOOKUP($B1538,Premissas!$A$4:$E$7,4,0)+L1538*VLOOKUP($B1538,Premissas!$A$4:$E$7,5,0))</f>
        <v/>
      </c>
      <c r="N1538" s="14">
        <f>H1538-M1538</f>
        <v/>
      </c>
      <c r="O1538" t="inlineStr">
        <is>
          <t>Não</t>
        </is>
      </c>
      <c r="P1538" t="inlineStr">
        <is>
          <t>1.350</t>
        </is>
      </c>
    </row>
    <row r="1539">
      <c r="A1539" t="inlineStr">
        <is>
          <t>Antes de 2026</t>
        </is>
      </c>
      <c r="B1539" t="inlineStr">
        <is>
          <t>Frete de venda</t>
        </is>
      </c>
      <c r="C1539" t="inlineStr">
        <is>
          <t>Frete de venda (para clientes)</t>
        </is>
      </c>
      <c r="D1539" t="inlineStr">
        <is>
          <t>CT-e</t>
        </is>
      </c>
      <c r="E1539" t="inlineStr">
        <is>
          <t>000005798</t>
        </is>
      </c>
      <c r="F1539" t="inlineStr">
        <is>
          <t>R&amp;R TRANSPORTE E LOGISTICA</t>
        </is>
      </c>
      <c r="G1539" s="27" t="n">
        <v>45981</v>
      </c>
      <c r="H1539" s="14" t="n">
        <v>15.29</v>
      </c>
      <c r="I1539" s="14" t="n">
        <v>0</v>
      </c>
      <c r="J1539" s="14" t="n">
        <v>0</v>
      </c>
      <c r="K1539" s="14" t="n">
        <v>0</v>
      </c>
      <c r="L1539" s="14" t="n">
        <v>0</v>
      </c>
      <c r="M1539" s="14">
        <f>IF(B1539="Frete de venda",0,(1-ISNUMBER(SEARCH("556",P1539)))*(I1539*VLOOKUP($B1539,Premissas!$A$4:$E$7,2,0)+J1539*VLOOKUP($B1539,Premissas!$A$4:$E$7,3,0))+K1539*VLOOKUP($B1539,Premissas!$A$4:$E$7,4,0)+L1539*VLOOKUP($B1539,Premissas!$A$4:$E$7,5,0))</f>
        <v/>
      </c>
      <c r="N1539" s="14">
        <f>H1539-M1539</f>
        <v/>
      </c>
      <c r="O1539" t="inlineStr">
        <is>
          <t>Não</t>
        </is>
      </c>
      <c r="P1539" t="inlineStr">
        <is>
          <t>1.350</t>
        </is>
      </c>
    </row>
    <row r="1540">
      <c r="A1540" t="inlineStr">
        <is>
          <t>Antes de 2026</t>
        </is>
      </c>
      <c r="B1540" t="inlineStr">
        <is>
          <t>Frete de venda</t>
        </is>
      </c>
      <c r="C1540" t="inlineStr">
        <is>
          <t>Frete de venda (para clientes)</t>
        </is>
      </c>
      <c r="D1540" t="inlineStr">
        <is>
          <t>CT-e</t>
        </is>
      </c>
      <c r="E1540" t="inlineStr">
        <is>
          <t>000004824</t>
        </is>
      </c>
      <c r="F1540" t="inlineStr">
        <is>
          <t>R&amp;R TRANSPORTE E LOGISTICA</t>
        </is>
      </c>
      <c r="G1540" s="27" t="n">
        <v>45870</v>
      </c>
      <c r="H1540" s="14" t="n">
        <v>20.97</v>
      </c>
      <c r="I1540" s="14" t="n">
        <v>0</v>
      </c>
      <c r="J1540" s="14" t="n">
        <v>0</v>
      </c>
      <c r="K1540" s="14" t="n">
        <v>0</v>
      </c>
      <c r="L1540" s="14" t="n">
        <v>0</v>
      </c>
      <c r="M1540" s="14">
        <f>IF(B1540="Frete de venda",0,(1-ISNUMBER(SEARCH("556",P1540)))*(I1540*VLOOKUP($B1540,Premissas!$A$4:$E$7,2,0)+J1540*VLOOKUP($B1540,Premissas!$A$4:$E$7,3,0))+K1540*VLOOKUP($B1540,Premissas!$A$4:$E$7,4,0)+L1540*VLOOKUP($B1540,Premissas!$A$4:$E$7,5,0))</f>
        <v/>
      </c>
      <c r="N1540" s="14">
        <f>H1540-M1540</f>
        <v/>
      </c>
      <c r="O1540" t="inlineStr">
        <is>
          <t>Não</t>
        </is>
      </c>
      <c r="P1540" t="inlineStr">
        <is>
          <t>1.350</t>
        </is>
      </c>
    </row>
    <row r="1541">
      <c r="A1541" t="inlineStr">
        <is>
          <t>Antes de 2026</t>
        </is>
      </c>
      <c r="B1541" t="inlineStr">
        <is>
          <t>Frete de venda</t>
        </is>
      </c>
      <c r="C1541" t="inlineStr">
        <is>
          <t>Frete de venda (para clientes)</t>
        </is>
      </c>
      <c r="D1541" t="inlineStr">
        <is>
          <t>CT-e</t>
        </is>
      </c>
      <c r="E1541" t="inlineStr">
        <is>
          <t>000019534</t>
        </is>
      </c>
      <c r="F1541" t="inlineStr">
        <is>
          <t>TRANSPORTE OLIVEIRA E MELLOI - IDEALIZA TRANSPORTES</t>
        </is>
      </c>
      <c r="G1541" s="27" t="n">
        <v>45546</v>
      </c>
      <c r="H1541" s="14" t="n">
        <v>503.22</v>
      </c>
      <c r="I1541" s="14" t="n">
        <v>0</v>
      </c>
      <c r="J1541" s="14" t="n">
        <v>0</v>
      </c>
      <c r="K1541" s="14" t="n">
        <v>0</v>
      </c>
      <c r="L1541" s="14" t="n">
        <v>0</v>
      </c>
      <c r="M1541" s="14">
        <f>IF(B1541="Frete de venda",0,(1-ISNUMBER(SEARCH("556",P1541)))*(I1541*VLOOKUP($B1541,Premissas!$A$4:$E$7,2,0)+J1541*VLOOKUP($B1541,Premissas!$A$4:$E$7,3,0))+K1541*VLOOKUP($B1541,Premissas!$A$4:$E$7,4,0)+L1541*VLOOKUP($B1541,Premissas!$A$4:$E$7,5,0))</f>
        <v/>
      </c>
      <c r="N1541" s="14">
        <f>H1541-M1541</f>
        <v/>
      </c>
      <c r="O1541" t="inlineStr">
        <is>
          <t>Não</t>
        </is>
      </c>
      <c r="P1541" t="inlineStr">
        <is>
          <t>1.350</t>
        </is>
      </c>
    </row>
    <row r="1542">
      <c r="A1542" t="inlineStr">
        <is>
          <t>Antes de 2026</t>
        </is>
      </c>
      <c r="B1542" t="inlineStr">
        <is>
          <t>Frete de venda</t>
        </is>
      </c>
      <c r="C1542" t="inlineStr">
        <is>
          <t>Frete de venda (para clientes)</t>
        </is>
      </c>
      <c r="D1542" t="inlineStr">
        <is>
          <t>CT-e</t>
        </is>
      </c>
      <c r="E1542" t="inlineStr">
        <is>
          <t>000020454</t>
        </is>
      </c>
      <c r="F1542" t="inlineStr">
        <is>
          <t>TRANSPORTE OLIVEIRA E MELLOI - IDEALIZA TRANSPORTES</t>
        </is>
      </c>
      <c r="G1542" s="27" t="n">
        <v>45600</v>
      </c>
      <c r="H1542" s="14" t="n">
        <v>1171.34</v>
      </c>
      <c r="I1542" s="14" t="n">
        <v>0</v>
      </c>
      <c r="J1542" s="14" t="n">
        <v>0</v>
      </c>
      <c r="K1542" s="14" t="n">
        <v>0</v>
      </c>
      <c r="L1542" s="14" t="n">
        <v>0</v>
      </c>
      <c r="M1542" s="14">
        <f>IF(B1542="Frete de venda",0,(1-ISNUMBER(SEARCH("556",P1542)))*(I1542*VLOOKUP($B1542,Premissas!$A$4:$E$7,2,0)+J1542*VLOOKUP($B1542,Premissas!$A$4:$E$7,3,0))+K1542*VLOOKUP($B1542,Premissas!$A$4:$E$7,4,0)+L1542*VLOOKUP($B1542,Premissas!$A$4:$E$7,5,0))</f>
        <v/>
      </c>
      <c r="N1542" s="14">
        <f>H1542-M1542</f>
        <v/>
      </c>
      <c r="O1542" t="inlineStr">
        <is>
          <t>Não</t>
        </is>
      </c>
      <c r="P1542" t="inlineStr">
        <is>
          <t>1.350</t>
        </is>
      </c>
    </row>
    <row r="1543">
      <c r="A1543" t="inlineStr">
        <is>
          <t>Antes de 2026</t>
        </is>
      </c>
      <c r="B1543" t="inlineStr">
        <is>
          <t>Frete de venda</t>
        </is>
      </c>
      <c r="C1543" t="inlineStr">
        <is>
          <t>Frete de venda (para clientes)</t>
        </is>
      </c>
      <c r="D1543" t="inlineStr">
        <is>
          <t>CT-e</t>
        </is>
      </c>
      <c r="E1543" t="inlineStr">
        <is>
          <t>000004090</t>
        </is>
      </c>
      <c r="F1543" t="inlineStr">
        <is>
          <t>R&amp;R TRANSPORTE E LOGISTICA</t>
        </is>
      </c>
      <c r="G1543" s="27" t="n">
        <v>45775</v>
      </c>
      <c r="H1543" s="14" t="n">
        <v>46.32</v>
      </c>
      <c r="I1543" s="14" t="n">
        <v>0</v>
      </c>
      <c r="J1543" s="14" t="n">
        <v>0</v>
      </c>
      <c r="K1543" s="14" t="n">
        <v>0</v>
      </c>
      <c r="L1543" s="14" t="n">
        <v>0</v>
      </c>
      <c r="M1543" s="14">
        <f>IF(B1543="Frete de venda",0,(1-ISNUMBER(SEARCH("556",P1543)))*(I1543*VLOOKUP($B1543,Premissas!$A$4:$E$7,2,0)+J1543*VLOOKUP($B1543,Premissas!$A$4:$E$7,3,0))+K1543*VLOOKUP($B1543,Premissas!$A$4:$E$7,4,0)+L1543*VLOOKUP($B1543,Premissas!$A$4:$E$7,5,0))</f>
        <v/>
      </c>
      <c r="N1543" s="14">
        <f>H1543-M1543</f>
        <v/>
      </c>
      <c r="O1543" t="inlineStr">
        <is>
          <t>Não</t>
        </is>
      </c>
      <c r="P1543" t="inlineStr">
        <is>
          <t>1.350</t>
        </is>
      </c>
    </row>
    <row r="1544">
      <c r="A1544" t="inlineStr">
        <is>
          <t>Antes de 2026</t>
        </is>
      </c>
      <c r="B1544" t="inlineStr">
        <is>
          <t>Frete de venda</t>
        </is>
      </c>
      <c r="C1544" t="inlineStr">
        <is>
          <t>Frete de venda (para clientes)</t>
        </is>
      </c>
      <c r="D1544" t="inlineStr">
        <is>
          <t>CT-e</t>
        </is>
      </c>
      <c r="E1544" t="inlineStr">
        <is>
          <t>000004287</t>
        </is>
      </c>
      <c r="F1544" t="inlineStr">
        <is>
          <t>R&amp;R TRANSPORTE E LOGISTICA</t>
        </is>
      </c>
      <c r="G1544" s="27" t="n">
        <v>45804</v>
      </c>
      <c r="H1544" s="14" t="n">
        <v>73.29000000000001</v>
      </c>
      <c r="I1544" s="14" t="n">
        <v>0</v>
      </c>
      <c r="J1544" s="14" t="n">
        <v>0</v>
      </c>
      <c r="K1544" s="14" t="n">
        <v>0</v>
      </c>
      <c r="L1544" s="14" t="n">
        <v>0</v>
      </c>
      <c r="M1544" s="14">
        <f>IF(B1544="Frete de venda",0,(1-ISNUMBER(SEARCH("556",P1544)))*(I1544*VLOOKUP($B1544,Premissas!$A$4:$E$7,2,0)+J1544*VLOOKUP($B1544,Premissas!$A$4:$E$7,3,0))+K1544*VLOOKUP($B1544,Premissas!$A$4:$E$7,4,0)+L1544*VLOOKUP($B1544,Premissas!$A$4:$E$7,5,0))</f>
        <v/>
      </c>
      <c r="N1544" s="14">
        <f>H1544-M1544</f>
        <v/>
      </c>
      <c r="O1544" t="inlineStr">
        <is>
          <t>Não</t>
        </is>
      </c>
      <c r="P1544" t="inlineStr">
        <is>
          <t>1.350</t>
        </is>
      </c>
    </row>
    <row r="1545">
      <c r="A1545" t="inlineStr">
        <is>
          <t>Antes de 2026</t>
        </is>
      </c>
      <c r="B1545" t="inlineStr">
        <is>
          <t>Frete de venda</t>
        </is>
      </c>
      <c r="C1545" t="inlineStr">
        <is>
          <t>Frete de venda (para clientes)</t>
        </is>
      </c>
      <c r="D1545" t="inlineStr">
        <is>
          <t>CT-e</t>
        </is>
      </c>
      <c r="E1545" t="inlineStr">
        <is>
          <t>000005401</t>
        </is>
      </c>
      <c r="F1545" t="inlineStr">
        <is>
          <t>R&amp;R TRANSPORTE E LOGISTICA</t>
        </is>
      </c>
      <c r="G1545" s="27" t="n">
        <v>45937</v>
      </c>
      <c r="H1545" s="14" t="n">
        <v>80.06999999999999</v>
      </c>
      <c r="I1545" s="14" t="n">
        <v>0</v>
      </c>
      <c r="J1545" s="14" t="n">
        <v>0</v>
      </c>
      <c r="K1545" s="14" t="n">
        <v>0</v>
      </c>
      <c r="L1545" s="14" t="n">
        <v>0</v>
      </c>
      <c r="M1545" s="14">
        <f>IF(B1545="Frete de venda",0,(1-ISNUMBER(SEARCH("556",P1545)))*(I1545*VLOOKUP($B1545,Premissas!$A$4:$E$7,2,0)+J1545*VLOOKUP($B1545,Premissas!$A$4:$E$7,3,0))+K1545*VLOOKUP($B1545,Premissas!$A$4:$E$7,4,0)+L1545*VLOOKUP($B1545,Premissas!$A$4:$E$7,5,0))</f>
        <v/>
      </c>
      <c r="N1545" s="14">
        <f>H1545-M1545</f>
        <v/>
      </c>
      <c r="O1545" t="inlineStr">
        <is>
          <t>Não</t>
        </is>
      </c>
      <c r="P1545" t="inlineStr">
        <is>
          <t>1.350</t>
        </is>
      </c>
    </row>
    <row r="1546">
      <c r="A1546" t="inlineStr">
        <is>
          <t>Antes de 2026</t>
        </is>
      </c>
      <c r="B1546" t="inlineStr">
        <is>
          <t>Frete de venda</t>
        </is>
      </c>
      <c r="C1546" t="inlineStr">
        <is>
          <t>Frete de venda (para clientes)</t>
        </is>
      </c>
      <c r="D1546" t="inlineStr">
        <is>
          <t>CT-e</t>
        </is>
      </c>
      <c r="E1546" t="inlineStr">
        <is>
          <t>000006022</t>
        </is>
      </c>
      <c r="F1546" t="inlineStr">
        <is>
          <t>R&amp;R TRANSPORTE E LOGISTICA</t>
        </is>
      </c>
      <c r="G1546" s="27" t="n">
        <v>46010</v>
      </c>
      <c r="H1546" s="14" t="n">
        <v>65.26000000000001</v>
      </c>
      <c r="I1546" s="14" t="n">
        <v>0</v>
      </c>
      <c r="J1546" s="14" t="n">
        <v>0</v>
      </c>
      <c r="K1546" s="14" t="n">
        <v>0</v>
      </c>
      <c r="L1546" s="14" t="n">
        <v>0</v>
      </c>
      <c r="M1546" s="14">
        <f>IF(B1546="Frete de venda",0,(1-ISNUMBER(SEARCH("556",P1546)))*(I1546*VLOOKUP($B1546,Premissas!$A$4:$E$7,2,0)+J1546*VLOOKUP($B1546,Premissas!$A$4:$E$7,3,0))+K1546*VLOOKUP($B1546,Premissas!$A$4:$E$7,4,0)+L1546*VLOOKUP($B1546,Premissas!$A$4:$E$7,5,0))</f>
        <v/>
      </c>
      <c r="N1546" s="14">
        <f>H1546-M1546</f>
        <v/>
      </c>
      <c r="O1546" t="inlineStr">
        <is>
          <t>Não</t>
        </is>
      </c>
      <c r="P1546" t="inlineStr">
        <is>
          <t>1.350</t>
        </is>
      </c>
    </row>
    <row r="1547">
      <c r="A1547" t="inlineStr">
        <is>
          <t>Antes de 2026</t>
        </is>
      </c>
      <c r="B1547" t="inlineStr">
        <is>
          <t>Frete de venda</t>
        </is>
      </c>
      <c r="C1547" t="inlineStr">
        <is>
          <t>Frete de venda (para clientes)</t>
        </is>
      </c>
      <c r="D1547" t="inlineStr">
        <is>
          <t>CT-e</t>
        </is>
      </c>
      <c r="E1547" t="inlineStr">
        <is>
          <t>000004870</t>
        </is>
      </c>
      <c r="F1547" t="inlineStr">
        <is>
          <t>R&amp;R TRANSPORTE E LOGISTICA</t>
        </is>
      </c>
      <c r="G1547" s="27" t="n">
        <v>45877</v>
      </c>
      <c r="H1547" s="14" t="n">
        <v>40.03</v>
      </c>
      <c r="I1547" s="14" t="n">
        <v>0</v>
      </c>
      <c r="J1547" s="14" t="n">
        <v>0</v>
      </c>
      <c r="K1547" s="14" t="n">
        <v>0</v>
      </c>
      <c r="L1547" s="14" t="n">
        <v>0</v>
      </c>
      <c r="M1547" s="14">
        <f>IF(B1547="Frete de venda",0,(1-ISNUMBER(SEARCH("556",P1547)))*(I1547*VLOOKUP($B1547,Premissas!$A$4:$E$7,2,0)+J1547*VLOOKUP($B1547,Premissas!$A$4:$E$7,3,0))+K1547*VLOOKUP($B1547,Premissas!$A$4:$E$7,4,0)+L1547*VLOOKUP($B1547,Premissas!$A$4:$E$7,5,0))</f>
        <v/>
      </c>
      <c r="N1547" s="14">
        <f>H1547-M1547</f>
        <v/>
      </c>
      <c r="O1547" t="inlineStr">
        <is>
          <t>Não</t>
        </is>
      </c>
      <c r="P1547" t="inlineStr">
        <is>
          <t>1.350</t>
        </is>
      </c>
    </row>
    <row r="1548">
      <c r="A1548" t="inlineStr">
        <is>
          <t>Antes de 2026</t>
        </is>
      </c>
      <c r="B1548" t="inlineStr">
        <is>
          <t>Frete de venda</t>
        </is>
      </c>
      <c r="C1548" t="inlineStr">
        <is>
          <t>Frete de venda (para clientes)</t>
        </is>
      </c>
      <c r="D1548" t="inlineStr">
        <is>
          <t>CT-e</t>
        </is>
      </c>
      <c r="E1548" t="inlineStr">
        <is>
          <t>000005619</t>
        </is>
      </c>
      <c r="F1548" t="inlineStr">
        <is>
          <t>R&amp;R TRANSPORTE E LOGISTICA</t>
        </is>
      </c>
      <c r="G1548" s="27" t="n">
        <v>45960</v>
      </c>
      <c r="H1548" s="14" t="n">
        <v>53.96</v>
      </c>
      <c r="I1548" s="14" t="n">
        <v>0</v>
      </c>
      <c r="J1548" s="14" t="n">
        <v>0</v>
      </c>
      <c r="K1548" s="14" t="n">
        <v>0</v>
      </c>
      <c r="L1548" s="14" t="n">
        <v>0</v>
      </c>
      <c r="M1548" s="14">
        <f>IF(B1548="Frete de venda",0,(1-ISNUMBER(SEARCH("556",P1548)))*(I1548*VLOOKUP($B1548,Premissas!$A$4:$E$7,2,0)+J1548*VLOOKUP($B1548,Premissas!$A$4:$E$7,3,0))+K1548*VLOOKUP($B1548,Premissas!$A$4:$E$7,4,0)+L1548*VLOOKUP($B1548,Premissas!$A$4:$E$7,5,0))</f>
        <v/>
      </c>
      <c r="N1548" s="14">
        <f>H1548-M1548</f>
        <v/>
      </c>
      <c r="O1548" t="inlineStr">
        <is>
          <t>Não</t>
        </is>
      </c>
      <c r="P1548" t="inlineStr">
        <is>
          <t>1.350</t>
        </is>
      </c>
    </row>
    <row r="1549">
      <c r="A1549" t="inlineStr">
        <is>
          <t>Antes de 2026</t>
        </is>
      </c>
      <c r="B1549" t="inlineStr">
        <is>
          <t>Frete de venda</t>
        </is>
      </c>
      <c r="C1549" t="inlineStr">
        <is>
          <t>Frete de venda (para clientes)</t>
        </is>
      </c>
      <c r="D1549" t="inlineStr">
        <is>
          <t>CT-e</t>
        </is>
      </c>
      <c r="E1549" t="inlineStr">
        <is>
          <t>000004509</t>
        </is>
      </c>
      <c r="F1549" t="inlineStr">
        <is>
          <t>R&amp;R TRANSPORTE E LOGISTICA</t>
        </is>
      </c>
      <c r="G1549" s="27" t="n">
        <v>45833</v>
      </c>
      <c r="H1549" s="14" t="n">
        <v>26.43</v>
      </c>
      <c r="I1549" s="14" t="n">
        <v>0</v>
      </c>
      <c r="J1549" s="14" t="n">
        <v>0</v>
      </c>
      <c r="K1549" s="14" t="n">
        <v>0</v>
      </c>
      <c r="L1549" s="14" t="n">
        <v>0</v>
      </c>
      <c r="M1549" s="14">
        <f>IF(B1549="Frete de venda",0,(1-ISNUMBER(SEARCH("556",P1549)))*(I1549*VLOOKUP($B1549,Premissas!$A$4:$E$7,2,0)+J1549*VLOOKUP($B1549,Premissas!$A$4:$E$7,3,0))+K1549*VLOOKUP($B1549,Premissas!$A$4:$E$7,4,0)+L1549*VLOOKUP($B1549,Premissas!$A$4:$E$7,5,0))</f>
        <v/>
      </c>
      <c r="N1549" s="14">
        <f>H1549-M1549</f>
        <v/>
      </c>
      <c r="O1549" t="inlineStr">
        <is>
          <t>Não</t>
        </is>
      </c>
      <c r="P1549" t="inlineStr">
        <is>
          <t>1.350</t>
        </is>
      </c>
    </row>
    <row r="1550">
      <c r="A1550" t="inlineStr">
        <is>
          <t>Antes de 2026</t>
        </is>
      </c>
      <c r="B1550" t="inlineStr">
        <is>
          <t>Frete de venda</t>
        </is>
      </c>
      <c r="C1550" t="inlineStr">
        <is>
          <t>Frete de venda (para clientes)</t>
        </is>
      </c>
      <c r="D1550" t="inlineStr">
        <is>
          <t>CT-e</t>
        </is>
      </c>
      <c r="E1550" t="inlineStr">
        <is>
          <t>000005537</t>
        </is>
      </c>
      <c r="F1550" t="inlineStr">
        <is>
          <t>R&amp;R TRANSPORTE E LOGISTICA</t>
        </is>
      </c>
      <c r="G1550" s="27" t="n">
        <v>45953</v>
      </c>
      <c r="H1550" s="14" t="n">
        <v>30.66</v>
      </c>
      <c r="I1550" s="14" t="n">
        <v>0</v>
      </c>
      <c r="J1550" s="14" t="n">
        <v>0</v>
      </c>
      <c r="K1550" s="14" t="n">
        <v>0</v>
      </c>
      <c r="L1550" s="14" t="n">
        <v>0</v>
      </c>
      <c r="M1550" s="14">
        <f>IF(B1550="Frete de venda",0,(1-ISNUMBER(SEARCH("556",P1550)))*(I1550*VLOOKUP($B1550,Premissas!$A$4:$E$7,2,0)+J1550*VLOOKUP($B1550,Premissas!$A$4:$E$7,3,0))+K1550*VLOOKUP($B1550,Premissas!$A$4:$E$7,4,0)+L1550*VLOOKUP($B1550,Premissas!$A$4:$E$7,5,0))</f>
        <v/>
      </c>
      <c r="N1550" s="14">
        <f>H1550-M1550</f>
        <v/>
      </c>
      <c r="O1550" t="inlineStr">
        <is>
          <t>Não</t>
        </is>
      </c>
      <c r="P1550" t="inlineStr">
        <is>
          <t>1.350</t>
        </is>
      </c>
    </row>
    <row r="1551">
      <c r="A1551" t="inlineStr">
        <is>
          <t>Antes de 2026</t>
        </is>
      </c>
      <c r="B1551" t="inlineStr">
        <is>
          <t>Frete de venda</t>
        </is>
      </c>
      <c r="C1551" t="inlineStr">
        <is>
          <t>Frete de venda (para clientes)</t>
        </is>
      </c>
      <c r="D1551" t="inlineStr">
        <is>
          <t>CT-e</t>
        </is>
      </c>
      <c r="E1551" t="inlineStr">
        <is>
          <t>000005956</t>
        </is>
      </c>
      <c r="F1551" t="inlineStr">
        <is>
          <t>R&amp;R TRANSPORTE E LOGISTICA</t>
        </is>
      </c>
      <c r="G1551" s="27" t="n">
        <v>46002</v>
      </c>
      <c r="H1551" s="14" t="n">
        <v>30.06</v>
      </c>
      <c r="I1551" s="14" t="n">
        <v>0</v>
      </c>
      <c r="J1551" s="14" t="n">
        <v>0</v>
      </c>
      <c r="K1551" s="14" t="n">
        <v>0</v>
      </c>
      <c r="L1551" s="14" t="n">
        <v>0</v>
      </c>
      <c r="M1551" s="14">
        <f>IF(B1551="Frete de venda",0,(1-ISNUMBER(SEARCH("556",P1551)))*(I1551*VLOOKUP($B1551,Premissas!$A$4:$E$7,2,0)+J1551*VLOOKUP($B1551,Premissas!$A$4:$E$7,3,0))+K1551*VLOOKUP($B1551,Premissas!$A$4:$E$7,4,0)+L1551*VLOOKUP($B1551,Premissas!$A$4:$E$7,5,0))</f>
        <v/>
      </c>
      <c r="N1551" s="14">
        <f>H1551-M1551</f>
        <v/>
      </c>
      <c r="O1551" t="inlineStr">
        <is>
          <t>Não</t>
        </is>
      </c>
      <c r="P1551" t="inlineStr">
        <is>
          <t>1.350</t>
        </is>
      </c>
    </row>
    <row r="1552">
      <c r="A1552" t="inlineStr">
        <is>
          <t>Antes de 2026</t>
        </is>
      </c>
      <c r="B1552" t="inlineStr">
        <is>
          <t>Frete de venda</t>
        </is>
      </c>
      <c r="C1552" t="inlineStr">
        <is>
          <t>Frete de venda (para clientes)</t>
        </is>
      </c>
      <c r="D1552" t="inlineStr">
        <is>
          <t>CT-e</t>
        </is>
      </c>
      <c r="E1552" t="inlineStr">
        <is>
          <t>000004312</t>
        </is>
      </c>
      <c r="F1552" t="inlineStr">
        <is>
          <t>R&amp;R TRANSPORTE E LOGISTICA</t>
        </is>
      </c>
      <c r="G1552" s="27" t="n">
        <v>45805</v>
      </c>
      <c r="H1552" s="14" t="n">
        <v>67.27</v>
      </c>
      <c r="I1552" s="14" t="n">
        <v>0</v>
      </c>
      <c r="J1552" s="14" t="n">
        <v>0</v>
      </c>
      <c r="K1552" s="14" t="n">
        <v>0</v>
      </c>
      <c r="L1552" s="14" t="n">
        <v>0</v>
      </c>
      <c r="M1552" s="14">
        <f>IF(B1552="Frete de venda",0,(1-ISNUMBER(SEARCH("556",P1552)))*(I1552*VLOOKUP($B1552,Premissas!$A$4:$E$7,2,0)+J1552*VLOOKUP($B1552,Premissas!$A$4:$E$7,3,0))+K1552*VLOOKUP($B1552,Premissas!$A$4:$E$7,4,0)+L1552*VLOOKUP($B1552,Premissas!$A$4:$E$7,5,0))</f>
        <v/>
      </c>
      <c r="N1552" s="14">
        <f>H1552-M1552</f>
        <v/>
      </c>
      <c r="O1552" t="inlineStr">
        <is>
          <t>Não</t>
        </is>
      </c>
      <c r="P1552" t="inlineStr">
        <is>
          <t>1.350</t>
        </is>
      </c>
    </row>
    <row r="1553">
      <c r="A1553" t="inlineStr">
        <is>
          <t>Antes de 2026</t>
        </is>
      </c>
      <c r="B1553" t="inlineStr">
        <is>
          <t>Frete de venda</t>
        </is>
      </c>
      <c r="C1553" t="inlineStr">
        <is>
          <t>Frete de venda (para clientes)</t>
        </is>
      </c>
      <c r="D1553" t="inlineStr">
        <is>
          <t>CT-e</t>
        </is>
      </c>
      <c r="E1553" t="inlineStr">
        <is>
          <t>000005363</t>
        </is>
      </c>
      <c r="F1553" t="inlineStr">
        <is>
          <t>R&amp;R TRANSPORTE E LOGISTICA</t>
        </is>
      </c>
      <c r="G1553" s="27" t="n">
        <v>45929</v>
      </c>
      <c r="H1553" s="14" t="n">
        <v>600</v>
      </c>
      <c r="I1553" s="14" t="n">
        <v>0</v>
      </c>
      <c r="J1553" s="14" t="n">
        <v>0</v>
      </c>
      <c r="K1553" s="14" t="n">
        <v>0</v>
      </c>
      <c r="L1553" s="14" t="n">
        <v>0</v>
      </c>
      <c r="M1553" s="14">
        <f>IF(B1553="Frete de venda",0,(1-ISNUMBER(SEARCH("556",P1553)))*(I1553*VLOOKUP($B1553,Premissas!$A$4:$E$7,2,0)+J1553*VLOOKUP($B1553,Premissas!$A$4:$E$7,3,0))+K1553*VLOOKUP($B1553,Premissas!$A$4:$E$7,4,0)+L1553*VLOOKUP($B1553,Premissas!$A$4:$E$7,5,0))</f>
        <v/>
      </c>
      <c r="N1553" s="14">
        <f>H1553-M1553</f>
        <v/>
      </c>
      <c r="O1553" t="inlineStr">
        <is>
          <t>Não</t>
        </is>
      </c>
      <c r="P1553" t="inlineStr">
        <is>
          <t>1.350</t>
        </is>
      </c>
    </row>
    <row r="1554">
      <c r="A1554" t="inlineStr">
        <is>
          <t>Antes de 2026</t>
        </is>
      </c>
      <c r="B1554" t="inlineStr">
        <is>
          <t>Frete de venda</t>
        </is>
      </c>
      <c r="C1554" t="inlineStr">
        <is>
          <t>Frete de venda (para clientes)</t>
        </is>
      </c>
      <c r="D1554" t="inlineStr">
        <is>
          <t>CT-e</t>
        </is>
      </c>
      <c r="E1554" t="inlineStr">
        <is>
          <t>000005617</t>
        </is>
      </c>
      <c r="F1554" t="inlineStr">
        <is>
          <t>R&amp;R TRANSPORTE E LOGISTICA</t>
        </is>
      </c>
      <c r="G1554" s="27" t="n">
        <v>45959</v>
      </c>
      <c r="H1554" s="14" t="n">
        <v>750</v>
      </c>
      <c r="I1554" s="14" t="n">
        <v>0</v>
      </c>
      <c r="J1554" s="14" t="n">
        <v>0</v>
      </c>
      <c r="K1554" s="14" t="n">
        <v>0</v>
      </c>
      <c r="L1554" s="14" t="n">
        <v>0</v>
      </c>
      <c r="M1554" s="14">
        <f>IF(B1554="Frete de venda",0,(1-ISNUMBER(SEARCH("556",P1554)))*(I1554*VLOOKUP($B1554,Premissas!$A$4:$E$7,2,0)+J1554*VLOOKUP($B1554,Premissas!$A$4:$E$7,3,0))+K1554*VLOOKUP($B1554,Premissas!$A$4:$E$7,4,0)+L1554*VLOOKUP($B1554,Premissas!$A$4:$E$7,5,0))</f>
        <v/>
      </c>
      <c r="N1554" s="14">
        <f>H1554-M1554</f>
        <v/>
      </c>
      <c r="O1554" t="inlineStr">
        <is>
          <t>Não</t>
        </is>
      </c>
      <c r="P1554" t="inlineStr">
        <is>
          <t>1.350</t>
        </is>
      </c>
    </row>
    <row r="1555">
      <c r="A1555" t="inlineStr">
        <is>
          <t>Antes de 2026</t>
        </is>
      </c>
      <c r="B1555" t="inlineStr">
        <is>
          <t>Frete de venda</t>
        </is>
      </c>
      <c r="C1555" t="inlineStr">
        <is>
          <t>Frete de venda (para clientes)</t>
        </is>
      </c>
      <c r="D1555" t="inlineStr">
        <is>
          <t>CT-e</t>
        </is>
      </c>
      <c r="E1555" t="inlineStr">
        <is>
          <t>000005555</t>
        </is>
      </c>
      <c r="F1555" t="inlineStr">
        <is>
          <t>R&amp;R TRANSPORTE E LOGISTICA</t>
        </is>
      </c>
      <c r="G1555" s="27" t="n">
        <v>45955</v>
      </c>
      <c r="H1555" s="14" t="n">
        <v>33.13</v>
      </c>
      <c r="I1555" s="14" t="n">
        <v>0</v>
      </c>
      <c r="J1555" s="14" t="n">
        <v>0</v>
      </c>
      <c r="K1555" s="14" t="n">
        <v>0</v>
      </c>
      <c r="L1555" s="14" t="n">
        <v>0</v>
      </c>
      <c r="M1555" s="14">
        <f>IF(B1555="Frete de venda",0,(1-ISNUMBER(SEARCH("556",P1555)))*(I1555*VLOOKUP($B1555,Premissas!$A$4:$E$7,2,0)+J1555*VLOOKUP($B1555,Premissas!$A$4:$E$7,3,0))+K1555*VLOOKUP($B1555,Premissas!$A$4:$E$7,4,0)+L1555*VLOOKUP($B1555,Premissas!$A$4:$E$7,5,0))</f>
        <v/>
      </c>
      <c r="N1555" s="14">
        <f>H1555-M1555</f>
        <v/>
      </c>
      <c r="O1555" t="inlineStr">
        <is>
          <t>Não</t>
        </is>
      </c>
      <c r="P1555" t="inlineStr">
        <is>
          <t>1.350</t>
        </is>
      </c>
    </row>
    <row r="1556">
      <c r="A1556" t="inlineStr">
        <is>
          <t>Antes de 2026</t>
        </is>
      </c>
      <c r="B1556" t="inlineStr">
        <is>
          <t>Frete de venda</t>
        </is>
      </c>
      <c r="C1556" t="inlineStr">
        <is>
          <t>Frete de venda (para clientes)</t>
        </is>
      </c>
      <c r="D1556" t="inlineStr">
        <is>
          <t>CT-e</t>
        </is>
      </c>
      <c r="E1556" t="inlineStr">
        <is>
          <t>000005020</t>
        </is>
      </c>
      <c r="F1556" t="inlineStr">
        <is>
          <t>R&amp;R TRANSPORTE E LOGISTICA</t>
        </is>
      </c>
      <c r="G1556" s="27" t="n">
        <v>45895</v>
      </c>
      <c r="H1556" s="14" t="n">
        <v>21.85</v>
      </c>
      <c r="I1556" s="14" t="n">
        <v>0</v>
      </c>
      <c r="J1556" s="14" t="n">
        <v>0</v>
      </c>
      <c r="K1556" s="14" t="n">
        <v>0</v>
      </c>
      <c r="L1556" s="14" t="n">
        <v>0</v>
      </c>
      <c r="M1556" s="14">
        <f>IF(B1556="Frete de venda",0,(1-ISNUMBER(SEARCH("556",P1556)))*(I1556*VLOOKUP($B1556,Premissas!$A$4:$E$7,2,0)+J1556*VLOOKUP($B1556,Premissas!$A$4:$E$7,3,0))+K1556*VLOOKUP($B1556,Premissas!$A$4:$E$7,4,0)+L1556*VLOOKUP($B1556,Premissas!$A$4:$E$7,5,0))</f>
        <v/>
      </c>
      <c r="N1556" s="14">
        <f>H1556-M1556</f>
        <v/>
      </c>
      <c r="O1556" t="inlineStr">
        <is>
          <t>Não</t>
        </is>
      </c>
      <c r="P1556" t="inlineStr">
        <is>
          <t>1.350</t>
        </is>
      </c>
    </row>
    <row r="1557">
      <c r="A1557" t="inlineStr">
        <is>
          <t>Antes de 2026</t>
        </is>
      </c>
      <c r="B1557" t="inlineStr">
        <is>
          <t>Frete de venda</t>
        </is>
      </c>
      <c r="C1557" t="inlineStr">
        <is>
          <t>Frete de venda (para clientes)</t>
        </is>
      </c>
      <c r="D1557" t="inlineStr">
        <is>
          <t>CT-e</t>
        </is>
      </c>
      <c r="E1557" t="inlineStr">
        <is>
          <t>000004155</t>
        </is>
      </c>
      <c r="F1557" t="inlineStr">
        <is>
          <t>R&amp;R TRANSPORTE E LOGISTICA</t>
        </is>
      </c>
      <c r="G1557" s="27" t="n">
        <v>45784</v>
      </c>
      <c r="H1557" s="14" t="n">
        <v>51.39</v>
      </c>
      <c r="I1557" s="14" t="n">
        <v>0</v>
      </c>
      <c r="J1557" s="14" t="n">
        <v>0</v>
      </c>
      <c r="K1557" s="14" t="n">
        <v>0</v>
      </c>
      <c r="L1557" s="14" t="n">
        <v>0</v>
      </c>
      <c r="M1557" s="14">
        <f>IF(B1557="Frete de venda",0,(1-ISNUMBER(SEARCH("556",P1557)))*(I1557*VLOOKUP($B1557,Premissas!$A$4:$E$7,2,0)+J1557*VLOOKUP($B1557,Premissas!$A$4:$E$7,3,0))+K1557*VLOOKUP($B1557,Premissas!$A$4:$E$7,4,0)+L1557*VLOOKUP($B1557,Premissas!$A$4:$E$7,5,0))</f>
        <v/>
      </c>
      <c r="N1557" s="14">
        <f>H1557-M1557</f>
        <v/>
      </c>
      <c r="O1557" t="inlineStr">
        <is>
          <t>Não</t>
        </is>
      </c>
      <c r="P1557" t="inlineStr">
        <is>
          <t>1.350</t>
        </is>
      </c>
    </row>
    <row r="1558">
      <c r="A1558" t="inlineStr">
        <is>
          <t>Antes de 2026</t>
        </is>
      </c>
      <c r="B1558" t="inlineStr">
        <is>
          <t>Frete de venda</t>
        </is>
      </c>
      <c r="C1558" t="inlineStr">
        <is>
          <t>Frete de venda (para clientes)</t>
        </is>
      </c>
      <c r="D1558" t="inlineStr">
        <is>
          <t>CT-e</t>
        </is>
      </c>
      <c r="E1558" t="inlineStr">
        <is>
          <t>000004594</t>
        </is>
      </c>
      <c r="F1558" t="inlineStr">
        <is>
          <t>R&amp;R TRANSPORTE E LOGISTICA</t>
        </is>
      </c>
      <c r="G1558" s="27" t="n">
        <v>45842</v>
      </c>
      <c r="H1558" s="14" t="n">
        <v>33</v>
      </c>
      <c r="I1558" s="14" t="n">
        <v>0</v>
      </c>
      <c r="J1558" s="14" t="n">
        <v>0</v>
      </c>
      <c r="K1558" s="14" t="n">
        <v>0</v>
      </c>
      <c r="L1558" s="14" t="n">
        <v>0</v>
      </c>
      <c r="M1558" s="14">
        <f>IF(B1558="Frete de venda",0,(1-ISNUMBER(SEARCH("556",P1558)))*(I1558*VLOOKUP($B1558,Premissas!$A$4:$E$7,2,0)+J1558*VLOOKUP($B1558,Premissas!$A$4:$E$7,3,0))+K1558*VLOOKUP($B1558,Premissas!$A$4:$E$7,4,0)+L1558*VLOOKUP($B1558,Premissas!$A$4:$E$7,5,0))</f>
        <v/>
      </c>
      <c r="N1558" s="14">
        <f>H1558-M1558</f>
        <v/>
      </c>
      <c r="O1558" t="inlineStr">
        <is>
          <t>Não</t>
        </is>
      </c>
      <c r="P1558" t="inlineStr">
        <is>
          <t>1.350</t>
        </is>
      </c>
    </row>
    <row r="1559">
      <c r="A1559" t="inlineStr">
        <is>
          <t>Antes de 2026</t>
        </is>
      </c>
      <c r="B1559" t="inlineStr">
        <is>
          <t>Frete de venda</t>
        </is>
      </c>
      <c r="C1559" t="inlineStr">
        <is>
          <t>Frete de venda (para clientes)</t>
        </is>
      </c>
      <c r="D1559" t="inlineStr">
        <is>
          <t>CT-e</t>
        </is>
      </c>
      <c r="E1559" t="inlineStr">
        <is>
          <t>000005170</t>
        </is>
      </c>
      <c r="F1559" t="inlineStr">
        <is>
          <t>R&amp;R TRANSPORTE E LOGISTICA</t>
        </is>
      </c>
      <c r="G1559" s="27" t="n">
        <v>45911</v>
      </c>
      <c r="H1559" s="14" t="n">
        <v>33.68</v>
      </c>
      <c r="I1559" s="14" t="n">
        <v>0</v>
      </c>
      <c r="J1559" s="14" t="n">
        <v>0</v>
      </c>
      <c r="K1559" s="14" t="n">
        <v>0</v>
      </c>
      <c r="L1559" s="14" t="n">
        <v>0</v>
      </c>
      <c r="M1559" s="14">
        <f>IF(B1559="Frete de venda",0,(1-ISNUMBER(SEARCH("556",P1559)))*(I1559*VLOOKUP($B1559,Premissas!$A$4:$E$7,2,0)+J1559*VLOOKUP($B1559,Premissas!$A$4:$E$7,3,0))+K1559*VLOOKUP($B1559,Premissas!$A$4:$E$7,4,0)+L1559*VLOOKUP($B1559,Premissas!$A$4:$E$7,5,0))</f>
        <v/>
      </c>
      <c r="N1559" s="14">
        <f>H1559-M1559</f>
        <v/>
      </c>
      <c r="O1559" t="inlineStr">
        <is>
          <t>Não</t>
        </is>
      </c>
      <c r="P1559" t="inlineStr">
        <is>
          <t>1.350</t>
        </is>
      </c>
    </row>
    <row r="1560">
      <c r="A1560" t="inlineStr">
        <is>
          <t>Antes de 2026</t>
        </is>
      </c>
      <c r="B1560" t="inlineStr">
        <is>
          <t>Frete de venda</t>
        </is>
      </c>
      <c r="C1560" t="inlineStr">
        <is>
          <t>Frete de venda (para clientes)</t>
        </is>
      </c>
      <c r="D1560" t="inlineStr">
        <is>
          <t>CT-e</t>
        </is>
      </c>
      <c r="E1560" t="inlineStr">
        <is>
          <t>000005479</t>
        </is>
      </c>
      <c r="F1560" t="inlineStr">
        <is>
          <t>R&amp;R TRANSPORTE E LOGISTICA</t>
        </is>
      </c>
      <c r="G1560" s="27" t="n">
        <v>45945</v>
      </c>
      <c r="H1560" s="14" t="n">
        <v>78.08</v>
      </c>
      <c r="I1560" s="14" t="n">
        <v>0</v>
      </c>
      <c r="J1560" s="14" t="n">
        <v>0</v>
      </c>
      <c r="K1560" s="14" t="n">
        <v>0</v>
      </c>
      <c r="L1560" s="14" t="n">
        <v>0</v>
      </c>
      <c r="M1560" s="14">
        <f>IF(B1560="Frete de venda",0,(1-ISNUMBER(SEARCH("556",P1560)))*(I1560*VLOOKUP($B1560,Premissas!$A$4:$E$7,2,0)+J1560*VLOOKUP($B1560,Premissas!$A$4:$E$7,3,0))+K1560*VLOOKUP($B1560,Premissas!$A$4:$E$7,4,0)+L1560*VLOOKUP($B1560,Premissas!$A$4:$E$7,5,0))</f>
        <v/>
      </c>
      <c r="N1560" s="14">
        <f>H1560-M1560</f>
        <v/>
      </c>
      <c r="O1560" t="inlineStr">
        <is>
          <t>Não</t>
        </is>
      </c>
      <c r="P1560" t="inlineStr">
        <is>
          <t>1.350</t>
        </is>
      </c>
    </row>
    <row r="1561">
      <c r="A1561" t="inlineStr">
        <is>
          <t>Antes de 2026</t>
        </is>
      </c>
      <c r="B1561" t="inlineStr">
        <is>
          <t>Frete de venda</t>
        </is>
      </c>
      <c r="C1561" t="inlineStr">
        <is>
          <t>Frete de venda (para clientes)</t>
        </is>
      </c>
      <c r="D1561" t="inlineStr">
        <is>
          <t>CT-e</t>
        </is>
      </c>
      <c r="E1561" t="inlineStr">
        <is>
          <t>000019528</t>
        </is>
      </c>
      <c r="F1561" t="inlineStr">
        <is>
          <t>TRANSPORTE OLIVEIRA E MELLOI - IDEALIZA TRANSPORTES</t>
        </is>
      </c>
      <c r="G1561" s="27" t="n">
        <v>45546</v>
      </c>
      <c r="H1561" s="14" t="n">
        <v>282.8</v>
      </c>
      <c r="I1561" s="14" t="n">
        <v>0</v>
      </c>
      <c r="J1561" s="14" t="n">
        <v>0</v>
      </c>
      <c r="K1561" s="14" t="n">
        <v>0</v>
      </c>
      <c r="L1561" s="14" t="n">
        <v>0</v>
      </c>
      <c r="M1561" s="14">
        <f>IF(B1561="Frete de venda",0,(1-ISNUMBER(SEARCH("556",P1561)))*(I1561*VLOOKUP($B1561,Premissas!$A$4:$E$7,2,0)+J1561*VLOOKUP($B1561,Premissas!$A$4:$E$7,3,0))+K1561*VLOOKUP($B1561,Premissas!$A$4:$E$7,4,0)+L1561*VLOOKUP($B1561,Premissas!$A$4:$E$7,5,0))</f>
        <v/>
      </c>
      <c r="N1561" s="14">
        <f>H1561-M1561</f>
        <v/>
      </c>
      <c r="O1561" t="inlineStr">
        <is>
          <t>Não</t>
        </is>
      </c>
      <c r="P1561" t="inlineStr">
        <is>
          <t>1.350</t>
        </is>
      </c>
    </row>
    <row r="1562">
      <c r="A1562" t="inlineStr">
        <is>
          <t>Antes de 2026</t>
        </is>
      </c>
      <c r="B1562" t="inlineStr">
        <is>
          <t>Frete de venda</t>
        </is>
      </c>
      <c r="C1562" t="inlineStr">
        <is>
          <t>Frete de venda (para clientes)</t>
        </is>
      </c>
      <c r="D1562" t="inlineStr">
        <is>
          <t>CT-e</t>
        </is>
      </c>
      <c r="E1562" t="inlineStr">
        <is>
          <t>000020883</t>
        </is>
      </c>
      <c r="F1562" t="inlineStr">
        <is>
          <t>TRANSPORTE OLIVEIRA E MELLOI - IDEALIZA TRANSPORTES</t>
        </is>
      </c>
      <c r="G1562" s="27" t="n">
        <v>45685</v>
      </c>
      <c r="H1562" s="14" t="n">
        <v>134.4</v>
      </c>
      <c r="I1562" s="14" t="n">
        <v>0</v>
      </c>
      <c r="J1562" s="14" t="n">
        <v>0</v>
      </c>
      <c r="K1562" s="14" t="n">
        <v>0</v>
      </c>
      <c r="L1562" s="14" t="n">
        <v>0</v>
      </c>
      <c r="M1562" s="14">
        <f>IF(B1562="Frete de venda",0,(1-ISNUMBER(SEARCH("556",P1562)))*(I1562*VLOOKUP($B1562,Premissas!$A$4:$E$7,2,0)+J1562*VLOOKUP($B1562,Premissas!$A$4:$E$7,3,0))+K1562*VLOOKUP($B1562,Premissas!$A$4:$E$7,4,0)+L1562*VLOOKUP($B1562,Premissas!$A$4:$E$7,5,0))</f>
        <v/>
      </c>
      <c r="N1562" s="14">
        <f>H1562-M1562</f>
        <v/>
      </c>
      <c r="O1562" t="inlineStr">
        <is>
          <t>Não</t>
        </is>
      </c>
      <c r="P1562" t="inlineStr">
        <is>
          <t>1.350</t>
        </is>
      </c>
    </row>
    <row r="1563">
      <c r="A1563" t="inlineStr">
        <is>
          <t>Antes de 2026</t>
        </is>
      </c>
      <c r="B1563" t="inlineStr">
        <is>
          <t>Frete de venda</t>
        </is>
      </c>
      <c r="C1563" t="inlineStr">
        <is>
          <t>Frete de venda (para clientes)</t>
        </is>
      </c>
      <c r="D1563" t="inlineStr">
        <is>
          <t>CT-e</t>
        </is>
      </c>
      <c r="E1563" t="inlineStr">
        <is>
          <t>000020884</t>
        </is>
      </c>
      <c r="F1563" t="inlineStr">
        <is>
          <t>TRANSPORTE OLIVEIRA E MELLOI - IDEALIZA TRANSPORTES</t>
        </is>
      </c>
      <c r="G1563" s="27" t="n">
        <v>45685</v>
      </c>
      <c r="H1563" s="14" t="n">
        <v>130.55</v>
      </c>
      <c r="I1563" s="14" t="n">
        <v>0</v>
      </c>
      <c r="J1563" s="14" t="n">
        <v>0</v>
      </c>
      <c r="K1563" s="14" t="n">
        <v>0</v>
      </c>
      <c r="L1563" s="14" t="n">
        <v>0</v>
      </c>
      <c r="M1563" s="14">
        <f>IF(B1563="Frete de venda",0,(1-ISNUMBER(SEARCH("556",P1563)))*(I1563*VLOOKUP($B1563,Premissas!$A$4:$E$7,2,0)+J1563*VLOOKUP($B1563,Premissas!$A$4:$E$7,3,0))+K1563*VLOOKUP($B1563,Premissas!$A$4:$E$7,4,0)+L1563*VLOOKUP($B1563,Premissas!$A$4:$E$7,5,0))</f>
        <v/>
      </c>
      <c r="N1563" s="14">
        <f>H1563-M1563</f>
        <v/>
      </c>
      <c r="O1563" t="inlineStr">
        <is>
          <t>Não</t>
        </is>
      </c>
      <c r="P1563" t="inlineStr">
        <is>
          <t>1.350</t>
        </is>
      </c>
    </row>
    <row r="1564">
      <c r="A1564" t="inlineStr">
        <is>
          <t>Antes de 2026</t>
        </is>
      </c>
      <c r="B1564" t="inlineStr">
        <is>
          <t>Frete de venda</t>
        </is>
      </c>
      <c r="C1564" t="inlineStr">
        <is>
          <t>Frete de venda (para clientes)</t>
        </is>
      </c>
      <c r="D1564" t="inlineStr">
        <is>
          <t>CT-e</t>
        </is>
      </c>
      <c r="E1564" t="inlineStr">
        <is>
          <t>000004162</t>
        </is>
      </c>
      <c r="F1564" t="inlineStr">
        <is>
          <t>R&amp;R TRANSPORTE E LOGISTICA</t>
        </is>
      </c>
      <c r="G1564" s="27" t="n">
        <v>45784</v>
      </c>
      <c r="H1564" s="14" t="n">
        <v>46.56</v>
      </c>
      <c r="I1564" s="14" t="n">
        <v>0</v>
      </c>
      <c r="J1564" s="14" t="n">
        <v>0</v>
      </c>
      <c r="K1564" s="14" t="n">
        <v>0</v>
      </c>
      <c r="L1564" s="14" t="n">
        <v>0</v>
      </c>
      <c r="M1564" s="14">
        <f>IF(B1564="Frete de venda",0,(1-ISNUMBER(SEARCH("556",P1564)))*(I1564*VLOOKUP($B1564,Premissas!$A$4:$E$7,2,0)+J1564*VLOOKUP($B1564,Premissas!$A$4:$E$7,3,0))+K1564*VLOOKUP($B1564,Premissas!$A$4:$E$7,4,0)+L1564*VLOOKUP($B1564,Premissas!$A$4:$E$7,5,0))</f>
        <v/>
      </c>
      <c r="N1564" s="14">
        <f>H1564-M1564</f>
        <v/>
      </c>
      <c r="O1564" t="inlineStr">
        <is>
          <t>Não</t>
        </is>
      </c>
      <c r="P1564" t="inlineStr">
        <is>
          <t>1.350</t>
        </is>
      </c>
    </row>
    <row r="1565">
      <c r="A1565" t="inlineStr">
        <is>
          <t>Antes de 2026</t>
        </is>
      </c>
      <c r="B1565" t="inlineStr">
        <is>
          <t>Frete de venda</t>
        </is>
      </c>
      <c r="C1565" t="inlineStr">
        <is>
          <t>Frete de venda (para clientes)</t>
        </is>
      </c>
      <c r="D1565" t="inlineStr">
        <is>
          <t>CT-e</t>
        </is>
      </c>
      <c r="E1565" t="inlineStr">
        <is>
          <t>000004161</t>
        </is>
      </c>
      <c r="F1565" t="inlineStr">
        <is>
          <t>R&amp;R TRANSPORTE E LOGISTICA</t>
        </is>
      </c>
      <c r="G1565" s="27" t="n">
        <v>45784</v>
      </c>
      <c r="H1565" s="14" t="n">
        <v>40.74</v>
      </c>
      <c r="I1565" s="14" t="n">
        <v>0</v>
      </c>
      <c r="J1565" s="14" t="n">
        <v>0</v>
      </c>
      <c r="K1565" s="14" t="n">
        <v>0</v>
      </c>
      <c r="L1565" s="14" t="n">
        <v>0</v>
      </c>
      <c r="M1565" s="14">
        <f>IF(B1565="Frete de venda",0,(1-ISNUMBER(SEARCH("556",P1565)))*(I1565*VLOOKUP($B1565,Premissas!$A$4:$E$7,2,0)+J1565*VLOOKUP($B1565,Premissas!$A$4:$E$7,3,0))+K1565*VLOOKUP($B1565,Premissas!$A$4:$E$7,4,0)+L1565*VLOOKUP($B1565,Premissas!$A$4:$E$7,5,0))</f>
        <v/>
      </c>
      <c r="N1565" s="14">
        <f>H1565-M1565</f>
        <v/>
      </c>
      <c r="O1565" t="inlineStr">
        <is>
          <t>Não</t>
        </is>
      </c>
      <c r="P1565" t="inlineStr">
        <is>
          <t>1.350</t>
        </is>
      </c>
    </row>
    <row r="1566">
      <c r="A1566" t="inlineStr">
        <is>
          <t>Antes de 2026</t>
        </is>
      </c>
      <c r="B1566" t="inlineStr">
        <is>
          <t>Frete de venda</t>
        </is>
      </c>
      <c r="C1566" t="inlineStr">
        <is>
          <t>Frete de venda (para clientes)</t>
        </is>
      </c>
      <c r="D1566" t="inlineStr">
        <is>
          <t>CT-e</t>
        </is>
      </c>
      <c r="E1566" t="inlineStr">
        <is>
          <t>000004422</t>
        </is>
      </c>
      <c r="F1566" t="inlineStr">
        <is>
          <t>R&amp;R TRANSPORTE E LOGISTICA</t>
        </is>
      </c>
      <c r="G1566" s="27" t="n">
        <v>45820</v>
      </c>
      <c r="H1566" s="14" t="n">
        <v>36</v>
      </c>
      <c r="I1566" s="14" t="n">
        <v>0</v>
      </c>
      <c r="J1566" s="14" t="n">
        <v>0</v>
      </c>
      <c r="K1566" s="14" t="n">
        <v>0</v>
      </c>
      <c r="L1566" s="14" t="n">
        <v>0</v>
      </c>
      <c r="M1566" s="14">
        <f>IF(B1566="Frete de venda",0,(1-ISNUMBER(SEARCH("556",P1566)))*(I1566*VLOOKUP($B1566,Premissas!$A$4:$E$7,2,0)+J1566*VLOOKUP($B1566,Premissas!$A$4:$E$7,3,0))+K1566*VLOOKUP($B1566,Premissas!$A$4:$E$7,4,0)+L1566*VLOOKUP($B1566,Premissas!$A$4:$E$7,5,0))</f>
        <v/>
      </c>
      <c r="N1566" s="14">
        <f>H1566-M1566</f>
        <v/>
      </c>
      <c r="O1566" t="inlineStr">
        <is>
          <t>Não</t>
        </is>
      </c>
      <c r="P1566" t="inlineStr">
        <is>
          <t>1.350</t>
        </is>
      </c>
    </row>
    <row r="1567">
      <c r="A1567" t="inlineStr">
        <is>
          <t>Antes de 2026</t>
        </is>
      </c>
      <c r="B1567" t="inlineStr">
        <is>
          <t>Frete de venda</t>
        </is>
      </c>
      <c r="C1567" t="inlineStr">
        <is>
          <t>Frete de venda (para clientes)</t>
        </is>
      </c>
      <c r="D1567" t="inlineStr">
        <is>
          <t>CT-e</t>
        </is>
      </c>
      <c r="E1567" t="inlineStr">
        <is>
          <t>000005165</t>
        </is>
      </c>
      <c r="F1567" t="inlineStr">
        <is>
          <t>R&amp;R TRANSPORTE E LOGISTICA</t>
        </is>
      </c>
      <c r="G1567" s="27" t="n">
        <v>45911</v>
      </c>
      <c r="H1567" s="14" t="n">
        <v>34.08</v>
      </c>
      <c r="I1567" s="14" t="n">
        <v>0</v>
      </c>
      <c r="J1567" s="14" t="n">
        <v>0</v>
      </c>
      <c r="K1567" s="14" t="n">
        <v>0</v>
      </c>
      <c r="L1567" s="14" t="n">
        <v>0</v>
      </c>
      <c r="M1567" s="14">
        <f>IF(B1567="Frete de venda",0,(1-ISNUMBER(SEARCH("556",P1567)))*(I1567*VLOOKUP($B1567,Premissas!$A$4:$E$7,2,0)+J1567*VLOOKUP($B1567,Premissas!$A$4:$E$7,3,0))+K1567*VLOOKUP($B1567,Premissas!$A$4:$E$7,4,0)+L1567*VLOOKUP($B1567,Premissas!$A$4:$E$7,5,0))</f>
        <v/>
      </c>
      <c r="N1567" s="14">
        <f>H1567-M1567</f>
        <v/>
      </c>
      <c r="O1567" t="inlineStr">
        <is>
          <t>Não</t>
        </is>
      </c>
      <c r="P1567" t="inlineStr">
        <is>
          <t>1.350</t>
        </is>
      </c>
    </row>
    <row r="1568">
      <c r="A1568" t="inlineStr">
        <is>
          <t>Antes de 2026</t>
        </is>
      </c>
      <c r="B1568" t="inlineStr">
        <is>
          <t>Frete de venda</t>
        </is>
      </c>
      <c r="C1568" t="inlineStr">
        <is>
          <t>Frete de venda (para clientes)</t>
        </is>
      </c>
      <c r="D1568" t="inlineStr">
        <is>
          <t>CT-e</t>
        </is>
      </c>
      <c r="E1568" t="inlineStr">
        <is>
          <t>000005163</t>
        </is>
      </c>
      <c r="F1568" t="inlineStr">
        <is>
          <t>R&amp;R TRANSPORTE E LOGISTICA</t>
        </is>
      </c>
      <c r="G1568" s="27" t="n">
        <v>45911</v>
      </c>
      <c r="H1568" s="14" t="n">
        <v>33.56</v>
      </c>
      <c r="I1568" s="14" t="n">
        <v>0</v>
      </c>
      <c r="J1568" s="14" t="n">
        <v>0</v>
      </c>
      <c r="K1568" s="14" t="n">
        <v>0</v>
      </c>
      <c r="L1568" s="14" t="n">
        <v>0</v>
      </c>
      <c r="M1568" s="14">
        <f>IF(B1568="Frete de venda",0,(1-ISNUMBER(SEARCH("556",P1568)))*(I1568*VLOOKUP($B1568,Premissas!$A$4:$E$7,2,0)+J1568*VLOOKUP($B1568,Premissas!$A$4:$E$7,3,0))+K1568*VLOOKUP($B1568,Premissas!$A$4:$E$7,4,0)+L1568*VLOOKUP($B1568,Premissas!$A$4:$E$7,5,0))</f>
        <v/>
      </c>
      <c r="N1568" s="14">
        <f>H1568-M1568</f>
        <v/>
      </c>
      <c r="O1568" t="inlineStr">
        <is>
          <t>Não</t>
        </is>
      </c>
      <c r="P1568" t="inlineStr">
        <is>
          <t>1.350</t>
        </is>
      </c>
    </row>
    <row r="1569">
      <c r="A1569" t="inlineStr">
        <is>
          <t>Antes de 2026</t>
        </is>
      </c>
      <c r="B1569" t="inlineStr">
        <is>
          <t>Frete de venda</t>
        </is>
      </c>
      <c r="C1569" t="inlineStr">
        <is>
          <t>Frete de venda (para clientes)</t>
        </is>
      </c>
      <c r="D1569" t="inlineStr">
        <is>
          <t>CT-e</t>
        </is>
      </c>
      <c r="E1569" t="inlineStr">
        <is>
          <t>000006016</t>
        </is>
      </c>
      <c r="F1569" t="inlineStr">
        <is>
          <t>R&amp;R TRANSPORTE E LOGISTICA</t>
        </is>
      </c>
      <c r="G1569" s="27" t="n">
        <v>46010</v>
      </c>
      <c r="H1569" s="14" t="n">
        <v>26.54</v>
      </c>
      <c r="I1569" s="14" t="n">
        <v>0</v>
      </c>
      <c r="J1569" s="14" t="n">
        <v>0</v>
      </c>
      <c r="K1569" s="14" t="n">
        <v>0</v>
      </c>
      <c r="L1569" s="14" t="n">
        <v>0</v>
      </c>
      <c r="M1569" s="14">
        <f>IF(B1569="Frete de venda",0,(1-ISNUMBER(SEARCH("556",P1569)))*(I1569*VLOOKUP($B1569,Premissas!$A$4:$E$7,2,0)+J1569*VLOOKUP($B1569,Premissas!$A$4:$E$7,3,0))+K1569*VLOOKUP($B1569,Premissas!$A$4:$E$7,4,0)+L1569*VLOOKUP($B1569,Premissas!$A$4:$E$7,5,0))</f>
        <v/>
      </c>
      <c r="N1569" s="14">
        <f>H1569-M1569</f>
        <v/>
      </c>
      <c r="O1569" t="inlineStr">
        <is>
          <t>Não</t>
        </is>
      </c>
      <c r="P1569" t="inlineStr">
        <is>
          <t>1.350</t>
        </is>
      </c>
    </row>
    <row r="1570">
      <c r="A1570" t="inlineStr">
        <is>
          <t>Antes de 2026</t>
        </is>
      </c>
      <c r="B1570" t="inlineStr">
        <is>
          <t>Frete de venda</t>
        </is>
      </c>
      <c r="C1570" t="inlineStr">
        <is>
          <t>Frete de venda (para clientes)</t>
        </is>
      </c>
      <c r="D1570" t="inlineStr">
        <is>
          <t>CT-e</t>
        </is>
      </c>
      <c r="E1570" t="inlineStr">
        <is>
          <t>000006018</t>
        </is>
      </c>
      <c r="F1570" t="inlineStr">
        <is>
          <t>R&amp;R TRANSPORTE E LOGISTICA</t>
        </is>
      </c>
      <c r="G1570" s="27" t="n">
        <v>46010</v>
      </c>
      <c r="H1570" s="14" t="n">
        <v>28.98</v>
      </c>
      <c r="I1570" s="14" t="n">
        <v>0</v>
      </c>
      <c r="J1570" s="14" t="n">
        <v>0</v>
      </c>
      <c r="K1570" s="14" t="n">
        <v>0</v>
      </c>
      <c r="L1570" s="14" t="n">
        <v>0</v>
      </c>
      <c r="M1570" s="14">
        <f>IF(B1570="Frete de venda",0,(1-ISNUMBER(SEARCH("556",P1570)))*(I1570*VLOOKUP($B1570,Premissas!$A$4:$E$7,2,0)+J1570*VLOOKUP($B1570,Premissas!$A$4:$E$7,3,0))+K1570*VLOOKUP($B1570,Premissas!$A$4:$E$7,4,0)+L1570*VLOOKUP($B1570,Premissas!$A$4:$E$7,5,0))</f>
        <v/>
      </c>
      <c r="N1570" s="14">
        <f>H1570-M1570</f>
        <v/>
      </c>
      <c r="O1570" t="inlineStr">
        <is>
          <t>Não</t>
        </is>
      </c>
      <c r="P1570" t="inlineStr">
        <is>
          <t>1.350</t>
        </is>
      </c>
    </row>
    <row r="1571">
      <c r="A1571" t="inlineStr">
        <is>
          <t>Antes de 2026</t>
        </is>
      </c>
      <c r="B1571" t="inlineStr">
        <is>
          <t>Frete de venda</t>
        </is>
      </c>
      <c r="C1571" t="inlineStr">
        <is>
          <t>Frete de venda (para clientes)</t>
        </is>
      </c>
      <c r="D1571" t="inlineStr">
        <is>
          <t>CT-e</t>
        </is>
      </c>
      <c r="E1571" t="inlineStr">
        <is>
          <t>000004609</t>
        </is>
      </c>
      <c r="F1571" t="inlineStr">
        <is>
          <t>R&amp;R TRANSPORTE E LOGISTICA</t>
        </is>
      </c>
      <c r="G1571" s="27" t="n">
        <v>45845</v>
      </c>
      <c r="H1571" s="14" t="n">
        <v>1050</v>
      </c>
      <c r="I1571" s="14" t="n">
        <v>0</v>
      </c>
      <c r="J1571" s="14" t="n">
        <v>0</v>
      </c>
      <c r="K1571" s="14" t="n">
        <v>0</v>
      </c>
      <c r="L1571" s="14" t="n">
        <v>0</v>
      </c>
      <c r="M1571" s="14">
        <f>IF(B1571="Frete de venda",0,(1-ISNUMBER(SEARCH("556",P1571)))*(I1571*VLOOKUP($B1571,Premissas!$A$4:$E$7,2,0)+J1571*VLOOKUP($B1571,Premissas!$A$4:$E$7,3,0))+K1571*VLOOKUP($B1571,Premissas!$A$4:$E$7,4,0)+L1571*VLOOKUP($B1571,Premissas!$A$4:$E$7,5,0))</f>
        <v/>
      </c>
      <c r="N1571" s="14">
        <f>H1571-M1571</f>
        <v/>
      </c>
      <c r="O1571" t="inlineStr">
        <is>
          <t>Não</t>
        </is>
      </c>
      <c r="P1571" t="inlineStr">
        <is>
          <t>1.350</t>
        </is>
      </c>
    </row>
    <row r="1572">
      <c r="A1572" t="inlineStr">
        <is>
          <t>Antes de 2026</t>
        </is>
      </c>
      <c r="B1572" t="inlineStr">
        <is>
          <t>Frete de venda</t>
        </is>
      </c>
      <c r="C1572" t="inlineStr">
        <is>
          <t>Frete de venda (para clientes)</t>
        </is>
      </c>
      <c r="D1572" t="inlineStr">
        <is>
          <t>CT-e</t>
        </is>
      </c>
      <c r="E1572" t="inlineStr">
        <is>
          <t>000004622</t>
        </is>
      </c>
      <c r="F1572" t="inlineStr">
        <is>
          <t>R&amp;R TRANSPORTE E LOGISTICA</t>
        </is>
      </c>
      <c r="G1572" s="27" t="n">
        <v>45848</v>
      </c>
      <c r="H1572" s="14" t="n">
        <v>600</v>
      </c>
      <c r="I1572" s="14" t="n">
        <v>0</v>
      </c>
      <c r="J1572" s="14" t="n">
        <v>0</v>
      </c>
      <c r="K1572" s="14" t="n">
        <v>0</v>
      </c>
      <c r="L1572" s="14" t="n">
        <v>0</v>
      </c>
      <c r="M1572" s="14">
        <f>IF(B1572="Frete de venda",0,(1-ISNUMBER(SEARCH("556",P1572)))*(I1572*VLOOKUP($B1572,Premissas!$A$4:$E$7,2,0)+J1572*VLOOKUP($B1572,Premissas!$A$4:$E$7,3,0))+K1572*VLOOKUP($B1572,Premissas!$A$4:$E$7,4,0)+L1572*VLOOKUP($B1572,Premissas!$A$4:$E$7,5,0))</f>
        <v/>
      </c>
      <c r="N1572" s="14">
        <f>H1572-M1572</f>
        <v/>
      </c>
      <c r="O1572" t="inlineStr">
        <is>
          <t>Não</t>
        </is>
      </c>
      <c r="P1572" t="inlineStr">
        <is>
          <t>1.350</t>
        </is>
      </c>
    </row>
    <row r="1573">
      <c r="A1573" t="inlineStr">
        <is>
          <t>Antes de 2026</t>
        </is>
      </c>
      <c r="B1573" t="inlineStr">
        <is>
          <t>Frete de venda</t>
        </is>
      </c>
      <c r="C1573" t="inlineStr">
        <is>
          <t>Frete de venda (para clientes)</t>
        </is>
      </c>
      <c r="D1573" t="inlineStr">
        <is>
          <t>CT-e</t>
        </is>
      </c>
      <c r="E1573" t="inlineStr">
        <is>
          <t>000004891</t>
        </is>
      </c>
      <c r="F1573" t="inlineStr">
        <is>
          <t>R&amp;R TRANSPORTE E LOGISTICA</t>
        </is>
      </c>
      <c r="G1573" s="27" t="n">
        <v>45880</v>
      </c>
      <c r="H1573" s="14" t="n">
        <v>1100</v>
      </c>
      <c r="I1573" s="14" t="n">
        <v>0</v>
      </c>
      <c r="J1573" s="14" t="n">
        <v>0</v>
      </c>
      <c r="K1573" s="14" t="n">
        <v>0</v>
      </c>
      <c r="L1573" s="14" t="n">
        <v>0</v>
      </c>
      <c r="M1573" s="14">
        <f>IF(B1573="Frete de venda",0,(1-ISNUMBER(SEARCH("556",P1573)))*(I1573*VLOOKUP($B1573,Premissas!$A$4:$E$7,2,0)+J1573*VLOOKUP($B1573,Premissas!$A$4:$E$7,3,0))+K1573*VLOOKUP($B1573,Premissas!$A$4:$E$7,4,0)+L1573*VLOOKUP($B1573,Premissas!$A$4:$E$7,5,0))</f>
        <v/>
      </c>
      <c r="N1573" s="14">
        <f>H1573-M1573</f>
        <v/>
      </c>
      <c r="O1573" t="inlineStr">
        <is>
          <t>Não</t>
        </is>
      </c>
      <c r="P1573" t="inlineStr">
        <is>
          <t>1.350</t>
        </is>
      </c>
    </row>
    <row r="1574">
      <c r="A1574" t="inlineStr">
        <is>
          <t>Antes de 2026</t>
        </is>
      </c>
      <c r="B1574" t="inlineStr">
        <is>
          <t>Frete de venda</t>
        </is>
      </c>
      <c r="C1574" t="inlineStr">
        <is>
          <t>Frete de venda (para clientes)</t>
        </is>
      </c>
      <c r="D1574" t="inlineStr">
        <is>
          <t>CT-e</t>
        </is>
      </c>
      <c r="E1574" t="inlineStr">
        <is>
          <t>000005418</t>
        </is>
      </c>
      <c r="F1574" t="inlineStr">
        <is>
          <t>R&amp;R TRANSPORTE E LOGISTICA</t>
        </is>
      </c>
      <c r="G1574" s="27" t="n">
        <v>45938</v>
      </c>
      <c r="H1574" s="14" t="n">
        <v>786</v>
      </c>
      <c r="I1574" s="14" t="n">
        <v>0</v>
      </c>
      <c r="J1574" s="14" t="n">
        <v>0</v>
      </c>
      <c r="K1574" s="14" t="n">
        <v>0</v>
      </c>
      <c r="L1574" s="14" t="n">
        <v>0</v>
      </c>
      <c r="M1574" s="14">
        <f>IF(B1574="Frete de venda",0,(1-ISNUMBER(SEARCH("556",P1574)))*(I1574*VLOOKUP($B1574,Premissas!$A$4:$E$7,2,0)+J1574*VLOOKUP($B1574,Premissas!$A$4:$E$7,3,0))+K1574*VLOOKUP($B1574,Premissas!$A$4:$E$7,4,0)+L1574*VLOOKUP($B1574,Premissas!$A$4:$E$7,5,0))</f>
        <v/>
      </c>
      <c r="N1574" s="14">
        <f>H1574-M1574</f>
        <v/>
      </c>
      <c r="O1574" t="inlineStr">
        <is>
          <t>Não</t>
        </is>
      </c>
      <c r="P1574" t="inlineStr">
        <is>
          <t>1.350</t>
        </is>
      </c>
    </row>
    <row r="1575">
      <c r="A1575" t="inlineStr">
        <is>
          <t>Antes de 2026</t>
        </is>
      </c>
      <c r="B1575" t="inlineStr">
        <is>
          <t>Frete de venda</t>
        </is>
      </c>
      <c r="C1575" t="inlineStr">
        <is>
          <t>Frete de venda (para clientes)</t>
        </is>
      </c>
      <c r="D1575" t="inlineStr">
        <is>
          <t>CT-e</t>
        </is>
      </c>
      <c r="E1575" t="inlineStr">
        <is>
          <t>000005817</t>
        </is>
      </c>
      <c r="F1575" t="inlineStr">
        <is>
          <t>R&amp;R TRANSPORTE E LOGISTICA</t>
        </is>
      </c>
      <c r="G1575" s="27" t="n">
        <v>45986</v>
      </c>
      <c r="H1575" s="14" t="n">
        <v>28.51</v>
      </c>
      <c r="I1575" s="14" t="n">
        <v>0</v>
      </c>
      <c r="J1575" s="14" t="n">
        <v>0</v>
      </c>
      <c r="K1575" s="14" t="n">
        <v>0</v>
      </c>
      <c r="L1575" s="14" t="n">
        <v>0</v>
      </c>
      <c r="M1575" s="14">
        <f>IF(B1575="Frete de venda",0,(1-ISNUMBER(SEARCH("556",P1575)))*(I1575*VLOOKUP($B1575,Premissas!$A$4:$E$7,2,0)+J1575*VLOOKUP($B1575,Premissas!$A$4:$E$7,3,0))+K1575*VLOOKUP($B1575,Premissas!$A$4:$E$7,4,0)+L1575*VLOOKUP($B1575,Premissas!$A$4:$E$7,5,0))</f>
        <v/>
      </c>
      <c r="N1575" s="14">
        <f>H1575-M1575</f>
        <v/>
      </c>
      <c r="O1575" t="inlineStr">
        <is>
          <t>Não</t>
        </is>
      </c>
      <c r="P1575" t="inlineStr">
        <is>
          <t>1.350</t>
        </is>
      </c>
    </row>
    <row r="1576">
      <c r="A1576" t="inlineStr">
        <is>
          <t>Antes de 2026</t>
        </is>
      </c>
      <c r="B1576" t="inlineStr">
        <is>
          <t>Frete de venda</t>
        </is>
      </c>
      <c r="C1576" t="inlineStr">
        <is>
          <t>Frete de venda (para clientes)</t>
        </is>
      </c>
      <c r="D1576" t="inlineStr">
        <is>
          <t>CT-e</t>
        </is>
      </c>
      <c r="E1576" t="inlineStr">
        <is>
          <t>000005979</t>
        </is>
      </c>
      <c r="F1576" t="inlineStr">
        <is>
          <t>R&amp;R TRANSPORTE E LOGISTICA</t>
        </is>
      </c>
      <c r="G1576" s="27" t="n">
        <v>46004</v>
      </c>
      <c r="H1576" s="14" t="n">
        <v>35.52</v>
      </c>
      <c r="I1576" s="14" t="n">
        <v>0</v>
      </c>
      <c r="J1576" s="14" t="n">
        <v>0</v>
      </c>
      <c r="K1576" s="14" t="n">
        <v>0</v>
      </c>
      <c r="L1576" s="14" t="n">
        <v>0</v>
      </c>
      <c r="M1576" s="14">
        <f>IF(B1576="Frete de venda",0,(1-ISNUMBER(SEARCH("556",P1576)))*(I1576*VLOOKUP($B1576,Premissas!$A$4:$E$7,2,0)+J1576*VLOOKUP($B1576,Premissas!$A$4:$E$7,3,0))+K1576*VLOOKUP($B1576,Premissas!$A$4:$E$7,4,0)+L1576*VLOOKUP($B1576,Premissas!$A$4:$E$7,5,0))</f>
        <v/>
      </c>
      <c r="N1576" s="14">
        <f>H1576-M1576</f>
        <v/>
      </c>
      <c r="O1576" t="inlineStr">
        <is>
          <t>Não</t>
        </is>
      </c>
      <c r="P1576" t="inlineStr">
        <is>
          <t>1.350</t>
        </is>
      </c>
    </row>
    <row r="1577">
      <c r="A1577" t="inlineStr">
        <is>
          <t>Antes de 2026</t>
        </is>
      </c>
      <c r="B1577" t="inlineStr">
        <is>
          <t>Frete de venda</t>
        </is>
      </c>
      <c r="C1577" t="inlineStr">
        <is>
          <t>Frete de venda (para clientes)</t>
        </is>
      </c>
      <c r="D1577" t="inlineStr">
        <is>
          <t>CT-e</t>
        </is>
      </c>
      <c r="E1577" t="inlineStr">
        <is>
          <t>000004807</t>
        </is>
      </c>
      <c r="F1577" t="inlineStr">
        <is>
          <t>R&amp;R TRANSPORTE E LOGISTICA</t>
        </is>
      </c>
      <c r="G1577" s="27" t="n">
        <v>45870</v>
      </c>
      <c r="H1577" s="14" t="n">
        <v>27.21</v>
      </c>
      <c r="I1577" s="14" t="n">
        <v>0</v>
      </c>
      <c r="J1577" s="14" t="n">
        <v>0</v>
      </c>
      <c r="K1577" s="14" t="n">
        <v>0</v>
      </c>
      <c r="L1577" s="14" t="n">
        <v>0</v>
      </c>
      <c r="M1577" s="14">
        <f>IF(B1577="Frete de venda",0,(1-ISNUMBER(SEARCH("556",P1577)))*(I1577*VLOOKUP($B1577,Premissas!$A$4:$E$7,2,0)+J1577*VLOOKUP($B1577,Premissas!$A$4:$E$7,3,0))+K1577*VLOOKUP($B1577,Premissas!$A$4:$E$7,4,0)+L1577*VLOOKUP($B1577,Premissas!$A$4:$E$7,5,0))</f>
        <v/>
      </c>
      <c r="N1577" s="14">
        <f>H1577-M1577</f>
        <v/>
      </c>
      <c r="O1577" t="inlineStr">
        <is>
          <t>Não</t>
        </is>
      </c>
      <c r="P1577" t="inlineStr">
        <is>
          <t>1.350</t>
        </is>
      </c>
    </row>
    <row r="1578">
      <c r="A1578" t="inlineStr">
        <is>
          <t>Antes de 2026</t>
        </is>
      </c>
      <c r="B1578" t="inlineStr">
        <is>
          <t>Frete de venda</t>
        </is>
      </c>
      <c r="C1578" t="inlineStr">
        <is>
          <t>Frete de venda (para clientes)</t>
        </is>
      </c>
      <c r="D1578" t="inlineStr">
        <is>
          <t>CT-e</t>
        </is>
      </c>
      <c r="E1578" t="inlineStr">
        <is>
          <t>000005778</t>
        </is>
      </c>
      <c r="F1578" t="inlineStr">
        <is>
          <t>R&amp;R TRANSPORTE E LOGISTICA</t>
        </is>
      </c>
      <c r="G1578" s="27" t="n">
        <v>45981</v>
      </c>
      <c r="H1578" s="14" t="n">
        <v>35.05</v>
      </c>
      <c r="I1578" s="14" t="n">
        <v>0</v>
      </c>
      <c r="J1578" s="14" t="n">
        <v>0</v>
      </c>
      <c r="K1578" s="14" t="n">
        <v>0</v>
      </c>
      <c r="L1578" s="14" t="n">
        <v>0</v>
      </c>
      <c r="M1578" s="14">
        <f>IF(B1578="Frete de venda",0,(1-ISNUMBER(SEARCH("556",P1578)))*(I1578*VLOOKUP($B1578,Premissas!$A$4:$E$7,2,0)+J1578*VLOOKUP($B1578,Premissas!$A$4:$E$7,3,0))+K1578*VLOOKUP($B1578,Premissas!$A$4:$E$7,4,0)+L1578*VLOOKUP($B1578,Premissas!$A$4:$E$7,5,0))</f>
        <v/>
      </c>
      <c r="N1578" s="14">
        <f>H1578-M1578</f>
        <v/>
      </c>
      <c r="O1578" t="inlineStr">
        <is>
          <t>Não</t>
        </is>
      </c>
      <c r="P1578" t="inlineStr">
        <is>
          <t>1.350</t>
        </is>
      </c>
    </row>
    <row r="1579">
      <c r="A1579" t="inlineStr">
        <is>
          <t>Antes de 2026</t>
        </is>
      </c>
      <c r="B1579" t="inlineStr">
        <is>
          <t>Frete de venda</t>
        </is>
      </c>
      <c r="C1579" t="inlineStr">
        <is>
          <t>Frete de venda (para clientes)</t>
        </is>
      </c>
      <c r="D1579" t="inlineStr">
        <is>
          <t>CT-e</t>
        </is>
      </c>
      <c r="E1579" t="inlineStr">
        <is>
          <t>000005242</t>
        </is>
      </c>
      <c r="F1579" t="inlineStr">
        <is>
          <t>R&amp;R TRANSPORTE E LOGISTICA</t>
        </is>
      </c>
      <c r="G1579" s="27" t="n">
        <v>45918</v>
      </c>
      <c r="H1579" s="14" t="n">
        <v>12.41</v>
      </c>
      <c r="I1579" s="14" t="n">
        <v>0</v>
      </c>
      <c r="J1579" s="14" t="n">
        <v>0</v>
      </c>
      <c r="K1579" s="14" t="n">
        <v>0</v>
      </c>
      <c r="L1579" s="14" t="n">
        <v>0</v>
      </c>
      <c r="M1579" s="14">
        <f>IF(B1579="Frete de venda",0,(1-ISNUMBER(SEARCH("556",P1579)))*(I1579*VLOOKUP($B1579,Premissas!$A$4:$E$7,2,0)+J1579*VLOOKUP($B1579,Premissas!$A$4:$E$7,3,0))+K1579*VLOOKUP($B1579,Premissas!$A$4:$E$7,4,0)+L1579*VLOOKUP($B1579,Premissas!$A$4:$E$7,5,0))</f>
        <v/>
      </c>
      <c r="N1579" s="14">
        <f>H1579-M1579</f>
        <v/>
      </c>
      <c r="O1579" t="inlineStr">
        <is>
          <t>Não</t>
        </is>
      </c>
      <c r="P1579" t="inlineStr">
        <is>
          <t>1.350</t>
        </is>
      </c>
    </row>
    <row r="1580">
      <c r="A1580" t="inlineStr">
        <is>
          <t>Antes de 2026</t>
        </is>
      </c>
      <c r="B1580" t="inlineStr">
        <is>
          <t>Frete de venda</t>
        </is>
      </c>
      <c r="C1580" t="inlineStr">
        <is>
          <t>Frete de venda (para clientes)</t>
        </is>
      </c>
      <c r="D1580" t="inlineStr">
        <is>
          <t>CT-e</t>
        </is>
      </c>
      <c r="E1580" t="inlineStr">
        <is>
          <t>000004271</t>
        </is>
      </c>
      <c r="F1580" t="inlineStr">
        <is>
          <t>R&amp;R TRANSPORTE E LOGISTICA</t>
        </is>
      </c>
      <c r="G1580" s="27" t="n">
        <v>45800</v>
      </c>
      <c r="H1580" s="14" t="n">
        <v>45.08</v>
      </c>
      <c r="I1580" s="14" t="n">
        <v>0</v>
      </c>
      <c r="J1580" s="14" t="n">
        <v>0</v>
      </c>
      <c r="K1580" s="14" t="n">
        <v>0</v>
      </c>
      <c r="L1580" s="14" t="n">
        <v>0</v>
      </c>
      <c r="M1580" s="14">
        <f>IF(B1580="Frete de venda",0,(1-ISNUMBER(SEARCH("556",P1580)))*(I1580*VLOOKUP($B1580,Premissas!$A$4:$E$7,2,0)+J1580*VLOOKUP($B1580,Premissas!$A$4:$E$7,3,0))+K1580*VLOOKUP($B1580,Premissas!$A$4:$E$7,4,0)+L1580*VLOOKUP($B1580,Premissas!$A$4:$E$7,5,0))</f>
        <v/>
      </c>
      <c r="N1580" s="14">
        <f>H1580-M1580</f>
        <v/>
      </c>
      <c r="O1580" t="inlineStr">
        <is>
          <t>Não</t>
        </is>
      </c>
      <c r="P1580" t="inlineStr">
        <is>
          <t>1.350</t>
        </is>
      </c>
    </row>
    <row r="1581">
      <c r="A1581" t="inlineStr">
        <is>
          <t>Antes de 2026</t>
        </is>
      </c>
      <c r="B1581" t="inlineStr">
        <is>
          <t>Frete de venda</t>
        </is>
      </c>
      <c r="C1581" t="inlineStr">
        <is>
          <t>Frete de venda (para clientes)</t>
        </is>
      </c>
      <c r="D1581" t="inlineStr">
        <is>
          <t>CT-e</t>
        </is>
      </c>
      <c r="E1581" t="inlineStr">
        <is>
          <t>000005909</t>
        </is>
      </c>
      <c r="F1581" t="inlineStr">
        <is>
          <t>R&amp;R TRANSPORTE E LOGISTICA</t>
        </is>
      </c>
      <c r="G1581" s="27" t="n">
        <v>45994</v>
      </c>
      <c r="H1581" s="14" t="n">
        <v>70.62</v>
      </c>
      <c r="I1581" s="14" t="n">
        <v>0</v>
      </c>
      <c r="J1581" s="14" t="n">
        <v>0</v>
      </c>
      <c r="K1581" s="14" t="n">
        <v>0</v>
      </c>
      <c r="L1581" s="14" t="n">
        <v>0</v>
      </c>
      <c r="M1581" s="14">
        <f>IF(B1581="Frete de venda",0,(1-ISNUMBER(SEARCH("556",P1581)))*(I1581*VLOOKUP($B1581,Premissas!$A$4:$E$7,2,0)+J1581*VLOOKUP($B1581,Premissas!$A$4:$E$7,3,0))+K1581*VLOOKUP($B1581,Premissas!$A$4:$E$7,4,0)+L1581*VLOOKUP($B1581,Premissas!$A$4:$E$7,5,0))</f>
        <v/>
      </c>
      <c r="N1581" s="14">
        <f>H1581-M1581</f>
        <v/>
      </c>
      <c r="O1581" t="inlineStr">
        <is>
          <t>Não</t>
        </is>
      </c>
      <c r="P1581" t="inlineStr">
        <is>
          <t>1.350</t>
        </is>
      </c>
    </row>
    <row r="1582">
      <c r="A1582" t="inlineStr">
        <is>
          <t>Antes de 2026</t>
        </is>
      </c>
      <c r="B1582" t="inlineStr">
        <is>
          <t>Frete de venda</t>
        </is>
      </c>
      <c r="C1582" t="inlineStr">
        <is>
          <t>Frete de venda (para clientes)</t>
        </is>
      </c>
      <c r="D1582" t="inlineStr">
        <is>
          <t>CT-e</t>
        </is>
      </c>
      <c r="E1582" t="inlineStr">
        <is>
          <t>000004717</t>
        </is>
      </c>
      <c r="F1582" t="inlineStr">
        <is>
          <t>R&amp;R TRANSPORTE E LOGISTICA</t>
        </is>
      </c>
      <c r="G1582" s="27" t="n">
        <v>45861</v>
      </c>
      <c r="H1582" s="14" t="n">
        <v>450</v>
      </c>
      <c r="I1582" s="14" t="n">
        <v>0</v>
      </c>
      <c r="J1582" s="14" t="n">
        <v>0</v>
      </c>
      <c r="K1582" s="14" t="n">
        <v>0</v>
      </c>
      <c r="L1582" s="14" t="n">
        <v>0</v>
      </c>
      <c r="M1582" s="14">
        <f>IF(B1582="Frete de venda",0,(1-ISNUMBER(SEARCH("556",P1582)))*(I1582*VLOOKUP($B1582,Premissas!$A$4:$E$7,2,0)+J1582*VLOOKUP($B1582,Premissas!$A$4:$E$7,3,0))+K1582*VLOOKUP($B1582,Premissas!$A$4:$E$7,4,0)+L1582*VLOOKUP($B1582,Premissas!$A$4:$E$7,5,0))</f>
        <v/>
      </c>
      <c r="N1582" s="14">
        <f>H1582-M1582</f>
        <v/>
      </c>
      <c r="O1582" t="inlineStr">
        <is>
          <t>Não</t>
        </is>
      </c>
      <c r="P1582" t="inlineStr">
        <is>
          <t>1.350</t>
        </is>
      </c>
    </row>
    <row r="1583">
      <c r="A1583" t="inlineStr">
        <is>
          <t>Antes de 2026</t>
        </is>
      </c>
      <c r="B1583" t="inlineStr">
        <is>
          <t>Frete de venda</t>
        </is>
      </c>
      <c r="C1583" t="inlineStr">
        <is>
          <t>Frete de venda (para clientes)</t>
        </is>
      </c>
      <c r="D1583" t="inlineStr">
        <is>
          <t>CT-e</t>
        </is>
      </c>
      <c r="E1583" t="inlineStr">
        <is>
          <t>000005596</t>
        </is>
      </c>
      <c r="F1583" t="inlineStr">
        <is>
          <t>R&amp;R TRANSPORTE E LOGISTICA</t>
        </is>
      </c>
      <c r="G1583" s="27" t="n">
        <v>45957</v>
      </c>
      <c r="H1583" s="14" t="n">
        <v>467</v>
      </c>
      <c r="I1583" s="14" t="n">
        <v>0</v>
      </c>
      <c r="J1583" s="14" t="n">
        <v>0</v>
      </c>
      <c r="K1583" s="14" t="n">
        <v>0</v>
      </c>
      <c r="L1583" s="14" t="n">
        <v>0</v>
      </c>
      <c r="M1583" s="14">
        <f>IF(B1583="Frete de venda",0,(1-ISNUMBER(SEARCH("556",P1583)))*(I1583*VLOOKUP($B1583,Premissas!$A$4:$E$7,2,0)+J1583*VLOOKUP($B1583,Premissas!$A$4:$E$7,3,0))+K1583*VLOOKUP($B1583,Premissas!$A$4:$E$7,4,0)+L1583*VLOOKUP($B1583,Premissas!$A$4:$E$7,5,0))</f>
        <v/>
      </c>
      <c r="N1583" s="14">
        <f>H1583-M1583</f>
        <v/>
      </c>
      <c r="O1583" t="inlineStr">
        <is>
          <t>Não</t>
        </is>
      </c>
      <c r="P1583" t="inlineStr">
        <is>
          <t>1.350</t>
        </is>
      </c>
    </row>
    <row r="1584">
      <c r="A1584" t="inlineStr">
        <is>
          <t>Antes de 2026</t>
        </is>
      </c>
      <c r="B1584" t="inlineStr">
        <is>
          <t>Frete de venda</t>
        </is>
      </c>
      <c r="C1584" t="inlineStr">
        <is>
          <t>Frete de venda (para clientes)</t>
        </is>
      </c>
      <c r="D1584" t="inlineStr">
        <is>
          <t>CT-e</t>
        </is>
      </c>
      <c r="E1584" t="inlineStr">
        <is>
          <t>000005947</t>
        </is>
      </c>
      <c r="F1584" t="inlineStr">
        <is>
          <t>R&amp;R TRANSPORTE E LOGISTICA</t>
        </is>
      </c>
      <c r="G1584" s="27" t="n">
        <v>46000</v>
      </c>
      <c r="H1584" s="14" t="n">
        <v>280.52</v>
      </c>
      <c r="I1584" s="14" t="n">
        <v>0</v>
      </c>
      <c r="J1584" s="14" t="n">
        <v>0</v>
      </c>
      <c r="K1584" s="14" t="n">
        <v>0</v>
      </c>
      <c r="L1584" s="14" t="n">
        <v>0</v>
      </c>
      <c r="M1584" s="14">
        <f>IF(B1584="Frete de venda",0,(1-ISNUMBER(SEARCH("556",P1584)))*(I1584*VLOOKUP($B1584,Premissas!$A$4:$E$7,2,0)+J1584*VLOOKUP($B1584,Premissas!$A$4:$E$7,3,0))+K1584*VLOOKUP($B1584,Premissas!$A$4:$E$7,4,0)+L1584*VLOOKUP($B1584,Premissas!$A$4:$E$7,5,0))</f>
        <v/>
      </c>
      <c r="N1584" s="14">
        <f>H1584-M1584</f>
        <v/>
      </c>
      <c r="O1584" t="inlineStr">
        <is>
          <t>Não</t>
        </is>
      </c>
      <c r="P1584" t="inlineStr">
        <is>
          <t>1.350</t>
        </is>
      </c>
    </row>
    <row r="1585">
      <c r="A1585" t="inlineStr">
        <is>
          <t>Antes de 2026</t>
        </is>
      </c>
      <c r="B1585" t="inlineStr">
        <is>
          <t>Frete de venda</t>
        </is>
      </c>
      <c r="C1585" t="inlineStr">
        <is>
          <t>Frete de venda (para clientes)</t>
        </is>
      </c>
      <c r="D1585" t="inlineStr">
        <is>
          <t>CT-e</t>
        </is>
      </c>
      <c r="E1585" t="inlineStr">
        <is>
          <t>000004273</t>
        </is>
      </c>
      <c r="F1585" t="inlineStr">
        <is>
          <t>R&amp;R TRANSPORTE E LOGISTICA</t>
        </is>
      </c>
      <c r="G1585" s="27" t="n">
        <v>45800</v>
      </c>
      <c r="H1585" s="14" t="n">
        <v>35.83</v>
      </c>
      <c r="I1585" s="14" t="n">
        <v>0</v>
      </c>
      <c r="J1585" s="14" t="n">
        <v>0</v>
      </c>
      <c r="K1585" s="14" t="n">
        <v>0</v>
      </c>
      <c r="L1585" s="14" t="n">
        <v>0</v>
      </c>
      <c r="M1585" s="14">
        <f>IF(B1585="Frete de venda",0,(1-ISNUMBER(SEARCH("556",P1585)))*(I1585*VLOOKUP($B1585,Premissas!$A$4:$E$7,2,0)+J1585*VLOOKUP($B1585,Premissas!$A$4:$E$7,3,0))+K1585*VLOOKUP($B1585,Premissas!$A$4:$E$7,4,0)+L1585*VLOOKUP($B1585,Premissas!$A$4:$E$7,5,0))</f>
        <v/>
      </c>
      <c r="N1585" s="14">
        <f>H1585-M1585</f>
        <v/>
      </c>
      <c r="O1585" t="inlineStr">
        <is>
          <t>Não</t>
        </is>
      </c>
      <c r="P1585" t="inlineStr">
        <is>
          <t>1.350</t>
        </is>
      </c>
    </row>
    <row r="1586">
      <c r="A1586" t="inlineStr">
        <is>
          <t>Antes de 2026</t>
        </is>
      </c>
      <c r="B1586" t="inlineStr">
        <is>
          <t>Frete de venda</t>
        </is>
      </c>
      <c r="C1586" t="inlineStr">
        <is>
          <t>Frete de venda (para clientes)</t>
        </is>
      </c>
      <c r="D1586" t="inlineStr">
        <is>
          <t>CT-e</t>
        </is>
      </c>
      <c r="E1586" t="inlineStr">
        <is>
          <t>000005876</t>
        </is>
      </c>
      <c r="F1586" t="inlineStr">
        <is>
          <t>R&amp;R TRANSPORTE E LOGISTICA</t>
        </is>
      </c>
      <c r="G1586" s="27" t="n">
        <v>45990</v>
      </c>
      <c r="H1586" s="14" t="n">
        <v>30.97</v>
      </c>
      <c r="I1586" s="14" t="n">
        <v>0</v>
      </c>
      <c r="J1586" s="14" t="n">
        <v>0</v>
      </c>
      <c r="K1586" s="14" t="n">
        <v>0</v>
      </c>
      <c r="L1586" s="14" t="n">
        <v>0</v>
      </c>
      <c r="M1586" s="14">
        <f>IF(B1586="Frete de venda",0,(1-ISNUMBER(SEARCH("556",P1586)))*(I1586*VLOOKUP($B1586,Premissas!$A$4:$E$7,2,0)+J1586*VLOOKUP($B1586,Premissas!$A$4:$E$7,3,0))+K1586*VLOOKUP($B1586,Premissas!$A$4:$E$7,4,0)+L1586*VLOOKUP($B1586,Premissas!$A$4:$E$7,5,0))</f>
        <v/>
      </c>
      <c r="N1586" s="14">
        <f>H1586-M1586</f>
        <v/>
      </c>
      <c r="O1586" t="inlineStr">
        <is>
          <t>Não</t>
        </is>
      </c>
      <c r="P1586" t="inlineStr">
        <is>
          <t>1.350</t>
        </is>
      </c>
    </row>
    <row r="1587">
      <c r="A1587" t="inlineStr">
        <is>
          <t>Antes de 2026</t>
        </is>
      </c>
      <c r="B1587" t="inlineStr">
        <is>
          <t>Frete de venda</t>
        </is>
      </c>
      <c r="C1587" t="inlineStr">
        <is>
          <t>Frete de venda (para clientes)</t>
        </is>
      </c>
      <c r="D1587" t="inlineStr">
        <is>
          <t>CT-e</t>
        </is>
      </c>
      <c r="E1587" t="inlineStr">
        <is>
          <t>000004732</t>
        </is>
      </c>
      <c r="F1587" t="inlineStr">
        <is>
          <t>R&amp;R TRANSPORTE E LOGISTICA</t>
        </is>
      </c>
      <c r="G1587" s="27" t="n">
        <v>45862</v>
      </c>
      <c r="H1587" s="14" t="n">
        <v>28</v>
      </c>
      <c r="I1587" s="14" t="n">
        <v>0</v>
      </c>
      <c r="J1587" s="14" t="n">
        <v>0</v>
      </c>
      <c r="K1587" s="14" t="n">
        <v>0</v>
      </c>
      <c r="L1587" s="14" t="n">
        <v>0</v>
      </c>
      <c r="M1587" s="14">
        <f>IF(B1587="Frete de venda",0,(1-ISNUMBER(SEARCH("556",P1587)))*(I1587*VLOOKUP($B1587,Premissas!$A$4:$E$7,2,0)+J1587*VLOOKUP($B1587,Premissas!$A$4:$E$7,3,0))+K1587*VLOOKUP($B1587,Premissas!$A$4:$E$7,4,0)+L1587*VLOOKUP($B1587,Premissas!$A$4:$E$7,5,0))</f>
        <v/>
      </c>
      <c r="N1587" s="14">
        <f>H1587-M1587</f>
        <v/>
      </c>
      <c r="O1587" t="inlineStr">
        <is>
          <t>Não</t>
        </is>
      </c>
      <c r="P1587" t="inlineStr">
        <is>
          <t>1.350</t>
        </is>
      </c>
    </row>
    <row r="1588">
      <c r="A1588" t="inlineStr">
        <is>
          <t>Antes de 2026</t>
        </is>
      </c>
      <c r="B1588" t="inlineStr">
        <is>
          <t>Frete de venda</t>
        </is>
      </c>
      <c r="C1588" t="inlineStr">
        <is>
          <t>Frete de venda (para clientes)</t>
        </is>
      </c>
      <c r="D1588" t="inlineStr">
        <is>
          <t>CT-e</t>
        </is>
      </c>
      <c r="E1588" t="inlineStr">
        <is>
          <t>000005679</t>
        </is>
      </c>
      <c r="F1588" t="inlineStr">
        <is>
          <t>R&amp;R TRANSPORTE E LOGISTICA</t>
        </is>
      </c>
      <c r="G1588" s="27" t="n">
        <v>45967</v>
      </c>
      <c r="H1588" s="14" t="n">
        <v>16</v>
      </c>
      <c r="I1588" s="14" t="n">
        <v>0</v>
      </c>
      <c r="J1588" s="14" t="n">
        <v>0</v>
      </c>
      <c r="K1588" s="14" t="n">
        <v>0</v>
      </c>
      <c r="L1588" s="14" t="n">
        <v>0</v>
      </c>
      <c r="M1588" s="14">
        <f>IF(B1588="Frete de venda",0,(1-ISNUMBER(SEARCH("556",P1588)))*(I1588*VLOOKUP($B1588,Premissas!$A$4:$E$7,2,0)+J1588*VLOOKUP($B1588,Premissas!$A$4:$E$7,3,0))+K1588*VLOOKUP($B1588,Premissas!$A$4:$E$7,4,0)+L1588*VLOOKUP($B1588,Premissas!$A$4:$E$7,5,0))</f>
        <v/>
      </c>
      <c r="N1588" s="14">
        <f>H1588-M1588</f>
        <v/>
      </c>
      <c r="O1588" t="inlineStr">
        <is>
          <t>Não</t>
        </is>
      </c>
      <c r="P1588" t="inlineStr">
        <is>
          <t>1.350</t>
        </is>
      </c>
    </row>
    <row r="1589">
      <c r="A1589" t="inlineStr">
        <is>
          <t>Antes de 2026</t>
        </is>
      </c>
      <c r="B1589" t="inlineStr">
        <is>
          <t>Frete de venda</t>
        </is>
      </c>
      <c r="C1589" t="inlineStr">
        <is>
          <t>Frete de venda (para clientes)</t>
        </is>
      </c>
      <c r="D1589" t="inlineStr">
        <is>
          <t>CT-e</t>
        </is>
      </c>
      <c r="E1589" t="inlineStr">
        <is>
          <t>000005660</t>
        </is>
      </c>
      <c r="F1589" t="inlineStr">
        <is>
          <t>R&amp;R TRANSPORTE E LOGISTICA</t>
        </is>
      </c>
      <c r="G1589" s="27" t="n">
        <v>45964</v>
      </c>
      <c r="H1589" s="14" t="n">
        <v>1000</v>
      </c>
      <c r="I1589" s="14" t="n">
        <v>0</v>
      </c>
      <c r="J1589" s="14" t="n">
        <v>0</v>
      </c>
      <c r="K1589" s="14" t="n">
        <v>0</v>
      </c>
      <c r="L1589" s="14" t="n">
        <v>0</v>
      </c>
      <c r="M1589" s="14">
        <f>IF(B1589="Frete de venda",0,(1-ISNUMBER(SEARCH("556",P1589)))*(I1589*VLOOKUP($B1589,Premissas!$A$4:$E$7,2,0)+J1589*VLOOKUP($B1589,Premissas!$A$4:$E$7,3,0))+K1589*VLOOKUP($B1589,Premissas!$A$4:$E$7,4,0)+L1589*VLOOKUP($B1589,Premissas!$A$4:$E$7,5,0))</f>
        <v/>
      </c>
      <c r="N1589" s="14">
        <f>H1589-M1589</f>
        <v/>
      </c>
      <c r="O1589" t="inlineStr">
        <is>
          <t>Não</t>
        </is>
      </c>
      <c r="P1589" t="inlineStr">
        <is>
          <t>1.350</t>
        </is>
      </c>
    </row>
    <row r="1590">
      <c r="A1590" t="inlineStr">
        <is>
          <t>Antes de 2026</t>
        </is>
      </c>
      <c r="B1590" t="inlineStr">
        <is>
          <t>Frete de venda</t>
        </is>
      </c>
      <c r="C1590" t="inlineStr">
        <is>
          <t>Frete de venda (para clientes)</t>
        </is>
      </c>
      <c r="D1590" t="inlineStr">
        <is>
          <t>CT-e</t>
        </is>
      </c>
      <c r="E1590" t="inlineStr">
        <is>
          <t>000004381</t>
        </is>
      </c>
      <c r="F1590" t="inlineStr">
        <is>
          <t>R&amp;R TRANSPORTE E LOGISTICA</t>
        </is>
      </c>
      <c r="G1590" s="27" t="n">
        <v>45812</v>
      </c>
      <c r="H1590" s="14" t="n">
        <v>23.52</v>
      </c>
      <c r="I1590" s="14" t="n">
        <v>0</v>
      </c>
      <c r="J1590" s="14" t="n">
        <v>0</v>
      </c>
      <c r="K1590" s="14" t="n">
        <v>0</v>
      </c>
      <c r="L1590" s="14" t="n">
        <v>0</v>
      </c>
      <c r="M1590" s="14">
        <f>IF(B1590="Frete de venda",0,(1-ISNUMBER(SEARCH("556",P1590)))*(I1590*VLOOKUP($B1590,Premissas!$A$4:$E$7,2,0)+J1590*VLOOKUP($B1590,Premissas!$A$4:$E$7,3,0))+K1590*VLOOKUP($B1590,Premissas!$A$4:$E$7,4,0)+L1590*VLOOKUP($B1590,Premissas!$A$4:$E$7,5,0))</f>
        <v/>
      </c>
      <c r="N1590" s="14">
        <f>H1590-M1590</f>
        <v/>
      </c>
      <c r="O1590" t="inlineStr">
        <is>
          <t>Não</t>
        </is>
      </c>
      <c r="P1590" t="inlineStr">
        <is>
          <t>1.350</t>
        </is>
      </c>
    </row>
    <row r="1591">
      <c r="A1591" t="inlineStr">
        <is>
          <t>Antes de 2026</t>
        </is>
      </c>
      <c r="B1591" t="inlineStr">
        <is>
          <t>Frete de venda</t>
        </is>
      </c>
      <c r="C1591" t="inlineStr">
        <is>
          <t>Frete de venda (para clientes)</t>
        </is>
      </c>
      <c r="D1591" t="inlineStr">
        <is>
          <t>CT-e</t>
        </is>
      </c>
      <c r="E1591" t="inlineStr">
        <is>
          <t>000004170</t>
        </is>
      </c>
      <c r="F1591" t="inlineStr">
        <is>
          <t>R&amp;R TRANSPORTE E LOGISTICA</t>
        </is>
      </c>
      <c r="G1591" s="27" t="n">
        <v>45786</v>
      </c>
      <c r="H1591" s="14" t="n">
        <v>55.35</v>
      </c>
      <c r="I1591" s="14" t="n">
        <v>0</v>
      </c>
      <c r="J1591" s="14" t="n">
        <v>0</v>
      </c>
      <c r="K1591" s="14" t="n">
        <v>0</v>
      </c>
      <c r="L1591" s="14" t="n">
        <v>0</v>
      </c>
      <c r="M1591" s="14">
        <f>IF(B1591="Frete de venda",0,(1-ISNUMBER(SEARCH("556",P1591)))*(I1591*VLOOKUP($B1591,Premissas!$A$4:$E$7,2,0)+J1591*VLOOKUP($B1591,Premissas!$A$4:$E$7,3,0))+K1591*VLOOKUP($B1591,Premissas!$A$4:$E$7,4,0)+L1591*VLOOKUP($B1591,Premissas!$A$4:$E$7,5,0))</f>
        <v/>
      </c>
      <c r="N1591" s="14">
        <f>H1591-M1591</f>
        <v/>
      </c>
      <c r="O1591" t="inlineStr">
        <is>
          <t>Não</t>
        </is>
      </c>
      <c r="P1591" t="inlineStr">
        <is>
          <t>1.350</t>
        </is>
      </c>
    </row>
    <row r="1592">
      <c r="A1592" t="inlineStr">
        <is>
          <t>Antes de 2026</t>
        </is>
      </c>
      <c r="B1592" t="inlineStr">
        <is>
          <t>Frete de venda</t>
        </is>
      </c>
      <c r="C1592" t="inlineStr">
        <is>
          <t>Frete de venda (para clientes)</t>
        </is>
      </c>
      <c r="D1592" t="inlineStr">
        <is>
          <t>CT-e</t>
        </is>
      </c>
      <c r="E1592" t="inlineStr">
        <is>
          <t>000004418</t>
        </is>
      </c>
      <c r="F1592" t="inlineStr">
        <is>
          <t>R&amp;R TRANSPORTE E LOGISTICA</t>
        </is>
      </c>
      <c r="G1592" s="27" t="n">
        <v>45820</v>
      </c>
      <c r="H1592" s="14" t="n">
        <v>34.9</v>
      </c>
      <c r="I1592" s="14" t="n">
        <v>0</v>
      </c>
      <c r="J1592" s="14" t="n">
        <v>0</v>
      </c>
      <c r="K1592" s="14" t="n">
        <v>0</v>
      </c>
      <c r="L1592" s="14" t="n">
        <v>0</v>
      </c>
      <c r="M1592" s="14">
        <f>IF(B1592="Frete de venda",0,(1-ISNUMBER(SEARCH("556",P1592)))*(I1592*VLOOKUP($B1592,Premissas!$A$4:$E$7,2,0)+J1592*VLOOKUP($B1592,Premissas!$A$4:$E$7,3,0))+K1592*VLOOKUP($B1592,Premissas!$A$4:$E$7,4,0)+L1592*VLOOKUP($B1592,Premissas!$A$4:$E$7,5,0))</f>
        <v/>
      </c>
      <c r="N1592" s="14">
        <f>H1592-M1592</f>
        <v/>
      </c>
      <c r="O1592" t="inlineStr">
        <is>
          <t>Não</t>
        </is>
      </c>
      <c r="P1592" t="inlineStr">
        <is>
          <t>1.350</t>
        </is>
      </c>
    </row>
    <row r="1593">
      <c r="A1593" t="inlineStr">
        <is>
          <t>Antes de 2026</t>
        </is>
      </c>
      <c r="B1593" t="inlineStr">
        <is>
          <t>Frete de venda</t>
        </is>
      </c>
      <c r="C1593" t="inlineStr">
        <is>
          <t>Frete de venda (para clientes)</t>
        </is>
      </c>
      <c r="D1593" t="inlineStr">
        <is>
          <t>CT-e</t>
        </is>
      </c>
      <c r="E1593" t="inlineStr">
        <is>
          <t>000020882</t>
        </is>
      </c>
      <c r="F1593" t="inlineStr">
        <is>
          <t>TRANSPORTE OLIVEIRA E MELLOI - IDEALIZA TRANSPORTES</t>
        </is>
      </c>
      <c r="G1593" s="27" t="n">
        <v>45685</v>
      </c>
      <c r="H1593" s="14" t="n">
        <v>503.84</v>
      </c>
      <c r="I1593" s="14" t="n">
        <v>0</v>
      </c>
      <c r="J1593" s="14" t="n">
        <v>0</v>
      </c>
      <c r="K1593" s="14" t="n">
        <v>0</v>
      </c>
      <c r="L1593" s="14" t="n">
        <v>0</v>
      </c>
      <c r="M1593" s="14">
        <f>IF(B1593="Frete de venda",0,(1-ISNUMBER(SEARCH("556",P1593)))*(I1593*VLOOKUP($B1593,Premissas!$A$4:$E$7,2,0)+J1593*VLOOKUP($B1593,Premissas!$A$4:$E$7,3,0))+K1593*VLOOKUP($B1593,Premissas!$A$4:$E$7,4,0)+L1593*VLOOKUP($B1593,Premissas!$A$4:$E$7,5,0))</f>
        <v/>
      </c>
      <c r="N1593" s="14">
        <f>H1593-M1593</f>
        <v/>
      </c>
      <c r="O1593" t="inlineStr">
        <is>
          <t>Não</t>
        </is>
      </c>
      <c r="P1593" t="inlineStr">
        <is>
          <t>1.350</t>
        </is>
      </c>
    </row>
    <row r="1594">
      <c r="A1594" t="inlineStr">
        <is>
          <t>Antes de 2026</t>
        </is>
      </c>
      <c r="B1594" t="inlineStr">
        <is>
          <t>Frete de venda</t>
        </is>
      </c>
      <c r="C1594" t="inlineStr">
        <is>
          <t>Frete de venda (para clientes)</t>
        </is>
      </c>
      <c r="D1594" t="inlineStr">
        <is>
          <t>CT-e</t>
        </is>
      </c>
      <c r="E1594" t="inlineStr">
        <is>
          <t>000005403</t>
        </is>
      </c>
      <c r="F1594" t="inlineStr">
        <is>
          <t>R&amp;R TRANSPORTE E LOGISTICA</t>
        </is>
      </c>
      <c r="G1594" s="27" t="n">
        <v>45937</v>
      </c>
      <c r="H1594" s="14" t="n">
        <v>37.41</v>
      </c>
      <c r="I1594" s="14" t="n">
        <v>0</v>
      </c>
      <c r="J1594" s="14" t="n">
        <v>0</v>
      </c>
      <c r="K1594" s="14" t="n">
        <v>0</v>
      </c>
      <c r="L1594" s="14" t="n">
        <v>0</v>
      </c>
      <c r="M1594" s="14">
        <f>IF(B1594="Frete de venda",0,(1-ISNUMBER(SEARCH("556",P1594)))*(I1594*VLOOKUP($B1594,Premissas!$A$4:$E$7,2,0)+J1594*VLOOKUP($B1594,Premissas!$A$4:$E$7,3,0))+K1594*VLOOKUP($B1594,Premissas!$A$4:$E$7,4,0)+L1594*VLOOKUP($B1594,Premissas!$A$4:$E$7,5,0))</f>
        <v/>
      </c>
      <c r="N1594" s="14">
        <f>H1594-M1594</f>
        <v/>
      </c>
      <c r="O1594" t="inlineStr">
        <is>
          <t>Não</t>
        </is>
      </c>
      <c r="P1594" t="inlineStr">
        <is>
          <t>1.350</t>
        </is>
      </c>
    </row>
    <row r="1595">
      <c r="A1595" t="inlineStr">
        <is>
          <t>Antes de 2026</t>
        </is>
      </c>
      <c r="B1595" t="inlineStr">
        <is>
          <t>Frete de venda</t>
        </is>
      </c>
      <c r="C1595" t="inlineStr">
        <is>
          <t>Frete de venda (para clientes)</t>
        </is>
      </c>
      <c r="D1595" t="inlineStr">
        <is>
          <t>CT-e</t>
        </is>
      </c>
      <c r="E1595" t="inlineStr">
        <is>
          <t>000004156</t>
        </is>
      </c>
      <c r="F1595" t="inlineStr">
        <is>
          <t>R&amp;R TRANSPORTE E LOGISTICA</t>
        </is>
      </c>
      <c r="G1595" s="27" t="n">
        <v>45784</v>
      </c>
      <c r="H1595" s="14" t="n">
        <v>59.97</v>
      </c>
      <c r="I1595" s="14" t="n">
        <v>0</v>
      </c>
      <c r="J1595" s="14" t="n">
        <v>0</v>
      </c>
      <c r="K1595" s="14" t="n">
        <v>0</v>
      </c>
      <c r="L1595" s="14" t="n">
        <v>0</v>
      </c>
      <c r="M1595" s="14">
        <f>IF(B1595="Frete de venda",0,(1-ISNUMBER(SEARCH("556",P1595)))*(I1595*VLOOKUP($B1595,Premissas!$A$4:$E$7,2,0)+J1595*VLOOKUP($B1595,Premissas!$A$4:$E$7,3,0))+K1595*VLOOKUP($B1595,Premissas!$A$4:$E$7,4,0)+L1595*VLOOKUP($B1595,Premissas!$A$4:$E$7,5,0))</f>
        <v/>
      </c>
      <c r="N1595" s="14">
        <f>H1595-M1595</f>
        <v/>
      </c>
      <c r="O1595" t="inlineStr">
        <is>
          <t>Não</t>
        </is>
      </c>
      <c r="P1595" t="inlineStr">
        <is>
          <t>1.350</t>
        </is>
      </c>
    </row>
    <row r="1596">
      <c r="A1596" t="inlineStr">
        <is>
          <t>Antes de 2026</t>
        </is>
      </c>
      <c r="B1596" t="inlineStr">
        <is>
          <t>Frete de venda</t>
        </is>
      </c>
      <c r="C1596" t="inlineStr">
        <is>
          <t>Frete de venda (para clientes)</t>
        </is>
      </c>
      <c r="D1596" t="inlineStr">
        <is>
          <t>CT-e</t>
        </is>
      </c>
      <c r="E1596" t="inlineStr">
        <is>
          <t>000005483</t>
        </is>
      </c>
      <c r="F1596" t="inlineStr">
        <is>
          <t>R&amp;R TRANSPORTE E LOGISTICA</t>
        </is>
      </c>
      <c r="G1596" s="27" t="n">
        <v>45945</v>
      </c>
      <c r="H1596" s="14" t="n">
        <v>88.41</v>
      </c>
      <c r="I1596" s="14" t="n">
        <v>0</v>
      </c>
      <c r="J1596" s="14" t="n">
        <v>0</v>
      </c>
      <c r="K1596" s="14" t="n">
        <v>0</v>
      </c>
      <c r="L1596" s="14" t="n">
        <v>0</v>
      </c>
      <c r="M1596" s="14">
        <f>IF(B1596="Frete de venda",0,(1-ISNUMBER(SEARCH("556",P1596)))*(I1596*VLOOKUP($B1596,Premissas!$A$4:$E$7,2,0)+J1596*VLOOKUP($B1596,Premissas!$A$4:$E$7,3,0))+K1596*VLOOKUP($B1596,Premissas!$A$4:$E$7,4,0)+L1596*VLOOKUP($B1596,Premissas!$A$4:$E$7,5,0))</f>
        <v/>
      </c>
      <c r="N1596" s="14">
        <f>H1596-M1596</f>
        <v/>
      </c>
      <c r="O1596" t="inlineStr">
        <is>
          <t>Não</t>
        </is>
      </c>
      <c r="P1596" t="inlineStr">
        <is>
          <t>1.350</t>
        </is>
      </c>
    </row>
    <row r="1597">
      <c r="A1597" t="inlineStr">
        <is>
          <t>Antes de 2026</t>
        </is>
      </c>
      <c r="B1597" t="inlineStr">
        <is>
          <t>Frete de venda</t>
        </is>
      </c>
      <c r="C1597" t="inlineStr">
        <is>
          <t>Frete de venda (para clientes)</t>
        </is>
      </c>
      <c r="D1597" t="inlineStr">
        <is>
          <t>CT-e</t>
        </is>
      </c>
      <c r="E1597" t="inlineStr">
        <is>
          <t>000006019</t>
        </is>
      </c>
      <c r="F1597" t="inlineStr">
        <is>
          <t>R&amp;R TRANSPORTE E LOGISTICA</t>
        </is>
      </c>
      <c r="G1597" s="27" t="n">
        <v>46010</v>
      </c>
      <c r="H1597" s="14" t="n">
        <v>45.32</v>
      </c>
      <c r="I1597" s="14" t="n">
        <v>0</v>
      </c>
      <c r="J1597" s="14" t="n">
        <v>0</v>
      </c>
      <c r="K1597" s="14" t="n">
        <v>0</v>
      </c>
      <c r="L1597" s="14" t="n">
        <v>0</v>
      </c>
      <c r="M1597" s="14">
        <f>IF(B1597="Frete de venda",0,(1-ISNUMBER(SEARCH("556",P1597)))*(I1597*VLOOKUP($B1597,Premissas!$A$4:$E$7,2,0)+J1597*VLOOKUP($B1597,Premissas!$A$4:$E$7,3,0))+K1597*VLOOKUP($B1597,Premissas!$A$4:$E$7,4,0)+L1597*VLOOKUP($B1597,Premissas!$A$4:$E$7,5,0))</f>
        <v/>
      </c>
      <c r="N1597" s="14">
        <f>H1597-M1597</f>
        <v/>
      </c>
      <c r="O1597" t="inlineStr">
        <is>
          <t>Não</t>
        </is>
      </c>
      <c r="P1597" t="inlineStr">
        <is>
          <t>1.350</t>
        </is>
      </c>
    </row>
    <row r="1598">
      <c r="A1598" t="inlineStr">
        <is>
          <t>Antes de 2026</t>
        </is>
      </c>
      <c r="B1598" t="inlineStr">
        <is>
          <t>Frete de venda</t>
        </is>
      </c>
      <c r="C1598" t="inlineStr">
        <is>
          <t>Frete de venda (para clientes)</t>
        </is>
      </c>
      <c r="D1598" t="inlineStr">
        <is>
          <t>CT-e</t>
        </is>
      </c>
      <c r="E1598" t="inlineStr">
        <is>
          <t>000004376</t>
        </is>
      </c>
      <c r="F1598" t="inlineStr">
        <is>
          <t>R&amp;R TRANSPORTE E LOGISTICA</t>
        </is>
      </c>
      <c r="G1598" s="27" t="n">
        <v>45812</v>
      </c>
      <c r="H1598" s="14" t="n">
        <v>30.66</v>
      </c>
      <c r="I1598" s="14" t="n">
        <v>0</v>
      </c>
      <c r="J1598" s="14" t="n">
        <v>0</v>
      </c>
      <c r="K1598" s="14" t="n">
        <v>0</v>
      </c>
      <c r="L1598" s="14" t="n">
        <v>0</v>
      </c>
      <c r="M1598" s="14">
        <f>IF(B1598="Frete de venda",0,(1-ISNUMBER(SEARCH("556",P1598)))*(I1598*VLOOKUP($B1598,Premissas!$A$4:$E$7,2,0)+J1598*VLOOKUP($B1598,Premissas!$A$4:$E$7,3,0))+K1598*VLOOKUP($B1598,Premissas!$A$4:$E$7,4,0)+L1598*VLOOKUP($B1598,Premissas!$A$4:$E$7,5,0))</f>
        <v/>
      </c>
      <c r="N1598" s="14">
        <f>H1598-M1598</f>
        <v/>
      </c>
      <c r="O1598" t="inlineStr">
        <is>
          <t>Não</t>
        </is>
      </c>
      <c r="P1598" t="inlineStr">
        <is>
          <t>1.350</t>
        </is>
      </c>
    </row>
    <row r="1599">
      <c r="A1599" t="inlineStr">
        <is>
          <t>Antes de 2026</t>
        </is>
      </c>
      <c r="B1599" t="inlineStr">
        <is>
          <t>Frete de venda</t>
        </is>
      </c>
      <c r="C1599" t="inlineStr">
        <is>
          <t>Frete de venda (para clientes)</t>
        </is>
      </c>
      <c r="D1599" t="inlineStr">
        <is>
          <t>CT-e</t>
        </is>
      </c>
      <c r="E1599" t="inlineStr">
        <is>
          <t>000004808</t>
        </is>
      </c>
      <c r="F1599" t="inlineStr">
        <is>
          <t>R&amp;R TRANSPORTE E LOGISTICA</t>
        </is>
      </c>
      <c r="G1599" s="27" t="n">
        <v>45870</v>
      </c>
      <c r="H1599" s="14" t="n">
        <v>17.84</v>
      </c>
      <c r="I1599" s="14" t="n">
        <v>0</v>
      </c>
      <c r="J1599" s="14" t="n">
        <v>0</v>
      </c>
      <c r="K1599" s="14" t="n">
        <v>0</v>
      </c>
      <c r="L1599" s="14" t="n">
        <v>0</v>
      </c>
      <c r="M1599" s="14">
        <f>IF(B1599="Frete de venda",0,(1-ISNUMBER(SEARCH("556",P1599)))*(I1599*VLOOKUP($B1599,Premissas!$A$4:$E$7,2,0)+J1599*VLOOKUP($B1599,Premissas!$A$4:$E$7,3,0))+K1599*VLOOKUP($B1599,Premissas!$A$4:$E$7,4,0)+L1599*VLOOKUP($B1599,Premissas!$A$4:$E$7,5,0))</f>
        <v/>
      </c>
      <c r="N1599" s="14">
        <f>H1599-M1599</f>
        <v/>
      </c>
      <c r="O1599" t="inlineStr">
        <is>
          <t>Não</t>
        </is>
      </c>
      <c r="P1599" t="inlineStr">
        <is>
          <t>1.350</t>
        </is>
      </c>
    </row>
    <row r="1600">
      <c r="A1600" t="inlineStr">
        <is>
          <t>Antes de 2026</t>
        </is>
      </c>
      <c r="B1600" t="inlineStr">
        <is>
          <t>Frete de venda</t>
        </is>
      </c>
      <c r="C1600" t="inlineStr">
        <is>
          <t>Frete de venda (para clientes)</t>
        </is>
      </c>
      <c r="D1600" t="inlineStr">
        <is>
          <t>CT-e</t>
        </is>
      </c>
      <c r="E1600" t="inlineStr">
        <is>
          <t>000005568</t>
        </is>
      </c>
      <c r="F1600" t="inlineStr">
        <is>
          <t>R&amp;R TRANSPORTE E LOGISTICA</t>
        </is>
      </c>
      <c r="G1600" s="27" t="n">
        <v>45955</v>
      </c>
      <c r="H1600" s="14" t="n">
        <v>24.27</v>
      </c>
      <c r="I1600" s="14" t="n">
        <v>0</v>
      </c>
      <c r="J1600" s="14" t="n">
        <v>0</v>
      </c>
      <c r="K1600" s="14" t="n">
        <v>0</v>
      </c>
      <c r="L1600" s="14" t="n">
        <v>0</v>
      </c>
      <c r="M1600" s="14">
        <f>IF(B1600="Frete de venda",0,(1-ISNUMBER(SEARCH("556",P1600)))*(I1600*VLOOKUP($B1600,Premissas!$A$4:$E$7,2,0)+J1600*VLOOKUP($B1600,Premissas!$A$4:$E$7,3,0))+K1600*VLOOKUP($B1600,Premissas!$A$4:$E$7,4,0)+L1600*VLOOKUP($B1600,Premissas!$A$4:$E$7,5,0))</f>
        <v/>
      </c>
      <c r="N1600" s="14">
        <f>H1600-M1600</f>
        <v/>
      </c>
      <c r="O1600" t="inlineStr">
        <is>
          <t>Não</t>
        </is>
      </c>
      <c r="P1600" t="inlineStr">
        <is>
          <t>1.350</t>
        </is>
      </c>
    </row>
    <row r="1601">
      <c r="A1601" t="inlineStr">
        <is>
          <t>Antes de 2026</t>
        </is>
      </c>
      <c r="B1601" t="inlineStr">
        <is>
          <t>Frete de venda</t>
        </is>
      </c>
      <c r="C1601" t="inlineStr">
        <is>
          <t>Frete de venda (para clientes)</t>
        </is>
      </c>
      <c r="D1601" t="inlineStr">
        <is>
          <t>CT-e</t>
        </is>
      </c>
      <c r="E1601" t="inlineStr">
        <is>
          <t>000004087</t>
        </is>
      </c>
      <c r="F1601" t="inlineStr">
        <is>
          <t>R&amp;R TRANSPORTE E LOGISTICA</t>
        </is>
      </c>
      <c r="G1601" s="27" t="n">
        <v>45775</v>
      </c>
      <c r="H1601" s="14" t="n">
        <v>37.24</v>
      </c>
      <c r="I1601" s="14" t="n">
        <v>0</v>
      </c>
      <c r="J1601" s="14" t="n">
        <v>0</v>
      </c>
      <c r="K1601" s="14" t="n">
        <v>0</v>
      </c>
      <c r="L1601" s="14" t="n">
        <v>0</v>
      </c>
      <c r="M1601" s="14">
        <f>IF(B1601="Frete de venda",0,(1-ISNUMBER(SEARCH("556",P1601)))*(I1601*VLOOKUP($B1601,Premissas!$A$4:$E$7,2,0)+J1601*VLOOKUP($B1601,Premissas!$A$4:$E$7,3,0))+K1601*VLOOKUP($B1601,Premissas!$A$4:$E$7,4,0)+L1601*VLOOKUP($B1601,Premissas!$A$4:$E$7,5,0))</f>
        <v/>
      </c>
      <c r="N1601" s="14">
        <f>H1601-M1601</f>
        <v/>
      </c>
      <c r="O1601" t="inlineStr">
        <is>
          <t>Não</t>
        </is>
      </c>
      <c r="P1601" t="inlineStr">
        <is>
          <t>1.350</t>
        </is>
      </c>
    </row>
    <row r="1602">
      <c r="A1602" t="inlineStr">
        <is>
          <t>Antes de 2026</t>
        </is>
      </c>
      <c r="B1602" t="inlineStr">
        <is>
          <t>Frete de venda</t>
        </is>
      </c>
      <c r="C1602" t="inlineStr">
        <is>
          <t>Frete de venda (para clientes)</t>
        </is>
      </c>
      <c r="D1602" t="inlineStr">
        <is>
          <t>CT-e</t>
        </is>
      </c>
      <c r="E1602" t="inlineStr">
        <is>
          <t>000005444</t>
        </is>
      </c>
      <c r="F1602" t="inlineStr">
        <is>
          <t>R&amp;R TRANSPORTE E LOGISTICA</t>
        </is>
      </c>
      <c r="G1602" s="27" t="n">
        <v>45940</v>
      </c>
      <c r="H1602" s="14" t="n">
        <v>21.33</v>
      </c>
      <c r="I1602" s="14" t="n">
        <v>0</v>
      </c>
      <c r="J1602" s="14" t="n">
        <v>0</v>
      </c>
      <c r="K1602" s="14" t="n">
        <v>0</v>
      </c>
      <c r="L1602" s="14" t="n">
        <v>0</v>
      </c>
      <c r="M1602" s="14">
        <f>IF(B1602="Frete de venda",0,(1-ISNUMBER(SEARCH("556",P1602)))*(I1602*VLOOKUP($B1602,Premissas!$A$4:$E$7,2,0)+J1602*VLOOKUP($B1602,Premissas!$A$4:$E$7,3,0))+K1602*VLOOKUP($B1602,Premissas!$A$4:$E$7,4,0)+L1602*VLOOKUP($B1602,Premissas!$A$4:$E$7,5,0))</f>
        <v/>
      </c>
      <c r="N1602" s="14">
        <f>H1602-M1602</f>
        <v/>
      </c>
      <c r="O1602" t="inlineStr">
        <is>
          <t>Não</t>
        </is>
      </c>
      <c r="P1602" t="inlineStr">
        <is>
          <t>1.350</t>
        </is>
      </c>
    </row>
    <row r="1603">
      <c r="A1603" t="inlineStr">
        <is>
          <t>Antes de 2026</t>
        </is>
      </c>
      <c r="B1603" t="inlineStr">
        <is>
          <t>Frete de venda</t>
        </is>
      </c>
      <c r="C1603" t="inlineStr">
        <is>
          <t>Frete de venda (para clientes)</t>
        </is>
      </c>
      <c r="D1603" t="inlineStr">
        <is>
          <t>CT-e</t>
        </is>
      </c>
      <c r="E1603" t="inlineStr">
        <is>
          <t>000005610</t>
        </is>
      </c>
      <c r="F1603" t="inlineStr">
        <is>
          <t>R&amp;R TRANSPORTE E LOGISTICA</t>
        </is>
      </c>
      <c r="G1603" s="27" t="n">
        <v>45959</v>
      </c>
      <c r="H1603" s="14" t="n">
        <v>27.42</v>
      </c>
      <c r="I1603" s="14" t="n">
        <v>0</v>
      </c>
      <c r="J1603" s="14" t="n">
        <v>0</v>
      </c>
      <c r="K1603" s="14" t="n">
        <v>0</v>
      </c>
      <c r="L1603" s="14" t="n">
        <v>0</v>
      </c>
      <c r="M1603" s="14">
        <f>IF(B1603="Frete de venda",0,(1-ISNUMBER(SEARCH("556",P1603)))*(I1603*VLOOKUP($B1603,Premissas!$A$4:$E$7,2,0)+J1603*VLOOKUP($B1603,Premissas!$A$4:$E$7,3,0))+K1603*VLOOKUP($B1603,Premissas!$A$4:$E$7,4,0)+L1603*VLOOKUP($B1603,Premissas!$A$4:$E$7,5,0))</f>
        <v/>
      </c>
      <c r="N1603" s="14">
        <f>H1603-M1603</f>
        <v/>
      </c>
      <c r="O1603" t="inlineStr">
        <is>
          <t>Não</t>
        </is>
      </c>
      <c r="P1603" t="inlineStr">
        <is>
          <t>1.350</t>
        </is>
      </c>
    </row>
    <row r="1604">
      <c r="A1604" t="inlineStr">
        <is>
          <t>Antes de 2026</t>
        </is>
      </c>
      <c r="B1604" t="inlineStr">
        <is>
          <t>Frete de venda</t>
        </is>
      </c>
      <c r="C1604" t="inlineStr">
        <is>
          <t>Frete de venda (para clientes)</t>
        </is>
      </c>
      <c r="D1604" t="inlineStr">
        <is>
          <t>CT-e</t>
        </is>
      </c>
      <c r="E1604" t="inlineStr">
        <is>
          <t>000005243</t>
        </is>
      </c>
      <c r="F1604" t="inlineStr">
        <is>
          <t>R&amp;R TRANSPORTE E LOGISTICA</t>
        </is>
      </c>
      <c r="G1604" s="27" t="n">
        <v>45918</v>
      </c>
      <c r="H1604" s="14" t="n">
        <v>18.96</v>
      </c>
      <c r="I1604" s="14" t="n">
        <v>0</v>
      </c>
      <c r="J1604" s="14" t="n">
        <v>0</v>
      </c>
      <c r="K1604" s="14" t="n">
        <v>0</v>
      </c>
      <c r="L1604" s="14" t="n">
        <v>0</v>
      </c>
      <c r="M1604" s="14">
        <f>IF(B1604="Frete de venda",0,(1-ISNUMBER(SEARCH("556",P1604)))*(I1604*VLOOKUP($B1604,Premissas!$A$4:$E$7,2,0)+J1604*VLOOKUP($B1604,Premissas!$A$4:$E$7,3,0))+K1604*VLOOKUP($B1604,Premissas!$A$4:$E$7,4,0)+L1604*VLOOKUP($B1604,Premissas!$A$4:$E$7,5,0))</f>
        <v/>
      </c>
      <c r="N1604" s="14">
        <f>H1604-M1604</f>
        <v/>
      </c>
      <c r="O1604" t="inlineStr">
        <is>
          <t>Não</t>
        </is>
      </c>
      <c r="P1604" t="inlineStr">
        <is>
          <t>1.350</t>
        </is>
      </c>
    </row>
    <row r="1605">
      <c r="A1605" t="inlineStr">
        <is>
          <t>Antes de 2026</t>
        </is>
      </c>
      <c r="B1605" t="inlineStr">
        <is>
          <t>Frete de venda</t>
        </is>
      </c>
      <c r="C1605" t="inlineStr">
        <is>
          <t>Frete de venda (para clientes)</t>
        </is>
      </c>
      <c r="D1605" t="inlineStr">
        <is>
          <t>CT-e</t>
        </is>
      </c>
      <c r="E1605" t="inlineStr">
        <is>
          <t>000005437</t>
        </is>
      </c>
      <c r="F1605" t="inlineStr">
        <is>
          <t>R&amp;R TRANSPORTE E LOGISTICA</t>
        </is>
      </c>
      <c r="G1605" s="27" t="n">
        <v>45940</v>
      </c>
      <c r="H1605" s="14" t="n">
        <v>20.04</v>
      </c>
      <c r="I1605" s="14" t="n">
        <v>0</v>
      </c>
      <c r="J1605" s="14" t="n">
        <v>0</v>
      </c>
      <c r="K1605" s="14" t="n">
        <v>0</v>
      </c>
      <c r="L1605" s="14" t="n">
        <v>0</v>
      </c>
      <c r="M1605" s="14">
        <f>IF(B1605="Frete de venda",0,(1-ISNUMBER(SEARCH("556",P1605)))*(I1605*VLOOKUP($B1605,Premissas!$A$4:$E$7,2,0)+J1605*VLOOKUP($B1605,Premissas!$A$4:$E$7,3,0))+K1605*VLOOKUP($B1605,Premissas!$A$4:$E$7,4,0)+L1605*VLOOKUP($B1605,Premissas!$A$4:$E$7,5,0))</f>
        <v/>
      </c>
      <c r="N1605" s="14">
        <f>H1605-M1605</f>
        <v/>
      </c>
      <c r="O1605" t="inlineStr">
        <is>
          <t>Não</t>
        </is>
      </c>
      <c r="P1605" t="inlineStr">
        <is>
          <t>1.350</t>
        </is>
      </c>
    </row>
    <row r="1606">
      <c r="A1606" t="inlineStr">
        <is>
          <t>Antes de 2026</t>
        </is>
      </c>
      <c r="B1606" t="inlineStr">
        <is>
          <t>Frete de venda</t>
        </is>
      </c>
      <c r="C1606" t="inlineStr">
        <is>
          <t>Frete de venda (para clientes)</t>
        </is>
      </c>
      <c r="D1606" t="inlineStr">
        <is>
          <t>CT-e</t>
        </is>
      </c>
      <c r="E1606" t="inlineStr">
        <is>
          <t>000005858</t>
        </is>
      </c>
      <c r="F1606" t="inlineStr">
        <is>
          <t>R&amp;R TRANSPORTE E LOGISTICA</t>
        </is>
      </c>
      <c r="G1606" s="27" t="n">
        <v>45988</v>
      </c>
      <c r="H1606" s="14" t="n">
        <v>11.07</v>
      </c>
      <c r="I1606" s="14" t="n">
        <v>0</v>
      </c>
      <c r="J1606" s="14" t="n">
        <v>0</v>
      </c>
      <c r="K1606" s="14" t="n">
        <v>0</v>
      </c>
      <c r="L1606" s="14" t="n">
        <v>0</v>
      </c>
      <c r="M1606" s="14">
        <f>IF(B1606="Frete de venda",0,(1-ISNUMBER(SEARCH("556",P1606)))*(I1606*VLOOKUP($B1606,Premissas!$A$4:$E$7,2,0)+J1606*VLOOKUP($B1606,Premissas!$A$4:$E$7,3,0))+K1606*VLOOKUP($B1606,Premissas!$A$4:$E$7,4,0)+L1606*VLOOKUP($B1606,Premissas!$A$4:$E$7,5,0))</f>
        <v/>
      </c>
      <c r="N1606" s="14">
        <f>H1606-M1606</f>
        <v/>
      </c>
      <c r="O1606" t="inlineStr">
        <is>
          <t>Não</t>
        </is>
      </c>
      <c r="P1606" t="inlineStr">
        <is>
          <t>1.350</t>
        </is>
      </c>
    </row>
    <row r="1607">
      <c r="A1607" t="inlineStr">
        <is>
          <t>Antes de 2026</t>
        </is>
      </c>
      <c r="B1607" t="inlineStr">
        <is>
          <t>Frete de venda</t>
        </is>
      </c>
      <c r="C1607" t="inlineStr">
        <is>
          <t>Frete de venda (para clientes)</t>
        </is>
      </c>
      <c r="D1607" t="inlineStr">
        <is>
          <t>CT-e</t>
        </is>
      </c>
      <c r="E1607" t="inlineStr">
        <is>
          <t>000005287</t>
        </is>
      </c>
      <c r="F1607" t="inlineStr">
        <is>
          <t>R&amp;R TRANSPORTE E LOGISTICA</t>
        </is>
      </c>
      <c r="G1607" s="27" t="n">
        <v>45926</v>
      </c>
      <c r="H1607" s="14" t="n">
        <v>21.41</v>
      </c>
      <c r="I1607" s="14" t="n">
        <v>0</v>
      </c>
      <c r="J1607" s="14" t="n">
        <v>0</v>
      </c>
      <c r="K1607" s="14" t="n">
        <v>0</v>
      </c>
      <c r="L1607" s="14" t="n">
        <v>0</v>
      </c>
      <c r="M1607" s="14">
        <f>IF(B1607="Frete de venda",0,(1-ISNUMBER(SEARCH("556",P1607)))*(I1607*VLOOKUP($B1607,Premissas!$A$4:$E$7,2,0)+J1607*VLOOKUP($B1607,Premissas!$A$4:$E$7,3,0))+K1607*VLOOKUP($B1607,Premissas!$A$4:$E$7,4,0)+L1607*VLOOKUP($B1607,Premissas!$A$4:$E$7,5,0))</f>
        <v/>
      </c>
      <c r="N1607" s="14">
        <f>H1607-M1607</f>
        <v/>
      </c>
      <c r="O1607" t="inlineStr">
        <is>
          <t>Não</t>
        </is>
      </c>
      <c r="P1607" t="inlineStr">
        <is>
          <t>1.350</t>
        </is>
      </c>
    </row>
    <row r="1608">
      <c r="A1608" t="inlineStr">
        <is>
          <t>Antes de 2026</t>
        </is>
      </c>
      <c r="B1608" t="inlineStr">
        <is>
          <t>Frete de venda</t>
        </is>
      </c>
      <c r="C1608" t="inlineStr">
        <is>
          <t>Frete de venda (para clientes)</t>
        </is>
      </c>
      <c r="D1608" t="inlineStr">
        <is>
          <t>CT-e</t>
        </is>
      </c>
      <c r="E1608" t="inlineStr">
        <is>
          <t>000006079</t>
        </is>
      </c>
      <c r="F1608" t="inlineStr">
        <is>
          <t>R&amp;R TRANSPORTE E LOGISTICA</t>
        </is>
      </c>
      <c r="G1608" s="27" t="n">
        <v>46021</v>
      </c>
      <c r="H1608" s="14" t="n">
        <v>15.59</v>
      </c>
      <c r="I1608" s="14" t="n">
        <v>0</v>
      </c>
      <c r="J1608" s="14" t="n">
        <v>0</v>
      </c>
      <c r="K1608" s="14" t="n">
        <v>0</v>
      </c>
      <c r="L1608" s="14" t="n">
        <v>0</v>
      </c>
      <c r="M1608" s="14">
        <f>IF(B1608="Frete de venda",0,(1-ISNUMBER(SEARCH("556",P1608)))*(I1608*VLOOKUP($B1608,Premissas!$A$4:$E$7,2,0)+J1608*VLOOKUP($B1608,Premissas!$A$4:$E$7,3,0))+K1608*VLOOKUP($B1608,Premissas!$A$4:$E$7,4,0)+L1608*VLOOKUP($B1608,Premissas!$A$4:$E$7,5,0))</f>
        <v/>
      </c>
      <c r="N1608" s="14">
        <f>H1608-M1608</f>
        <v/>
      </c>
      <c r="O1608" t="inlineStr">
        <is>
          <t>Não</t>
        </is>
      </c>
      <c r="P1608" t="inlineStr">
        <is>
          <t>1.350</t>
        </is>
      </c>
    </row>
    <row r="1609">
      <c r="A1609" t="inlineStr">
        <is>
          <t>Antes de 2026</t>
        </is>
      </c>
      <c r="B1609" t="inlineStr">
        <is>
          <t>Frete de venda</t>
        </is>
      </c>
      <c r="C1609" t="inlineStr">
        <is>
          <t>Frete de venda (para clientes)</t>
        </is>
      </c>
      <c r="D1609" t="inlineStr">
        <is>
          <t>CT-e</t>
        </is>
      </c>
      <c r="E1609" t="inlineStr">
        <is>
          <t>000005278</t>
        </is>
      </c>
      <c r="F1609" t="inlineStr">
        <is>
          <t>R&amp;R TRANSPORTE E LOGISTICA</t>
        </is>
      </c>
      <c r="G1609" s="27" t="n">
        <v>45926</v>
      </c>
      <c r="H1609" s="14" t="n">
        <v>21.18</v>
      </c>
      <c r="I1609" s="14" t="n">
        <v>0</v>
      </c>
      <c r="J1609" s="14" t="n">
        <v>0</v>
      </c>
      <c r="K1609" s="14" t="n">
        <v>0</v>
      </c>
      <c r="L1609" s="14" t="n">
        <v>0</v>
      </c>
      <c r="M1609" s="14">
        <f>IF(B1609="Frete de venda",0,(1-ISNUMBER(SEARCH("556",P1609)))*(I1609*VLOOKUP($B1609,Premissas!$A$4:$E$7,2,0)+J1609*VLOOKUP($B1609,Premissas!$A$4:$E$7,3,0))+K1609*VLOOKUP($B1609,Premissas!$A$4:$E$7,4,0)+L1609*VLOOKUP($B1609,Premissas!$A$4:$E$7,5,0))</f>
        <v/>
      </c>
      <c r="N1609" s="14">
        <f>H1609-M1609</f>
        <v/>
      </c>
      <c r="O1609" t="inlineStr">
        <is>
          <t>Não</t>
        </is>
      </c>
      <c r="P1609" t="inlineStr">
        <is>
          <t>1.350</t>
        </is>
      </c>
    </row>
    <row r="1610">
      <c r="A1610" t="inlineStr">
        <is>
          <t>Antes de 2026</t>
        </is>
      </c>
      <c r="B1610" t="inlineStr">
        <is>
          <t>Frete de venda</t>
        </is>
      </c>
      <c r="C1610" t="inlineStr">
        <is>
          <t>Frete de venda (para clientes)</t>
        </is>
      </c>
      <c r="D1610" t="inlineStr">
        <is>
          <t>CT-e</t>
        </is>
      </c>
      <c r="E1610" t="inlineStr">
        <is>
          <t>000004812</t>
        </is>
      </c>
      <c r="F1610" t="inlineStr">
        <is>
          <t>R&amp;R TRANSPORTE E LOGISTICA</t>
        </is>
      </c>
      <c r="G1610" s="27" t="n">
        <v>45870</v>
      </c>
      <c r="H1610" s="14" t="n">
        <v>44.22</v>
      </c>
      <c r="I1610" s="14" t="n">
        <v>0</v>
      </c>
      <c r="J1610" s="14" t="n">
        <v>0</v>
      </c>
      <c r="K1610" s="14" t="n">
        <v>0</v>
      </c>
      <c r="L1610" s="14" t="n">
        <v>0</v>
      </c>
      <c r="M1610" s="14">
        <f>IF(B1610="Frete de venda",0,(1-ISNUMBER(SEARCH("556",P1610)))*(I1610*VLOOKUP($B1610,Premissas!$A$4:$E$7,2,0)+J1610*VLOOKUP($B1610,Premissas!$A$4:$E$7,3,0))+K1610*VLOOKUP($B1610,Premissas!$A$4:$E$7,4,0)+L1610*VLOOKUP($B1610,Premissas!$A$4:$E$7,5,0))</f>
        <v/>
      </c>
      <c r="N1610" s="14">
        <f>H1610-M1610</f>
        <v/>
      </c>
      <c r="O1610" t="inlineStr">
        <is>
          <t>Não</t>
        </is>
      </c>
      <c r="P1610" t="inlineStr">
        <is>
          <t>1.350</t>
        </is>
      </c>
    </row>
    <row r="1611">
      <c r="A1611" t="inlineStr">
        <is>
          <t>Antes de 2026</t>
        </is>
      </c>
      <c r="B1611" t="inlineStr">
        <is>
          <t>Frete de venda</t>
        </is>
      </c>
      <c r="C1611" t="inlineStr">
        <is>
          <t>Frete de venda (para clientes)</t>
        </is>
      </c>
      <c r="D1611" t="inlineStr">
        <is>
          <t>CT-e</t>
        </is>
      </c>
      <c r="E1611" t="inlineStr">
        <is>
          <t>000005007</t>
        </is>
      </c>
      <c r="F1611" t="inlineStr">
        <is>
          <t>R&amp;R TRANSPORTE E LOGISTICA</t>
        </is>
      </c>
      <c r="G1611" s="27" t="n">
        <v>45895</v>
      </c>
      <c r="H1611" s="14" t="n">
        <v>11.12</v>
      </c>
      <c r="I1611" s="14" t="n">
        <v>0</v>
      </c>
      <c r="J1611" s="14" t="n">
        <v>0</v>
      </c>
      <c r="K1611" s="14" t="n">
        <v>0</v>
      </c>
      <c r="L1611" s="14" t="n">
        <v>0</v>
      </c>
      <c r="M1611" s="14">
        <f>IF(B1611="Frete de venda",0,(1-ISNUMBER(SEARCH("556",P1611)))*(I1611*VLOOKUP($B1611,Premissas!$A$4:$E$7,2,0)+J1611*VLOOKUP($B1611,Premissas!$A$4:$E$7,3,0))+K1611*VLOOKUP($B1611,Premissas!$A$4:$E$7,4,0)+L1611*VLOOKUP($B1611,Premissas!$A$4:$E$7,5,0))</f>
        <v/>
      </c>
      <c r="N1611" s="14">
        <f>H1611-M1611</f>
        <v/>
      </c>
      <c r="O1611" t="inlineStr">
        <is>
          <t>Não</t>
        </is>
      </c>
      <c r="P1611" t="inlineStr">
        <is>
          <t>1.350</t>
        </is>
      </c>
    </row>
    <row r="1612">
      <c r="A1612" t="inlineStr">
        <is>
          <t>Antes de 2026</t>
        </is>
      </c>
      <c r="B1612" t="inlineStr">
        <is>
          <t>Frete de venda</t>
        </is>
      </c>
      <c r="C1612" t="inlineStr">
        <is>
          <t>Frete de venda (para clientes)</t>
        </is>
      </c>
      <c r="D1612" t="inlineStr">
        <is>
          <t>CT-e</t>
        </is>
      </c>
      <c r="E1612" t="inlineStr">
        <is>
          <t>000004629</t>
        </is>
      </c>
      <c r="F1612" t="inlineStr">
        <is>
          <t>R&amp;R TRANSPORTE E LOGISTICA</t>
        </is>
      </c>
      <c r="G1612" s="27" t="n">
        <v>45850</v>
      </c>
      <c r="H1612" s="14" t="n">
        <v>21.44</v>
      </c>
      <c r="I1612" s="14" t="n">
        <v>0</v>
      </c>
      <c r="J1612" s="14" t="n">
        <v>0</v>
      </c>
      <c r="K1612" s="14" t="n">
        <v>0</v>
      </c>
      <c r="L1612" s="14" t="n">
        <v>0</v>
      </c>
      <c r="M1612" s="14">
        <f>IF(B1612="Frete de venda",0,(1-ISNUMBER(SEARCH("556",P1612)))*(I1612*VLOOKUP($B1612,Premissas!$A$4:$E$7,2,0)+J1612*VLOOKUP($B1612,Premissas!$A$4:$E$7,3,0))+K1612*VLOOKUP($B1612,Premissas!$A$4:$E$7,4,0)+L1612*VLOOKUP($B1612,Premissas!$A$4:$E$7,5,0))</f>
        <v/>
      </c>
      <c r="N1612" s="14">
        <f>H1612-M1612</f>
        <v/>
      </c>
      <c r="O1612" t="inlineStr">
        <is>
          <t>Não</t>
        </is>
      </c>
      <c r="P1612" t="inlineStr">
        <is>
          <t>1.350</t>
        </is>
      </c>
    </row>
    <row r="1613">
      <c r="A1613" t="inlineStr">
        <is>
          <t>Antes de 2026</t>
        </is>
      </c>
      <c r="B1613" t="inlineStr">
        <is>
          <t>Frete de venda</t>
        </is>
      </c>
      <c r="C1613" t="inlineStr">
        <is>
          <t>Frete de venda (para clientes)</t>
        </is>
      </c>
      <c r="D1613" t="inlineStr">
        <is>
          <t>CT-e</t>
        </is>
      </c>
      <c r="E1613" t="inlineStr">
        <is>
          <t>000005860</t>
        </is>
      </c>
      <c r="F1613" t="inlineStr">
        <is>
          <t>R&amp;R TRANSPORTE E LOGISTICA</t>
        </is>
      </c>
      <c r="G1613" s="27" t="n">
        <v>45988</v>
      </c>
      <c r="H1613" s="14" t="n">
        <v>11.56</v>
      </c>
      <c r="I1613" s="14" t="n">
        <v>0</v>
      </c>
      <c r="J1613" s="14" t="n">
        <v>0</v>
      </c>
      <c r="K1613" s="14" t="n">
        <v>0</v>
      </c>
      <c r="L1613" s="14" t="n">
        <v>0</v>
      </c>
      <c r="M1613" s="14">
        <f>IF(B1613="Frete de venda",0,(1-ISNUMBER(SEARCH("556",P1613)))*(I1613*VLOOKUP($B1613,Premissas!$A$4:$E$7,2,0)+J1613*VLOOKUP($B1613,Premissas!$A$4:$E$7,3,0))+K1613*VLOOKUP($B1613,Premissas!$A$4:$E$7,4,0)+L1613*VLOOKUP($B1613,Premissas!$A$4:$E$7,5,0))</f>
        <v/>
      </c>
      <c r="N1613" s="14">
        <f>H1613-M1613</f>
        <v/>
      </c>
      <c r="O1613" t="inlineStr">
        <is>
          <t>Não</t>
        </is>
      </c>
      <c r="P1613" t="inlineStr">
        <is>
          <t>1.350</t>
        </is>
      </c>
    </row>
    <row r="1614">
      <c r="A1614" t="inlineStr">
        <is>
          <t>Antes de 2026</t>
        </is>
      </c>
      <c r="B1614" t="inlineStr">
        <is>
          <t>Frete de venda</t>
        </is>
      </c>
      <c r="C1614" t="inlineStr">
        <is>
          <t>Frete de venda (para clientes)</t>
        </is>
      </c>
      <c r="D1614" t="inlineStr">
        <is>
          <t>CT-e</t>
        </is>
      </c>
      <c r="E1614" t="inlineStr">
        <is>
          <t>000004325</t>
        </is>
      </c>
      <c r="F1614" t="inlineStr">
        <is>
          <t>R&amp;R TRANSPORTE E LOGISTICA</t>
        </is>
      </c>
      <c r="G1614" s="27" t="n">
        <v>45806</v>
      </c>
      <c r="H1614" s="14" t="n">
        <v>39.73</v>
      </c>
      <c r="I1614" s="14" t="n">
        <v>0</v>
      </c>
      <c r="J1614" s="14" t="n">
        <v>0</v>
      </c>
      <c r="K1614" s="14" t="n">
        <v>0</v>
      </c>
      <c r="L1614" s="14" t="n">
        <v>0</v>
      </c>
      <c r="M1614" s="14">
        <f>IF(B1614="Frete de venda",0,(1-ISNUMBER(SEARCH("556",P1614)))*(I1614*VLOOKUP($B1614,Premissas!$A$4:$E$7,2,0)+J1614*VLOOKUP($B1614,Premissas!$A$4:$E$7,3,0))+K1614*VLOOKUP($B1614,Premissas!$A$4:$E$7,4,0)+L1614*VLOOKUP($B1614,Premissas!$A$4:$E$7,5,0))</f>
        <v/>
      </c>
      <c r="N1614" s="14">
        <f>H1614-M1614</f>
        <v/>
      </c>
      <c r="O1614" t="inlineStr">
        <is>
          <t>Não</t>
        </is>
      </c>
      <c r="P1614" t="inlineStr">
        <is>
          <t>1.350</t>
        </is>
      </c>
    </row>
    <row r="1615">
      <c r="A1615" t="inlineStr">
        <is>
          <t>Antes de 2026</t>
        </is>
      </c>
      <c r="B1615" t="inlineStr">
        <is>
          <t>Frete de venda</t>
        </is>
      </c>
      <c r="C1615" t="inlineStr">
        <is>
          <t>Frete de venda (para clientes)</t>
        </is>
      </c>
      <c r="D1615" t="inlineStr">
        <is>
          <t>CT-e</t>
        </is>
      </c>
      <c r="E1615" t="inlineStr">
        <is>
          <t>000004377</t>
        </is>
      </c>
      <c r="F1615" t="inlineStr">
        <is>
          <t>R&amp;R TRANSPORTE E LOGISTICA</t>
        </is>
      </c>
      <c r="G1615" s="27" t="n">
        <v>45812</v>
      </c>
      <c r="H1615" s="14" t="n">
        <v>62.79</v>
      </c>
      <c r="I1615" s="14" t="n">
        <v>0</v>
      </c>
      <c r="J1615" s="14" t="n">
        <v>0</v>
      </c>
      <c r="K1615" s="14" t="n">
        <v>0</v>
      </c>
      <c r="L1615" s="14" t="n">
        <v>0</v>
      </c>
      <c r="M1615" s="14">
        <f>IF(B1615="Frete de venda",0,(1-ISNUMBER(SEARCH("556",P1615)))*(I1615*VLOOKUP($B1615,Premissas!$A$4:$E$7,2,0)+J1615*VLOOKUP($B1615,Premissas!$A$4:$E$7,3,0))+K1615*VLOOKUP($B1615,Premissas!$A$4:$E$7,4,0)+L1615*VLOOKUP($B1615,Premissas!$A$4:$E$7,5,0))</f>
        <v/>
      </c>
      <c r="N1615" s="14">
        <f>H1615-M1615</f>
        <v/>
      </c>
      <c r="O1615" t="inlineStr">
        <is>
          <t>Não</t>
        </is>
      </c>
      <c r="P1615" t="inlineStr">
        <is>
          <t>1.350</t>
        </is>
      </c>
    </row>
    <row r="1616">
      <c r="A1616" t="inlineStr">
        <is>
          <t>Antes de 2026</t>
        </is>
      </c>
      <c r="B1616" t="inlineStr">
        <is>
          <t>Frete de venda</t>
        </is>
      </c>
      <c r="C1616" t="inlineStr">
        <is>
          <t>Frete de venda (para clientes)</t>
        </is>
      </c>
      <c r="D1616" t="inlineStr">
        <is>
          <t>CT-e</t>
        </is>
      </c>
      <c r="E1616" t="inlineStr">
        <is>
          <t>000005235</t>
        </is>
      </c>
      <c r="F1616" t="inlineStr">
        <is>
          <t>R&amp;R TRANSPORTE E LOGISTICA</t>
        </is>
      </c>
      <c r="G1616" s="27" t="n">
        <v>45918</v>
      </c>
      <c r="H1616" s="14" t="n">
        <v>30.42</v>
      </c>
      <c r="I1616" s="14" t="n">
        <v>0</v>
      </c>
      <c r="J1616" s="14" t="n">
        <v>0</v>
      </c>
      <c r="K1616" s="14" t="n">
        <v>0</v>
      </c>
      <c r="L1616" s="14" t="n">
        <v>0</v>
      </c>
      <c r="M1616" s="14">
        <f>IF(B1616="Frete de venda",0,(1-ISNUMBER(SEARCH("556",P1616)))*(I1616*VLOOKUP($B1616,Premissas!$A$4:$E$7,2,0)+J1616*VLOOKUP($B1616,Premissas!$A$4:$E$7,3,0))+K1616*VLOOKUP($B1616,Premissas!$A$4:$E$7,4,0)+L1616*VLOOKUP($B1616,Premissas!$A$4:$E$7,5,0))</f>
        <v/>
      </c>
      <c r="N1616" s="14">
        <f>H1616-M1616</f>
        <v/>
      </c>
      <c r="O1616" t="inlineStr">
        <is>
          <t>Não</t>
        </is>
      </c>
      <c r="P1616" t="inlineStr">
        <is>
          <t>1.350</t>
        </is>
      </c>
    </row>
    <row r="1617">
      <c r="A1617" t="inlineStr">
        <is>
          <t>Antes de 2026</t>
        </is>
      </c>
      <c r="B1617" t="inlineStr">
        <is>
          <t>Frete de venda</t>
        </is>
      </c>
      <c r="C1617" t="inlineStr">
        <is>
          <t>Frete de venda (para clientes)</t>
        </is>
      </c>
      <c r="D1617" t="inlineStr">
        <is>
          <t>CT-e</t>
        </is>
      </c>
      <c r="E1617" t="inlineStr">
        <is>
          <t>000005957</t>
        </is>
      </c>
      <c r="F1617" t="inlineStr">
        <is>
          <t>R&amp;R TRANSPORTE E LOGISTICA</t>
        </is>
      </c>
      <c r="G1617" s="27" t="n">
        <v>46002</v>
      </c>
      <c r="H1617" s="14" t="n">
        <v>36.2</v>
      </c>
      <c r="I1617" s="14" t="n">
        <v>0</v>
      </c>
      <c r="J1617" s="14" t="n">
        <v>0</v>
      </c>
      <c r="K1617" s="14" t="n">
        <v>0</v>
      </c>
      <c r="L1617" s="14" t="n">
        <v>0</v>
      </c>
      <c r="M1617" s="14">
        <f>IF(B1617="Frete de venda",0,(1-ISNUMBER(SEARCH("556",P1617)))*(I1617*VLOOKUP($B1617,Premissas!$A$4:$E$7,2,0)+J1617*VLOOKUP($B1617,Premissas!$A$4:$E$7,3,0))+K1617*VLOOKUP($B1617,Premissas!$A$4:$E$7,4,0)+L1617*VLOOKUP($B1617,Premissas!$A$4:$E$7,5,0))</f>
        <v/>
      </c>
      <c r="N1617" s="14">
        <f>H1617-M1617</f>
        <v/>
      </c>
      <c r="O1617" t="inlineStr">
        <is>
          <t>Não</t>
        </is>
      </c>
      <c r="P1617" t="inlineStr">
        <is>
          <t>1.350</t>
        </is>
      </c>
    </row>
    <row r="1618">
      <c r="A1618" t="inlineStr">
        <is>
          <t>Antes de 2026</t>
        </is>
      </c>
      <c r="B1618" t="inlineStr">
        <is>
          <t>Frete de venda</t>
        </is>
      </c>
      <c r="C1618" t="inlineStr">
        <is>
          <t>Frete de venda (para clientes)</t>
        </is>
      </c>
      <c r="D1618" t="inlineStr">
        <is>
          <t>CT-e</t>
        </is>
      </c>
      <c r="E1618" t="inlineStr">
        <is>
          <t>000006038</t>
        </is>
      </c>
      <c r="F1618" t="inlineStr">
        <is>
          <t>R&amp;R TRANSPORTE E LOGISTICA</t>
        </is>
      </c>
      <c r="G1618" s="27" t="n">
        <v>46011</v>
      </c>
      <c r="H1618" s="14" t="n">
        <v>36</v>
      </c>
      <c r="I1618" s="14" t="n">
        <v>0</v>
      </c>
      <c r="J1618" s="14" t="n">
        <v>0</v>
      </c>
      <c r="K1618" s="14" t="n">
        <v>0</v>
      </c>
      <c r="L1618" s="14" t="n">
        <v>0</v>
      </c>
      <c r="M1618" s="14">
        <f>IF(B1618="Frete de venda",0,(1-ISNUMBER(SEARCH("556",P1618)))*(I1618*VLOOKUP($B1618,Premissas!$A$4:$E$7,2,0)+J1618*VLOOKUP($B1618,Premissas!$A$4:$E$7,3,0))+K1618*VLOOKUP($B1618,Premissas!$A$4:$E$7,4,0)+L1618*VLOOKUP($B1618,Premissas!$A$4:$E$7,5,0))</f>
        <v/>
      </c>
      <c r="N1618" s="14">
        <f>H1618-M1618</f>
        <v/>
      </c>
      <c r="O1618" t="inlineStr">
        <is>
          <t>Não</t>
        </is>
      </c>
      <c r="P1618" t="inlineStr">
        <is>
          <t>1.350</t>
        </is>
      </c>
    </row>
    <row r="1619">
      <c r="A1619" t="inlineStr">
        <is>
          <t>Antes de 2026</t>
        </is>
      </c>
      <c r="B1619" t="inlineStr">
        <is>
          <t>Frete de venda</t>
        </is>
      </c>
      <c r="C1619" t="inlineStr">
        <is>
          <t>Frete de venda (para clientes)</t>
        </is>
      </c>
      <c r="D1619" t="inlineStr">
        <is>
          <t>CT-e</t>
        </is>
      </c>
      <c r="E1619" t="inlineStr">
        <is>
          <t>000004718</t>
        </is>
      </c>
      <c r="F1619" t="inlineStr">
        <is>
          <t>R&amp;R TRANSPORTE E LOGISTICA</t>
        </is>
      </c>
      <c r="G1619" s="27" t="n">
        <v>45861</v>
      </c>
      <c r="H1619" s="14" t="n">
        <v>139.78</v>
      </c>
      <c r="I1619" s="14" t="n">
        <v>0</v>
      </c>
      <c r="J1619" s="14" t="n">
        <v>0</v>
      </c>
      <c r="K1619" s="14" t="n">
        <v>0</v>
      </c>
      <c r="L1619" s="14" t="n">
        <v>0</v>
      </c>
      <c r="M1619" s="14">
        <f>IF(B1619="Frete de venda",0,(1-ISNUMBER(SEARCH("556",P1619)))*(I1619*VLOOKUP($B1619,Premissas!$A$4:$E$7,2,0)+J1619*VLOOKUP($B1619,Premissas!$A$4:$E$7,3,0))+K1619*VLOOKUP($B1619,Premissas!$A$4:$E$7,4,0)+L1619*VLOOKUP($B1619,Premissas!$A$4:$E$7,5,0))</f>
        <v/>
      </c>
      <c r="N1619" s="14">
        <f>H1619-M1619</f>
        <v/>
      </c>
      <c r="O1619" t="inlineStr">
        <is>
          <t>Não</t>
        </is>
      </c>
      <c r="P1619" t="inlineStr">
        <is>
          <t>1.350</t>
        </is>
      </c>
    </row>
    <row r="1620">
      <c r="A1620" t="inlineStr">
        <is>
          <t>Antes de 2026</t>
        </is>
      </c>
      <c r="B1620" t="inlineStr">
        <is>
          <t>Frete de venda</t>
        </is>
      </c>
      <c r="C1620" t="inlineStr">
        <is>
          <t>Frete de venda (para clientes)</t>
        </is>
      </c>
      <c r="D1620" t="inlineStr">
        <is>
          <t>CT-e</t>
        </is>
      </c>
      <c r="E1620" t="inlineStr">
        <is>
          <t>000004852</t>
        </is>
      </c>
      <c r="F1620" t="inlineStr">
        <is>
          <t>R&amp;R TRANSPORTE E LOGISTICA</t>
        </is>
      </c>
      <c r="G1620" s="27" t="n">
        <v>45875</v>
      </c>
      <c r="H1620" s="14" t="n">
        <v>469.3</v>
      </c>
      <c r="I1620" s="14" t="n">
        <v>0</v>
      </c>
      <c r="J1620" s="14" t="n">
        <v>0</v>
      </c>
      <c r="K1620" s="14" t="n">
        <v>0</v>
      </c>
      <c r="L1620" s="14" t="n">
        <v>0</v>
      </c>
      <c r="M1620" s="14">
        <f>IF(B1620="Frete de venda",0,(1-ISNUMBER(SEARCH("556",P1620)))*(I1620*VLOOKUP($B1620,Premissas!$A$4:$E$7,2,0)+J1620*VLOOKUP($B1620,Premissas!$A$4:$E$7,3,0))+K1620*VLOOKUP($B1620,Premissas!$A$4:$E$7,4,0)+L1620*VLOOKUP($B1620,Premissas!$A$4:$E$7,5,0))</f>
        <v/>
      </c>
      <c r="N1620" s="14">
        <f>H1620-M1620</f>
        <v/>
      </c>
      <c r="O1620" t="inlineStr">
        <is>
          <t>Não</t>
        </is>
      </c>
      <c r="P1620" t="inlineStr">
        <is>
          <t>1.350</t>
        </is>
      </c>
    </row>
    <row r="1621">
      <c r="A1621" t="inlineStr">
        <is>
          <t>Antes de 2026</t>
        </is>
      </c>
      <c r="B1621" t="inlineStr">
        <is>
          <t>Frete de venda</t>
        </is>
      </c>
      <c r="C1621" t="inlineStr">
        <is>
          <t>Frete de venda (para clientes)</t>
        </is>
      </c>
      <c r="D1621" t="inlineStr">
        <is>
          <t>CT-e</t>
        </is>
      </c>
      <c r="E1621" t="inlineStr">
        <is>
          <t>000005262</t>
        </is>
      </c>
      <c r="F1621" t="inlineStr">
        <is>
          <t>R&amp;R TRANSPORTE E LOGISTICA</t>
        </is>
      </c>
      <c r="G1621" s="27" t="n">
        <v>45922</v>
      </c>
      <c r="H1621" s="14" t="n">
        <v>304.02</v>
      </c>
      <c r="I1621" s="14" t="n">
        <v>0</v>
      </c>
      <c r="J1621" s="14" t="n">
        <v>0</v>
      </c>
      <c r="K1621" s="14" t="n">
        <v>0</v>
      </c>
      <c r="L1621" s="14" t="n">
        <v>0</v>
      </c>
      <c r="M1621" s="14">
        <f>IF(B1621="Frete de venda",0,(1-ISNUMBER(SEARCH("556",P1621)))*(I1621*VLOOKUP($B1621,Premissas!$A$4:$E$7,2,0)+J1621*VLOOKUP($B1621,Premissas!$A$4:$E$7,3,0))+K1621*VLOOKUP($B1621,Premissas!$A$4:$E$7,4,0)+L1621*VLOOKUP($B1621,Premissas!$A$4:$E$7,5,0))</f>
        <v/>
      </c>
      <c r="N1621" s="14">
        <f>H1621-M1621</f>
        <v/>
      </c>
      <c r="O1621" t="inlineStr">
        <is>
          <t>Não</t>
        </is>
      </c>
      <c r="P1621" t="inlineStr">
        <is>
          <t>1.350</t>
        </is>
      </c>
    </row>
    <row r="1622">
      <c r="A1622" t="inlineStr">
        <is>
          <t>Antes de 2026</t>
        </is>
      </c>
      <c r="B1622" t="inlineStr">
        <is>
          <t>Frete de venda</t>
        </is>
      </c>
      <c r="C1622" t="inlineStr">
        <is>
          <t>Frete de venda (para clientes)</t>
        </is>
      </c>
      <c r="D1622" t="inlineStr">
        <is>
          <t>CT-e</t>
        </is>
      </c>
      <c r="E1622" t="inlineStr">
        <is>
          <t>000005878</t>
        </is>
      </c>
      <c r="F1622" t="inlineStr">
        <is>
          <t>R&amp;R TRANSPORTE E LOGISTICA</t>
        </is>
      </c>
      <c r="G1622" s="27" t="n">
        <v>45990</v>
      </c>
      <c r="H1622" s="14" t="n">
        <v>128.56</v>
      </c>
      <c r="I1622" s="14" t="n">
        <v>0</v>
      </c>
      <c r="J1622" s="14" t="n">
        <v>0</v>
      </c>
      <c r="K1622" s="14" t="n">
        <v>0</v>
      </c>
      <c r="L1622" s="14" t="n">
        <v>0</v>
      </c>
      <c r="M1622" s="14">
        <f>IF(B1622="Frete de venda",0,(1-ISNUMBER(SEARCH("556",P1622)))*(I1622*VLOOKUP($B1622,Premissas!$A$4:$E$7,2,0)+J1622*VLOOKUP($B1622,Premissas!$A$4:$E$7,3,0))+K1622*VLOOKUP($B1622,Premissas!$A$4:$E$7,4,0)+L1622*VLOOKUP($B1622,Premissas!$A$4:$E$7,5,0))</f>
        <v/>
      </c>
      <c r="N1622" s="14">
        <f>H1622-M1622</f>
        <v/>
      </c>
      <c r="O1622" t="inlineStr">
        <is>
          <t>Não</t>
        </is>
      </c>
      <c r="P1622" t="inlineStr">
        <is>
          <t>1.350</t>
        </is>
      </c>
    </row>
    <row r="1623">
      <c r="A1623" t="inlineStr">
        <is>
          <t>Antes de 2026</t>
        </is>
      </c>
      <c r="B1623" t="inlineStr">
        <is>
          <t>Frete de venda</t>
        </is>
      </c>
      <c r="C1623" t="inlineStr">
        <is>
          <t>Frete de venda (para clientes)</t>
        </is>
      </c>
      <c r="D1623" t="inlineStr">
        <is>
          <t>CT-e</t>
        </is>
      </c>
      <c r="E1623" t="inlineStr">
        <is>
          <t>000004935</t>
        </is>
      </c>
      <c r="F1623" t="inlineStr">
        <is>
          <t>R&amp;R TRANSPORTE E LOGISTICA</t>
        </is>
      </c>
      <c r="G1623" s="27" t="n">
        <v>45884</v>
      </c>
      <c r="H1623" s="14" t="n">
        <v>14.86</v>
      </c>
      <c r="I1623" s="14" t="n">
        <v>0</v>
      </c>
      <c r="J1623" s="14" t="n">
        <v>0</v>
      </c>
      <c r="K1623" s="14" t="n">
        <v>0</v>
      </c>
      <c r="L1623" s="14" t="n">
        <v>0</v>
      </c>
      <c r="M1623" s="14">
        <f>IF(B1623="Frete de venda",0,(1-ISNUMBER(SEARCH("556",P1623)))*(I1623*VLOOKUP($B1623,Premissas!$A$4:$E$7,2,0)+J1623*VLOOKUP($B1623,Premissas!$A$4:$E$7,3,0))+K1623*VLOOKUP($B1623,Premissas!$A$4:$E$7,4,0)+L1623*VLOOKUP($B1623,Premissas!$A$4:$E$7,5,0))</f>
        <v/>
      </c>
      <c r="N1623" s="14">
        <f>H1623-M1623</f>
        <v/>
      </c>
      <c r="O1623" t="inlineStr">
        <is>
          <t>Não</t>
        </is>
      </c>
      <c r="P1623" t="inlineStr">
        <is>
          <t>1.350</t>
        </is>
      </c>
    </row>
    <row r="1624">
      <c r="A1624" t="inlineStr">
        <is>
          <t>Antes de 2026</t>
        </is>
      </c>
      <c r="B1624" t="inlineStr">
        <is>
          <t>Frete de venda</t>
        </is>
      </c>
      <c r="C1624" t="inlineStr">
        <is>
          <t>Frete de venda (para clientes)</t>
        </is>
      </c>
      <c r="D1624" t="inlineStr">
        <is>
          <t>CT-e</t>
        </is>
      </c>
      <c r="E1624" t="inlineStr">
        <is>
          <t>000006070</t>
        </is>
      </c>
      <c r="F1624" t="inlineStr">
        <is>
          <t>R&amp;R TRANSPORTE E LOGISTICA</t>
        </is>
      </c>
      <c r="G1624" s="27" t="n">
        <v>46021</v>
      </c>
      <c r="H1624" s="14" t="n">
        <v>15.1</v>
      </c>
      <c r="I1624" s="14" t="n">
        <v>0</v>
      </c>
      <c r="J1624" s="14" t="n">
        <v>0</v>
      </c>
      <c r="K1624" s="14" t="n">
        <v>0</v>
      </c>
      <c r="L1624" s="14" t="n">
        <v>0</v>
      </c>
      <c r="M1624" s="14">
        <f>IF(B1624="Frete de venda",0,(1-ISNUMBER(SEARCH("556",P1624)))*(I1624*VLOOKUP($B1624,Premissas!$A$4:$E$7,2,0)+J1624*VLOOKUP($B1624,Premissas!$A$4:$E$7,3,0))+K1624*VLOOKUP($B1624,Premissas!$A$4:$E$7,4,0)+L1624*VLOOKUP($B1624,Premissas!$A$4:$E$7,5,0))</f>
        <v/>
      </c>
      <c r="N1624" s="14">
        <f>H1624-M1624</f>
        <v/>
      </c>
      <c r="O1624" t="inlineStr">
        <is>
          <t>Não</t>
        </is>
      </c>
      <c r="P1624" t="inlineStr">
        <is>
          <t>1.350</t>
        </is>
      </c>
    </row>
    <row r="1625">
      <c r="A1625" t="inlineStr">
        <is>
          <t>Antes de 2026</t>
        </is>
      </c>
      <c r="B1625" t="inlineStr">
        <is>
          <t>Frete de venda</t>
        </is>
      </c>
      <c r="C1625" t="inlineStr">
        <is>
          <t>Frete de venda (para clientes)</t>
        </is>
      </c>
      <c r="D1625" t="inlineStr">
        <is>
          <t>CT-e</t>
        </is>
      </c>
      <c r="E1625" t="inlineStr">
        <is>
          <t>000005687</t>
        </is>
      </c>
      <c r="F1625" t="inlineStr">
        <is>
          <t>R&amp;R TRANSPORTE E LOGISTICA</t>
        </is>
      </c>
      <c r="G1625" s="27" t="n">
        <v>45967</v>
      </c>
      <c r="H1625" s="14" t="n">
        <v>17</v>
      </c>
      <c r="I1625" s="14" t="n">
        <v>0</v>
      </c>
      <c r="J1625" s="14" t="n">
        <v>0</v>
      </c>
      <c r="K1625" s="14" t="n">
        <v>0</v>
      </c>
      <c r="L1625" s="14" t="n">
        <v>0</v>
      </c>
      <c r="M1625" s="14">
        <f>IF(B1625="Frete de venda",0,(1-ISNUMBER(SEARCH("556",P1625)))*(I1625*VLOOKUP($B1625,Premissas!$A$4:$E$7,2,0)+J1625*VLOOKUP($B1625,Premissas!$A$4:$E$7,3,0))+K1625*VLOOKUP($B1625,Premissas!$A$4:$E$7,4,0)+L1625*VLOOKUP($B1625,Premissas!$A$4:$E$7,5,0))</f>
        <v/>
      </c>
      <c r="N1625" s="14">
        <f>H1625-M1625</f>
        <v/>
      </c>
      <c r="O1625" t="inlineStr">
        <is>
          <t>Não</t>
        </is>
      </c>
      <c r="P1625" t="inlineStr">
        <is>
          <t>1.350</t>
        </is>
      </c>
    </row>
    <row r="1626">
      <c r="A1626" t="inlineStr">
        <is>
          <t>Antes de 2026</t>
        </is>
      </c>
      <c r="B1626" t="inlineStr">
        <is>
          <t>Frete de venda</t>
        </is>
      </c>
      <c r="C1626" t="inlineStr">
        <is>
          <t>Frete de venda (para clientes)</t>
        </is>
      </c>
      <c r="D1626" t="inlineStr">
        <is>
          <t>CT-e</t>
        </is>
      </c>
      <c r="E1626" t="inlineStr">
        <is>
          <t>000005135</t>
        </is>
      </c>
      <c r="F1626" t="inlineStr">
        <is>
          <t>R&amp;R TRANSPORTE E LOGISTICA</t>
        </is>
      </c>
      <c r="G1626" s="27" t="n">
        <v>45908</v>
      </c>
      <c r="H1626" s="14" t="n">
        <v>29.04</v>
      </c>
      <c r="I1626" s="14" t="n">
        <v>0</v>
      </c>
      <c r="J1626" s="14" t="n">
        <v>0</v>
      </c>
      <c r="K1626" s="14" t="n">
        <v>0</v>
      </c>
      <c r="L1626" s="14" t="n">
        <v>0</v>
      </c>
      <c r="M1626" s="14">
        <f>IF(B1626="Frete de venda",0,(1-ISNUMBER(SEARCH("556",P1626)))*(I1626*VLOOKUP($B1626,Premissas!$A$4:$E$7,2,0)+J1626*VLOOKUP($B1626,Premissas!$A$4:$E$7,3,0))+K1626*VLOOKUP($B1626,Premissas!$A$4:$E$7,4,0)+L1626*VLOOKUP($B1626,Premissas!$A$4:$E$7,5,0))</f>
        <v/>
      </c>
      <c r="N1626" s="14">
        <f>H1626-M1626</f>
        <v/>
      </c>
      <c r="O1626" t="inlineStr">
        <is>
          <t>Não</t>
        </is>
      </c>
      <c r="P1626" t="inlineStr">
        <is>
          <t>1.350</t>
        </is>
      </c>
    </row>
    <row r="1627">
      <c r="A1627" t="inlineStr">
        <is>
          <t>Antes de 2026</t>
        </is>
      </c>
      <c r="B1627" t="inlineStr">
        <is>
          <t>Frete de venda</t>
        </is>
      </c>
      <c r="C1627" t="inlineStr">
        <is>
          <t>Frete de venda (para clientes)</t>
        </is>
      </c>
      <c r="D1627" t="inlineStr">
        <is>
          <t>CT-e</t>
        </is>
      </c>
      <c r="E1627" t="inlineStr">
        <is>
          <t>000005892</t>
        </is>
      </c>
      <c r="F1627" t="inlineStr">
        <is>
          <t>R&amp;R TRANSPORTE E LOGISTICA</t>
        </is>
      </c>
      <c r="G1627" s="27" t="n">
        <v>45993</v>
      </c>
      <c r="H1627" s="14" t="n">
        <v>23.87</v>
      </c>
      <c r="I1627" s="14" t="n">
        <v>0</v>
      </c>
      <c r="J1627" s="14" t="n">
        <v>0</v>
      </c>
      <c r="K1627" s="14" t="n">
        <v>0</v>
      </c>
      <c r="L1627" s="14" t="n">
        <v>0</v>
      </c>
      <c r="M1627" s="14">
        <f>IF(B1627="Frete de venda",0,(1-ISNUMBER(SEARCH("556",P1627)))*(I1627*VLOOKUP($B1627,Premissas!$A$4:$E$7,2,0)+J1627*VLOOKUP($B1627,Premissas!$A$4:$E$7,3,0))+K1627*VLOOKUP($B1627,Premissas!$A$4:$E$7,4,0)+L1627*VLOOKUP($B1627,Premissas!$A$4:$E$7,5,0))</f>
        <v/>
      </c>
      <c r="N1627" s="14">
        <f>H1627-M1627</f>
        <v/>
      </c>
      <c r="O1627" t="inlineStr">
        <is>
          <t>Não</t>
        </is>
      </c>
      <c r="P1627" t="inlineStr">
        <is>
          <t>1.350</t>
        </is>
      </c>
    </row>
    <row r="1628">
      <c r="A1628" t="inlineStr">
        <is>
          <t>Antes de 2026</t>
        </is>
      </c>
      <c r="B1628" t="inlineStr">
        <is>
          <t>Frete de venda</t>
        </is>
      </c>
      <c r="C1628" t="inlineStr">
        <is>
          <t>Frete de venda (para clientes)</t>
        </is>
      </c>
      <c r="D1628" t="inlineStr">
        <is>
          <t>CT-e</t>
        </is>
      </c>
      <c r="E1628" t="inlineStr">
        <is>
          <t>000005002</t>
        </is>
      </c>
      <c r="F1628" t="inlineStr">
        <is>
          <t>R&amp;R TRANSPORTE E LOGISTICA</t>
        </is>
      </c>
      <c r="G1628" s="27" t="n">
        <v>45894</v>
      </c>
      <c r="H1628" s="14" t="n">
        <v>35.49</v>
      </c>
      <c r="I1628" s="14" t="n">
        <v>0</v>
      </c>
      <c r="J1628" s="14" t="n">
        <v>0</v>
      </c>
      <c r="K1628" s="14" t="n">
        <v>0</v>
      </c>
      <c r="L1628" s="14" t="n">
        <v>0</v>
      </c>
      <c r="M1628" s="14">
        <f>IF(B1628="Frete de venda",0,(1-ISNUMBER(SEARCH("556",P1628)))*(I1628*VLOOKUP($B1628,Premissas!$A$4:$E$7,2,0)+J1628*VLOOKUP($B1628,Premissas!$A$4:$E$7,3,0))+K1628*VLOOKUP($B1628,Premissas!$A$4:$E$7,4,0)+L1628*VLOOKUP($B1628,Premissas!$A$4:$E$7,5,0))</f>
        <v/>
      </c>
      <c r="N1628" s="14">
        <f>H1628-M1628</f>
        <v/>
      </c>
      <c r="O1628" t="inlineStr">
        <is>
          <t>Não</t>
        </is>
      </c>
      <c r="P1628" t="inlineStr">
        <is>
          <t>1.350</t>
        </is>
      </c>
    </row>
    <row r="1629">
      <c r="A1629" t="inlineStr">
        <is>
          <t>Antes de 2026</t>
        </is>
      </c>
      <c r="B1629" t="inlineStr">
        <is>
          <t>Frete de venda</t>
        </is>
      </c>
      <c r="C1629" t="inlineStr">
        <is>
          <t>Frete de venda (para clientes)</t>
        </is>
      </c>
      <c r="D1629" t="inlineStr">
        <is>
          <t>CT-e</t>
        </is>
      </c>
      <c r="E1629" t="inlineStr">
        <is>
          <t>000005583</t>
        </is>
      </c>
      <c r="F1629" t="inlineStr">
        <is>
          <t>R&amp;R TRANSPORTE E LOGISTICA</t>
        </is>
      </c>
      <c r="G1629" s="27" t="n">
        <v>45957</v>
      </c>
      <c r="H1629" s="14" t="n">
        <v>34.03</v>
      </c>
      <c r="I1629" s="14" t="n">
        <v>0</v>
      </c>
      <c r="J1629" s="14" t="n">
        <v>0</v>
      </c>
      <c r="K1629" s="14" t="n">
        <v>0</v>
      </c>
      <c r="L1629" s="14" t="n">
        <v>0</v>
      </c>
      <c r="M1629" s="14">
        <f>IF(B1629="Frete de venda",0,(1-ISNUMBER(SEARCH("556",P1629)))*(I1629*VLOOKUP($B1629,Premissas!$A$4:$E$7,2,0)+J1629*VLOOKUP($B1629,Premissas!$A$4:$E$7,3,0))+K1629*VLOOKUP($B1629,Premissas!$A$4:$E$7,4,0)+L1629*VLOOKUP($B1629,Premissas!$A$4:$E$7,5,0))</f>
        <v/>
      </c>
      <c r="N1629" s="14">
        <f>H1629-M1629</f>
        <v/>
      </c>
      <c r="O1629" t="inlineStr">
        <is>
          <t>Não</t>
        </is>
      </c>
      <c r="P1629" t="inlineStr">
        <is>
          <t>1.350</t>
        </is>
      </c>
    </row>
    <row r="1630">
      <c r="A1630" t="inlineStr">
        <is>
          <t>Antes de 2026</t>
        </is>
      </c>
      <c r="B1630" t="inlineStr">
        <is>
          <t>Frete de venda</t>
        </is>
      </c>
      <c r="C1630" t="inlineStr">
        <is>
          <t>Frete de venda (para clientes)</t>
        </is>
      </c>
      <c r="D1630" t="inlineStr">
        <is>
          <t>CT-e</t>
        </is>
      </c>
      <c r="E1630" t="inlineStr">
        <is>
          <t>000004684</t>
        </is>
      </c>
      <c r="F1630" t="inlineStr">
        <is>
          <t>R&amp;R TRANSPORTE E LOGISTICA</t>
        </is>
      </c>
      <c r="G1630" s="27" t="n">
        <v>45856</v>
      </c>
      <c r="H1630" s="14" t="n">
        <v>30.38</v>
      </c>
      <c r="I1630" s="14" t="n">
        <v>0</v>
      </c>
      <c r="J1630" s="14" t="n">
        <v>0</v>
      </c>
      <c r="K1630" s="14" t="n">
        <v>0</v>
      </c>
      <c r="L1630" s="14" t="n">
        <v>0</v>
      </c>
      <c r="M1630" s="14">
        <f>IF(B1630="Frete de venda",0,(1-ISNUMBER(SEARCH("556",P1630)))*(I1630*VLOOKUP($B1630,Premissas!$A$4:$E$7,2,0)+J1630*VLOOKUP($B1630,Premissas!$A$4:$E$7,3,0))+K1630*VLOOKUP($B1630,Premissas!$A$4:$E$7,4,0)+L1630*VLOOKUP($B1630,Premissas!$A$4:$E$7,5,0))</f>
        <v/>
      </c>
      <c r="N1630" s="14">
        <f>H1630-M1630</f>
        <v/>
      </c>
      <c r="O1630" t="inlineStr">
        <is>
          <t>Não</t>
        </is>
      </c>
      <c r="P1630" t="inlineStr">
        <is>
          <t>1.350</t>
        </is>
      </c>
    </row>
    <row r="1631">
      <c r="A1631" t="inlineStr">
        <is>
          <t>Antes de 2026</t>
        </is>
      </c>
      <c r="B1631" t="inlineStr">
        <is>
          <t>Frete de venda</t>
        </is>
      </c>
      <c r="C1631" t="inlineStr">
        <is>
          <t>Frete de venda (para clientes)</t>
        </is>
      </c>
      <c r="D1631" t="inlineStr">
        <is>
          <t>CT-e</t>
        </is>
      </c>
      <c r="E1631" t="inlineStr">
        <is>
          <t>000005352</t>
        </is>
      </c>
      <c r="F1631" t="inlineStr">
        <is>
          <t>R&amp;R TRANSPORTE E LOGISTICA</t>
        </is>
      </c>
      <c r="G1631" s="27" t="n">
        <v>45929</v>
      </c>
      <c r="H1631" s="14" t="n">
        <v>21.42</v>
      </c>
      <c r="I1631" s="14" t="n">
        <v>0</v>
      </c>
      <c r="J1631" s="14" t="n">
        <v>0</v>
      </c>
      <c r="K1631" s="14" t="n">
        <v>0</v>
      </c>
      <c r="L1631" s="14" t="n">
        <v>0</v>
      </c>
      <c r="M1631" s="14">
        <f>IF(B1631="Frete de venda",0,(1-ISNUMBER(SEARCH("556",P1631)))*(I1631*VLOOKUP($B1631,Premissas!$A$4:$E$7,2,0)+J1631*VLOOKUP($B1631,Premissas!$A$4:$E$7,3,0))+K1631*VLOOKUP($B1631,Premissas!$A$4:$E$7,4,0)+L1631*VLOOKUP($B1631,Premissas!$A$4:$E$7,5,0))</f>
        <v/>
      </c>
      <c r="N1631" s="14">
        <f>H1631-M1631</f>
        <v/>
      </c>
      <c r="O1631" t="inlineStr">
        <is>
          <t>Não</t>
        </is>
      </c>
      <c r="P1631" t="inlineStr">
        <is>
          <t>1.350</t>
        </is>
      </c>
    </row>
    <row r="1632">
      <c r="A1632" t="inlineStr">
        <is>
          <t>Antes de 2026</t>
        </is>
      </c>
      <c r="B1632" t="inlineStr">
        <is>
          <t>Frete de venda</t>
        </is>
      </c>
      <c r="C1632" t="inlineStr">
        <is>
          <t>Frete de venda (para clientes)</t>
        </is>
      </c>
      <c r="D1632" t="inlineStr">
        <is>
          <t>CT-e</t>
        </is>
      </c>
      <c r="E1632" t="inlineStr">
        <is>
          <t>000005388</t>
        </is>
      </c>
      <c r="F1632" t="inlineStr">
        <is>
          <t>R&amp;R TRANSPORTE E LOGISTICA</t>
        </is>
      </c>
      <c r="G1632" s="27" t="n">
        <v>45933</v>
      </c>
      <c r="H1632" s="14" t="n">
        <v>48.06</v>
      </c>
      <c r="I1632" s="14" t="n">
        <v>0</v>
      </c>
      <c r="J1632" s="14" t="n">
        <v>0</v>
      </c>
      <c r="K1632" s="14" t="n">
        <v>0</v>
      </c>
      <c r="L1632" s="14" t="n">
        <v>0</v>
      </c>
      <c r="M1632" s="14">
        <f>IF(B1632="Frete de venda",0,(1-ISNUMBER(SEARCH("556",P1632)))*(I1632*VLOOKUP($B1632,Premissas!$A$4:$E$7,2,0)+J1632*VLOOKUP($B1632,Premissas!$A$4:$E$7,3,0))+K1632*VLOOKUP($B1632,Premissas!$A$4:$E$7,4,0)+L1632*VLOOKUP($B1632,Premissas!$A$4:$E$7,5,0))</f>
        <v/>
      </c>
      <c r="N1632" s="14">
        <f>H1632-M1632</f>
        <v/>
      </c>
      <c r="O1632" t="inlineStr">
        <is>
          <t>Não</t>
        </is>
      </c>
      <c r="P1632" t="inlineStr">
        <is>
          <t>1.350</t>
        </is>
      </c>
    </row>
    <row r="1633">
      <c r="A1633" t="inlineStr">
        <is>
          <t>Antes de 2026</t>
        </is>
      </c>
      <c r="B1633" t="inlineStr">
        <is>
          <t>Frete de venda</t>
        </is>
      </c>
      <c r="C1633" t="inlineStr">
        <is>
          <t>Frete de venda (para clientes)</t>
        </is>
      </c>
      <c r="D1633" t="inlineStr">
        <is>
          <t>CT-e</t>
        </is>
      </c>
      <c r="E1633" t="inlineStr">
        <is>
          <t>000005851</t>
        </is>
      </c>
      <c r="F1633" t="inlineStr">
        <is>
          <t>R&amp;R TRANSPORTE E LOGISTICA</t>
        </is>
      </c>
      <c r="G1633" s="27" t="n">
        <v>45988</v>
      </c>
      <c r="H1633" s="14" t="n">
        <v>12.53</v>
      </c>
      <c r="I1633" s="14" t="n">
        <v>0</v>
      </c>
      <c r="J1633" s="14" t="n">
        <v>0</v>
      </c>
      <c r="K1633" s="14" t="n">
        <v>0</v>
      </c>
      <c r="L1633" s="14" t="n">
        <v>0</v>
      </c>
      <c r="M1633" s="14">
        <f>IF(B1633="Frete de venda",0,(1-ISNUMBER(SEARCH("556",P1633)))*(I1633*VLOOKUP($B1633,Premissas!$A$4:$E$7,2,0)+J1633*VLOOKUP($B1633,Premissas!$A$4:$E$7,3,0))+K1633*VLOOKUP($B1633,Premissas!$A$4:$E$7,4,0)+L1633*VLOOKUP($B1633,Premissas!$A$4:$E$7,5,0))</f>
        <v/>
      </c>
      <c r="N1633" s="14">
        <f>H1633-M1633</f>
        <v/>
      </c>
      <c r="O1633" t="inlineStr">
        <is>
          <t>Não</t>
        </is>
      </c>
      <c r="P1633" t="inlineStr">
        <is>
          <t>1.350</t>
        </is>
      </c>
    </row>
    <row r="1634">
      <c r="A1634" t="inlineStr">
        <is>
          <t>Antes de 2026</t>
        </is>
      </c>
      <c r="B1634" t="inlineStr">
        <is>
          <t>Frete de venda</t>
        </is>
      </c>
      <c r="C1634" t="inlineStr">
        <is>
          <t>Frete de venda (para clientes)</t>
        </is>
      </c>
      <c r="D1634" t="inlineStr">
        <is>
          <t>CT-e</t>
        </is>
      </c>
      <c r="E1634" t="inlineStr">
        <is>
          <t>000004671</t>
        </is>
      </c>
      <c r="F1634" t="inlineStr">
        <is>
          <t>R&amp;R TRANSPORTE E LOGISTICA</t>
        </is>
      </c>
      <c r="G1634" s="27" t="n">
        <v>45855</v>
      </c>
      <c r="H1634" s="14" t="n">
        <v>47.04</v>
      </c>
      <c r="I1634" s="14" t="n">
        <v>0</v>
      </c>
      <c r="J1634" s="14" t="n">
        <v>0</v>
      </c>
      <c r="K1634" s="14" t="n">
        <v>0</v>
      </c>
      <c r="L1634" s="14" t="n">
        <v>0</v>
      </c>
      <c r="M1634" s="14">
        <f>IF(B1634="Frete de venda",0,(1-ISNUMBER(SEARCH("556",P1634)))*(I1634*VLOOKUP($B1634,Premissas!$A$4:$E$7,2,0)+J1634*VLOOKUP($B1634,Premissas!$A$4:$E$7,3,0))+K1634*VLOOKUP($B1634,Premissas!$A$4:$E$7,4,0)+L1634*VLOOKUP($B1634,Premissas!$A$4:$E$7,5,0))</f>
        <v/>
      </c>
      <c r="N1634" s="14">
        <f>H1634-M1634</f>
        <v/>
      </c>
      <c r="O1634" t="inlineStr">
        <is>
          <t>Não</t>
        </is>
      </c>
      <c r="P1634" t="inlineStr">
        <is>
          <t>1.350</t>
        </is>
      </c>
    </row>
    <row r="1635">
      <c r="A1635" t="inlineStr">
        <is>
          <t>Antes de 2026</t>
        </is>
      </c>
      <c r="B1635" t="inlineStr">
        <is>
          <t>Frete de venda</t>
        </is>
      </c>
      <c r="C1635" t="inlineStr">
        <is>
          <t>Frete de venda (para clientes)</t>
        </is>
      </c>
      <c r="D1635" t="inlineStr">
        <is>
          <t>CT-e</t>
        </is>
      </c>
      <c r="E1635" t="inlineStr">
        <is>
          <t>000005068</t>
        </is>
      </c>
      <c r="F1635" t="inlineStr">
        <is>
          <t>R&amp;R TRANSPORTE E LOGISTICA</t>
        </is>
      </c>
      <c r="G1635" s="27" t="n">
        <v>45897</v>
      </c>
      <c r="H1635" s="14" t="n">
        <v>42.17</v>
      </c>
      <c r="I1635" s="14" t="n">
        <v>0</v>
      </c>
      <c r="J1635" s="14" t="n">
        <v>0</v>
      </c>
      <c r="K1635" s="14" t="n">
        <v>0</v>
      </c>
      <c r="L1635" s="14" t="n">
        <v>0</v>
      </c>
      <c r="M1635" s="14">
        <f>IF(B1635="Frete de venda",0,(1-ISNUMBER(SEARCH("556",P1635)))*(I1635*VLOOKUP($B1635,Premissas!$A$4:$E$7,2,0)+J1635*VLOOKUP($B1635,Premissas!$A$4:$E$7,3,0))+K1635*VLOOKUP($B1635,Premissas!$A$4:$E$7,4,0)+L1635*VLOOKUP($B1635,Premissas!$A$4:$E$7,5,0))</f>
        <v/>
      </c>
      <c r="N1635" s="14">
        <f>H1635-M1635</f>
        <v/>
      </c>
      <c r="O1635" t="inlineStr">
        <is>
          <t>Não</t>
        </is>
      </c>
      <c r="P1635" t="inlineStr">
        <is>
          <t>1.350</t>
        </is>
      </c>
    </row>
    <row r="1636">
      <c r="A1636" t="inlineStr">
        <is>
          <t>Antes de 2026</t>
        </is>
      </c>
      <c r="B1636" t="inlineStr">
        <is>
          <t>Frete de venda</t>
        </is>
      </c>
      <c r="C1636" t="inlineStr">
        <is>
          <t>Frete de venda (para clientes)</t>
        </is>
      </c>
      <c r="D1636" t="inlineStr">
        <is>
          <t>CT-e</t>
        </is>
      </c>
      <c r="E1636" t="inlineStr">
        <is>
          <t>000005900</t>
        </is>
      </c>
      <c r="F1636" t="inlineStr">
        <is>
          <t>R&amp;R TRANSPORTE E LOGISTICA</t>
        </is>
      </c>
      <c r="G1636" s="27" t="n">
        <v>45993</v>
      </c>
      <c r="H1636" s="14" t="n">
        <v>51.13</v>
      </c>
      <c r="I1636" s="14" t="n">
        <v>0</v>
      </c>
      <c r="J1636" s="14" t="n">
        <v>0</v>
      </c>
      <c r="K1636" s="14" t="n">
        <v>0</v>
      </c>
      <c r="L1636" s="14" t="n">
        <v>0</v>
      </c>
      <c r="M1636" s="14">
        <f>IF(B1636="Frete de venda",0,(1-ISNUMBER(SEARCH("556",P1636)))*(I1636*VLOOKUP($B1636,Premissas!$A$4:$E$7,2,0)+J1636*VLOOKUP($B1636,Premissas!$A$4:$E$7,3,0))+K1636*VLOOKUP($B1636,Premissas!$A$4:$E$7,4,0)+L1636*VLOOKUP($B1636,Premissas!$A$4:$E$7,5,0))</f>
        <v/>
      </c>
      <c r="N1636" s="14">
        <f>H1636-M1636</f>
        <v/>
      </c>
      <c r="O1636" t="inlineStr">
        <is>
          <t>Não</t>
        </is>
      </c>
      <c r="P1636" t="inlineStr">
        <is>
          <t>1.350</t>
        </is>
      </c>
    </row>
    <row r="1637">
      <c r="A1637" t="inlineStr">
        <is>
          <t>Antes de 2026</t>
        </is>
      </c>
      <c r="B1637" t="inlineStr">
        <is>
          <t>Frete de venda</t>
        </is>
      </c>
      <c r="C1637" t="inlineStr">
        <is>
          <t>Frete de venda (para clientes)</t>
        </is>
      </c>
      <c r="D1637" t="inlineStr">
        <is>
          <t>CT-e</t>
        </is>
      </c>
      <c r="E1637" t="inlineStr">
        <is>
          <t>000004520</t>
        </is>
      </c>
      <c r="F1637" t="inlineStr">
        <is>
          <t>R&amp;R TRANSPORTE E LOGISTICA</t>
        </is>
      </c>
      <c r="G1637" s="27" t="n">
        <v>45835</v>
      </c>
      <c r="H1637" s="14" t="n">
        <v>51.15</v>
      </c>
      <c r="I1637" s="14" t="n">
        <v>0</v>
      </c>
      <c r="J1637" s="14" t="n">
        <v>0</v>
      </c>
      <c r="K1637" s="14" t="n">
        <v>0</v>
      </c>
      <c r="L1637" s="14" t="n">
        <v>0</v>
      </c>
      <c r="M1637" s="14">
        <f>IF(B1637="Frete de venda",0,(1-ISNUMBER(SEARCH("556",P1637)))*(I1637*VLOOKUP($B1637,Premissas!$A$4:$E$7,2,0)+J1637*VLOOKUP($B1637,Premissas!$A$4:$E$7,3,0))+K1637*VLOOKUP($B1637,Premissas!$A$4:$E$7,4,0)+L1637*VLOOKUP($B1637,Premissas!$A$4:$E$7,5,0))</f>
        <v/>
      </c>
      <c r="N1637" s="14">
        <f>H1637-M1637</f>
        <v/>
      </c>
      <c r="O1637" t="inlineStr">
        <is>
          <t>Não</t>
        </is>
      </c>
      <c r="P1637" t="inlineStr">
        <is>
          <t>1.350</t>
        </is>
      </c>
    </row>
    <row r="1638">
      <c r="A1638" t="inlineStr">
        <is>
          <t>Antes de 2026</t>
        </is>
      </c>
      <c r="B1638" t="inlineStr">
        <is>
          <t>Frete de venda</t>
        </is>
      </c>
      <c r="C1638" t="inlineStr">
        <is>
          <t>Frete de venda (para clientes)</t>
        </is>
      </c>
      <c r="D1638" t="inlineStr">
        <is>
          <t>CT-e</t>
        </is>
      </c>
      <c r="E1638" t="inlineStr">
        <is>
          <t>000004347</t>
        </is>
      </c>
      <c r="F1638" t="inlineStr">
        <is>
          <t>R&amp;R TRANSPORTE E LOGISTICA</t>
        </is>
      </c>
      <c r="G1638" s="27" t="n">
        <v>45807</v>
      </c>
      <c r="H1638" s="14" t="n">
        <v>58.05</v>
      </c>
      <c r="I1638" s="14" t="n">
        <v>0</v>
      </c>
      <c r="J1638" s="14" t="n">
        <v>0</v>
      </c>
      <c r="K1638" s="14" t="n">
        <v>0</v>
      </c>
      <c r="L1638" s="14" t="n">
        <v>0</v>
      </c>
      <c r="M1638" s="14">
        <f>IF(B1638="Frete de venda",0,(1-ISNUMBER(SEARCH("556",P1638)))*(I1638*VLOOKUP($B1638,Premissas!$A$4:$E$7,2,0)+J1638*VLOOKUP($B1638,Premissas!$A$4:$E$7,3,0))+K1638*VLOOKUP($B1638,Premissas!$A$4:$E$7,4,0)+L1638*VLOOKUP($B1638,Premissas!$A$4:$E$7,5,0))</f>
        <v/>
      </c>
      <c r="N1638" s="14">
        <f>H1638-M1638</f>
        <v/>
      </c>
      <c r="O1638" t="inlineStr">
        <is>
          <t>Não</t>
        </is>
      </c>
      <c r="P1638" t="inlineStr">
        <is>
          <t>1.350</t>
        </is>
      </c>
    </row>
    <row r="1639">
      <c r="A1639" t="inlineStr">
        <is>
          <t>Antes de 2026</t>
        </is>
      </c>
      <c r="B1639" t="inlineStr">
        <is>
          <t>Frete de venda</t>
        </is>
      </c>
      <c r="C1639" t="inlineStr">
        <is>
          <t>Frete de venda (para clientes)</t>
        </is>
      </c>
      <c r="D1639" t="inlineStr">
        <is>
          <t>CT-e</t>
        </is>
      </c>
      <c r="E1639" t="inlineStr">
        <is>
          <t>000004344</t>
        </is>
      </c>
      <c r="F1639" t="inlineStr">
        <is>
          <t>R&amp;R TRANSPORTE E LOGISTICA</t>
        </is>
      </c>
      <c r="G1639" s="27" t="n">
        <v>45807</v>
      </c>
      <c r="H1639" s="14" t="n">
        <v>46.44</v>
      </c>
      <c r="I1639" s="14" t="n">
        <v>0</v>
      </c>
      <c r="J1639" s="14" t="n">
        <v>0</v>
      </c>
      <c r="K1639" s="14" t="n">
        <v>0</v>
      </c>
      <c r="L1639" s="14" t="n">
        <v>0</v>
      </c>
      <c r="M1639" s="14">
        <f>IF(B1639="Frete de venda",0,(1-ISNUMBER(SEARCH("556",P1639)))*(I1639*VLOOKUP($B1639,Premissas!$A$4:$E$7,2,0)+J1639*VLOOKUP($B1639,Premissas!$A$4:$E$7,3,0))+K1639*VLOOKUP($B1639,Premissas!$A$4:$E$7,4,0)+L1639*VLOOKUP($B1639,Premissas!$A$4:$E$7,5,0))</f>
        <v/>
      </c>
      <c r="N1639" s="14">
        <f>H1639-M1639</f>
        <v/>
      </c>
      <c r="O1639" t="inlineStr">
        <is>
          <t>Não</t>
        </is>
      </c>
      <c r="P1639" t="inlineStr">
        <is>
          <t>1.350</t>
        </is>
      </c>
    </row>
    <row r="1640">
      <c r="A1640" t="inlineStr">
        <is>
          <t>Antes de 2026</t>
        </is>
      </c>
      <c r="B1640" t="inlineStr">
        <is>
          <t>Frete de venda</t>
        </is>
      </c>
      <c r="C1640" t="inlineStr">
        <is>
          <t>Frete de venda (para clientes)</t>
        </is>
      </c>
      <c r="D1640" t="inlineStr">
        <is>
          <t>CT-e</t>
        </is>
      </c>
      <c r="E1640" t="inlineStr">
        <is>
          <t>000004787</t>
        </is>
      </c>
      <c r="F1640" t="inlineStr">
        <is>
          <t>R&amp;R TRANSPORTE E LOGISTICA</t>
        </is>
      </c>
      <c r="G1640" s="27" t="n">
        <v>45868</v>
      </c>
      <c r="H1640" s="14" t="n">
        <v>124.47</v>
      </c>
      <c r="I1640" s="14" t="n">
        <v>0</v>
      </c>
      <c r="J1640" s="14" t="n">
        <v>0</v>
      </c>
      <c r="K1640" s="14" t="n">
        <v>0</v>
      </c>
      <c r="L1640" s="14" t="n">
        <v>0</v>
      </c>
      <c r="M1640" s="14">
        <f>IF(B1640="Frete de venda",0,(1-ISNUMBER(SEARCH("556",P1640)))*(I1640*VLOOKUP($B1640,Premissas!$A$4:$E$7,2,0)+J1640*VLOOKUP($B1640,Premissas!$A$4:$E$7,3,0))+K1640*VLOOKUP($B1640,Premissas!$A$4:$E$7,4,0)+L1640*VLOOKUP($B1640,Premissas!$A$4:$E$7,5,0))</f>
        <v/>
      </c>
      <c r="N1640" s="14">
        <f>H1640-M1640</f>
        <v/>
      </c>
      <c r="O1640" t="inlineStr">
        <is>
          <t>Não</t>
        </is>
      </c>
      <c r="P1640" t="inlineStr">
        <is>
          <t>1.350</t>
        </is>
      </c>
    </row>
    <row r="1641">
      <c r="A1641" t="inlineStr">
        <is>
          <t>Antes de 2026</t>
        </is>
      </c>
      <c r="B1641" t="inlineStr">
        <is>
          <t>Frete de venda</t>
        </is>
      </c>
      <c r="C1641" t="inlineStr">
        <is>
          <t>Frete de venda (para clientes)</t>
        </is>
      </c>
      <c r="D1641" t="inlineStr">
        <is>
          <t>CT-e</t>
        </is>
      </c>
      <c r="E1641" t="inlineStr">
        <is>
          <t>000005286</t>
        </is>
      </c>
      <c r="F1641" t="inlineStr">
        <is>
          <t>R&amp;R TRANSPORTE E LOGISTICA</t>
        </is>
      </c>
      <c r="G1641" s="27" t="n">
        <v>45926</v>
      </c>
      <c r="H1641" s="14" t="n">
        <v>58.86</v>
      </c>
      <c r="I1641" s="14" t="n">
        <v>0</v>
      </c>
      <c r="J1641" s="14" t="n">
        <v>0</v>
      </c>
      <c r="K1641" s="14" t="n">
        <v>0</v>
      </c>
      <c r="L1641" s="14" t="n">
        <v>0</v>
      </c>
      <c r="M1641" s="14">
        <f>IF(B1641="Frete de venda",0,(1-ISNUMBER(SEARCH("556",P1641)))*(I1641*VLOOKUP($B1641,Premissas!$A$4:$E$7,2,0)+J1641*VLOOKUP($B1641,Premissas!$A$4:$E$7,3,0))+K1641*VLOOKUP($B1641,Premissas!$A$4:$E$7,4,0)+L1641*VLOOKUP($B1641,Premissas!$A$4:$E$7,5,0))</f>
        <v/>
      </c>
      <c r="N1641" s="14">
        <f>H1641-M1641</f>
        <v/>
      </c>
      <c r="O1641" t="inlineStr">
        <is>
          <t>Não</t>
        </is>
      </c>
      <c r="P1641" t="inlineStr">
        <is>
          <t>1.350</t>
        </is>
      </c>
    </row>
    <row r="1642">
      <c r="A1642" t="inlineStr">
        <is>
          <t>Antes de 2026</t>
        </is>
      </c>
      <c r="B1642" t="inlineStr">
        <is>
          <t>Frete de venda</t>
        </is>
      </c>
      <c r="C1642" t="inlineStr">
        <is>
          <t>Frete de venda (para clientes)</t>
        </is>
      </c>
      <c r="D1642" t="inlineStr">
        <is>
          <t>CT-e</t>
        </is>
      </c>
      <c r="E1642" t="inlineStr">
        <is>
          <t>000005523</t>
        </is>
      </c>
      <c r="F1642" t="inlineStr">
        <is>
          <t>R&amp;R TRANSPORTE E LOGISTICA</t>
        </is>
      </c>
      <c r="G1642" s="27" t="n">
        <v>45951</v>
      </c>
      <c r="H1642" s="14" t="n">
        <v>106.26</v>
      </c>
      <c r="I1642" s="14" t="n">
        <v>0</v>
      </c>
      <c r="J1642" s="14" t="n">
        <v>0</v>
      </c>
      <c r="K1642" s="14" t="n">
        <v>0</v>
      </c>
      <c r="L1642" s="14" t="n">
        <v>0</v>
      </c>
      <c r="M1642" s="14">
        <f>IF(B1642="Frete de venda",0,(1-ISNUMBER(SEARCH("556",P1642)))*(I1642*VLOOKUP($B1642,Premissas!$A$4:$E$7,2,0)+J1642*VLOOKUP($B1642,Premissas!$A$4:$E$7,3,0))+K1642*VLOOKUP($B1642,Premissas!$A$4:$E$7,4,0)+L1642*VLOOKUP($B1642,Premissas!$A$4:$E$7,5,0))</f>
        <v/>
      </c>
      <c r="N1642" s="14">
        <f>H1642-M1642</f>
        <v/>
      </c>
      <c r="O1642" t="inlineStr">
        <is>
          <t>Não</t>
        </is>
      </c>
      <c r="P1642" t="inlineStr">
        <is>
          <t>1.350</t>
        </is>
      </c>
    </row>
    <row r="1643">
      <c r="A1643" t="inlineStr">
        <is>
          <t>Antes de 2026</t>
        </is>
      </c>
      <c r="B1643" t="inlineStr">
        <is>
          <t>Frete de venda</t>
        </is>
      </c>
      <c r="C1643" t="inlineStr">
        <is>
          <t>Frete de venda (para clientes)</t>
        </is>
      </c>
      <c r="D1643" t="inlineStr">
        <is>
          <t>CT-e</t>
        </is>
      </c>
      <c r="E1643" t="inlineStr">
        <is>
          <t>000005899</t>
        </is>
      </c>
      <c r="F1643" t="inlineStr">
        <is>
          <t>R&amp;R TRANSPORTE E LOGISTICA</t>
        </is>
      </c>
      <c r="G1643" s="27" t="n">
        <v>45993</v>
      </c>
      <c r="H1643" s="14" t="n">
        <v>91.17</v>
      </c>
      <c r="I1643" s="14" t="n">
        <v>0</v>
      </c>
      <c r="J1643" s="14" t="n">
        <v>0</v>
      </c>
      <c r="K1643" s="14" t="n">
        <v>0</v>
      </c>
      <c r="L1643" s="14" t="n">
        <v>0</v>
      </c>
      <c r="M1643" s="14">
        <f>IF(B1643="Frete de venda",0,(1-ISNUMBER(SEARCH("556",P1643)))*(I1643*VLOOKUP($B1643,Premissas!$A$4:$E$7,2,0)+J1643*VLOOKUP($B1643,Premissas!$A$4:$E$7,3,0))+K1643*VLOOKUP($B1643,Premissas!$A$4:$E$7,4,0)+L1643*VLOOKUP($B1643,Premissas!$A$4:$E$7,5,0))</f>
        <v/>
      </c>
      <c r="N1643" s="14">
        <f>H1643-M1643</f>
        <v/>
      </c>
      <c r="O1643" t="inlineStr">
        <is>
          <t>Não</t>
        </is>
      </c>
      <c r="P1643" t="inlineStr">
        <is>
          <t>1.350</t>
        </is>
      </c>
    </row>
    <row r="1644">
      <c r="A1644" t="inlineStr">
        <is>
          <t>Antes de 2026</t>
        </is>
      </c>
      <c r="B1644" t="inlineStr">
        <is>
          <t>Frete de venda</t>
        </is>
      </c>
      <c r="C1644" t="inlineStr">
        <is>
          <t>Frete de venda (para clientes)</t>
        </is>
      </c>
      <c r="D1644" t="inlineStr">
        <is>
          <t>CT-e</t>
        </is>
      </c>
      <c r="E1644" t="inlineStr">
        <is>
          <t>000006077</t>
        </is>
      </c>
      <c r="F1644" t="inlineStr">
        <is>
          <t>R&amp;R TRANSPORTE E LOGISTICA</t>
        </is>
      </c>
      <c r="G1644" s="27" t="n">
        <v>46021</v>
      </c>
      <c r="H1644" s="14" t="n">
        <v>26.21</v>
      </c>
      <c r="I1644" s="14" t="n">
        <v>0</v>
      </c>
      <c r="J1644" s="14" t="n">
        <v>0</v>
      </c>
      <c r="K1644" s="14" t="n">
        <v>0</v>
      </c>
      <c r="L1644" s="14" t="n">
        <v>0</v>
      </c>
      <c r="M1644" s="14">
        <f>IF(B1644="Frete de venda",0,(1-ISNUMBER(SEARCH("556",P1644)))*(I1644*VLOOKUP($B1644,Premissas!$A$4:$E$7,2,0)+J1644*VLOOKUP($B1644,Premissas!$A$4:$E$7,3,0))+K1644*VLOOKUP($B1644,Premissas!$A$4:$E$7,4,0)+L1644*VLOOKUP($B1644,Premissas!$A$4:$E$7,5,0))</f>
        <v/>
      </c>
      <c r="N1644" s="14">
        <f>H1644-M1644</f>
        <v/>
      </c>
      <c r="O1644" t="inlineStr">
        <is>
          <t>Não</t>
        </is>
      </c>
      <c r="P1644" t="inlineStr">
        <is>
          <t>1.350</t>
        </is>
      </c>
    </row>
    <row r="1645">
      <c r="A1645" t="inlineStr">
        <is>
          <t>Antes de 2026</t>
        </is>
      </c>
      <c r="B1645" t="inlineStr">
        <is>
          <t>Frete de venda</t>
        </is>
      </c>
      <c r="C1645" t="inlineStr">
        <is>
          <t>Frete de venda (para clientes)</t>
        </is>
      </c>
      <c r="D1645" t="inlineStr">
        <is>
          <t>CT-e</t>
        </is>
      </c>
      <c r="E1645" t="inlineStr">
        <is>
          <t>000004334</t>
        </is>
      </c>
      <c r="F1645" t="inlineStr">
        <is>
          <t>R&amp;R TRANSPORTE E LOGISTICA</t>
        </is>
      </c>
      <c r="G1645" s="27" t="n">
        <v>45807</v>
      </c>
      <c r="H1645" s="14" t="n">
        <v>150.94</v>
      </c>
      <c r="I1645" s="14" t="n">
        <v>0</v>
      </c>
      <c r="J1645" s="14" t="n">
        <v>0</v>
      </c>
      <c r="K1645" s="14" t="n">
        <v>0</v>
      </c>
      <c r="L1645" s="14" t="n">
        <v>0</v>
      </c>
      <c r="M1645" s="14">
        <f>IF(B1645="Frete de venda",0,(1-ISNUMBER(SEARCH("556",P1645)))*(I1645*VLOOKUP($B1645,Premissas!$A$4:$E$7,2,0)+J1645*VLOOKUP($B1645,Premissas!$A$4:$E$7,3,0))+K1645*VLOOKUP($B1645,Premissas!$A$4:$E$7,4,0)+L1645*VLOOKUP($B1645,Premissas!$A$4:$E$7,5,0))</f>
        <v/>
      </c>
      <c r="N1645" s="14">
        <f>H1645-M1645</f>
        <v/>
      </c>
      <c r="O1645" t="inlineStr">
        <is>
          <t>Não</t>
        </is>
      </c>
      <c r="P1645" t="inlineStr">
        <is>
          <t>1.350</t>
        </is>
      </c>
    </row>
    <row r="1646">
      <c r="A1646" t="inlineStr">
        <is>
          <t>Antes de 2026</t>
        </is>
      </c>
      <c r="B1646" t="inlineStr">
        <is>
          <t>Frete de venda</t>
        </is>
      </c>
      <c r="C1646" t="inlineStr">
        <is>
          <t>Frete de venda (para clientes)</t>
        </is>
      </c>
      <c r="D1646" t="inlineStr">
        <is>
          <t>CT-e</t>
        </is>
      </c>
      <c r="E1646" t="inlineStr">
        <is>
          <t>000004798</t>
        </is>
      </c>
      <c r="F1646" t="inlineStr">
        <is>
          <t>R&amp;R TRANSPORTE E LOGISTICA</t>
        </is>
      </c>
      <c r="G1646" s="27" t="n">
        <v>45869</v>
      </c>
      <c r="H1646" s="14" t="n">
        <v>227.76</v>
      </c>
      <c r="I1646" s="14" t="n">
        <v>0</v>
      </c>
      <c r="J1646" s="14" t="n">
        <v>0</v>
      </c>
      <c r="K1646" s="14" t="n">
        <v>0</v>
      </c>
      <c r="L1646" s="14" t="n">
        <v>0</v>
      </c>
      <c r="M1646" s="14">
        <f>IF(B1646="Frete de venda",0,(1-ISNUMBER(SEARCH("556",P1646)))*(I1646*VLOOKUP($B1646,Premissas!$A$4:$E$7,2,0)+J1646*VLOOKUP($B1646,Premissas!$A$4:$E$7,3,0))+K1646*VLOOKUP($B1646,Premissas!$A$4:$E$7,4,0)+L1646*VLOOKUP($B1646,Premissas!$A$4:$E$7,5,0))</f>
        <v/>
      </c>
      <c r="N1646" s="14">
        <f>H1646-M1646</f>
        <v/>
      </c>
      <c r="O1646" t="inlineStr">
        <is>
          <t>Não</t>
        </is>
      </c>
      <c r="P1646" t="inlineStr">
        <is>
          <t>1.350</t>
        </is>
      </c>
    </row>
    <row r="1647">
      <c r="A1647" t="inlineStr">
        <is>
          <t>Antes de 2026</t>
        </is>
      </c>
      <c r="B1647" t="inlineStr">
        <is>
          <t>Frete de venda</t>
        </is>
      </c>
      <c r="C1647" t="inlineStr">
        <is>
          <t>Frete de venda (para clientes)</t>
        </is>
      </c>
      <c r="D1647" t="inlineStr">
        <is>
          <t>CT-e</t>
        </is>
      </c>
      <c r="E1647" t="inlineStr">
        <is>
          <t>000004942</t>
        </is>
      </c>
      <c r="F1647" t="inlineStr">
        <is>
          <t>R&amp;R TRANSPORTE E LOGISTICA</t>
        </is>
      </c>
      <c r="G1647" s="27" t="n">
        <v>45884</v>
      </c>
      <c r="H1647" s="14" t="n">
        <v>151.68</v>
      </c>
      <c r="I1647" s="14" t="n">
        <v>0</v>
      </c>
      <c r="J1647" s="14" t="n">
        <v>0</v>
      </c>
      <c r="K1647" s="14" t="n">
        <v>0</v>
      </c>
      <c r="L1647" s="14" t="n">
        <v>0</v>
      </c>
      <c r="M1647" s="14">
        <f>IF(B1647="Frete de venda",0,(1-ISNUMBER(SEARCH("556",P1647)))*(I1647*VLOOKUP($B1647,Premissas!$A$4:$E$7,2,0)+J1647*VLOOKUP($B1647,Premissas!$A$4:$E$7,3,0))+K1647*VLOOKUP($B1647,Premissas!$A$4:$E$7,4,0)+L1647*VLOOKUP($B1647,Premissas!$A$4:$E$7,5,0))</f>
        <v/>
      </c>
      <c r="N1647" s="14">
        <f>H1647-M1647</f>
        <v/>
      </c>
      <c r="O1647" t="inlineStr">
        <is>
          <t>Não</t>
        </is>
      </c>
      <c r="P1647" t="inlineStr">
        <is>
          <t>1.350</t>
        </is>
      </c>
    </row>
    <row r="1648">
      <c r="A1648" t="inlineStr">
        <is>
          <t>Antes de 2026</t>
        </is>
      </c>
      <c r="B1648" t="inlineStr">
        <is>
          <t>Frete de venda</t>
        </is>
      </c>
      <c r="C1648" t="inlineStr">
        <is>
          <t>Frete de venda (para clientes)</t>
        </is>
      </c>
      <c r="D1648" t="inlineStr">
        <is>
          <t>CT-e</t>
        </is>
      </c>
      <c r="E1648" t="inlineStr">
        <is>
          <t>000005143</t>
        </is>
      </c>
      <c r="F1648" t="inlineStr">
        <is>
          <t>R&amp;R TRANSPORTE E LOGISTICA</t>
        </is>
      </c>
      <c r="G1648" s="27" t="n">
        <v>45908</v>
      </c>
      <c r="H1648" s="14" t="n">
        <v>225.98</v>
      </c>
      <c r="I1648" s="14" t="n">
        <v>0</v>
      </c>
      <c r="J1648" s="14" t="n">
        <v>0</v>
      </c>
      <c r="K1648" s="14" t="n">
        <v>0</v>
      </c>
      <c r="L1648" s="14" t="n">
        <v>0</v>
      </c>
      <c r="M1648" s="14">
        <f>IF(B1648="Frete de venda",0,(1-ISNUMBER(SEARCH("556",P1648)))*(I1648*VLOOKUP($B1648,Premissas!$A$4:$E$7,2,0)+J1648*VLOOKUP($B1648,Premissas!$A$4:$E$7,3,0))+K1648*VLOOKUP($B1648,Premissas!$A$4:$E$7,4,0)+L1648*VLOOKUP($B1648,Premissas!$A$4:$E$7,5,0))</f>
        <v/>
      </c>
      <c r="N1648" s="14">
        <f>H1648-M1648</f>
        <v/>
      </c>
      <c r="O1648" t="inlineStr">
        <is>
          <t>Não</t>
        </is>
      </c>
      <c r="P1648" t="inlineStr">
        <is>
          <t>1.350</t>
        </is>
      </c>
    </row>
    <row r="1649">
      <c r="A1649" t="inlineStr">
        <is>
          <t>Antes de 2026</t>
        </is>
      </c>
      <c r="B1649" t="inlineStr">
        <is>
          <t>Frete de venda</t>
        </is>
      </c>
      <c r="C1649" t="inlineStr">
        <is>
          <t>Frete de venda (para clientes)</t>
        </is>
      </c>
      <c r="D1649" t="inlineStr">
        <is>
          <t>CT-e</t>
        </is>
      </c>
      <c r="E1649" t="inlineStr">
        <is>
          <t>000005426</t>
        </is>
      </c>
      <c r="F1649" t="inlineStr">
        <is>
          <t>R&amp;R TRANSPORTE E LOGISTICA</t>
        </is>
      </c>
      <c r="G1649" s="27" t="n">
        <v>45939</v>
      </c>
      <c r="H1649" s="14" t="n">
        <v>67.31999999999999</v>
      </c>
      <c r="I1649" s="14" t="n">
        <v>0</v>
      </c>
      <c r="J1649" s="14" t="n">
        <v>0</v>
      </c>
      <c r="K1649" s="14" t="n">
        <v>0</v>
      </c>
      <c r="L1649" s="14" t="n">
        <v>0</v>
      </c>
      <c r="M1649" s="14">
        <f>IF(B1649="Frete de venda",0,(1-ISNUMBER(SEARCH("556",P1649)))*(I1649*VLOOKUP($B1649,Premissas!$A$4:$E$7,2,0)+J1649*VLOOKUP($B1649,Premissas!$A$4:$E$7,3,0))+K1649*VLOOKUP($B1649,Premissas!$A$4:$E$7,4,0)+L1649*VLOOKUP($B1649,Premissas!$A$4:$E$7,5,0))</f>
        <v/>
      </c>
      <c r="N1649" s="14">
        <f>H1649-M1649</f>
        <v/>
      </c>
      <c r="O1649" t="inlineStr">
        <is>
          <t>Não</t>
        </is>
      </c>
      <c r="P1649" t="inlineStr">
        <is>
          <t>1.350</t>
        </is>
      </c>
    </row>
    <row r="1650">
      <c r="A1650" t="inlineStr">
        <is>
          <t>Antes de 2026</t>
        </is>
      </c>
      <c r="B1650" t="inlineStr">
        <is>
          <t>Frete de venda</t>
        </is>
      </c>
      <c r="C1650" t="inlineStr">
        <is>
          <t>Frete de venda (para clientes)</t>
        </is>
      </c>
      <c r="D1650" t="inlineStr">
        <is>
          <t>CT-e</t>
        </is>
      </c>
      <c r="E1650" t="inlineStr">
        <is>
          <t>000005745</t>
        </is>
      </c>
      <c r="F1650" t="inlineStr">
        <is>
          <t>R&amp;R TRANSPORTE E LOGISTICA</t>
        </is>
      </c>
      <c r="G1650" s="27" t="n">
        <v>45979</v>
      </c>
      <c r="H1650" s="14" t="n">
        <v>232.96</v>
      </c>
      <c r="I1650" s="14" t="n">
        <v>0</v>
      </c>
      <c r="J1650" s="14" t="n">
        <v>0</v>
      </c>
      <c r="K1650" s="14" t="n">
        <v>0</v>
      </c>
      <c r="L1650" s="14" t="n">
        <v>0</v>
      </c>
      <c r="M1650" s="14">
        <f>IF(B1650="Frete de venda",0,(1-ISNUMBER(SEARCH("556",P1650)))*(I1650*VLOOKUP($B1650,Premissas!$A$4:$E$7,2,0)+J1650*VLOOKUP($B1650,Premissas!$A$4:$E$7,3,0))+K1650*VLOOKUP($B1650,Premissas!$A$4:$E$7,4,0)+L1650*VLOOKUP($B1650,Premissas!$A$4:$E$7,5,0))</f>
        <v/>
      </c>
      <c r="N1650" s="14">
        <f>H1650-M1650</f>
        <v/>
      </c>
      <c r="O1650" t="inlineStr">
        <is>
          <t>Não</t>
        </is>
      </c>
      <c r="P1650" t="inlineStr">
        <is>
          <t>1.350</t>
        </is>
      </c>
    </row>
    <row r="1651">
      <c r="A1651" t="inlineStr">
        <is>
          <t>Antes de 2026</t>
        </is>
      </c>
      <c r="B1651" t="inlineStr">
        <is>
          <t>Frete de venda</t>
        </is>
      </c>
      <c r="C1651" t="inlineStr">
        <is>
          <t>Frete de venda (para clientes)</t>
        </is>
      </c>
      <c r="D1651" t="inlineStr">
        <is>
          <t>CT-e</t>
        </is>
      </c>
      <c r="E1651" t="inlineStr">
        <is>
          <t>000005753</t>
        </is>
      </c>
      <c r="F1651" t="inlineStr">
        <is>
          <t>R&amp;R TRANSPORTE E LOGISTICA</t>
        </is>
      </c>
      <c r="G1651" s="27" t="n">
        <v>45979</v>
      </c>
      <c r="H1651" s="14" t="n">
        <v>33.67</v>
      </c>
      <c r="I1651" s="14" t="n">
        <v>0</v>
      </c>
      <c r="J1651" s="14" t="n">
        <v>0</v>
      </c>
      <c r="K1651" s="14" t="n">
        <v>0</v>
      </c>
      <c r="L1651" s="14" t="n">
        <v>0</v>
      </c>
      <c r="M1651" s="14">
        <f>IF(B1651="Frete de venda",0,(1-ISNUMBER(SEARCH("556",P1651)))*(I1651*VLOOKUP($B1651,Premissas!$A$4:$E$7,2,0)+J1651*VLOOKUP($B1651,Premissas!$A$4:$E$7,3,0))+K1651*VLOOKUP($B1651,Premissas!$A$4:$E$7,4,0)+L1651*VLOOKUP($B1651,Premissas!$A$4:$E$7,5,0))</f>
        <v/>
      </c>
      <c r="N1651" s="14">
        <f>H1651-M1651</f>
        <v/>
      </c>
      <c r="O1651" t="inlineStr">
        <is>
          <t>Não</t>
        </is>
      </c>
      <c r="P1651" t="inlineStr">
        <is>
          <t>1.350</t>
        </is>
      </c>
    </row>
    <row r="1652">
      <c r="A1652" t="inlineStr">
        <is>
          <t>Antes de 2026</t>
        </is>
      </c>
      <c r="B1652" t="inlineStr">
        <is>
          <t>Frete de venda</t>
        </is>
      </c>
      <c r="C1652" t="inlineStr">
        <is>
          <t>Frete de venda (para clientes)</t>
        </is>
      </c>
      <c r="D1652" t="inlineStr">
        <is>
          <t>CT-e</t>
        </is>
      </c>
      <c r="E1652" t="inlineStr">
        <is>
          <t>000005955</t>
        </is>
      </c>
      <c r="F1652" t="inlineStr">
        <is>
          <t>R&amp;R TRANSPORTE E LOGISTICA</t>
        </is>
      </c>
      <c r="G1652" s="27" t="n">
        <v>46002</v>
      </c>
      <c r="H1652" s="14" t="n">
        <v>43.37</v>
      </c>
      <c r="I1652" s="14" t="n">
        <v>0</v>
      </c>
      <c r="J1652" s="14" t="n">
        <v>0</v>
      </c>
      <c r="K1652" s="14" t="n">
        <v>0</v>
      </c>
      <c r="L1652" s="14" t="n">
        <v>0</v>
      </c>
      <c r="M1652" s="14">
        <f>IF(B1652="Frete de venda",0,(1-ISNUMBER(SEARCH("556",P1652)))*(I1652*VLOOKUP($B1652,Premissas!$A$4:$E$7,2,0)+J1652*VLOOKUP($B1652,Premissas!$A$4:$E$7,3,0))+K1652*VLOOKUP($B1652,Premissas!$A$4:$E$7,4,0)+L1652*VLOOKUP($B1652,Premissas!$A$4:$E$7,5,0))</f>
        <v/>
      </c>
      <c r="N1652" s="14">
        <f>H1652-M1652</f>
        <v/>
      </c>
      <c r="O1652" t="inlineStr">
        <is>
          <t>Não</t>
        </is>
      </c>
      <c r="P1652" t="inlineStr">
        <is>
          <t>1.350</t>
        </is>
      </c>
    </row>
    <row r="1653">
      <c r="A1653" t="inlineStr">
        <is>
          <t>Antes de 2026</t>
        </is>
      </c>
      <c r="B1653" t="inlineStr">
        <is>
          <t>Frete de venda</t>
        </is>
      </c>
      <c r="C1653" t="inlineStr">
        <is>
          <t>Frete de venda (para clientes)</t>
        </is>
      </c>
      <c r="D1653" t="inlineStr">
        <is>
          <t>CT-e</t>
        </is>
      </c>
      <c r="E1653" t="inlineStr">
        <is>
          <t>000006045</t>
        </is>
      </c>
      <c r="F1653" t="inlineStr">
        <is>
          <t>R&amp;R TRANSPORTE E LOGISTICA</t>
        </is>
      </c>
      <c r="G1653" s="27" t="n">
        <v>46014</v>
      </c>
      <c r="H1653" s="14" t="n">
        <v>284.85</v>
      </c>
      <c r="I1653" s="14" t="n">
        <v>0</v>
      </c>
      <c r="J1653" s="14" t="n">
        <v>0</v>
      </c>
      <c r="K1653" s="14" t="n">
        <v>0</v>
      </c>
      <c r="L1653" s="14" t="n">
        <v>0</v>
      </c>
      <c r="M1653" s="14">
        <f>IF(B1653="Frete de venda",0,(1-ISNUMBER(SEARCH("556",P1653)))*(I1653*VLOOKUP($B1653,Premissas!$A$4:$E$7,2,0)+J1653*VLOOKUP($B1653,Premissas!$A$4:$E$7,3,0))+K1653*VLOOKUP($B1653,Premissas!$A$4:$E$7,4,0)+L1653*VLOOKUP($B1653,Premissas!$A$4:$E$7,5,0))</f>
        <v/>
      </c>
      <c r="N1653" s="14">
        <f>H1653-M1653</f>
        <v/>
      </c>
      <c r="O1653" t="inlineStr">
        <is>
          <t>Não</t>
        </is>
      </c>
      <c r="P1653" t="inlineStr">
        <is>
          <t>1.350</t>
        </is>
      </c>
    </row>
    <row r="1654">
      <c r="A1654" t="inlineStr">
        <is>
          <t>Antes de 2026</t>
        </is>
      </c>
      <c r="B1654" t="inlineStr">
        <is>
          <t>Frete de venda</t>
        </is>
      </c>
      <c r="C1654" t="inlineStr">
        <is>
          <t>Frete de venda (para clientes)</t>
        </is>
      </c>
      <c r="D1654" t="inlineStr">
        <is>
          <t>CT-e</t>
        </is>
      </c>
      <c r="E1654" t="inlineStr">
        <is>
          <t>000005346</t>
        </is>
      </c>
      <c r="F1654" t="inlineStr">
        <is>
          <t>R&amp;R TRANSPORTE E LOGISTICA</t>
        </is>
      </c>
      <c r="G1654" s="27" t="n">
        <v>45929</v>
      </c>
      <c r="H1654" s="14" t="n">
        <v>18.21</v>
      </c>
      <c r="I1654" s="14" t="n">
        <v>0</v>
      </c>
      <c r="J1654" s="14" t="n">
        <v>0</v>
      </c>
      <c r="K1654" s="14" t="n">
        <v>0</v>
      </c>
      <c r="L1654" s="14" t="n">
        <v>0</v>
      </c>
      <c r="M1654" s="14">
        <f>IF(B1654="Frete de venda",0,(1-ISNUMBER(SEARCH("556",P1654)))*(I1654*VLOOKUP($B1654,Premissas!$A$4:$E$7,2,0)+J1654*VLOOKUP($B1654,Premissas!$A$4:$E$7,3,0))+K1654*VLOOKUP($B1654,Premissas!$A$4:$E$7,4,0)+L1654*VLOOKUP($B1654,Premissas!$A$4:$E$7,5,0))</f>
        <v/>
      </c>
      <c r="N1654" s="14">
        <f>H1654-M1654</f>
        <v/>
      </c>
      <c r="O1654" t="inlineStr">
        <is>
          <t>Não</t>
        </is>
      </c>
      <c r="P1654" t="inlineStr">
        <is>
          <t>1.350</t>
        </is>
      </c>
    </row>
    <row r="1655">
      <c r="A1655" t="inlineStr">
        <is>
          <t>Antes de 2026</t>
        </is>
      </c>
      <c r="B1655" t="inlineStr">
        <is>
          <t>Frete de venda</t>
        </is>
      </c>
      <c r="C1655" t="inlineStr">
        <is>
          <t>Frete de venda (para clientes)</t>
        </is>
      </c>
      <c r="D1655" t="inlineStr">
        <is>
          <t>CT-e</t>
        </is>
      </c>
      <c r="E1655" t="inlineStr">
        <is>
          <t>000004379</t>
        </is>
      </c>
      <c r="F1655" t="inlineStr">
        <is>
          <t>R&amp;R TRANSPORTE E LOGISTICA</t>
        </is>
      </c>
      <c r="G1655" s="27" t="n">
        <v>45812</v>
      </c>
      <c r="H1655" s="14" t="n">
        <v>19.61</v>
      </c>
      <c r="I1655" s="14" t="n">
        <v>0</v>
      </c>
      <c r="J1655" s="14" t="n">
        <v>0</v>
      </c>
      <c r="K1655" s="14" t="n">
        <v>0</v>
      </c>
      <c r="L1655" s="14" t="n">
        <v>0</v>
      </c>
      <c r="M1655" s="14">
        <f>IF(B1655="Frete de venda",0,(1-ISNUMBER(SEARCH("556",P1655)))*(I1655*VLOOKUP($B1655,Premissas!$A$4:$E$7,2,0)+J1655*VLOOKUP($B1655,Premissas!$A$4:$E$7,3,0))+K1655*VLOOKUP($B1655,Premissas!$A$4:$E$7,4,0)+L1655*VLOOKUP($B1655,Premissas!$A$4:$E$7,5,0))</f>
        <v/>
      </c>
      <c r="N1655" s="14">
        <f>H1655-M1655</f>
        <v/>
      </c>
      <c r="O1655" t="inlineStr">
        <is>
          <t>Não</t>
        </is>
      </c>
      <c r="P1655" t="inlineStr">
        <is>
          <t>1.350</t>
        </is>
      </c>
    </row>
    <row r="1656">
      <c r="A1656" t="inlineStr">
        <is>
          <t>Antes de 2026</t>
        </is>
      </c>
      <c r="B1656" t="inlineStr">
        <is>
          <t>Frete de venda</t>
        </is>
      </c>
      <c r="C1656" t="inlineStr">
        <is>
          <t>Frete de venda (para clientes)</t>
        </is>
      </c>
      <c r="D1656" t="inlineStr">
        <is>
          <t>CT-e</t>
        </is>
      </c>
      <c r="E1656" t="inlineStr">
        <is>
          <t>000004522</t>
        </is>
      </c>
      <c r="F1656" t="inlineStr">
        <is>
          <t>R&amp;R TRANSPORTE E LOGISTICA</t>
        </is>
      </c>
      <c r="G1656" s="27" t="n">
        <v>45835</v>
      </c>
      <c r="H1656" s="14" t="n">
        <v>35.98</v>
      </c>
      <c r="I1656" s="14" t="n">
        <v>0</v>
      </c>
      <c r="J1656" s="14" t="n">
        <v>0</v>
      </c>
      <c r="K1656" s="14" t="n">
        <v>0</v>
      </c>
      <c r="L1656" s="14" t="n">
        <v>0</v>
      </c>
      <c r="M1656" s="14">
        <f>IF(B1656="Frete de venda",0,(1-ISNUMBER(SEARCH("556",P1656)))*(I1656*VLOOKUP($B1656,Premissas!$A$4:$E$7,2,0)+J1656*VLOOKUP($B1656,Premissas!$A$4:$E$7,3,0))+K1656*VLOOKUP($B1656,Premissas!$A$4:$E$7,4,0)+L1656*VLOOKUP($B1656,Premissas!$A$4:$E$7,5,0))</f>
        <v/>
      </c>
      <c r="N1656" s="14">
        <f>H1656-M1656</f>
        <v/>
      </c>
      <c r="O1656" t="inlineStr">
        <is>
          <t>Não</t>
        </is>
      </c>
      <c r="P1656" t="inlineStr">
        <is>
          <t>1.350</t>
        </is>
      </c>
    </row>
    <row r="1657">
      <c r="A1657" t="inlineStr">
        <is>
          <t>Antes de 2026</t>
        </is>
      </c>
      <c r="B1657" t="inlineStr">
        <is>
          <t>Frete de venda</t>
        </is>
      </c>
      <c r="C1657" t="inlineStr">
        <is>
          <t>Frete de venda (para clientes)</t>
        </is>
      </c>
      <c r="D1657" t="inlineStr">
        <is>
          <t>CT-e</t>
        </is>
      </c>
      <c r="E1657" t="inlineStr">
        <is>
          <t>000004570</t>
        </is>
      </c>
      <c r="F1657" t="inlineStr">
        <is>
          <t>R&amp;R TRANSPORTE E LOGISTICA</t>
        </is>
      </c>
      <c r="G1657" s="27" t="n">
        <v>45841</v>
      </c>
      <c r="H1657" s="14" t="n">
        <v>53.41</v>
      </c>
      <c r="I1657" s="14" t="n">
        <v>0</v>
      </c>
      <c r="J1657" s="14" t="n">
        <v>0</v>
      </c>
      <c r="K1657" s="14" t="n">
        <v>0</v>
      </c>
      <c r="L1657" s="14" t="n">
        <v>0</v>
      </c>
      <c r="M1657" s="14">
        <f>IF(B1657="Frete de venda",0,(1-ISNUMBER(SEARCH("556",P1657)))*(I1657*VLOOKUP($B1657,Premissas!$A$4:$E$7,2,0)+J1657*VLOOKUP($B1657,Premissas!$A$4:$E$7,3,0))+K1657*VLOOKUP($B1657,Premissas!$A$4:$E$7,4,0)+L1657*VLOOKUP($B1657,Premissas!$A$4:$E$7,5,0))</f>
        <v/>
      </c>
      <c r="N1657" s="14">
        <f>H1657-M1657</f>
        <v/>
      </c>
      <c r="O1657" t="inlineStr">
        <is>
          <t>Não</t>
        </is>
      </c>
      <c r="P1657" t="inlineStr">
        <is>
          <t>1.350</t>
        </is>
      </c>
    </row>
    <row r="1658">
      <c r="A1658" t="inlineStr">
        <is>
          <t>Antes de 2026</t>
        </is>
      </c>
      <c r="B1658" t="inlineStr">
        <is>
          <t>Frete de venda</t>
        </is>
      </c>
      <c r="C1658" t="inlineStr">
        <is>
          <t>Frete de venda (para clientes)</t>
        </is>
      </c>
      <c r="D1658" t="inlineStr">
        <is>
          <t>CT-e</t>
        </is>
      </c>
      <c r="E1658" t="inlineStr">
        <is>
          <t>000005322</t>
        </is>
      </c>
      <c r="F1658" t="inlineStr">
        <is>
          <t>R&amp;R TRANSPORTE E LOGISTICA</t>
        </is>
      </c>
      <c r="G1658" s="27" t="n">
        <v>45929</v>
      </c>
      <c r="H1658" s="14" t="n">
        <v>31.06</v>
      </c>
      <c r="I1658" s="14" t="n">
        <v>0</v>
      </c>
      <c r="J1658" s="14" t="n">
        <v>0</v>
      </c>
      <c r="K1658" s="14" t="n">
        <v>0</v>
      </c>
      <c r="L1658" s="14" t="n">
        <v>0</v>
      </c>
      <c r="M1658" s="14">
        <f>IF(B1658="Frete de venda",0,(1-ISNUMBER(SEARCH("556",P1658)))*(I1658*VLOOKUP($B1658,Premissas!$A$4:$E$7,2,0)+J1658*VLOOKUP($B1658,Premissas!$A$4:$E$7,3,0))+K1658*VLOOKUP($B1658,Premissas!$A$4:$E$7,4,0)+L1658*VLOOKUP($B1658,Premissas!$A$4:$E$7,5,0))</f>
        <v/>
      </c>
      <c r="N1658" s="14">
        <f>H1658-M1658</f>
        <v/>
      </c>
      <c r="O1658" t="inlineStr">
        <is>
          <t>Não</t>
        </is>
      </c>
      <c r="P1658" t="inlineStr">
        <is>
          <t>1.350</t>
        </is>
      </c>
    </row>
    <row r="1659">
      <c r="A1659" t="inlineStr">
        <is>
          <t>Antes de 2026</t>
        </is>
      </c>
      <c r="B1659" t="inlineStr">
        <is>
          <t>Frete de venda</t>
        </is>
      </c>
      <c r="C1659" t="inlineStr">
        <is>
          <t>Frete de venda (para clientes)</t>
        </is>
      </c>
      <c r="D1659" t="inlineStr">
        <is>
          <t>CT-e</t>
        </is>
      </c>
      <c r="E1659" t="inlineStr">
        <is>
          <t>000005315</t>
        </is>
      </c>
      <c r="F1659" t="inlineStr">
        <is>
          <t>R&amp;R TRANSPORTE E LOGISTICA</t>
        </is>
      </c>
      <c r="G1659" s="27" t="n">
        <v>45929</v>
      </c>
      <c r="H1659" s="14" t="n">
        <v>20.21</v>
      </c>
      <c r="I1659" s="14" t="n">
        <v>0</v>
      </c>
      <c r="J1659" s="14" t="n">
        <v>0</v>
      </c>
      <c r="K1659" s="14" t="n">
        <v>0</v>
      </c>
      <c r="L1659" s="14" t="n">
        <v>0</v>
      </c>
      <c r="M1659" s="14">
        <f>IF(B1659="Frete de venda",0,(1-ISNUMBER(SEARCH("556",P1659)))*(I1659*VLOOKUP($B1659,Premissas!$A$4:$E$7,2,0)+J1659*VLOOKUP($B1659,Premissas!$A$4:$E$7,3,0))+K1659*VLOOKUP($B1659,Premissas!$A$4:$E$7,4,0)+L1659*VLOOKUP($B1659,Premissas!$A$4:$E$7,5,0))</f>
        <v/>
      </c>
      <c r="N1659" s="14">
        <f>H1659-M1659</f>
        <v/>
      </c>
      <c r="O1659" t="inlineStr">
        <is>
          <t>Não</t>
        </is>
      </c>
      <c r="P1659" t="inlineStr">
        <is>
          <t>1.350</t>
        </is>
      </c>
    </row>
    <row r="1660">
      <c r="A1660" t="inlineStr">
        <is>
          <t>Antes de 2026</t>
        </is>
      </c>
      <c r="B1660" t="inlineStr">
        <is>
          <t>Frete de venda</t>
        </is>
      </c>
      <c r="C1660" t="inlineStr">
        <is>
          <t>Frete de venda (para clientes)</t>
        </is>
      </c>
      <c r="D1660" t="inlineStr">
        <is>
          <t>CT-e</t>
        </is>
      </c>
      <c r="E1660" t="inlineStr">
        <is>
          <t>000005781</t>
        </is>
      </c>
      <c r="F1660" t="inlineStr">
        <is>
          <t>R&amp;R TRANSPORTE E LOGISTICA</t>
        </is>
      </c>
      <c r="G1660" s="27" t="n">
        <v>45981</v>
      </c>
      <c r="H1660" s="14" t="n">
        <v>16.06</v>
      </c>
      <c r="I1660" s="14" t="n">
        <v>0</v>
      </c>
      <c r="J1660" s="14" t="n">
        <v>0</v>
      </c>
      <c r="K1660" s="14" t="n">
        <v>0</v>
      </c>
      <c r="L1660" s="14" t="n">
        <v>0</v>
      </c>
      <c r="M1660" s="14">
        <f>IF(B1660="Frete de venda",0,(1-ISNUMBER(SEARCH("556",P1660)))*(I1660*VLOOKUP($B1660,Premissas!$A$4:$E$7,2,0)+J1660*VLOOKUP($B1660,Premissas!$A$4:$E$7,3,0))+K1660*VLOOKUP($B1660,Premissas!$A$4:$E$7,4,0)+L1660*VLOOKUP($B1660,Premissas!$A$4:$E$7,5,0))</f>
        <v/>
      </c>
      <c r="N1660" s="14">
        <f>H1660-M1660</f>
        <v/>
      </c>
      <c r="O1660" t="inlineStr">
        <is>
          <t>Não</t>
        </is>
      </c>
      <c r="P1660" t="inlineStr">
        <is>
          <t>1.350</t>
        </is>
      </c>
    </row>
    <row r="1661">
      <c r="A1661" t="inlineStr">
        <is>
          <t>Antes de 2026</t>
        </is>
      </c>
      <c r="B1661" t="inlineStr">
        <is>
          <t>Frete de venda</t>
        </is>
      </c>
      <c r="C1661" t="inlineStr">
        <is>
          <t>Frete de venda (para clientes)</t>
        </is>
      </c>
      <c r="D1661" t="inlineStr">
        <is>
          <t>CT-e</t>
        </is>
      </c>
      <c r="E1661" t="inlineStr">
        <is>
          <t>000004523</t>
        </is>
      </c>
      <c r="F1661" t="inlineStr">
        <is>
          <t>R&amp;R TRANSPORTE E LOGISTICA</t>
        </is>
      </c>
      <c r="G1661" s="27" t="n">
        <v>45835</v>
      </c>
      <c r="H1661" s="14" t="n">
        <v>59.06</v>
      </c>
      <c r="I1661" s="14" t="n">
        <v>0</v>
      </c>
      <c r="J1661" s="14" t="n">
        <v>0</v>
      </c>
      <c r="K1661" s="14" t="n">
        <v>0</v>
      </c>
      <c r="L1661" s="14" t="n">
        <v>0</v>
      </c>
      <c r="M1661" s="14">
        <f>IF(B1661="Frete de venda",0,(1-ISNUMBER(SEARCH("556",P1661)))*(I1661*VLOOKUP($B1661,Premissas!$A$4:$E$7,2,0)+J1661*VLOOKUP($B1661,Premissas!$A$4:$E$7,3,0))+K1661*VLOOKUP($B1661,Premissas!$A$4:$E$7,4,0)+L1661*VLOOKUP($B1661,Premissas!$A$4:$E$7,5,0))</f>
        <v/>
      </c>
      <c r="N1661" s="14">
        <f>H1661-M1661</f>
        <v/>
      </c>
      <c r="O1661" t="inlineStr">
        <is>
          <t>Não</t>
        </is>
      </c>
      <c r="P1661" t="inlineStr">
        <is>
          <t>1.350</t>
        </is>
      </c>
    </row>
    <row r="1662">
      <c r="A1662" t="inlineStr">
        <is>
          <t>Antes de 2026</t>
        </is>
      </c>
      <c r="B1662" t="inlineStr">
        <is>
          <t>Frete de venda</t>
        </is>
      </c>
      <c r="C1662" t="inlineStr">
        <is>
          <t>Frete de venda (para clientes)</t>
        </is>
      </c>
      <c r="D1662" t="inlineStr">
        <is>
          <t>CT-e</t>
        </is>
      </c>
      <c r="E1662" t="inlineStr">
        <is>
          <t>000004148</t>
        </is>
      </c>
      <c r="F1662" t="inlineStr">
        <is>
          <t>R&amp;R TRANSPORTE E LOGISTICA</t>
        </is>
      </c>
      <c r="G1662" s="27" t="n">
        <v>45783</v>
      </c>
      <c r="H1662" s="14" t="n">
        <v>23.48</v>
      </c>
      <c r="I1662" s="14" t="n">
        <v>0</v>
      </c>
      <c r="J1662" s="14" t="n">
        <v>0</v>
      </c>
      <c r="K1662" s="14" t="n">
        <v>0</v>
      </c>
      <c r="L1662" s="14" t="n">
        <v>0</v>
      </c>
      <c r="M1662" s="14">
        <f>IF(B1662="Frete de venda",0,(1-ISNUMBER(SEARCH("556",P1662)))*(I1662*VLOOKUP($B1662,Premissas!$A$4:$E$7,2,0)+J1662*VLOOKUP($B1662,Premissas!$A$4:$E$7,3,0))+K1662*VLOOKUP($B1662,Premissas!$A$4:$E$7,4,0)+L1662*VLOOKUP($B1662,Premissas!$A$4:$E$7,5,0))</f>
        <v/>
      </c>
      <c r="N1662" s="14">
        <f>H1662-M1662</f>
        <v/>
      </c>
      <c r="O1662" t="inlineStr">
        <is>
          <t>Não</t>
        </is>
      </c>
      <c r="P1662" t="inlineStr">
        <is>
          <t>1.350</t>
        </is>
      </c>
    </row>
    <row r="1663">
      <c r="A1663" t="inlineStr">
        <is>
          <t>Antes de 2026</t>
        </is>
      </c>
      <c r="B1663" t="inlineStr">
        <is>
          <t>Frete de venda</t>
        </is>
      </c>
      <c r="C1663" t="inlineStr">
        <is>
          <t>Frete de venda (para clientes)</t>
        </is>
      </c>
      <c r="D1663" t="inlineStr">
        <is>
          <t>CT-e</t>
        </is>
      </c>
      <c r="E1663" t="inlineStr">
        <is>
          <t>000004533</t>
        </is>
      </c>
      <c r="F1663" t="inlineStr">
        <is>
          <t>R&amp;R TRANSPORTE E LOGISTICA</t>
        </is>
      </c>
      <c r="G1663" s="27" t="n">
        <v>45835</v>
      </c>
      <c r="H1663" s="14" t="n">
        <v>23.18</v>
      </c>
      <c r="I1663" s="14" t="n">
        <v>0</v>
      </c>
      <c r="J1663" s="14" t="n">
        <v>0</v>
      </c>
      <c r="K1663" s="14" t="n">
        <v>0</v>
      </c>
      <c r="L1663" s="14" t="n">
        <v>0</v>
      </c>
      <c r="M1663" s="14">
        <f>IF(B1663="Frete de venda",0,(1-ISNUMBER(SEARCH("556",P1663)))*(I1663*VLOOKUP($B1663,Premissas!$A$4:$E$7,2,0)+J1663*VLOOKUP($B1663,Premissas!$A$4:$E$7,3,0))+K1663*VLOOKUP($B1663,Premissas!$A$4:$E$7,4,0)+L1663*VLOOKUP($B1663,Premissas!$A$4:$E$7,5,0))</f>
        <v/>
      </c>
      <c r="N1663" s="14">
        <f>H1663-M1663</f>
        <v/>
      </c>
      <c r="O1663" t="inlineStr">
        <is>
          <t>Não</t>
        </is>
      </c>
      <c r="P1663" t="inlineStr">
        <is>
          <t>1.350</t>
        </is>
      </c>
    </row>
    <row r="1664">
      <c r="A1664" t="inlineStr">
        <is>
          <t>Antes de 2026</t>
        </is>
      </c>
      <c r="B1664" t="inlineStr">
        <is>
          <t>Frete de venda</t>
        </is>
      </c>
      <c r="C1664" t="inlineStr">
        <is>
          <t>Frete de venda (para clientes)</t>
        </is>
      </c>
      <c r="D1664" t="inlineStr">
        <is>
          <t>CT-e</t>
        </is>
      </c>
      <c r="E1664" t="inlineStr">
        <is>
          <t>000005281</t>
        </is>
      </c>
      <c r="F1664" t="inlineStr">
        <is>
          <t>R&amp;R TRANSPORTE E LOGISTICA</t>
        </is>
      </c>
      <c r="G1664" s="27" t="n">
        <v>45926</v>
      </c>
      <c r="H1664" s="14" t="n">
        <v>21.33</v>
      </c>
      <c r="I1664" s="14" t="n">
        <v>0</v>
      </c>
      <c r="J1664" s="14" t="n">
        <v>0</v>
      </c>
      <c r="K1664" s="14" t="n">
        <v>0</v>
      </c>
      <c r="L1664" s="14" t="n">
        <v>0</v>
      </c>
      <c r="M1664" s="14">
        <f>IF(B1664="Frete de venda",0,(1-ISNUMBER(SEARCH("556",P1664)))*(I1664*VLOOKUP($B1664,Premissas!$A$4:$E$7,2,0)+J1664*VLOOKUP($B1664,Premissas!$A$4:$E$7,3,0))+K1664*VLOOKUP($B1664,Premissas!$A$4:$E$7,4,0)+L1664*VLOOKUP($B1664,Premissas!$A$4:$E$7,5,0))</f>
        <v/>
      </c>
      <c r="N1664" s="14">
        <f>H1664-M1664</f>
        <v/>
      </c>
      <c r="O1664" t="inlineStr">
        <is>
          <t>Não</t>
        </is>
      </c>
      <c r="P1664" t="inlineStr">
        <is>
          <t>1.350</t>
        </is>
      </c>
    </row>
    <row r="1665">
      <c r="A1665" t="inlineStr">
        <is>
          <t>Antes de 2026</t>
        </is>
      </c>
      <c r="B1665" t="inlineStr">
        <is>
          <t>Frete de venda</t>
        </is>
      </c>
      <c r="C1665" t="inlineStr">
        <is>
          <t>Frete de venda (para clientes)</t>
        </is>
      </c>
      <c r="D1665" t="inlineStr">
        <is>
          <t>CT-e</t>
        </is>
      </c>
      <c r="E1665" t="inlineStr">
        <is>
          <t>000004202</t>
        </is>
      </c>
      <c r="F1665" t="inlineStr">
        <is>
          <t>R&amp;R TRANSPORTE E LOGISTICA</t>
        </is>
      </c>
      <c r="G1665" s="27" t="n">
        <v>45790</v>
      </c>
      <c r="H1665" s="14" t="n">
        <v>45.53</v>
      </c>
      <c r="I1665" s="14" t="n">
        <v>0</v>
      </c>
      <c r="J1665" s="14" t="n">
        <v>0</v>
      </c>
      <c r="K1665" s="14" t="n">
        <v>0</v>
      </c>
      <c r="L1665" s="14" t="n">
        <v>0</v>
      </c>
      <c r="M1665" s="14">
        <f>IF(B1665="Frete de venda",0,(1-ISNUMBER(SEARCH("556",P1665)))*(I1665*VLOOKUP($B1665,Premissas!$A$4:$E$7,2,0)+J1665*VLOOKUP($B1665,Premissas!$A$4:$E$7,3,0))+K1665*VLOOKUP($B1665,Premissas!$A$4:$E$7,4,0)+L1665*VLOOKUP($B1665,Premissas!$A$4:$E$7,5,0))</f>
        <v/>
      </c>
      <c r="N1665" s="14">
        <f>H1665-M1665</f>
        <v/>
      </c>
      <c r="O1665" t="inlineStr">
        <is>
          <t>Não</t>
        </is>
      </c>
      <c r="P1665" t="inlineStr">
        <is>
          <t>1.350</t>
        </is>
      </c>
    </row>
    <row r="1666">
      <c r="A1666" t="inlineStr">
        <is>
          <t>Antes de 2026</t>
        </is>
      </c>
      <c r="B1666" t="inlineStr">
        <is>
          <t>Frete de venda</t>
        </is>
      </c>
      <c r="C1666" t="inlineStr">
        <is>
          <t>Frete de venda (para clientes)</t>
        </is>
      </c>
      <c r="D1666" t="inlineStr">
        <is>
          <t>CT-e</t>
        </is>
      </c>
      <c r="E1666" t="inlineStr">
        <is>
          <t>000004375</t>
        </is>
      </c>
      <c r="F1666" t="inlineStr">
        <is>
          <t>R&amp;R TRANSPORTE E LOGISTICA</t>
        </is>
      </c>
      <c r="G1666" s="27" t="n">
        <v>45812</v>
      </c>
      <c r="H1666" s="14" t="n">
        <v>19.99</v>
      </c>
      <c r="I1666" s="14" t="n">
        <v>0</v>
      </c>
      <c r="J1666" s="14" t="n">
        <v>0</v>
      </c>
      <c r="K1666" s="14" t="n">
        <v>0</v>
      </c>
      <c r="L1666" s="14" t="n">
        <v>0</v>
      </c>
      <c r="M1666" s="14">
        <f>IF(B1666="Frete de venda",0,(1-ISNUMBER(SEARCH("556",P1666)))*(I1666*VLOOKUP($B1666,Premissas!$A$4:$E$7,2,0)+J1666*VLOOKUP($B1666,Premissas!$A$4:$E$7,3,0))+K1666*VLOOKUP($B1666,Premissas!$A$4:$E$7,4,0)+L1666*VLOOKUP($B1666,Premissas!$A$4:$E$7,5,0))</f>
        <v/>
      </c>
      <c r="N1666" s="14">
        <f>H1666-M1666</f>
        <v/>
      </c>
      <c r="O1666" t="inlineStr">
        <is>
          <t>Não</t>
        </is>
      </c>
      <c r="P1666" t="inlineStr">
        <is>
          <t>1.350</t>
        </is>
      </c>
    </row>
    <row r="1667">
      <c r="A1667" t="inlineStr">
        <is>
          <t>Antes de 2026</t>
        </is>
      </c>
      <c r="B1667" t="inlineStr">
        <is>
          <t>Frete de venda</t>
        </is>
      </c>
      <c r="C1667" t="inlineStr">
        <is>
          <t>Frete de venda (para clientes)</t>
        </is>
      </c>
      <c r="D1667" t="inlineStr">
        <is>
          <t>CT-e</t>
        </is>
      </c>
      <c r="E1667" t="inlineStr">
        <is>
          <t>000005564</t>
        </is>
      </c>
      <c r="F1667" t="inlineStr">
        <is>
          <t>R&amp;R TRANSPORTE E LOGISTICA</t>
        </is>
      </c>
      <c r="G1667" s="27" t="n">
        <v>45955</v>
      </c>
      <c r="H1667" s="14" t="n">
        <v>36.32</v>
      </c>
      <c r="I1667" s="14" t="n">
        <v>0</v>
      </c>
      <c r="J1667" s="14" t="n">
        <v>0</v>
      </c>
      <c r="K1667" s="14" t="n">
        <v>0</v>
      </c>
      <c r="L1667" s="14" t="n">
        <v>0</v>
      </c>
      <c r="M1667" s="14">
        <f>IF(B1667="Frete de venda",0,(1-ISNUMBER(SEARCH("556",P1667)))*(I1667*VLOOKUP($B1667,Premissas!$A$4:$E$7,2,0)+J1667*VLOOKUP($B1667,Premissas!$A$4:$E$7,3,0))+K1667*VLOOKUP($B1667,Premissas!$A$4:$E$7,4,0)+L1667*VLOOKUP($B1667,Premissas!$A$4:$E$7,5,0))</f>
        <v/>
      </c>
      <c r="N1667" s="14">
        <f>H1667-M1667</f>
        <v/>
      </c>
      <c r="O1667" t="inlineStr">
        <is>
          <t>Não</t>
        </is>
      </c>
      <c r="P1667" t="inlineStr">
        <is>
          <t>1.350</t>
        </is>
      </c>
    </row>
    <row r="1668">
      <c r="A1668" t="inlineStr">
        <is>
          <t>Antes de 2026</t>
        </is>
      </c>
      <c r="B1668" t="inlineStr">
        <is>
          <t>Frete de venda</t>
        </is>
      </c>
      <c r="C1668" t="inlineStr">
        <is>
          <t>Frete de venda (para clientes)</t>
        </is>
      </c>
      <c r="D1668" t="inlineStr">
        <is>
          <t>CT-e</t>
        </is>
      </c>
      <c r="E1668" t="inlineStr">
        <is>
          <t>000004934</t>
        </is>
      </c>
      <c r="F1668" t="inlineStr">
        <is>
          <t>R&amp;R TRANSPORTE E LOGISTICA</t>
        </is>
      </c>
      <c r="G1668" s="27" t="n">
        <v>45884</v>
      </c>
      <c r="H1668" s="14" t="n">
        <v>17.64</v>
      </c>
      <c r="I1668" s="14" t="n">
        <v>0</v>
      </c>
      <c r="J1668" s="14" t="n">
        <v>0</v>
      </c>
      <c r="K1668" s="14" t="n">
        <v>0</v>
      </c>
      <c r="L1668" s="14" t="n">
        <v>0</v>
      </c>
      <c r="M1668" s="14">
        <f>IF(B1668="Frete de venda",0,(1-ISNUMBER(SEARCH("556",P1668)))*(I1668*VLOOKUP($B1668,Premissas!$A$4:$E$7,2,0)+J1668*VLOOKUP($B1668,Premissas!$A$4:$E$7,3,0))+K1668*VLOOKUP($B1668,Premissas!$A$4:$E$7,4,0)+L1668*VLOOKUP($B1668,Premissas!$A$4:$E$7,5,0))</f>
        <v/>
      </c>
      <c r="N1668" s="14">
        <f>H1668-M1668</f>
        <v/>
      </c>
      <c r="O1668" t="inlineStr">
        <is>
          <t>Não</t>
        </is>
      </c>
      <c r="P1668" t="inlineStr">
        <is>
          <t>1.350</t>
        </is>
      </c>
    </row>
    <row r="1669">
      <c r="A1669" t="inlineStr">
        <is>
          <t>Antes de 2026</t>
        </is>
      </c>
      <c r="B1669" t="inlineStr">
        <is>
          <t>Frete de venda</t>
        </is>
      </c>
      <c r="C1669" t="inlineStr">
        <is>
          <t>Frete de venda (para clientes)</t>
        </is>
      </c>
      <c r="D1669" t="inlineStr">
        <is>
          <t>CT-e</t>
        </is>
      </c>
      <c r="E1669" t="inlineStr">
        <is>
          <t>000005553</t>
        </is>
      </c>
      <c r="F1669" t="inlineStr">
        <is>
          <t>R&amp;R TRANSPORTE E LOGISTICA</t>
        </is>
      </c>
      <c r="G1669" s="27" t="n">
        <v>45955</v>
      </c>
      <c r="H1669" s="14" t="n">
        <v>17.82</v>
      </c>
      <c r="I1669" s="14" t="n">
        <v>0</v>
      </c>
      <c r="J1669" s="14" t="n">
        <v>0</v>
      </c>
      <c r="K1669" s="14" t="n">
        <v>0</v>
      </c>
      <c r="L1669" s="14" t="n">
        <v>0</v>
      </c>
      <c r="M1669" s="14">
        <f>IF(B1669="Frete de venda",0,(1-ISNUMBER(SEARCH("556",P1669)))*(I1669*VLOOKUP($B1669,Premissas!$A$4:$E$7,2,0)+J1669*VLOOKUP($B1669,Premissas!$A$4:$E$7,3,0))+K1669*VLOOKUP($B1669,Premissas!$A$4:$E$7,4,0)+L1669*VLOOKUP($B1669,Premissas!$A$4:$E$7,5,0))</f>
        <v/>
      </c>
      <c r="N1669" s="14">
        <f>H1669-M1669</f>
        <v/>
      </c>
      <c r="O1669" t="inlineStr">
        <is>
          <t>Não</t>
        </is>
      </c>
      <c r="P1669" t="inlineStr">
        <is>
          <t>1.350</t>
        </is>
      </c>
    </row>
    <row r="1670">
      <c r="A1670" t="inlineStr">
        <is>
          <t>Antes de 2026</t>
        </is>
      </c>
      <c r="B1670" t="inlineStr">
        <is>
          <t>Frete de venda</t>
        </is>
      </c>
      <c r="C1670" t="inlineStr">
        <is>
          <t>Frete de venda (para clientes)</t>
        </is>
      </c>
      <c r="D1670" t="inlineStr">
        <is>
          <t>CT-e</t>
        </is>
      </c>
      <c r="E1670" t="inlineStr">
        <is>
          <t>000006091</t>
        </is>
      </c>
      <c r="F1670" t="inlineStr">
        <is>
          <t>R&amp;R TRANSPORTE E LOGISTICA</t>
        </is>
      </c>
      <c r="G1670" s="27" t="n">
        <v>46021</v>
      </c>
      <c r="H1670" s="14" t="n">
        <v>9.09</v>
      </c>
      <c r="I1670" s="14" t="n">
        <v>0</v>
      </c>
      <c r="J1670" s="14" t="n">
        <v>0</v>
      </c>
      <c r="K1670" s="14" t="n">
        <v>0</v>
      </c>
      <c r="L1670" s="14" t="n">
        <v>0</v>
      </c>
      <c r="M1670" s="14">
        <f>IF(B1670="Frete de venda",0,(1-ISNUMBER(SEARCH("556",P1670)))*(I1670*VLOOKUP($B1670,Premissas!$A$4:$E$7,2,0)+J1670*VLOOKUP($B1670,Premissas!$A$4:$E$7,3,0))+K1670*VLOOKUP($B1670,Premissas!$A$4:$E$7,4,0)+L1670*VLOOKUP($B1670,Premissas!$A$4:$E$7,5,0))</f>
        <v/>
      </c>
      <c r="N1670" s="14">
        <f>H1670-M1670</f>
        <v/>
      </c>
      <c r="O1670" t="inlineStr">
        <is>
          <t>Não</t>
        </is>
      </c>
      <c r="P1670" t="inlineStr">
        <is>
          <t>1.350</t>
        </is>
      </c>
    </row>
    <row r="1671">
      <c r="A1671" t="inlineStr">
        <is>
          <t>Antes de 2026</t>
        </is>
      </c>
      <c r="B1671" t="inlineStr">
        <is>
          <t>Frete de venda</t>
        </is>
      </c>
      <c r="C1671" t="inlineStr">
        <is>
          <t>Frete de venda (para clientes)</t>
        </is>
      </c>
      <c r="D1671" t="inlineStr">
        <is>
          <t>CT-e</t>
        </is>
      </c>
      <c r="E1671" t="inlineStr">
        <is>
          <t>000004738</t>
        </is>
      </c>
      <c r="F1671" t="inlineStr">
        <is>
          <t>R&amp;R TRANSPORTE E LOGISTICA</t>
        </is>
      </c>
      <c r="G1671" s="27" t="n">
        <v>45863</v>
      </c>
      <c r="H1671" s="14" t="n">
        <v>31.51</v>
      </c>
      <c r="I1671" s="14" t="n">
        <v>0</v>
      </c>
      <c r="J1671" s="14" t="n">
        <v>0</v>
      </c>
      <c r="K1671" s="14" t="n">
        <v>0</v>
      </c>
      <c r="L1671" s="14" t="n">
        <v>0</v>
      </c>
      <c r="M1671" s="14">
        <f>IF(B1671="Frete de venda",0,(1-ISNUMBER(SEARCH("556",P1671)))*(I1671*VLOOKUP($B1671,Premissas!$A$4:$E$7,2,0)+J1671*VLOOKUP($B1671,Premissas!$A$4:$E$7,3,0))+K1671*VLOOKUP($B1671,Premissas!$A$4:$E$7,4,0)+L1671*VLOOKUP($B1671,Premissas!$A$4:$E$7,5,0))</f>
        <v/>
      </c>
      <c r="N1671" s="14">
        <f>H1671-M1671</f>
        <v/>
      </c>
      <c r="O1671" t="inlineStr">
        <is>
          <t>Não</t>
        </is>
      </c>
      <c r="P1671" t="inlineStr">
        <is>
          <t>1.350</t>
        </is>
      </c>
    </row>
    <row r="1672">
      <c r="A1672" t="inlineStr">
        <is>
          <t>Antes de 2026</t>
        </is>
      </c>
      <c r="B1672" t="inlineStr">
        <is>
          <t>Frete de venda</t>
        </is>
      </c>
      <c r="C1672" t="inlineStr">
        <is>
          <t>Frete de venda (para clientes)</t>
        </is>
      </c>
      <c r="D1672" t="inlineStr">
        <is>
          <t>CT-e</t>
        </is>
      </c>
      <c r="E1672" t="inlineStr">
        <is>
          <t>000005443</t>
        </is>
      </c>
      <c r="F1672" t="inlineStr">
        <is>
          <t>R&amp;R TRANSPORTE E LOGISTICA</t>
        </is>
      </c>
      <c r="G1672" s="27" t="n">
        <v>45940</v>
      </c>
      <c r="H1672" s="14" t="n">
        <v>21.64</v>
      </c>
      <c r="I1672" s="14" t="n">
        <v>0</v>
      </c>
      <c r="J1672" s="14" t="n">
        <v>0</v>
      </c>
      <c r="K1672" s="14" t="n">
        <v>0</v>
      </c>
      <c r="L1672" s="14" t="n">
        <v>0</v>
      </c>
      <c r="M1672" s="14">
        <f>IF(B1672="Frete de venda",0,(1-ISNUMBER(SEARCH("556",P1672)))*(I1672*VLOOKUP($B1672,Premissas!$A$4:$E$7,2,0)+J1672*VLOOKUP($B1672,Premissas!$A$4:$E$7,3,0))+K1672*VLOOKUP($B1672,Premissas!$A$4:$E$7,4,0)+L1672*VLOOKUP($B1672,Premissas!$A$4:$E$7,5,0))</f>
        <v/>
      </c>
      <c r="N1672" s="14">
        <f>H1672-M1672</f>
        <v/>
      </c>
      <c r="O1672" t="inlineStr">
        <is>
          <t>Não</t>
        </is>
      </c>
      <c r="P1672" t="inlineStr">
        <is>
          <t>1.350</t>
        </is>
      </c>
    </row>
    <row r="1673">
      <c r="A1673" t="inlineStr">
        <is>
          <t>Antes de 2026</t>
        </is>
      </c>
      <c r="B1673" t="inlineStr">
        <is>
          <t>Frete de venda</t>
        </is>
      </c>
      <c r="C1673" t="inlineStr">
        <is>
          <t>Frete de venda (para clientes)</t>
        </is>
      </c>
      <c r="D1673" t="inlineStr">
        <is>
          <t>CT-e</t>
        </is>
      </c>
      <c r="E1673" t="inlineStr">
        <is>
          <t>000004939</t>
        </is>
      </c>
      <c r="F1673" t="inlineStr">
        <is>
          <t>R&amp;R TRANSPORTE E LOGISTICA</t>
        </is>
      </c>
      <c r="G1673" s="27" t="n">
        <v>45884</v>
      </c>
      <c r="H1673" s="14" t="n">
        <v>19.27</v>
      </c>
      <c r="I1673" s="14" t="n">
        <v>0</v>
      </c>
      <c r="J1673" s="14" t="n">
        <v>0</v>
      </c>
      <c r="K1673" s="14" t="n">
        <v>0</v>
      </c>
      <c r="L1673" s="14" t="n">
        <v>0</v>
      </c>
      <c r="M1673" s="14">
        <f>IF(B1673="Frete de venda",0,(1-ISNUMBER(SEARCH("556",P1673)))*(I1673*VLOOKUP($B1673,Premissas!$A$4:$E$7,2,0)+J1673*VLOOKUP($B1673,Premissas!$A$4:$E$7,3,0))+K1673*VLOOKUP($B1673,Premissas!$A$4:$E$7,4,0)+L1673*VLOOKUP($B1673,Premissas!$A$4:$E$7,5,0))</f>
        <v/>
      </c>
      <c r="N1673" s="14">
        <f>H1673-M1673</f>
        <v/>
      </c>
      <c r="O1673" t="inlineStr">
        <is>
          <t>Não</t>
        </is>
      </c>
      <c r="P1673" t="inlineStr">
        <is>
          <t>1.350</t>
        </is>
      </c>
    </row>
    <row r="1674">
      <c r="A1674" t="inlineStr">
        <is>
          <t>Antes de 2026</t>
        </is>
      </c>
      <c r="B1674" t="inlineStr">
        <is>
          <t>Frete de venda</t>
        </is>
      </c>
      <c r="C1674" t="inlineStr">
        <is>
          <t>Frete de venda (para clientes)</t>
        </is>
      </c>
      <c r="D1674" t="inlineStr">
        <is>
          <t>CT-e</t>
        </is>
      </c>
      <c r="E1674" t="inlineStr">
        <is>
          <t>000004772</t>
        </is>
      </c>
      <c r="F1674" t="inlineStr">
        <is>
          <t>R&amp;R TRANSPORTE E LOGISTICA</t>
        </is>
      </c>
      <c r="G1674" s="27" t="n">
        <v>45867</v>
      </c>
      <c r="H1674" s="14" t="n">
        <v>692.51</v>
      </c>
      <c r="I1674" s="14" t="n">
        <v>0</v>
      </c>
      <c r="J1674" s="14" t="n">
        <v>0</v>
      </c>
      <c r="K1674" s="14" t="n">
        <v>0</v>
      </c>
      <c r="L1674" s="14" t="n">
        <v>0</v>
      </c>
      <c r="M1674" s="14">
        <f>IF(B1674="Frete de venda",0,(1-ISNUMBER(SEARCH("556",P1674)))*(I1674*VLOOKUP($B1674,Premissas!$A$4:$E$7,2,0)+J1674*VLOOKUP($B1674,Premissas!$A$4:$E$7,3,0))+K1674*VLOOKUP($B1674,Premissas!$A$4:$E$7,4,0)+L1674*VLOOKUP($B1674,Premissas!$A$4:$E$7,5,0))</f>
        <v/>
      </c>
      <c r="N1674" s="14">
        <f>H1674-M1674</f>
        <v/>
      </c>
      <c r="O1674" t="inlineStr">
        <is>
          <t>Não</t>
        </is>
      </c>
      <c r="P1674" t="inlineStr">
        <is>
          <t>1.350</t>
        </is>
      </c>
    </row>
    <row r="1675">
      <c r="A1675" t="inlineStr">
        <is>
          <t>Antes de 2026</t>
        </is>
      </c>
      <c r="B1675" t="inlineStr">
        <is>
          <t>Frete de venda</t>
        </is>
      </c>
      <c r="C1675" t="inlineStr">
        <is>
          <t>Frete de venda (para clientes)</t>
        </is>
      </c>
      <c r="D1675" t="inlineStr">
        <is>
          <t>CT-e</t>
        </is>
      </c>
      <c r="E1675" t="inlineStr">
        <is>
          <t>000005511</t>
        </is>
      </c>
      <c r="F1675" t="inlineStr">
        <is>
          <t>R&amp;R TRANSPORTE E LOGISTICA</t>
        </is>
      </c>
      <c r="G1675" s="27" t="n">
        <v>45948</v>
      </c>
      <c r="H1675" s="14" t="n">
        <v>786</v>
      </c>
      <c r="I1675" s="14" t="n">
        <v>0</v>
      </c>
      <c r="J1675" s="14" t="n">
        <v>0</v>
      </c>
      <c r="K1675" s="14" t="n">
        <v>0</v>
      </c>
      <c r="L1675" s="14" t="n">
        <v>0</v>
      </c>
      <c r="M1675" s="14">
        <f>IF(B1675="Frete de venda",0,(1-ISNUMBER(SEARCH("556",P1675)))*(I1675*VLOOKUP($B1675,Premissas!$A$4:$E$7,2,0)+J1675*VLOOKUP($B1675,Premissas!$A$4:$E$7,3,0))+K1675*VLOOKUP($B1675,Premissas!$A$4:$E$7,4,0)+L1675*VLOOKUP($B1675,Premissas!$A$4:$E$7,5,0))</f>
        <v/>
      </c>
      <c r="N1675" s="14">
        <f>H1675-M1675</f>
        <v/>
      </c>
      <c r="O1675" t="inlineStr">
        <is>
          <t>Não</t>
        </is>
      </c>
      <c r="P1675" t="inlineStr">
        <is>
          <t>1.350</t>
        </is>
      </c>
    </row>
    <row r="1676">
      <c r="A1676" t="inlineStr">
        <is>
          <t>Antes de 2026</t>
        </is>
      </c>
      <c r="B1676" t="inlineStr">
        <is>
          <t>Frete de venda</t>
        </is>
      </c>
      <c r="C1676" t="inlineStr">
        <is>
          <t>Frete de venda (para clientes)</t>
        </is>
      </c>
      <c r="D1676" t="inlineStr">
        <is>
          <t>CT-e</t>
        </is>
      </c>
      <c r="E1676" t="inlineStr">
        <is>
          <t>000005772</t>
        </is>
      </c>
      <c r="F1676" t="inlineStr">
        <is>
          <t>R&amp;R TRANSPORTE E LOGISTICA</t>
        </is>
      </c>
      <c r="G1676" s="27" t="n">
        <v>45981</v>
      </c>
      <c r="H1676" s="14" t="n">
        <v>30.62</v>
      </c>
      <c r="I1676" s="14" t="n">
        <v>0</v>
      </c>
      <c r="J1676" s="14" t="n">
        <v>0</v>
      </c>
      <c r="K1676" s="14" t="n">
        <v>0</v>
      </c>
      <c r="L1676" s="14" t="n">
        <v>0</v>
      </c>
      <c r="M1676" s="14">
        <f>IF(B1676="Frete de venda",0,(1-ISNUMBER(SEARCH("556",P1676)))*(I1676*VLOOKUP($B1676,Premissas!$A$4:$E$7,2,0)+J1676*VLOOKUP($B1676,Premissas!$A$4:$E$7,3,0))+K1676*VLOOKUP($B1676,Premissas!$A$4:$E$7,4,0)+L1676*VLOOKUP($B1676,Premissas!$A$4:$E$7,5,0))</f>
        <v/>
      </c>
      <c r="N1676" s="14">
        <f>H1676-M1676</f>
        <v/>
      </c>
      <c r="O1676" t="inlineStr">
        <is>
          <t>Não</t>
        </is>
      </c>
      <c r="P1676" t="inlineStr">
        <is>
          <t>1.350</t>
        </is>
      </c>
    </row>
    <row r="1677">
      <c r="A1677" t="inlineStr">
        <is>
          <t>Antes de 2026</t>
        </is>
      </c>
      <c r="B1677" t="inlineStr">
        <is>
          <t>Frete de venda</t>
        </is>
      </c>
      <c r="C1677" t="inlineStr">
        <is>
          <t>Frete de venda (para clientes)</t>
        </is>
      </c>
      <c r="D1677" t="inlineStr">
        <is>
          <t>CT-e</t>
        </is>
      </c>
      <c r="E1677" t="inlineStr">
        <is>
          <t>000004209</t>
        </is>
      </c>
      <c r="F1677" t="inlineStr">
        <is>
          <t>R&amp;R TRANSPORTE E LOGISTICA</t>
        </is>
      </c>
      <c r="G1677" s="27" t="n">
        <v>45790</v>
      </c>
      <c r="H1677" s="14" t="n">
        <v>29.82</v>
      </c>
      <c r="I1677" s="14" t="n">
        <v>0</v>
      </c>
      <c r="J1677" s="14" t="n">
        <v>0</v>
      </c>
      <c r="K1677" s="14" t="n">
        <v>0</v>
      </c>
      <c r="L1677" s="14" t="n">
        <v>0</v>
      </c>
      <c r="M1677" s="14">
        <f>IF(B1677="Frete de venda",0,(1-ISNUMBER(SEARCH("556",P1677)))*(I1677*VLOOKUP($B1677,Premissas!$A$4:$E$7,2,0)+J1677*VLOOKUP($B1677,Premissas!$A$4:$E$7,3,0))+K1677*VLOOKUP($B1677,Premissas!$A$4:$E$7,4,0)+L1677*VLOOKUP($B1677,Premissas!$A$4:$E$7,5,0))</f>
        <v/>
      </c>
      <c r="N1677" s="14">
        <f>H1677-M1677</f>
        <v/>
      </c>
      <c r="O1677" t="inlineStr">
        <is>
          <t>Não</t>
        </is>
      </c>
      <c r="P1677" t="inlineStr">
        <is>
          <t>1.350</t>
        </is>
      </c>
    </row>
    <row r="1678">
      <c r="A1678" t="inlineStr">
        <is>
          <t>Antes de 2026</t>
        </is>
      </c>
      <c r="B1678" t="inlineStr">
        <is>
          <t>Frete de venda</t>
        </is>
      </c>
      <c r="C1678" t="inlineStr">
        <is>
          <t>Frete de venda (para clientes)</t>
        </is>
      </c>
      <c r="D1678" t="inlineStr">
        <is>
          <t>CT-e</t>
        </is>
      </c>
      <c r="E1678" t="inlineStr">
        <is>
          <t>000005031</t>
        </is>
      </c>
      <c r="F1678" t="inlineStr">
        <is>
          <t>R&amp;R TRANSPORTE E LOGISTICA</t>
        </is>
      </c>
      <c r="G1678" s="27" t="n">
        <v>45895</v>
      </c>
      <c r="H1678" s="14" t="n">
        <v>21.82</v>
      </c>
      <c r="I1678" s="14" t="n">
        <v>0</v>
      </c>
      <c r="J1678" s="14" t="n">
        <v>0</v>
      </c>
      <c r="K1678" s="14" t="n">
        <v>0</v>
      </c>
      <c r="L1678" s="14" t="n">
        <v>0</v>
      </c>
      <c r="M1678" s="14">
        <f>IF(B1678="Frete de venda",0,(1-ISNUMBER(SEARCH("556",P1678)))*(I1678*VLOOKUP($B1678,Premissas!$A$4:$E$7,2,0)+J1678*VLOOKUP($B1678,Premissas!$A$4:$E$7,3,0))+K1678*VLOOKUP($B1678,Premissas!$A$4:$E$7,4,0)+L1678*VLOOKUP($B1678,Premissas!$A$4:$E$7,5,0))</f>
        <v/>
      </c>
      <c r="N1678" s="14">
        <f>H1678-M1678</f>
        <v/>
      </c>
      <c r="O1678" t="inlineStr">
        <is>
          <t>Não</t>
        </is>
      </c>
      <c r="P1678" t="inlineStr">
        <is>
          <t>1.350</t>
        </is>
      </c>
    </row>
    <row r="1679">
      <c r="A1679" t="inlineStr">
        <is>
          <t>Antes de 2026</t>
        </is>
      </c>
      <c r="B1679" t="inlineStr">
        <is>
          <t>Frete de venda</t>
        </is>
      </c>
      <c r="C1679" t="inlineStr">
        <is>
          <t>Frete de venda (para clientes)</t>
        </is>
      </c>
      <c r="D1679" t="inlineStr">
        <is>
          <t>CT-e</t>
        </is>
      </c>
      <c r="E1679" t="inlineStr">
        <is>
          <t>000005572</t>
        </is>
      </c>
      <c r="F1679" t="inlineStr">
        <is>
          <t>R&amp;R TRANSPORTE E LOGISTICA</t>
        </is>
      </c>
      <c r="G1679" s="27" t="n">
        <v>45955</v>
      </c>
      <c r="H1679" s="14" t="n">
        <v>21.45</v>
      </c>
      <c r="I1679" s="14" t="n">
        <v>0</v>
      </c>
      <c r="J1679" s="14" t="n">
        <v>0</v>
      </c>
      <c r="K1679" s="14" t="n">
        <v>0</v>
      </c>
      <c r="L1679" s="14" t="n">
        <v>0</v>
      </c>
      <c r="M1679" s="14">
        <f>IF(B1679="Frete de venda",0,(1-ISNUMBER(SEARCH("556",P1679)))*(I1679*VLOOKUP($B1679,Premissas!$A$4:$E$7,2,0)+J1679*VLOOKUP($B1679,Premissas!$A$4:$E$7,3,0))+K1679*VLOOKUP($B1679,Premissas!$A$4:$E$7,4,0)+L1679*VLOOKUP($B1679,Premissas!$A$4:$E$7,5,0))</f>
        <v/>
      </c>
      <c r="N1679" s="14">
        <f>H1679-M1679</f>
        <v/>
      </c>
      <c r="O1679" t="inlineStr">
        <is>
          <t>Não</t>
        </is>
      </c>
      <c r="P1679" t="inlineStr">
        <is>
          <t>1.350</t>
        </is>
      </c>
    </row>
    <row r="1680">
      <c r="A1680" t="inlineStr">
        <is>
          <t>Antes de 2026</t>
        </is>
      </c>
      <c r="B1680" t="inlineStr">
        <is>
          <t>Frete de venda</t>
        </is>
      </c>
      <c r="C1680" t="inlineStr">
        <is>
          <t>Frete de venda (para clientes)</t>
        </is>
      </c>
      <c r="D1680" t="inlineStr">
        <is>
          <t>CT-e</t>
        </is>
      </c>
      <c r="E1680" t="inlineStr">
        <is>
          <t>000005217</t>
        </is>
      </c>
      <c r="F1680" t="inlineStr">
        <is>
          <t>R&amp;R TRANSPORTE E LOGISTICA</t>
        </is>
      </c>
      <c r="G1680" s="27" t="n">
        <v>45917</v>
      </c>
      <c r="H1680" s="14" t="n">
        <v>786</v>
      </c>
      <c r="I1680" s="14" t="n">
        <v>0</v>
      </c>
      <c r="J1680" s="14" t="n">
        <v>0</v>
      </c>
      <c r="K1680" s="14" t="n">
        <v>0</v>
      </c>
      <c r="L1680" s="14" t="n">
        <v>0</v>
      </c>
      <c r="M1680" s="14">
        <f>IF(B1680="Frete de venda",0,(1-ISNUMBER(SEARCH("556",P1680)))*(I1680*VLOOKUP($B1680,Premissas!$A$4:$E$7,2,0)+J1680*VLOOKUP($B1680,Premissas!$A$4:$E$7,3,0))+K1680*VLOOKUP($B1680,Premissas!$A$4:$E$7,4,0)+L1680*VLOOKUP($B1680,Premissas!$A$4:$E$7,5,0))</f>
        <v/>
      </c>
      <c r="N1680" s="14">
        <f>H1680-M1680</f>
        <v/>
      </c>
      <c r="O1680" t="inlineStr">
        <is>
          <t>Não</t>
        </is>
      </c>
      <c r="P1680" t="inlineStr">
        <is>
          <t>1.350</t>
        </is>
      </c>
    </row>
    <row r="1681">
      <c r="A1681" t="inlineStr">
        <is>
          <t>Antes de 2026</t>
        </is>
      </c>
      <c r="B1681" t="inlineStr">
        <is>
          <t>Frete de venda</t>
        </is>
      </c>
      <c r="C1681" t="inlineStr">
        <is>
          <t>Frete de venda (para clientes)</t>
        </is>
      </c>
      <c r="D1681" t="inlineStr">
        <is>
          <t>CT-e</t>
        </is>
      </c>
      <c r="E1681" t="inlineStr">
        <is>
          <t>000004898</t>
        </is>
      </c>
      <c r="F1681" t="inlineStr">
        <is>
          <t>R&amp;R TRANSPORTE E LOGISTICA</t>
        </is>
      </c>
      <c r="G1681" s="27" t="n">
        <v>45881</v>
      </c>
      <c r="H1681" s="14" t="n">
        <v>26.14</v>
      </c>
      <c r="I1681" s="14" t="n">
        <v>0</v>
      </c>
      <c r="J1681" s="14" t="n">
        <v>0</v>
      </c>
      <c r="K1681" s="14" t="n">
        <v>0</v>
      </c>
      <c r="L1681" s="14" t="n">
        <v>0</v>
      </c>
      <c r="M1681" s="14">
        <f>IF(B1681="Frete de venda",0,(1-ISNUMBER(SEARCH("556",P1681)))*(I1681*VLOOKUP($B1681,Premissas!$A$4:$E$7,2,0)+J1681*VLOOKUP($B1681,Premissas!$A$4:$E$7,3,0))+K1681*VLOOKUP($B1681,Premissas!$A$4:$E$7,4,0)+L1681*VLOOKUP($B1681,Premissas!$A$4:$E$7,5,0))</f>
        <v/>
      </c>
      <c r="N1681" s="14">
        <f>H1681-M1681</f>
        <v/>
      </c>
      <c r="O1681" t="inlineStr">
        <is>
          <t>Não</t>
        </is>
      </c>
      <c r="P1681" t="inlineStr">
        <is>
          <t>1.350</t>
        </is>
      </c>
    </row>
    <row r="1682">
      <c r="A1682" t="inlineStr">
        <is>
          <t>Antes de 2026</t>
        </is>
      </c>
      <c r="B1682" t="inlineStr">
        <is>
          <t>Frete de venda</t>
        </is>
      </c>
      <c r="C1682" t="inlineStr">
        <is>
          <t>Frete de venda (para clientes)</t>
        </is>
      </c>
      <c r="D1682" t="inlineStr">
        <is>
          <t>CT-e</t>
        </is>
      </c>
      <c r="E1682" t="inlineStr">
        <is>
          <t>000005247</t>
        </is>
      </c>
      <c r="F1682" t="inlineStr">
        <is>
          <t>R&amp;R TRANSPORTE E LOGISTICA</t>
        </is>
      </c>
      <c r="G1682" s="27" t="n">
        <v>45918</v>
      </c>
      <c r="H1682" s="14" t="n">
        <v>14.36</v>
      </c>
      <c r="I1682" s="14" t="n">
        <v>0</v>
      </c>
      <c r="J1682" s="14" t="n">
        <v>0</v>
      </c>
      <c r="K1682" s="14" t="n">
        <v>0</v>
      </c>
      <c r="L1682" s="14" t="n">
        <v>0</v>
      </c>
      <c r="M1682" s="14">
        <f>IF(B1682="Frete de venda",0,(1-ISNUMBER(SEARCH("556",P1682)))*(I1682*VLOOKUP($B1682,Premissas!$A$4:$E$7,2,0)+J1682*VLOOKUP($B1682,Premissas!$A$4:$E$7,3,0))+K1682*VLOOKUP($B1682,Premissas!$A$4:$E$7,4,0)+L1682*VLOOKUP($B1682,Premissas!$A$4:$E$7,5,0))</f>
        <v/>
      </c>
      <c r="N1682" s="14">
        <f>H1682-M1682</f>
        <v/>
      </c>
      <c r="O1682" t="inlineStr">
        <is>
          <t>Não</t>
        </is>
      </c>
      <c r="P1682" t="inlineStr">
        <is>
          <t>1.350</t>
        </is>
      </c>
    </row>
    <row r="1683">
      <c r="A1683" t="inlineStr">
        <is>
          <t>Antes de 2026</t>
        </is>
      </c>
      <c r="B1683" t="inlineStr">
        <is>
          <t>Frete de venda</t>
        </is>
      </c>
      <c r="C1683" t="inlineStr">
        <is>
          <t>Frete de venda (para clientes)</t>
        </is>
      </c>
      <c r="D1683" t="inlineStr">
        <is>
          <t>CT-e</t>
        </is>
      </c>
      <c r="E1683" t="inlineStr">
        <is>
          <t>000005086</t>
        </is>
      </c>
      <c r="F1683" t="inlineStr">
        <is>
          <t>R&amp;R TRANSPORTE E LOGISTICA</t>
        </is>
      </c>
      <c r="G1683" s="27" t="n">
        <v>45898</v>
      </c>
      <c r="H1683" s="14" t="n">
        <v>191.72</v>
      </c>
      <c r="I1683" s="14" t="n">
        <v>0</v>
      </c>
      <c r="J1683" s="14" t="n">
        <v>0</v>
      </c>
      <c r="K1683" s="14" t="n">
        <v>0</v>
      </c>
      <c r="L1683" s="14" t="n">
        <v>0</v>
      </c>
      <c r="M1683" s="14">
        <f>IF(B1683="Frete de venda",0,(1-ISNUMBER(SEARCH("556",P1683)))*(I1683*VLOOKUP($B1683,Premissas!$A$4:$E$7,2,0)+J1683*VLOOKUP($B1683,Premissas!$A$4:$E$7,3,0))+K1683*VLOOKUP($B1683,Premissas!$A$4:$E$7,4,0)+L1683*VLOOKUP($B1683,Premissas!$A$4:$E$7,5,0))</f>
        <v/>
      </c>
      <c r="N1683" s="14">
        <f>H1683-M1683</f>
        <v/>
      </c>
      <c r="O1683" t="inlineStr">
        <is>
          <t>Não</t>
        </is>
      </c>
      <c r="P1683" t="inlineStr">
        <is>
          <t>1.350</t>
        </is>
      </c>
    </row>
    <row r="1684">
      <c r="A1684" t="inlineStr">
        <is>
          <t>Antes de 2026</t>
        </is>
      </c>
      <c r="B1684" t="inlineStr">
        <is>
          <t>Frete de venda</t>
        </is>
      </c>
      <c r="C1684" t="inlineStr">
        <is>
          <t>Frete de venda (para clientes)</t>
        </is>
      </c>
      <c r="D1684" t="inlineStr">
        <is>
          <t>CT-e</t>
        </is>
      </c>
      <c r="E1684" t="inlineStr">
        <is>
          <t>000004933</t>
        </is>
      </c>
      <c r="F1684" t="inlineStr">
        <is>
          <t>R&amp;R TRANSPORTE E LOGISTICA</t>
        </is>
      </c>
      <c r="G1684" s="27" t="n">
        <v>45884</v>
      </c>
      <c r="H1684" s="14" t="n">
        <v>16.2</v>
      </c>
      <c r="I1684" s="14" t="n">
        <v>0</v>
      </c>
      <c r="J1684" s="14" t="n">
        <v>0</v>
      </c>
      <c r="K1684" s="14" t="n">
        <v>0</v>
      </c>
      <c r="L1684" s="14" t="n">
        <v>0</v>
      </c>
      <c r="M1684" s="14">
        <f>IF(B1684="Frete de venda",0,(1-ISNUMBER(SEARCH("556",P1684)))*(I1684*VLOOKUP($B1684,Premissas!$A$4:$E$7,2,0)+J1684*VLOOKUP($B1684,Premissas!$A$4:$E$7,3,0))+K1684*VLOOKUP($B1684,Premissas!$A$4:$E$7,4,0)+L1684*VLOOKUP($B1684,Premissas!$A$4:$E$7,5,0))</f>
        <v/>
      </c>
      <c r="N1684" s="14">
        <f>H1684-M1684</f>
        <v/>
      </c>
      <c r="O1684" t="inlineStr">
        <is>
          <t>Não</t>
        </is>
      </c>
      <c r="P1684" t="inlineStr">
        <is>
          <t>1.350</t>
        </is>
      </c>
    </row>
    <row r="1685">
      <c r="A1685" t="inlineStr">
        <is>
          <t>Antes de 2026</t>
        </is>
      </c>
      <c r="B1685" t="inlineStr">
        <is>
          <t>Frete de venda</t>
        </is>
      </c>
      <c r="C1685" t="inlineStr">
        <is>
          <t>Frete de venda (para clientes)</t>
        </is>
      </c>
      <c r="D1685" t="inlineStr">
        <is>
          <t>CT-e</t>
        </is>
      </c>
      <c r="E1685" t="inlineStr">
        <is>
          <t>000005470</t>
        </is>
      </c>
      <c r="F1685" t="inlineStr">
        <is>
          <t>R&amp;R TRANSPORTE E LOGISTICA</t>
        </is>
      </c>
      <c r="G1685" s="27" t="n">
        <v>45944</v>
      </c>
      <c r="H1685" s="14" t="n">
        <v>32.91</v>
      </c>
      <c r="I1685" s="14" t="n">
        <v>0</v>
      </c>
      <c r="J1685" s="14" t="n">
        <v>0</v>
      </c>
      <c r="K1685" s="14" t="n">
        <v>0</v>
      </c>
      <c r="L1685" s="14" t="n">
        <v>0</v>
      </c>
      <c r="M1685" s="14">
        <f>IF(B1685="Frete de venda",0,(1-ISNUMBER(SEARCH("556",P1685)))*(I1685*VLOOKUP($B1685,Premissas!$A$4:$E$7,2,0)+J1685*VLOOKUP($B1685,Premissas!$A$4:$E$7,3,0))+K1685*VLOOKUP($B1685,Premissas!$A$4:$E$7,4,0)+L1685*VLOOKUP($B1685,Premissas!$A$4:$E$7,5,0))</f>
        <v/>
      </c>
      <c r="N1685" s="14">
        <f>H1685-M1685</f>
        <v/>
      </c>
      <c r="O1685" t="inlineStr">
        <is>
          <t>Não</t>
        </is>
      </c>
      <c r="P1685" t="inlineStr">
        <is>
          <t>1.350</t>
        </is>
      </c>
    </row>
    <row r="1686">
      <c r="A1686" t="inlineStr">
        <is>
          <t>Antes de 2026</t>
        </is>
      </c>
      <c r="B1686" t="inlineStr">
        <is>
          <t>Frete de venda</t>
        </is>
      </c>
      <c r="C1686" t="inlineStr">
        <is>
          <t>Frete de venda (para clientes)</t>
        </is>
      </c>
      <c r="D1686" t="inlineStr">
        <is>
          <t>CT-e</t>
        </is>
      </c>
      <c r="E1686" t="inlineStr">
        <is>
          <t>000005898</t>
        </is>
      </c>
      <c r="F1686" t="inlineStr">
        <is>
          <t>R&amp;R TRANSPORTE E LOGISTICA</t>
        </is>
      </c>
      <c r="G1686" s="27" t="n">
        <v>45993</v>
      </c>
      <c r="H1686" s="14" t="n">
        <v>31.21</v>
      </c>
      <c r="I1686" s="14" t="n">
        <v>0</v>
      </c>
      <c r="J1686" s="14" t="n">
        <v>0</v>
      </c>
      <c r="K1686" s="14" t="n">
        <v>0</v>
      </c>
      <c r="L1686" s="14" t="n">
        <v>0</v>
      </c>
      <c r="M1686" s="14">
        <f>IF(B1686="Frete de venda",0,(1-ISNUMBER(SEARCH("556",P1686)))*(I1686*VLOOKUP($B1686,Premissas!$A$4:$E$7,2,0)+J1686*VLOOKUP($B1686,Premissas!$A$4:$E$7,3,0))+K1686*VLOOKUP($B1686,Premissas!$A$4:$E$7,4,0)+L1686*VLOOKUP($B1686,Premissas!$A$4:$E$7,5,0))</f>
        <v/>
      </c>
      <c r="N1686" s="14">
        <f>H1686-M1686</f>
        <v/>
      </c>
      <c r="O1686" t="inlineStr">
        <is>
          <t>Não</t>
        </is>
      </c>
      <c r="P1686" t="inlineStr">
        <is>
          <t>1.350</t>
        </is>
      </c>
    </row>
    <row r="1687">
      <c r="A1687" t="inlineStr">
        <is>
          <t>Antes de 2026</t>
        </is>
      </c>
      <c r="B1687" t="inlineStr">
        <is>
          <t>Frete de venda</t>
        </is>
      </c>
      <c r="C1687" t="inlineStr">
        <is>
          <t>Frete de venda (para clientes)</t>
        </is>
      </c>
      <c r="D1687" t="inlineStr">
        <is>
          <t>CT-e</t>
        </is>
      </c>
      <c r="E1687" t="inlineStr">
        <is>
          <t>000005556</t>
        </is>
      </c>
      <c r="F1687" t="inlineStr">
        <is>
          <t>R&amp;R TRANSPORTE E LOGISTICA</t>
        </is>
      </c>
      <c r="G1687" s="27" t="n">
        <v>45955</v>
      </c>
      <c r="H1687" s="14" t="n">
        <v>16.65</v>
      </c>
      <c r="I1687" s="14" t="n">
        <v>0</v>
      </c>
      <c r="J1687" s="14" t="n">
        <v>0</v>
      </c>
      <c r="K1687" s="14" t="n">
        <v>0</v>
      </c>
      <c r="L1687" s="14" t="n">
        <v>0</v>
      </c>
      <c r="M1687" s="14">
        <f>IF(B1687="Frete de venda",0,(1-ISNUMBER(SEARCH("556",P1687)))*(I1687*VLOOKUP($B1687,Premissas!$A$4:$E$7,2,0)+J1687*VLOOKUP($B1687,Premissas!$A$4:$E$7,3,0))+K1687*VLOOKUP($B1687,Premissas!$A$4:$E$7,4,0)+L1687*VLOOKUP($B1687,Premissas!$A$4:$E$7,5,0))</f>
        <v/>
      </c>
      <c r="N1687" s="14">
        <f>H1687-M1687</f>
        <v/>
      </c>
      <c r="O1687" t="inlineStr">
        <is>
          <t>Não</t>
        </is>
      </c>
      <c r="P1687" t="inlineStr">
        <is>
          <t>1.350</t>
        </is>
      </c>
    </row>
    <row r="1688">
      <c r="A1688" t="inlineStr">
        <is>
          <t>Antes de 2026</t>
        </is>
      </c>
      <c r="B1688" t="inlineStr">
        <is>
          <t>Frete de venda</t>
        </is>
      </c>
      <c r="C1688" t="inlineStr">
        <is>
          <t>Frete de venda (para clientes)</t>
        </is>
      </c>
      <c r="D1688" t="inlineStr">
        <is>
          <t>CT-e</t>
        </is>
      </c>
      <c r="E1688" t="inlineStr">
        <is>
          <t>000005793</t>
        </is>
      </c>
      <c r="F1688" t="inlineStr">
        <is>
          <t>R&amp;R TRANSPORTE E LOGISTICA</t>
        </is>
      </c>
      <c r="G1688" s="27" t="n">
        <v>45981</v>
      </c>
      <c r="H1688" s="14" t="n">
        <v>11.37</v>
      </c>
      <c r="I1688" s="14" t="n">
        <v>0</v>
      </c>
      <c r="J1688" s="14" t="n">
        <v>0</v>
      </c>
      <c r="K1688" s="14" t="n">
        <v>0</v>
      </c>
      <c r="L1688" s="14" t="n">
        <v>0</v>
      </c>
      <c r="M1688" s="14">
        <f>IF(B1688="Frete de venda",0,(1-ISNUMBER(SEARCH("556",P1688)))*(I1688*VLOOKUP($B1688,Premissas!$A$4:$E$7,2,0)+J1688*VLOOKUP($B1688,Premissas!$A$4:$E$7,3,0))+K1688*VLOOKUP($B1688,Premissas!$A$4:$E$7,4,0)+L1688*VLOOKUP($B1688,Premissas!$A$4:$E$7,5,0))</f>
        <v/>
      </c>
      <c r="N1688" s="14">
        <f>H1688-M1688</f>
        <v/>
      </c>
      <c r="O1688" t="inlineStr">
        <is>
          <t>Não</t>
        </is>
      </c>
      <c r="P1688" t="inlineStr">
        <is>
          <t>1.350</t>
        </is>
      </c>
    </row>
    <row r="1689">
      <c r="A1689" t="inlineStr">
        <is>
          <t>Antes de 2026</t>
        </is>
      </c>
      <c r="B1689" t="inlineStr">
        <is>
          <t>Frete de venda</t>
        </is>
      </c>
      <c r="C1689" t="inlineStr">
        <is>
          <t>Frete de venda (para clientes)</t>
        </is>
      </c>
      <c r="D1689" t="inlineStr">
        <is>
          <t>CT-e</t>
        </is>
      </c>
      <c r="E1689" t="inlineStr">
        <is>
          <t>000005445</t>
        </is>
      </c>
      <c r="F1689" t="inlineStr">
        <is>
          <t>R&amp;R TRANSPORTE E LOGISTICA</t>
        </is>
      </c>
      <c r="G1689" s="27" t="n">
        <v>45940</v>
      </c>
      <c r="H1689" s="14" t="n">
        <v>21.33</v>
      </c>
      <c r="I1689" s="14" t="n">
        <v>0</v>
      </c>
      <c r="J1689" s="14" t="n">
        <v>0</v>
      </c>
      <c r="K1689" s="14" t="n">
        <v>0</v>
      </c>
      <c r="L1689" s="14" t="n">
        <v>0</v>
      </c>
      <c r="M1689" s="14">
        <f>IF(B1689="Frete de venda",0,(1-ISNUMBER(SEARCH("556",P1689)))*(I1689*VLOOKUP($B1689,Premissas!$A$4:$E$7,2,0)+J1689*VLOOKUP($B1689,Premissas!$A$4:$E$7,3,0))+K1689*VLOOKUP($B1689,Premissas!$A$4:$E$7,4,0)+L1689*VLOOKUP($B1689,Premissas!$A$4:$E$7,5,0))</f>
        <v/>
      </c>
      <c r="N1689" s="14">
        <f>H1689-M1689</f>
        <v/>
      </c>
      <c r="O1689" t="inlineStr">
        <is>
          <t>Não</t>
        </is>
      </c>
      <c r="P1689" t="inlineStr">
        <is>
          <t>1.350</t>
        </is>
      </c>
    </row>
    <row r="1690">
      <c r="A1690" t="inlineStr">
        <is>
          <t>Antes de 2026</t>
        </is>
      </c>
      <c r="B1690" t="inlineStr">
        <is>
          <t>Frete de venda</t>
        </is>
      </c>
      <c r="C1690" t="inlineStr">
        <is>
          <t>Frete de venda (para clientes)</t>
        </is>
      </c>
      <c r="D1690" t="inlineStr">
        <is>
          <t>CT-e</t>
        </is>
      </c>
      <c r="E1690" t="inlineStr">
        <is>
          <t>000004529</t>
        </is>
      </c>
      <c r="F1690" t="inlineStr">
        <is>
          <t>R&amp;R TRANSPORTE E LOGISTICA</t>
        </is>
      </c>
      <c r="G1690" s="27" t="n">
        <v>45835</v>
      </c>
      <c r="H1690" s="14" t="n">
        <v>52.76</v>
      </c>
      <c r="I1690" s="14" t="n">
        <v>0</v>
      </c>
      <c r="J1690" s="14" t="n">
        <v>0</v>
      </c>
      <c r="K1690" s="14" t="n">
        <v>0</v>
      </c>
      <c r="L1690" s="14" t="n">
        <v>0</v>
      </c>
      <c r="M1690" s="14">
        <f>IF(B1690="Frete de venda",0,(1-ISNUMBER(SEARCH("556",P1690)))*(I1690*VLOOKUP($B1690,Premissas!$A$4:$E$7,2,0)+J1690*VLOOKUP($B1690,Premissas!$A$4:$E$7,3,0))+K1690*VLOOKUP($B1690,Premissas!$A$4:$E$7,4,0)+L1690*VLOOKUP($B1690,Premissas!$A$4:$E$7,5,0))</f>
        <v/>
      </c>
      <c r="N1690" s="14">
        <f>H1690-M1690</f>
        <v/>
      </c>
      <c r="O1690" t="inlineStr">
        <is>
          <t>Não</t>
        </is>
      </c>
      <c r="P1690" t="inlineStr">
        <is>
          <t>1.350</t>
        </is>
      </c>
    </row>
    <row r="1691">
      <c r="A1691" t="inlineStr">
        <is>
          <t>Antes de 2026</t>
        </is>
      </c>
      <c r="B1691" t="inlineStr">
        <is>
          <t>Frete de venda</t>
        </is>
      </c>
      <c r="C1691" t="inlineStr">
        <is>
          <t>Frete de venda (para clientes)</t>
        </is>
      </c>
      <c r="D1691" t="inlineStr">
        <is>
          <t>CT-e</t>
        </is>
      </c>
      <c r="E1691" t="inlineStr">
        <is>
          <t>000005872</t>
        </is>
      </c>
      <c r="F1691" t="inlineStr">
        <is>
          <t>R&amp;R TRANSPORTE E LOGISTICA</t>
        </is>
      </c>
      <c r="G1691" s="27" t="n">
        <v>45990</v>
      </c>
      <c r="H1691" s="14" t="n">
        <v>31.82</v>
      </c>
      <c r="I1691" s="14" t="n">
        <v>0</v>
      </c>
      <c r="J1691" s="14" t="n">
        <v>0</v>
      </c>
      <c r="K1691" s="14" t="n">
        <v>0</v>
      </c>
      <c r="L1691" s="14" t="n">
        <v>0</v>
      </c>
      <c r="M1691" s="14">
        <f>IF(B1691="Frete de venda",0,(1-ISNUMBER(SEARCH("556",P1691)))*(I1691*VLOOKUP($B1691,Premissas!$A$4:$E$7,2,0)+J1691*VLOOKUP($B1691,Premissas!$A$4:$E$7,3,0))+K1691*VLOOKUP($B1691,Premissas!$A$4:$E$7,4,0)+L1691*VLOOKUP($B1691,Premissas!$A$4:$E$7,5,0))</f>
        <v/>
      </c>
      <c r="N1691" s="14">
        <f>H1691-M1691</f>
        <v/>
      </c>
      <c r="O1691" t="inlineStr">
        <is>
          <t>Não</t>
        </is>
      </c>
      <c r="P1691" t="inlineStr">
        <is>
          <t>1.350</t>
        </is>
      </c>
    </row>
    <row r="1692">
      <c r="A1692" t="inlineStr">
        <is>
          <t>Antes de 2026</t>
        </is>
      </c>
      <c r="B1692" t="inlineStr">
        <is>
          <t>Frete de venda</t>
        </is>
      </c>
      <c r="C1692" t="inlineStr">
        <is>
          <t>Frete de venda (para clientes)</t>
        </is>
      </c>
      <c r="D1692" t="inlineStr">
        <is>
          <t>CT-e</t>
        </is>
      </c>
      <c r="E1692" t="inlineStr">
        <is>
          <t>000005047</t>
        </is>
      </c>
      <c r="F1692" t="inlineStr">
        <is>
          <t>R&amp;R TRANSPORTE E LOGISTICA</t>
        </is>
      </c>
      <c r="G1692" s="27" t="n">
        <v>45896</v>
      </c>
      <c r="H1692" s="14" t="n">
        <v>129.2</v>
      </c>
      <c r="I1692" s="14" t="n">
        <v>0</v>
      </c>
      <c r="J1692" s="14" t="n">
        <v>0</v>
      </c>
      <c r="K1692" s="14" t="n">
        <v>0</v>
      </c>
      <c r="L1692" s="14" t="n">
        <v>0</v>
      </c>
      <c r="M1692" s="14">
        <f>IF(B1692="Frete de venda",0,(1-ISNUMBER(SEARCH("556",P1692)))*(I1692*VLOOKUP($B1692,Premissas!$A$4:$E$7,2,0)+J1692*VLOOKUP($B1692,Premissas!$A$4:$E$7,3,0))+K1692*VLOOKUP($B1692,Premissas!$A$4:$E$7,4,0)+L1692*VLOOKUP($B1692,Premissas!$A$4:$E$7,5,0))</f>
        <v/>
      </c>
      <c r="N1692" s="14">
        <f>H1692-M1692</f>
        <v/>
      </c>
      <c r="O1692" t="inlineStr">
        <is>
          <t>Não</t>
        </is>
      </c>
      <c r="P1692" t="inlineStr">
        <is>
          <t>1.350</t>
        </is>
      </c>
    </row>
    <row r="1693">
      <c r="A1693" t="inlineStr">
        <is>
          <t>Antes de 2026</t>
        </is>
      </c>
      <c r="B1693" t="inlineStr">
        <is>
          <t>Frete de venda</t>
        </is>
      </c>
      <c r="C1693" t="inlineStr">
        <is>
          <t>Frete de venda (para clientes)</t>
        </is>
      </c>
      <c r="D1693" t="inlineStr">
        <is>
          <t>CT-e</t>
        </is>
      </c>
      <c r="E1693" t="inlineStr">
        <is>
          <t>000005234</t>
        </is>
      </c>
      <c r="F1693" t="inlineStr">
        <is>
          <t>R&amp;R TRANSPORTE E LOGISTICA</t>
        </is>
      </c>
      <c r="G1693" s="27" t="n">
        <v>45918</v>
      </c>
      <c r="H1693" s="14" t="n">
        <v>71.54000000000001</v>
      </c>
      <c r="I1693" s="14" t="n">
        <v>0</v>
      </c>
      <c r="J1693" s="14" t="n">
        <v>0</v>
      </c>
      <c r="K1693" s="14" t="n">
        <v>0</v>
      </c>
      <c r="L1693" s="14" t="n">
        <v>0</v>
      </c>
      <c r="M1693" s="14">
        <f>IF(B1693="Frete de venda",0,(1-ISNUMBER(SEARCH("556",P1693)))*(I1693*VLOOKUP($B1693,Premissas!$A$4:$E$7,2,0)+J1693*VLOOKUP($B1693,Premissas!$A$4:$E$7,3,0))+K1693*VLOOKUP($B1693,Premissas!$A$4:$E$7,4,0)+L1693*VLOOKUP($B1693,Premissas!$A$4:$E$7,5,0))</f>
        <v/>
      </c>
      <c r="N1693" s="14">
        <f>H1693-M1693</f>
        <v/>
      </c>
      <c r="O1693" t="inlineStr">
        <is>
          <t>Não</t>
        </is>
      </c>
      <c r="P1693" t="inlineStr">
        <is>
          <t>1.350</t>
        </is>
      </c>
    </row>
    <row r="1694">
      <c r="A1694" t="inlineStr">
        <is>
          <t>Antes de 2026</t>
        </is>
      </c>
      <c r="B1694" t="inlineStr">
        <is>
          <t>Frete de venda</t>
        </is>
      </c>
      <c r="C1694" t="inlineStr">
        <is>
          <t>Frete de venda (para clientes)</t>
        </is>
      </c>
      <c r="D1694" t="inlineStr">
        <is>
          <t>CT-e</t>
        </is>
      </c>
      <c r="E1694" t="inlineStr">
        <is>
          <t>000005534</t>
        </is>
      </c>
      <c r="F1694" t="inlineStr">
        <is>
          <t>R&amp;R TRANSPORTE E LOGISTICA</t>
        </is>
      </c>
      <c r="G1694" s="27" t="n">
        <v>45953</v>
      </c>
      <c r="H1694" s="14" t="n">
        <v>49.75</v>
      </c>
      <c r="I1694" s="14" t="n">
        <v>0</v>
      </c>
      <c r="J1694" s="14" t="n">
        <v>0</v>
      </c>
      <c r="K1694" s="14" t="n">
        <v>0</v>
      </c>
      <c r="L1694" s="14" t="n">
        <v>0</v>
      </c>
      <c r="M1694" s="14">
        <f>IF(B1694="Frete de venda",0,(1-ISNUMBER(SEARCH("556",P1694)))*(I1694*VLOOKUP($B1694,Premissas!$A$4:$E$7,2,0)+J1694*VLOOKUP($B1694,Premissas!$A$4:$E$7,3,0))+K1694*VLOOKUP($B1694,Premissas!$A$4:$E$7,4,0)+L1694*VLOOKUP($B1694,Premissas!$A$4:$E$7,5,0))</f>
        <v/>
      </c>
      <c r="N1694" s="14">
        <f>H1694-M1694</f>
        <v/>
      </c>
      <c r="O1694" t="inlineStr">
        <is>
          <t>Não</t>
        </is>
      </c>
      <c r="P1694" t="inlineStr">
        <is>
          <t>1.350</t>
        </is>
      </c>
    </row>
    <row r="1695">
      <c r="A1695" t="inlineStr">
        <is>
          <t>Antes de 2026</t>
        </is>
      </c>
      <c r="B1695" t="inlineStr">
        <is>
          <t>Frete de venda</t>
        </is>
      </c>
      <c r="C1695" t="inlineStr">
        <is>
          <t>Frete de venda (para clientes)</t>
        </is>
      </c>
      <c r="D1695" t="inlineStr">
        <is>
          <t>CT-e</t>
        </is>
      </c>
      <c r="E1695" t="inlineStr">
        <is>
          <t>000005746</t>
        </is>
      </c>
      <c r="F1695" t="inlineStr">
        <is>
          <t>R&amp;R TRANSPORTE E LOGISTICA</t>
        </is>
      </c>
      <c r="G1695" s="27" t="n">
        <v>45979</v>
      </c>
      <c r="H1695" s="14" t="n">
        <v>76.59</v>
      </c>
      <c r="I1695" s="14" t="n">
        <v>0</v>
      </c>
      <c r="J1695" s="14" t="n">
        <v>0</v>
      </c>
      <c r="K1695" s="14" t="n">
        <v>0</v>
      </c>
      <c r="L1695" s="14" t="n">
        <v>0</v>
      </c>
      <c r="M1695" s="14">
        <f>IF(B1695="Frete de venda",0,(1-ISNUMBER(SEARCH("556",P1695)))*(I1695*VLOOKUP($B1695,Premissas!$A$4:$E$7,2,0)+J1695*VLOOKUP($B1695,Premissas!$A$4:$E$7,3,0))+K1695*VLOOKUP($B1695,Premissas!$A$4:$E$7,4,0)+L1695*VLOOKUP($B1695,Premissas!$A$4:$E$7,5,0))</f>
        <v/>
      </c>
      <c r="N1695" s="14">
        <f>H1695-M1695</f>
        <v/>
      </c>
      <c r="O1695" t="inlineStr">
        <is>
          <t>Não</t>
        </is>
      </c>
      <c r="P1695" t="inlineStr">
        <is>
          <t>1.350</t>
        </is>
      </c>
    </row>
    <row r="1696">
      <c r="A1696" t="inlineStr">
        <is>
          <t>Antes de 2026</t>
        </is>
      </c>
      <c r="B1696" t="inlineStr">
        <is>
          <t>Frete de venda</t>
        </is>
      </c>
      <c r="C1696" t="inlineStr">
        <is>
          <t>Frete de venda (para clientes)</t>
        </is>
      </c>
      <c r="D1696" t="inlineStr">
        <is>
          <t>CT-e</t>
        </is>
      </c>
      <c r="E1696" t="inlineStr">
        <is>
          <t>000005871</t>
        </is>
      </c>
      <c r="F1696" t="inlineStr">
        <is>
          <t>R&amp;R TRANSPORTE E LOGISTICA</t>
        </is>
      </c>
      <c r="G1696" s="27" t="n">
        <v>45990</v>
      </c>
      <c r="H1696" s="14" t="n">
        <v>34.19</v>
      </c>
      <c r="I1696" s="14" t="n">
        <v>0</v>
      </c>
      <c r="J1696" s="14" t="n">
        <v>0</v>
      </c>
      <c r="K1696" s="14" t="n">
        <v>0</v>
      </c>
      <c r="L1696" s="14" t="n">
        <v>0</v>
      </c>
      <c r="M1696" s="14">
        <f>IF(B1696="Frete de venda",0,(1-ISNUMBER(SEARCH("556",P1696)))*(I1696*VLOOKUP($B1696,Premissas!$A$4:$E$7,2,0)+J1696*VLOOKUP($B1696,Premissas!$A$4:$E$7,3,0))+K1696*VLOOKUP($B1696,Premissas!$A$4:$E$7,4,0)+L1696*VLOOKUP($B1696,Premissas!$A$4:$E$7,5,0))</f>
        <v/>
      </c>
      <c r="N1696" s="14">
        <f>H1696-M1696</f>
        <v/>
      </c>
      <c r="O1696" t="inlineStr">
        <is>
          <t>Não</t>
        </is>
      </c>
      <c r="P1696" t="inlineStr">
        <is>
          <t>1.350</t>
        </is>
      </c>
    </row>
    <row r="1697">
      <c r="A1697" t="inlineStr">
        <is>
          <t>Antes de 2026</t>
        </is>
      </c>
      <c r="B1697" t="inlineStr">
        <is>
          <t>Frete de venda</t>
        </is>
      </c>
      <c r="C1697" t="inlineStr">
        <is>
          <t>Frete de venda (para clientes)</t>
        </is>
      </c>
      <c r="D1697" t="inlineStr">
        <is>
          <t>CT-e</t>
        </is>
      </c>
      <c r="E1697" t="inlineStr">
        <is>
          <t>000005961</t>
        </is>
      </c>
      <c r="F1697" t="inlineStr">
        <is>
          <t>R&amp;R TRANSPORTE E LOGISTICA</t>
        </is>
      </c>
      <c r="G1697" s="27" t="n">
        <v>46002</v>
      </c>
      <c r="H1697" s="14" t="n">
        <v>72.72</v>
      </c>
      <c r="I1697" s="14" t="n">
        <v>0</v>
      </c>
      <c r="J1697" s="14" t="n">
        <v>0</v>
      </c>
      <c r="K1697" s="14" t="n">
        <v>0</v>
      </c>
      <c r="L1697" s="14" t="n">
        <v>0</v>
      </c>
      <c r="M1697" s="14">
        <f>IF(B1697="Frete de venda",0,(1-ISNUMBER(SEARCH("556",P1697)))*(I1697*VLOOKUP($B1697,Premissas!$A$4:$E$7,2,0)+J1697*VLOOKUP($B1697,Premissas!$A$4:$E$7,3,0))+K1697*VLOOKUP($B1697,Premissas!$A$4:$E$7,4,0)+L1697*VLOOKUP($B1697,Premissas!$A$4:$E$7,5,0))</f>
        <v/>
      </c>
      <c r="N1697" s="14">
        <f>H1697-M1697</f>
        <v/>
      </c>
      <c r="O1697" t="inlineStr">
        <is>
          <t>Não</t>
        </is>
      </c>
      <c r="P1697" t="inlineStr">
        <is>
          <t>1.350</t>
        </is>
      </c>
    </row>
    <row r="1698">
      <c r="A1698" t="inlineStr">
        <is>
          <t>Antes de 2026</t>
        </is>
      </c>
      <c r="B1698" t="inlineStr">
        <is>
          <t>Frete de venda</t>
        </is>
      </c>
      <c r="C1698" t="inlineStr">
        <is>
          <t>Frete de venda (para clientes)</t>
        </is>
      </c>
      <c r="D1698" t="inlineStr">
        <is>
          <t>CT-e</t>
        </is>
      </c>
      <c r="E1698" t="inlineStr">
        <is>
          <t>000004665</t>
        </is>
      </c>
      <c r="F1698" t="inlineStr">
        <is>
          <t>R&amp;R TRANSPORTE E LOGISTICA</t>
        </is>
      </c>
      <c r="G1698" s="27" t="n">
        <v>45855</v>
      </c>
      <c r="H1698" s="14" t="n">
        <v>31.58</v>
      </c>
      <c r="I1698" s="14" t="n">
        <v>0</v>
      </c>
      <c r="J1698" s="14" t="n">
        <v>0</v>
      </c>
      <c r="K1698" s="14" t="n">
        <v>0</v>
      </c>
      <c r="L1698" s="14" t="n">
        <v>0</v>
      </c>
      <c r="M1698" s="14">
        <f>IF(B1698="Frete de venda",0,(1-ISNUMBER(SEARCH("556",P1698)))*(I1698*VLOOKUP($B1698,Premissas!$A$4:$E$7,2,0)+J1698*VLOOKUP($B1698,Premissas!$A$4:$E$7,3,0))+K1698*VLOOKUP($B1698,Premissas!$A$4:$E$7,4,0)+L1698*VLOOKUP($B1698,Premissas!$A$4:$E$7,5,0))</f>
        <v/>
      </c>
      <c r="N1698" s="14">
        <f>H1698-M1698</f>
        <v/>
      </c>
      <c r="O1698" t="inlineStr">
        <is>
          <t>Não</t>
        </is>
      </c>
      <c r="P1698" t="inlineStr">
        <is>
          <t>1.350</t>
        </is>
      </c>
    </row>
    <row r="1699">
      <c r="A1699" t="inlineStr">
        <is>
          <t>Antes de 2026</t>
        </is>
      </c>
      <c r="B1699" t="inlineStr">
        <is>
          <t>Frete de venda</t>
        </is>
      </c>
      <c r="C1699" t="inlineStr">
        <is>
          <t>Frete de venda (para clientes)</t>
        </is>
      </c>
      <c r="D1699" t="inlineStr">
        <is>
          <t>CT-e</t>
        </is>
      </c>
      <c r="E1699" t="inlineStr">
        <is>
          <t>000005066</t>
        </is>
      </c>
      <c r="F1699" t="inlineStr">
        <is>
          <t>R&amp;R TRANSPORTE E LOGISTICA</t>
        </is>
      </c>
      <c r="G1699" s="27" t="n">
        <v>45897</v>
      </c>
      <c r="H1699" s="14" t="n">
        <v>43.84</v>
      </c>
      <c r="I1699" s="14" t="n">
        <v>0</v>
      </c>
      <c r="J1699" s="14" t="n">
        <v>0</v>
      </c>
      <c r="K1699" s="14" t="n">
        <v>0</v>
      </c>
      <c r="L1699" s="14" t="n">
        <v>0</v>
      </c>
      <c r="M1699" s="14">
        <f>IF(B1699="Frete de venda",0,(1-ISNUMBER(SEARCH("556",P1699)))*(I1699*VLOOKUP($B1699,Premissas!$A$4:$E$7,2,0)+J1699*VLOOKUP($B1699,Premissas!$A$4:$E$7,3,0))+K1699*VLOOKUP($B1699,Premissas!$A$4:$E$7,4,0)+L1699*VLOOKUP($B1699,Premissas!$A$4:$E$7,5,0))</f>
        <v/>
      </c>
      <c r="N1699" s="14">
        <f>H1699-M1699</f>
        <v/>
      </c>
      <c r="O1699" t="inlineStr">
        <is>
          <t>Não</t>
        </is>
      </c>
      <c r="P1699" t="inlineStr">
        <is>
          <t>1.350</t>
        </is>
      </c>
    </row>
    <row r="1700">
      <c r="A1700" t="inlineStr">
        <is>
          <t>Antes de 2026</t>
        </is>
      </c>
      <c r="B1700" t="inlineStr">
        <is>
          <t>Frete de venda</t>
        </is>
      </c>
      <c r="C1700" t="inlineStr">
        <is>
          <t>Frete de venda (para clientes)</t>
        </is>
      </c>
      <c r="D1700" t="inlineStr">
        <is>
          <t>CT-e</t>
        </is>
      </c>
      <c r="E1700" t="inlineStr">
        <is>
          <t>000005464</t>
        </is>
      </c>
      <c r="F1700" t="inlineStr">
        <is>
          <t>R&amp;R TRANSPORTE E LOGISTICA</t>
        </is>
      </c>
      <c r="G1700" s="27" t="n">
        <v>45944</v>
      </c>
      <c r="H1700" s="14" t="n">
        <v>36.34</v>
      </c>
      <c r="I1700" s="14" t="n">
        <v>0</v>
      </c>
      <c r="J1700" s="14" t="n">
        <v>0</v>
      </c>
      <c r="K1700" s="14" t="n">
        <v>0</v>
      </c>
      <c r="L1700" s="14" t="n">
        <v>0</v>
      </c>
      <c r="M1700" s="14">
        <f>IF(B1700="Frete de venda",0,(1-ISNUMBER(SEARCH("556",P1700)))*(I1700*VLOOKUP($B1700,Premissas!$A$4:$E$7,2,0)+J1700*VLOOKUP($B1700,Premissas!$A$4:$E$7,3,0))+K1700*VLOOKUP($B1700,Premissas!$A$4:$E$7,4,0)+L1700*VLOOKUP($B1700,Premissas!$A$4:$E$7,5,0))</f>
        <v/>
      </c>
      <c r="N1700" s="14">
        <f>H1700-M1700</f>
        <v/>
      </c>
      <c r="O1700" t="inlineStr">
        <is>
          <t>Não</t>
        </is>
      </c>
      <c r="P1700" t="inlineStr">
        <is>
          <t>1.350</t>
        </is>
      </c>
    </row>
    <row r="1701">
      <c r="A1701" t="inlineStr">
        <is>
          <t>Antes de 2026</t>
        </is>
      </c>
      <c r="B1701" t="inlineStr">
        <is>
          <t>Frete de venda</t>
        </is>
      </c>
      <c r="C1701" t="inlineStr">
        <is>
          <t>Frete de venda (para clientes)</t>
        </is>
      </c>
      <c r="D1701" t="inlineStr">
        <is>
          <t>CT-e</t>
        </is>
      </c>
      <c r="E1701" t="inlineStr">
        <is>
          <t>000005641</t>
        </is>
      </c>
      <c r="F1701" t="inlineStr">
        <is>
          <t>R&amp;R TRANSPORTE E LOGISTICA</t>
        </is>
      </c>
      <c r="G1701" s="27" t="n">
        <v>45961</v>
      </c>
      <c r="H1701" s="14" t="n">
        <v>39.76</v>
      </c>
      <c r="I1701" s="14" t="n">
        <v>0</v>
      </c>
      <c r="J1701" s="14" t="n">
        <v>0</v>
      </c>
      <c r="K1701" s="14" t="n">
        <v>0</v>
      </c>
      <c r="L1701" s="14" t="n">
        <v>0</v>
      </c>
      <c r="M1701" s="14">
        <f>IF(B1701="Frete de venda",0,(1-ISNUMBER(SEARCH("556",P1701)))*(I1701*VLOOKUP($B1701,Premissas!$A$4:$E$7,2,0)+J1701*VLOOKUP($B1701,Premissas!$A$4:$E$7,3,0))+K1701*VLOOKUP($B1701,Premissas!$A$4:$E$7,4,0)+L1701*VLOOKUP($B1701,Premissas!$A$4:$E$7,5,0))</f>
        <v/>
      </c>
      <c r="N1701" s="14">
        <f>H1701-M1701</f>
        <v/>
      </c>
      <c r="O1701" t="inlineStr">
        <is>
          <t>Não</t>
        </is>
      </c>
      <c r="P1701" t="inlineStr">
        <is>
          <t>1.350</t>
        </is>
      </c>
    </row>
    <row r="1702">
      <c r="A1702" t="inlineStr">
        <is>
          <t>Antes de 2026</t>
        </is>
      </c>
      <c r="B1702" t="inlineStr">
        <is>
          <t>Frete de venda</t>
        </is>
      </c>
      <c r="C1702" t="inlineStr">
        <is>
          <t>Frete de venda (para clientes)</t>
        </is>
      </c>
      <c r="D1702" t="inlineStr">
        <is>
          <t>CT-e</t>
        </is>
      </c>
      <c r="E1702" t="inlineStr">
        <is>
          <t>000004109</t>
        </is>
      </c>
      <c r="F1702" t="inlineStr">
        <is>
          <t>R&amp;R TRANSPORTE E LOGISTICA</t>
        </is>
      </c>
      <c r="G1702" s="27" t="n">
        <v>45776</v>
      </c>
      <c r="H1702" s="14" t="n">
        <v>51.17</v>
      </c>
      <c r="I1702" s="14" t="n">
        <v>0</v>
      </c>
      <c r="J1702" s="14" t="n">
        <v>0</v>
      </c>
      <c r="K1702" s="14" t="n">
        <v>0</v>
      </c>
      <c r="L1702" s="14" t="n">
        <v>0</v>
      </c>
      <c r="M1702" s="14">
        <f>IF(B1702="Frete de venda",0,(1-ISNUMBER(SEARCH("556",P1702)))*(I1702*VLOOKUP($B1702,Premissas!$A$4:$E$7,2,0)+J1702*VLOOKUP($B1702,Premissas!$A$4:$E$7,3,0))+K1702*VLOOKUP($B1702,Premissas!$A$4:$E$7,4,0)+L1702*VLOOKUP($B1702,Premissas!$A$4:$E$7,5,0))</f>
        <v/>
      </c>
      <c r="N1702" s="14">
        <f>H1702-M1702</f>
        <v/>
      </c>
      <c r="O1702" t="inlineStr">
        <is>
          <t>Não</t>
        </is>
      </c>
      <c r="P1702" t="inlineStr">
        <is>
          <t>1.350</t>
        </is>
      </c>
    </row>
    <row r="1703">
      <c r="A1703" t="inlineStr">
        <is>
          <t>Antes de 2026</t>
        </is>
      </c>
      <c r="B1703" t="inlineStr">
        <is>
          <t>Frete de venda</t>
        </is>
      </c>
      <c r="C1703" t="inlineStr">
        <is>
          <t>Frete de venda (para clientes)</t>
        </is>
      </c>
      <c r="D1703" t="inlineStr">
        <is>
          <t>CT-e</t>
        </is>
      </c>
      <c r="E1703" t="inlineStr">
        <is>
          <t>000004270</t>
        </is>
      </c>
      <c r="F1703" t="inlineStr">
        <is>
          <t>R&amp;R TRANSPORTE E LOGISTICA</t>
        </is>
      </c>
      <c r="G1703" s="27" t="n">
        <v>45800</v>
      </c>
      <c r="H1703" s="14" t="n">
        <v>48.65</v>
      </c>
      <c r="I1703" s="14" t="n">
        <v>0</v>
      </c>
      <c r="J1703" s="14" t="n">
        <v>0</v>
      </c>
      <c r="K1703" s="14" t="n">
        <v>0</v>
      </c>
      <c r="L1703" s="14" t="n">
        <v>0</v>
      </c>
      <c r="M1703" s="14">
        <f>IF(B1703="Frete de venda",0,(1-ISNUMBER(SEARCH("556",P1703)))*(I1703*VLOOKUP($B1703,Premissas!$A$4:$E$7,2,0)+J1703*VLOOKUP($B1703,Premissas!$A$4:$E$7,3,0))+K1703*VLOOKUP($B1703,Premissas!$A$4:$E$7,4,0)+L1703*VLOOKUP($B1703,Premissas!$A$4:$E$7,5,0))</f>
        <v/>
      </c>
      <c r="N1703" s="14">
        <f>H1703-M1703</f>
        <v/>
      </c>
      <c r="O1703" t="inlineStr">
        <is>
          <t>Não</t>
        </is>
      </c>
      <c r="P1703" t="inlineStr">
        <is>
          <t>1.350</t>
        </is>
      </c>
    </row>
    <row r="1704">
      <c r="A1704" t="inlineStr">
        <is>
          <t>Antes de 2026</t>
        </is>
      </c>
      <c r="B1704" t="inlineStr">
        <is>
          <t>Frete de venda</t>
        </is>
      </c>
      <c r="C1704" t="inlineStr">
        <is>
          <t>Frete de venda (para clientes)</t>
        </is>
      </c>
      <c r="D1704" t="inlineStr">
        <is>
          <t>CT-e</t>
        </is>
      </c>
      <c r="E1704" t="inlineStr">
        <is>
          <t>000004505</t>
        </is>
      </c>
      <c r="F1704" t="inlineStr">
        <is>
          <t>R&amp;R TRANSPORTE E LOGISTICA</t>
        </is>
      </c>
      <c r="G1704" s="27" t="n">
        <v>45833</v>
      </c>
      <c r="H1704" s="14" t="n">
        <v>40.4</v>
      </c>
      <c r="I1704" s="14" t="n">
        <v>0</v>
      </c>
      <c r="J1704" s="14" t="n">
        <v>0</v>
      </c>
      <c r="K1704" s="14" t="n">
        <v>0</v>
      </c>
      <c r="L1704" s="14" t="n">
        <v>0</v>
      </c>
      <c r="M1704" s="14">
        <f>IF(B1704="Frete de venda",0,(1-ISNUMBER(SEARCH("556",P1704)))*(I1704*VLOOKUP($B1704,Premissas!$A$4:$E$7,2,0)+J1704*VLOOKUP($B1704,Premissas!$A$4:$E$7,3,0))+K1704*VLOOKUP($B1704,Premissas!$A$4:$E$7,4,0)+L1704*VLOOKUP($B1704,Premissas!$A$4:$E$7,5,0))</f>
        <v/>
      </c>
      <c r="N1704" s="14">
        <f>H1704-M1704</f>
        <v/>
      </c>
      <c r="O1704" t="inlineStr">
        <is>
          <t>Não</t>
        </is>
      </c>
      <c r="P1704" t="inlineStr">
        <is>
          <t>1.350</t>
        </is>
      </c>
    </row>
    <row r="1705">
      <c r="A1705" t="inlineStr">
        <is>
          <t>Antes de 2026</t>
        </is>
      </c>
      <c r="B1705" t="inlineStr">
        <is>
          <t>Frete de venda</t>
        </is>
      </c>
      <c r="C1705" t="inlineStr">
        <is>
          <t>Frete de venda (para clientes)</t>
        </is>
      </c>
      <c r="D1705" t="inlineStr">
        <is>
          <t>CT-e</t>
        </is>
      </c>
      <c r="E1705" t="inlineStr">
        <is>
          <t>000005003</t>
        </is>
      </c>
      <c r="F1705" t="inlineStr">
        <is>
          <t>R&amp;R TRANSPORTE E LOGISTICA</t>
        </is>
      </c>
      <c r="G1705" s="27" t="n">
        <v>45894</v>
      </c>
      <c r="H1705" s="14" t="n">
        <v>39.03</v>
      </c>
      <c r="I1705" s="14" t="n">
        <v>0</v>
      </c>
      <c r="J1705" s="14" t="n">
        <v>0</v>
      </c>
      <c r="K1705" s="14" t="n">
        <v>0</v>
      </c>
      <c r="L1705" s="14" t="n">
        <v>0</v>
      </c>
      <c r="M1705" s="14">
        <f>IF(B1705="Frete de venda",0,(1-ISNUMBER(SEARCH("556",P1705)))*(I1705*VLOOKUP($B1705,Premissas!$A$4:$E$7,2,0)+J1705*VLOOKUP($B1705,Premissas!$A$4:$E$7,3,0))+K1705*VLOOKUP($B1705,Premissas!$A$4:$E$7,4,0)+L1705*VLOOKUP($B1705,Premissas!$A$4:$E$7,5,0))</f>
        <v/>
      </c>
      <c r="N1705" s="14">
        <f>H1705-M1705</f>
        <v/>
      </c>
      <c r="O1705" t="inlineStr">
        <is>
          <t>Não</t>
        </is>
      </c>
      <c r="P1705" t="inlineStr">
        <is>
          <t>1.350</t>
        </is>
      </c>
    </row>
    <row r="1706">
      <c r="A1706" t="inlineStr">
        <is>
          <t>Antes de 2026</t>
        </is>
      </c>
      <c r="B1706" t="inlineStr">
        <is>
          <t>Frete de venda</t>
        </is>
      </c>
      <c r="C1706" t="inlineStr">
        <is>
          <t>Frete de venda (para clientes)</t>
        </is>
      </c>
      <c r="D1706" t="inlineStr">
        <is>
          <t>CT-e</t>
        </is>
      </c>
      <c r="E1706" t="inlineStr">
        <is>
          <t>000005580</t>
        </is>
      </c>
      <c r="F1706" t="inlineStr">
        <is>
          <t>R&amp;R TRANSPORTE E LOGISTICA</t>
        </is>
      </c>
      <c r="G1706" s="27" t="n">
        <v>45957</v>
      </c>
      <c r="H1706" s="14" t="n">
        <v>39.97</v>
      </c>
      <c r="I1706" s="14" t="n">
        <v>0</v>
      </c>
      <c r="J1706" s="14" t="n">
        <v>0</v>
      </c>
      <c r="K1706" s="14" t="n">
        <v>0</v>
      </c>
      <c r="L1706" s="14" t="n">
        <v>0</v>
      </c>
      <c r="M1706" s="14">
        <f>IF(B1706="Frete de venda",0,(1-ISNUMBER(SEARCH("556",P1706)))*(I1706*VLOOKUP($B1706,Premissas!$A$4:$E$7,2,0)+J1706*VLOOKUP($B1706,Premissas!$A$4:$E$7,3,0))+K1706*VLOOKUP($B1706,Premissas!$A$4:$E$7,4,0)+L1706*VLOOKUP($B1706,Premissas!$A$4:$E$7,5,0))</f>
        <v/>
      </c>
      <c r="N1706" s="14">
        <f>H1706-M1706</f>
        <v/>
      </c>
      <c r="O1706" t="inlineStr">
        <is>
          <t>Não</t>
        </is>
      </c>
      <c r="P1706" t="inlineStr">
        <is>
          <t>1.350</t>
        </is>
      </c>
    </row>
    <row r="1707">
      <c r="A1707" t="inlineStr">
        <is>
          <t>Antes de 2026</t>
        </is>
      </c>
      <c r="B1707" t="inlineStr">
        <is>
          <t>Frete de venda</t>
        </is>
      </c>
      <c r="C1707" t="inlineStr">
        <is>
          <t>Frete de venda (para clientes)</t>
        </is>
      </c>
      <c r="D1707" t="inlineStr">
        <is>
          <t>CT-e</t>
        </is>
      </c>
      <c r="E1707" t="inlineStr">
        <is>
          <t>000005875</t>
        </is>
      </c>
      <c r="F1707" t="inlineStr">
        <is>
          <t>R&amp;R TRANSPORTE E LOGISTICA</t>
        </is>
      </c>
      <c r="G1707" s="27" t="n">
        <v>45990</v>
      </c>
      <c r="H1707" s="14" t="n">
        <v>39.56</v>
      </c>
      <c r="I1707" s="14" t="n">
        <v>0</v>
      </c>
      <c r="J1707" s="14" t="n">
        <v>0</v>
      </c>
      <c r="K1707" s="14" t="n">
        <v>0</v>
      </c>
      <c r="L1707" s="14" t="n">
        <v>0</v>
      </c>
      <c r="M1707" s="14">
        <f>IF(B1707="Frete de venda",0,(1-ISNUMBER(SEARCH("556",P1707)))*(I1707*VLOOKUP($B1707,Premissas!$A$4:$E$7,2,0)+J1707*VLOOKUP($B1707,Premissas!$A$4:$E$7,3,0))+K1707*VLOOKUP($B1707,Premissas!$A$4:$E$7,4,0)+L1707*VLOOKUP($B1707,Premissas!$A$4:$E$7,5,0))</f>
        <v/>
      </c>
      <c r="N1707" s="14">
        <f>H1707-M1707</f>
        <v/>
      </c>
      <c r="O1707" t="inlineStr">
        <is>
          <t>Não</t>
        </is>
      </c>
      <c r="P1707" t="inlineStr">
        <is>
          <t>1.350</t>
        </is>
      </c>
    </row>
    <row r="1708">
      <c r="A1708" t="inlineStr">
        <is>
          <t>Antes de 2026</t>
        </is>
      </c>
      <c r="B1708" t="inlineStr">
        <is>
          <t>Frete de venda</t>
        </is>
      </c>
      <c r="C1708" t="inlineStr">
        <is>
          <t>Frete de venda (para clientes)</t>
        </is>
      </c>
      <c r="D1708" t="inlineStr">
        <is>
          <t>CT-e</t>
        </is>
      </c>
      <c r="E1708" t="inlineStr">
        <is>
          <t>000004378</t>
        </is>
      </c>
      <c r="F1708" t="inlineStr">
        <is>
          <t>R&amp;R TRANSPORTE E LOGISTICA</t>
        </is>
      </c>
      <c r="G1708" s="27" t="n">
        <v>45812</v>
      </c>
      <c r="H1708" s="14" t="n">
        <v>23</v>
      </c>
      <c r="I1708" s="14" t="n">
        <v>0</v>
      </c>
      <c r="J1708" s="14" t="n">
        <v>0</v>
      </c>
      <c r="K1708" s="14" t="n">
        <v>0</v>
      </c>
      <c r="L1708" s="14" t="n">
        <v>0</v>
      </c>
      <c r="M1708" s="14">
        <f>IF(B1708="Frete de venda",0,(1-ISNUMBER(SEARCH("556",P1708)))*(I1708*VLOOKUP($B1708,Premissas!$A$4:$E$7,2,0)+J1708*VLOOKUP($B1708,Premissas!$A$4:$E$7,3,0))+K1708*VLOOKUP($B1708,Premissas!$A$4:$E$7,4,0)+L1708*VLOOKUP($B1708,Premissas!$A$4:$E$7,5,0))</f>
        <v/>
      </c>
      <c r="N1708" s="14">
        <f>H1708-M1708</f>
        <v/>
      </c>
      <c r="O1708" t="inlineStr">
        <is>
          <t>Não</t>
        </is>
      </c>
      <c r="P1708" t="inlineStr">
        <is>
          <t>1.350</t>
        </is>
      </c>
    </row>
    <row r="1709">
      <c r="A1709" t="inlineStr">
        <is>
          <t>Antes de 2026</t>
        </is>
      </c>
      <c r="B1709" t="inlineStr">
        <is>
          <t>Frete de venda</t>
        </is>
      </c>
      <c r="C1709" t="inlineStr">
        <is>
          <t>Frete de venda (para clientes)</t>
        </is>
      </c>
      <c r="D1709" t="inlineStr">
        <is>
          <t>CT-e</t>
        </is>
      </c>
      <c r="E1709" t="inlineStr">
        <is>
          <t>000005473</t>
        </is>
      </c>
      <c r="F1709" t="inlineStr">
        <is>
          <t>R&amp;R TRANSPORTE E LOGISTICA</t>
        </is>
      </c>
      <c r="G1709" s="27" t="n">
        <v>45944</v>
      </c>
      <c r="H1709" s="14" t="n">
        <v>61.18</v>
      </c>
      <c r="I1709" s="14" t="n">
        <v>0</v>
      </c>
      <c r="J1709" s="14" t="n">
        <v>0</v>
      </c>
      <c r="K1709" s="14" t="n">
        <v>0</v>
      </c>
      <c r="L1709" s="14" t="n">
        <v>0</v>
      </c>
      <c r="M1709" s="14">
        <f>IF(B1709="Frete de venda",0,(1-ISNUMBER(SEARCH("556",P1709)))*(I1709*VLOOKUP($B1709,Premissas!$A$4:$E$7,2,0)+J1709*VLOOKUP($B1709,Premissas!$A$4:$E$7,3,0))+K1709*VLOOKUP($B1709,Premissas!$A$4:$E$7,4,0)+L1709*VLOOKUP($B1709,Premissas!$A$4:$E$7,5,0))</f>
        <v/>
      </c>
      <c r="N1709" s="14">
        <f>H1709-M1709</f>
        <v/>
      </c>
      <c r="O1709" t="inlineStr">
        <is>
          <t>Não</t>
        </is>
      </c>
      <c r="P1709" t="inlineStr">
        <is>
          <t>1.350</t>
        </is>
      </c>
    </row>
    <row r="1710">
      <c r="A1710" t="inlineStr">
        <is>
          <t>Antes de 2026</t>
        </is>
      </c>
      <c r="B1710" t="inlineStr">
        <is>
          <t>Frete de venda</t>
        </is>
      </c>
      <c r="C1710" t="inlineStr">
        <is>
          <t>Frete de venda (para clientes)</t>
        </is>
      </c>
      <c r="D1710" t="inlineStr">
        <is>
          <t>CT-e</t>
        </is>
      </c>
      <c r="E1710" t="inlineStr">
        <is>
          <t>000005468</t>
        </is>
      </c>
      <c r="F1710" t="inlineStr">
        <is>
          <t>R&amp;R TRANSPORTE E LOGISTICA</t>
        </is>
      </c>
      <c r="G1710" s="27" t="n">
        <v>45944</v>
      </c>
      <c r="H1710" s="14" t="n">
        <v>31.6</v>
      </c>
      <c r="I1710" s="14" t="n">
        <v>0</v>
      </c>
      <c r="J1710" s="14" t="n">
        <v>0</v>
      </c>
      <c r="K1710" s="14" t="n">
        <v>0</v>
      </c>
      <c r="L1710" s="14" t="n">
        <v>0</v>
      </c>
      <c r="M1710" s="14">
        <f>IF(B1710="Frete de venda",0,(1-ISNUMBER(SEARCH("556",P1710)))*(I1710*VLOOKUP($B1710,Premissas!$A$4:$E$7,2,0)+J1710*VLOOKUP($B1710,Premissas!$A$4:$E$7,3,0))+K1710*VLOOKUP($B1710,Premissas!$A$4:$E$7,4,0)+L1710*VLOOKUP($B1710,Premissas!$A$4:$E$7,5,0))</f>
        <v/>
      </c>
      <c r="N1710" s="14">
        <f>H1710-M1710</f>
        <v/>
      </c>
      <c r="O1710" t="inlineStr">
        <is>
          <t>Não</t>
        </is>
      </c>
      <c r="P1710" t="inlineStr">
        <is>
          <t>1.350</t>
        </is>
      </c>
    </row>
    <row r="1711">
      <c r="A1711" t="inlineStr">
        <is>
          <t>Antes de 2026</t>
        </is>
      </c>
      <c r="B1711" t="inlineStr">
        <is>
          <t>Frete de venda</t>
        </is>
      </c>
      <c r="C1711" t="inlineStr">
        <is>
          <t>Frete de venda (para clientes)</t>
        </is>
      </c>
      <c r="D1711" t="inlineStr">
        <is>
          <t>CT-e</t>
        </is>
      </c>
      <c r="E1711" t="inlineStr">
        <is>
          <t>000004667</t>
        </is>
      </c>
      <c r="F1711" t="inlineStr">
        <is>
          <t>R&amp;R TRANSPORTE E LOGISTICA</t>
        </is>
      </c>
      <c r="G1711" s="27" t="n">
        <v>45855</v>
      </c>
      <c r="H1711" s="14" t="n">
        <v>38.35</v>
      </c>
      <c r="I1711" s="14" t="n">
        <v>0</v>
      </c>
      <c r="J1711" s="14" t="n">
        <v>0</v>
      </c>
      <c r="K1711" s="14" t="n">
        <v>0</v>
      </c>
      <c r="L1711" s="14" t="n">
        <v>0</v>
      </c>
      <c r="M1711" s="14">
        <f>IF(B1711="Frete de venda",0,(1-ISNUMBER(SEARCH("556",P1711)))*(I1711*VLOOKUP($B1711,Premissas!$A$4:$E$7,2,0)+J1711*VLOOKUP($B1711,Premissas!$A$4:$E$7,3,0))+K1711*VLOOKUP($B1711,Premissas!$A$4:$E$7,4,0)+L1711*VLOOKUP($B1711,Premissas!$A$4:$E$7,5,0))</f>
        <v/>
      </c>
      <c r="N1711" s="14">
        <f>H1711-M1711</f>
        <v/>
      </c>
      <c r="O1711" t="inlineStr">
        <is>
          <t>Não</t>
        </is>
      </c>
      <c r="P1711" t="inlineStr">
        <is>
          <t>1.350</t>
        </is>
      </c>
    </row>
    <row r="1712">
      <c r="A1712" t="inlineStr">
        <is>
          <t>Antes de 2026</t>
        </is>
      </c>
      <c r="B1712" t="inlineStr">
        <is>
          <t>Frete de venda</t>
        </is>
      </c>
      <c r="C1712" t="inlineStr">
        <is>
          <t>Frete de venda (para clientes)</t>
        </is>
      </c>
      <c r="D1712" t="inlineStr">
        <is>
          <t>CT-e</t>
        </is>
      </c>
      <c r="E1712" t="inlineStr">
        <is>
          <t>000004936</t>
        </is>
      </c>
      <c r="F1712" t="inlineStr">
        <is>
          <t>R&amp;R TRANSPORTE E LOGISTICA</t>
        </is>
      </c>
      <c r="G1712" s="27" t="n">
        <v>45884</v>
      </c>
      <c r="H1712" s="14" t="n">
        <v>18.32</v>
      </c>
      <c r="I1712" s="14" t="n">
        <v>0</v>
      </c>
      <c r="J1712" s="14" t="n">
        <v>0</v>
      </c>
      <c r="K1712" s="14" t="n">
        <v>0</v>
      </c>
      <c r="L1712" s="14" t="n">
        <v>0</v>
      </c>
      <c r="M1712" s="14">
        <f>IF(B1712="Frete de venda",0,(1-ISNUMBER(SEARCH("556",P1712)))*(I1712*VLOOKUP($B1712,Premissas!$A$4:$E$7,2,0)+J1712*VLOOKUP($B1712,Premissas!$A$4:$E$7,3,0))+K1712*VLOOKUP($B1712,Premissas!$A$4:$E$7,4,0)+L1712*VLOOKUP($B1712,Premissas!$A$4:$E$7,5,0))</f>
        <v/>
      </c>
      <c r="N1712" s="14">
        <f>H1712-M1712</f>
        <v/>
      </c>
      <c r="O1712" t="inlineStr">
        <is>
          <t>Não</t>
        </is>
      </c>
      <c r="P1712" t="inlineStr">
        <is>
          <t>1.350</t>
        </is>
      </c>
    </row>
    <row r="1713">
      <c r="A1713" t="inlineStr">
        <is>
          <t>Antes de 2026</t>
        </is>
      </c>
      <c r="B1713" t="inlineStr">
        <is>
          <t>Frete de venda</t>
        </is>
      </c>
      <c r="C1713" t="inlineStr">
        <is>
          <t>Frete de venda (para clientes)</t>
        </is>
      </c>
      <c r="D1713" t="inlineStr">
        <is>
          <t>CT-e</t>
        </is>
      </c>
      <c r="E1713" t="inlineStr">
        <is>
          <t>000005125</t>
        </is>
      </c>
      <c r="F1713" t="inlineStr">
        <is>
          <t>R&amp;R TRANSPORTE E LOGISTICA</t>
        </is>
      </c>
      <c r="G1713" s="27" t="n">
        <v>45908</v>
      </c>
      <c r="H1713" s="14" t="n">
        <v>26.77</v>
      </c>
      <c r="I1713" s="14" t="n">
        <v>0</v>
      </c>
      <c r="J1713" s="14" t="n">
        <v>0</v>
      </c>
      <c r="K1713" s="14" t="n">
        <v>0</v>
      </c>
      <c r="L1713" s="14" t="n">
        <v>0</v>
      </c>
      <c r="M1713" s="14">
        <f>IF(B1713="Frete de venda",0,(1-ISNUMBER(SEARCH("556",P1713)))*(I1713*VLOOKUP($B1713,Premissas!$A$4:$E$7,2,0)+J1713*VLOOKUP($B1713,Premissas!$A$4:$E$7,3,0))+K1713*VLOOKUP($B1713,Premissas!$A$4:$E$7,4,0)+L1713*VLOOKUP($B1713,Premissas!$A$4:$E$7,5,0))</f>
        <v/>
      </c>
      <c r="N1713" s="14">
        <f>H1713-M1713</f>
        <v/>
      </c>
      <c r="O1713" t="inlineStr">
        <is>
          <t>Não</t>
        </is>
      </c>
      <c r="P1713" t="inlineStr">
        <is>
          <t>1.350</t>
        </is>
      </c>
    </row>
    <row r="1714">
      <c r="A1714" t="inlineStr">
        <is>
          <t>Antes de 2026</t>
        </is>
      </c>
      <c r="B1714" t="inlineStr">
        <is>
          <t>Frete de venda</t>
        </is>
      </c>
      <c r="C1714" t="inlineStr">
        <is>
          <t>Frete de venda (para clientes)</t>
        </is>
      </c>
      <c r="D1714" t="inlineStr">
        <is>
          <t>CT-e</t>
        </is>
      </c>
      <c r="E1714" t="inlineStr">
        <is>
          <t>000005627</t>
        </is>
      </c>
      <c r="F1714" t="inlineStr">
        <is>
          <t>R&amp;R TRANSPORTE E LOGISTICA</t>
        </is>
      </c>
      <c r="G1714" s="27" t="n">
        <v>45961</v>
      </c>
      <c r="H1714" s="14" t="n">
        <v>22.23</v>
      </c>
      <c r="I1714" s="14" t="n">
        <v>0</v>
      </c>
      <c r="J1714" s="14" t="n">
        <v>0</v>
      </c>
      <c r="K1714" s="14" t="n">
        <v>0</v>
      </c>
      <c r="L1714" s="14" t="n">
        <v>0</v>
      </c>
      <c r="M1714" s="14">
        <f>IF(B1714="Frete de venda",0,(1-ISNUMBER(SEARCH("556",P1714)))*(I1714*VLOOKUP($B1714,Premissas!$A$4:$E$7,2,0)+J1714*VLOOKUP($B1714,Premissas!$A$4:$E$7,3,0))+K1714*VLOOKUP($B1714,Premissas!$A$4:$E$7,4,0)+L1714*VLOOKUP($B1714,Premissas!$A$4:$E$7,5,0))</f>
        <v/>
      </c>
      <c r="N1714" s="14">
        <f>H1714-M1714</f>
        <v/>
      </c>
      <c r="O1714" t="inlineStr">
        <is>
          <t>Não</t>
        </is>
      </c>
      <c r="P1714" t="inlineStr">
        <is>
          <t>1.350</t>
        </is>
      </c>
    </row>
    <row r="1715">
      <c r="A1715" t="inlineStr">
        <is>
          <t>Antes de 2026</t>
        </is>
      </c>
      <c r="B1715" t="inlineStr">
        <is>
          <t>Frete de venda</t>
        </is>
      </c>
      <c r="C1715" t="inlineStr">
        <is>
          <t>Frete de venda (para clientes)</t>
        </is>
      </c>
      <c r="D1715" t="inlineStr">
        <is>
          <t>CT-e</t>
        </is>
      </c>
      <c r="E1715" t="inlineStr">
        <is>
          <t>000006080</t>
        </is>
      </c>
      <c r="F1715" t="inlineStr">
        <is>
          <t>R&amp;R TRANSPORTE E LOGISTICA</t>
        </is>
      </c>
      <c r="G1715" s="27" t="n">
        <v>46021</v>
      </c>
      <c r="H1715" s="14" t="n">
        <v>19.45</v>
      </c>
      <c r="I1715" s="14" t="n">
        <v>0</v>
      </c>
      <c r="J1715" s="14" t="n">
        <v>0</v>
      </c>
      <c r="K1715" s="14" t="n">
        <v>0</v>
      </c>
      <c r="L1715" s="14" t="n">
        <v>0</v>
      </c>
      <c r="M1715" s="14">
        <f>IF(B1715="Frete de venda",0,(1-ISNUMBER(SEARCH("556",P1715)))*(I1715*VLOOKUP($B1715,Premissas!$A$4:$E$7,2,0)+J1715*VLOOKUP($B1715,Premissas!$A$4:$E$7,3,0))+K1715*VLOOKUP($B1715,Premissas!$A$4:$E$7,4,0)+L1715*VLOOKUP($B1715,Premissas!$A$4:$E$7,5,0))</f>
        <v/>
      </c>
      <c r="N1715" s="14">
        <f>H1715-M1715</f>
        <v/>
      </c>
      <c r="O1715" t="inlineStr">
        <is>
          <t>Não</t>
        </is>
      </c>
      <c r="P1715" t="inlineStr">
        <is>
          <t>1.350</t>
        </is>
      </c>
    </row>
    <row r="1716">
      <c r="A1716" t="inlineStr">
        <is>
          <t>Antes de 2026</t>
        </is>
      </c>
      <c r="B1716" t="inlineStr">
        <is>
          <t>Frete de venda</t>
        </is>
      </c>
      <c r="C1716" t="inlineStr">
        <is>
          <t>Frete de venda (para clientes)</t>
        </is>
      </c>
      <c r="D1716" t="inlineStr">
        <is>
          <t>CT-e</t>
        </is>
      </c>
      <c r="E1716" t="inlineStr">
        <is>
          <t>000005678</t>
        </is>
      </c>
      <c r="F1716" t="inlineStr">
        <is>
          <t>R&amp;R TRANSPORTE E LOGISTICA</t>
        </is>
      </c>
      <c r="G1716" s="27" t="n">
        <v>45967</v>
      </c>
      <c r="H1716" s="14" t="n">
        <v>15</v>
      </c>
      <c r="I1716" s="14" t="n">
        <v>0</v>
      </c>
      <c r="J1716" s="14" t="n">
        <v>0</v>
      </c>
      <c r="K1716" s="14" t="n">
        <v>0</v>
      </c>
      <c r="L1716" s="14" t="n">
        <v>0</v>
      </c>
      <c r="M1716" s="14">
        <f>IF(B1716="Frete de venda",0,(1-ISNUMBER(SEARCH("556",P1716)))*(I1716*VLOOKUP($B1716,Premissas!$A$4:$E$7,2,0)+J1716*VLOOKUP($B1716,Premissas!$A$4:$E$7,3,0))+K1716*VLOOKUP($B1716,Premissas!$A$4:$E$7,4,0)+L1716*VLOOKUP($B1716,Premissas!$A$4:$E$7,5,0))</f>
        <v/>
      </c>
      <c r="N1716" s="14">
        <f>H1716-M1716</f>
        <v/>
      </c>
      <c r="O1716" t="inlineStr">
        <is>
          <t>Não</t>
        </is>
      </c>
      <c r="P1716" t="inlineStr">
        <is>
          <t>1.350</t>
        </is>
      </c>
    </row>
    <row r="1717">
      <c r="A1717" t="inlineStr">
        <is>
          <t>Antes de 2026</t>
        </is>
      </c>
      <c r="B1717" t="inlineStr">
        <is>
          <t>Frete de venda</t>
        </is>
      </c>
      <c r="C1717" t="inlineStr">
        <is>
          <t>Frete de venda (para clientes)</t>
        </is>
      </c>
      <c r="D1717" t="inlineStr">
        <is>
          <t>CT-e</t>
        </is>
      </c>
      <c r="E1717" t="inlineStr">
        <is>
          <t>000005501</t>
        </is>
      </c>
      <c r="F1717" t="inlineStr">
        <is>
          <t>R&amp;R TRANSPORTE E LOGISTICA</t>
        </is>
      </c>
      <c r="G1717" s="27" t="n">
        <v>45947</v>
      </c>
      <c r="H1717" s="14" t="n">
        <v>48.8</v>
      </c>
      <c r="I1717" s="14" t="n">
        <v>0</v>
      </c>
      <c r="J1717" s="14" t="n">
        <v>0</v>
      </c>
      <c r="K1717" s="14" t="n">
        <v>0</v>
      </c>
      <c r="L1717" s="14" t="n">
        <v>0</v>
      </c>
      <c r="M1717" s="14">
        <f>IF(B1717="Frete de venda",0,(1-ISNUMBER(SEARCH("556",P1717)))*(I1717*VLOOKUP($B1717,Premissas!$A$4:$E$7,2,0)+J1717*VLOOKUP($B1717,Premissas!$A$4:$E$7,3,0))+K1717*VLOOKUP($B1717,Premissas!$A$4:$E$7,4,0)+L1717*VLOOKUP($B1717,Premissas!$A$4:$E$7,5,0))</f>
        <v/>
      </c>
      <c r="N1717" s="14">
        <f>H1717-M1717</f>
        <v/>
      </c>
      <c r="O1717" t="inlineStr">
        <is>
          <t>Não</t>
        </is>
      </c>
      <c r="P1717" t="inlineStr">
        <is>
          <t>1.350</t>
        </is>
      </c>
    </row>
    <row r="1718">
      <c r="A1718" t="inlineStr">
        <is>
          <t>Antes de 2026</t>
        </is>
      </c>
      <c r="B1718" t="inlineStr">
        <is>
          <t>Frete de venda</t>
        </is>
      </c>
      <c r="C1718" t="inlineStr">
        <is>
          <t>Frete de venda (para clientes)</t>
        </is>
      </c>
      <c r="D1718" t="inlineStr">
        <is>
          <t>CT-e</t>
        </is>
      </c>
      <c r="E1718" t="inlineStr">
        <is>
          <t>000004488</t>
        </is>
      </c>
      <c r="F1718" t="inlineStr">
        <is>
          <t>R&amp;R TRANSPORTE E LOGISTICA</t>
        </is>
      </c>
      <c r="G1718" s="27" t="n">
        <v>45831</v>
      </c>
      <c r="H1718" s="14" t="n">
        <v>14.31</v>
      </c>
      <c r="I1718" s="14" t="n">
        <v>0</v>
      </c>
      <c r="J1718" s="14" t="n">
        <v>0</v>
      </c>
      <c r="K1718" s="14" t="n">
        <v>0</v>
      </c>
      <c r="L1718" s="14" t="n">
        <v>0</v>
      </c>
      <c r="M1718" s="14">
        <f>IF(B1718="Frete de venda",0,(1-ISNUMBER(SEARCH("556",P1718)))*(I1718*VLOOKUP($B1718,Premissas!$A$4:$E$7,2,0)+J1718*VLOOKUP($B1718,Premissas!$A$4:$E$7,3,0))+K1718*VLOOKUP($B1718,Premissas!$A$4:$E$7,4,0)+L1718*VLOOKUP($B1718,Premissas!$A$4:$E$7,5,0))</f>
        <v/>
      </c>
      <c r="N1718" s="14">
        <f>H1718-M1718</f>
        <v/>
      </c>
      <c r="O1718" t="inlineStr">
        <is>
          <t>Não</t>
        </is>
      </c>
      <c r="P1718" t="inlineStr">
        <is>
          <t>1.350</t>
        </is>
      </c>
    </row>
    <row r="1719">
      <c r="A1719" t="inlineStr">
        <is>
          <t>Antes de 2026</t>
        </is>
      </c>
      <c r="B1719" t="inlineStr">
        <is>
          <t>Frete de venda</t>
        </is>
      </c>
      <c r="C1719" t="inlineStr">
        <is>
          <t>Frete de venda (para clientes)</t>
        </is>
      </c>
      <c r="D1719" t="inlineStr">
        <is>
          <t>CT-e</t>
        </is>
      </c>
      <c r="E1719" t="inlineStr">
        <is>
          <t>000004102</t>
        </is>
      </c>
      <c r="F1719" t="inlineStr">
        <is>
          <t>R&amp;R TRANSPORTE E LOGISTICA</t>
        </is>
      </c>
      <c r="G1719" s="27" t="n">
        <v>45775</v>
      </c>
      <c r="H1719" s="14" t="n">
        <v>1</v>
      </c>
      <c r="I1719" s="14" t="n">
        <v>0</v>
      </c>
      <c r="J1719" s="14" t="n">
        <v>0</v>
      </c>
      <c r="K1719" s="14" t="n">
        <v>0</v>
      </c>
      <c r="L1719" s="14" t="n">
        <v>0</v>
      </c>
      <c r="M1719" s="14">
        <f>IF(B1719="Frete de venda",0,(1-ISNUMBER(SEARCH("556",P1719)))*(I1719*VLOOKUP($B1719,Premissas!$A$4:$E$7,2,0)+J1719*VLOOKUP($B1719,Premissas!$A$4:$E$7,3,0))+K1719*VLOOKUP($B1719,Premissas!$A$4:$E$7,4,0)+L1719*VLOOKUP($B1719,Premissas!$A$4:$E$7,5,0))</f>
        <v/>
      </c>
      <c r="N1719" s="14">
        <f>H1719-M1719</f>
        <v/>
      </c>
      <c r="O1719" t="inlineStr">
        <is>
          <t>Não</t>
        </is>
      </c>
      <c r="P1719" t="inlineStr">
        <is>
          <t>1.350</t>
        </is>
      </c>
    </row>
    <row r="1720">
      <c r="A1720" t="inlineStr">
        <is>
          <t>Antes de 2026</t>
        </is>
      </c>
      <c r="B1720" t="inlineStr">
        <is>
          <t>Frete de venda</t>
        </is>
      </c>
      <c r="C1720" t="inlineStr">
        <is>
          <t>Frete de venda (para clientes)</t>
        </is>
      </c>
      <c r="D1720" t="inlineStr">
        <is>
          <t>CT-e</t>
        </is>
      </c>
      <c r="E1720" t="inlineStr">
        <is>
          <t>000004199</t>
        </is>
      </c>
      <c r="F1720" t="inlineStr">
        <is>
          <t>R&amp;R TRANSPORTE E LOGISTICA</t>
        </is>
      </c>
      <c r="G1720" s="27" t="n">
        <v>45790</v>
      </c>
      <c r="H1720" s="14" t="n">
        <v>23.21</v>
      </c>
      <c r="I1720" s="14" t="n">
        <v>0</v>
      </c>
      <c r="J1720" s="14" t="n">
        <v>0</v>
      </c>
      <c r="K1720" s="14" t="n">
        <v>0</v>
      </c>
      <c r="L1720" s="14" t="n">
        <v>0</v>
      </c>
      <c r="M1720" s="14">
        <f>IF(B1720="Frete de venda",0,(1-ISNUMBER(SEARCH("556",P1720)))*(I1720*VLOOKUP($B1720,Premissas!$A$4:$E$7,2,0)+J1720*VLOOKUP($B1720,Premissas!$A$4:$E$7,3,0))+K1720*VLOOKUP($B1720,Premissas!$A$4:$E$7,4,0)+L1720*VLOOKUP($B1720,Premissas!$A$4:$E$7,5,0))</f>
        <v/>
      </c>
      <c r="N1720" s="14">
        <f>H1720-M1720</f>
        <v/>
      </c>
      <c r="O1720" t="inlineStr">
        <is>
          <t>Não</t>
        </is>
      </c>
      <c r="P1720" t="inlineStr">
        <is>
          <t>1.350</t>
        </is>
      </c>
    </row>
    <row r="1721">
      <c r="A1721" t="inlineStr">
        <is>
          <t>Antes de 2026</t>
        </is>
      </c>
      <c r="B1721" t="inlineStr">
        <is>
          <t>Frete de venda</t>
        </is>
      </c>
      <c r="C1721" t="inlineStr">
        <is>
          <t>Frete de venda (para clientes)</t>
        </is>
      </c>
      <c r="D1721" t="inlineStr">
        <is>
          <t>CT-e</t>
        </is>
      </c>
      <c r="E1721" t="inlineStr">
        <is>
          <t>000004198</t>
        </is>
      </c>
      <c r="F1721" t="inlineStr">
        <is>
          <t>R&amp;R TRANSPORTE E LOGISTICA</t>
        </is>
      </c>
      <c r="G1721" s="27" t="n">
        <v>45790</v>
      </c>
      <c r="H1721" s="14" t="n">
        <v>19.94</v>
      </c>
      <c r="I1721" s="14" t="n">
        <v>0</v>
      </c>
      <c r="J1721" s="14" t="n">
        <v>0</v>
      </c>
      <c r="K1721" s="14" t="n">
        <v>0</v>
      </c>
      <c r="L1721" s="14" t="n">
        <v>0</v>
      </c>
      <c r="M1721" s="14">
        <f>IF(B1721="Frete de venda",0,(1-ISNUMBER(SEARCH("556",P1721)))*(I1721*VLOOKUP($B1721,Premissas!$A$4:$E$7,2,0)+J1721*VLOOKUP($B1721,Premissas!$A$4:$E$7,3,0))+K1721*VLOOKUP($B1721,Premissas!$A$4:$E$7,4,0)+L1721*VLOOKUP($B1721,Premissas!$A$4:$E$7,5,0))</f>
        <v/>
      </c>
      <c r="N1721" s="14">
        <f>H1721-M1721</f>
        <v/>
      </c>
      <c r="O1721" t="inlineStr">
        <is>
          <t>Não</t>
        </is>
      </c>
      <c r="P1721" t="inlineStr">
        <is>
          <t>1.350</t>
        </is>
      </c>
    </row>
    <row r="1722">
      <c r="A1722" t="inlineStr">
        <is>
          <t>Antes de 2026</t>
        </is>
      </c>
      <c r="B1722" t="inlineStr">
        <is>
          <t>Frete de venda</t>
        </is>
      </c>
      <c r="C1722" t="inlineStr">
        <is>
          <t>Frete de venda (para clientes)</t>
        </is>
      </c>
      <c r="D1722" t="inlineStr">
        <is>
          <t>CT-e</t>
        </is>
      </c>
      <c r="E1722" t="inlineStr">
        <is>
          <t>000004200</t>
        </is>
      </c>
      <c r="F1722" t="inlineStr">
        <is>
          <t>R&amp;R TRANSPORTE E LOGISTICA</t>
        </is>
      </c>
      <c r="G1722" s="27" t="n">
        <v>45790</v>
      </c>
      <c r="H1722" s="14" t="n">
        <v>35.64</v>
      </c>
      <c r="I1722" s="14" t="n">
        <v>0</v>
      </c>
      <c r="J1722" s="14" t="n">
        <v>0</v>
      </c>
      <c r="K1722" s="14" t="n">
        <v>0</v>
      </c>
      <c r="L1722" s="14" t="n">
        <v>0</v>
      </c>
      <c r="M1722" s="14">
        <f>IF(B1722="Frete de venda",0,(1-ISNUMBER(SEARCH("556",P1722)))*(I1722*VLOOKUP($B1722,Premissas!$A$4:$E$7,2,0)+J1722*VLOOKUP($B1722,Premissas!$A$4:$E$7,3,0))+K1722*VLOOKUP($B1722,Premissas!$A$4:$E$7,4,0)+L1722*VLOOKUP($B1722,Premissas!$A$4:$E$7,5,0))</f>
        <v/>
      </c>
      <c r="N1722" s="14">
        <f>H1722-M1722</f>
        <v/>
      </c>
      <c r="O1722" t="inlineStr">
        <is>
          <t>Não</t>
        </is>
      </c>
      <c r="P1722" t="inlineStr">
        <is>
          <t>1.350</t>
        </is>
      </c>
    </row>
    <row r="1723">
      <c r="A1723" t="inlineStr">
        <is>
          <t>Antes de 2026</t>
        </is>
      </c>
      <c r="B1723" t="inlineStr">
        <is>
          <t>Frete de venda</t>
        </is>
      </c>
      <c r="C1723" t="inlineStr">
        <is>
          <t>Frete de venda (para clientes)</t>
        </is>
      </c>
      <c r="D1723" t="inlineStr">
        <is>
          <t>CT-e</t>
        </is>
      </c>
      <c r="E1723" t="inlineStr">
        <is>
          <t>000004228</t>
        </is>
      </c>
      <c r="F1723" t="inlineStr">
        <is>
          <t>R&amp;R TRANSPORTE E LOGISTICA</t>
        </is>
      </c>
      <c r="G1723" s="27" t="n">
        <v>45792</v>
      </c>
      <c r="H1723" s="14" t="n">
        <v>950</v>
      </c>
      <c r="I1723" s="14" t="n">
        <v>0</v>
      </c>
      <c r="J1723" s="14" t="n">
        <v>0</v>
      </c>
      <c r="K1723" s="14" t="n">
        <v>0</v>
      </c>
      <c r="L1723" s="14" t="n">
        <v>0</v>
      </c>
      <c r="M1723" s="14">
        <f>IF(B1723="Frete de venda",0,(1-ISNUMBER(SEARCH("556",P1723)))*(I1723*VLOOKUP($B1723,Premissas!$A$4:$E$7,2,0)+J1723*VLOOKUP($B1723,Premissas!$A$4:$E$7,3,0))+K1723*VLOOKUP($B1723,Premissas!$A$4:$E$7,4,0)+L1723*VLOOKUP($B1723,Premissas!$A$4:$E$7,5,0))</f>
        <v/>
      </c>
      <c r="N1723" s="14">
        <f>H1723-M1723</f>
        <v/>
      </c>
      <c r="O1723" t="inlineStr">
        <is>
          <t>Não</t>
        </is>
      </c>
      <c r="P1723" t="inlineStr">
        <is>
          <t>1.350</t>
        </is>
      </c>
    </row>
    <row r="1724">
      <c r="A1724" t="inlineStr">
        <is>
          <t>Antes de 2026</t>
        </is>
      </c>
      <c r="B1724" t="inlineStr">
        <is>
          <t>Frete de venda</t>
        </is>
      </c>
      <c r="C1724" t="inlineStr">
        <is>
          <t>Frete de venda (para clientes)</t>
        </is>
      </c>
      <c r="D1724" t="inlineStr">
        <is>
          <t>CT-e</t>
        </is>
      </c>
      <c r="E1724" t="inlineStr">
        <is>
          <t>000004238</t>
        </is>
      </c>
      <c r="F1724" t="inlineStr">
        <is>
          <t>R&amp;R TRANSPORTE E LOGISTICA</t>
        </is>
      </c>
      <c r="G1724" s="27" t="n">
        <v>45793</v>
      </c>
      <c r="H1724" s="14" t="n">
        <v>307</v>
      </c>
      <c r="I1724" s="14" t="n">
        <v>0</v>
      </c>
      <c r="J1724" s="14" t="n">
        <v>0</v>
      </c>
      <c r="K1724" s="14" t="n">
        <v>0</v>
      </c>
      <c r="L1724" s="14" t="n">
        <v>0</v>
      </c>
      <c r="M1724" s="14">
        <f>IF(B1724="Frete de venda",0,(1-ISNUMBER(SEARCH("556",P1724)))*(I1724*VLOOKUP($B1724,Premissas!$A$4:$E$7,2,0)+J1724*VLOOKUP($B1724,Premissas!$A$4:$E$7,3,0))+K1724*VLOOKUP($B1724,Premissas!$A$4:$E$7,4,0)+L1724*VLOOKUP($B1724,Premissas!$A$4:$E$7,5,0))</f>
        <v/>
      </c>
      <c r="N1724" s="14">
        <f>H1724-M1724</f>
        <v/>
      </c>
      <c r="O1724" t="inlineStr">
        <is>
          <t>Não</t>
        </is>
      </c>
      <c r="P1724" t="inlineStr">
        <is>
          <t>1.350</t>
        </is>
      </c>
    </row>
    <row r="1725">
      <c r="A1725" t="inlineStr">
        <is>
          <t>Antes de 2026</t>
        </is>
      </c>
      <c r="B1725" t="inlineStr">
        <is>
          <t>Frete de venda</t>
        </is>
      </c>
      <c r="C1725" t="inlineStr">
        <is>
          <t>Frete de venda (para clientes)</t>
        </is>
      </c>
      <c r="D1725" t="inlineStr">
        <is>
          <t>CT-e</t>
        </is>
      </c>
      <c r="E1725" t="inlineStr">
        <is>
          <t>000004330</t>
        </is>
      </c>
      <c r="F1725" t="inlineStr">
        <is>
          <t>R&amp;R TRANSPORTE E LOGISTICA</t>
        </is>
      </c>
      <c r="G1725" s="27" t="n">
        <v>45806</v>
      </c>
      <c r="H1725" s="14" t="n">
        <v>825</v>
      </c>
      <c r="I1725" s="14" t="n">
        <v>0</v>
      </c>
      <c r="J1725" s="14" t="n">
        <v>0</v>
      </c>
      <c r="K1725" s="14" t="n">
        <v>0</v>
      </c>
      <c r="L1725" s="14" t="n">
        <v>0</v>
      </c>
      <c r="M1725" s="14">
        <f>IF(B1725="Frete de venda",0,(1-ISNUMBER(SEARCH("556",P1725)))*(I1725*VLOOKUP($B1725,Premissas!$A$4:$E$7,2,0)+J1725*VLOOKUP($B1725,Premissas!$A$4:$E$7,3,0))+K1725*VLOOKUP($B1725,Premissas!$A$4:$E$7,4,0)+L1725*VLOOKUP($B1725,Premissas!$A$4:$E$7,5,0))</f>
        <v/>
      </c>
      <c r="N1725" s="14">
        <f>H1725-M1725</f>
        <v/>
      </c>
      <c r="O1725" t="inlineStr">
        <is>
          <t>Não</t>
        </is>
      </c>
      <c r="P1725" t="inlineStr">
        <is>
          <t>1.350</t>
        </is>
      </c>
    </row>
    <row r="1726">
      <c r="A1726" t="inlineStr">
        <is>
          <t>Antes de 2026</t>
        </is>
      </c>
      <c r="B1726" t="inlineStr">
        <is>
          <t>Frete de venda</t>
        </is>
      </c>
      <c r="C1726" t="inlineStr">
        <is>
          <t>Frete de venda (para clientes)</t>
        </is>
      </c>
      <c r="D1726" t="inlineStr">
        <is>
          <t>CT-e</t>
        </is>
      </c>
      <c r="E1726" t="inlineStr">
        <is>
          <t>000004353</t>
        </is>
      </c>
      <c r="F1726" t="inlineStr">
        <is>
          <t>R&amp;R TRANSPORTE E LOGISTICA</t>
        </is>
      </c>
      <c r="G1726" s="27" t="n">
        <v>45808</v>
      </c>
      <c r="H1726" s="14" t="n">
        <v>330</v>
      </c>
      <c r="I1726" s="14" t="n">
        <v>0</v>
      </c>
      <c r="J1726" s="14" t="n">
        <v>0</v>
      </c>
      <c r="K1726" s="14" t="n">
        <v>0</v>
      </c>
      <c r="L1726" s="14" t="n">
        <v>0</v>
      </c>
      <c r="M1726" s="14">
        <f>IF(B1726="Frete de venda",0,(1-ISNUMBER(SEARCH("556",P1726)))*(I1726*VLOOKUP($B1726,Premissas!$A$4:$E$7,2,0)+J1726*VLOOKUP($B1726,Premissas!$A$4:$E$7,3,0))+K1726*VLOOKUP($B1726,Premissas!$A$4:$E$7,4,0)+L1726*VLOOKUP($B1726,Premissas!$A$4:$E$7,5,0))</f>
        <v/>
      </c>
      <c r="N1726" s="14">
        <f>H1726-M1726</f>
        <v/>
      </c>
      <c r="O1726" t="inlineStr">
        <is>
          <t>Não</t>
        </is>
      </c>
      <c r="P1726" t="inlineStr">
        <is>
          <t>1.350</t>
        </is>
      </c>
    </row>
    <row r="1727">
      <c r="A1727" t="inlineStr">
        <is>
          <t>Antes de 2026</t>
        </is>
      </c>
      <c r="B1727" t="inlineStr">
        <is>
          <t>Frete de venda</t>
        </is>
      </c>
      <c r="C1727" t="inlineStr">
        <is>
          <t>Frete de venda (para clientes)</t>
        </is>
      </c>
      <c r="D1727" t="inlineStr">
        <is>
          <t>CT-e</t>
        </is>
      </c>
      <c r="E1727" t="inlineStr">
        <is>
          <t>000004970</t>
        </is>
      </c>
      <c r="F1727" t="inlineStr">
        <is>
          <t>R&amp;R TRANSPORTE E LOGISTICA</t>
        </is>
      </c>
      <c r="G1727" s="27" t="n">
        <v>45890</v>
      </c>
      <c r="H1727" s="14" t="n">
        <v>400</v>
      </c>
      <c r="I1727" s="14" t="n">
        <v>0</v>
      </c>
      <c r="J1727" s="14" t="n">
        <v>0</v>
      </c>
      <c r="K1727" s="14" t="n">
        <v>0</v>
      </c>
      <c r="L1727" s="14" t="n">
        <v>0</v>
      </c>
      <c r="M1727" s="14">
        <f>IF(B1727="Frete de venda",0,(1-ISNUMBER(SEARCH("556",P1727)))*(I1727*VLOOKUP($B1727,Premissas!$A$4:$E$7,2,0)+J1727*VLOOKUP($B1727,Premissas!$A$4:$E$7,3,0))+K1727*VLOOKUP($B1727,Premissas!$A$4:$E$7,4,0)+L1727*VLOOKUP($B1727,Premissas!$A$4:$E$7,5,0))</f>
        <v/>
      </c>
      <c r="N1727" s="14">
        <f>H1727-M1727</f>
        <v/>
      </c>
      <c r="O1727" t="inlineStr">
        <is>
          <t>Não</t>
        </is>
      </c>
      <c r="P1727" t="inlineStr">
        <is>
          <t>1.350</t>
        </is>
      </c>
    </row>
    <row r="1728">
      <c r="A1728" t="inlineStr">
        <is>
          <t>Antes de 2026</t>
        </is>
      </c>
      <c r="B1728" t="inlineStr">
        <is>
          <t>Frete de venda</t>
        </is>
      </c>
      <c r="C1728" t="inlineStr">
        <is>
          <t>Frete de venda (para clientes)</t>
        </is>
      </c>
      <c r="D1728" t="inlineStr">
        <is>
          <t>CT-e</t>
        </is>
      </c>
      <c r="E1728" t="inlineStr">
        <is>
          <t>000005492</t>
        </is>
      </c>
      <c r="F1728" t="inlineStr">
        <is>
          <t>R&amp;R TRANSPORTE E LOGISTICA</t>
        </is>
      </c>
      <c r="G1728" s="27" t="n">
        <v>45947</v>
      </c>
      <c r="H1728" s="14" t="n">
        <v>467</v>
      </c>
      <c r="I1728" s="14" t="n">
        <v>0</v>
      </c>
      <c r="J1728" s="14" t="n">
        <v>0</v>
      </c>
      <c r="K1728" s="14" t="n">
        <v>0</v>
      </c>
      <c r="L1728" s="14" t="n">
        <v>0</v>
      </c>
      <c r="M1728" s="14">
        <f>IF(B1728="Frete de venda",0,(1-ISNUMBER(SEARCH("556",P1728)))*(I1728*VLOOKUP($B1728,Premissas!$A$4:$E$7,2,0)+J1728*VLOOKUP($B1728,Premissas!$A$4:$E$7,3,0))+K1728*VLOOKUP($B1728,Premissas!$A$4:$E$7,4,0)+L1728*VLOOKUP($B1728,Premissas!$A$4:$E$7,5,0))</f>
        <v/>
      </c>
      <c r="N1728" s="14">
        <f>H1728-M1728</f>
        <v/>
      </c>
      <c r="O1728" t="inlineStr">
        <is>
          <t>Não</t>
        </is>
      </c>
      <c r="P1728" t="inlineStr">
        <is>
          <t>1.350</t>
        </is>
      </c>
    </row>
    <row r="1729">
      <c r="A1729" t="inlineStr">
        <is>
          <t>Antes de 2026</t>
        </is>
      </c>
      <c r="B1729" t="inlineStr">
        <is>
          <t>Frete de venda</t>
        </is>
      </c>
      <c r="C1729" t="inlineStr">
        <is>
          <t>Frete de venda (para clientes)</t>
        </is>
      </c>
      <c r="D1729" t="inlineStr">
        <is>
          <t>CT-e</t>
        </is>
      </c>
      <c r="E1729" t="inlineStr">
        <is>
          <t>000005552</t>
        </is>
      </c>
      <c r="F1729" t="inlineStr">
        <is>
          <t>R&amp;R TRANSPORTE E LOGISTICA</t>
        </is>
      </c>
      <c r="G1729" s="27" t="n">
        <v>45955</v>
      </c>
      <c r="H1729" s="14" t="n">
        <v>286.43</v>
      </c>
      <c r="I1729" s="14" t="n">
        <v>0</v>
      </c>
      <c r="J1729" s="14" t="n">
        <v>0</v>
      </c>
      <c r="K1729" s="14" t="n">
        <v>0</v>
      </c>
      <c r="L1729" s="14" t="n">
        <v>0</v>
      </c>
      <c r="M1729" s="14">
        <f>IF(B1729="Frete de venda",0,(1-ISNUMBER(SEARCH("556",P1729)))*(I1729*VLOOKUP($B1729,Premissas!$A$4:$E$7,2,0)+J1729*VLOOKUP($B1729,Premissas!$A$4:$E$7,3,0))+K1729*VLOOKUP($B1729,Premissas!$A$4:$E$7,4,0)+L1729*VLOOKUP($B1729,Premissas!$A$4:$E$7,5,0))</f>
        <v/>
      </c>
      <c r="N1729" s="14">
        <f>H1729-M1729</f>
        <v/>
      </c>
      <c r="O1729" t="inlineStr">
        <is>
          <t>Não</t>
        </is>
      </c>
      <c r="P1729" t="inlineStr">
        <is>
          <t>1.350</t>
        </is>
      </c>
    </row>
    <row r="1730">
      <c r="A1730" t="inlineStr">
        <is>
          <t>Antes de 2026</t>
        </is>
      </c>
      <c r="B1730" t="inlineStr">
        <is>
          <t>Frete de venda</t>
        </is>
      </c>
      <c r="C1730" t="inlineStr">
        <is>
          <t>Frete de venda (para clientes)</t>
        </is>
      </c>
      <c r="D1730" t="inlineStr">
        <is>
          <t>CT-e</t>
        </is>
      </c>
      <c r="E1730" t="inlineStr">
        <is>
          <t>000004329</t>
        </is>
      </c>
      <c r="F1730" t="inlineStr">
        <is>
          <t>R&amp;R TRANSPORTE E LOGISTICA</t>
        </is>
      </c>
      <c r="G1730" s="27" t="n">
        <v>45806</v>
      </c>
      <c r="H1730" s="14" t="n">
        <v>21.1</v>
      </c>
      <c r="I1730" s="14" t="n">
        <v>0</v>
      </c>
      <c r="J1730" s="14" t="n">
        <v>0</v>
      </c>
      <c r="K1730" s="14" t="n">
        <v>0</v>
      </c>
      <c r="L1730" s="14" t="n">
        <v>0</v>
      </c>
      <c r="M1730" s="14">
        <f>IF(B1730="Frete de venda",0,(1-ISNUMBER(SEARCH("556",P1730)))*(I1730*VLOOKUP($B1730,Premissas!$A$4:$E$7,2,0)+J1730*VLOOKUP($B1730,Premissas!$A$4:$E$7,3,0))+K1730*VLOOKUP($B1730,Premissas!$A$4:$E$7,4,0)+L1730*VLOOKUP($B1730,Premissas!$A$4:$E$7,5,0))</f>
        <v/>
      </c>
      <c r="N1730" s="14">
        <f>H1730-M1730</f>
        <v/>
      </c>
      <c r="O1730" t="inlineStr">
        <is>
          <t>Não</t>
        </is>
      </c>
      <c r="P1730" t="inlineStr">
        <is>
          <t>1.350</t>
        </is>
      </c>
    </row>
    <row r="1731">
      <c r="A1731" t="inlineStr">
        <is>
          <t>Antes de 2026</t>
        </is>
      </c>
      <c r="B1731" t="inlineStr">
        <is>
          <t>Frete de venda</t>
        </is>
      </c>
      <c r="C1731" t="inlineStr">
        <is>
          <t>Frete de venda (para clientes)</t>
        </is>
      </c>
      <c r="D1731" t="inlineStr">
        <is>
          <t>CT-e</t>
        </is>
      </c>
      <c r="E1731" t="inlineStr">
        <is>
          <t>000005551</t>
        </is>
      </c>
      <c r="F1731" t="inlineStr">
        <is>
          <t>R&amp;R TRANSPORTE E LOGISTICA</t>
        </is>
      </c>
      <c r="G1731" s="27" t="n">
        <v>45954</v>
      </c>
      <c r="H1731" s="14" t="n">
        <v>759.4400000000001</v>
      </c>
      <c r="I1731" s="14" t="n">
        <v>0</v>
      </c>
      <c r="J1731" s="14" t="n">
        <v>0</v>
      </c>
      <c r="K1731" s="14" t="n">
        <v>0</v>
      </c>
      <c r="L1731" s="14" t="n">
        <v>0</v>
      </c>
      <c r="M1731" s="14">
        <f>IF(B1731="Frete de venda",0,(1-ISNUMBER(SEARCH("556",P1731)))*(I1731*VLOOKUP($B1731,Premissas!$A$4:$E$7,2,0)+J1731*VLOOKUP($B1731,Premissas!$A$4:$E$7,3,0))+K1731*VLOOKUP($B1731,Premissas!$A$4:$E$7,4,0)+L1731*VLOOKUP($B1731,Premissas!$A$4:$E$7,5,0))</f>
        <v/>
      </c>
      <c r="N1731" s="14">
        <f>H1731-M1731</f>
        <v/>
      </c>
      <c r="O1731" t="inlineStr">
        <is>
          <t>Não</t>
        </is>
      </c>
      <c r="P1731" t="inlineStr">
        <is>
          <t>1.350</t>
        </is>
      </c>
    </row>
    <row r="1732">
      <c r="A1732" t="inlineStr">
        <is>
          <t>Antes de 2026</t>
        </is>
      </c>
      <c r="B1732" t="inlineStr">
        <is>
          <t>Frete de venda</t>
        </is>
      </c>
      <c r="C1732" t="inlineStr">
        <is>
          <t>Frete de venda (para clientes)</t>
        </is>
      </c>
      <c r="D1732" t="inlineStr">
        <is>
          <t>CT-e</t>
        </is>
      </c>
      <c r="E1732" t="inlineStr">
        <is>
          <t>000005291</t>
        </is>
      </c>
      <c r="F1732" t="inlineStr">
        <is>
          <t>R&amp;R TRANSPORTE E LOGISTICA</t>
        </is>
      </c>
      <c r="G1732" s="27" t="n">
        <v>45926</v>
      </c>
      <c r="H1732" s="14" t="n">
        <v>20.13</v>
      </c>
      <c r="I1732" s="14" t="n">
        <v>0</v>
      </c>
      <c r="J1732" s="14" t="n">
        <v>0</v>
      </c>
      <c r="K1732" s="14" t="n">
        <v>0</v>
      </c>
      <c r="L1732" s="14" t="n">
        <v>0</v>
      </c>
      <c r="M1732" s="14">
        <f>IF(B1732="Frete de venda",0,(1-ISNUMBER(SEARCH("556",P1732)))*(I1732*VLOOKUP($B1732,Premissas!$A$4:$E$7,2,0)+J1732*VLOOKUP($B1732,Premissas!$A$4:$E$7,3,0))+K1732*VLOOKUP($B1732,Premissas!$A$4:$E$7,4,0)+L1732*VLOOKUP($B1732,Premissas!$A$4:$E$7,5,0))</f>
        <v/>
      </c>
      <c r="N1732" s="14">
        <f>H1732-M1732</f>
        <v/>
      </c>
      <c r="O1732" t="inlineStr">
        <is>
          <t>Não</t>
        </is>
      </c>
      <c r="P1732" t="inlineStr">
        <is>
          <t>1.350</t>
        </is>
      </c>
    </row>
    <row r="1733">
      <c r="A1733" t="inlineStr">
        <is>
          <t>Antes de 2026</t>
        </is>
      </c>
      <c r="B1733" t="inlineStr">
        <is>
          <t>Frete de venda</t>
        </is>
      </c>
      <c r="C1733" t="inlineStr">
        <is>
          <t>Frete de venda (para clientes)</t>
        </is>
      </c>
      <c r="D1733" t="inlineStr">
        <is>
          <t>CT-e</t>
        </is>
      </c>
      <c r="E1733" t="inlineStr">
        <is>
          <t>000005130</t>
        </is>
      </c>
      <c r="F1733" t="inlineStr">
        <is>
          <t>R&amp;R TRANSPORTE E LOGISTICA</t>
        </is>
      </c>
      <c r="G1733" s="27" t="n">
        <v>45908</v>
      </c>
      <c r="H1733" s="14" t="n">
        <v>26.33</v>
      </c>
      <c r="I1733" s="14" t="n">
        <v>0</v>
      </c>
      <c r="J1733" s="14" t="n">
        <v>0</v>
      </c>
      <c r="K1733" s="14" t="n">
        <v>0</v>
      </c>
      <c r="L1733" s="14" t="n">
        <v>0</v>
      </c>
      <c r="M1733" s="14">
        <f>IF(B1733="Frete de venda",0,(1-ISNUMBER(SEARCH("556",P1733)))*(I1733*VLOOKUP($B1733,Premissas!$A$4:$E$7,2,0)+J1733*VLOOKUP($B1733,Premissas!$A$4:$E$7,3,0))+K1733*VLOOKUP($B1733,Premissas!$A$4:$E$7,4,0)+L1733*VLOOKUP($B1733,Premissas!$A$4:$E$7,5,0))</f>
        <v/>
      </c>
      <c r="N1733" s="14">
        <f>H1733-M1733</f>
        <v/>
      </c>
      <c r="O1733" t="inlineStr">
        <is>
          <t>Não</t>
        </is>
      </c>
      <c r="P1733" t="inlineStr">
        <is>
          <t>1.350</t>
        </is>
      </c>
    </row>
    <row r="1734">
      <c r="A1734" t="inlineStr">
        <is>
          <t>Antes de 2026</t>
        </is>
      </c>
      <c r="B1734" t="inlineStr">
        <is>
          <t>Frete de venda</t>
        </is>
      </c>
      <c r="C1734" t="inlineStr">
        <is>
          <t>Frete de venda (para clientes)</t>
        </is>
      </c>
      <c r="D1734" t="inlineStr">
        <is>
          <t>CT-e</t>
        </is>
      </c>
      <c r="E1734" t="inlineStr">
        <is>
          <t>000005319</t>
        </is>
      </c>
      <c r="F1734" t="inlineStr">
        <is>
          <t>R&amp;R TRANSPORTE E LOGISTICA</t>
        </is>
      </c>
      <c r="G1734" s="27" t="n">
        <v>45929</v>
      </c>
      <c r="H1734" s="14" t="n">
        <v>16.5</v>
      </c>
      <c r="I1734" s="14" t="n">
        <v>0</v>
      </c>
      <c r="J1734" s="14" t="n">
        <v>0</v>
      </c>
      <c r="K1734" s="14" t="n">
        <v>0</v>
      </c>
      <c r="L1734" s="14" t="n">
        <v>0</v>
      </c>
      <c r="M1734" s="14">
        <f>IF(B1734="Frete de venda",0,(1-ISNUMBER(SEARCH("556",P1734)))*(I1734*VLOOKUP($B1734,Premissas!$A$4:$E$7,2,0)+J1734*VLOOKUP($B1734,Premissas!$A$4:$E$7,3,0))+K1734*VLOOKUP($B1734,Premissas!$A$4:$E$7,4,0)+L1734*VLOOKUP($B1734,Premissas!$A$4:$E$7,5,0))</f>
        <v/>
      </c>
      <c r="N1734" s="14">
        <f>H1734-M1734</f>
        <v/>
      </c>
      <c r="O1734" t="inlineStr">
        <is>
          <t>Não</t>
        </is>
      </c>
      <c r="P1734" t="inlineStr">
        <is>
          <t>1.350</t>
        </is>
      </c>
    </row>
    <row r="1735">
      <c r="A1735" t="inlineStr">
        <is>
          <t>Antes de 2026</t>
        </is>
      </c>
      <c r="B1735" t="inlineStr">
        <is>
          <t>Frete de venda</t>
        </is>
      </c>
      <c r="C1735" t="inlineStr">
        <is>
          <t>Frete de venda (para clientes)</t>
        </is>
      </c>
      <c r="D1735" t="inlineStr">
        <is>
          <t>CT-e</t>
        </is>
      </c>
      <c r="E1735" t="inlineStr">
        <is>
          <t>000004927</t>
        </is>
      </c>
      <c r="F1735" t="inlineStr">
        <is>
          <t>R&amp;R TRANSPORTE E LOGISTICA</t>
        </is>
      </c>
      <c r="G1735" s="27" t="n">
        <v>45884</v>
      </c>
      <c r="H1735" s="14" t="n">
        <v>18.68</v>
      </c>
      <c r="I1735" s="14" t="n">
        <v>0</v>
      </c>
      <c r="J1735" s="14" t="n">
        <v>0</v>
      </c>
      <c r="K1735" s="14" t="n">
        <v>0</v>
      </c>
      <c r="L1735" s="14" t="n">
        <v>0</v>
      </c>
      <c r="M1735" s="14">
        <f>IF(B1735="Frete de venda",0,(1-ISNUMBER(SEARCH("556",P1735)))*(I1735*VLOOKUP($B1735,Premissas!$A$4:$E$7,2,0)+J1735*VLOOKUP($B1735,Premissas!$A$4:$E$7,3,0))+K1735*VLOOKUP($B1735,Premissas!$A$4:$E$7,4,0)+L1735*VLOOKUP($B1735,Premissas!$A$4:$E$7,5,0))</f>
        <v/>
      </c>
      <c r="N1735" s="14">
        <f>H1735-M1735</f>
        <v/>
      </c>
      <c r="O1735" t="inlineStr">
        <is>
          <t>Não</t>
        </is>
      </c>
      <c r="P1735" t="inlineStr">
        <is>
          <t>1.350</t>
        </is>
      </c>
    </row>
    <row r="1736">
      <c r="A1736" t="inlineStr">
        <is>
          <t>Antes de 2026</t>
        </is>
      </c>
      <c r="B1736" t="inlineStr">
        <is>
          <t>Frete de venda</t>
        </is>
      </c>
      <c r="C1736" t="inlineStr">
        <is>
          <t>Frete de venda (para clientes)</t>
        </is>
      </c>
      <c r="D1736" t="inlineStr">
        <is>
          <t>CT-e</t>
        </is>
      </c>
      <c r="E1736" t="inlineStr">
        <is>
          <t>000005280</t>
        </is>
      </c>
      <c r="F1736" t="inlineStr">
        <is>
          <t>R&amp;R TRANSPORTE E LOGISTICA</t>
        </is>
      </c>
      <c r="G1736" s="27" t="n">
        <v>45926</v>
      </c>
      <c r="H1736" s="14" t="n">
        <v>25.15</v>
      </c>
      <c r="I1736" s="14" t="n">
        <v>0</v>
      </c>
      <c r="J1736" s="14" t="n">
        <v>0</v>
      </c>
      <c r="K1736" s="14" t="n">
        <v>0</v>
      </c>
      <c r="L1736" s="14" t="n">
        <v>0</v>
      </c>
      <c r="M1736" s="14">
        <f>IF(B1736="Frete de venda",0,(1-ISNUMBER(SEARCH("556",P1736)))*(I1736*VLOOKUP($B1736,Premissas!$A$4:$E$7,2,0)+J1736*VLOOKUP($B1736,Premissas!$A$4:$E$7,3,0))+K1736*VLOOKUP($B1736,Premissas!$A$4:$E$7,4,0)+L1736*VLOOKUP($B1736,Premissas!$A$4:$E$7,5,0))</f>
        <v/>
      </c>
      <c r="N1736" s="14">
        <f>H1736-M1736</f>
        <v/>
      </c>
      <c r="O1736" t="inlineStr">
        <is>
          <t>Não</t>
        </is>
      </c>
      <c r="P1736" t="inlineStr">
        <is>
          <t>1.350</t>
        </is>
      </c>
    </row>
    <row r="1737">
      <c r="A1737" t="inlineStr">
        <is>
          <t>Antes de 2026</t>
        </is>
      </c>
      <c r="B1737" t="inlineStr">
        <is>
          <t>Frete de venda</t>
        </is>
      </c>
      <c r="C1737" t="inlineStr">
        <is>
          <t>Frete de venda (para clientes)</t>
        </is>
      </c>
      <c r="D1737" t="inlineStr">
        <is>
          <t>CT-e</t>
        </is>
      </c>
      <c r="E1737" t="inlineStr">
        <is>
          <t>000005720</t>
        </is>
      </c>
      <c r="F1737" t="inlineStr">
        <is>
          <t>R&amp;R TRANSPORTE E LOGISTICA</t>
        </is>
      </c>
      <c r="G1737" s="27" t="n">
        <v>45974</v>
      </c>
      <c r="H1737" s="14" t="n">
        <v>32</v>
      </c>
      <c r="I1737" s="14" t="n">
        <v>0</v>
      </c>
      <c r="J1737" s="14" t="n">
        <v>0</v>
      </c>
      <c r="K1737" s="14" t="n">
        <v>0</v>
      </c>
      <c r="L1737" s="14" t="n">
        <v>0</v>
      </c>
      <c r="M1737" s="14">
        <f>IF(B1737="Frete de venda",0,(1-ISNUMBER(SEARCH("556",P1737)))*(I1737*VLOOKUP($B1737,Premissas!$A$4:$E$7,2,0)+J1737*VLOOKUP($B1737,Premissas!$A$4:$E$7,3,0))+K1737*VLOOKUP($B1737,Premissas!$A$4:$E$7,4,0)+L1737*VLOOKUP($B1737,Premissas!$A$4:$E$7,5,0))</f>
        <v/>
      </c>
      <c r="N1737" s="14">
        <f>H1737-M1737</f>
        <v/>
      </c>
      <c r="O1737" t="inlineStr">
        <is>
          <t>Não</t>
        </is>
      </c>
      <c r="P1737" t="inlineStr">
        <is>
          <t>1.350</t>
        </is>
      </c>
    </row>
    <row r="1738">
      <c r="A1738" t="inlineStr">
        <is>
          <t>Antes de 2026</t>
        </is>
      </c>
      <c r="B1738" t="inlineStr">
        <is>
          <t>Frete de venda</t>
        </is>
      </c>
      <c r="C1738" t="inlineStr">
        <is>
          <t>Frete de venda (para clientes)</t>
        </is>
      </c>
      <c r="D1738" t="inlineStr">
        <is>
          <t>CT-e</t>
        </is>
      </c>
      <c r="E1738" t="inlineStr">
        <is>
          <t>000005776</t>
        </is>
      </c>
      <c r="F1738" t="inlineStr">
        <is>
          <t>R&amp;R TRANSPORTE E LOGISTICA</t>
        </is>
      </c>
      <c r="G1738" s="27" t="n">
        <v>45981</v>
      </c>
      <c r="H1738" s="14" t="n">
        <v>21.51</v>
      </c>
      <c r="I1738" s="14" t="n">
        <v>0</v>
      </c>
      <c r="J1738" s="14" t="n">
        <v>0</v>
      </c>
      <c r="K1738" s="14" t="n">
        <v>0</v>
      </c>
      <c r="L1738" s="14" t="n">
        <v>0</v>
      </c>
      <c r="M1738" s="14">
        <f>IF(B1738="Frete de venda",0,(1-ISNUMBER(SEARCH("556",P1738)))*(I1738*VLOOKUP($B1738,Premissas!$A$4:$E$7,2,0)+J1738*VLOOKUP($B1738,Premissas!$A$4:$E$7,3,0))+K1738*VLOOKUP($B1738,Premissas!$A$4:$E$7,4,0)+L1738*VLOOKUP($B1738,Premissas!$A$4:$E$7,5,0))</f>
        <v/>
      </c>
      <c r="N1738" s="14">
        <f>H1738-M1738</f>
        <v/>
      </c>
      <c r="O1738" t="inlineStr">
        <is>
          <t>Não</t>
        </is>
      </c>
      <c r="P1738" t="inlineStr">
        <is>
          <t>1.350</t>
        </is>
      </c>
    </row>
    <row r="1739">
      <c r="A1739" t="inlineStr">
        <is>
          <t>Antes de 2026</t>
        </is>
      </c>
      <c r="B1739" t="inlineStr">
        <is>
          <t>Frete de venda</t>
        </is>
      </c>
      <c r="C1739" t="inlineStr">
        <is>
          <t>Frete de venda (para clientes)</t>
        </is>
      </c>
      <c r="D1739" t="inlineStr">
        <is>
          <t>CT-e</t>
        </is>
      </c>
      <c r="E1739" t="inlineStr">
        <is>
          <t>000004861</t>
        </is>
      </c>
      <c r="F1739" t="inlineStr">
        <is>
          <t>R&amp;R TRANSPORTE E LOGISTICA</t>
        </is>
      </c>
      <c r="G1739" s="27" t="n">
        <v>45877</v>
      </c>
      <c r="H1739" s="14" t="n">
        <v>29.9</v>
      </c>
      <c r="I1739" s="14" t="n">
        <v>0</v>
      </c>
      <c r="J1739" s="14" t="n">
        <v>0</v>
      </c>
      <c r="K1739" s="14" t="n">
        <v>0</v>
      </c>
      <c r="L1739" s="14" t="n">
        <v>0</v>
      </c>
      <c r="M1739" s="14">
        <f>IF(B1739="Frete de venda",0,(1-ISNUMBER(SEARCH("556",P1739)))*(I1739*VLOOKUP($B1739,Premissas!$A$4:$E$7,2,0)+J1739*VLOOKUP($B1739,Premissas!$A$4:$E$7,3,0))+K1739*VLOOKUP($B1739,Premissas!$A$4:$E$7,4,0)+L1739*VLOOKUP($B1739,Premissas!$A$4:$E$7,5,0))</f>
        <v/>
      </c>
      <c r="N1739" s="14">
        <f>H1739-M1739</f>
        <v/>
      </c>
      <c r="O1739" t="inlineStr">
        <is>
          <t>Não</t>
        </is>
      </c>
      <c r="P1739" t="inlineStr">
        <is>
          <t>1.350</t>
        </is>
      </c>
    </row>
    <row r="1740">
      <c r="A1740" t="inlineStr">
        <is>
          <t>Antes de 2026</t>
        </is>
      </c>
      <c r="B1740" t="inlineStr">
        <is>
          <t>Frete de venda</t>
        </is>
      </c>
      <c r="C1740" t="inlineStr">
        <is>
          <t>Frete de venda (para clientes)</t>
        </is>
      </c>
      <c r="D1740" t="inlineStr">
        <is>
          <t>CT-e</t>
        </is>
      </c>
      <c r="E1740" t="inlineStr">
        <is>
          <t>000005828</t>
        </is>
      </c>
      <c r="F1740" t="inlineStr">
        <is>
          <t>R&amp;R TRANSPORTE E LOGISTICA</t>
        </is>
      </c>
      <c r="G1740" s="27" t="n">
        <v>45987</v>
      </c>
      <c r="H1740" s="14" t="n">
        <v>40.64</v>
      </c>
      <c r="I1740" s="14" t="n">
        <v>0</v>
      </c>
      <c r="J1740" s="14" t="n">
        <v>0</v>
      </c>
      <c r="K1740" s="14" t="n">
        <v>0</v>
      </c>
      <c r="L1740" s="14" t="n">
        <v>0</v>
      </c>
      <c r="M1740" s="14">
        <f>IF(B1740="Frete de venda",0,(1-ISNUMBER(SEARCH("556",P1740)))*(I1740*VLOOKUP($B1740,Premissas!$A$4:$E$7,2,0)+J1740*VLOOKUP($B1740,Premissas!$A$4:$E$7,3,0))+K1740*VLOOKUP($B1740,Premissas!$A$4:$E$7,4,0)+L1740*VLOOKUP($B1740,Premissas!$A$4:$E$7,5,0))</f>
        <v/>
      </c>
      <c r="N1740" s="14">
        <f>H1740-M1740</f>
        <v/>
      </c>
      <c r="O1740" t="inlineStr">
        <is>
          <t>Não</t>
        </is>
      </c>
      <c r="P1740" t="inlineStr">
        <is>
          <t>1.350</t>
        </is>
      </c>
    </row>
    <row r="1741">
      <c r="A1741" t="inlineStr">
        <is>
          <t>Antes de 2026</t>
        </is>
      </c>
      <c r="B1741" t="inlineStr">
        <is>
          <t>Frete de venda</t>
        </is>
      </c>
      <c r="C1741" t="inlineStr">
        <is>
          <t>Frete de venda (para clientes)</t>
        </is>
      </c>
      <c r="D1741" t="inlineStr">
        <is>
          <t>CT-e</t>
        </is>
      </c>
      <c r="E1741" t="inlineStr">
        <is>
          <t>000005838</t>
        </is>
      </c>
      <c r="F1741" t="inlineStr">
        <is>
          <t>R&amp;R TRANSPORTE E LOGISTICA</t>
        </is>
      </c>
      <c r="G1741" s="27" t="n">
        <v>45987</v>
      </c>
      <c r="H1741" s="14" t="n">
        <v>45.2</v>
      </c>
      <c r="I1741" s="14" t="n">
        <v>0</v>
      </c>
      <c r="J1741" s="14" t="n">
        <v>0</v>
      </c>
      <c r="K1741" s="14" t="n">
        <v>0</v>
      </c>
      <c r="L1741" s="14" t="n">
        <v>0</v>
      </c>
      <c r="M1741" s="14">
        <f>IF(B1741="Frete de venda",0,(1-ISNUMBER(SEARCH("556",P1741)))*(I1741*VLOOKUP($B1741,Premissas!$A$4:$E$7,2,0)+J1741*VLOOKUP($B1741,Premissas!$A$4:$E$7,3,0))+K1741*VLOOKUP($B1741,Premissas!$A$4:$E$7,4,0)+L1741*VLOOKUP($B1741,Premissas!$A$4:$E$7,5,0))</f>
        <v/>
      </c>
      <c r="N1741" s="14">
        <f>H1741-M1741</f>
        <v/>
      </c>
      <c r="O1741" t="inlineStr">
        <is>
          <t>Não</t>
        </is>
      </c>
      <c r="P1741" t="inlineStr">
        <is>
          <t>1.350</t>
        </is>
      </c>
    </row>
    <row r="1742">
      <c r="A1742" t="inlineStr">
        <is>
          <t>Antes de 2026</t>
        </is>
      </c>
      <c r="B1742" t="inlineStr">
        <is>
          <t>Frete de venda</t>
        </is>
      </c>
      <c r="C1742" t="inlineStr">
        <is>
          <t>Frete de venda (para clientes)</t>
        </is>
      </c>
      <c r="D1742" t="inlineStr">
        <is>
          <t>CT-e</t>
        </is>
      </c>
      <c r="E1742" t="inlineStr">
        <is>
          <t>000005907</t>
        </is>
      </c>
      <c r="F1742" t="inlineStr">
        <is>
          <t>R&amp;R TRANSPORTE E LOGISTICA</t>
        </is>
      </c>
      <c r="G1742" s="27" t="n">
        <v>45994</v>
      </c>
      <c r="H1742" s="14" t="n">
        <v>49.14</v>
      </c>
      <c r="I1742" s="14" t="n">
        <v>0</v>
      </c>
      <c r="J1742" s="14" t="n">
        <v>0</v>
      </c>
      <c r="K1742" s="14" t="n">
        <v>0</v>
      </c>
      <c r="L1742" s="14" t="n">
        <v>0</v>
      </c>
      <c r="M1742" s="14">
        <f>IF(B1742="Frete de venda",0,(1-ISNUMBER(SEARCH("556",P1742)))*(I1742*VLOOKUP($B1742,Premissas!$A$4:$E$7,2,0)+J1742*VLOOKUP($B1742,Premissas!$A$4:$E$7,3,0))+K1742*VLOOKUP($B1742,Premissas!$A$4:$E$7,4,0)+L1742*VLOOKUP($B1742,Premissas!$A$4:$E$7,5,0))</f>
        <v/>
      </c>
      <c r="N1742" s="14">
        <f>H1742-M1742</f>
        <v/>
      </c>
      <c r="O1742" t="inlineStr">
        <is>
          <t>Não</t>
        </is>
      </c>
      <c r="P1742" t="inlineStr">
        <is>
          <t>1.350</t>
        </is>
      </c>
    </row>
    <row r="1743">
      <c r="A1743" t="inlineStr">
        <is>
          <t>Antes de 2026</t>
        </is>
      </c>
      <c r="B1743" t="inlineStr">
        <is>
          <t>Frete de venda</t>
        </is>
      </c>
      <c r="C1743" t="inlineStr">
        <is>
          <t>Frete de venda (para clientes)</t>
        </is>
      </c>
      <c r="D1743" t="inlineStr">
        <is>
          <t>CT-e</t>
        </is>
      </c>
      <c r="E1743" t="inlineStr">
        <is>
          <t>000005802</t>
        </is>
      </c>
      <c r="F1743" t="inlineStr">
        <is>
          <t>R&amp;R TRANSPORTE E LOGISTICA</t>
        </is>
      </c>
      <c r="G1743" s="27" t="n">
        <v>45981</v>
      </c>
      <c r="H1743" s="14" t="n">
        <v>23.31</v>
      </c>
      <c r="I1743" s="14" t="n">
        <v>0</v>
      </c>
      <c r="J1743" s="14" t="n">
        <v>0</v>
      </c>
      <c r="K1743" s="14" t="n">
        <v>0</v>
      </c>
      <c r="L1743" s="14" t="n">
        <v>0</v>
      </c>
      <c r="M1743" s="14">
        <f>IF(B1743="Frete de venda",0,(1-ISNUMBER(SEARCH("556",P1743)))*(I1743*VLOOKUP($B1743,Premissas!$A$4:$E$7,2,0)+J1743*VLOOKUP($B1743,Premissas!$A$4:$E$7,3,0))+K1743*VLOOKUP($B1743,Premissas!$A$4:$E$7,4,0)+L1743*VLOOKUP($B1743,Premissas!$A$4:$E$7,5,0))</f>
        <v/>
      </c>
      <c r="N1743" s="14">
        <f>H1743-M1743</f>
        <v/>
      </c>
      <c r="O1743" t="inlineStr">
        <is>
          <t>Não</t>
        </is>
      </c>
      <c r="P1743" t="inlineStr">
        <is>
          <t>1.350</t>
        </is>
      </c>
    </row>
    <row r="1744">
      <c r="A1744" t="inlineStr">
        <is>
          <t>Antes de 2026</t>
        </is>
      </c>
      <c r="B1744" t="inlineStr">
        <is>
          <t>Frete de venda</t>
        </is>
      </c>
      <c r="C1744" t="inlineStr">
        <is>
          <t>Frete de venda (para clientes)</t>
        </is>
      </c>
      <c r="D1744" t="inlineStr">
        <is>
          <t>CT-e</t>
        </is>
      </c>
      <c r="E1744" t="inlineStr">
        <is>
          <t>000004809</t>
        </is>
      </c>
      <c r="F1744" t="inlineStr">
        <is>
          <t>R&amp;R TRANSPORTE E LOGISTICA</t>
        </is>
      </c>
      <c r="G1744" s="27" t="n">
        <v>45870</v>
      </c>
      <c r="H1744" s="14" t="n">
        <v>22.12</v>
      </c>
      <c r="I1744" s="14" t="n">
        <v>0</v>
      </c>
      <c r="J1744" s="14" t="n">
        <v>0</v>
      </c>
      <c r="K1744" s="14" t="n">
        <v>0</v>
      </c>
      <c r="L1744" s="14" t="n">
        <v>0</v>
      </c>
      <c r="M1744" s="14">
        <f>IF(B1744="Frete de venda",0,(1-ISNUMBER(SEARCH("556",P1744)))*(I1744*VLOOKUP($B1744,Premissas!$A$4:$E$7,2,0)+J1744*VLOOKUP($B1744,Premissas!$A$4:$E$7,3,0))+K1744*VLOOKUP($B1744,Premissas!$A$4:$E$7,4,0)+L1744*VLOOKUP($B1744,Premissas!$A$4:$E$7,5,0))</f>
        <v/>
      </c>
      <c r="N1744" s="14">
        <f>H1744-M1744</f>
        <v/>
      </c>
      <c r="O1744" t="inlineStr">
        <is>
          <t>Não</t>
        </is>
      </c>
      <c r="P1744" t="inlineStr">
        <is>
          <t>1.350</t>
        </is>
      </c>
    </row>
    <row r="1745">
      <c r="A1745" t="inlineStr">
        <is>
          <t>Antes de 2026</t>
        </is>
      </c>
      <c r="B1745" t="inlineStr">
        <is>
          <t>Frete de venda</t>
        </is>
      </c>
      <c r="C1745" t="inlineStr">
        <is>
          <t>Frete de venda (para clientes)</t>
        </is>
      </c>
      <c r="D1745" t="inlineStr">
        <is>
          <t>CT-e</t>
        </is>
      </c>
      <c r="E1745" t="inlineStr">
        <is>
          <t>000005565</t>
        </is>
      </c>
      <c r="F1745" t="inlineStr">
        <is>
          <t>R&amp;R TRANSPORTE E LOGISTICA</t>
        </is>
      </c>
      <c r="G1745" s="27" t="n">
        <v>45955</v>
      </c>
      <c r="H1745" s="14" t="n">
        <v>21.28</v>
      </c>
      <c r="I1745" s="14" t="n">
        <v>0</v>
      </c>
      <c r="J1745" s="14" t="n">
        <v>0</v>
      </c>
      <c r="K1745" s="14" t="n">
        <v>0</v>
      </c>
      <c r="L1745" s="14" t="n">
        <v>0</v>
      </c>
      <c r="M1745" s="14">
        <f>IF(B1745="Frete de venda",0,(1-ISNUMBER(SEARCH("556",P1745)))*(I1745*VLOOKUP($B1745,Premissas!$A$4:$E$7,2,0)+J1745*VLOOKUP($B1745,Premissas!$A$4:$E$7,3,0))+K1745*VLOOKUP($B1745,Premissas!$A$4:$E$7,4,0)+L1745*VLOOKUP($B1745,Premissas!$A$4:$E$7,5,0))</f>
        <v/>
      </c>
      <c r="N1745" s="14">
        <f>H1745-M1745</f>
        <v/>
      </c>
      <c r="O1745" t="inlineStr">
        <is>
          <t>Não</t>
        </is>
      </c>
      <c r="P1745" t="inlineStr">
        <is>
          <t>1.350</t>
        </is>
      </c>
    </row>
    <row r="1746">
      <c r="A1746" t="inlineStr">
        <is>
          <t>Antes de 2026</t>
        </is>
      </c>
      <c r="B1746" t="inlineStr">
        <is>
          <t>Frete de venda</t>
        </is>
      </c>
      <c r="C1746" t="inlineStr">
        <is>
          <t>Frete de venda (para clientes)</t>
        </is>
      </c>
      <c r="D1746" t="inlineStr">
        <is>
          <t>CT-e</t>
        </is>
      </c>
      <c r="E1746" t="inlineStr">
        <is>
          <t>000004223</t>
        </is>
      </c>
      <c r="F1746" t="inlineStr">
        <is>
          <t>R&amp;R TRANSPORTE E LOGISTICA</t>
        </is>
      </c>
      <c r="G1746" s="27" t="n">
        <v>45791</v>
      </c>
      <c r="H1746" s="14" t="n">
        <v>35.84</v>
      </c>
      <c r="I1746" s="14" t="n">
        <v>0</v>
      </c>
      <c r="J1746" s="14" t="n">
        <v>0</v>
      </c>
      <c r="K1746" s="14" t="n">
        <v>0</v>
      </c>
      <c r="L1746" s="14" t="n">
        <v>0</v>
      </c>
      <c r="M1746" s="14">
        <f>IF(B1746="Frete de venda",0,(1-ISNUMBER(SEARCH("556",P1746)))*(I1746*VLOOKUP($B1746,Premissas!$A$4:$E$7,2,0)+J1746*VLOOKUP($B1746,Premissas!$A$4:$E$7,3,0))+K1746*VLOOKUP($B1746,Premissas!$A$4:$E$7,4,0)+L1746*VLOOKUP($B1746,Premissas!$A$4:$E$7,5,0))</f>
        <v/>
      </c>
      <c r="N1746" s="14">
        <f>H1746-M1746</f>
        <v/>
      </c>
      <c r="O1746" t="inlineStr">
        <is>
          <t>Não</t>
        </is>
      </c>
      <c r="P1746" t="inlineStr">
        <is>
          <t>1.350</t>
        </is>
      </c>
    </row>
    <row r="1747">
      <c r="A1747" t="inlineStr">
        <is>
          <t>Antes de 2026</t>
        </is>
      </c>
      <c r="B1747" t="inlineStr">
        <is>
          <t>Frete de venda</t>
        </is>
      </c>
      <c r="C1747" t="inlineStr">
        <is>
          <t>Frete de venda (para clientes)</t>
        </is>
      </c>
      <c r="D1747" t="inlineStr">
        <is>
          <t>CT-e</t>
        </is>
      </c>
      <c r="E1747" t="inlineStr">
        <is>
          <t>000004383</t>
        </is>
      </c>
      <c r="F1747" t="inlineStr">
        <is>
          <t>R&amp;R TRANSPORTE E LOGISTICA</t>
        </is>
      </c>
      <c r="G1747" s="27" t="n">
        <v>45813</v>
      </c>
      <c r="H1747" s="14" t="n">
        <v>42.37</v>
      </c>
      <c r="I1747" s="14" t="n">
        <v>0</v>
      </c>
      <c r="J1747" s="14" t="n">
        <v>0</v>
      </c>
      <c r="K1747" s="14" t="n">
        <v>0</v>
      </c>
      <c r="L1747" s="14" t="n">
        <v>0</v>
      </c>
      <c r="M1747" s="14">
        <f>IF(B1747="Frete de venda",0,(1-ISNUMBER(SEARCH("556",P1747)))*(I1747*VLOOKUP($B1747,Premissas!$A$4:$E$7,2,0)+J1747*VLOOKUP($B1747,Premissas!$A$4:$E$7,3,0))+K1747*VLOOKUP($B1747,Premissas!$A$4:$E$7,4,0)+L1747*VLOOKUP($B1747,Premissas!$A$4:$E$7,5,0))</f>
        <v/>
      </c>
      <c r="N1747" s="14">
        <f>H1747-M1747</f>
        <v/>
      </c>
      <c r="O1747" t="inlineStr">
        <is>
          <t>Não</t>
        </is>
      </c>
      <c r="P1747" t="inlineStr">
        <is>
          <t>1.350</t>
        </is>
      </c>
    </row>
    <row r="1748">
      <c r="A1748" t="inlineStr">
        <is>
          <t>Antes de 2026</t>
        </is>
      </c>
      <c r="B1748" t="inlineStr">
        <is>
          <t>Frete de venda</t>
        </is>
      </c>
      <c r="C1748" t="inlineStr">
        <is>
          <t>Frete de venda (para clientes)</t>
        </is>
      </c>
      <c r="D1748" t="inlineStr">
        <is>
          <t>CT-e</t>
        </is>
      </c>
      <c r="E1748" t="inlineStr">
        <is>
          <t>000005471</t>
        </is>
      </c>
      <c r="F1748" t="inlineStr">
        <is>
          <t>R&amp;R TRANSPORTE E LOGISTICA</t>
        </is>
      </c>
      <c r="G1748" s="27" t="n">
        <v>45944</v>
      </c>
      <c r="H1748" s="14" t="n">
        <v>25.86</v>
      </c>
      <c r="I1748" s="14" t="n">
        <v>0</v>
      </c>
      <c r="J1748" s="14" t="n">
        <v>0</v>
      </c>
      <c r="K1748" s="14" t="n">
        <v>0</v>
      </c>
      <c r="L1748" s="14" t="n">
        <v>0</v>
      </c>
      <c r="M1748" s="14">
        <f>IF(B1748="Frete de venda",0,(1-ISNUMBER(SEARCH("556",P1748)))*(I1748*VLOOKUP($B1748,Premissas!$A$4:$E$7,2,0)+J1748*VLOOKUP($B1748,Premissas!$A$4:$E$7,3,0))+K1748*VLOOKUP($B1748,Premissas!$A$4:$E$7,4,0)+L1748*VLOOKUP($B1748,Premissas!$A$4:$E$7,5,0))</f>
        <v/>
      </c>
      <c r="N1748" s="14">
        <f>H1748-M1748</f>
        <v/>
      </c>
      <c r="O1748" t="inlineStr">
        <is>
          <t>Não</t>
        </is>
      </c>
      <c r="P1748" t="inlineStr">
        <is>
          <t>1.350</t>
        </is>
      </c>
    </row>
    <row r="1749">
      <c r="A1749" t="inlineStr">
        <is>
          <t>Antes de 2026</t>
        </is>
      </c>
      <c r="B1749" t="inlineStr">
        <is>
          <t>Frete de venda</t>
        </is>
      </c>
      <c r="C1749" t="inlineStr">
        <is>
          <t>Frete de venda (para clientes)</t>
        </is>
      </c>
      <c r="D1749" t="inlineStr">
        <is>
          <t>CT-e</t>
        </is>
      </c>
      <c r="E1749" t="inlineStr">
        <is>
          <t>000005519</t>
        </is>
      </c>
      <c r="F1749" t="inlineStr">
        <is>
          <t>R&amp;R TRANSPORTE E LOGISTICA</t>
        </is>
      </c>
      <c r="G1749" s="27" t="n">
        <v>45951</v>
      </c>
      <c r="H1749" s="14" t="n">
        <v>34.39</v>
      </c>
      <c r="I1749" s="14" t="n">
        <v>0</v>
      </c>
      <c r="J1749" s="14" t="n">
        <v>0</v>
      </c>
      <c r="K1749" s="14" t="n">
        <v>0</v>
      </c>
      <c r="L1749" s="14" t="n">
        <v>0</v>
      </c>
      <c r="M1749" s="14">
        <f>IF(B1749="Frete de venda",0,(1-ISNUMBER(SEARCH("556",P1749)))*(I1749*VLOOKUP($B1749,Premissas!$A$4:$E$7,2,0)+J1749*VLOOKUP($B1749,Premissas!$A$4:$E$7,3,0))+K1749*VLOOKUP($B1749,Premissas!$A$4:$E$7,4,0)+L1749*VLOOKUP($B1749,Premissas!$A$4:$E$7,5,0))</f>
        <v/>
      </c>
      <c r="N1749" s="14">
        <f>H1749-M1749</f>
        <v/>
      </c>
      <c r="O1749" t="inlineStr">
        <is>
          <t>Não</t>
        </is>
      </c>
      <c r="P1749" t="inlineStr">
        <is>
          <t>1.350</t>
        </is>
      </c>
    </row>
    <row r="1750">
      <c r="A1750" t="inlineStr">
        <is>
          <t>Antes de 2026</t>
        </is>
      </c>
      <c r="B1750" t="inlineStr">
        <is>
          <t>Frete de venda</t>
        </is>
      </c>
      <c r="C1750" t="inlineStr">
        <is>
          <t>Frete de venda (para clientes)</t>
        </is>
      </c>
      <c r="D1750" t="inlineStr">
        <is>
          <t>CT-e</t>
        </is>
      </c>
      <c r="E1750" t="inlineStr">
        <is>
          <t>000006031</t>
        </is>
      </c>
      <c r="F1750" t="inlineStr">
        <is>
          <t>R&amp;R TRANSPORTE E LOGISTICA</t>
        </is>
      </c>
      <c r="G1750" s="27" t="n">
        <v>46011</v>
      </c>
      <c r="H1750" s="14" t="n">
        <v>31</v>
      </c>
      <c r="I1750" s="14" t="n">
        <v>0</v>
      </c>
      <c r="J1750" s="14" t="n">
        <v>0</v>
      </c>
      <c r="K1750" s="14" t="n">
        <v>0</v>
      </c>
      <c r="L1750" s="14" t="n">
        <v>0</v>
      </c>
      <c r="M1750" s="14">
        <f>IF(B1750="Frete de venda",0,(1-ISNUMBER(SEARCH("556",P1750)))*(I1750*VLOOKUP($B1750,Premissas!$A$4:$E$7,2,0)+J1750*VLOOKUP($B1750,Premissas!$A$4:$E$7,3,0))+K1750*VLOOKUP($B1750,Premissas!$A$4:$E$7,4,0)+L1750*VLOOKUP($B1750,Premissas!$A$4:$E$7,5,0))</f>
        <v/>
      </c>
      <c r="N1750" s="14">
        <f>H1750-M1750</f>
        <v/>
      </c>
      <c r="O1750" t="inlineStr">
        <is>
          <t>Não</t>
        </is>
      </c>
      <c r="P1750" t="inlineStr">
        <is>
          <t>1.350</t>
        </is>
      </c>
    </row>
    <row r="1751">
      <c r="A1751" t="inlineStr">
        <is>
          <t>Antes de 2026</t>
        </is>
      </c>
      <c r="B1751" t="inlineStr">
        <is>
          <t>Frete de venda</t>
        </is>
      </c>
      <c r="C1751" t="inlineStr">
        <is>
          <t>Frete de venda (para clientes)</t>
        </is>
      </c>
      <c r="D1751" t="inlineStr">
        <is>
          <t>CT-e</t>
        </is>
      </c>
      <c r="E1751" t="inlineStr">
        <is>
          <t>000019531</t>
        </is>
      </c>
      <c r="F1751" t="inlineStr">
        <is>
          <t>TRANSPORTE OLIVEIRA E MELLOI - IDEALIZA TRANSPORTES</t>
        </is>
      </c>
      <c r="G1751" s="27" t="n">
        <v>45546</v>
      </c>
      <c r="H1751" s="14" t="n">
        <v>92.05</v>
      </c>
      <c r="I1751" s="14" t="n">
        <v>0</v>
      </c>
      <c r="J1751" s="14" t="n">
        <v>0</v>
      </c>
      <c r="K1751" s="14" t="n">
        <v>0</v>
      </c>
      <c r="L1751" s="14" t="n">
        <v>0</v>
      </c>
      <c r="M1751" s="14">
        <f>IF(B1751="Frete de venda",0,(1-ISNUMBER(SEARCH("556",P1751)))*(I1751*VLOOKUP($B1751,Premissas!$A$4:$E$7,2,0)+J1751*VLOOKUP($B1751,Premissas!$A$4:$E$7,3,0))+K1751*VLOOKUP($B1751,Premissas!$A$4:$E$7,4,0)+L1751*VLOOKUP($B1751,Premissas!$A$4:$E$7,5,0))</f>
        <v/>
      </c>
      <c r="N1751" s="14">
        <f>H1751-M1751</f>
        <v/>
      </c>
      <c r="O1751" t="inlineStr">
        <is>
          <t>Não</t>
        </is>
      </c>
      <c r="P1751" t="inlineStr">
        <is>
          <t>1.350</t>
        </is>
      </c>
    </row>
    <row r="1752">
      <c r="A1752" t="inlineStr">
        <is>
          <t>Antes de 2026</t>
        </is>
      </c>
      <c r="B1752" t="inlineStr">
        <is>
          <t>Frete de venda</t>
        </is>
      </c>
      <c r="C1752" t="inlineStr">
        <is>
          <t>Frete de venda (para clientes)</t>
        </is>
      </c>
      <c r="D1752" t="inlineStr">
        <is>
          <t>CT-e</t>
        </is>
      </c>
      <c r="E1752" t="inlineStr">
        <is>
          <t>000005326</t>
        </is>
      </c>
      <c r="F1752" t="inlineStr">
        <is>
          <t>R&amp;R TRANSPORTE E LOGISTICA</t>
        </is>
      </c>
      <c r="G1752" s="27" t="n">
        <v>45929</v>
      </c>
      <c r="H1752" s="14" t="n">
        <v>11.3</v>
      </c>
      <c r="I1752" s="14" t="n">
        <v>0</v>
      </c>
      <c r="J1752" s="14" t="n">
        <v>0</v>
      </c>
      <c r="K1752" s="14" t="n">
        <v>0</v>
      </c>
      <c r="L1752" s="14" t="n">
        <v>0</v>
      </c>
      <c r="M1752" s="14">
        <f>IF(B1752="Frete de venda",0,(1-ISNUMBER(SEARCH("556",P1752)))*(I1752*VLOOKUP($B1752,Premissas!$A$4:$E$7,2,0)+J1752*VLOOKUP($B1752,Premissas!$A$4:$E$7,3,0))+K1752*VLOOKUP($B1752,Premissas!$A$4:$E$7,4,0)+L1752*VLOOKUP($B1752,Premissas!$A$4:$E$7,5,0))</f>
        <v/>
      </c>
      <c r="N1752" s="14">
        <f>H1752-M1752</f>
        <v/>
      </c>
      <c r="O1752" t="inlineStr">
        <is>
          <t>Não</t>
        </is>
      </c>
      <c r="P1752" t="inlineStr">
        <is>
          <t>1.350</t>
        </is>
      </c>
    </row>
    <row r="1753">
      <c r="A1753" t="inlineStr">
        <is>
          <t>Antes de 2026</t>
        </is>
      </c>
      <c r="B1753" t="inlineStr">
        <is>
          <t>Frete de venda</t>
        </is>
      </c>
      <c r="C1753" t="inlineStr">
        <is>
          <t>Frete de venda (para clientes)</t>
        </is>
      </c>
      <c r="D1753" t="inlineStr">
        <is>
          <t>CT-e</t>
        </is>
      </c>
      <c r="E1753" t="inlineStr">
        <is>
          <t>000005570</t>
        </is>
      </c>
      <c r="F1753" t="inlineStr">
        <is>
          <t>R&amp;R TRANSPORTE E LOGISTICA</t>
        </is>
      </c>
      <c r="G1753" s="27" t="n">
        <v>45955</v>
      </c>
      <c r="H1753" s="14" t="n">
        <v>48.37</v>
      </c>
      <c r="I1753" s="14" t="n">
        <v>0</v>
      </c>
      <c r="J1753" s="14" t="n">
        <v>0</v>
      </c>
      <c r="K1753" s="14" t="n">
        <v>0</v>
      </c>
      <c r="L1753" s="14" t="n">
        <v>0</v>
      </c>
      <c r="M1753" s="14">
        <f>IF(B1753="Frete de venda",0,(1-ISNUMBER(SEARCH("556",P1753)))*(I1753*VLOOKUP($B1753,Premissas!$A$4:$E$7,2,0)+J1753*VLOOKUP($B1753,Premissas!$A$4:$E$7,3,0))+K1753*VLOOKUP($B1753,Premissas!$A$4:$E$7,4,0)+L1753*VLOOKUP($B1753,Premissas!$A$4:$E$7,5,0))</f>
        <v/>
      </c>
      <c r="N1753" s="14">
        <f>H1753-M1753</f>
        <v/>
      </c>
      <c r="O1753" t="inlineStr">
        <is>
          <t>Não</t>
        </is>
      </c>
      <c r="P1753" t="inlineStr">
        <is>
          <t>1.350</t>
        </is>
      </c>
    </row>
    <row r="1754">
      <c r="A1754" t="inlineStr">
        <is>
          <t>Antes de 2026</t>
        </is>
      </c>
      <c r="B1754" t="inlineStr">
        <is>
          <t>Frete de venda</t>
        </is>
      </c>
      <c r="C1754" t="inlineStr">
        <is>
          <t>Frete de venda (para clientes)</t>
        </is>
      </c>
      <c r="D1754" t="inlineStr">
        <is>
          <t>CT-e</t>
        </is>
      </c>
      <c r="E1754" t="inlineStr">
        <is>
          <t>000006050</t>
        </is>
      </c>
      <c r="F1754" t="inlineStr">
        <is>
          <t>R&amp;R TRANSPORTE E LOGISTICA</t>
        </is>
      </c>
      <c r="G1754" s="27" t="n">
        <v>46014</v>
      </c>
      <c r="H1754" s="14" t="n">
        <v>470</v>
      </c>
      <c r="I1754" s="14" t="n">
        <v>0</v>
      </c>
      <c r="J1754" s="14" t="n">
        <v>0</v>
      </c>
      <c r="K1754" s="14" t="n">
        <v>0</v>
      </c>
      <c r="L1754" s="14" t="n">
        <v>0</v>
      </c>
      <c r="M1754" s="14">
        <f>IF(B1754="Frete de venda",0,(1-ISNUMBER(SEARCH("556",P1754)))*(I1754*VLOOKUP($B1754,Premissas!$A$4:$E$7,2,0)+J1754*VLOOKUP($B1754,Premissas!$A$4:$E$7,3,0))+K1754*VLOOKUP($B1754,Premissas!$A$4:$E$7,4,0)+L1754*VLOOKUP($B1754,Premissas!$A$4:$E$7,5,0))</f>
        <v/>
      </c>
      <c r="N1754" s="14">
        <f>H1754-M1754</f>
        <v/>
      </c>
      <c r="O1754" t="inlineStr">
        <is>
          <t>Não</t>
        </is>
      </c>
      <c r="P1754" t="inlineStr">
        <is>
          <t>1.350</t>
        </is>
      </c>
    </row>
    <row r="1755">
      <c r="A1755" t="inlineStr">
        <is>
          <t>Antes de 2026</t>
        </is>
      </c>
      <c r="B1755" t="inlineStr">
        <is>
          <t>Frete de venda</t>
        </is>
      </c>
      <c r="C1755" t="inlineStr">
        <is>
          <t>Frete de venda (para clientes)</t>
        </is>
      </c>
      <c r="D1755" t="inlineStr">
        <is>
          <t>CT-e</t>
        </is>
      </c>
      <c r="E1755" t="inlineStr">
        <is>
          <t>000004298</t>
        </is>
      </c>
      <c r="F1755" t="inlineStr">
        <is>
          <t>R&amp;R TRANSPORTE E LOGISTICA</t>
        </is>
      </c>
      <c r="G1755" s="27" t="n">
        <v>45805</v>
      </c>
      <c r="H1755" s="14" t="n">
        <v>104</v>
      </c>
      <c r="I1755" s="14" t="n">
        <v>0</v>
      </c>
      <c r="J1755" s="14" t="n">
        <v>0</v>
      </c>
      <c r="K1755" s="14" t="n">
        <v>0</v>
      </c>
      <c r="L1755" s="14" t="n">
        <v>0</v>
      </c>
      <c r="M1755" s="14">
        <f>IF(B1755="Frete de venda",0,(1-ISNUMBER(SEARCH("556",P1755)))*(I1755*VLOOKUP($B1755,Premissas!$A$4:$E$7,2,0)+J1755*VLOOKUP($B1755,Premissas!$A$4:$E$7,3,0))+K1755*VLOOKUP($B1755,Premissas!$A$4:$E$7,4,0)+L1755*VLOOKUP($B1755,Premissas!$A$4:$E$7,5,0))</f>
        <v/>
      </c>
      <c r="N1755" s="14">
        <f>H1755-M1755</f>
        <v/>
      </c>
      <c r="O1755" t="inlineStr">
        <is>
          <t>Não</t>
        </is>
      </c>
      <c r="P1755" t="inlineStr">
        <is>
          <t>1.350</t>
        </is>
      </c>
    </row>
    <row r="1756">
      <c r="A1756" t="inlineStr">
        <is>
          <t>Antes de 2026</t>
        </is>
      </c>
      <c r="B1756" t="inlineStr">
        <is>
          <t>Frete de venda</t>
        </is>
      </c>
      <c r="C1756" t="inlineStr">
        <is>
          <t>Frete de venda (para clientes)</t>
        </is>
      </c>
      <c r="D1756" t="inlineStr">
        <is>
          <t>CT-e</t>
        </is>
      </c>
      <c r="E1756" t="inlineStr">
        <is>
          <t>000004700</t>
        </is>
      </c>
      <c r="F1756" t="inlineStr">
        <is>
          <t>R&amp;R TRANSPORTE E LOGISTICA</t>
        </is>
      </c>
      <c r="G1756" s="27" t="n">
        <v>45860</v>
      </c>
      <c r="H1756" s="14" t="n">
        <v>1250</v>
      </c>
      <c r="I1756" s="14" t="n">
        <v>0</v>
      </c>
      <c r="J1756" s="14" t="n">
        <v>0</v>
      </c>
      <c r="K1756" s="14" t="n">
        <v>0</v>
      </c>
      <c r="L1756" s="14" t="n">
        <v>0</v>
      </c>
      <c r="M1756" s="14">
        <f>IF(B1756="Frete de venda",0,(1-ISNUMBER(SEARCH("556",P1756)))*(I1756*VLOOKUP($B1756,Premissas!$A$4:$E$7,2,0)+J1756*VLOOKUP($B1756,Premissas!$A$4:$E$7,3,0))+K1756*VLOOKUP($B1756,Premissas!$A$4:$E$7,4,0)+L1756*VLOOKUP($B1756,Premissas!$A$4:$E$7,5,0))</f>
        <v/>
      </c>
      <c r="N1756" s="14">
        <f>H1756-M1756</f>
        <v/>
      </c>
      <c r="O1756" t="inlineStr">
        <is>
          <t>Não</t>
        </is>
      </c>
      <c r="P1756" t="inlineStr">
        <is>
          <t>1.350</t>
        </is>
      </c>
    </row>
    <row r="1757">
      <c r="A1757" t="inlineStr">
        <is>
          <t>Antes de 2026</t>
        </is>
      </c>
      <c r="B1757" t="inlineStr">
        <is>
          <t>Frete de venda</t>
        </is>
      </c>
      <c r="C1757" t="inlineStr">
        <is>
          <t>Frete de venda (para clientes)</t>
        </is>
      </c>
      <c r="D1757" t="inlineStr">
        <is>
          <t>CT-e</t>
        </is>
      </c>
      <c r="E1757" t="inlineStr">
        <is>
          <t>000004750</t>
        </is>
      </c>
      <c r="F1757" t="inlineStr">
        <is>
          <t>R&amp;R TRANSPORTE E LOGISTICA</t>
        </is>
      </c>
      <c r="G1757" s="27" t="n">
        <v>45864</v>
      </c>
      <c r="H1757" s="14" t="n">
        <v>1150</v>
      </c>
      <c r="I1757" s="14" t="n">
        <v>0</v>
      </c>
      <c r="J1757" s="14" t="n">
        <v>0</v>
      </c>
      <c r="K1757" s="14" t="n">
        <v>0</v>
      </c>
      <c r="L1757" s="14" t="n">
        <v>0</v>
      </c>
      <c r="M1757" s="14">
        <f>IF(B1757="Frete de venda",0,(1-ISNUMBER(SEARCH("556",P1757)))*(I1757*VLOOKUP($B1757,Premissas!$A$4:$E$7,2,0)+J1757*VLOOKUP($B1757,Premissas!$A$4:$E$7,3,0))+K1757*VLOOKUP($B1757,Premissas!$A$4:$E$7,4,0)+L1757*VLOOKUP($B1757,Premissas!$A$4:$E$7,5,0))</f>
        <v/>
      </c>
      <c r="N1757" s="14">
        <f>H1757-M1757</f>
        <v/>
      </c>
      <c r="O1757" t="inlineStr">
        <is>
          <t>Não</t>
        </is>
      </c>
      <c r="P1757" t="inlineStr">
        <is>
          <t>1.350</t>
        </is>
      </c>
    </row>
    <row r="1758">
      <c r="A1758" t="inlineStr">
        <is>
          <t>Antes de 2026</t>
        </is>
      </c>
      <c r="B1758" t="inlineStr">
        <is>
          <t>Frete de venda</t>
        </is>
      </c>
      <c r="C1758" t="inlineStr">
        <is>
          <t>Frete de venda (para clientes)</t>
        </is>
      </c>
      <c r="D1758" t="inlineStr">
        <is>
          <t>CT-e</t>
        </is>
      </c>
      <c r="E1758" t="inlineStr">
        <is>
          <t>000005970</t>
        </is>
      </c>
      <c r="F1758" t="inlineStr">
        <is>
          <t>R&amp;R TRANSPORTE E LOGISTICA</t>
        </is>
      </c>
      <c r="G1758" s="27" t="n">
        <v>46004</v>
      </c>
      <c r="H1758" s="14" t="n">
        <v>51.68</v>
      </c>
      <c r="I1758" s="14" t="n">
        <v>0</v>
      </c>
      <c r="J1758" s="14" t="n">
        <v>0</v>
      </c>
      <c r="K1758" s="14" t="n">
        <v>0</v>
      </c>
      <c r="L1758" s="14" t="n">
        <v>0</v>
      </c>
      <c r="M1758" s="14">
        <f>IF(B1758="Frete de venda",0,(1-ISNUMBER(SEARCH("556",P1758)))*(I1758*VLOOKUP($B1758,Premissas!$A$4:$E$7,2,0)+J1758*VLOOKUP($B1758,Premissas!$A$4:$E$7,3,0))+K1758*VLOOKUP($B1758,Premissas!$A$4:$E$7,4,0)+L1758*VLOOKUP($B1758,Premissas!$A$4:$E$7,5,0))</f>
        <v/>
      </c>
      <c r="N1758" s="14">
        <f>H1758-M1758</f>
        <v/>
      </c>
      <c r="O1758" t="inlineStr">
        <is>
          <t>Não</t>
        </is>
      </c>
      <c r="P1758" t="inlineStr">
        <is>
          <t>1.350</t>
        </is>
      </c>
    </row>
    <row r="1759">
      <c r="A1759" t="inlineStr">
        <is>
          <t>Antes de 2026</t>
        </is>
      </c>
      <c r="B1759" t="inlineStr">
        <is>
          <t>Frete de venda</t>
        </is>
      </c>
      <c r="C1759" t="inlineStr">
        <is>
          <t>Frete de venda (para clientes)</t>
        </is>
      </c>
      <c r="D1759" t="inlineStr">
        <is>
          <t>CT-e</t>
        </is>
      </c>
      <c r="E1759" t="inlineStr">
        <is>
          <t>000006092</t>
        </is>
      </c>
      <c r="F1759" t="inlineStr">
        <is>
          <t>R&amp;R TRANSPORTE E LOGISTICA</t>
        </is>
      </c>
      <c r="G1759" s="27" t="n">
        <v>46021</v>
      </c>
      <c r="H1759" s="14" t="n">
        <v>11.92</v>
      </c>
      <c r="I1759" s="14" t="n">
        <v>0</v>
      </c>
      <c r="J1759" s="14" t="n">
        <v>0</v>
      </c>
      <c r="K1759" s="14" t="n">
        <v>0</v>
      </c>
      <c r="L1759" s="14" t="n">
        <v>0</v>
      </c>
      <c r="M1759" s="14">
        <f>IF(B1759="Frete de venda",0,(1-ISNUMBER(SEARCH("556",P1759)))*(I1759*VLOOKUP($B1759,Premissas!$A$4:$E$7,2,0)+J1759*VLOOKUP($B1759,Premissas!$A$4:$E$7,3,0))+K1759*VLOOKUP($B1759,Premissas!$A$4:$E$7,4,0)+L1759*VLOOKUP($B1759,Premissas!$A$4:$E$7,5,0))</f>
        <v/>
      </c>
      <c r="N1759" s="14">
        <f>H1759-M1759</f>
        <v/>
      </c>
      <c r="O1759" t="inlineStr">
        <is>
          <t>Não</t>
        </is>
      </c>
      <c r="P1759" t="inlineStr">
        <is>
          <t>1.350</t>
        </is>
      </c>
    </row>
    <row r="1760">
      <c r="A1760" t="inlineStr">
        <is>
          <t>Antes de 2026</t>
        </is>
      </c>
      <c r="B1760" t="inlineStr">
        <is>
          <t>Frete de venda</t>
        </is>
      </c>
      <c r="C1760" t="inlineStr">
        <is>
          <t>Frete de venda (para clientes)</t>
        </is>
      </c>
      <c r="D1760" t="inlineStr">
        <is>
          <t>CT-e</t>
        </is>
      </c>
      <c r="E1760" t="inlineStr">
        <is>
          <t>000004145</t>
        </is>
      </c>
      <c r="F1760" t="inlineStr">
        <is>
          <t>R&amp;R TRANSPORTE E LOGISTICA</t>
        </is>
      </c>
      <c r="G1760" s="27" t="n">
        <v>45783</v>
      </c>
      <c r="H1760" s="14" t="n">
        <v>48.43</v>
      </c>
      <c r="I1760" s="14" t="n">
        <v>0</v>
      </c>
      <c r="J1760" s="14" t="n">
        <v>0</v>
      </c>
      <c r="K1760" s="14" t="n">
        <v>0</v>
      </c>
      <c r="L1760" s="14" t="n">
        <v>0</v>
      </c>
      <c r="M1760" s="14">
        <f>IF(B1760="Frete de venda",0,(1-ISNUMBER(SEARCH("556",P1760)))*(I1760*VLOOKUP($B1760,Premissas!$A$4:$E$7,2,0)+J1760*VLOOKUP($B1760,Premissas!$A$4:$E$7,3,0))+K1760*VLOOKUP($B1760,Premissas!$A$4:$E$7,4,0)+L1760*VLOOKUP($B1760,Premissas!$A$4:$E$7,5,0))</f>
        <v/>
      </c>
      <c r="N1760" s="14">
        <f>H1760-M1760</f>
        <v/>
      </c>
      <c r="O1760" t="inlineStr">
        <is>
          <t>Não</t>
        </is>
      </c>
      <c r="P1760" t="inlineStr">
        <is>
          <t>1.350</t>
        </is>
      </c>
    </row>
    <row r="1761">
      <c r="A1761" t="inlineStr">
        <is>
          <t>Antes de 2026</t>
        </is>
      </c>
      <c r="B1761" t="inlineStr">
        <is>
          <t>Frete de venda</t>
        </is>
      </c>
      <c r="C1761" t="inlineStr">
        <is>
          <t>Frete de venda (para clientes)</t>
        </is>
      </c>
      <c r="D1761" t="inlineStr">
        <is>
          <t>CT-e</t>
        </is>
      </c>
      <c r="E1761" t="inlineStr">
        <is>
          <t>000004926</t>
        </is>
      </c>
      <c r="F1761" t="inlineStr">
        <is>
          <t>R&amp;R TRANSPORTE E LOGISTICA</t>
        </is>
      </c>
      <c r="G1761" s="27" t="n">
        <v>45884</v>
      </c>
      <c r="H1761" s="14" t="n">
        <v>33.94</v>
      </c>
      <c r="I1761" s="14" t="n">
        <v>0</v>
      </c>
      <c r="J1761" s="14" t="n">
        <v>0</v>
      </c>
      <c r="K1761" s="14" t="n">
        <v>0</v>
      </c>
      <c r="L1761" s="14" t="n">
        <v>0</v>
      </c>
      <c r="M1761" s="14">
        <f>IF(B1761="Frete de venda",0,(1-ISNUMBER(SEARCH("556",P1761)))*(I1761*VLOOKUP($B1761,Premissas!$A$4:$E$7,2,0)+J1761*VLOOKUP($B1761,Premissas!$A$4:$E$7,3,0))+K1761*VLOOKUP($B1761,Premissas!$A$4:$E$7,4,0)+L1761*VLOOKUP($B1761,Premissas!$A$4:$E$7,5,0))</f>
        <v/>
      </c>
      <c r="N1761" s="14">
        <f>H1761-M1761</f>
        <v/>
      </c>
      <c r="O1761" t="inlineStr">
        <is>
          <t>Não</t>
        </is>
      </c>
      <c r="P1761" t="inlineStr">
        <is>
          <t>1.350</t>
        </is>
      </c>
    </row>
    <row r="1762">
      <c r="A1762" t="inlineStr">
        <is>
          <t>Antes de 2026</t>
        </is>
      </c>
      <c r="B1762" t="inlineStr">
        <is>
          <t>Frete de venda</t>
        </is>
      </c>
      <c r="C1762" t="inlineStr">
        <is>
          <t>Frete de venda (para clientes)</t>
        </is>
      </c>
      <c r="D1762" t="inlineStr">
        <is>
          <t>CT-e</t>
        </is>
      </c>
      <c r="E1762" t="inlineStr">
        <is>
          <t>000005634</t>
        </is>
      </c>
      <c r="F1762" t="inlineStr">
        <is>
          <t>R&amp;R TRANSPORTE E LOGISTICA</t>
        </is>
      </c>
      <c r="G1762" s="27" t="n">
        <v>45961</v>
      </c>
      <c r="H1762" s="14" t="n">
        <v>34.22</v>
      </c>
      <c r="I1762" s="14" t="n">
        <v>0</v>
      </c>
      <c r="J1762" s="14" t="n">
        <v>0</v>
      </c>
      <c r="K1762" s="14" t="n">
        <v>0</v>
      </c>
      <c r="L1762" s="14" t="n">
        <v>0</v>
      </c>
      <c r="M1762" s="14">
        <f>IF(B1762="Frete de venda",0,(1-ISNUMBER(SEARCH("556",P1762)))*(I1762*VLOOKUP($B1762,Premissas!$A$4:$E$7,2,0)+J1762*VLOOKUP($B1762,Premissas!$A$4:$E$7,3,0))+K1762*VLOOKUP($B1762,Premissas!$A$4:$E$7,4,0)+L1762*VLOOKUP($B1762,Premissas!$A$4:$E$7,5,0))</f>
        <v/>
      </c>
      <c r="N1762" s="14">
        <f>H1762-M1762</f>
        <v/>
      </c>
      <c r="O1762" t="inlineStr">
        <is>
          <t>Não</t>
        </is>
      </c>
      <c r="P1762" t="inlineStr">
        <is>
          <t>1.350</t>
        </is>
      </c>
    </row>
    <row r="1763">
      <c r="A1763" t="inlineStr">
        <is>
          <t>Antes de 2026</t>
        </is>
      </c>
      <c r="B1763" t="inlineStr">
        <is>
          <t>Frete de venda</t>
        </is>
      </c>
      <c r="C1763" t="inlineStr">
        <is>
          <t>Frete de venda (para clientes)</t>
        </is>
      </c>
      <c r="D1763" t="inlineStr">
        <is>
          <t>CT-e</t>
        </is>
      </c>
      <c r="E1763" t="inlineStr">
        <is>
          <t>000004119</t>
        </is>
      </c>
      <c r="F1763" t="inlineStr">
        <is>
          <t>R&amp;R TRANSPORTE E LOGISTICA</t>
        </is>
      </c>
      <c r="G1763" s="27" t="n">
        <v>45778</v>
      </c>
      <c r="H1763" s="14" t="n">
        <v>215</v>
      </c>
      <c r="I1763" s="14" t="n">
        <v>0</v>
      </c>
      <c r="J1763" s="14" t="n">
        <v>0</v>
      </c>
      <c r="K1763" s="14" t="n">
        <v>0</v>
      </c>
      <c r="L1763" s="14" t="n">
        <v>0</v>
      </c>
      <c r="M1763" s="14">
        <f>IF(B1763="Frete de venda",0,(1-ISNUMBER(SEARCH("556",P1763)))*(I1763*VLOOKUP($B1763,Premissas!$A$4:$E$7,2,0)+J1763*VLOOKUP($B1763,Premissas!$A$4:$E$7,3,0))+K1763*VLOOKUP($B1763,Premissas!$A$4:$E$7,4,0)+L1763*VLOOKUP($B1763,Premissas!$A$4:$E$7,5,0))</f>
        <v/>
      </c>
      <c r="N1763" s="14">
        <f>H1763-M1763</f>
        <v/>
      </c>
      <c r="O1763" t="inlineStr">
        <is>
          <t>Não</t>
        </is>
      </c>
      <c r="P1763" t="inlineStr">
        <is>
          <t>1.350</t>
        </is>
      </c>
    </row>
    <row r="1764">
      <c r="A1764" t="inlineStr">
        <is>
          <t>Antes de 2026</t>
        </is>
      </c>
      <c r="B1764" t="inlineStr">
        <is>
          <t>Frete de venda</t>
        </is>
      </c>
      <c r="C1764" t="inlineStr">
        <is>
          <t>Frete de venda (para clientes)</t>
        </is>
      </c>
      <c r="D1764" t="inlineStr">
        <is>
          <t>CT-e</t>
        </is>
      </c>
      <c r="E1764" t="inlineStr">
        <is>
          <t>000004178</t>
        </is>
      </c>
      <c r="F1764" t="inlineStr">
        <is>
          <t>R&amp;R TRANSPORTE E LOGISTICA</t>
        </is>
      </c>
      <c r="G1764" s="27" t="n">
        <v>45789</v>
      </c>
      <c r="H1764" s="14" t="n">
        <v>2484</v>
      </c>
      <c r="I1764" s="14" t="n">
        <v>0</v>
      </c>
      <c r="J1764" s="14" t="n">
        <v>0</v>
      </c>
      <c r="K1764" s="14" t="n">
        <v>0</v>
      </c>
      <c r="L1764" s="14" t="n">
        <v>0</v>
      </c>
      <c r="M1764" s="14">
        <f>IF(B1764="Frete de venda",0,(1-ISNUMBER(SEARCH("556",P1764)))*(I1764*VLOOKUP($B1764,Premissas!$A$4:$E$7,2,0)+J1764*VLOOKUP($B1764,Premissas!$A$4:$E$7,3,0))+K1764*VLOOKUP($B1764,Premissas!$A$4:$E$7,4,0)+L1764*VLOOKUP($B1764,Premissas!$A$4:$E$7,5,0))</f>
        <v/>
      </c>
      <c r="N1764" s="14">
        <f>H1764-M1764</f>
        <v/>
      </c>
      <c r="O1764" t="inlineStr">
        <is>
          <t>Não</t>
        </is>
      </c>
      <c r="P1764" t="inlineStr">
        <is>
          <t>1.350</t>
        </is>
      </c>
    </row>
    <row r="1765">
      <c r="A1765" t="inlineStr">
        <is>
          <t>Antes de 2026</t>
        </is>
      </c>
      <c r="B1765" t="inlineStr">
        <is>
          <t>Frete de venda</t>
        </is>
      </c>
      <c r="C1765" t="inlineStr">
        <is>
          <t>Frete de venda (para clientes)</t>
        </is>
      </c>
      <c r="D1765" t="inlineStr">
        <is>
          <t>CT-e</t>
        </is>
      </c>
      <c r="E1765" t="inlineStr">
        <is>
          <t>000004437</t>
        </is>
      </c>
      <c r="F1765" t="inlineStr">
        <is>
          <t>R&amp;R TRANSPORTE E LOGISTICA</t>
        </is>
      </c>
      <c r="G1765" s="27" t="n">
        <v>45824</v>
      </c>
      <c r="H1765" s="14" t="n">
        <v>32</v>
      </c>
      <c r="I1765" s="14" t="n">
        <v>0</v>
      </c>
      <c r="J1765" s="14" t="n">
        <v>0</v>
      </c>
      <c r="K1765" s="14" t="n">
        <v>0</v>
      </c>
      <c r="L1765" s="14" t="n">
        <v>0</v>
      </c>
      <c r="M1765" s="14">
        <f>IF(B1765="Frete de venda",0,(1-ISNUMBER(SEARCH("556",P1765)))*(I1765*VLOOKUP($B1765,Premissas!$A$4:$E$7,2,0)+J1765*VLOOKUP($B1765,Premissas!$A$4:$E$7,3,0))+K1765*VLOOKUP($B1765,Premissas!$A$4:$E$7,4,0)+L1765*VLOOKUP($B1765,Premissas!$A$4:$E$7,5,0))</f>
        <v/>
      </c>
      <c r="N1765" s="14">
        <f>H1765-M1765</f>
        <v/>
      </c>
      <c r="O1765" t="inlineStr">
        <is>
          <t>Não</t>
        </is>
      </c>
      <c r="P1765" t="inlineStr">
        <is>
          <t>1.350</t>
        </is>
      </c>
    </row>
    <row r="1766">
      <c r="A1766" t="inlineStr">
        <is>
          <t>Antes de 2026</t>
        </is>
      </c>
      <c r="B1766" t="inlineStr">
        <is>
          <t>Frete de venda</t>
        </is>
      </c>
      <c r="C1766" t="inlineStr">
        <is>
          <t>Frete de venda (para clientes)</t>
        </is>
      </c>
      <c r="D1766" t="inlineStr">
        <is>
          <t>CT-e</t>
        </is>
      </c>
      <c r="E1766" t="inlineStr">
        <is>
          <t>000004500</t>
        </is>
      </c>
      <c r="F1766" t="inlineStr">
        <is>
          <t>R&amp;R TRANSPORTE E LOGISTICA</t>
        </is>
      </c>
      <c r="G1766" s="27" t="n">
        <v>45832</v>
      </c>
      <c r="H1766" s="14" t="n">
        <v>2160</v>
      </c>
      <c r="I1766" s="14" t="n">
        <v>0</v>
      </c>
      <c r="J1766" s="14" t="n">
        <v>0</v>
      </c>
      <c r="K1766" s="14" t="n">
        <v>0</v>
      </c>
      <c r="L1766" s="14" t="n">
        <v>0</v>
      </c>
      <c r="M1766" s="14">
        <f>IF(B1766="Frete de venda",0,(1-ISNUMBER(SEARCH("556",P1766)))*(I1766*VLOOKUP($B1766,Premissas!$A$4:$E$7,2,0)+J1766*VLOOKUP($B1766,Premissas!$A$4:$E$7,3,0))+K1766*VLOOKUP($B1766,Premissas!$A$4:$E$7,4,0)+L1766*VLOOKUP($B1766,Premissas!$A$4:$E$7,5,0))</f>
        <v/>
      </c>
      <c r="N1766" s="14">
        <f>H1766-M1766</f>
        <v/>
      </c>
      <c r="O1766" t="inlineStr">
        <is>
          <t>Não</t>
        </is>
      </c>
      <c r="P1766" t="inlineStr">
        <is>
          <t>1.350</t>
        </is>
      </c>
    </row>
    <row r="1767">
      <c r="A1767" t="inlineStr">
        <is>
          <t>Antes de 2026</t>
        </is>
      </c>
      <c r="B1767" t="inlineStr">
        <is>
          <t>Frete de venda</t>
        </is>
      </c>
      <c r="C1767" t="inlineStr">
        <is>
          <t>Frete de venda (para clientes)</t>
        </is>
      </c>
      <c r="D1767" t="inlineStr">
        <is>
          <t>CT-e</t>
        </is>
      </c>
      <c r="E1767" t="inlineStr">
        <is>
          <t>000004631</t>
        </is>
      </c>
      <c r="F1767" t="inlineStr">
        <is>
          <t>R&amp;R TRANSPORTE E LOGISTICA</t>
        </is>
      </c>
      <c r="G1767" s="27" t="n">
        <v>45850</v>
      </c>
      <c r="H1767" s="14" t="n">
        <v>27.19</v>
      </c>
      <c r="I1767" s="14" t="n">
        <v>0</v>
      </c>
      <c r="J1767" s="14" t="n">
        <v>0</v>
      </c>
      <c r="K1767" s="14" t="n">
        <v>0</v>
      </c>
      <c r="L1767" s="14" t="n">
        <v>0</v>
      </c>
      <c r="M1767" s="14">
        <f>IF(B1767="Frete de venda",0,(1-ISNUMBER(SEARCH("556",P1767)))*(I1767*VLOOKUP($B1767,Premissas!$A$4:$E$7,2,0)+J1767*VLOOKUP($B1767,Premissas!$A$4:$E$7,3,0))+K1767*VLOOKUP($B1767,Premissas!$A$4:$E$7,4,0)+L1767*VLOOKUP($B1767,Premissas!$A$4:$E$7,5,0))</f>
        <v/>
      </c>
      <c r="N1767" s="14">
        <f>H1767-M1767</f>
        <v/>
      </c>
      <c r="O1767" t="inlineStr">
        <is>
          <t>Não</t>
        </is>
      </c>
      <c r="P1767" t="inlineStr">
        <is>
          <t>1.350</t>
        </is>
      </c>
    </row>
    <row r="1768">
      <c r="A1768" t="inlineStr">
        <is>
          <t>Antes de 2026</t>
        </is>
      </c>
      <c r="B1768" t="inlineStr">
        <is>
          <t>Frete de venda</t>
        </is>
      </c>
      <c r="C1768" t="inlineStr">
        <is>
          <t>Frete de venda (para clientes)</t>
        </is>
      </c>
      <c r="D1768" t="inlineStr">
        <is>
          <t>CT-e</t>
        </is>
      </c>
      <c r="E1768" t="inlineStr">
        <is>
          <t>000005222</t>
        </is>
      </c>
      <c r="F1768" t="inlineStr">
        <is>
          <t>R&amp;R TRANSPORTE E LOGISTICA</t>
        </is>
      </c>
      <c r="G1768" s="27" t="n">
        <v>45917</v>
      </c>
      <c r="H1768" s="14" t="n">
        <v>786</v>
      </c>
      <c r="I1768" s="14" t="n">
        <v>0</v>
      </c>
      <c r="J1768" s="14" t="n">
        <v>0</v>
      </c>
      <c r="K1768" s="14" t="n">
        <v>0</v>
      </c>
      <c r="L1768" s="14" t="n">
        <v>0</v>
      </c>
      <c r="M1768" s="14">
        <f>IF(B1768="Frete de venda",0,(1-ISNUMBER(SEARCH("556",P1768)))*(I1768*VLOOKUP($B1768,Premissas!$A$4:$E$7,2,0)+J1768*VLOOKUP($B1768,Premissas!$A$4:$E$7,3,0))+K1768*VLOOKUP($B1768,Premissas!$A$4:$E$7,4,0)+L1768*VLOOKUP($B1768,Premissas!$A$4:$E$7,5,0))</f>
        <v/>
      </c>
      <c r="N1768" s="14">
        <f>H1768-M1768</f>
        <v/>
      </c>
      <c r="O1768" t="inlineStr">
        <is>
          <t>Não</t>
        </is>
      </c>
      <c r="P1768" t="inlineStr">
        <is>
          <t>1.350</t>
        </is>
      </c>
    </row>
    <row r="1769">
      <c r="A1769" t="inlineStr">
        <is>
          <t>Antes de 2026</t>
        </is>
      </c>
      <c r="B1769" t="inlineStr">
        <is>
          <t>Frete de venda</t>
        </is>
      </c>
      <c r="C1769" t="inlineStr">
        <is>
          <t>Frete de venda (para clientes)</t>
        </is>
      </c>
      <c r="D1769" t="inlineStr">
        <is>
          <t>CT-e</t>
        </is>
      </c>
      <c r="E1769" t="inlineStr">
        <is>
          <t>000005509</t>
        </is>
      </c>
      <c r="F1769" t="inlineStr">
        <is>
          <t>R&amp;R TRANSPORTE E LOGISTICA</t>
        </is>
      </c>
      <c r="G1769" s="27" t="n">
        <v>45948</v>
      </c>
      <c r="H1769" s="14" t="n">
        <v>786</v>
      </c>
      <c r="I1769" s="14" t="n">
        <v>0</v>
      </c>
      <c r="J1769" s="14" t="n">
        <v>0</v>
      </c>
      <c r="K1769" s="14" t="n">
        <v>0</v>
      </c>
      <c r="L1769" s="14" t="n">
        <v>0</v>
      </c>
      <c r="M1769" s="14">
        <f>IF(B1769="Frete de venda",0,(1-ISNUMBER(SEARCH("556",P1769)))*(I1769*VLOOKUP($B1769,Premissas!$A$4:$E$7,2,0)+J1769*VLOOKUP($B1769,Premissas!$A$4:$E$7,3,0))+K1769*VLOOKUP($B1769,Premissas!$A$4:$E$7,4,0)+L1769*VLOOKUP($B1769,Premissas!$A$4:$E$7,5,0))</f>
        <v/>
      </c>
      <c r="N1769" s="14">
        <f>H1769-M1769</f>
        <v/>
      </c>
      <c r="O1769" t="inlineStr">
        <is>
          <t>Não</t>
        </is>
      </c>
      <c r="P1769" t="inlineStr">
        <is>
          <t>1.350</t>
        </is>
      </c>
    </row>
    <row r="1770">
      <c r="A1770" t="inlineStr">
        <is>
          <t>Antes de 2026</t>
        </is>
      </c>
      <c r="B1770" t="inlineStr">
        <is>
          <t>Frete de venda</t>
        </is>
      </c>
      <c r="C1770" t="inlineStr">
        <is>
          <t>Frete de venda (para clientes)</t>
        </is>
      </c>
      <c r="D1770" t="inlineStr">
        <is>
          <t>CT-e</t>
        </is>
      </c>
      <c r="E1770" t="inlineStr">
        <is>
          <t>000006063</t>
        </is>
      </c>
      <c r="F1770" t="inlineStr">
        <is>
          <t>R&amp;R TRANSPORTE E LOGISTICA</t>
        </is>
      </c>
      <c r="G1770" s="27" t="n">
        <v>46017</v>
      </c>
      <c r="H1770" s="14" t="n">
        <v>64.27</v>
      </c>
      <c r="I1770" s="14" t="n">
        <v>0</v>
      </c>
      <c r="J1770" s="14" t="n">
        <v>0</v>
      </c>
      <c r="K1770" s="14" t="n">
        <v>0</v>
      </c>
      <c r="L1770" s="14" t="n">
        <v>0</v>
      </c>
      <c r="M1770" s="14">
        <f>IF(B1770="Frete de venda",0,(1-ISNUMBER(SEARCH("556",P1770)))*(I1770*VLOOKUP($B1770,Premissas!$A$4:$E$7,2,0)+J1770*VLOOKUP($B1770,Premissas!$A$4:$E$7,3,0))+K1770*VLOOKUP($B1770,Premissas!$A$4:$E$7,4,0)+L1770*VLOOKUP($B1770,Premissas!$A$4:$E$7,5,0))</f>
        <v/>
      </c>
      <c r="N1770" s="14">
        <f>H1770-M1770</f>
        <v/>
      </c>
      <c r="O1770" t="inlineStr">
        <is>
          <t>Não</t>
        </is>
      </c>
      <c r="P1770" t="inlineStr">
        <is>
          <t>1.350</t>
        </is>
      </c>
    </row>
    <row r="1771">
      <c r="A1771" t="inlineStr">
        <is>
          <t>Antes de 2026</t>
        </is>
      </c>
      <c r="B1771" t="inlineStr">
        <is>
          <t>Frete de venda</t>
        </is>
      </c>
      <c r="C1771" t="inlineStr">
        <is>
          <t>Frete de venda (para clientes)</t>
        </is>
      </c>
      <c r="D1771" t="inlineStr">
        <is>
          <t>CT-e</t>
        </is>
      </c>
      <c r="E1771" t="inlineStr">
        <is>
          <t>000004491</t>
        </is>
      </c>
      <c r="F1771" t="inlineStr">
        <is>
          <t>R&amp;R TRANSPORTE E LOGISTICA</t>
        </is>
      </c>
      <c r="G1771" s="27" t="n">
        <v>45831</v>
      </c>
      <c r="H1771" s="14" t="n">
        <v>19.5</v>
      </c>
      <c r="I1771" s="14" t="n">
        <v>0</v>
      </c>
      <c r="J1771" s="14" t="n">
        <v>0</v>
      </c>
      <c r="K1771" s="14" t="n">
        <v>0</v>
      </c>
      <c r="L1771" s="14" t="n">
        <v>0</v>
      </c>
      <c r="M1771" s="14">
        <f>IF(B1771="Frete de venda",0,(1-ISNUMBER(SEARCH("556",P1771)))*(I1771*VLOOKUP($B1771,Premissas!$A$4:$E$7,2,0)+J1771*VLOOKUP($B1771,Premissas!$A$4:$E$7,3,0))+K1771*VLOOKUP($B1771,Premissas!$A$4:$E$7,4,0)+L1771*VLOOKUP($B1771,Premissas!$A$4:$E$7,5,0))</f>
        <v/>
      </c>
      <c r="N1771" s="14">
        <f>H1771-M1771</f>
        <v/>
      </c>
      <c r="O1771" t="inlineStr">
        <is>
          <t>Não</t>
        </is>
      </c>
      <c r="P1771" t="inlineStr">
        <is>
          <t>1.350</t>
        </is>
      </c>
    </row>
    <row r="1772">
      <c r="A1772" t="inlineStr">
        <is>
          <t>Antes de 2026</t>
        </is>
      </c>
      <c r="B1772" t="inlineStr">
        <is>
          <t>Frete de venda</t>
        </is>
      </c>
      <c r="C1772" t="inlineStr">
        <is>
          <t>Frete de venda (para clientes)</t>
        </is>
      </c>
      <c r="D1772" t="inlineStr">
        <is>
          <t>CT-e</t>
        </is>
      </c>
      <c r="E1772" t="inlineStr">
        <is>
          <t>000005081</t>
        </is>
      </c>
      <c r="F1772" t="inlineStr">
        <is>
          <t>R&amp;R TRANSPORTE E LOGISTICA</t>
        </is>
      </c>
      <c r="G1772" s="27" t="n">
        <v>45898</v>
      </c>
      <c r="H1772" s="14" t="n">
        <v>25.44</v>
      </c>
      <c r="I1772" s="14" t="n">
        <v>0</v>
      </c>
      <c r="J1772" s="14" t="n">
        <v>0</v>
      </c>
      <c r="K1772" s="14" t="n">
        <v>0</v>
      </c>
      <c r="L1772" s="14" t="n">
        <v>0</v>
      </c>
      <c r="M1772" s="14">
        <f>IF(B1772="Frete de venda",0,(1-ISNUMBER(SEARCH("556",P1772)))*(I1772*VLOOKUP($B1772,Premissas!$A$4:$E$7,2,0)+J1772*VLOOKUP($B1772,Premissas!$A$4:$E$7,3,0))+K1772*VLOOKUP($B1772,Premissas!$A$4:$E$7,4,0)+L1772*VLOOKUP($B1772,Premissas!$A$4:$E$7,5,0))</f>
        <v/>
      </c>
      <c r="N1772" s="14">
        <f>H1772-M1772</f>
        <v/>
      </c>
      <c r="O1772" t="inlineStr">
        <is>
          <t>Não</t>
        </is>
      </c>
      <c r="P1772" t="inlineStr">
        <is>
          <t>1.350</t>
        </is>
      </c>
    </row>
    <row r="1773">
      <c r="A1773" t="inlineStr">
        <is>
          <t>Antes de 2026</t>
        </is>
      </c>
      <c r="B1773" t="inlineStr">
        <is>
          <t>Frete de venda</t>
        </is>
      </c>
      <c r="C1773" t="inlineStr">
        <is>
          <t>Frete de venda (para clientes)</t>
        </is>
      </c>
      <c r="D1773" t="inlineStr">
        <is>
          <t>CT-e</t>
        </is>
      </c>
      <c r="E1773" t="inlineStr">
        <is>
          <t>000005569</t>
        </is>
      </c>
      <c r="F1773" t="inlineStr">
        <is>
          <t>R&amp;R TRANSPORTE E LOGISTICA</t>
        </is>
      </c>
      <c r="G1773" s="27" t="n">
        <v>45955</v>
      </c>
      <c r="H1773" s="14" t="n">
        <v>26.88</v>
      </c>
      <c r="I1773" s="14" t="n">
        <v>0</v>
      </c>
      <c r="J1773" s="14" t="n">
        <v>0</v>
      </c>
      <c r="K1773" s="14" t="n">
        <v>0</v>
      </c>
      <c r="L1773" s="14" t="n">
        <v>0</v>
      </c>
      <c r="M1773" s="14">
        <f>IF(B1773="Frete de venda",0,(1-ISNUMBER(SEARCH("556",P1773)))*(I1773*VLOOKUP($B1773,Premissas!$A$4:$E$7,2,0)+J1773*VLOOKUP($B1773,Premissas!$A$4:$E$7,3,0))+K1773*VLOOKUP($B1773,Premissas!$A$4:$E$7,4,0)+L1773*VLOOKUP($B1773,Premissas!$A$4:$E$7,5,0))</f>
        <v/>
      </c>
      <c r="N1773" s="14">
        <f>H1773-M1773</f>
        <v/>
      </c>
      <c r="O1773" t="inlineStr">
        <is>
          <t>Não</t>
        </is>
      </c>
      <c r="P1773" t="inlineStr">
        <is>
          <t>1.350</t>
        </is>
      </c>
    </row>
    <row r="1774">
      <c r="A1774" t="inlineStr">
        <is>
          <t>Antes de 2026</t>
        </is>
      </c>
      <c r="B1774" t="inlineStr">
        <is>
          <t>Frete de venda</t>
        </is>
      </c>
      <c r="C1774" t="inlineStr">
        <is>
          <t>Frete de venda (para clientes)</t>
        </is>
      </c>
      <c r="D1774" t="inlineStr">
        <is>
          <t>CT-e</t>
        </is>
      </c>
      <c r="E1774" t="inlineStr">
        <is>
          <t>000005723</t>
        </is>
      </c>
      <c r="F1774" t="inlineStr">
        <is>
          <t>R&amp;R TRANSPORTE E LOGISTICA</t>
        </is>
      </c>
      <c r="G1774" s="27" t="n">
        <v>45974</v>
      </c>
      <c r="H1774" s="14" t="n">
        <v>35</v>
      </c>
      <c r="I1774" s="14" t="n">
        <v>0</v>
      </c>
      <c r="J1774" s="14" t="n">
        <v>0</v>
      </c>
      <c r="K1774" s="14" t="n">
        <v>0</v>
      </c>
      <c r="L1774" s="14" t="n">
        <v>0</v>
      </c>
      <c r="M1774" s="14">
        <f>IF(B1774="Frete de venda",0,(1-ISNUMBER(SEARCH("556",P1774)))*(I1774*VLOOKUP($B1774,Premissas!$A$4:$E$7,2,0)+J1774*VLOOKUP($B1774,Premissas!$A$4:$E$7,3,0))+K1774*VLOOKUP($B1774,Premissas!$A$4:$E$7,4,0)+L1774*VLOOKUP($B1774,Premissas!$A$4:$E$7,5,0))</f>
        <v/>
      </c>
      <c r="N1774" s="14">
        <f>H1774-M1774</f>
        <v/>
      </c>
      <c r="O1774" t="inlineStr">
        <is>
          <t>Não</t>
        </is>
      </c>
      <c r="P1774" t="inlineStr">
        <is>
          <t>1.350</t>
        </is>
      </c>
    </row>
    <row r="1775">
      <c r="A1775" t="inlineStr">
        <is>
          <t>Antes de 2026</t>
        </is>
      </c>
      <c r="B1775" t="inlineStr">
        <is>
          <t>Frete de venda</t>
        </is>
      </c>
      <c r="C1775" t="inlineStr">
        <is>
          <t>Frete de venda (para clientes)</t>
        </is>
      </c>
      <c r="D1775" t="inlineStr">
        <is>
          <t>CT-e</t>
        </is>
      </c>
      <c r="E1775" t="inlineStr">
        <is>
          <t>000005587</t>
        </is>
      </c>
      <c r="F1775" t="inlineStr">
        <is>
          <t>R&amp;R TRANSPORTE E LOGISTICA</t>
        </is>
      </c>
      <c r="G1775" s="27" t="n">
        <v>45957</v>
      </c>
      <c r="H1775" s="14" t="n">
        <v>117</v>
      </c>
      <c r="I1775" s="14" t="n">
        <v>0</v>
      </c>
      <c r="J1775" s="14" t="n">
        <v>0</v>
      </c>
      <c r="K1775" s="14" t="n">
        <v>0</v>
      </c>
      <c r="L1775" s="14" t="n">
        <v>0</v>
      </c>
      <c r="M1775" s="14">
        <f>IF(B1775="Frete de venda",0,(1-ISNUMBER(SEARCH("556",P1775)))*(I1775*VLOOKUP($B1775,Premissas!$A$4:$E$7,2,0)+J1775*VLOOKUP($B1775,Premissas!$A$4:$E$7,3,0))+K1775*VLOOKUP($B1775,Premissas!$A$4:$E$7,4,0)+L1775*VLOOKUP($B1775,Premissas!$A$4:$E$7,5,0))</f>
        <v/>
      </c>
      <c r="N1775" s="14">
        <f>H1775-M1775</f>
        <v/>
      </c>
      <c r="O1775" t="inlineStr">
        <is>
          <t>Não</t>
        </is>
      </c>
      <c r="P1775" t="inlineStr">
        <is>
          <t>1.350</t>
        </is>
      </c>
    </row>
    <row r="1776">
      <c r="A1776" t="inlineStr">
        <is>
          <t>Antes de 2026</t>
        </is>
      </c>
      <c r="B1776" t="inlineStr">
        <is>
          <t>Frete de venda</t>
        </is>
      </c>
      <c r="C1776" t="inlineStr">
        <is>
          <t>Frete de venda (para clientes)</t>
        </is>
      </c>
      <c r="D1776" t="inlineStr">
        <is>
          <t>CT-e</t>
        </is>
      </c>
      <c r="E1776" t="inlineStr">
        <is>
          <t>000005604</t>
        </is>
      </c>
      <c r="F1776" t="inlineStr">
        <is>
          <t>R&amp;R TRANSPORTE E LOGISTICA</t>
        </is>
      </c>
      <c r="G1776" s="27" t="n">
        <v>45959</v>
      </c>
      <c r="H1776" s="14" t="n">
        <v>650</v>
      </c>
      <c r="I1776" s="14" t="n">
        <v>0</v>
      </c>
      <c r="J1776" s="14" t="n">
        <v>0</v>
      </c>
      <c r="K1776" s="14" t="n">
        <v>0</v>
      </c>
      <c r="L1776" s="14" t="n">
        <v>0</v>
      </c>
      <c r="M1776" s="14">
        <f>IF(B1776="Frete de venda",0,(1-ISNUMBER(SEARCH("556",P1776)))*(I1776*VLOOKUP($B1776,Premissas!$A$4:$E$7,2,0)+J1776*VLOOKUP($B1776,Premissas!$A$4:$E$7,3,0))+K1776*VLOOKUP($B1776,Premissas!$A$4:$E$7,4,0)+L1776*VLOOKUP($B1776,Premissas!$A$4:$E$7,5,0))</f>
        <v/>
      </c>
      <c r="N1776" s="14">
        <f>H1776-M1776</f>
        <v/>
      </c>
      <c r="O1776" t="inlineStr">
        <is>
          <t>Não</t>
        </is>
      </c>
      <c r="P1776" t="inlineStr">
        <is>
          <t>1.350</t>
        </is>
      </c>
    </row>
    <row r="1777">
      <c r="A1777" t="inlineStr">
        <is>
          <t>Antes de 2026</t>
        </is>
      </c>
      <c r="B1777" t="inlineStr">
        <is>
          <t>Frete de venda</t>
        </is>
      </c>
      <c r="C1777" t="inlineStr">
        <is>
          <t>Frete de venda (para clientes)</t>
        </is>
      </c>
      <c r="D1777" t="inlineStr">
        <is>
          <t>CT-e</t>
        </is>
      </c>
      <c r="E1777" t="inlineStr">
        <is>
          <t>000005577</t>
        </is>
      </c>
      <c r="F1777" t="inlineStr">
        <is>
          <t>R&amp;R TRANSPORTE E LOGISTICA</t>
        </is>
      </c>
      <c r="G1777" s="27" t="n">
        <v>45957</v>
      </c>
      <c r="H1777" s="14" t="n">
        <v>39.42</v>
      </c>
      <c r="I1777" s="14" t="n">
        <v>0</v>
      </c>
      <c r="J1777" s="14" t="n">
        <v>0</v>
      </c>
      <c r="K1777" s="14" t="n">
        <v>0</v>
      </c>
      <c r="L1777" s="14" t="n">
        <v>0</v>
      </c>
      <c r="M1777" s="14">
        <f>IF(B1777="Frete de venda",0,(1-ISNUMBER(SEARCH("556",P1777)))*(I1777*VLOOKUP($B1777,Premissas!$A$4:$E$7,2,0)+J1777*VLOOKUP($B1777,Premissas!$A$4:$E$7,3,0))+K1777*VLOOKUP($B1777,Premissas!$A$4:$E$7,4,0)+L1777*VLOOKUP($B1777,Premissas!$A$4:$E$7,5,0))</f>
        <v/>
      </c>
      <c r="N1777" s="14">
        <f>H1777-M1777</f>
        <v/>
      </c>
      <c r="O1777" t="inlineStr">
        <is>
          <t>Não</t>
        </is>
      </c>
      <c r="P1777" t="inlineStr">
        <is>
          <t>1.350</t>
        </is>
      </c>
    </row>
    <row r="1778">
      <c r="A1778" t="inlineStr">
        <is>
          <t>Antes de 2026</t>
        </is>
      </c>
      <c r="B1778" t="inlineStr">
        <is>
          <t>Frete de venda</t>
        </is>
      </c>
      <c r="C1778" t="inlineStr">
        <is>
          <t>Frete de venda (para clientes)</t>
        </is>
      </c>
      <c r="D1778" t="inlineStr">
        <is>
          <t>CT-e</t>
        </is>
      </c>
      <c r="E1778" t="inlineStr">
        <is>
          <t>000005520</t>
        </is>
      </c>
      <c r="F1778" t="inlineStr">
        <is>
          <t>R&amp;R TRANSPORTE E LOGISTICA</t>
        </is>
      </c>
      <c r="G1778" s="27" t="n">
        <v>45951</v>
      </c>
      <c r="H1778" s="14" t="n">
        <v>70.69</v>
      </c>
      <c r="I1778" s="14" t="n">
        <v>0</v>
      </c>
      <c r="J1778" s="14" t="n">
        <v>0</v>
      </c>
      <c r="K1778" s="14" t="n">
        <v>0</v>
      </c>
      <c r="L1778" s="14" t="n">
        <v>0</v>
      </c>
      <c r="M1778" s="14">
        <f>IF(B1778="Frete de venda",0,(1-ISNUMBER(SEARCH("556",P1778)))*(I1778*VLOOKUP($B1778,Premissas!$A$4:$E$7,2,0)+J1778*VLOOKUP($B1778,Premissas!$A$4:$E$7,3,0))+K1778*VLOOKUP($B1778,Premissas!$A$4:$E$7,4,0)+L1778*VLOOKUP($B1778,Premissas!$A$4:$E$7,5,0))</f>
        <v/>
      </c>
      <c r="N1778" s="14">
        <f>H1778-M1778</f>
        <v/>
      </c>
      <c r="O1778" t="inlineStr">
        <is>
          <t>Não</t>
        </is>
      </c>
      <c r="P1778" t="inlineStr">
        <is>
          <t>1.350</t>
        </is>
      </c>
    </row>
    <row r="1779">
      <c r="A1779" t="inlineStr">
        <is>
          <t>Antes de 2026</t>
        </is>
      </c>
      <c r="B1779" t="inlineStr">
        <is>
          <t>Frete de venda</t>
        </is>
      </c>
      <c r="C1779" t="inlineStr">
        <is>
          <t>Frete de venda (para clientes)</t>
        </is>
      </c>
      <c r="D1779" t="inlineStr">
        <is>
          <t>CT-e</t>
        </is>
      </c>
      <c r="E1779" t="inlineStr">
        <is>
          <t>000005895</t>
        </is>
      </c>
      <c r="F1779" t="inlineStr">
        <is>
          <t>R&amp;R TRANSPORTE E LOGISTICA</t>
        </is>
      </c>
      <c r="G1779" s="27" t="n">
        <v>45993</v>
      </c>
      <c r="H1779" s="14" t="n">
        <v>59.2</v>
      </c>
      <c r="I1779" s="14" t="n">
        <v>0</v>
      </c>
      <c r="J1779" s="14" t="n">
        <v>0</v>
      </c>
      <c r="K1779" s="14" t="n">
        <v>0</v>
      </c>
      <c r="L1779" s="14" t="n">
        <v>0</v>
      </c>
      <c r="M1779" s="14">
        <f>IF(B1779="Frete de venda",0,(1-ISNUMBER(SEARCH("556",P1779)))*(I1779*VLOOKUP($B1779,Premissas!$A$4:$E$7,2,0)+J1779*VLOOKUP($B1779,Premissas!$A$4:$E$7,3,0))+K1779*VLOOKUP($B1779,Premissas!$A$4:$E$7,4,0)+L1779*VLOOKUP($B1779,Premissas!$A$4:$E$7,5,0))</f>
        <v/>
      </c>
      <c r="N1779" s="14">
        <f>H1779-M1779</f>
        <v/>
      </c>
      <c r="O1779" t="inlineStr">
        <is>
          <t>Não</t>
        </is>
      </c>
      <c r="P1779" t="inlineStr">
        <is>
          <t>1.350</t>
        </is>
      </c>
    </row>
    <row r="1780">
      <c r="A1780" t="inlineStr">
        <is>
          <t>Antes de 2026</t>
        </is>
      </c>
      <c r="B1780" t="inlineStr">
        <is>
          <t>Frete de venda</t>
        </is>
      </c>
      <c r="C1780" t="inlineStr">
        <is>
          <t>Frete de venda (para clientes)</t>
        </is>
      </c>
      <c r="D1780" t="inlineStr">
        <is>
          <t>CT-e</t>
        </is>
      </c>
      <c r="E1780" t="inlineStr">
        <is>
          <t>000005643</t>
        </is>
      </c>
      <c r="F1780" t="inlineStr">
        <is>
          <t>R&amp;R TRANSPORTE E LOGISTICA</t>
        </is>
      </c>
      <c r="G1780" s="27" t="n">
        <v>45961</v>
      </c>
      <c r="H1780" s="14" t="n">
        <v>43.84</v>
      </c>
      <c r="I1780" s="14" t="n">
        <v>0</v>
      </c>
      <c r="J1780" s="14" t="n">
        <v>0</v>
      </c>
      <c r="K1780" s="14" t="n">
        <v>0</v>
      </c>
      <c r="L1780" s="14" t="n">
        <v>0</v>
      </c>
      <c r="M1780" s="14">
        <f>IF(B1780="Frete de venda",0,(1-ISNUMBER(SEARCH("556",P1780)))*(I1780*VLOOKUP($B1780,Premissas!$A$4:$E$7,2,0)+J1780*VLOOKUP($B1780,Premissas!$A$4:$E$7,3,0))+K1780*VLOOKUP($B1780,Premissas!$A$4:$E$7,4,0)+L1780*VLOOKUP($B1780,Premissas!$A$4:$E$7,5,0))</f>
        <v/>
      </c>
      <c r="N1780" s="14">
        <f>H1780-M1780</f>
        <v/>
      </c>
      <c r="O1780" t="inlineStr">
        <is>
          <t>Não</t>
        </is>
      </c>
      <c r="P1780" t="inlineStr">
        <is>
          <t>1.350</t>
        </is>
      </c>
    </row>
    <row r="1781">
      <c r="A1781" t="inlineStr">
        <is>
          <t>Antes de 2026</t>
        </is>
      </c>
      <c r="B1781" t="inlineStr">
        <is>
          <t>Frete de venda</t>
        </is>
      </c>
      <c r="C1781" t="inlineStr">
        <is>
          <t>Frete de venda (para clientes)</t>
        </is>
      </c>
      <c r="D1781" t="inlineStr">
        <is>
          <t>CT-e</t>
        </is>
      </c>
      <c r="E1781" t="inlineStr">
        <is>
          <t>000005894</t>
        </is>
      </c>
      <c r="F1781" t="inlineStr">
        <is>
          <t>R&amp;R TRANSPORTE E LOGISTICA</t>
        </is>
      </c>
      <c r="G1781" s="27" t="n">
        <v>45993</v>
      </c>
      <c r="H1781" s="14" t="n">
        <v>50.62</v>
      </c>
      <c r="I1781" s="14" t="n">
        <v>0</v>
      </c>
      <c r="J1781" s="14" t="n">
        <v>0</v>
      </c>
      <c r="K1781" s="14" t="n">
        <v>0</v>
      </c>
      <c r="L1781" s="14" t="n">
        <v>0</v>
      </c>
      <c r="M1781" s="14">
        <f>IF(B1781="Frete de venda",0,(1-ISNUMBER(SEARCH("556",P1781)))*(I1781*VLOOKUP($B1781,Premissas!$A$4:$E$7,2,0)+J1781*VLOOKUP($B1781,Premissas!$A$4:$E$7,3,0))+K1781*VLOOKUP($B1781,Premissas!$A$4:$E$7,4,0)+L1781*VLOOKUP($B1781,Premissas!$A$4:$E$7,5,0))</f>
        <v/>
      </c>
      <c r="N1781" s="14">
        <f>H1781-M1781</f>
        <v/>
      </c>
      <c r="O1781" t="inlineStr">
        <is>
          <t>Não</t>
        </is>
      </c>
      <c r="P1781" t="inlineStr">
        <is>
          <t>1.350</t>
        </is>
      </c>
    </row>
    <row r="1782">
      <c r="A1782" t="inlineStr">
        <is>
          <t>Antes de 2026</t>
        </is>
      </c>
      <c r="B1782" t="inlineStr">
        <is>
          <t>Frete de venda</t>
        </is>
      </c>
      <c r="C1782" t="inlineStr">
        <is>
          <t>Frete de venda (para clientes)</t>
        </is>
      </c>
      <c r="D1782" t="inlineStr">
        <is>
          <t>CT-e</t>
        </is>
      </c>
      <c r="E1782" t="inlineStr">
        <is>
          <t>000004116</t>
        </is>
      </c>
      <c r="F1782" t="inlineStr">
        <is>
          <t>R&amp;R TRANSPORTE E LOGISTICA</t>
        </is>
      </c>
      <c r="G1782" s="27" t="n">
        <v>45778</v>
      </c>
      <c r="H1782" s="14" t="n">
        <v>215</v>
      </c>
      <c r="I1782" s="14" t="n">
        <v>0</v>
      </c>
      <c r="J1782" s="14" t="n">
        <v>0</v>
      </c>
      <c r="K1782" s="14" t="n">
        <v>0</v>
      </c>
      <c r="L1782" s="14" t="n">
        <v>0</v>
      </c>
      <c r="M1782" s="14">
        <f>IF(B1782="Frete de venda",0,(1-ISNUMBER(SEARCH("556",P1782)))*(I1782*VLOOKUP($B1782,Premissas!$A$4:$E$7,2,0)+J1782*VLOOKUP($B1782,Premissas!$A$4:$E$7,3,0))+K1782*VLOOKUP($B1782,Premissas!$A$4:$E$7,4,0)+L1782*VLOOKUP($B1782,Premissas!$A$4:$E$7,5,0))</f>
        <v/>
      </c>
      <c r="N1782" s="14">
        <f>H1782-M1782</f>
        <v/>
      </c>
      <c r="O1782" t="inlineStr">
        <is>
          <t>Não</t>
        </is>
      </c>
      <c r="P1782" t="inlineStr">
        <is>
          <t>1.350</t>
        </is>
      </c>
    </row>
    <row r="1783">
      <c r="A1783" t="inlineStr">
        <is>
          <t>Antes de 2026</t>
        </is>
      </c>
      <c r="B1783" t="inlineStr">
        <is>
          <t>Frete de venda</t>
        </is>
      </c>
      <c r="C1783" t="inlineStr">
        <is>
          <t>Frete de venda (para clientes)</t>
        </is>
      </c>
      <c r="D1783" t="inlineStr">
        <is>
          <t>CT-e</t>
        </is>
      </c>
      <c r="E1783" t="inlineStr">
        <is>
          <t>000005094</t>
        </is>
      </c>
      <c r="F1783" t="inlineStr">
        <is>
          <t>R&amp;R TRANSPORTE E LOGISTICA</t>
        </is>
      </c>
      <c r="G1783" s="27" t="n">
        <v>45901</v>
      </c>
      <c r="H1783" s="14" t="n">
        <v>25.79</v>
      </c>
      <c r="I1783" s="14" t="n">
        <v>0</v>
      </c>
      <c r="J1783" s="14" t="n">
        <v>0</v>
      </c>
      <c r="K1783" s="14" t="n">
        <v>0</v>
      </c>
      <c r="L1783" s="14" t="n">
        <v>0</v>
      </c>
      <c r="M1783" s="14">
        <f>IF(B1783="Frete de venda",0,(1-ISNUMBER(SEARCH("556",P1783)))*(I1783*VLOOKUP($B1783,Premissas!$A$4:$E$7,2,0)+J1783*VLOOKUP($B1783,Premissas!$A$4:$E$7,3,0))+K1783*VLOOKUP($B1783,Premissas!$A$4:$E$7,4,0)+L1783*VLOOKUP($B1783,Premissas!$A$4:$E$7,5,0))</f>
        <v/>
      </c>
      <c r="N1783" s="14">
        <f>H1783-M1783</f>
        <v/>
      </c>
      <c r="O1783" t="inlineStr">
        <is>
          <t>Não</t>
        </is>
      </c>
      <c r="P1783" t="inlineStr">
        <is>
          <t>1.350</t>
        </is>
      </c>
    </row>
    <row r="1784">
      <c r="A1784" t="inlineStr">
        <is>
          <t>Antes de 2026</t>
        </is>
      </c>
      <c r="B1784" t="inlineStr">
        <is>
          <t>Frete de venda</t>
        </is>
      </c>
      <c r="C1784" t="inlineStr">
        <is>
          <t>Frete de venda (para clientes)</t>
        </is>
      </c>
      <c r="D1784" t="inlineStr">
        <is>
          <t>CT-e</t>
        </is>
      </c>
      <c r="E1784" t="inlineStr">
        <is>
          <t>000005221</t>
        </is>
      </c>
      <c r="F1784" t="inlineStr">
        <is>
          <t>R&amp;R TRANSPORTE E LOGISTICA</t>
        </is>
      </c>
      <c r="G1784" s="27" t="n">
        <v>45917</v>
      </c>
      <c r="H1784" s="14" t="n">
        <v>786</v>
      </c>
      <c r="I1784" s="14" t="n">
        <v>0</v>
      </c>
      <c r="J1784" s="14" t="n">
        <v>0</v>
      </c>
      <c r="K1784" s="14" t="n">
        <v>0</v>
      </c>
      <c r="L1784" s="14" t="n">
        <v>0</v>
      </c>
      <c r="M1784" s="14">
        <f>IF(B1784="Frete de venda",0,(1-ISNUMBER(SEARCH("556",P1784)))*(I1784*VLOOKUP($B1784,Premissas!$A$4:$E$7,2,0)+J1784*VLOOKUP($B1784,Premissas!$A$4:$E$7,3,0))+K1784*VLOOKUP($B1784,Premissas!$A$4:$E$7,4,0)+L1784*VLOOKUP($B1784,Premissas!$A$4:$E$7,5,0))</f>
        <v/>
      </c>
      <c r="N1784" s="14">
        <f>H1784-M1784</f>
        <v/>
      </c>
      <c r="O1784" t="inlineStr">
        <is>
          <t>Não</t>
        </is>
      </c>
      <c r="P1784" t="inlineStr">
        <is>
          <t>1.350</t>
        </is>
      </c>
    </row>
    <row r="1785">
      <c r="A1785" t="inlineStr">
        <is>
          <t>Antes de 2026</t>
        </is>
      </c>
      <c r="B1785" t="inlineStr">
        <is>
          <t>Frete de venda</t>
        </is>
      </c>
      <c r="C1785" t="inlineStr">
        <is>
          <t>Frete de venda (para clientes)</t>
        </is>
      </c>
      <c r="D1785" t="inlineStr">
        <is>
          <t>CT-e</t>
        </is>
      </c>
      <c r="E1785" t="inlineStr">
        <is>
          <t>000005741</t>
        </is>
      </c>
      <c r="F1785" t="inlineStr">
        <is>
          <t>R&amp;R TRANSPORTE E LOGISTICA</t>
        </is>
      </c>
      <c r="G1785" s="27" t="n">
        <v>45978</v>
      </c>
      <c r="H1785" s="14" t="n">
        <v>786</v>
      </c>
      <c r="I1785" s="14" t="n">
        <v>0</v>
      </c>
      <c r="J1785" s="14" t="n">
        <v>0</v>
      </c>
      <c r="K1785" s="14" t="n">
        <v>0</v>
      </c>
      <c r="L1785" s="14" t="n">
        <v>0</v>
      </c>
      <c r="M1785" s="14">
        <f>IF(B1785="Frete de venda",0,(1-ISNUMBER(SEARCH("556",P1785)))*(I1785*VLOOKUP($B1785,Premissas!$A$4:$E$7,2,0)+J1785*VLOOKUP($B1785,Premissas!$A$4:$E$7,3,0))+K1785*VLOOKUP($B1785,Premissas!$A$4:$E$7,4,0)+L1785*VLOOKUP($B1785,Premissas!$A$4:$E$7,5,0))</f>
        <v/>
      </c>
      <c r="N1785" s="14">
        <f>H1785-M1785</f>
        <v/>
      </c>
      <c r="O1785" t="inlineStr">
        <is>
          <t>Não</t>
        </is>
      </c>
      <c r="P1785" t="inlineStr">
        <is>
          <t>1.350</t>
        </is>
      </c>
    </row>
    <row r="1786">
      <c r="A1786" t="inlineStr">
        <is>
          <t>Antes de 2026</t>
        </is>
      </c>
      <c r="B1786" t="inlineStr">
        <is>
          <t>Frete de venda</t>
        </is>
      </c>
      <c r="C1786" t="inlineStr">
        <is>
          <t>Frete de venda (para clientes)</t>
        </is>
      </c>
      <c r="D1786" t="inlineStr">
        <is>
          <t>CT-e</t>
        </is>
      </c>
      <c r="E1786" t="inlineStr">
        <is>
          <t>000005348</t>
        </is>
      </c>
      <c r="F1786" t="inlineStr">
        <is>
          <t>R&amp;R TRANSPORTE E LOGISTICA</t>
        </is>
      </c>
      <c r="G1786" s="27" t="n">
        <v>45929</v>
      </c>
      <c r="H1786" s="14" t="n">
        <v>32.88</v>
      </c>
      <c r="I1786" s="14" t="n">
        <v>0</v>
      </c>
      <c r="J1786" s="14" t="n">
        <v>0</v>
      </c>
      <c r="K1786" s="14" t="n">
        <v>0</v>
      </c>
      <c r="L1786" s="14" t="n">
        <v>0</v>
      </c>
      <c r="M1786" s="14">
        <f>IF(B1786="Frete de venda",0,(1-ISNUMBER(SEARCH("556",P1786)))*(I1786*VLOOKUP($B1786,Premissas!$A$4:$E$7,2,0)+J1786*VLOOKUP($B1786,Premissas!$A$4:$E$7,3,0))+K1786*VLOOKUP($B1786,Premissas!$A$4:$E$7,4,0)+L1786*VLOOKUP($B1786,Premissas!$A$4:$E$7,5,0))</f>
        <v/>
      </c>
      <c r="N1786" s="14">
        <f>H1786-M1786</f>
        <v/>
      </c>
      <c r="O1786" t="inlineStr">
        <is>
          <t>Não</t>
        </is>
      </c>
      <c r="P1786" t="inlineStr">
        <is>
          <t>1.350</t>
        </is>
      </c>
    </row>
    <row r="1787">
      <c r="A1787" t="inlineStr">
        <is>
          <t>Antes de 2026</t>
        </is>
      </c>
      <c r="B1787" t="inlineStr">
        <is>
          <t>Frete de venda</t>
        </is>
      </c>
      <c r="C1787" t="inlineStr">
        <is>
          <t>Frete de venda (para clientes)</t>
        </is>
      </c>
      <c r="D1787" t="inlineStr">
        <is>
          <t>CT-e</t>
        </is>
      </c>
      <c r="E1787" t="inlineStr">
        <is>
          <t>000005101</t>
        </is>
      </c>
      <c r="F1787" t="inlineStr">
        <is>
          <t>R&amp;R TRANSPORTE E LOGISTICA</t>
        </is>
      </c>
      <c r="G1787" s="27" t="n">
        <v>45901</v>
      </c>
      <c r="H1787" s="14" t="n">
        <v>40.53</v>
      </c>
      <c r="I1787" s="14" t="n">
        <v>0</v>
      </c>
      <c r="J1787" s="14" t="n">
        <v>0</v>
      </c>
      <c r="K1787" s="14" t="n">
        <v>0</v>
      </c>
      <c r="L1787" s="14" t="n">
        <v>0</v>
      </c>
      <c r="M1787" s="14">
        <f>IF(B1787="Frete de venda",0,(1-ISNUMBER(SEARCH("556",P1787)))*(I1787*VLOOKUP($B1787,Premissas!$A$4:$E$7,2,0)+J1787*VLOOKUP($B1787,Premissas!$A$4:$E$7,3,0))+K1787*VLOOKUP($B1787,Premissas!$A$4:$E$7,4,0)+L1787*VLOOKUP($B1787,Premissas!$A$4:$E$7,5,0))</f>
        <v/>
      </c>
      <c r="N1787" s="14">
        <f>H1787-M1787</f>
        <v/>
      </c>
      <c r="O1787" t="inlineStr">
        <is>
          <t>Não</t>
        </is>
      </c>
      <c r="P1787" t="inlineStr">
        <is>
          <t>1.350</t>
        </is>
      </c>
    </row>
    <row r="1788">
      <c r="A1788" t="inlineStr">
        <is>
          <t>Antes de 2026</t>
        </is>
      </c>
      <c r="B1788" t="inlineStr">
        <is>
          <t>Frete de venda</t>
        </is>
      </c>
      <c r="C1788" t="inlineStr">
        <is>
          <t>Frete de venda (para clientes)</t>
        </is>
      </c>
      <c r="D1788" t="inlineStr">
        <is>
          <t>CT-e</t>
        </is>
      </c>
      <c r="E1788" t="inlineStr">
        <is>
          <t>000005360</t>
        </is>
      </c>
      <c r="F1788" t="inlineStr">
        <is>
          <t>R&amp;R TRANSPORTE E LOGISTICA</t>
        </is>
      </c>
      <c r="G1788" s="27" t="n">
        <v>45929</v>
      </c>
      <c r="H1788" s="14" t="n">
        <v>600</v>
      </c>
      <c r="I1788" s="14" t="n">
        <v>0</v>
      </c>
      <c r="J1788" s="14" t="n">
        <v>0</v>
      </c>
      <c r="K1788" s="14" t="n">
        <v>0</v>
      </c>
      <c r="L1788" s="14" t="n">
        <v>0</v>
      </c>
      <c r="M1788" s="14">
        <f>IF(B1788="Frete de venda",0,(1-ISNUMBER(SEARCH("556",P1788)))*(I1788*VLOOKUP($B1788,Premissas!$A$4:$E$7,2,0)+J1788*VLOOKUP($B1788,Premissas!$A$4:$E$7,3,0))+K1788*VLOOKUP($B1788,Premissas!$A$4:$E$7,4,0)+L1788*VLOOKUP($B1788,Premissas!$A$4:$E$7,5,0))</f>
        <v/>
      </c>
      <c r="N1788" s="14">
        <f>H1788-M1788</f>
        <v/>
      </c>
      <c r="O1788" t="inlineStr">
        <is>
          <t>Não</t>
        </is>
      </c>
      <c r="P1788" t="inlineStr">
        <is>
          <t>1.350</t>
        </is>
      </c>
    </row>
    <row r="1789">
      <c r="A1789" t="inlineStr">
        <is>
          <t>Antes de 2026</t>
        </is>
      </c>
      <c r="B1789" t="inlineStr">
        <is>
          <t>Frete de venda</t>
        </is>
      </c>
      <c r="C1789" t="inlineStr">
        <is>
          <t>Frete de venda (para clientes)</t>
        </is>
      </c>
      <c r="D1789" t="inlineStr">
        <is>
          <t>CT-e</t>
        </is>
      </c>
      <c r="E1789" t="inlineStr">
        <is>
          <t>000005618</t>
        </is>
      </c>
      <c r="F1789" t="inlineStr">
        <is>
          <t>R&amp;R TRANSPORTE E LOGISTICA</t>
        </is>
      </c>
      <c r="G1789" s="27" t="n">
        <v>45959</v>
      </c>
      <c r="H1789" s="14" t="n">
        <v>750</v>
      </c>
      <c r="I1789" s="14" t="n">
        <v>0</v>
      </c>
      <c r="J1789" s="14" t="n">
        <v>0</v>
      </c>
      <c r="K1789" s="14" t="n">
        <v>0</v>
      </c>
      <c r="L1789" s="14" t="n">
        <v>0</v>
      </c>
      <c r="M1789" s="14">
        <f>IF(B1789="Frete de venda",0,(1-ISNUMBER(SEARCH("556",P1789)))*(I1789*VLOOKUP($B1789,Premissas!$A$4:$E$7,2,0)+J1789*VLOOKUP($B1789,Premissas!$A$4:$E$7,3,0))+K1789*VLOOKUP($B1789,Premissas!$A$4:$E$7,4,0)+L1789*VLOOKUP($B1789,Premissas!$A$4:$E$7,5,0))</f>
        <v/>
      </c>
      <c r="N1789" s="14">
        <f>H1789-M1789</f>
        <v/>
      </c>
      <c r="O1789" t="inlineStr">
        <is>
          <t>Não</t>
        </is>
      </c>
      <c r="P1789" t="inlineStr">
        <is>
          <t>1.350</t>
        </is>
      </c>
    </row>
    <row r="1790">
      <c r="A1790" t="inlineStr">
        <is>
          <t>Antes de 2026</t>
        </is>
      </c>
      <c r="B1790" t="inlineStr">
        <is>
          <t>Frete de venda</t>
        </is>
      </c>
      <c r="C1790" t="inlineStr">
        <is>
          <t>Frete de venda (para clientes)</t>
        </is>
      </c>
      <c r="D1790" t="inlineStr">
        <is>
          <t>CT-e</t>
        </is>
      </c>
      <c r="E1790" t="inlineStr">
        <is>
          <t>000005656</t>
        </is>
      </c>
      <c r="F1790" t="inlineStr">
        <is>
          <t>R&amp;R TRANSPORTE E LOGISTICA</t>
        </is>
      </c>
      <c r="G1790" s="27" t="n">
        <v>45961</v>
      </c>
      <c r="H1790" s="14" t="n">
        <v>600</v>
      </c>
      <c r="I1790" s="14" t="n">
        <v>0</v>
      </c>
      <c r="J1790" s="14" t="n">
        <v>0</v>
      </c>
      <c r="K1790" s="14" t="n">
        <v>0</v>
      </c>
      <c r="L1790" s="14" t="n">
        <v>0</v>
      </c>
      <c r="M1790" s="14">
        <f>IF(B1790="Frete de venda",0,(1-ISNUMBER(SEARCH("556",P1790)))*(I1790*VLOOKUP($B1790,Premissas!$A$4:$E$7,2,0)+J1790*VLOOKUP($B1790,Premissas!$A$4:$E$7,3,0))+K1790*VLOOKUP($B1790,Premissas!$A$4:$E$7,4,0)+L1790*VLOOKUP($B1790,Premissas!$A$4:$E$7,5,0))</f>
        <v/>
      </c>
      <c r="N1790" s="14">
        <f>H1790-M1790</f>
        <v/>
      </c>
      <c r="O1790" t="inlineStr">
        <is>
          <t>Não</t>
        </is>
      </c>
      <c r="P1790" t="inlineStr">
        <is>
          <t>1.350</t>
        </is>
      </c>
    </row>
    <row r="1791">
      <c r="A1791" t="inlineStr">
        <is>
          <t>Antes de 2026</t>
        </is>
      </c>
      <c r="B1791" t="inlineStr">
        <is>
          <t>Frete de venda</t>
        </is>
      </c>
      <c r="C1791" t="inlineStr">
        <is>
          <t>Frete de venda (para clientes)</t>
        </is>
      </c>
      <c r="D1791" t="inlineStr">
        <is>
          <t>CT-e</t>
        </is>
      </c>
      <c r="E1791" t="inlineStr">
        <is>
          <t>000005887</t>
        </is>
      </c>
      <c r="F1791" t="inlineStr">
        <is>
          <t>R&amp;R TRANSPORTE E LOGISTICA</t>
        </is>
      </c>
      <c r="G1791" s="27" t="n">
        <v>45992</v>
      </c>
      <c r="H1791" s="14" t="n">
        <v>300</v>
      </c>
      <c r="I1791" s="14" t="n">
        <v>0</v>
      </c>
      <c r="J1791" s="14" t="n">
        <v>0</v>
      </c>
      <c r="K1791" s="14" t="n">
        <v>0</v>
      </c>
      <c r="L1791" s="14" t="n">
        <v>0</v>
      </c>
      <c r="M1791" s="14">
        <f>IF(B1791="Frete de venda",0,(1-ISNUMBER(SEARCH("556",P1791)))*(I1791*VLOOKUP($B1791,Premissas!$A$4:$E$7,2,0)+J1791*VLOOKUP($B1791,Premissas!$A$4:$E$7,3,0))+K1791*VLOOKUP($B1791,Premissas!$A$4:$E$7,4,0)+L1791*VLOOKUP($B1791,Premissas!$A$4:$E$7,5,0))</f>
        <v/>
      </c>
      <c r="N1791" s="14">
        <f>H1791-M1791</f>
        <v/>
      </c>
      <c r="O1791" t="inlineStr">
        <is>
          <t>Não</t>
        </is>
      </c>
      <c r="P1791" t="inlineStr">
        <is>
          <t>1.350</t>
        </is>
      </c>
    </row>
    <row r="1792">
      <c r="A1792" t="inlineStr">
        <is>
          <t>Antes de 2026</t>
        </is>
      </c>
      <c r="B1792" t="inlineStr">
        <is>
          <t>Frete de venda</t>
        </is>
      </c>
      <c r="C1792" t="inlineStr">
        <is>
          <t>Frete de venda (para clientes)</t>
        </is>
      </c>
      <c r="D1792" t="inlineStr">
        <is>
          <t>CT-e</t>
        </is>
      </c>
      <c r="E1792" t="inlineStr">
        <is>
          <t>000006065</t>
        </is>
      </c>
      <c r="F1792" t="inlineStr">
        <is>
          <t>R&amp;R TRANSPORTE E LOGISTICA</t>
        </is>
      </c>
      <c r="G1792" s="27" t="n">
        <v>46018</v>
      </c>
      <c r="H1792" s="14" t="n">
        <v>3700</v>
      </c>
      <c r="I1792" s="14" t="n">
        <v>0</v>
      </c>
      <c r="J1792" s="14" t="n">
        <v>0</v>
      </c>
      <c r="K1792" s="14" t="n">
        <v>0</v>
      </c>
      <c r="L1792" s="14" t="n">
        <v>0</v>
      </c>
      <c r="M1792" s="14">
        <f>IF(B1792="Frete de venda",0,(1-ISNUMBER(SEARCH("556",P1792)))*(I1792*VLOOKUP($B1792,Premissas!$A$4:$E$7,2,0)+J1792*VLOOKUP($B1792,Premissas!$A$4:$E$7,3,0))+K1792*VLOOKUP($B1792,Premissas!$A$4:$E$7,4,0)+L1792*VLOOKUP($B1792,Premissas!$A$4:$E$7,5,0))</f>
        <v/>
      </c>
      <c r="N1792" s="14">
        <f>H1792-M1792</f>
        <v/>
      </c>
      <c r="O1792" t="inlineStr">
        <is>
          <t>Não</t>
        </is>
      </c>
      <c r="P1792" t="inlineStr">
        <is>
          <t>1.350</t>
        </is>
      </c>
    </row>
    <row r="1793">
      <c r="A1793" t="inlineStr">
        <is>
          <t>Antes de 2026</t>
        </is>
      </c>
      <c r="B1793" t="inlineStr">
        <is>
          <t>Frete de venda</t>
        </is>
      </c>
      <c r="C1793" t="inlineStr">
        <is>
          <t>Frete de venda (para clientes)</t>
        </is>
      </c>
      <c r="D1793" t="inlineStr">
        <is>
          <t>CT-e</t>
        </is>
      </c>
      <c r="E1793" t="inlineStr">
        <is>
          <t>000005077</t>
        </is>
      </c>
      <c r="F1793" t="inlineStr">
        <is>
          <t>R&amp;R TRANSPORTE E LOGISTICA</t>
        </is>
      </c>
      <c r="G1793" s="27" t="n">
        <v>45898</v>
      </c>
      <c r="H1793" s="14" t="n">
        <v>27.74</v>
      </c>
      <c r="I1793" s="14" t="n">
        <v>0</v>
      </c>
      <c r="J1793" s="14" t="n">
        <v>0</v>
      </c>
      <c r="K1793" s="14" t="n">
        <v>0</v>
      </c>
      <c r="L1793" s="14" t="n">
        <v>0</v>
      </c>
      <c r="M1793" s="14">
        <f>IF(B1793="Frete de venda",0,(1-ISNUMBER(SEARCH("556",P1793)))*(I1793*VLOOKUP($B1793,Premissas!$A$4:$E$7,2,0)+J1793*VLOOKUP($B1793,Premissas!$A$4:$E$7,3,0))+K1793*VLOOKUP($B1793,Premissas!$A$4:$E$7,4,0)+L1793*VLOOKUP($B1793,Premissas!$A$4:$E$7,5,0))</f>
        <v/>
      </c>
      <c r="N1793" s="14">
        <f>H1793-M1793</f>
        <v/>
      </c>
      <c r="O1793" t="inlineStr">
        <is>
          <t>Não</t>
        </is>
      </c>
      <c r="P1793" t="inlineStr">
        <is>
          <t>1.350</t>
        </is>
      </c>
    </row>
    <row r="1794">
      <c r="A1794" t="inlineStr">
        <is>
          <t>Antes de 2026</t>
        </is>
      </c>
      <c r="B1794" t="inlineStr">
        <is>
          <t>Frete de venda</t>
        </is>
      </c>
      <c r="C1794" t="inlineStr">
        <is>
          <t>Frete de venda (para clientes)</t>
        </is>
      </c>
      <c r="D1794" t="inlineStr">
        <is>
          <t>CT-e</t>
        </is>
      </c>
      <c r="E1794" t="inlineStr">
        <is>
          <t>000005350</t>
        </is>
      </c>
      <c r="F1794" t="inlineStr">
        <is>
          <t>R&amp;R TRANSPORTE E LOGISTICA</t>
        </is>
      </c>
      <c r="G1794" s="27" t="n">
        <v>45929</v>
      </c>
      <c r="H1794" s="14" t="n">
        <v>48.57</v>
      </c>
      <c r="I1794" s="14" t="n">
        <v>0</v>
      </c>
      <c r="J1794" s="14" t="n">
        <v>0</v>
      </c>
      <c r="K1794" s="14" t="n">
        <v>0</v>
      </c>
      <c r="L1794" s="14" t="n">
        <v>0</v>
      </c>
      <c r="M1794" s="14">
        <f>IF(B1794="Frete de venda",0,(1-ISNUMBER(SEARCH("556",P1794)))*(I1794*VLOOKUP($B1794,Premissas!$A$4:$E$7,2,0)+J1794*VLOOKUP($B1794,Premissas!$A$4:$E$7,3,0))+K1794*VLOOKUP($B1794,Premissas!$A$4:$E$7,4,0)+L1794*VLOOKUP($B1794,Premissas!$A$4:$E$7,5,0))</f>
        <v/>
      </c>
      <c r="N1794" s="14">
        <f>H1794-M1794</f>
        <v/>
      </c>
      <c r="O1794" t="inlineStr">
        <is>
          <t>Não</t>
        </is>
      </c>
      <c r="P1794" t="inlineStr">
        <is>
          <t>1.350</t>
        </is>
      </c>
    </row>
    <row r="1795">
      <c r="A1795" t="inlineStr">
        <is>
          <t>Antes de 2026</t>
        </is>
      </c>
      <c r="B1795" t="inlineStr">
        <is>
          <t>Frete de venda</t>
        </is>
      </c>
      <c r="C1795" t="inlineStr">
        <is>
          <t>Frete de venda (para clientes)</t>
        </is>
      </c>
      <c r="D1795" t="inlineStr">
        <is>
          <t>CT-e</t>
        </is>
      </c>
      <c r="E1795" t="inlineStr">
        <is>
          <t>000005180</t>
        </is>
      </c>
      <c r="F1795" t="inlineStr">
        <is>
          <t>R&amp;R TRANSPORTE E LOGISTICA</t>
        </is>
      </c>
      <c r="G1795" s="27" t="n">
        <v>45913</v>
      </c>
      <c r="H1795" s="14" t="n">
        <v>32.16</v>
      </c>
      <c r="I1795" s="14" t="n">
        <v>0</v>
      </c>
      <c r="J1795" s="14" t="n">
        <v>0</v>
      </c>
      <c r="K1795" s="14" t="n">
        <v>0</v>
      </c>
      <c r="L1795" s="14" t="n">
        <v>0</v>
      </c>
      <c r="M1795" s="14">
        <f>IF(B1795="Frete de venda",0,(1-ISNUMBER(SEARCH("556",P1795)))*(I1795*VLOOKUP($B1795,Premissas!$A$4:$E$7,2,0)+J1795*VLOOKUP($B1795,Premissas!$A$4:$E$7,3,0))+K1795*VLOOKUP($B1795,Premissas!$A$4:$E$7,4,0)+L1795*VLOOKUP($B1795,Premissas!$A$4:$E$7,5,0))</f>
        <v/>
      </c>
      <c r="N1795" s="14">
        <f>H1795-M1795</f>
        <v/>
      </c>
      <c r="O1795" t="inlineStr">
        <is>
          <t>Não</t>
        </is>
      </c>
      <c r="P1795" t="inlineStr">
        <is>
          <t>1.350</t>
        </is>
      </c>
    </row>
    <row r="1796">
      <c r="A1796" t="inlineStr">
        <is>
          <t>Antes de 2026</t>
        </is>
      </c>
      <c r="B1796" t="inlineStr">
        <is>
          <t>Frete de venda</t>
        </is>
      </c>
      <c r="C1796" t="inlineStr">
        <is>
          <t>Frete de venda (para clientes)</t>
        </is>
      </c>
      <c r="D1796" t="inlineStr">
        <is>
          <t>CT-e</t>
        </is>
      </c>
      <c r="E1796" t="inlineStr">
        <is>
          <t>000004999</t>
        </is>
      </c>
      <c r="F1796" t="inlineStr">
        <is>
          <t>R&amp;R TRANSPORTE E LOGISTICA</t>
        </is>
      </c>
      <c r="G1796" s="27" t="n">
        <v>45894</v>
      </c>
      <c r="H1796" s="14" t="n">
        <v>35.56</v>
      </c>
      <c r="I1796" s="14" t="n">
        <v>0</v>
      </c>
      <c r="J1796" s="14" t="n">
        <v>0</v>
      </c>
      <c r="K1796" s="14" t="n">
        <v>0</v>
      </c>
      <c r="L1796" s="14" t="n">
        <v>0</v>
      </c>
      <c r="M1796" s="14">
        <f>IF(B1796="Frete de venda",0,(1-ISNUMBER(SEARCH("556",P1796)))*(I1796*VLOOKUP($B1796,Premissas!$A$4:$E$7,2,0)+J1796*VLOOKUP($B1796,Premissas!$A$4:$E$7,3,0))+K1796*VLOOKUP($B1796,Premissas!$A$4:$E$7,4,0)+L1796*VLOOKUP($B1796,Premissas!$A$4:$E$7,5,0))</f>
        <v/>
      </c>
      <c r="N1796" s="14">
        <f>H1796-M1796</f>
        <v/>
      </c>
      <c r="O1796" t="inlineStr">
        <is>
          <t>Não</t>
        </is>
      </c>
      <c r="P1796" t="inlineStr">
        <is>
          <t>1.350</t>
        </is>
      </c>
    </row>
    <row r="1797">
      <c r="A1797" t="inlineStr">
        <is>
          <t>Antes de 2026</t>
        </is>
      </c>
      <c r="B1797" t="inlineStr">
        <is>
          <t>Frete de venda</t>
        </is>
      </c>
      <c r="C1797" t="inlineStr">
        <is>
          <t>Frete de venda (para clientes)</t>
        </is>
      </c>
      <c r="D1797" t="inlineStr">
        <is>
          <t>CT-e</t>
        </is>
      </c>
      <c r="E1797" t="inlineStr">
        <is>
          <t>000005725</t>
        </is>
      </c>
      <c r="F1797" t="inlineStr">
        <is>
          <t>R&amp;R TRANSPORTE E LOGISTICA</t>
        </is>
      </c>
      <c r="G1797" s="27" t="n">
        <v>45974</v>
      </c>
      <c r="H1797" s="14" t="n">
        <v>40</v>
      </c>
      <c r="I1797" s="14" t="n">
        <v>0</v>
      </c>
      <c r="J1797" s="14" t="n">
        <v>0</v>
      </c>
      <c r="K1797" s="14" t="n">
        <v>0</v>
      </c>
      <c r="L1797" s="14" t="n">
        <v>0</v>
      </c>
      <c r="M1797" s="14">
        <f>IF(B1797="Frete de venda",0,(1-ISNUMBER(SEARCH("556",P1797)))*(I1797*VLOOKUP($B1797,Premissas!$A$4:$E$7,2,0)+J1797*VLOOKUP($B1797,Premissas!$A$4:$E$7,3,0))+K1797*VLOOKUP($B1797,Premissas!$A$4:$E$7,4,0)+L1797*VLOOKUP($B1797,Premissas!$A$4:$E$7,5,0))</f>
        <v/>
      </c>
      <c r="N1797" s="14">
        <f>H1797-M1797</f>
        <v/>
      </c>
      <c r="O1797" t="inlineStr">
        <is>
          <t>Não</t>
        </is>
      </c>
      <c r="P1797" t="inlineStr">
        <is>
          <t>1.350</t>
        </is>
      </c>
    </row>
    <row r="1798">
      <c r="A1798" t="inlineStr">
        <is>
          <t>Antes de 2026</t>
        </is>
      </c>
      <c r="B1798" t="inlineStr">
        <is>
          <t>Frete de venda</t>
        </is>
      </c>
      <c r="C1798" t="inlineStr">
        <is>
          <t>Frete de venda (para clientes)</t>
        </is>
      </c>
      <c r="D1798" t="inlineStr">
        <is>
          <t>CT-e</t>
        </is>
      </c>
      <c r="E1798" t="inlineStr">
        <is>
          <t>000004226</t>
        </is>
      </c>
      <c r="F1798" t="inlineStr">
        <is>
          <t>R&amp;R TRANSPORTE E LOGISTICA</t>
        </is>
      </c>
      <c r="G1798" s="27" t="n">
        <v>45791</v>
      </c>
      <c r="H1798" s="14" t="n">
        <v>46.61</v>
      </c>
      <c r="I1798" s="14" t="n">
        <v>0</v>
      </c>
      <c r="J1798" s="14" t="n">
        <v>0</v>
      </c>
      <c r="K1798" s="14" t="n">
        <v>0</v>
      </c>
      <c r="L1798" s="14" t="n">
        <v>0</v>
      </c>
      <c r="M1798" s="14">
        <f>IF(B1798="Frete de venda",0,(1-ISNUMBER(SEARCH("556",P1798)))*(I1798*VLOOKUP($B1798,Premissas!$A$4:$E$7,2,0)+J1798*VLOOKUP($B1798,Premissas!$A$4:$E$7,3,0))+K1798*VLOOKUP($B1798,Premissas!$A$4:$E$7,4,0)+L1798*VLOOKUP($B1798,Premissas!$A$4:$E$7,5,0))</f>
        <v/>
      </c>
      <c r="N1798" s="14">
        <f>H1798-M1798</f>
        <v/>
      </c>
      <c r="O1798" t="inlineStr">
        <is>
          <t>Não</t>
        </is>
      </c>
      <c r="P1798" t="inlineStr">
        <is>
          <t>1.350</t>
        </is>
      </c>
    </row>
    <row r="1799">
      <c r="A1799" t="inlineStr">
        <is>
          <t>Antes de 2026</t>
        </is>
      </c>
      <c r="B1799" t="inlineStr">
        <is>
          <t>Frete de venda</t>
        </is>
      </c>
      <c r="C1799" t="inlineStr">
        <is>
          <t>Frete de venda (para clientes)</t>
        </is>
      </c>
      <c r="D1799" t="inlineStr">
        <is>
          <t>CT-e</t>
        </is>
      </c>
      <c r="E1799" t="inlineStr">
        <is>
          <t>000004670</t>
        </is>
      </c>
      <c r="F1799" t="inlineStr">
        <is>
          <t>R&amp;R TRANSPORTE E LOGISTICA</t>
        </is>
      </c>
      <c r="G1799" s="27" t="n">
        <v>45855</v>
      </c>
      <c r="H1799" s="14" t="n">
        <v>46.88</v>
      </c>
      <c r="I1799" s="14" t="n">
        <v>0</v>
      </c>
      <c r="J1799" s="14" t="n">
        <v>0</v>
      </c>
      <c r="K1799" s="14" t="n">
        <v>0</v>
      </c>
      <c r="L1799" s="14" t="n">
        <v>0</v>
      </c>
      <c r="M1799" s="14">
        <f>IF(B1799="Frete de venda",0,(1-ISNUMBER(SEARCH("556",P1799)))*(I1799*VLOOKUP($B1799,Premissas!$A$4:$E$7,2,0)+J1799*VLOOKUP($B1799,Premissas!$A$4:$E$7,3,0))+K1799*VLOOKUP($B1799,Premissas!$A$4:$E$7,4,0)+L1799*VLOOKUP($B1799,Premissas!$A$4:$E$7,5,0))</f>
        <v/>
      </c>
      <c r="N1799" s="14">
        <f>H1799-M1799</f>
        <v/>
      </c>
      <c r="O1799" t="inlineStr">
        <is>
          <t>Não</t>
        </is>
      </c>
      <c r="P1799" t="inlineStr">
        <is>
          <t>1.350</t>
        </is>
      </c>
    </row>
    <row r="1800">
      <c r="A1800" t="inlineStr">
        <is>
          <t>Antes de 2026</t>
        </is>
      </c>
      <c r="B1800" t="inlineStr">
        <is>
          <t>Frete de venda</t>
        </is>
      </c>
      <c r="C1800" t="inlineStr">
        <is>
          <t>Frete de venda (para clientes)</t>
        </is>
      </c>
      <c r="D1800" t="inlineStr">
        <is>
          <t>CT-e</t>
        </is>
      </c>
      <c r="E1800" t="inlineStr">
        <is>
          <t>000005024</t>
        </is>
      </c>
      <c r="F1800" t="inlineStr">
        <is>
          <t>R&amp;R TRANSPORTE E LOGISTICA</t>
        </is>
      </c>
      <c r="G1800" s="27" t="n">
        <v>45895</v>
      </c>
      <c r="H1800" s="14" t="n">
        <v>25.9</v>
      </c>
      <c r="I1800" s="14" t="n">
        <v>0</v>
      </c>
      <c r="J1800" s="14" t="n">
        <v>0</v>
      </c>
      <c r="K1800" s="14" t="n">
        <v>0</v>
      </c>
      <c r="L1800" s="14" t="n">
        <v>0</v>
      </c>
      <c r="M1800" s="14">
        <f>IF(B1800="Frete de venda",0,(1-ISNUMBER(SEARCH("556",P1800)))*(I1800*VLOOKUP($B1800,Premissas!$A$4:$E$7,2,0)+J1800*VLOOKUP($B1800,Premissas!$A$4:$E$7,3,0))+K1800*VLOOKUP($B1800,Premissas!$A$4:$E$7,4,0)+L1800*VLOOKUP($B1800,Premissas!$A$4:$E$7,5,0))</f>
        <v/>
      </c>
      <c r="N1800" s="14">
        <f>H1800-M1800</f>
        <v/>
      </c>
      <c r="O1800" t="inlineStr">
        <is>
          <t>Não</t>
        </is>
      </c>
      <c r="P1800" t="inlineStr">
        <is>
          <t>1.350</t>
        </is>
      </c>
    </row>
    <row r="1801">
      <c r="A1801" t="inlineStr">
        <is>
          <t>Antes de 2026</t>
        </is>
      </c>
      <c r="B1801" t="inlineStr">
        <is>
          <t>Frete de venda</t>
        </is>
      </c>
      <c r="C1801" t="inlineStr">
        <is>
          <t>Frete de venda (para clientes)</t>
        </is>
      </c>
      <c r="D1801" t="inlineStr">
        <is>
          <t>CT-e</t>
        </is>
      </c>
      <c r="E1801" t="inlineStr">
        <is>
          <t>000005801</t>
        </is>
      </c>
      <c r="F1801" t="inlineStr">
        <is>
          <t>R&amp;R TRANSPORTE E LOGISTICA</t>
        </is>
      </c>
      <c r="G1801" s="27" t="n">
        <v>45981</v>
      </c>
      <c r="H1801" s="14" t="n">
        <v>11.97</v>
      </c>
      <c r="I1801" s="14" t="n">
        <v>0</v>
      </c>
      <c r="J1801" s="14" t="n">
        <v>0</v>
      </c>
      <c r="K1801" s="14" t="n">
        <v>0</v>
      </c>
      <c r="L1801" s="14" t="n">
        <v>0</v>
      </c>
      <c r="M1801" s="14">
        <f>IF(B1801="Frete de venda",0,(1-ISNUMBER(SEARCH("556",P1801)))*(I1801*VLOOKUP($B1801,Premissas!$A$4:$E$7,2,0)+J1801*VLOOKUP($B1801,Premissas!$A$4:$E$7,3,0))+K1801*VLOOKUP($B1801,Premissas!$A$4:$E$7,4,0)+L1801*VLOOKUP($B1801,Premissas!$A$4:$E$7,5,0))</f>
        <v/>
      </c>
      <c r="N1801" s="14">
        <f>H1801-M1801</f>
        <v/>
      </c>
      <c r="O1801" t="inlineStr">
        <is>
          <t>Não</t>
        </is>
      </c>
      <c r="P1801" t="inlineStr">
        <is>
          <t>1.350</t>
        </is>
      </c>
    </row>
    <row r="1802">
      <c r="A1802" t="inlineStr">
        <is>
          <t>Antes de 2026</t>
        </is>
      </c>
      <c r="B1802" t="inlineStr">
        <is>
          <t>Frete de venda</t>
        </is>
      </c>
      <c r="C1802" t="inlineStr">
        <is>
          <t>Frete de venda (para clientes)</t>
        </is>
      </c>
      <c r="D1802" t="inlineStr">
        <is>
          <t>CT-e</t>
        </is>
      </c>
      <c r="E1802" t="inlineStr">
        <is>
          <t>000004599</t>
        </is>
      </c>
      <c r="F1802" t="inlineStr">
        <is>
          <t>R&amp;R TRANSPORTE E LOGISTICA</t>
        </is>
      </c>
      <c r="G1802" s="27" t="n">
        <v>45843</v>
      </c>
      <c r="H1802" s="14" t="n">
        <v>131</v>
      </c>
      <c r="I1802" s="14" t="n">
        <v>0</v>
      </c>
      <c r="J1802" s="14" t="n">
        <v>0</v>
      </c>
      <c r="K1802" s="14" t="n">
        <v>0</v>
      </c>
      <c r="L1802" s="14" t="n">
        <v>0</v>
      </c>
      <c r="M1802" s="14">
        <f>IF(B1802="Frete de venda",0,(1-ISNUMBER(SEARCH("556",P1802)))*(I1802*VLOOKUP($B1802,Premissas!$A$4:$E$7,2,0)+J1802*VLOOKUP($B1802,Premissas!$A$4:$E$7,3,0))+K1802*VLOOKUP($B1802,Premissas!$A$4:$E$7,4,0)+L1802*VLOOKUP($B1802,Premissas!$A$4:$E$7,5,0))</f>
        <v/>
      </c>
      <c r="N1802" s="14">
        <f>H1802-M1802</f>
        <v/>
      </c>
      <c r="O1802" t="inlineStr">
        <is>
          <t>Não</t>
        </is>
      </c>
      <c r="P1802" t="inlineStr">
        <is>
          <t>1.350</t>
        </is>
      </c>
    </row>
    <row r="1803">
      <c r="A1803" t="inlineStr">
        <is>
          <t>Antes de 2026</t>
        </is>
      </c>
      <c r="B1803" t="inlineStr">
        <is>
          <t>Frete de venda</t>
        </is>
      </c>
      <c r="C1803" t="inlineStr">
        <is>
          <t>Frete de venda (para clientes)</t>
        </is>
      </c>
      <c r="D1803" t="inlineStr">
        <is>
          <t>CT-e</t>
        </is>
      </c>
      <c r="E1803" t="inlineStr">
        <is>
          <t>000005710</t>
        </is>
      </c>
      <c r="F1803" t="inlineStr">
        <is>
          <t>R&amp;R TRANSPORTE E LOGISTICA</t>
        </is>
      </c>
      <c r="G1803" s="27" t="n">
        <v>45972</v>
      </c>
      <c r="H1803" s="14" t="n">
        <v>467</v>
      </c>
      <c r="I1803" s="14" t="n">
        <v>0</v>
      </c>
      <c r="J1803" s="14" t="n">
        <v>0</v>
      </c>
      <c r="K1803" s="14" t="n">
        <v>0</v>
      </c>
      <c r="L1803" s="14" t="n">
        <v>0</v>
      </c>
      <c r="M1803" s="14">
        <f>IF(B1803="Frete de venda",0,(1-ISNUMBER(SEARCH("556",P1803)))*(I1803*VLOOKUP($B1803,Premissas!$A$4:$E$7,2,0)+J1803*VLOOKUP($B1803,Premissas!$A$4:$E$7,3,0))+K1803*VLOOKUP($B1803,Premissas!$A$4:$E$7,4,0)+L1803*VLOOKUP($B1803,Premissas!$A$4:$E$7,5,0))</f>
        <v/>
      </c>
      <c r="N1803" s="14">
        <f>H1803-M1803</f>
        <v/>
      </c>
      <c r="O1803" t="inlineStr">
        <is>
          <t>Não</t>
        </is>
      </c>
      <c r="P1803" t="inlineStr">
        <is>
          <t>1.350</t>
        </is>
      </c>
    </row>
    <row r="1804">
      <c r="A1804" t="inlineStr">
        <is>
          <t>Antes de 2026</t>
        </is>
      </c>
      <c r="B1804" t="inlineStr">
        <is>
          <t>Frete de venda</t>
        </is>
      </c>
      <c r="C1804" t="inlineStr">
        <is>
          <t>Frete de venda (para clientes)</t>
        </is>
      </c>
      <c r="D1804" t="inlineStr">
        <is>
          <t>CT-e</t>
        </is>
      </c>
      <c r="E1804" t="inlineStr">
        <is>
          <t>000006049</t>
        </is>
      </c>
      <c r="F1804" t="inlineStr">
        <is>
          <t>R&amp;R TRANSPORTE E LOGISTICA</t>
        </is>
      </c>
      <c r="G1804" s="27" t="n">
        <v>46014</v>
      </c>
      <c r="H1804" s="14" t="n">
        <v>470</v>
      </c>
      <c r="I1804" s="14" t="n">
        <v>0</v>
      </c>
      <c r="J1804" s="14" t="n">
        <v>0</v>
      </c>
      <c r="K1804" s="14" t="n">
        <v>0</v>
      </c>
      <c r="L1804" s="14" t="n">
        <v>0</v>
      </c>
      <c r="M1804" s="14">
        <f>IF(B1804="Frete de venda",0,(1-ISNUMBER(SEARCH("556",P1804)))*(I1804*VLOOKUP($B1804,Premissas!$A$4:$E$7,2,0)+J1804*VLOOKUP($B1804,Premissas!$A$4:$E$7,3,0))+K1804*VLOOKUP($B1804,Premissas!$A$4:$E$7,4,0)+L1804*VLOOKUP($B1804,Premissas!$A$4:$E$7,5,0))</f>
        <v/>
      </c>
      <c r="N1804" s="14">
        <f>H1804-M1804</f>
        <v/>
      </c>
      <c r="O1804" t="inlineStr">
        <is>
          <t>Não</t>
        </is>
      </c>
      <c r="P1804" t="inlineStr">
        <is>
          <t>1.350</t>
        </is>
      </c>
    </row>
    <row r="1805">
      <c r="A1805" t="inlineStr">
        <is>
          <t>Antes de 2026</t>
        </is>
      </c>
      <c r="B1805" t="inlineStr">
        <is>
          <t>Frete de venda</t>
        </is>
      </c>
      <c r="C1805" t="inlineStr">
        <is>
          <t>Frete de venda (para clientes)</t>
        </is>
      </c>
      <c r="D1805" t="inlineStr">
        <is>
          <t>CT-e</t>
        </is>
      </c>
      <c r="E1805" t="inlineStr">
        <is>
          <t>000006059</t>
        </is>
      </c>
      <c r="F1805" t="inlineStr">
        <is>
          <t>R&amp;R TRANSPORTE E LOGISTICA</t>
        </is>
      </c>
      <c r="G1805" s="27" t="n">
        <v>46015</v>
      </c>
      <c r="H1805" s="14" t="n">
        <v>700</v>
      </c>
      <c r="I1805" s="14" t="n">
        <v>0</v>
      </c>
      <c r="J1805" s="14" t="n">
        <v>0</v>
      </c>
      <c r="K1805" s="14" t="n">
        <v>0</v>
      </c>
      <c r="L1805" s="14" t="n">
        <v>0</v>
      </c>
      <c r="M1805" s="14">
        <f>IF(B1805="Frete de venda",0,(1-ISNUMBER(SEARCH("556",P1805)))*(I1805*VLOOKUP($B1805,Premissas!$A$4:$E$7,2,0)+J1805*VLOOKUP($B1805,Premissas!$A$4:$E$7,3,0))+K1805*VLOOKUP($B1805,Premissas!$A$4:$E$7,4,0)+L1805*VLOOKUP($B1805,Premissas!$A$4:$E$7,5,0))</f>
        <v/>
      </c>
      <c r="N1805" s="14">
        <f>H1805-M1805</f>
        <v/>
      </c>
      <c r="O1805" t="inlineStr">
        <is>
          <t>Não</t>
        </is>
      </c>
      <c r="P1805" t="inlineStr">
        <is>
          <t>1.350</t>
        </is>
      </c>
    </row>
    <row r="1806">
      <c r="A1806" t="inlineStr">
        <is>
          <t>Antes de 2026</t>
        </is>
      </c>
      <c r="B1806" t="inlineStr">
        <is>
          <t>Frete de venda</t>
        </is>
      </c>
      <c r="C1806" t="inlineStr">
        <is>
          <t>Frete de venda (para clientes)</t>
        </is>
      </c>
      <c r="D1806" t="inlineStr">
        <is>
          <t>CT-e</t>
        </is>
      </c>
      <c r="E1806" t="inlineStr">
        <is>
          <t>000005381</t>
        </is>
      </c>
      <c r="F1806" t="inlineStr">
        <is>
          <t>R&amp;R TRANSPORTE E LOGISTICA</t>
        </is>
      </c>
      <c r="G1806" s="27" t="n">
        <v>45932</v>
      </c>
      <c r="H1806" s="14" t="n">
        <v>28.91</v>
      </c>
      <c r="I1806" s="14" t="n">
        <v>0</v>
      </c>
      <c r="J1806" s="14" t="n">
        <v>0</v>
      </c>
      <c r="K1806" s="14" t="n">
        <v>0</v>
      </c>
      <c r="L1806" s="14" t="n">
        <v>0</v>
      </c>
      <c r="M1806" s="14">
        <f>IF(B1806="Frete de venda",0,(1-ISNUMBER(SEARCH("556",P1806)))*(I1806*VLOOKUP($B1806,Premissas!$A$4:$E$7,2,0)+J1806*VLOOKUP($B1806,Premissas!$A$4:$E$7,3,0))+K1806*VLOOKUP($B1806,Premissas!$A$4:$E$7,4,0)+L1806*VLOOKUP($B1806,Premissas!$A$4:$E$7,5,0))</f>
        <v/>
      </c>
      <c r="N1806" s="14">
        <f>H1806-M1806</f>
        <v/>
      </c>
      <c r="O1806" t="inlineStr">
        <is>
          <t>Não</t>
        </is>
      </c>
      <c r="P1806" t="inlineStr">
        <is>
          <t>1.350</t>
        </is>
      </c>
    </row>
    <row r="1807">
      <c r="A1807" t="inlineStr">
        <is>
          <t>Antes de 2026</t>
        </is>
      </c>
      <c r="B1807" t="inlineStr">
        <is>
          <t>Frete de venda</t>
        </is>
      </c>
      <c r="C1807" t="inlineStr">
        <is>
          <t>Frete de venda (para clientes)</t>
        </is>
      </c>
      <c r="D1807" t="inlineStr">
        <is>
          <t>CT-e</t>
        </is>
      </c>
      <c r="E1807" t="inlineStr">
        <is>
          <t>000004105</t>
        </is>
      </c>
      <c r="F1807" t="inlineStr">
        <is>
          <t>R&amp;R TRANSPORTE E LOGISTICA</t>
        </is>
      </c>
      <c r="G1807" s="27" t="n">
        <v>45776</v>
      </c>
      <c r="H1807" s="14" t="n">
        <v>700</v>
      </c>
      <c r="I1807" s="14" t="n">
        <v>0</v>
      </c>
      <c r="J1807" s="14" t="n">
        <v>0</v>
      </c>
      <c r="K1807" s="14" t="n">
        <v>0</v>
      </c>
      <c r="L1807" s="14" t="n">
        <v>0</v>
      </c>
      <c r="M1807" s="14">
        <f>IF(B1807="Frete de venda",0,(1-ISNUMBER(SEARCH("556",P1807)))*(I1807*VLOOKUP($B1807,Premissas!$A$4:$E$7,2,0)+J1807*VLOOKUP($B1807,Premissas!$A$4:$E$7,3,0))+K1807*VLOOKUP($B1807,Premissas!$A$4:$E$7,4,0)+L1807*VLOOKUP($B1807,Premissas!$A$4:$E$7,5,0))</f>
        <v/>
      </c>
      <c r="N1807" s="14">
        <f>H1807-M1807</f>
        <v/>
      </c>
      <c r="O1807" t="inlineStr">
        <is>
          <t>Não</t>
        </is>
      </c>
      <c r="P1807" t="inlineStr">
        <is>
          <t>1.350</t>
        </is>
      </c>
    </row>
    <row r="1808">
      <c r="A1808" t="inlineStr">
        <is>
          <t>Antes de 2026</t>
        </is>
      </c>
      <c r="B1808" t="inlineStr">
        <is>
          <t>Frete de venda</t>
        </is>
      </c>
      <c r="C1808" t="inlineStr">
        <is>
          <t>Frete de venda (para clientes)</t>
        </is>
      </c>
      <c r="D1808" t="inlineStr">
        <is>
          <t>CT-e</t>
        </is>
      </c>
      <c r="E1808" t="inlineStr">
        <is>
          <t>000004134</t>
        </is>
      </c>
      <c r="F1808" t="inlineStr">
        <is>
          <t>R&amp;R TRANSPORTE E LOGISTICA</t>
        </is>
      </c>
      <c r="G1808" s="27" t="n">
        <v>45782</v>
      </c>
      <c r="H1808" s="14" t="n">
        <v>550</v>
      </c>
      <c r="I1808" s="14" t="n">
        <v>0</v>
      </c>
      <c r="J1808" s="14" t="n">
        <v>0</v>
      </c>
      <c r="K1808" s="14" t="n">
        <v>0</v>
      </c>
      <c r="L1808" s="14" t="n">
        <v>0</v>
      </c>
      <c r="M1808" s="14">
        <f>IF(B1808="Frete de venda",0,(1-ISNUMBER(SEARCH("556",P1808)))*(I1808*VLOOKUP($B1808,Premissas!$A$4:$E$7,2,0)+J1808*VLOOKUP($B1808,Premissas!$A$4:$E$7,3,0))+K1808*VLOOKUP($B1808,Premissas!$A$4:$E$7,4,0)+L1808*VLOOKUP($B1808,Premissas!$A$4:$E$7,5,0))</f>
        <v/>
      </c>
      <c r="N1808" s="14">
        <f>H1808-M1808</f>
        <v/>
      </c>
      <c r="O1808" t="inlineStr">
        <is>
          <t>Não</t>
        </is>
      </c>
      <c r="P1808" t="inlineStr">
        <is>
          <t>1.350</t>
        </is>
      </c>
    </row>
    <row r="1809">
      <c r="A1809" t="inlineStr">
        <is>
          <t>Antes de 2026</t>
        </is>
      </c>
      <c r="B1809" t="inlineStr">
        <is>
          <t>Frete de venda</t>
        </is>
      </c>
      <c r="C1809" t="inlineStr">
        <is>
          <t>Frete de venda (para clientes)</t>
        </is>
      </c>
      <c r="D1809" t="inlineStr">
        <is>
          <t>CT-e</t>
        </is>
      </c>
      <c r="E1809" t="inlineStr">
        <is>
          <t>000004285</t>
        </is>
      </c>
      <c r="F1809" t="inlineStr">
        <is>
          <t>R&amp;R TRANSPORTE E LOGISTICA</t>
        </is>
      </c>
      <c r="G1809" s="27" t="n">
        <v>45804</v>
      </c>
      <c r="H1809" s="14" t="n">
        <v>1400</v>
      </c>
      <c r="I1809" s="14" t="n">
        <v>0</v>
      </c>
      <c r="J1809" s="14" t="n">
        <v>0</v>
      </c>
      <c r="K1809" s="14" t="n">
        <v>0</v>
      </c>
      <c r="L1809" s="14" t="n">
        <v>0</v>
      </c>
      <c r="M1809" s="14">
        <f>IF(B1809="Frete de venda",0,(1-ISNUMBER(SEARCH("556",P1809)))*(I1809*VLOOKUP($B1809,Premissas!$A$4:$E$7,2,0)+J1809*VLOOKUP($B1809,Premissas!$A$4:$E$7,3,0))+K1809*VLOOKUP($B1809,Premissas!$A$4:$E$7,4,0)+L1809*VLOOKUP($B1809,Premissas!$A$4:$E$7,5,0))</f>
        <v/>
      </c>
      <c r="N1809" s="14">
        <f>H1809-M1809</f>
        <v/>
      </c>
      <c r="O1809" t="inlineStr">
        <is>
          <t>Não</t>
        </is>
      </c>
      <c r="P1809" t="inlineStr">
        <is>
          <t>1.350</t>
        </is>
      </c>
    </row>
    <row r="1810">
      <c r="A1810" t="inlineStr">
        <is>
          <t>Antes de 2026</t>
        </is>
      </c>
      <c r="B1810" t="inlineStr">
        <is>
          <t>Frete de venda</t>
        </is>
      </c>
      <c r="C1810" t="inlineStr">
        <is>
          <t>Frete de venda (para clientes)</t>
        </is>
      </c>
      <c r="D1810" t="inlineStr">
        <is>
          <t>CT-e</t>
        </is>
      </c>
      <c r="E1810" t="inlineStr">
        <is>
          <t>000004327</t>
        </is>
      </c>
      <c r="F1810" t="inlineStr">
        <is>
          <t>R&amp;R TRANSPORTE E LOGISTICA</t>
        </is>
      </c>
      <c r="G1810" s="27" t="n">
        <v>45806</v>
      </c>
      <c r="H1810" s="14" t="n">
        <v>345</v>
      </c>
      <c r="I1810" s="14" t="n">
        <v>0</v>
      </c>
      <c r="J1810" s="14" t="n">
        <v>0</v>
      </c>
      <c r="K1810" s="14" t="n">
        <v>0</v>
      </c>
      <c r="L1810" s="14" t="n">
        <v>0</v>
      </c>
      <c r="M1810" s="14">
        <f>IF(B1810="Frete de venda",0,(1-ISNUMBER(SEARCH("556",P1810)))*(I1810*VLOOKUP($B1810,Premissas!$A$4:$E$7,2,0)+J1810*VLOOKUP($B1810,Premissas!$A$4:$E$7,3,0))+K1810*VLOOKUP($B1810,Premissas!$A$4:$E$7,4,0)+L1810*VLOOKUP($B1810,Premissas!$A$4:$E$7,5,0))</f>
        <v/>
      </c>
      <c r="N1810" s="14">
        <f>H1810-M1810</f>
        <v/>
      </c>
      <c r="O1810" t="inlineStr">
        <is>
          <t>Não</t>
        </is>
      </c>
      <c r="P1810" t="inlineStr">
        <is>
          <t>1.350</t>
        </is>
      </c>
    </row>
    <row r="1811">
      <c r="A1811" t="inlineStr">
        <is>
          <t>Antes de 2026</t>
        </is>
      </c>
      <c r="B1811" t="inlineStr">
        <is>
          <t>Frete de venda</t>
        </is>
      </c>
      <c r="C1811" t="inlineStr">
        <is>
          <t>Frete de venda (para clientes)</t>
        </is>
      </c>
      <c r="D1811" t="inlineStr">
        <is>
          <t>CT-e</t>
        </is>
      </c>
      <c r="E1811" t="inlineStr">
        <is>
          <t>000004749</t>
        </is>
      </c>
      <c r="F1811" t="inlineStr">
        <is>
          <t>R&amp;R TRANSPORTE E LOGISTICA</t>
        </is>
      </c>
      <c r="G1811" s="27" t="n">
        <v>45864</v>
      </c>
      <c r="H1811" s="14" t="n">
        <v>700</v>
      </c>
      <c r="I1811" s="14" t="n">
        <v>0</v>
      </c>
      <c r="J1811" s="14" t="n">
        <v>0</v>
      </c>
      <c r="K1811" s="14" t="n">
        <v>0</v>
      </c>
      <c r="L1811" s="14" t="n">
        <v>0</v>
      </c>
      <c r="M1811" s="14">
        <f>IF(B1811="Frete de venda",0,(1-ISNUMBER(SEARCH("556",P1811)))*(I1811*VLOOKUP($B1811,Premissas!$A$4:$E$7,2,0)+J1811*VLOOKUP($B1811,Premissas!$A$4:$E$7,3,0))+K1811*VLOOKUP($B1811,Premissas!$A$4:$E$7,4,0)+L1811*VLOOKUP($B1811,Premissas!$A$4:$E$7,5,0))</f>
        <v/>
      </c>
      <c r="N1811" s="14">
        <f>H1811-M1811</f>
        <v/>
      </c>
      <c r="O1811" t="inlineStr">
        <is>
          <t>Não</t>
        </is>
      </c>
      <c r="P1811" t="inlineStr">
        <is>
          <t>1.350</t>
        </is>
      </c>
    </row>
    <row r="1812">
      <c r="A1812" t="inlineStr">
        <is>
          <t>Antes de 2026</t>
        </is>
      </c>
      <c r="B1812" t="inlineStr">
        <is>
          <t>Frete de venda</t>
        </is>
      </c>
      <c r="C1812" t="inlineStr">
        <is>
          <t>Frete de venda (para clientes)</t>
        </is>
      </c>
      <c r="D1812" t="inlineStr">
        <is>
          <t>CT-e</t>
        </is>
      </c>
      <c r="E1812" t="inlineStr">
        <is>
          <t>000004163</t>
        </is>
      </c>
      <c r="F1812" t="inlineStr">
        <is>
          <t>R&amp;R TRANSPORTE E LOGISTICA</t>
        </is>
      </c>
      <c r="G1812" s="27" t="n">
        <v>45784</v>
      </c>
      <c r="H1812" s="14" t="n">
        <v>1118.92</v>
      </c>
      <c r="I1812" s="14" t="n">
        <v>0</v>
      </c>
      <c r="J1812" s="14" t="n">
        <v>0</v>
      </c>
      <c r="K1812" s="14" t="n">
        <v>0</v>
      </c>
      <c r="L1812" s="14" t="n">
        <v>0</v>
      </c>
      <c r="M1812" s="14">
        <f>IF(B1812="Frete de venda",0,(1-ISNUMBER(SEARCH("556",P1812)))*(I1812*VLOOKUP($B1812,Premissas!$A$4:$E$7,2,0)+J1812*VLOOKUP($B1812,Premissas!$A$4:$E$7,3,0))+K1812*VLOOKUP($B1812,Premissas!$A$4:$E$7,4,0)+L1812*VLOOKUP($B1812,Premissas!$A$4:$E$7,5,0))</f>
        <v/>
      </c>
      <c r="N1812" s="14">
        <f>H1812-M1812</f>
        <v/>
      </c>
      <c r="O1812" t="inlineStr">
        <is>
          <t>Não</t>
        </is>
      </c>
      <c r="P1812" t="inlineStr">
        <is>
          <t>1.350</t>
        </is>
      </c>
    </row>
    <row r="1813">
      <c r="A1813" t="inlineStr">
        <is>
          <t>Antes de 2026</t>
        </is>
      </c>
      <c r="B1813" t="inlineStr">
        <is>
          <t>Frete de venda</t>
        </is>
      </c>
      <c r="C1813" t="inlineStr">
        <is>
          <t>Frete de venda (para clientes)</t>
        </is>
      </c>
      <c r="D1813" t="inlineStr">
        <is>
          <t>CT-e</t>
        </is>
      </c>
      <c r="E1813" t="inlineStr">
        <is>
          <t>000004393</t>
        </is>
      </c>
      <c r="F1813" t="inlineStr">
        <is>
          <t>R&amp;R TRANSPORTE E LOGISTICA</t>
        </is>
      </c>
      <c r="G1813" s="27" t="n">
        <v>45817</v>
      </c>
      <c r="H1813" s="14" t="n">
        <v>1044</v>
      </c>
      <c r="I1813" s="14" t="n">
        <v>0</v>
      </c>
      <c r="J1813" s="14" t="n">
        <v>0</v>
      </c>
      <c r="K1813" s="14" t="n">
        <v>0</v>
      </c>
      <c r="L1813" s="14" t="n">
        <v>0</v>
      </c>
      <c r="M1813" s="14">
        <f>IF(B1813="Frete de venda",0,(1-ISNUMBER(SEARCH("556",P1813)))*(I1813*VLOOKUP($B1813,Premissas!$A$4:$E$7,2,0)+J1813*VLOOKUP($B1813,Premissas!$A$4:$E$7,3,0))+K1813*VLOOKUP($B1813,Premissas!$A$4:$E$7,4,0)+L1813*VLOOKUP($B1813,Premissas!$A$4:$E$7,5,0))</f>
        <v/>
      </c>
      <c r="N1813" s="14">
        <f>H1813-M1813</f>
        <v/>
      </c>
      <c r="O1813" t="inlineStr">
        <is>
          <t>Não</t>
        </is>
      </c>
      <c r="P1813" t="inlineStr">
        <is>
          <t>1.350</t>
        </is>
      </c>
    </row>
    <row r="1814">
      <c r="A1814" t="inlineStr">
        <is>
          <t>Antes de 2026</t>
        </is>
      </c>
      <c r="B1814" t="inlineStr">
        <is>
          <t>Frete de venda</t>
        </is>
      </c>
      <c r="C1814" t="inlineStr">
        <is>
          <t>Frete de venda (para clientes)</t>
        </is>
      </c>
      <c r="D1814" t="inlineStr">
        <is>
          <t>CT-e</t>
        </is>
      </c>
      <c r="E1814" t="inlineStr">
        <is>
          <t>000004618</t>
        </is>
      </c>
      <c r="F1814" t="inlineStr">
        <is>
          <t>R&amp;R TRANSPORTE E LOGISTICA</t>
        </is>
      </c>
      <c r="G1814" s="27" t="n">
        <v>45847</v>
      </c>
      <c r="H1814" s="14" t="n">
        <v>1036.92</v>
      </c>
      <c r="I1814" s="14" t="n">
        <v>0</v>
      </c>
      <c r="J1814" s="14" t="n">
        <v>0</v>
      </c>
      <c r="K1814" s="14" t="n">
        <v>0</v>
      </c>
      <c r="L1814" s="14" t="n">
        <v>0</v>
      </c>
      <c r="M1814" s="14">
        <f>IF(B1814="Frete de venda",0,(1-ISNUMBER(SEARCH("556",P1814)))*(I1814*VLOOKUP($B1814,Premissas!$A$4:$E$7,2,0)+J1814*VLOOKUP($B1814,Premissas!$A$4:$E$7,3,0))+K1814*VLOOKUP($B1814,Premissas!$A$4:$E$7,4,0)+L1814*VLOOKUP($B1814,Premissas!$A$4:$E$7,5,0))</f>
        <v/>
      </c>
      <c r="N1814" s="14">
        <f>H1814-M1814</f>
        <v/>
      </c>
      <c r="O1814" t="inlineStr">
        <is>
          <t>Não</t>
        </is>
      </c>
      <c r="P1814" t="inlineStr">
        <is>
          <t>1.350</t>
        </is>
      </c>
    </row>
    <row r="1815">
      <c r="A1815" t="inlineStr">
        <is>
          <t>Antes de 2026</t>
        </is>
      </c>
      <c r="B1815" t="inlineStr">
        <is>
          <t>Frete de venda</t>
        </is>
      </c>
      <c r="C1815" t="inlineStr">
        <is>
          <t>Frete de venda (para clientes)</t>
        </is>
      </c>
      <c r="D1815" t="inlineStr">
        <is>
          <t>CT-e</t>
        </is>
      </c>
      <c r="E1815" t="inlineStr">
        <is>
          <t>000005119</t>
        </is>
      </c>
      <c r="F1815" t="inlineStr">
        <is>
          <t>R&amp;R TRANSPORTE E LOGISTICA</t>
        </is>
      </c>
      <c r="G1815" s="27" t="n">
        <v>45905</v>
      </c>
      <c r="H1815" s="14" t="n">
        <v>1024</v>
      </c>
      <c r="I1815" s="14" t="n">
        <v>0</v>
      </c>
      <c r="J1815" s="14" t="n">
        <v>0</v>
      </c>
      <c r="K1815" s="14" t="n">
        <v>0</v>
      </c>
      <c r="L1815" s="14" t="n">
        <v>0</v>
      </c>
      <c r="M1815" s="14">
        <f>IF(B1815="Frete de venda",0,(1-ISNUMBER(SEARCH("556",P1815)))*(I1815*VLOOKUP($B1815,Premissas!$A$4:$E$7,2,0)+J1815*VLOOKUP($B1815,Premissas!$A$4:$E$7,3,0))+K1815*VLOOKUP($B1815,Premissas!$A$4:$E$7,4,0)+L1815*VLOOKUP($B1815,Premissas!$A$4:$E$7,5,0))</f>
        <v/>
      </c>
      <c r="N1815" s="14">
        <f>H1815-M1815</f>
        <v/>
      </c>
      <c r="O1815" t="inlineStr">
        <is>
          <t>Não</t>
        </is>
      </c>
      <c r="P1815" t="inlineStr">
        <is>
          <t>1.350</t>
        </is>
      </c>
    </row>
    <row r="1816">
      <c r="A1816" t="inlineStr">
        <is>
          <t>Antes de 2026</t>
        </is>
      </c>
      <c r="B1816" t="inlineStr">
        <is>
          <t>Frete de venda</t>
        </is>
      </c>
      <c r="C1816" t="inlineStr">
        <is>
          <t>Frete de venda (para clientes)</t>
        </is>
      </c>
      <c r="D1816" t="inlineStr">
        <is>
          <t>CT-e</t>
        </is>
      </c>
      <c r="E1816" t="inlineStr">
        <is>
          <t>000005806</t>
        </is>
      </c>
      <c r="F1816" t="inlineStr">
        <is>
          <t>R&amp;R TRANSPORTE E LOGISTICA</t>
        </is>
      </c>
      <c r="G1816" s="27" t="n">
        <v>45983</v>
      </c>
      <c r="H1816" s="14" t="n">
        <v>765.88</v>
      </c>
      <c r="I1816" s="14" t="n">
        <v>0</v>
      </c>
      <c r="J1816" s="14" t="n">
        <v>0</v>
      </c>
      <c r="K1816" s="14" t="n">
        <v>0</v>
      </c>
      <c r="L1816" s="14" t="n">
        <v>0</v>
      </c>
      <c r="M1816" s="14">
        <f>IF(B1816="Frete de venda",0,(1-ISNUMBER(SEARCH("556",P1816)))*(I1816*VLOOKUP($B1816,Premissas!$A$4:$E$7,2,0)+J1816*VLOOKUP($B1816,Premissas!$A$4:$E$7,3,0))+K1816*VLOOKUP($B1816,Premissas!$A$4:$E$7,4,0)+L1816*VLOOKUP($B1816,Premissas!$A$4:$E$7,5,0))</f>
        <v/>
      </c>
      <c r="N1816" s="14">
        <f>H1816-M1816</f>
        <v/>
      </c>
      <c r="O1816" t="inlineStr">
        <is>
          <t>Não</t>
        </is>
      </c>
      <c r="P1816" t="inlineStr">
        <is>
          <t>1.350</t>
        </is>
      </c>
    </row>
    <row r="1817">
      <c r="A1817" t="inlineStr">
        <is>
          <t>Antes de 2026</t>
        </is>
      </c>
      <c r="B1817" t="inlineStr">
        <is>
          <t>Frete de venda</t>
        </is>
      </c>
      <c r="C1817" t="inlineStr">
        <is>
          <t>Frete de venda (para clientes)</t>
        </is>
      </c>
      <c r="D1817" t="inlineStr">
        <is>
          <t>CT-e</t>
        </is>
      </c>
      <c r="E1817" t="inlineStr">
        <is>
          <t>000004610</t>
        </is>
      </c>
      <c r="F1817" t="inlineStr">
        <is>
          <t>R&amp;R TRANSPORTE E LOGISTICA</t>
        </is>
      </c>
      <c r="G1817" s="27" t="n">
        <v>45845</v>
      </c>
      <c r="H1817" s="14" t="n">
        <v>1050</v>
      </c>
      <c r="I1817" s="14" t="n">
        <v>0</v>
      </c>
      <c r="J1817" s="14" t="n">
        <v>0</v>
      </c>
      <c r="K1817" s="14" t="n">
        <v>0</v>
      </c>
      <c r="L1817" s="14" t="n">
        <v>0</v>
      </c>
      <c r="M1817" s="14">
        <f>IF(B1817="Frete de venda",0,(1-ISNUMBER(SEARCH("556",P1817)))*(I1817*VLOOKUP($B1817,Premissas!$A$4:$E$7,2,0)+J1817*VLOOKUP($B1817,Premissas!$A$4:$E$7,3,0))+K1817*VLOOKUP($B1817,Premissas!$A$4:$E$7,4,0)+L1817*VLOOKUP($B1817,Premissas!$A$4:$E$7,5,0))</f>
        <v/>
      </c>
      <c r="N1817" s="14">
        <f>H1817-M1817</f>
        <v/>
      </c>
      <c r="O1817" t="inlineStr">
        <is>
          <t>Não</t>
        </is>
      </c>
      <c r="P1817" t="inlineStr">
        <is>
          <t>1.350</t>
        </is>
      </c>
    </row>
    <row r="1818">
      <c r="A1818" t="inlineStr">
        <is>
          <t>Antes de 2026</t>
        </is>
      </c>
      <c r="B1818" t="inlineStr">
        <is>
          <t>Frete de venda</t>
        </is>
      </c>
      <c r="C1818" t="inlineStr">
        <is>
          <t>Frete de venda (para clientes)</t>
        </is>
      </c>
      <c r="D1818" t="inlineStr">
        <is>
          <t>CT-e</t>
        </is>
      </c>
      <c r="E1818" t="inlineStr">
        <is>
          <t>000005491</t>
        </is>
      </c>
      <c r="F1818" t="inlineStr">
        <is>
          <t>R&amp;R TRANSPORTE E LOGISTICA</t>
        </is>
      </c>
      <c r="G1818" s="27" t="n">
        <v>45946</v>
      </c>
      <c r="H1818" s="14" t="n">
        <v>1500</v>
      </c>
      <c r="I1818" s="14" t="n">
        <v>0</v>
      </c>
      <c r="J1818" s="14" t="n">
        <v>0</v>
      </c>
      <c r="K1818" s="14" t="n">
        <v>0</v>
      </c>
      <c r="L1818" s="14" t="n">
        <v>0</v>
      </c>
      <c r="M1818" s="14">
        <f>IF(B1818="Frete de venda",0,(1-ISNUMBER(SEARCH("556",P1818)))*(I1818*VLOOKUP($B1818,Premissas!$A$4:$E$7,2,0)+J1818*VLOOKUP($B1818,Premissas!$A$4:$E$7,3,0))+K1818*VLOOKUP($B1818,Premissas!$A$4:$E$7,4,0)+L1818*VLOOKUP($B1818,Premissas!$A$4:$E$7,5,0))</f>
        <v/>
      </c>
      <c r="N1818" s="14">
        <f>H1818-M1818</f>
        <v/>
      </c>
      <c r="O1818" t="inlineStr">
        <is>
          <t>Não</t>
        </is>
      </c>
      <c r="P1818" t="inlineStr">
        <is>
          <t>1.350</t>
        </is>
      </c>
    </row>
    <row r="1819">
      <c r="A1819" t="inlineStr">
        <is>
          <t>Antes de 2026</t>
        </is>
      </c>
      <c r="B1819" t="inlineStr">
        <is>
          <t>Frete de venda</t>
        </is>
      </c>
      <c r="C1819" t="inlineStr">
        <is>
          <t>Frete de venda (para clientes)</t>
        </is>
      </c>
      <c r="D1819" t="inlineStr">
        <is>
          <t>CT-e</t>
        </is>
      </c>
      <c r="E1819" t="inlineStr">
        <is>
          <t>000005818</t>
        </is>
      </c>
      <c r="F1819" t="inlineStr">
        <is>
          <t>R&amp;R TRANSPORTE E LOGISTICA</t>
        </is>
      </c>
      <c r="G1819" s="27" t="n">
        <v>45986</v>
      </c>
      <c r="H1819" s="14" t="n">
        <v>27.84</v>
      </c>
      <c r="I1819" s="14" t="n">
        <v>0</v>
      </c>
      <c r="J1819" s="14" t="n">
        <v>0</v>
      </c>
      <c r="K1819" s="14" t="n">
        <v>0</v>
      </c>
      <c r="L1819" s="14" t="n">
        <v>0</v>
      </c>
      <c r="M1819" s="14">
        <f>IF(B1819="Frete de venda",0,(1-ISNUMBER(SEARCH("556",P1819)))*(I1819*VLOOKUP($B1819,Premissas!$A$4:$E$7,2,0)+J1819*VLOOKUP($B1819,Premissas!$A$4:$E$7,3,0))+K1819*VLOOKUP($B1819,Premissas!$A$4:$E$7,4,0)+L1819*VLOOKUP($B1819,Premissas!$A$4:$E$7,5,0))</f>
        <v/>
      </c>
      <c r="N1819" s="14">
        <f>H1819-M1819</f>
        <v/>
      </c>
      <c r="O1819" t="inlineStr">
        <is>
          <t>Não</t>
        </is>
      </c>
      <c r="P1819" t="inlineStr">
        <is>
          <t>1.350</t>
        </is>
      </c>
    </row>
    <row r="1820">
      <c r="A1820" t="inlineStr">
        <is>
          <t>Antes de 2026</t>
        </is>
      </c>
      <c r="B1820" t="inlineStr">
        <is>
          <t>Frete de venda</t>
        </is>
      </c>
      <c r="C1820" t="inlineStr">
        <is>
          <t>Frete de venda (para clientes)</t>
        </is>
      </c>
      <c r="D1820" t="inlineStr">
        <is>
          <t>CT-e</t>
        </is>
      </c>
      <c r="E1820" t="inlineStr">
        <is>
          <t>000005978</t>
        </is>
      </c>
      <c r="F1820" t="inlineStr">
        <is>
          <t>R&amp;R TRANSPORTE E LOGISTICA</t>
        </is>
      </c>
      <c r="G1820" s="27" t="n">
        <v>46004</v>
      </c>
      <c r="H1820" s="14" t="n">
        <v>31.48</v>
      </c>
      <c r="I1820" s="14" t="n">
        <v>0</v>
      </c>
      <c r="J1820" s="14" t="n">
        <v>0</v>
      </c>
      <c r="K1820" s="14" t="n">
        <v>0</v>
      </c>
      <c r="L1820" s="14" t="n">
        <v>0</v>
      </c>
      <c r="M1820" s="14">
        <f>IF(B1820="Frete de venda",0,(1-ISNUMBER(SEARCH("556",P1820)))*(I1820*VLOOKUP($B1820,Premissas!$A$4:$E$7,2,0)+J1820*VLOOKUP($B1820,Premissas!$A$4:$E$7,3,0))+K1820*VLOOKUP($B1820,Premissas!$A$4:$E$7,4,0)+L1820*VLOOKUP($B1820,Premissas!$A$4:$E$7,5,0))</f>
        <v/>
      </c>
      <c r="N1820" s="14">
        <f>H1820-M1820</f>
        <v/>
      </c>
      <c r="O1820" t="inlineStr">
        <is>
          <t>Não</t>
        </is>
      </c>
      <c r="P1820" t="inlineStr">
        <is>
          <t>1.350</t>
        </is>
      </c>
    </row>
    <row r="1821">
      <c r="A1821" t="inlineStr">
        <is>
          <t>Antes de 2026</t>
        </is>
      </c>
      <c r="B1821" t="inlineStr">
        <is>
          <t>Frete de venda</t>
        </is>
      </c>
      <c r="C1821" t="inlineStr">
        <is>
          <t>Frete de venda (para clientes)</t>
        </is>
      </c>
      <c r="D1821" t="inlineStr">
        <is>
          <t>CT-e</t>
        </is>
      </c>
      <c r="E1821" t="inlineStr">
        <is>
          <t>000004768</t>
        </is>
      </c>
      <c r="F1821" t="inlineStr">
        <is>
          <t>R&amp;R TRANSPORTE E LOGISTICA</t>
        </is>
      </c>
      <c r="G1821" s="27" t="n">
        <v>45867</v>
      </c>
      <c r="H1821" s="14" t="n">
        <v>691.1900000000001</v>
      </c>
      <c r="I1821" s="14" t="n">
        <v>0</v>
      </c>
      <c r="J1821" s="14" t="n">
        <v>0</v>
      </c>
      <c r="K1821" s="14" t="n">
        <v>0</v>
      </c>
      <c r="L1821" s="14" t="n">
        <v>0</v>
      </c>
      <c r="M1821" s="14">
        <f>IF(B1821="Frete de venda",0,(1-ISNUMBER(SEARCH("556",P1821)))*(I1821*VLOOKUP($B1821,Premissas!$A$4:$E$7,2,0)+J1821*VLOOKUP($B1821,Premissas!$A$4:$E$7,3,0))+K1821*VLOOKUP($B1821,Premissas!$A$4:$E$7,4,0)+L1821*VLOOKUP($B1821,Premissas!$A$4:$E$7,5,0))</f>
        <v/>
      </c>
      <c r="N1821" s="14">
        <f>H1821-M1821</f>
        <v/>
      </c>
      <c r="O1821" t="inlineStr">
        <is>
          <t>Não</t>
        </is>
      </c>
      <c r="P1821" t="inlineStr">
        <is>
          <t>1.350</t>
        </is>
      </c>
    </row>
    <row r="1822">
      <c r="A1822" t="inlineStr">
        <is>
          <t>Antes de 2026</t>
        </is>
      </c>
      <c r="B1822" t="inlineStr">
        <is>
          <t>Frete de venda</t>
        </is>
      </c>
      <c r="C1822" t="inlineStr">
        <is>
          <t>Frete de venda (para clientes)</t>
        </is>
      </c>
      <c r="D1822" t="inlineStr">
        <is>
          <t>CT-e</t>
        </is>
      </c>
      <c r="E1822" t="inlineStr">
        <is>
          <t>000005120</t>
        </is>
      </c>
      <c r="F1822" t="inlineStr">
        <is>
          <t>R&amp;R TRANSPORTE E LOGISTICA</t>
        </is>
      </c>
      <c r="G1822" s="27" t="n">
        <v>45905</v>
      </c>
      <c r="H1822" s="14" t="n">
        <v>96.69</v>
      </c>
      <c r="I1822" s="14" t="n">
        <v>0</v>
      </c>
      <c r="J1822" s="14" t="n">
        <v>0</v>
      </c>
      <c r="K1822" s="14" t="n">
        <v>0</v>
      </c>
      <c r="L1822" s="14" t="n">
        <v>0</v>
      </c>
      <c r="M1822" s="14">
        <f>IF(B1822="Frete de venda",0,(1-ISNUMBER(SEARCH("556",P1822)))*(I1822*VLOOKUP($B1822,Premissas!$A$4:$E$7,2,0)+J1822*VLOOKUP($B1822,Premissas!$A$4:$E$7,3,0))+K1822*VLOOKUP($B1822,Premissas!$A$4:$E$7,4,0)+L1822*VLOOKUP($B1822,Premissas!$A$4:$E$7,5,0))</f>
        <v/>
      </c>
      <c r="N1822" s="14">
        <f>H1822-M1822</f>
        <v/>
      </c>
      <c r="O1822" t="inlineStr">
        <is>
          <t>Não</t>
        </is>
      </c>
      <c r="P1822" t="inlineStr">
        <is>
          <t>1.350</t>
        </is>
      </c>
    </row>
    <row r="1823">
      <c r="A1823" t="inlineStr">
        <is>
          <t>Antes de 2026</t>
        </is>
      </c>
      <c r="B1823" t="inlineStr">
        <is>
          <t>Frete de venda</t>
        </is>
      </c>
      <c r="C1823" t="inlineStr">
        <is>
          <t>Frete de venda (para clientes)</t>
        </is>
      </c>
      <c r="D1823" t="inlineStr">
        <is>
          <t>CT-e</t>
        </is>
      </c>
      <c r="E1823" t="inlineStr">
        <is>
          <t>000004826</t>
        </is>
      </c>
      <c r="F1823" t="inlineStr">
        <is>
          <t>R&amp;R TRANSPORTE E LOGISTICA</t>
        </is>
      </c>
      <c r="G1823" s="27" t="n">
        <v>45870</v>
      </c>
      <c r="H1823" s="14" t="n">
        <v>34.08</v>
      </c>
      <c r="I1823" s="14" t="n">
        <v>0</v>
      </c>
      <c r="J1823" s="14" t="n">
        <v>0</v>
      </c>
      <c r="K1823" s="14" t="n">
        <v>0</v>
      </c>
      <c r="L1823" s="14" t="n">
        <v>0</v>
      </c>
      <c r="M1823" s="14">
        <f>IF(B1823="Frete de venda",0,(1-ISNUMBER(SEARCH("556",P1823)))*(I1823*VLOOKUP($B1823,Premissas!$A$4:$E$7,2,0)+J1823*VLOOKUP($B1823,Premissas!$A$4:$E$7,3,0))+K1823*VLOOKUP($B1823,Premissas!$A$4:$E$7,4,0)+L1823*VLOOKUP($B1823,Premissas!$A$4:$E$7,5,0))</f>
        <v/>
      </c>
      <c r="N1823" s="14">
        <f>H1823-M1823</f>
        <v/>
      </c>
      <c r="O1823" t="inlineStr">
        <is>
          <t>Não</t>
        </is>
      </c>
      <c r="P1823" t="inlineStr">
        <is>
          <t>1.350</t>
        </is>
      </c>
    </row>
    <row r="1824">
      <c r="A1824" t="inlineStr">
        <is>
          <t>Antes de 2026</t>
        </is>
      </c>
      <c r="B1824" t="inlineStr">
        <is>
          <t>Frete de venda</t>
        </is>
      </c>
      <c r="C1824" t="inlineStr">
        <is>
          <t>Frete de venda (para clientes)</t>
        </is>
      </c>
      <c r="D1824" t="inlineStr">
        <is>
          <t>CT-e</t>
        </is>
      </c>
      <c r="E1824" t="inlineStr">
        <is>
          <t>000005562</t>
        </is>
      </c>
      <c r="F1824" t="inlineStr">
        <is>
          <t>R&amp;R TRANSPORTE E LOGISTICA</t>
        </is>
      </c>
      <c r="G1824" s="27" t="n">
        <v>45955</v>
      </c>
      <c r="H1824" s="14" t="n">
        <v>80.39</v>
      </c>
      <c r="I1824" s="14" t="n">
        <v>0</v>
      </c>
      <c r="J1824" s="14" t="n">
        <v>0</v>
      </c>
      <c r="K1824" s="14" t="n">
        <v>0</v>
      </c>
      <c r="L1824" s="14" t="n">
        <v>0</v>
      </c>
      <c r="M1824" s="14">
        <f>IF(B1824="Frete de venda",0,(1-ISNUMBER(SEARCH("556",P1824)))*(I1824*VLOOKUP($B1824,Premissas!$A$4:$E$7,2,0)+J1824*VLOOKUP($B1824,Premissas!$A$4:$E$7,3,0))+K1824*VLOOKUP($B1824,Premissas!$A$4:$E$7,4,0)+L1824*VLOOKUP($B1824,Premissas!$A$4:$E$7,5,0))</f>
        <v/>
      </c>
      <c r="N1824" s="14">
        <f>H1824-M1824</f>
        <v/>
      </c>
      <c r="O1824" t="inlineStr">
        <is>
          <t>Não</t>
        </is>
      </c>
      <c r="P1824" t="inlineStr">
        <is>
          <t>1.350</t>
        </is>
      </c>
    </row>
    <row r="1825">
      <c r="A1825" t="inlineStr">
        <is>
          <t>Antes de 2026</t>
        </is>
      </c>
      <c r="B1825" t="inlineStr">
        <is>
          <t>Frete de venda</t>
        </is>
      </c>
      <c r="C1825" t="inlineStr">
        <is>
          <t>Frete de venda (para clientes)</t>
        </is>
      </c>
      <c r="D1825" t="inlineStr">
        <is>
          <t>CT-e</t>
        </is>
      </c>
      <c r="E1825" t="inlineStr">
        <is>
          <t>000004729</t>
        </is>
      </c>
      <c r="F1825" t="inlineStr">
        <is>
          <t>R&amp;R TRANSPORTE E LOGISTICA</t>
        </is>
      </c>
      <c r="G1825" s="27" t="n">
        <v>45862</v>
      </c>
      <c r="H1825" s="14" t="n">
        <v>30</v>
      </c>
      <c r="I1825" s="14" t="n">
        <v>0</v>
      </c>
      <c r="J1825" s="14" t="n">
        <v>0</v>
      </c>
      <c r="K1825" s="14" t="n">
        <v>0</v>
      </c>
      <c r="L1825" s="14" t="n">
        <v>0</v>
      </c>
      <c r="M1825" s="14">
        <f>IF(B1825="Frete de venda",0,(1-ISNUMBER(SEARCH("556",P1825)))*(I1825*VLOOKUP($B1825,Premissas!$A$4:$E$7,2,0)+J1825*VLOOKUP($B1825,Premissas!$A$4:$E$7,3,0))+K1825*VLOOKUP($B1825,Premissas!$A$4:$E$7,4,0)+L1825*VLOOKUP($B1825,Premissas!$A$4:$E$7,5,0))</f>
        <v/>
      </c>
      <c r="N1825" s="14">
        <f>H1825-M1825</f>
        <v/>
      </c>
      <c r="O1825" t="inlineStr">
        <is>
          <t>Não</t>
        </is>
      </c>
      <c r="P1825" t="inlineStr">
        <is>
          <t>1.350</t>
        </is>
      </c>
    </row>
    <row r="1826">
      <c r="A1826" t="inlineStr">
        <is>
          <t>Antes de 2026</t>
        </is>
      </c>
      <c r="B1826" t="inlineStr">
        <is>
          <t>Frete de venda</t>
        </is>
      </c>
      <c r="C1826" t="inlineStr">
        <is>
          <t>Frete de venda (para clientes)</t>
        </is>
      </c>
      <c r="D1826" t="inlineStr">
        <is>
          <t>CT-e</t>
        </is>
      </c>
      <c r="E1826" t="inlineStr">
        <is>
          <t>000005436</t>
        </is>
      </c>
      <c r="F1826" t="inlineStr">
        <is>
          <t>R&amp;R TRANSPORTE E LOGISTICA</t>
        </is>
      </c>
      <c r="G1826" s="27" t="n">
        <v>45940</v>
      </c>
      <c r="H1826" s="14" t="n">
        <v>20.09</v>
      </c>
      <c r="I1826" s="14" t="n">
        <v>0</v>
      </c>
      <c r="J1826" s="14" t="n">
        <v>0</v>
      </c>
      <c r="K1826" s="14" t="n">
        <v>0</v>
      </c>
      <c r="L1826" s="14" t="n">
        <v>0</v>
      </c>
      <c r="M1826" s="14">
        <f>IF(B1826="Frete de venda",0,(1-ISNUMBER(SEARCH("556",P1826)))*(I1826*VLOOKUP($B1826,Premissas!$A$4:$E$7,2,0)+J1826*VLOOKUP($B1826,Premissas!$A$4:$E$7,3,0))+K1826*VLOOKUP($B1826,Premissas!$A$4:$E$7,4,0)+L1826*VLOOKUP($B1826,Premissas!$A$4:$E$7,5,0))</f>
        <v/>
      </c>
      <c r="N1826" s="14">
        <f>H1826-M1826</f>
        <v/>
      </c>
      <c r="O1826" t="inlineStr">
        <is>
          <t>Não</t>
        </is>
      </c>
      <c r="P1826" t="inlineStr">
        <is>
          <t>1.350</t>
        </is>
      </c>
    </row>
    <row r="1827">
      <c r="A1827" t="inlineStr">
        <is>
          <t>Antes de 2026</t>
        </is>
      </c>
      <c r="B1827" t="inlineStr">
        <is>
          <t>Frete de venda</t>
        </is>
      </c>
      <c r="C1827" t="inlineStr">
        <is>
          <t>Frete de venda (para clientes)</t>
        </is>
      </c>
      <c r="D1827" t="inlineStr">
        <is>
          <t>CT-e</t>
        </is>
      </c>
      <c r="E1827" t="inlineStr">
        <is>
          <t>000005845</t>
        </is>
      </c>
      <c r="F1827" t="inlineStr">
        <is>
          <t>R&amp;R TRANSPORTE E LOGISTICA</t>
        </is>
      </c>
      <c r="G1827" s="27" t="n">
        <v>45988</v>
      </c>
      <c r="H1827" s="14" t="n">
        <v>10.87</v>
      </c>
      <c r="I1827" s="14" t="n">
        <v>0</v>
      </c>
      <c r="J1827" s="14" t="n">
        <v>0</v>
      </c>
      <c r="K1827" s="14" t="n">
        <v>0</v>
      </c>
      <c r="L1827" s="14" t="n">
        <v>0</v>
      </c>
      <c r="M1827" s="14">
        <f>IF(B1827="Frete de venda",0,(1-ISNUMBER(SEARCH("556",P1827)))*(I1827*VLOOKUP($B1827,Premissas!$A$4:$E$7,2,0)+J1827*VLOOKUP($B1827,Premissas!$A$4:$E$7,3,0))+K1827*VLOOKUP($B1827,Premissas!$A$4:$E$7,4,0)+L1827*VLOOKUP($B1827,Premissas!$A$4:$E$7,5,0))</f>
        <v/>
      </c>
      <c r="N1827" s="14">
        <f>H1827-M1827</f>
        <v/>
      </c>
      <c r="O1827" t="inlineStr">
        <is>
          <t>Não</t>
        </is>
      </c>
      <c r="P1827" t="inlineStr">
        <is>
          <t>1.350</t>
        </is>
      </c>
    </row>
    <row r="1828">
      <c r="A1828" t="inlineStr">
        <is>
          <t>Antes de 2026</t>
        </is>
      </c>
      <c r="B1828" t="inlineStr">
        <is>
          <t>Frete de venda</t>
        </is>
      </c>
      <c r="C1828" t="inlineStr">
        <is>
          <t>Frete de venda (para clientes)</t>
        </is>
      </c>
      <c r="D1828" t="inlineStr">
        <is>
          <t>CT-e</t>
        </is>
      </c>
      <c r="E1828" t="inlineStr">
        <is>
          <t>000005018</t>
        </is>
      </c>
      <c r="F1828" t="inlineStr">
        <is>
          <t>R&amp;R TRANSPORTE E LOGISTICA</t>
        </is>
      </c>
      <c r="G1828" s="27" t="n">
        <v>45895</v>
      </c>
      <c r="H1828" s="14" t="n">
        <v>15.25</v>
      </c>
      <c r="I1828" s="14" t="n">
        <v>0</v>
      </c>
      <c r="J1828" s="14" t="n">
        <v>0</v>
      </c>
      <c r="K1828" s="14" t="n">
        <v>0</v>
      </c>
      <c r="L1828" s="14" t="n">
        <v>0</v>
      </c>
      <c r="M1828" s="14">
        <f>IF(B1828="Frete de venda",0,(1-ISNUMBER(SEARCH("556",P1828)))*(I1828*VLOOKUP($B1828,Premissas!$A$4:$E$7,2,0)+J1828*VLOOKUP($B1828,Premissas!$A$4:$E$7,3,0))+K1828*VLOOKUP($B1828,Premissas!$A$4:$E$7,4,0)+L1828*VLOOKUP($B1828,Premissas!$A$4:$E$7,5,0))</f>
        <v/>
      </c>
      <c r="N1828" s="14">
        <f>H1828-M1828</f>
        <v/>
      </c>
      <c r="O1828" t="inlineStr">
        <is>
          <t>Não</t>
        </is>
      </c>
      <c r="P1828" t="inlineStr">
        <is>
          <t>1.350</t>
        </is>
      </c>
    </row>
    <row r="1829">
      <c r="A1829" t="inlineStr">
        <is>
          <t>Antes de 2026</t>
        </is>
      </c>
      <c r="B1829" t="inlineStr">
        <is>
          <t>Frete de venda</t>
        </is>
      </c>
      <c r="C1829" t="inlineStr">
        <is>
          <t>Frete de venda (para clientes)</t>
        </is>
      </c>
      <c r="D1829" t="inlineStr">
        <is>
          <t>CT-e</t>
        </is>
      </c>
      <c r="E1829" t="inlineStr">
        <is>
          <t>000004222</t>
        </is>
      </c>
      <c r="F1829" t="inlineStr">
        <is>
          <t>R&amp;R TRANSPORTE E LOGISTICA</t>
        </is>
      </c>
      <c r="G1829" s="27" t="n">
        <v>45791</v>
      </c>
      <c r="H1829" s="14" t="n">
        <v>49.73</v>
      </c>
      <c r="I1829" s="14" t="n">
        <v>0</v>
      </c>
      <c r="J1829" s="14" t="n">
        <v>0</v>
      </c>
      <c r="K1829" s="14" t="n">
        <v>0</v>
      </c>
      <c r="L1829" s="14" t="n">
        <v>0</v>
      </c>
      <c r="M1829" s="14">
        <f>IF(B1829="Frete de venda",0,(1-ISNUMBER(SEARCH("556",P1829)))*(I1829*VLOOKUP($B1829,Premissas!$A$4:$E$7,2,0)+J1829*VLOOKUP($B1829,Premissas!$A$4:$E$7,3,0))+K1829*VLOOKUP($B1829,Premissas!$A$4:$E$7,4,0)+L1829*VLOOKUP($B1829,Premissas!$A$4:$E$7,5,0))</f>
        <v/>
      </c>
      <c r="N1829" s="14">
        <f>H1829-M1829</f>
        <v/>
      </c>
      <c r="O1829" t="inlineStr">
        <is>
          <t>Não</t>
        </is>
      </c>
      <c r="P1829" t="inlineStr">
        <is>
          <t>1.350</t>
        </is>
      </c>
    </row>
    <row r="1830">
      <c r="A1830" t="inlineStr">
        <is>
          <t>Antes de 2026</t>
        </is>
      </c>
      <c r="B1830" t="inlineStr">
        <is>
          <t>Frete de venda</t>
        </is>
      </c>
      <c r="C1830" t="inlineStr">
        <is>
          <t>Frete de venda (para clientes)</t>
        </is>
      </c>
      <c r="D1830" t="inlineStr">
        <is>
          <t>CT-e</t>
        </is>
      </c>
      <c r="E1830" t="inlineStr">
        <is>
          <t>000004979</t>
        </is>
      </c>
      <c r="F1830" t="inlineStr">
        <is>
          <t>R&amp;R TRANSPORTE E LOGISTICA</t>
        </is>
      </c>
      <c r="G1830" s="27" t="n">
        <v>45891</v>
      </c>
      <c r="H1830" s="14" t="n">
        <v>24.26</v>
      </c>
      <c r="I1830" s="14" t="n">
        <v>0</v>
      </c>
      <c r="J1830" s="14" t="n">
        <v>0</v>
      </c>
      <c r="K1830" s="14" t="n">
        <v>0</v>
      </c>
      <c r="L1830" s="14" t="n">
        <v>0</v>
      </c>
      <c r="M1830" s="14">
        <f>IF(B1830="Frete de venda",0,(1-ISNUMBER(SEARCH("556",P1830)))*(I1830*VLOOKUP($B1830,Premissas!$A$4:$E$7,2,0)+J1830*VLOOKUP($B1830,Premissas!$A$4:$E$7,3,0))+K1830*VLOOKUP($B1830,Premissas!$A$4:$E$7,4,0)+L1830*VLOOKUP($B1830,Premissas!$A$4:$E$7,5,0))</f>
        <v/>
      </c>
      <c r="N1830" s="14">
        <f>H1830-M1830</f>
        <v/>
      </c>
      <c r="O1830" t="inlineStr">
        <is>
          <t>Não</t>
        </is>
      </c>
      <c r="P1830" t="inlineStr">
        <is>
          <t>1.350</t>
        </is>
      </c>
    </row>
    <row r="1831">
      <c r="A1831" t="inlineStr">
        <is>
          <t>Antes de 2026</t>
        </is>
      </c>
      <c r="B1831" t="inlineStr">
        <is>
          <t>Frete de venda</t>
        </is>
      </c>
      <c r="C1831" t="inlineStr">
        <is>
          <t>Frete de venda (para clientes)</t>
        </is>
      </c>
      <c r="D1831" t="inlineStr">
        <is>
          <t>CT-e</t>
        </is>
      </c>
      <c r="E1831" t="inlineStr">
        <is>
          <t>000005440</t>
        </is>
      </c>
      <c r="F1831" t="inlineStr">
        <is>
          <t>R&amp;R TRANSPORTE E LOGISTICA</t>
        </is>
      </c>
      <c r="G1831" s="27" t="n">
        <v>45940</v>
      </c>
      <c r="H1831" s="14" t="n">
        <v>19.66</v>
      </c>
      <c r="I1831" s="14" t="n">
        <v>0</v>
      </c>
      <c r="J1831" s="14" t="n">
        <v>0</v>
      </c>
      <c r="K1831" s="14" t="n">
        <v>0</v>
      </c>
      <c r="L1831" s="14" t="n">
        <v>0</v>
      </c>
      <c r="M1831" s="14">
        <f>IF(B1831="Frete de venda",0,(1-ISNUMBER(SEARCH("556",P1831)))*(I1831*VLOOKUP($B1831,Premissas!$A$4:$E$7,2,0)+J1831*VLOOKUP($B1831,Premissas!$A$4:$E$7,3,0))+K1831*VLOOKUP($B1831,Premissas!$A$4:$E$7,4,0)+L1831*VLOOKUP($B1831,Premissas!$A$4:$E$7,5,0))</f>
        <v/>
      </c>
      <c r="N1831" s="14">
        <f>H1831-M1831</f>
        <v/>
      </c>
      <c r="O1831" t="inlineStr">
        <is>
          <t>Não</t>
        </is>
      </c>
      <c r="P1831" t="inlineStr">
        <is>
          <t>1.350</t>
        </is>
      </c>
    </row>
    <row r="1832">
      <c r="A1832" t="inlineStr">
        <is>
          <t>Antes de 2026</t>
        </is>
      </c>
      <c r="B1832" t="inlineStr">
        <is>
          <t>Frete de venda</t>
        </is>
      </c>
      <c r="C1832" t="inlineStr">
        <is>
          <t>Frete de venda (para clientes)</t>
        </is>
      </c>
      <c r="D1832" t="inlineStr">
        <is>
          <t>CT-e</t>
        </is>
      </c>
      <c r="E1832" t="inlineStr">
        <is>
          <t>000005179</t>
        </is>
      </c>
      <c r="F1832" t="inlineStr">
        <is>
          <t>R&amp;R TRANSPORTE E LOGISTICA</t>
        </is>
      </c>
      <c r="G1832" s="27" t="n">
        <v>45913</v>
      </c>
      <c r="H1832" s="14" t="n">
        <v>27.78</v>
      </c>
      <c r="I1832" s="14" t="n">
        <v>0</v>
      </c>
      <c r="J1832" s="14" t="n">
        <v>0</v>
      </c>
      <c r="K1832" s="14" t="n">
        <v>0</v>
      </c>
      <c r="L1832" s="14" t="n">
        <v>0</v>
      </c>
      <c r="M1832" s="14">
        <f>IF(B1832="Frete de venda",0,(1-ISNUMBER(SEARCH("556",P1832)))*(I1832*VLOOKUP($B1832,Premissas!$A$4:$E$7,2,0)+J1832*VLOOKUP($B1832,Premissas!$A$4:$E$7,3,0))+K1832*VLOOKUP($B1832,Premissas!$A$4:$E$7,4,0)+L1832*VLOOKUP($B1832,Premissas!$A$4:$E$7,5,0))</f>
        <v/>
      </c>
      <c r="N1832" s="14">
        <f>H1832-M1832</f>
        <v/>
      </c>
      <c r="O1832" t="inlineStr">
        <is>
          <t>Não</t>
        </is>
      </c>
      <c r="P1832" t="inlineStr">
        <is>
          <t>1.350</t>
        </is>
      </c>
    </row>
    <row r="1833">
      <c r="A1833" t="inlineStr">
        <is>
          <t>Antes de 2026</t>
        </is>
      </c>
      <c r="B1833" t="inlineStr">
        <is>
          <t>Frete de venda</t>
        </is>
      </c>
      <c r="C1833" t="inlineStr">
        <is>
          <t>Frete de venda (para clientes)</t>
        </is>
      </c>
      <c r="D1833" t="inlineStr">
        <is>
          <t>CT-e</t>
        </is>
      </c>
      <c r="E1833" t="inlineStr">
        <is>
          <t>000004169</t>
        </is>
      </c>
      <c r="F1833" t="inlineStr">
        <is>
          <t>R&amp;R TRANSPORTE E LOGISTICA</t>
        </is>
      </c>
      <c r="G1833" s="27" t="n">
        <v>45786</v>
      </c>
      <c r="H1833" s="14" t="n">
        <v>58.77</v>
      </c>
      <c r="I1833" s="14" t="n">
        <v>0</v>
      </c>
      <c r="J1833" s="14" t="n">
        <v>0</v>
      </c>
      <c r="K1833" s="14" t="n">
        <v>0</v>
      </c>
      <c r="L1833" s="14" t="n">
        <v>0</v>
      </c>
      <c r="M1833" s="14">
        <f>IF(B1833="Frete de venda",0,(1-ISNUMBER(SEARCH("556",P1833)))*(I1833*VLOOKUP($B1833,Premissas!$A$4:$E$7,2,0)+J1833*VLOOKUP($B1833,Premissas!$A$4:$E$7,3,0))+K1833*VLOOKUP($B1833,Premissas!$A$4:$E$7,4,0)+L1833*VLOOKUP($B1833,Premissas!$A$4:$E$7,5,0))</f>
        <v/>
      </c>
      <c r="N1833" s="14">
        <f>H1833-M1833</f>
        <v/>
      </c>
      <c r="O1833" t="inlineStr">
        <is>
          <t>Não</t>
        </is>
      </c>
      <c r="P1833" t="inlineStr">
        <is>
          <t>1.350</t>
        </is>
      </c>
    </row>
    <row r="1834">
      <c r="A1834" t="inlineStr">
        <is>
          <t>Antes de 2026</t>
        </is>
      </c>
      <c r="B1834" t="inlineStr">
        <is>
          <t>Frete de venda</t>
        </is>
      </c>
      <c r="C1834" t="inlineStr">
        <is>
          <t>Frete de venda (para clientes)</t>
        </is>
      </c>
      <c r="D1834" t="inlineStr">
        <is>
          <t>CT-e</t>
        </is>
      </c>
      <c r="E1834" t="inlineStr">
        <is>
          <t>000005258</t>
        </is>
      </c>
      <c r="F1834" t="inlineStr">
        <is>
          <t>R&amp;R TRANSPORTE E LOGISTICA</t>
        </is>
      </c>
      <c r="G1834" s="27" t="n">
        <v>45922</v>
      </c>
      <c r="H1834" s="14" t="n">
        <v>68.45999999999999</v>
      </c>
      <c r="I1834" s="14" t="n">
        <v>0</v>
      </c>
      <c r="J1834" s="14" t="n">
        <v>0</v>
      </c>
      <c r="K1834" s="14" t="n">
        <v>0</v>
      </c>
      <c r="L1834" s="14" t="n">
        <v>0</v>
      </c>
      <c r="M1834" s="14">
        <f>IF(B1834="Frete de venda",0,(1-ISNUMBER(SEARCH("556",P1834)))*(I1834*VLOOKUP($B1834,Premissas!$A$4:$E$7,2,0)+J1834*VLOOKUP($B1834,Premissas!$A$4:$E$7,3,0))+K1834*VLOOKUP($B1834,Premissas!$A$4:$E$7,4,0)+L1834*VLOOKUP($B1834,Premissas!$A$4:$E$7,5,0))</f>
        <v/>
      </c>
      <c r="N1834" s="14">
        <f>H1834-M1834</f>
        <v/>
      </c>
      <c r="O1834" t="inlineStr">
        <is>
          <t>Não</t>
        </is>
      </c>
      <c r="P1834" t="inlineStr">
        <is>
          <t>1.350</t>
        </is>
      </c>
    </row>
    <row r="1835">
      <c r="A1835" t="inlineStr">
        <is>
          <t>Antes de 2026</t>
        </is>
      </c>
      <c r="B1835" t="inlineStr">
        <is>
          <t>Frete de venda</t>
        </is>
      </c>
      <c r="C1835" t="inlineStr">
        <is>
          <t>Frete de venda (para clientes)</t>
        </is>
      </c>
      <c r="D1835" t="inlineStr">
        <is>
          <t>CT-e</t>
        </is>
      </c>
      <c r="E1835" t="inlineStr">
        <is>
          <t>000005283</t>
        </is>
      </c>
      <c r="F1835" t="inlineStr">
        <is>
          <t>R&amp;R TRANSPORTE E LOGISTICA</t>
        </is>
      </c>
      <c r="G1835" s="27" t="n">
        <v>45926</v>
      </c>
      <c r="H1835" s="14" t="n">
        <v>21.36</v>
      </c>
      <c r="I1835" s="14" t="n">
        <v>0</v>
      </c>
      <c r="J1835" s="14" t="n">
        <v>0</v>
      </c>
      <c r="K1835" s="14" t="n">
        <v>0</v>
      </c>
      <c r="L1835" s="14" t="n">
        <v>0</v>
      </c>
      <c r="M1835" s="14">
        <f>IF(B1835="Frete de venda",0,(1-ISNUMBER(SEARCH("556",P1835)))*(I1835*VLOOKUP($B1835,Premissas!$A$4:$E$7,2,0)+J1835*VLOOKUP($B1835,Premissas!$A$4:$E$7,3,0))+K1835*VLOOKUP($B1835,Premissas!$A$4:$E$7,4,0)+L1835*VLOOKUP($B1835,Premissas!$A$4:$E$7,5,0))</f>
        <v/>
      </c>
      <c r="N1835" s="14">
        <f>H1835-M1835</f>
        <v/>
      </c>
      <c r="O1835" t="inlineStr">
        <is>
          <t>Não</t>
        </is>
      </c>
      <c r="P1835" t="inlineStr">
        <is>
          <t>1.350</t>
        </is>
      </c>
    </row>
    <row r="1836">
      <c r="A1836" t="inlineStr">
        <is>
          <t>Antes de 2026</t>
        </is>
      </c>
      <c r="B1836" t="inlineStr">
        <is>
          <t>Frete de venda</t>
        </is>
      </c>
      <c r="C1836" t="inlineStr">
        <is>
          <t>Frete de venda (para clientes)</t>
        </is>
      </c>
      <c r="D1836" t="inlineStr">
        <is>
          <t>CT-e</t>
        </is>
      </c>
      <c r="E1836" t="inlineStr">
        <is>
          <t>000005749</t>
        </is>
      </c>
      <c r="F1836" t="inlineStr">
        <is>
          <t>R&amp;R TRANSPORTE E LOGISTICA</t>
        </is>
      </c>
      <c r="G1836" s="27" t="n">
        <v>45979</v>
      </c>
      <c r="H1836" s="14" t="n">
        <v>49.8</v>
      </c>
      <c r="I1836" s="14" t="n">
        <v>0</v>
      </c>
      <c r="J1836" s="14" t="n">
        <v>0</v>
      </c>
      <c r="K1836" s="14" t="n">
        <v>0</v>
      </c>
      <c r="L1836" s="14" t="n">
        <v>0</v>
      </c>
      <c r="M1836" s="14">
        <f>IF(B1836="Frete de venda",0,(1-ISNUMBER(SEARCH("556",P1836)))*(I1836*VLOOKUP($B1836,Premissas!$A$4:$E$7,2,0)+J1836*VLOOKUP($B1836,Premissas!$A$4:$E$7,3,0))+K1836*VLOOKUP($B1836,Premissas!$A$4:$E$7,4,0)+L1836*VLOOKUP($B1836,Premissas!$A$4:$E$7,5,0))</f>
        <v/>
      </c>
      <c r="N1836" s="14">
        <f>H1836-M1836</f>
        <v/>
      </c>
      <c r="O1836" t="inlineStr">
        <is>
          <t>Não</t>
        </is>
      </c>
      <c r="P1836" t="inlineStr">
        <is>
          <t>1.350</t>
        </is>
      </c>
    </row>
    <row r="1837">
      <c r="A1837" t="inlineStr">
        <is>
          <t>Antes de 2026</t>
        </is>
      </c>
      <c r="B1837" t="inlineStr">
        <is>
          <t>Frete de venda</t>
        </is>
      </c>
      <c r="C1837" t="inlineStr">
        <is>
          <t>Frete de venda (para clientes)</t>
        </is>
      </c>
      <c r="D1837" t="inlineStr">
        <is>
          <t>CT-e</t>
        </is>
      </c>
      <c r="E1837" t="inlineStr">
        <is>
          <t>000005144</t>
        </is>
      </c>
      <c r="F1837" t="inlineStr">
        <is>
          <t>R&amp;R TRANSPORTE E LOGISTICA</t>
        </is>
      </c>
      <c r="G1837" s="27" t="n">
        <v>45908</v>
      </c>
      <c r="H1837" s="14" t="n">
        <v>57.01</v>
      </c>
      <c r="I1837" s="14" t="n">
        <v>0</v>
      </c>
      <c r="J1837" s="14" t="n">
        <v>0</v>
      </c>
      <c r="K1837" s="14" t="n">
        <v>0</v>
      </c>
      <c r="L1837" s="14" t="n">
        <v>0</v>
      </c>
      <c r="M1837" s="14">
        <f>IF(B1837="Frete de venda",0,(1-ISNUMBER(SEARCH("556",P1837)))*(I1837*VLOOKUP($B1837,Premissas!$A$4:$E$7,2,0)+J1837*VLOOKUP($B1837,Premissas!$A$4:$E$7,3,0))+K1837*VLOOKUP($B1837,Premissas!$A$4:$E$7,4,0)+L1837*VLOOKUP($B1837,Premissas!$A$4:$E$7,5,0))</f>
        <v/>
      </c>
      <c r="N1837" s="14">
        <f>H1837-M1837</f>
        <v/>
      </c>
      <c r="O1837" t="inlineStr">
        <is>
          <t>Não</t>
        </is>
      </c>
      <c r="P1837" t="inlineStr">
        <is>
          <t>1.350</t>
        </is>
      </c>
    </row>
    <row r="1838">
      <c r="A1838" t="inlineStr">
        <is>
          <t>Antes de 2026</t>
        </is>
      </c>
      <c r="B1838" t="inlineStr">
        <is>
          <t>Frete de venda</t>
        </is>
      </c>
      <c r="C1838" t="inlineStr">
        <is>
          <t>Frete de venda (para clientes)</t>
        </is>
      </c>
      <c r="D1838" t="inlineStr">
        <is>
          <t>CT-e</t>
        </is>
      </c>
      <c r="E1838" t="inlineStr">
        <is>
          <t>000004388</t>
        </is>
      </c>
      <c r="F1838" t="inlineStr">
        <is>
          <t>R&amp;R TRANSPORTE E LOGISTICA</t>
        </is>
      </c>
      <c r="G1838" s="27" t="n">
        <v>45814</v>
      </c>
      <c r="H1838" s="14" t="n">
        <v>400</v>
      </c>
      <c r="I1838" s="14" t="n">
        <v>0</v>
      </c>
      <c r="J1838" s="14" t="n">
        <v>0</v>
      </c>
      <c r="K1838" s="14" t="n">
        <v>0</v>
      </c>
      <c r="L1838" s="14" t="n">
        <v>0</v>
      </c>
      <c r="M1838" s="14">
        <f>IF(B1838="Frete de venda",0,(1-ISNUMBER(SEARCH("556",P1838)))*(I1838*VLOOKUP($B1838,Premissas!$A$4:$E$7,2,0)+J1838*VLOOKUP($B1838,Premissas!$A$4:$E$7,3,0))+K1838*VLOOKUP($B1838,Premissas!$A$4:$E$7,4,0)+L1838*VLOOKUP($B1838,Premissas!$A$4:$E$7,5,0))</f>
        <v/>
      </c>
      <c r="N1838" s="14">
        <f>H1838-M1838</f>
        <v/>
      </c>
      <c r="O1838" t="inlineStr">
        <is>
          <t>Não</t>
        </is>
      </c>
      <c r="P1838" t="inlineStr">
        <is>
          <t>1.350</t>
        </is>
      </c>
    </row>
    <row r="1839">
      <c r="A1839" t="inlineStr">
        <is>
          <t>Antes de 2026</t>
        </is>
      </c>
      <c r="B1839" t="inlineStr">
        <is>
          <t>Frete de venda</t>
        </is>
      </c>
      <c r="C1839" t="inlineStr">
        <is>
          <t>Frete de venda (para clientes)</t>
        </is>
      </c>
      <c r="D1839" t="inlineStr">
        <is>
          <t>CT-e</t>
        </is>
      </c>
      <c r="E1839" t="inlineStr">
        <is>
          <t>000004847</t>
        </is>
      </c>
      <c r="F1839" t="inlineStr">
        <is>
          <t>R&amp;R TRANSPORTE E LOGISTICA</t>
        </is>
      </c>
      <c r="G1839" s="27" t="n">
        <v>45874</v>
      </c>
      <c r="H1839" s="14" t="n">
        <v>350</v>
      </c>
      <c r="I1839" s="14" t="n">
        <v>0</v>
      </c>
      <c r="J1839" s="14" t="n">
        <v>0</v>
      </c>
      <c r="K1839" s="14" t="n">
        <v>0</v>
      </c>
      <c r="L1839" s="14" t="n">
        <v>0</v>
      </c>
      <c r="M1839" s="14">
        <f>IF(B1839="Frete de venda",0,(1-ISNUMBER(SEARCH("556",P1839)))*(I1839*VLOOKUP($B1839,Premissas!$A$4:$E$7,2,0)+J1839*VLOOKUP($B1839,Premissas!$A$4:$E$7,3,0))+K1839*VLOOKUP($B1839,Premissas!$A$4:$E$7,4,0)+L1839*VLOOKUP($B1839,Premissas!$A$4:$E$7,5,0))</f>
        <v/>
      </c>
      <c r="N1839" s="14">
        <f>H1839-M1839</f>
        <v/>
      </c>
      <c r="O1839" t="inlineStr">
        <is>
          <t>Não</t>
        </is>
      </c>
      <c r="P1839" t="inlineStr">
        <is>
          <t>1.350</t>
        </is>
      </c>
    </row>
    <row r="1840">
      <c r="A1840" t="inlineStr">
        <is>
          <t>Antes de 2026</t>
        </is>
      </c>
      <c r="B1840" t="inlineStr">
        <is>
          <t>Frete de venda</t>
        </is>
      </c>
      <c r="C1840" t="inlineStr">
        <is>
          <t>Frete de venda (para clientes)</t>
        </is>
      </c>
      <c r="D1840" t="inlineStr">
        <is>
          <t>CT-e</t>
        </is>
      </c>
      <c r="E1840" t="inlineStr">
        <is>
          <t>000005594</t>
        </is>
      </c>
      <c r="F1840" t="inlineStr">
        <is>
          <t>R&amp;R TRANSPORTE E LOGISTICA</t>
        </is>
      </c>
      <c r="G1840" s="27" t="n">
        <v>45957</v>
      </c>
      <c r="H1840" s="14" t="n">
        <v>467</v>
      </c>
      <c r="I1840" s="14" t="n">
        <v>0</v>
      </c>
      <c r="J1840" s="14" t="n">
        <v>0</v>
      </c>
      <c r="K1840" s="14" t="n">
        <v>0</v>
      </c>
      <c r="L1840" s="14" t="n">
        <v>0</v>
      </c>
      <c r="M1840" s="14">
        <f>IF(B1840="Frete de venda",0,(1-ISNUMBER(SEARCH("556",P1840)))*(I1840*VLOOKUP($B1840,Premissas!$A$4:$E$7,2,0)+J1840*VLOOKUP($B1840,Premissas!$A$4:$E$7,3,0))+K1840*VLOOKUP($B1840,Premissas!$A$4:$E$7,4,0)+L1840*VLOOKUP($B1840,Premissas!$A$4:$E$7,5,0))</f>
        <v/>
      </c>
      <c r="N1840" s="14">
        <f>H1840-M1840</f>
        <v/>
      </c>
      <c r="O1840" t="inlineStr">
        <is>
          <t>Não</t>
        </is>
      </c>
      <c r="P1840" t="inlineStr">
        <is>
          <t>1.350</t>
        </is>
      </c>
    </row>
    <row r="1841">
      <c r="A1841" t="inlineStr">
        <is>
          <t>Antes de 2026</t>
        </is>
      </c>
      <c r="B1841" t="inlineStr">
        <is>
          <t>Frete de venda</t>
        </is>
      </c>
      <c r="C1841" t="inlineStr">
        <is>
          <t>Frete de venda (para clientes)</t>
        </is>
      </c>
      <c r="D1841" t="inlineStr">
        <is>
          <t>CT-e</t>
        </is>
      </c>
      <c r="E1841" t="inlineStr">
        <is>
          <t>000005097</t>
        </is>
      </c>
      <c r="F1841" t="inlineStr">
        <is>
          <t>R&amp;R TRANSPORTE E LOGISTICA</t>
        </is>
      </c>
      <c r="G1841" s="27" t="n">
        <v>45901</v>
      </c>
      <c r="H1841" s="14" t="n">
        <v>23.89</v>
      </c>
      <c r="I1841" s="14" t="n">
        <v>0</v>
      </c>
      <c r="J1841" s="14" t="n">
        <v>0</v>
      </c>
      <c r="K1841" s="14" t="n">
        <v>0</v>
      </c>
      <c r="L1841" s="14" t="n">
        <v>0</v>
      </c>
      <c r="M1841" s="14">
        <f>IF(B1841="Frete de venda",0,(1-ISNUMBER(SEARCH("556",P1841)))*(I1841*VLOOKUP($B1841,Premissas!$A$4:$E$7,2,0)+J1841*VLOOKUP($B1841,Premissas!$A$4:$E$7,3,0))+K1841*VLOOKUP($B1841,Premissas!$A$4:$E$7,4,0)+L1841*VLOOKUP($B1841,Premissas!$A$4:$E$7,5,0))</f>
        <v/>
      </c>
      <c r="N1841" s="14">
        <f>H1841-M1841</f>
        <v/>
      </c>
      <c r="O1841" t="inlineStr">
        <is>
          <t>Não</t>
        </is>
      </c>
      <c r="P1841" t="inlineStr">
        <is>
          <t>1.350</t>
        </is>
      </c>
    </row>
    <row r="1842">
      <c r="A1842" t="inlineStr">
        <is>
          <t>Antes de 2026</t>
        </is>
      </c>
      <c r="B1842" t="inlineStr">
        <is>
          <t>Frete de venda</t>
        </is>
      </c>
      <c r="C1842" t="inlineStr">
        <is>
          <t>Frete de venda (para clientes)</t>
        </is>
      </c>
      <c r="D1842" t="inlineStr">
        <is>
          <t>CT-e</t>
        </is>
      </c>
      <c r="E1842" t="inlineStr">
        <is>
          <t>000004201</t>
        </is>
      </c>
      <c r="F1842" t="inlineStr">
        <is>
          <t>R&amp;R TRANSPORTE E LOGISTICA</t>
        </is>
      </c>
      <c r="G1842" s="27" t="n">
        <v>45790</v>
      </c>
      <c r="H1842" s="14" t="n">
        <v>26.5</v>
      </c>
      <c r="I1842" s="14" t="n">
        <v>0</v>
      </c>
      <c r="J1842" s="14" t="n">
        <v>0</v>
      </c>
      <c r="K1842" s="14" t="n">
        <v>0</v>
      </c>
      <c r="L1842" s="14" t="n">
        <v>0</v>
      </c>
      <c r="M1842" s="14">
        <f>IF(B1842="Frete de venda",0,(1-ISNUMBER(SEARCH("556",P1842)))*(I1842*VLOOKUP($B1842,Premissas!$A$4:$E$7,2,0)+J1842*VLOOKUP($B1842,Premissas!$A$4:$E$7,3,0))+K1842*VLOOKUP($B1842,Premissas!$A$4:$E$7,4,0)+L1842*VLOOKUP($B1842,Premissas!$A$4:$E$7,5,0))</f>
        <v/>
      </c>
      <c r="N1842" s="14">
        <f>H1842-M1842</f>
        <v/>
      </c>
      <c r="O1842" t="inlineStr">
        <is>
          <t>Não</t>
        </is>
      </c>
      <c r="P1842" t="inlineStr">
        <is>
          <t>1.350</t>
        </is>
      </c>
    </row>
    <row r="1843">
      <c r="A1843" t="inlineStr">
        <is>
          <t>Antes de 2026</t>
        </is>
      </c>
      <c r="B1843" t="inlineStr">
        <is>
          <t>Frete de venda</t>
        </is>
      </c>
      <c r="C1843" t="inlineStr">
        <is>
          <t>Frete de venda (para clientes)</t>
        </is>
      </c>
      <c r="D1843" t="inlineStr">
        <is>
          <t>CT-e</t>
        </is>
      </c>
      <c r="E1843" t="inlineStr">
        <is>
          <t>000004571</t>
        </is>
      </c>
      <c r="F1843" t="inlineStr">
        <is>
          <t>R&amp;R TRANSPORTE E LOGISTICA</t>
        </is>
      </c>
      <c r="G1843" s="27" t="n">
        <v>45841</v>
      </c>
      <c r="H1843" s="14" t="n">
        <v>59.22</v>
      </c>
      <c r="I1843" s="14" t="n">
        <v>0</v>
      </c>
      <c r="J1843" s="14" t="n">
        <v>0</v>
      </c>
      <c r="K1843" s="14" t="n">
        <v>0</v>
      </c>
      <c r="L1843" s="14" t="n">
        <v>0</v>
      </c>
      <c r="M1843" s="14">
        <f>IF(B1843="Frete de venda",0,(1-ISNUMBER(SEARCH("556",P1843)))*(I1843*VLOOKUP($B1843,Premissas!$A$4:$E$7,2,0)+J1843*VLOOKUP($B1843,Premissas!$A$4:$E$7,3,0))+K1843*VLOOKUP($B1843,Premissas!$A$4:$E$7,4,0)+L1843*VLOOKUP($B1843,Premissas!$A$4:$E$7,5,0))</f>
        <v/>
      </c>
      <c r="N1843" s="14">
        <f>H1843-M1843</f>
        <v/>
      </c>
      <c r="O1843" t="inlineStr">
        <is>
          <t>Não</t>
        </is>
      </c>
      <c r="P1843" t="inlineStr">
        <is>
          <t>1.350</t>
        </is>
      </c>
    </row>
    <row r="1844">
      <c r="A1844" t="inlineStr">
        <is>
          <t>Antes de 2026</t>
        </is>
      </c>
      <c r="B1844" t="inlineStr">
        <is>
          <t>Frete de venda</t>
        </is>
      </c>
      <c r="C1844" t="inlineStr">
        <is>
          <t>Frete de venda (para clientes)</t>
        </is>
      </c>
      <c r="D1844" t="inlineStr">
        <is>
          <t>CT-e</t>
        </is>
      </c>
      <c r="E1844" t="inlineStr">
        <is>
          <t>000002410</t>
        </is>
      </c>
      <c r="F1844" t="inlineStr">
        <is>
          <t>R&amp;R TRANSPORTE E LOGISTICA</t>
        </is>
      </c>
      <c r="G1844" s="27" t="n">
        <v>45504</v>
      </c>
      <c r="H1844" s="14" t="n">
        <v>25</v>
      </c>
      <c r="I1844" s="14" t="n">
        <v>0</v>
      </c>
      <c r="J1844" s="14" t="n">
        <v>0</v>
      </c>
      <c r="K1844" s="14" t="n">
        <v>0</v>
      </c>
      <c r="L1844" s="14" t="n">
        <v>0</v>
      </c>
      <c r="M1844" s="14">
        <f>IF(B1844="Frete de venda",0,(1-ISNUMBER(SEARCH("556",P1844)))*(I1844*VLOOKUP($B1844,Premissas!$A$4:$E$7,2,0)+J1844*VLOOKUP($B1844,Premissas!$A$4:$E$7,3,0))+K1844*VLOOKUP($B1844,Premissas!$A$4:$E$7,4,0)+L1844*VLOOKUP($B1844,Premissas!$A$4:$E$7,5,0))</f>
        <v/>
      </c>
      <c r="N1844" s="14">
        <f>H1844-M1844</f>
        <v/>
      </c>
      <c r="O1844" t="inlineStr">
        <is>
          <t>Não</t>
        </is>
      </c>
      <c r="P1844" t="inlineStr">
        <is>
          <t>1.556</t>
        </is>
      </c>
    </row>
    <row r="1845">
      <c r="A1845" t="inlineStr">
        <is>
          <t>Antes de 2026</t>
        </is>
      </c>
      <c r="B1845" t="inlineStr">
        <is>
          <t>Frete de venda</t>
        </is>
      </c>
      <c r="C1845" t="inlineStr">
        <is>
          <t>Frete de venda (para clientes)</t>
        </is>
      </c>
      <c r="D1845" t="inlineStr">
        <is>
          <t>CT-e</t>
        </is>
      </c>
      <c r="E1845" t="inlineStr">
        <is>
          <t>000019527</t>
        </is>
      </c>
      <c r="F1845" t="inlineStr">
        <is>
          <t>TRANSPORTE OLIVEIRA E MELLOI - IDEALIZA TRANSPORTES</t>
        </is>
      </c>
      <c r="G1845" s="27" t="n">
        <v>45546</v>
      </c>
      <c r="H1845" s="14" t="n">
        <v>469.35</v>
      </c>
      <c r="I1845" s="14" t="n">
        <v>0</v>
      </c>
      <c r="J1845" s="14" t="n">
        <v>0</v>
      </c>
      <c r="K1845" s="14" t="n">
        <v>0</v>
      </c>
      <c r="L1845" s="14" t="n">
        <v>0</v>
      </c>
      <c r="M1845" s="14">
        <f>IF(B1845="Frete de venda",0,(1-ISNUMBER(SEARCH("556",P1845)))*(I1845*VLOOKUP($B1845,Premissas!$A$4:$E$7,2,0)+J1845*VLOOKUP($B1845,Premissas!$A$4:$E$7,3,0))+K1845*VLOOKUP($B1845,Premissas!$A$4:$E$7,4,0)+L1845*VLOOKUP($B1845,Premissas!$A$4:$E$7,5,0))</f>
        <v/>
      </c>
      <c r="N1845" s="14">
        <f>H1845-M1845</f>
        <v/>
      </c>
      <c r="O1845" t="inlineStr">
        <is>
          <t>Não</t>
        </is>
      </c>
      <c r="P1845" t="inlineStr">
        <is>
          <t>1.556</t>
        </is>
      </c>
    </row>
    <row r="1846">
      <c r="A1846" t="inlineStr">
        <is>
          <t>Antes de 2026</t>
        </is>
      </c>
      <c r="B1846" t="inlineStr">
        <is>
          <t>Frete de venda</t>
        </is>
      </c>
      <c r="C1846" t="inlineStr">
        <is>
          <t>Frete de venda (para clientes)</t>
        </is>
      </c>
      <c r="D1846" t="inlineStr">
        <is>
          <t>CT-e</t>
        </is>
      </c>
      <c r="E1846" t="inlineStr">
        <is>
          <t>000002421</t>
        </is>
      </c>
      <c r="F1846" t="inlineStr">
        <is>
          <t>R&amp;R TRANSPORTE E LOGISTICA</t>
        </is>
      </c>
      <c r="G1846" s="27" t="n">
        <v>45505</v>
      </c>
      <c r="H1846" s="14" t="n">
        <v>384</v>
      </c>
      <c r="I1846" s="14" t="n">
        <v>0</v>
      </c>
      <c r="J1846" s="14" t="n">
        <v>0</v>
      </c>
      <c r="K1846" s="14" t="n">
        <v>0</v>
      </c>
      <c r="L1846" s="14" t="n">
        <v>0</v>
      </c>
      <c r="M1846" s="14">
        <f>IF(B1846="Frete de venda",0,(1-ISNUMBER(SEARCH("556",P1846)))*(I1846*VLOOKUP($B1846,Premissas!$A$4:$E$7,2,0)+J1846*VLOOKUP($B1846,Premissas!$A$4:$E$7,3,0))+K1846*VLOOKUP($B1846,Premissas!$A$4:$E$7,4,0)+L1846*VLOOKUP($B1846,Premissas!$A$4:$E$7,5,0))</f>
        <v/>
      </c>
      <c r="N1846" s="14">
        <f>H1846-M1846</f>
        <v/>
      </c>
      <c r="O1846" t="inlineStr">
        <is>
          <t>Não</t>
        </is>
      </c>
      <c r="P1846" t="inlineStr">
        <is>
          <t>1.556</t>
        </is>
      </c>
    </row>
    <row r="1847">
      <c r="A1847" t="inlineStr">
        <is>
          <t>Antes de 2026</t>
        </is>
      </c>
      <c r="B1847" t="inlineStr">
        <is>
          <t>Frete de venda</t>
        </is>
      </c>
      <c r="C1847" t="inlineStr">
        <is>
          <t>Frete de venda (para clientes)</t>
        </is>
      </c>
      <c r="D1847" t="inlineStr">
        <is>
          <t>CT-e</t>
        </is>
      </c>
      <c r="E1847" t="inlineStr">
        <is>
          <t>000002413</t>
        </is>
      </c>
      <c r="F1847" t="inlineStr">
        <is>
          <t>R&amp;R TRANSPORTE E LOGISTICA</t>
        </is>
      </c>
      <c r="G1847" s="27" t="n">
        <v>45504</v>
      </c>
      <c r="H1847" s="14" t="n">
        <v>25</v>
      </c>
      <c r="I1847" s="14" t="n">
        <v>0</v>
      </c>
      <c r="J1847" s="14" t="n">
        <v>0</v>
      </c>
      <c r="K1847" s="14" t="n">
        <v>0</v>
      </c>
      <c r="L1847" s="14" t="n">
        <v>0</v>
      </c>
      <c r="M1847" s="14">
        <f>IF(B1847="Frete de venda",0,(1-ISNUMBER(SEARCH("556",P1847)))*(I1847*VLOOKUP($B1847,Premissas!$A$4:$E$7,2,0)+J1847*VLOOKUP($B1847,Premissas!$A$4:$E$7,3,0))+K1847*VLOOKUP($B1847,Premissas!$A$4:$E$7,4,0)+L1847*VLOOKUP($B1847,Premissas!$A$4:$E$7,5,0))</f>
        <v/>
      </c>
      <c r="N1847" s="14">
        <f>H1847-M1847</f>
        <v/>
      </c>
      <c r="O1847" t="inlineStr">
        <is>
          <t>Não</t>
        </is>
      </c>
      <c r="P1847" t="inlineStr">
        <is>
          <t>1.556</t>
        </is>
      </c>
    </row>
    <row r="1848">
      <c r="A1848" t="inlineStr">
        <is>
          <t>Antes de 2026</t>
        </is>
      </c>
      <c r="B1848" t="inlineStr">
        <is>
          <t>Frete de venda</t>
        </is>
      </c>
      <c r="C1848" t="inlineStr">
        <is>
          <t>Frete de venda (para clientes)</t>
        </is>
      </c>
      <c r="D1848" t="inlineStr">
        <is>
          <t>CT-e</t>
        </is>
      </c>
      <c r="E1848" t="inlineStr">
        <is>
          <t>000002418</t>
        </is>
      </c>
      <c r="F1848" t="inlineStr">
        <is>
          <t>R&amp;R TRANSPORTE E LOGISTICA</t>
        </is>
      </c>
      <c r="G1848" s="27" t="n">
        <v>45505</v>
      </c>
      <c r="H1848" s="14" t="n">
        <v>40</v>
      </c>
      <c r="I1848" s="14" t="n">
        <v>0</v>
      </c>
      <c r="J1848" s="14" t="n">
        <v>0</v>
      </c>
      <c r="K1848" s="14" t="n">
        <v>0</v>
      </c>
      <c r="L1848" s="14" t="n">
        <v>0</v>
      </c>
      <c r="M1848" s="14">
        <f>IF(B1848="Frete de venda",0,(1-ISNUMBER(SEARCH("556",P1848)))*(I1848*VLOOKUP($B1848,Premissas!$A$4:$E$7,2,0)+J1848*VLOOKUP($B1848,Premissas!$A$4:$E$7,3,0))+K1848*VLOOKUP($B1848,Premissas!$A$4:$E$7,4,0)+L1848*VLOOKUP($B1848,Premissas!$A$4:$E$7,5,0))</f>
        <v/>
      </c>
      <c r="N1848" s="14">
        <f>H1848-M1848</f>
        <v/>
      </c>
      <c r="O1848" t="inlineStr">
        <is>
          <t>Não</t>
        </is>
      </c>
      <c r="P1848" t="inlineStr">
        <is>
          <t>1.556</t>
        </is>
      </c>
    </row>
    <row r="1849">
      <c r="A1849" t="inlineStr">
        <is>
          <t>Antes de 2026</t>
        </is>
      </c>
      <c r="B1849" t="inlineStr">
        <is>
          <t>Frete de venda</t>
        </is>
      </c>
      <c r="C1849" t="inlineStr">
        <is>
          <t>Frete de venda (para clientes)</t>
        </is>
      </c>
      <c r="D1849" t="inlineStr">
        <is>
          <t>CT-e</t>
        </is>
      </c>
      <c r="E1849" t="inlineStr">
        <is>
          <t>000002393</t>
        </is>
      </c>
      <c r="F1849" t="inlineStr">
        <is>
          <t>R&amp;R TRANSPORTE E LOGISTICA</t>
        </is>
      </c>
      <c r="G1849" s="27" t="n">
        <v>45503</v>
      </c>
      <c r="H1849" s="14" t="n">
        <v>100</v>
      </c>
      <c r="I1849" s="14" t="n">
        <v>0</v>
      </c>
      <c r="J1849" s="14" t="n">
        <v>0</v>
      </c>
      <c r="K1849" s="14" t="n">
        <v>0</v>
      </c>
      <c r="L1849" s="14" t="n">
        <v>0</v>
      </c>
      <c r="M1849" s="14">
        <f>IF(B1849="Frete de venda",0,(1-ISNUMBER(SEARCH("556",P1849)))*(I1849*VLOOKUP($B1849,Premissas!$A$4:$E$7,2,0)+J1849*VLOOKUP($B1849,Premissas!$A$4:$E$7,3,0))+K1849*VLOOKUP($B1849,Premissas!$A$4:$E$7,4,0)+L1849*VLOOKUP($B1849,Premissas!$A$4:$E$7,5,0))</f>
        <v/>
      </c>
      <c r="N1849" s="14">
        <f>H1849-M1849</f>
        <v/>
      </c>
      <c r="O1849" t="inlineStr">
        <is>
          <t>Não</t>
        </is>
      </c>
      <c r="P1849" t="inlineStr">
        <is>
          <t>1.556</t>
        </is>
      </c>
    </row>
    <row r="1850">
      <c r="A1850" t="inlineStr">
        <is>
          <t>Antes de 2026</t>
        </is>
      </c>
      <c r="B1850" t="inlineStr">
        <is>
          <t>Frete de venda</t>
        </is>
      </c>
      <c r="C1850" t="inlineStr">
        <is>
          <t>Frete de venda (para clientes)</t>
        </is>
      </c>
      <c r="D1850" t="inlineStr">
        <is>
          <t>CT-e</t>
        </is>
      </c>
      <c r="E1850" t="inlineStr">
        <is>
          <t>000002414</t>
        </is>
      </c>
      <c r="F1850" t="inlineStr">
        <is>
          <t>R&amp;R TRANSPORTE E LOGISTICA</t>
        </is>
      </c>
      <c r="G1850" s="27" t="n">
        <v>45504</v>
      </c>
      <c r="H1850" s="14" t="n">
        <v>50</v>
      </c>
      <c r="I1850" s="14" t="n">
        <v>0</v>
      </c>
      <c r="J1850" s="14" t="n">
        <v>0</v>
      </c>
      <c r="K1850" s="14" t="n">
        <v>0</v>
      </c>
      <c r="L1850" s="14" t="n">
        <v>0</v>
      </c>
      <c r="M1850" s="14">
        <f>IF(B1850="Frete de venda",0,(1-ISNUMBER(SEARCH("556",P1850)))*(I1850*VLOOKUP($B1850,Premissas!$A$4:$E$7,2,0)+J1850*VLOOKUP($B1850,Premissas!$A$4:$E$7,3,0))+K1850*VLOOKUP($B1850,Premissas!$A$4:$E$7,4,0)+L1850*VLOOKUP($B1850,Premissas!$A$4:$E$7,5,0))</f>
        <v/>
      </c>
      <c r="N1850" s="14">
        <f>H1850-M1850</f>
        <v/>
      </c>
      <c r="O1850" t="inlineStr">
        <is>
          <t>Não</t>
        </is>
      </c>
      <c r="P1850" t="inlineStr">
        <is>
          <t>1.556</t>
        </is>
      </c>
    </row>
    <row r="1851">
      <c r="A1851" t="inlineStr">
        <is>
          <t>Antes de 2026</t>
        </is>
      </c>
      <c r="B1851" t="inlineStr">
        <is>
          <t>Frete de venda</t>
        </is>
      </c>
      <c r="C1851" t="inlineStr">
        <is>
          <t>Frete de venda (para clientes)</t>
        </is>
      </c>
      <c r="D1851" t="inlineStr">
        <is>
          <t>CT-e</t>
        </is>
      </c>
      <c r="E1851" t="inlineStr">
        <is>
          <t>000002412</t>
        </is>
      </c>
      <c r="F1851" t="inlineStr">
        <is>
          <t>R&amp;R TRANSPORTE E LOGISTICA</t>
        </is>
      </c>
      <c r="G1851" s="27" t="n">
        <v>45504</v>
      </c>
      <c r="H1851" s="14" t="n">
        <v>25</v>
      </c>
      <c r="I1851" s="14" t="n">
        <v>0</v>
      </c>
      <c r="J1851" s="14" t="n">
        <v>0</v>
      </c>
      <c r="K1851" s="14" t="n">
        <v>0</v>
      </c>
      <c r="L1851" s="14" t="n">
        <v>0</v>
      </c>
      <c r="M1851" s="14">
        <f>IF(B1851="Frete de venda",0,(1-ISNUMBER(SEARCH("556",P1851)))*(I1851*VLOOKUP($B1851,Premissas!$A$4:$E$7,2,0)+J1851*VLOOKUP($B1851,Premissas!$A$4:$E$7,3,0))+K1851*VLOOKUP($B1851,Premissas!$A$4:$E$7,4,0)+L1851*VLOOKUP($B1851,Premissas!$A$4:$E$7,5,0))</f>
        <v/>
      </c>
      <c r="N1851" s="14">
        <f>H1851-M1851</f>
        <v/>
      </c>
      <c r="O1851" t="inlineStr">
        <is>
          <t>Não</t>
        </is>
      </c>
      <c r="P1851" t="inlineStr">
        <is>
          <t>1.556</t>
        </is>
      </c>
    </row>
    <row r="1852">
      <c r="A1852" t="inlineStr">
        <is>
          <t>Antes de 2026</t>
        </is>
      </c>
      <c r="B1852" t="inlineStr">
        <is>
          <t>Frete de venda</t>
        </is>
      </c>
      <c r="C1852" t="inlineStr">
        <is>
          <t>Frete de venda (para clientes)</t>
        </is>
      </c>
      <c r="D1852" t="inlineStr">
        <is>
          <t>CT-e</t>
        </is>
      </c>
      <c r="E1852" t="inlineStr">
        <is>
          <t>000000046</t>
        </is>
      </c>
      <c r="F1852" t="inlineStr">
        <is>
          <t>ADIL CARLOS DA SILVA</t>
        </is>
      </c>
      <c r="G1852" s="27" t="n">
        <v>45542</v>
      </c>
      <c r="H1852" s="14" t="n">
        <v>150</v>
      </c>
      <c r="I1852" s="14" t="n">
        <v>0</v>
      </c>
      <c r="J1852" s="14" t="n">
        <v>0</v>
      </c>
      <c r="K1852" s="14" t="n">
        <v>0</v>
      </c>
      <c r="L1852" s="14" t="n">
        <v>0</v>
      </c>
      <c r="M1852" s="14">
        <f>IF(B1852="Frete de venda",0,(1-ISNUMBER(SEARCH("556",P1852)))*(I1852*VLOOKUP($B1852,Premissas!$A$4:$E$7,2,0)+J1852*VLOOKUP($B1852,Premissas!$A$4:$E$7,3,0))+K1852*VLOOKUP($B1852,Premissas!$A$4:$E$7,4,0)+L1852*VLOOKUP($B1852,Premissas!$A$4:$E$7,5,0))</f>
        <v/>
      </c>
      <c r="N1852" s="14">
        <f>H1852-M1852</f>
        <v/>
      </c>
      <c r="O1852" t="inlineStr">
        <is>
          <t>Não</t>
        </is>
      </c>
      <c r="P1852" t="inlineStr">
        <is>
          <t>1.556</t>
        </is>
      </c>
    </row>
    <row r="1853">
      <c r="A1853" t="inlineStr">
        <is>
          <t>Antes de 2026</t>
        </is>
      </c>
      <c r="B1853" t="inlineStr">
        <is>
          <t>Frete de venda</t>
        </is>
      </c>
      <c r="C1853" t="inlineStr">
        <is>
          <t>Frete de venda (para clientes)</t>
        </is>
      </c>
      <c r="D1853" t="inlineStr">
        <is>
          <t>CT-e</t>
        </is>
      </c>
      <c r="E1853" t="inlineStr">
        <is>
          <t>000002417</t>
        </is>
      </c>
      <c r="F1853" t="inlineStr">
        <is>
          <t>R&amp;R TRANSPORTE E LOGISTICA</t>
        </is>
      </c>
      <c r="G1853" s="27" t="n">
        <v>45505</v>
      </c>
      <c r="H1853" s="14" t="n">
        <v>40</v>
      </c>
      <c r="I1853" s="14" t="n">
        <v>0</v>
      </c>
      <c r="J1853" s="14" t="n">
        <v>0</v>
      </c>
      <c r="K1853" s="14" t="n">
        <v>0</v>
      </c>
      <c r="L1853" s="14" t="n">
        <v>0</v>
      </c>
      <c r="M1853" s="14">
        <f>IF(B1853="Frete de venda",0,(1-ISNUMBER(SEARCH("556",P1853)))*(I1853*VLOOKUP($B1853,Premissas!$A$4:$E$7,2,0)+J1853*VLOOKUP($B1853,Premissas!$A$4:$E$7,3,0))+K1853*VLOOKUP($B1853,Premissas!$A$4:$E$7,4,0)+L1853*VLOOKUP($B1853,Premissas!$A$4:$E$7,5,0))</f>
        <v/>
      </c>
      <c r="N1853" s="14">
        <f>H1853-M1853</f>
        <v/>
      </c>
      <c r="O1853" t="inlineStr">
        <is>
          <t>Não</t>
        </is>
      </c>
      <c r="P1853" t="inlineStr">
        <is>
          <t>1.556</t>
        </is>
      </c>
    </row>
    <row r="1854">
      <c r="A1854" t="inlineStr">
        <is>
          <t>Antes de 2026</t>
        </is>
      </c>
      <c r="B1854" t="inlineStr">
        <is>
          <t>Frete de venda</t>
        </is>
      </c>
      <c r="C1854" t="inlineStr">
        <is>
          <t>Frete de venda (para clientes)</t>
        </is>
      </c>
      <c r="D1854" t="inlineStr">
        <is>
          <t>CT-e</t>
        </is>
      </c>
      <c r="E1854" t="inlineStr">
        <is>
          <t>000002373</t>
        </is>
      </c>
      <c r="F1854" t="inlineStr">
        <is>
          <t>R&amp;R TRANSPORTE E LOGISTICA</t>
        </is>
      </c>
      <c r="G1854" s="27" t="n">
        <v>45496</v>
      </c>
      <c r="H1854" s="14" t="n">
        <v>400</v>
      </c>
      <c r="I1854" s="14" t="n">
        <v>0</v>
      </c>
      <c r="J1854" s="14" t="n">
        <v>0</v>
      </c>
      <c r="K1854" s="14" t="n">
        <v>0</v>
      </c>
      <c r="L1854" s="14" t="n">
        <v>0</v>
      </c>
      <c r="M1854" s="14">
        <f>IF(B1854="Frete de venda",0,(1-ISNUMBER(SEARCH("556",P1854)))*(I1854*VLOOKUP($B1854,Premissas!$A$4:$E$7,2,0)+J1854*VLOOKUP($B1854,Premissas!$A$4:$E$7,3,0))+K1854*VLOOKUP($B1854,Premissas!$A$4:$E$7,4,0)+L1854*VLOOKUP($B1854,Premissas!$A$4:$E$7,5,0))</f>
        <v/>
      </c>
      <c r="N1854" s="14">
        <f>H1854-M1854</f>
        <v/>
      </c>
      <c r="O1854" t="inlineStr">
        <is>
          <t>Não</t>
        </is>
      </c>
      <c r="P1854" t="inlineStr">
        <is>
          <t>1.556</t>
        </is>
      </c>
    </row>
    <row r="1855">
      <c r="A1855" t="inlineStr">
        <is>
          <t>Antes de 2026</t>
        </is>
      </c>
      <c r="B1855" t="inlineStr">
        <is>
          <t>Frete de venda</t>
        </is>
      </c>
      <c r="C1855" t="inlineStr">
        <is>
          <t>Frete de venda (para clientes)</t>
        </is>
      </c>
      <c r="D1855" t="inlineStr">
        <is>
          <t>CT-e</t>
        </is>
      </c>
      <c r="E1855" t="inlineStr">
        <is>
          <t>000002423</t>
        </is>
      </c>
      <c r="F1855" t="inlineStr">
        <is>
          <t>R&amp;R TRANSPORTE E LOGISTICA</t>
        </is>
      </c>
      <c r="G1855" s="27" t="n">
        <v>45505</v>
      </c>
      <c r="H1855" s="14" t="n">
        <v>383</v>
      </c>
      <c r="I1855" s="14" t="n">
        <v>0</v>
      </c>
      <c r="J1855" s="14" t="n">
        <v>0</v>
      </c>
      <c r="K1855" s="14" t="n">
        <v>0</v>
      </c>
      <c r="L1855" s="14" t="n">
        <v>0</v>
      </c>
      <c r="M1855" s="14">
        <f>IF(B1855="Frete de venda",0,(1-ISNUMBER(SEARCH("556",P1855)))*(I1855*VLOOKUP($B1855,Premissas!$A$4:$E$7,2,0)+J1855*VLOOKUP($B1855,Premissas!$A$4:$E$7,3,0))+K1855*VLOOKUP($B1855,Premissas!$A$4:$E$7,4,0)+L1855*VLOOKUP($B1855,Premissas!$A$4:$E$7,5,0))</f>
        <v/>
      </c>
      <c r="N1855" s="14">
        <f>H1855-M1855</f>
        <v/>
      </c>
      <c r="O1855" t="inlineStr">
        <is>
          <t>Não</t>
        </is>
      </c>
      <c r="P1855" t="inlineStr">
        <is>
          <t>1.556</t>
        </is>
      </c>
    </row>
    <row r="1856">
      <c r="A1856" t="inlineStr">
        <is>
          <t>Antes de 2026</t>
        </is>
      </c>
      <c r="B1856" t="inlineStr">
        <is>
          <t>Frete de venda</t>
        </is>
      </c>
      <c r="C1856" t="inlineStr">
        <is>
          <t>Frete de venda (para clientes)</t>
        </is>
      </c>
      <c r="D1856" t="inlineStr">
        <is>
          <t>CT-e</t>
        </is>
      </c>
      <c r="E1856" t="inlineStr">
        <is>
          <t>000002420</t>
        </is>
      </c>
      <c r="F1856" t="inlineStr">
        <is>
          <t>R&amp;R TRANSPORTE E LOGISTICA</t>
        </is>
      </c>
      <c r="G1856" s="27" t="n">
        <v>45505</v>
      </c>
      <c r="H1856" s="14" t="n">
        <v>40</v>
      </c>
      <c r="I1856" s="14" t="n">
        <v>0</v>
      </c>
      <c r="J1856" s="14" t="n">
        <v>0</v>
      </c>
      <c r="K1856" s="14" t="n">
        <v>0</v>
      </c>
      <c r="L1856" s="14" t="n">
        <v>0</v>
      </c>
      <c r="M1856" s="14">
        <f>IF(B1856="Frete de venda",0,(1-ISNUMBER(SEARCH("556",P1856)))*(I1856*VLOOKUP($B1856,Premissas!$A$4:$E$7,2,0)+J1856*VLOOKUP($B1856,Premissas!$A$4:$E$7,3,0))+K1856*VLOOKUP($B1856,Premissas!$A$4:$E$7,4,0)+L1856*VLOOKUP($B1856,Premissas!$A$4:$E$7,5,0))</f>
        <v/>
      </c>
      <c r="N1856" s="14">
        <f>H1856-M1856</f>
        <v/>
      </c>
      <c r="O1856" t="inlineStr">
        <is>
          <t>Não</t>
        </is>
      </c>
      <c r="P1856" t="inlineStr">
        <is>
          <t>1.556</t>
        </is>
      </c>
    </row>
    <row r="1857">
      <c r="A1857" t="inlineStr">
        <is>
          <t>Antes de 2026</t>
        </is>
      </c>
      <c r="B1857" t="inlineStr">
        <is>
          <t>Frete de venda</t>
        </is>
      </c>
      <c r="C1857" t="inlineStr">
        <is>
          <t>Frete de venda (para clientes)</t>
        </is>
      </c>
      <c r="D1857" t="inlineStr">
        <is>
          <t>CT-e</t>
        </is>
      </c>
      <c r="E1857" t="inlineStr">
        <is>
          <t>000019094</t>
        </is>
      </c>
      <c r="F1857" t="inlineStr">
        <is>
          <t>TRANSPORTE OLIVEIRA E MELLOI - IDEALIZA TRANSPORTES</t>
        </is>
      </c>
      <c r="G1857" s="27" t="n">
        <v>45513</v>
      </c>
      <c r="H1857" s="14" t="n">
        <v>528.05</v>
      </c>
      <c r="I1857" s="14" t="n">
        <v>0</v>
      </c>
      <c r="J1857" s="14" t="n">
        <v>0</v>
      </c>
      <c r="K1857" s="14" t="n">
        <v>0</v>
      </c>
      <c r="L1857" s="14" t="n">
        <v>0</v>
      </c>
      <c r="M1857" s="14">
        <f>IF(B1857="Frete de venda",0,(1-ISNUMBER(SEARCH("556",P1857)))*(I1857*VLOOKUP($B1857,Premissas!$A$4:$E$7,2,0)+J1857*VLOOKUP($B1857,Premissas!$A$4:$E$7,3,0))+K1857*VLOOKUP($B1857,Premissas!$A$4:$E$7,4,0)+L1857*VLOOKUP($B1857,Premissas!$A$4:$E$7,5,0))</f>
        <v/>
      </c>
      <c r="N1857" s="14">
        <f>H1857-M1857</f>
        <v/>
      </c>
      <c r="O1857" t="inlineStr">
        <is>
          <t>Não</t>
        </is>
      </c>
      <c r="P1857" t="inlineStr">
        <is>
          <t>1.556</t>
        </is>
      </c>
    </row>
    <row r="1858">
      <c r="A1858" t="inlineStr">
        <is>
          <t>Antes de 2026</t>
        </is>
      </c>
      <c r="B1858" t="inlineStr">
        <is>
          <t>Frete de venda</t>
        </is>
      </c>
      <c r="C1858" t="inlineStr">
        <is>
          <t>Frete de venda (para clientes)</t>
        </is>
      </c>
      <c r="D1858" t="inlineStr">
        <is>
          <t>CT-e</t>
        </is>
      </c>
      <c r="E1858" t="inlineStr">
        <is>
          <t>000002419</t>
        </is>
      </c>
      <c r="F1858" t="inlineStr">
        <is>
          <t>R&amp;R TRANSPORTE E LOGISTICA</t>
        </is>
      </c>
      <c r="G1858" s="27" t="n">
        <v>45505</v>
      </c>
      <c r="H1858" s="14" t="n">
        <v>80</v>
      </c>
      <c r="I1858" s="14" t="n">
        <v>0</v>
      </c>
      <c r="J1858" s="14" t="n">
        <v>0</v>
      </c>
      <c r="K1858" s="14" t="n">
        <v>0</v>
      </c>
      <c r="L1858" s="14" t="n">
        <v>0</v>
      </c>
      <c r="M1858" s="14">
        <f>IF(B1858="Frete de venda",0,(1-ISNUMBER(SEARCH("556",P1858)))*(I1858*VLOOKUP($B1858,Premissas!$A$4:$E$7,2,0)+J1858*VLOOKUP($B1858,Premissas!$A$4:$E$7,3,0))+K1858*VLOOKUP($B1858,Premissas!$A$4:$E$7,4,0)+L1858*VLOOKUP($B1858,Premissas!$A$4:$E$7,5,0))</f>
        <v/>
      </c>
      <c r="N1858" s="14">
        <f>H1858-M1858</f>
        <v/>
      </c>
      <c r="O1858" t="inlineStr">
        <is>
          <t>Não</t>
        </is>
      </c>
      <c r="P1858" t="inlineStr">
        <is>
          <t>1.556</t>
        </is>
      </c>
    </row>
    <row r="1859">
      <c r="A1859" t="inlineStr">
        <is>
          <t>Antes de 2026</t>
        </is>
      </c>
      <c r="B1859" t="inlineStr">
        <is>
          <t>Frete de venda</t>
        </is>
      </c>
      <c r="C1859" t="inlineStr">
        <is>
          <t>Frete de venda (para clientes)</t>
        </is>
      </c>
      <c r="D1859" t="inlineStr">
        <is>
          <t>CT-e</t>
        </is>
      </c>
      <c r="E1859" t="inlineStr">
        <is>
          <t>000019205</t>
        </is>
      </c>
      <c r="F1859" t="inlineStr">
        <is>
          <t>TRANSPORTE OLIVEIRA E MELLOI - IDEALIZA TRANSPORTES</t>
        </is>
      </c>
      <c r="G1859" s="27" t="n">
        <v>45524</v>
      </c>
      <c r="H1859" s="14" t="n">
        <v>959.48</v>
      </c>
      <c r="I1859" s="14" t="n">
        <v>0</v>
      </c>
      <c r="J1859" s="14" t="n">
        <v>0</v>
      </c>
      <c r="K1859" s="14" t="n">
        <v>0</v>
      </c>
      <c r="L1859" s="14" t="n">
        <v>0</v>
      </c>
      <c r="M1859" s="14">
        <f>IF(B1859="Frete de venda",0,(1-ISNUMBER(SEARCH("556",P1859)))*(I1859*VLOOKUP($B1859,Premissas!$A$4:$E$7,2,0)+J1859*VLOOKUP($B1859,Premissas!$A$4:$E$7,3,0))+K1859*VLOOKUP($B1859,Premissas!$A$4:$E$7,4,0)+L1859*VLOOKUP($B1859,Premissas!$A$4:$E$7,5,0))</f>
        <v/>
      </c>
      <c r="N1859" s="14">
        <f>H1859-M1859</f>
        <v/>
      </c>
      <c r="O1859" t="inlineStr">
        <is>
          <t>Não</t>
        </is>
      </c>
      <c r="P1859" t="inlineStr">
        <is>
          <t>1.556</t>
        </is>
      </c>
    </row>
    <row r="1860">
      <c r="A1860" t="inlineStr">
        <is>
          <t>Antes de 2026</t>
        </is>
      </c>
      <c r="B1860" t="inlineStr">
        <is>
          <t>Frete de venda</t>
        </is>
      </c>
      <c r="C1860" t="inlineStr">
        <is>
          <t>Frete de venda (para clientes)</t>
        </is>
      </c>
      <c r="D1860" t="inlineStr">
        <is>
          <t>CT-e</t>
        </is>
      </c>
      <c r="E1860" t="inlineStr">
        <is>
          <t>000019525</t>
        </is>
      </c>
      <c r="F1860" t="inlineStr">
        <is>
          <t>TRANSPORTE OLIVEIRA E MELLOI - IDEALIZA TRANSPORTES</t>
        </is>
      </c>
      <c r="G1860" s="27" t="n">
        <v>45546</v>
      </c>
      <c r="H1860" s="14" t="n">
        <v>136.15</v>
      </c>
      <c r="I1860" s="14" t="n">
        <v>0</v>
      </c>
      <c r="J1860" s="14" t="n">
        <v>0</v>
      </c>
      <c r="K1860" s="14" t="n">
        <v>0</v>
      </c>
      <c r="L1860" s="14" t="n">
        <v>0</v>
      </c>
      <c r="M1860" s="14">
        <f>IF(B1860="Frete de venda",0,(1-ISNUMBER(SEARCH("556",P1860)))*(I1860*VLOOKUP($B1860,Premissas!$A$4:$E$7,2,0)+J1860*VLOOKUP($B1860,Premissas!$A$4:$E$7,3,0))+K1860*VLOOKUP($B1860,Premissas!$A$4:$E$7,4,0)+L1860*VLOOKUP($B1860,Premissas!$A$4:$E$7,5,0))</f>
        <v/>
      </c>
      <c r="N1860" s="14">
        <f>H1860-M1860</f>
        <v/>
      </c>
      <c r="O1860" t="inlineStr">
        <is>
          <t>Não</t>
        </is>
      </c>
      <c r="P1860" t="inlineStr">
        <is>
          <t>1.556</t>
        </is>
      </c>
    </row>
    <row r="1861">
      <c r="A1861" t="inlineStr">
        <is>
          <t>Antes de 2026</t>
        </is>
      </c>
      <c r="B1861" t="inlineStr">
        <is>
          <t>Frete de venda</t>
        </is>
      </c>
      <c r="C1861" t="inlineStr">
        <is>
          <t>Frete de venda (para clientes)</t>
        </is>
      </c>
      <c r="D1861" t="inlineStr">
        <is>
          <t>CT-e</t>
        </is>
      </c>
      <c r="E1861" t="inlineStr">
        <is>
          <t>000002371</t>
        </is>
      </c>
      <c r="F1861" t="inlineStr">
        <is>
          <t>R&amp;R TRANSPORTE E LOGISTICA</t>
        </is>
      </c>
      <c r="G1861" s="27" t="n">
        <v>45496</v>
      </c>
      <c r="H1861" s="14" t="n">
        <v>350</v>
      </c>
      <c r="I1861" s="14" t="n">
        <v>0</v>
      </c>
      <c r="J1861" s="14" t="n">
        <v>0</v>
      </c>
      <c r="K1861" s="14" t="n">
        <v>0</v>
      </c>
      <c r="L1861" s="14" t="n">
        <v>0</v>
      </c>
      <c r="M1861" s="14">
        <f>IF(B1861="Frete de venda",0,(1-ISNUMBER(SEARCH("556",P1861)))*(I1861*VLOOKUP($B1861,Premissas!$A$4:$E$7,2,0)+J1861*VLOOKUP($B1861,Premissas!$A$4:$E$7,3,0))+K1861*VLOOKUP($B1861,Premissas!$A$4:$E$7,4,0)+L1861*VLOOKUP($B1861,Premissas!$A$4:$E$7,5,0))</f>
        <v/>
      </c>
      <c r="N1861" s="14">
        <f>H1861-M1861</f>
        <v/>
      </c>
      <c r="O1861" t="inlineStr">
        <is>
          <t>Não</t>
        </is>
      </c>
      <c r="P1861" t="inlineStr">
        <is>
          <t>1.556</t>
        </is>
      </c>
    </row>
    <row r="1862">
      <c r="A1862" t="inlineStr">
        <is>
          <t>Antes de 2026</t>
        </is>
      </c>
      <c r="B1862" t="inlineStr">
        <is>
          <t>Frete de venda</t>
        </is>
      </c>
      <c r="C1862" t="inlineStr">
        <is>
          <t>Frete de venda (para clientes)</t>
        </is>
      </c>
      <c r="D1862" t="inlineStr">
        <is>
          <t>CT-e</t>
        </is>
      </c>
      <c r="E1862" t="inlineStr">
        <is>
          <t>000002408</t>
        </is>
      </c>
      <c r="F1862" t="inlineStr">
        <is>
          <t>R&amp;R TRANSPORTE E LOGISTICA</t>
        </is>
      </c>
      <c r="G1862" s="27" t="n">
        <v>45504</v>
      </c>
      <c r="H1862" s="14" t="n">
        <v>25</v>
      </c>
      <c r="I1862" s="14" t="n">
        <v>0</v>
      </c>
      <c r="J1862" s="14" t="n">
        <v>0</v>
      </c>
      <c r="K1862" s="14" t="n">
        <v>0</v>
      </c>
      <c r="L1862" s="14" t="n">
        <v>0</v>
      </c>
      <c r="M1862" s="14">
        <f>IF(B1862="Frete de venda",0,(1-ISNUMBER(SEARCH("556",P1862)))*(I1862*VLOOKUP($B1862,Premissas!$A$4:$E$7,2,0)+J1862*VLOOKUP($B1862,Premissas!$A$4:$E$7,3,0))+K1862*VLOOKUP($B1862,Premissas!$A$4:$E$7,4,0)+L1862*VLOOKUP($B1862,Premissas!$A$4:$E$7,5,0))</f>
        <v/>
      </c>
      <c r="N1862" s="14">
        <f>H1862-M1862</f>
        <v/>
      </c>
      <c r="O1862" t="inlineStr">
        <is>
          <t>Não</t>
        </is>
      </c>
      <c r="P1862" t="inlineStr">
        <is>
          <t>1.556</t>
        </is>
      </c>
    </row>
    <row r="1863">
      <c r="A1863" t="inlineStr">
        <is>
          <t>Antes de 2026</t>
        </is>
      </c>
      <c r="B1863" t="inlineStr">
        <is>
          <t>Frete de venda</t>
        </is>
      </c>
      <c r="C1863" t="inlineStr">
        <is>
          <t>Frete de venda (para clientes)</t>
        </is>
      </c>
      <c r="D1863" t="inlineStr">
        <is>
          <t>CT-e</t>
        </is>
      </c>
      <c r="E1863" t="inlineStr">
        <is>
          <t>000019204</t>
        </is>
      </c>
      <c r="F1863" t="inlineStr">
        <is>
          <t>TRANSPORTE OLIVEIRA E MELLOI - IDEALIZA TRANSPORTES</t>
        </is>
      </c>
      <c r="G1863" s="27" t="n">
        <v>45524</v>
      </c>
      <c r="H1863" s="14" t="n">
        <v>626.38</v>
      </c>
      <c r="I1863" s="14" t="n">
        <v>0</v>
      </c>
      <c r="J1863" s="14" t="n">
        <v>0</v>
      </c>
      <c r="K1863" s="14" t="n">
        <v>0</v>
      </c>
      <c r="L1863" s="14" t="n">
        <v>0</v>
      </c>
      <c r="M1863" s="14">
        <f>IF(B1863="Frete de venda",0,(1-ISNUMBER(SEARCH("556",P1863)))*(I1863*VLOOKUP($B1863,Premissas!$A$4:$E$7,2,0)+J1863*VLOOKUP($B1863,Premissas!$A$4:$E$7,3,0))+K1863*VLOOKUP($B1863,Premissas!$A$4:$E$7,4,0)+L1863*VLOOKUP($B1863,Premissas!$A$4:$E$7,5,0))</f>
        <v/>
      </c>
      <c r="N1863" s="14">
        <f>H1863-M1863</f>
        <v/>
      </c>
      <c r="O1863" t="inlineStr">
        <is>
          <t>Não</t>
        </is>
      </c>
      <c r="P1863" t="inlineStr">
        <is>
          <t>1.556</t>
        </is>
      </c>
    </row>
    <row r="1864">
      <c r="A1864" t="inlineStr">
        <is>
          <t>Antes de 2026</t>
        </is>
      </c>
      <c r="B1864" t="inlineStr">
        <is>
          <t>Frete de venda</t>
        </is>
      </c>
      <c r="C1864" t="inlineStr">
        <is>
          <t>Frete de venda (para clientes)</t>
        </is>
      </c>
      <c r="D1864" t="inlineStr">
        <is>
          <t>CT-e</t>
        </is>
      </c>
      <c r="E1864" t="inlineStr">
        <is>
          <t>000000045</t>
        </is>
      </c>
      <c r="F1864" t="inlineStr">
        <is>
          <t>ADIL CARLOS DA SILVA</t>
        </is>
      </c>
      <c r="G1864" s="27" t="n">
        <v>45535</v>
      </c>
      <c r="H1864" s="14" t="n">
        <v>150</v>
      </c>
      <c r="I1864" s="14" t="n">
        <v>0</v>
      </c>
      <c r="J1864" s="14" t="n">
        <v>0</v>
      </c>
      <c r="K1864" s="14" t="n">
        <v>0</v>
      </c>
      <c r="L1864" s="14" t="n">
        <v>0</v>
      </c>
      <c r="M1864" s="14">
        <f>IF(B1864="Frete de venda",0,(1-ISNUMBER(SEARCH("556",P1864)))*(I1864*VLOOKUP($B1864,Premissas!$A$4:$E$7,2,0)+J1864*VLOOKUP($B1864,Premissas!$A$4:$E$7,3,0))+K1864*VLOOKUP($B1864,Premissas!$A$4:$E$7,4,0)+L1864*VLOOKUP($B1864,Premissas!$A$4:$E$7,5,0))</f>
        <v/>
      </c>
      <c r="N1864" s="14">
        <f>H1864-M1864</f>
        <v/>
      </c>
      <c r="O1864" t="inlineStr">
        <is>
          <t>Não</t>
        </is>
      </c>
      <c r="P1864" t="inlineStr">
        <is>
          <t>1.556</t>
        </is>
      </c>
    </row>
    <row r="1865">
      <c r="A1865" t="inlineStr">
        <is>
          <t>Antes de 2026</t>
        </is>
      </c>
      <c r="B1865" t="inlineStr">
        <is>
          <t>Frete de venda</t>
        </is>
      </c>
      <c r="C1865" t="inlineStr">
        <is>
          <t>Frete de venda (para clientes)</t>
        </is>
      </c>
      <c r="D1865" t="inlineStr">
        <is>
          <t>CT-e</t>
        </is>
      </c>
      <c r="E1865" t="inlineStr">
        <is>
          <t>000002372</t>
        </is>
      </c>
      <c r="F1865" t="inlineStr">
        <is>
          <t>R&amp;R TRANSPORTE E LOGISTICA</t>
        </is>
      </c>
      <c r="G1865" s="27" t="n">
        <v>45496</v>
      </c>
      <c r="H1865" s="14" t="n">
        <v>400</v>
      </c>
      <c r="I1865" s="14" t="n">
        <v>0</v>
      </c>
      <c r="J1865" s="14" t="n">
        <v>0</v>
      </c>
      <c r="K1865" s="14" t="n">
        <v>0</v>
      </c>
      <c r="L1865" s="14" t="n">
        <v>0</v>
      </c>
      <c r="M1865" s="14">
        <f>IF(B1865="Frete de venda",0,(1-ISNUMBER(SEARCH("556",P1865)))*(I1865*VLOOKUP($B1865,Premissas!$A$4:$E$7,2,0)+J1865*VLOOKUP($B1865,Premissas!$A$4:$E$7,3,0))+K1865*VLOOKUP($B1865,Premissas!$A$4:$E$7,4,0)+L1865*VLOOKUP($B1865,Premissas!$A$4:$E$7,5,0))</f>
        <v/>
      </c>
      <c r="N1865" s="14">
        <f>H1865-M1865</f>
        <v/>
      </c>
      <c r="O1865" t="inlineStr">
        <is>
          <t>Não</t>
        </is>
      </c>
      <c r="P1865" t="inlineStr">
        <is>
          <t>1.556</t>
        </is>
      </c>
    </row>
    <row r="1866">
      <c r="A1866" t="inlineStr">
        <is>
          <t>Antes de 2026</t>
        </is>
      </c>
      <c r="B1866" t="inlineStr">
        <is>
          <t>Frete de venda</t>
        </is>
      </c>
      <c r="C1866" t="inlineStr">
        <is>
          <t>Frete de venda (para clientes)</t>
        </is>
      </c>
      <c r="D1866" t="inlineStr">
        <is>
          <t>CT-e</t>
        </is>
      </c>
      <c r="E1866" t="inlineStr">
        <is>
          <t>000000047</t>
        </is>
      </c>
      <c r="F1866" t="inlineStr">
        <is>
          <t>ADIL CARLOS DA SILVA</t>
        </is>
      </c>
      <c r="G1866" s="27" t="n">
        <v>45542</v>
      </c>
      <c r="H1866" s="14" t="n">
        <v>150</v>
      </c>
      <c r="I1866" s="14" t="n">
        <v>0</v>
      </c>
      <c r="J1866" s="14" t="n">
        <v>0</v>
      </c>
      <c r="K1866" s="14" t="n">
        <v>0</v>
      </c>
      <c r="L1866" s="14" t="n">
        <v>0</v>
      </c>
      <c r="M1866" s="14">
        <f>IF(B1866="Frete de venda",0,(1-ISNUMBER(SEARCH("556",P1866)))*(I1866*VLOOKUP($B1866,Premissas!$A$4:$E$7,2,0)+J1866*VLOOKUP($B1866,Premissas!$A$4:$E$7,3,0))+K1866*VLOOKUP($B1866,Premissas!$A$4:$E$7,4,0)+L1866*VLOOKUP($B1866,Premissas!$A$4:$E$7,5,0))</f>
        <v/>
      </c>
      <c r="N1866" s="14">
        <f>H1866-M1866</f>
        <v/>
      </c>
      <c r="O1866" t="inlineStr">
        <is>
          <t>Não</t>
        </is>
      </c>
      <c r="P1866" t="inlineStr">
        <is>
          <t>1.556</t>
        </is>
      </c>
    </row>
    <row r="1867">
      <c r="A1867" t="inlineStr">
        <is>
          <t>Antes de 2026</t>
        </is>
      </c>
      <c r="B1867" t="inlineStr">
        <is>
          <t>Frete de venda</t>
        </is>
      </c>
      <c r="C1867" t="inlineStr">
        <is>
          <t>Frete de venda (para clientes)</t>
        </is>
      </c>
      <c r="D1867" t="inlineStr">
        <is>
          <t>CT-e</t>
        </is>
      </c>
      <c r="E1867" t="inlineStr">
        <is>
          <t>000002422</t>
        </is>
      </c>
      <c r="F1867" t="inlineStr">
        <is>
          <t>R&amp;R TRANSPORTE E LOGISTICA</t>
        </is>
      </c>
      <c r="G1867" s="27" t="n">
        <v>45505</v>
      </c>
      <c r="H1867" s="14" t="n">
        <v>383</v>
      </c>
      <c r="I1867" s="14" t="n">
        <v>0</v>
      </c>
      <c r="J1867" s="14" t="n">
        <v>0</v>
      </c>
      <c r="K1867" s="14" t="n">
        <v>0</v>
      </c>
      <c r="L1867" s="14" t="n">
        <v>0</v>
      </c>
      <c r="M1867" s="14">
        <f>IF(B1867="Frete de venda",0,(1-ISNUMBER(SEARCH("556",P1867)))*(I1867*VLOOKUP($B1867,Premissas!$A$4:$E$7,2,0)+J1867*VLOOKUP($B1867,Premissas!$A$4:$E$7,3,0))+K1867*VLOOKUP($B1867,Premissas!$A$4:$E$7,4,0)+L1867*VLOOKUP($B1867,Premissas!$A$4:$E$7,5,0))</f>
        <v/>
      </c>
      <c r="N1867" s="14">
        <f>H1867-M1867</f>
        <v/>
      </c>
      <c r="O1867" t="inlineStr">
        <is>
          <t>Não</t>
        </is>
      </c>
      <c r="P1867" t="inlineStr">
        <is>
          <t>1.556</t>
        </is>
      </c>
    </row>
    <row r="1868">
      <c r="A1868" t="inlineStr">
        <is>
          <t>Antes de 2026</t>
        </is>
      </c>
      <c r="B1868" t="inlineStr">
        <is>
          <t>Frete de venda</t>
        </is>
      </c>
      <c r="C1868" t="inlineStr">
        <is>
          <t>Frete de venda (para clientes)</t>
        </is>
      </c>
      <c r="D1868" t="inlineStr">
        <is>
          <t>CT-e</t>
        </is>
      </c>
      <c r="E1868" t="inlineStr">
        <is>
          <t>000019526</t>
        </is>
      </c>
      <c r="F1868" t="inlineStr">
        <is>
          <t>TRANSPORTE OLIVEIRA E MELLOI - IDEALIZA TRANSPORTES</t>
        </is>
      </c>
      <c r="G1868" s="27" t="n">
        <v>45546</v>
      </c>
      <c r="H1868" s="14" t="n">
        <v>179.2</v>
      </c>
      <c r="I1868" s="14" t="n">
        <v>0</v>
      </c>
      <c r="J1868" s="14" t="n">
        <v>0</v>
      </c>
      <c r="K1868" s="14" t="n">
        <v>0</v>
      </c>
      <c r="L1868" s="14" t="n">
        <v>0</v>
      </c>
      <c r="M1868" s="14">
        <f>IF(B1868="Frete de venda",0,(1-ISNUMBER(SEARCH("556",P1868)))*(I1868*VLOOKUP($B1868,Premissas!$A$4:$E$7,2,0)+J1868*VLOOKUP($B1868,Premissas!$A$4:$E$7,3,0))+K1868*VLOOKUP($B1868,Premissas!$A$4:$E$7,4,0)+L1868*VLOOKUP($B1868,Premissas!$A$4:$E$7,5,0))</f>
        <v/>
      </c>
      <c r="N1868" s="14">
        <f>H1868-M1868</f>
        <v/>
      </c>
      <c r="O1868" t="inlineStr">
        <is>
          <t>Não</t>
        </is>
      </c>
      <c r="P1868" t="inlineStr">
        <is>
          <t>1.556</t>
        </is>
      </c>
    </row>
    <row r="1869">
      <c r="A1869" t="inlineStr">
        <is>
          <t>Antes de 2026</t>
        </is>
      </c>
      <c r="B1869" t="inlineStr">
        <is>
          <t>Frete de venda</t>
        </is>
      </c>
      <c r="C1869" t="inlineStr">
        <is>
          <t>Frete de venda (para clientes)</t>
        </is>
      </c>
      <c r="D1869" t="inlineStr">
        <is>
          <t>CT-e</t>
        </is>
      </c>
      <c r="E1869" t="inlineStr">
        <is>
          <t>000019524</t>
        </is>
      </c>
      <c r="F1869" t="inlineStr">
        <is>
          <t>TRANSPORTE OLIVEIRA E MELLOI - IDEALIZA TRANSPORTES</t>
        </is>
      </c>
      <c r="G1869" s="27" t="n">
        <v>45546</v>
      </c>
      <c r="H1869" s="14" t="n">
        <v>212.45</v>
      </c>
      <c r="I1869" s="14" t="n">
        <v>0</v>
      </c>
      <c r="J1869" s="14" t="n">
        <v>0</v>
      </c>
      <c r="K1869" s="14" t="n">
        <v>0</v>
      </c>
      <c r="L1869" s="14" t="n">
        <v>0</v>
      </c>
      <c r="M1869" s="14">
        <f>IF(B1869="Frete de venda",0,(1-ISNUMBER(SEARCH("556",P1869)))*(I1869*VLOOKUP($B1869,Premissas!$A$4:$E$7,2,0)+J1869*VLOOKUP($B1869,Premissas!$A$4:$E$7,3,0))+K1869*VLOOKUP($B1869,Premissas!$A$4:$E$7,4,0)+L1869*VLOOKUP($B1869,Premissas!$A$4:$E$7,5,0))</f>
        <v/>
      </c>
      <c r="N1869" s="14">
        <f>H1869-M1869</f>
        <v/>
      </c>
      <c r="O1869" t="inlineStr">
        <is>
          <t>Não</t>
        </is>
      </c>
      <c r="P1869" t="inlineStr">
        <is>
          <t>1.556</t>
        </is>
      </c>
    </row>
    <row r="1870">
      <c r="A1870" t="inlineStr">
        <is>
          <t>Antes de 2026</t>
        </is>
      </c>
      <c r="B1870" t="inlineStr">
        <is>
          <t>Frete de venda</t>
        </is>
      </c>
      <c r="C1870" t="inlineStr">
        <is>
          <t>Frete de venda (para clientes)</t>
        </is>
      </c>
      <c r="D1870" t="inlineStr">
        <is>
          <t>CT-e</t>
        </is>
      </c>
      <c r="E1870" t="inlineStr">
        <is>
          <t>000002409</t>
        </is>
      </c>
      <c r="F1870" t="inlineStr">
        <is>
          <t>R&amp;R TRANSPORTE E LOGISTICA</t>
        </is>
      </c>
      <c r="G1870" s="27" t="n">
        <v>45504</v>
      </c>
      <c r="H1870" s="14" t="n">
        <v>25</v>
      </c>
      <c r="I1870" s="14" t="n">
        <v>0</v>
      </c>
      <c r="J1870" s="14" t="n">
        <v>0</v>
      </c>
      <c r="K1870" s="14" t="n">
        <v>0</v>
      </c>
      <c r="L1870" s="14" t="n">
        <v>0</v>
      </c>
      <c r="M1870" s="14">
        <f>IF(B1870="Frete de venda",0,(1-ISNUMBER(SEARCH("556",P1870)))*(I1870*VLOOKUP($B1870,Premissas!$A$4:$E$7,2,0)+J1870*VLOOKUP($B1870,Premissas!$A$4:$E$7,3,0))+K1870*VLOOKUP($B1870,Premissas!$A$4:$E$7,4,0)+L1870*VLOOKUP($B1870,Premissas!$A$4:$E$7,5,0))</f>
        <v/>
      </c>
      <c r="N1870" s="14">
        <f>H1870-M1870</f>
        <v/>
      </c>
      <c r="O1870" t="inlineStr">
        <is>
          <t>Não</t>
        </is>
      </c>
      <c r="P1870" t="inlineStr">
        <is>
          <t>1.556</t>
        </is>
      </c>
    </row>
    <row r="1871">
      <c r="A1871" t="inlineStr">
        <is>
          <t>Antes de 2026</t>
        </is>
      </c>
      <c r="B1871" t="inlineStr">
        <is>
          <t>Frete de venda</t>
        </is>
      </c>
      <c r="C1871" t="inlineStr">
        <is>
          <t>Frete de venda (para clientes)</t>
        </is>
      </c>
      <c r="D1871" t="inlineStr">
        <is>
          <t>CT-e</t>
        </is>
      </c>
      <c r="E1871" t="inlineStr">
        <is>
          <t>000002369</t>
        </is>
      </c>
      <c r="F1871" t="inlineStr">
        <is>
          <t>R&amp;R TRANSPORTE E LOGISTICA</t>
        </is>
      </c>
      <c r="G1871" s="27" t="n">
        <v>45495</v>
      </c>
      <c r="H1871" s="14" t="n">
        <v>100</v>
      </c>
      <c r="I1871" s="14" t="n">
        <v>0</v>
      </c>
      <c r="J1871" s="14" t="n">
        <v>0</v>
      </c>
      <c r="K1871" s="14" t="n">
        <v>0</v>
      </c>
      <c r="L1871" s="14" t="n">
        <v>0</v>
      </c>
      <c r="M1871" s="14">
        <f>IF(B1871="Frete de venda",0,(1-ISNUMBER(SEARCH("556",P1871)))*(I1871*VLOOKUP($B1871,Premissas!$A$4:$E$7,2,0)+J1871*VLOOKUP($B1871,Premissas!$A$4:$E$7,3,0))+K1871*VLOOKUP($B1871,Premissas!$A$4:$E$7,4,0)+L1871*VLOOKUP($B1871,Premissas!$A$4:$E$7,5,0))</f>
        <v/>
      </c>
      <c r="N1871" s="14">
        <f>H1871-M1871</f>
        <v/>
      </c>
      <c r="O1871" t="inlineStr">
        <is>
          <t>Não</t>
        </is>
      </c>
      <c r="P1871" t="inlineStr">
        <is>
          <t>1.556</t>
        </is>
      </c>
    </row>
    <row r="1872">
      <c r="A1872" t="inlineStr">
        <is>
          <t>Antes de 2026</t>
        </is>
      </c>
      <c r="B1872" t="inlineStr">
        <is>
          <t>Frete de venda</t>
        </is>
      </c>
      <c r="C1872" t="inlineStr">
        <is>
          <t>Frete de venda (para clientes)</t>
        </is>
      </c>
      <c r="D1872" t="inlineStr">
        <is>
          <t>CT-e</t>
        </is>
      </c>
      <c r="E1872" t="inlineStr">
        <is>
          <t>000002368</t>
        </is>
      </c>
      <c r="F1872" t="inlineStr">
        <is>
          <t>R&amp;R TRANSPORTE E LOGISTICA</t>
        </is>
      </c>
      <c r="G1872" s="27" t="n">
        <v>45495</v>
      </c>
      <c r="H1872" s="14" t="n">
        <v>100</v>
      </c>
      <c r="I1872" s="14" t="n">
        <v>0</v>
      </c>
      <c r="J1872" s="14" t="n">
        <v>0</v>
      </c>
      <c r="K1872" s="14" t="n">
        <v>0</v>
      </c>
      <c r="L1872" s="14" t="n">
        <v>0</v>
      </c>
      <c r="M1872" s="14">
        <f>IF(B1872="Frete de venda",0,(1-ISNUMBER(SEARCH("556",P1872)))*(I1872*VLOOKUP($B1872,Premissas!$A$4:$E$7,2,0)+J1872*VLOOKUP($B1872,Premissas!$A$4:$E$7,3,0))+K1872*VLOOKUP($B1872,Premissas!$A$4:$E$7,4,0)+L1872*VLOOKUP($B1872,Premissas!$A$4:$E$7,5,0))</f>
        <v/>
      </c>
      <c r="N1872" s="14">
        <f>H1872-M1872</f>
        <v/>
      </c>
      <c r="O1872" t="inlineStr">
        <is>
          <t>Não</t>
        </is>
      </c>
      <c r="P1872" t="inlineStr">
        <is>
          <t>1.556</t>
        </is>
      </c>
    </row>
    <row r="1873">
      <c r="A1873" t="inlineStr">
        <is>
          <t>Antes de 2026</t>
        </is>
      </c>
      <c r="B1873" t="inlineStr">
        <is>
          <t>Frete de venda</t>
        </is>
      </c>
      <c r="C1873" t="inlineStr">
        <is>
          <t>Frete de venda (para clientes)</t>
        </is>
      </c>
      <c r="D1873" t="inlineStr">
        <is>
          <t>CT-e</t>
        </is>
      </c>
      <c r="E1873" t="inlineStr">
        <is>
          <t>000002361</t>
        </is>
      </c>
      <c r="F1873" t="inlineStr">
        <is>
          <t>R&amp;R TRANSPORTE E LOGISTICA</t>
        </is>
      </c>
      <c r="G1873" s="27" t="n">
        <v>45492</v>
      </c>
      <c r="H1873" s="14" t="n">
        <v>200</v>
      </c>
      <c r="I1873" s="14" t="n">
        <v>0</v>
      </c>
      <c r="J1873" s="14" t="n">
        <v>0</v>
      </c>
      <c r="K1873" s="14" t="n">
        <v>0</v>
      </c>
      <c r="L1873" s="14" t="n">
        <v>0</v>
      </c>
      <c r="M1873" s="14">
        <f>IF(B1873="Frete de venda",0,(1-ISNUMBER(SEARCH("556",P1873)))*(I1873*VLOOKUP($B1873,Premissas!$A$4:$E$7,2,0)+J1873*VLOOKUP($B1873,Premissas!$A$4:$E$7,3,0))+K1873*VLOOKUP($B1873,Premissas!$A$4:$E$7,4,0)+L1873*VLOOKUP($B1873,Premissas!$A$4:$E$7,5,0))</f>
        <v/>
      </c>
      <c r="N1873" s="14">
        <f>H1873-M1873</f>
        <v/>
      </c>
      <c r="O1873" t="inlineStr">
        <is>
          <t>Não</t>
        </is>
      </c>
      <c r="P1873" t="inlineStr">
        <is>
          <t>1.556</t>
        </is>
      </c>
    </row>
    <row r="1874">
      <c r="A1874" t="inlineStr">
        <is>
          <t>Antes de 2026</t>
        </is>
      </c>
      <c r="B1874" t="inlineStr">
        <is>
          <t>Frete de venda</t>
        </is>
      </c>
      <c r="C1874" t="inlineStr">
        <is>
          <t>Frete de venda (para clientes)</t>
        </is>
      </c>
      <c r="D1874" t="inlineStr">
        <is>
          <t>CT-e</t>
        </is>
      </c>
      <c r="E1874" t="inlineStr">
        <is>
          <t>000002416</t>
        </is>
      </c>
      <c r="F1874" t="inlineStr">
        <is>
          <t>R&amp;R TRANSPORTE E LOGISTICA</t>
        </is>
      </c>
      <c r="G1874" s="27" t="n">
        <v>45504</v>
      </c>
      <c r="H1874" s="14" t="n">
        <v>200</v>
      </c>
      <c r="I1874" s="14" t="n">
        <v>0</v>
      </c>
      <c r="J1874" s="14" t="n">
        <v>0</v>
      </c>
      <c r="K1874" s="14" t="n">
        <v>0</v>
      </c>
      <c r="L1874" s="14" t="n">
        <v>0</v>
      </c>
      <c r="M1874" s="14">
        <f>IF(B1874="Frete de venda",0,(1-ISNUMBER(SEARCH("556",P1874)))*(I1874*VLOOKUP($B1874,Premissas!$A$4:$E$7,2,0)+J1874*VLOOKUP($B1874,Premissas!$A$4:$E$7,3,0))+K1874*VLOOKUP($B1874,Premissas!$A$4:$E$7,4,0)+L1874*VLOOKUP($B1874,Premissas!$A$4:$E$7,5,0))</f>
        <v/>
      </c>
      <c r="N1874" s="14">
        <f>H1874-M1874</f>
        <v/>
      </c>
      <c r="O1874" t="inlineStr">
        <is>
          <t>Não</t>
        </is>
      </c>
      <c r="P1874" t="inlineStr">
        <is>
          <t>1.556</t>
        </is>
      </c>
    </row>
    <row r="1875">
      <c r="A1875" t="inlineStr">
        <is>
          <t>Antes de 2026</t>
        </is>
      </c>
      <c r="B1875" t="inlineStr">
        <is>
          <t>Frete de venda</t>
        </is>
      </c>
      <c r="C1875" t="inlineStr">
        <is>
          <t>Frete de venda (para clientes)</t>
        </is>
      </c>
      <c r="D1875" t="inlineStr">
        <is>
          <t>CT-e</t>
        </is>
      </c>
      <c r="E1875" t="inlineStr">
        <is>
          <t>000002411</t>
        </is>
      </c>
      <c r="F1875" t="inlineStr">
        <is>
          <t>R&amp;R TRANSPORTE E LOGISTICA</t>
        </is>
      </c>
      <c r="G1875" s="27" t="n">
        <v>45504</v>
      </c>
      <c r="H1875" s="14" t="n">
        <v>25</v>
      </c>
      <c r="I1875" s="14" t="n">
        <v>0</v>
      </c>
      <c r="J1875" s="14" t="n">
        <v>0</v>
      </c>
      <c r="K1875" s="14" t="n">
        <v>0</v>
      </c>
      <c r="L1875" s="14" t="n">
        <v>0</v>
      </c>
      <c r="M1875" s="14">
        <f>IF(B1875="Frete de venda",0,(1-ISNUMBER(SEARCH("556",P1875)))*(I1875*VLOOKUP($B1875,Premissas!$A$4:$E$7,2,0)+J1875*VLOOKUP($B1875,Premissas!$A$4:$E$7,3,0))+K1875*VLOOKUP($B1875,Premissas!$A$4:$E$7,4,0)+L1875*VLOOKUP($B1875,Premissas!$A$4:$E$7,5,0))</f>
        <v/>
      </c>
      <c r="N1875" s="14">
        <f>H1875-M1875</f>
        <v/>
      </c>
      <c r="O1875" t="inlineStr">
        <is>
          <t>Não</t>
        </is>
      </c>
      <c r="P1875" t="inlineStr">
        <is>
          <t>1.556</t>
        </is>
      </c>
    </row>
    <row r="1876">
      <c r="A1876" t="inlineStr">
        <is>
          <t>Antes de 2026</t>
        </is>
      </c>
      <c r="B1876" t="inlineStr">
        <is>
          <t>Frete de venda</t>
        </is>
      </c>
      <c r="C1876" t="inlineStr">
        <is>
          <t>Frete de venda (para clientes)</t>
        </is>
      </c>
      <c r="D1876" t="inlineStr">
        <is>
          <t>CT-e</t>
        </is>
      </c>
      <c r="E1876" t="inlineStr">
        <is>
          <t>000002721</t>
        </is>
      </c>
      <c r="F1876" t="inlineStr">
        <is>
          <t>R&amp;R TRANSPORTE E LOGISTICA</t>
        </is>
      </c>
      <c r="G1876" s="27" t="n">
        <v>45566</v>
      </c>
      <c r="H1876" s="14" t="n">
        <v>95</v>
      </c>
      <c r="I1876" s="14" t="n">
        <v>0</v>
      </c>
      <c r="J1876" s="14" t="n">
        <v>0</v>
      </c>
      <c r="K1876" s="14" t="n">
        <v>0</v>
      </c>
      <c r="L1876" s="14" t="n">
        <v>0</v>
      </c>
      <c r="M1876" s="14">
        <f>IF(B1876="Frete de venda",0,(1-ISNUMBER(SEARCH("556",P1876)))*(I1876*VLOOKUP($B1876,Premissas!$A$4:$E$7,2,0)+J1876*VLOOKUP($B1876,Premissas!$A$4:$E$7,3,0))+K1876*VLOOKUP($B1876,Premissas!$A$4:$E$7,4,0)+L1876*VLOOKUP($B1876,Premissas!$A$4:$E$7,5,0))</f>
        <v/>
      </c>
      <c r="N1876" s="14">
        <f>H1876-M1876</f>
        <v/>
      </c>
      <c r="O1876" t="inlineStr">
        <is>
          <t>Não</t>
        </is>
      </c>
      <c r="P1876" t="inlineStr">
        <is>
          <t>1.350</t>
        </is>
      </c>
    </row>
    <row r="1877">
      <c r="A1877" t="inlineStr">
        <is>
          <t>Antes de 2026</t>
        </is>
      </c>
      <c r="B1877" t="inlineStr">
        <is>
          <t>Frete de venda</t>
        </is>
      </c>
      <c r="C1877" t="inlineStr">
        <is>
          <t>Frete de venda (para clientes)</t>
        </is>
      </c>
      <c r="D1877" t="inlineStr">
        <is>
          <t>CT-e</t>
        </is>
      </c>
      <c r="E1877" t="inlineStr">
        <is>
          <t>000002593</t>
        </is>
      </c>
      <c r="F1877" t="inlineStr">
        <is>
          <t>R&amp;R TRANSPORTE E LOGISTICA</t>
        </is>
      </c>
      <c r="G1877" s="27" t="n">
        <v>45539</v>
      </c>
      <c r="H1877" s="14" t="n">
        <v>30</v>
      </c>
      <c r="I1877" s="14" t="n">
        <v>0</v>
      </c>
      <c r="J1877" s="14" t="n">
        <v>0</v>
      </c>
      <c r="K1877" s="14" t="n">
        <v>0</v>
      </c>
      <c r="L1877" s="14" t="n">
        <v>0</v>
      </c>
      <c r="M1877" s="14">
        <f>IF(B1877="Frete de venda",0,(1-ISNUMBER(SEARCH("556",P1877)))*(I1877*VLOOKUP($B1877,Premissas!$A$4:$E$7,2,0)+J1877*VLOOKUP($B1877,Premissas!$A$4:$E$7,3,0))+K1877*VLOOKUP($B1877,Premissas!$A$4:$E$7,4,0)+L1877*VLOOKUP($B1877,Premissas!$A$4:$E$7,5,0))</f>
        <v/>
      </c>
      <c r="N1877" s="14">
        <f>H1877-M1877</f>
        <v/>
      </c>
      <c r="O1877" t="inlineStr">
        <is>
          <t>Não</t>
        </is>
      </c>
      <c r="P1877" t="inlineStr">
        <is>
          <t>1.350</t>
        </is>
      </c>
    </row>
    <row r="1878">
      <c r="A1878" t="inlineStr">
        <is>
          <t>Antes de 2026</t>
        </is>
      </c>
      <c r="B1878" t="inlineStr">
        <is>
          <t>Frete de venda</t>
        </is>
      </c>
      <c r="C1878" t="inlineStr">
        <is>
          <t>Frete de venda (para clientes)</t>
        </is>
      </c>
      <c r="D1878" t="inlineStr">
        <is>
          <t>CT-e</t>
        </is>
      </c>
      <c r="E1878" t="inlineStr">
        <is>
          <t>000002724</t>
        </is>
      </c>
      <c r="F1878" t="inlineStr">
        <is>
          <t>R&amp;R TRANSPORTE E LOGISTICA</t>
        </is>
      </c>
      <c r="G1878" s="27" t="n">
        <v>45566</v>
      </c>
      <c r="H1878" s="14" t="n">
        <v>40</v>
      </c>
      <c r="I1878" s="14" t="n">
        <v>0</v>
      </c>
      <c r="J1878" s="14" t="n">
        <v>0</v>
      </c>
      <c r="K1878" s="14" t="n">
        <v>0</v>
      </c>
      <c r="L1878" s="14" t="n">
        <v>0</v>
      </c>
      <c r="M1878" s="14">
        <f>IF(B1878="Frete de venda",0,(1-ISNUMBER(SEARCH("556",P1878)))*(I1878*VLOOKUP($B1878,Premissas!$A$4:$E$7,2,0)+J1878*VLOOKUP($B1878,Premissas!$A$4:$E$7,3,0))+K1878*VLOOKUP($B1878,Premissas!$A$4:$E$7,4,0)+L1878*VLOOKUP($B1878,Premissas!$A$4:$E$7,5,0))</f>
        <v/>
      </c>
      <c r="N1878" s="14">
        <f>H1878-M1878</f>
        <v/>
      </c>
      <c r="O1878" t="inlineStr">
        <is>
          <t>Não</t>
        </is>
      </c>
      <c r="P1878" t="inlineStr">
        <is>
          <t>1.350</t>
        </is>
      </c>
    </row>
    <row r="1879">
      <c r="A1879" t="inlineStr">
        <is>
          <t>Antes de 2026</t>
        </is>
      </c>
      <c r="B1879" t="inlineStr">
        <is>
          <t>Frete de venda</t>
        </is>
      </c>
      <c r="C1879" t="inlineStr">
        <is>
          <t>Frete de venda (para clientes)</t>
        </is>
      </c>
      <c r="D1879" t="inlineStr">
        <is>
          <t>CT-e</t>
        </is>
      </c>
      <c r="E1879" t="inlineStr">
        <is>
          <t>000002592</t>
        </is>
      </c>
      <c r="F1879" t="inlineStr">
        <is>
          <t>R&amp;R TRANSPORTE E LOGISTICA</t>
        </is>
      </c>
      <c r="G1879" s="27" t="n">
        <v>45539</v>
      </c>
      <c r="H1879" s="14" t="n">
        <v>30</v>
      </c>
      <c r="I1879" s="14" t="n">
        <v>0</v>
      </c>
      <c r="J1879" s="14" t="n">
        <v>0</v>
      </c>
      <c r="K1879" s="14" t="n">
        <v>0</v>
      </c>
      <c r="L1879" s="14" t="n">
        <v>0</v>
      </c>
      <c r="M1879" s="14">
        <f>IF(B1879="Frete de venda",0,(1-ISNUMBER(SEARCH("556",P1879)))*(I1879*VLOOKUP($B1879,Premissas!$A$4:$E$7,2,0)+J1879*VLOOKUP($B1879,Premissas!$A$4:$E$7,3,0))+K1879*VLOOKUP($B1879,Premissas!$A$4:$E$7,4,0)+L1879*VLOOKUP($B1879,Premissas!$A$4:$E$7,5,0))</f>
        <v/>
      </c>
      <c r="N1879" s="14">
        <f>H1879-M1879</f>
        <v/>
      </c>
      <c r="O1879" t="inlineStr">
        <is>
          <t>Não</t>
        </is>
      </c>
      <c r="P1879" t="inlineStr">
        <is>
          <t>1.350</t>
        </is>
      </c>
    </row>
    <row r="1880">
      <c r="A1880" t="inlineStr">
        <is>
          <t>Antes de 2026</t>
        </is>
      </c>
      <c r="B1880" t="inlineStr">
        <is>
          <t>Frete de venda</t>
        </is>
      </c>
      <c r="C1880" t="inlineStr">
        <is>
          <t>Frete de venda (para clientes)</t>
        </is>
      </c>
      <c r="D1880" t="inlineStr">
        <is>
          <t>CT-e</t>
        </is>
      </c>
      <c r="E1880" t="inlineStr">
        <is>
          <t>000002594</t>
        </is>
      </c>
      <c r="F1880" t="inlineStr">
        <is>
          <t>R&amp;R TRANSPORTE E LOGISTICA</t>
        </is>
      </c>
      <c r="G1880" s="27" t="n">
        <v>45539</v>
      </c>
      <c r="H1880" s="14" t="n">
        <v>30</v>
      </c>
      <c r="I1880" s="14" t="n">
        <v>0</v>
      </c>
      <c r="J1880" s="14" t="n">
        <v>0</v>
      </c>
      <c r="K1880" s="14" t="n">
        <v>0</v>
      </c>
      <c r="L1880" s="14" t="n">
        <v>0</v>
      </c>
      <c r="M1880" s="14">
        <f>IF(B1880="Frete de venda",0,(1-ISNUMBER(SEARCH("556",P1880)))*(I1880*VLOOKUP($B1880,Premissas!$A$4:$E$7,2,0)+J1880*VLOOKUP($B1880,Premissas!$A$4:$E$7,3,0))+K1880*VLOOKUP($B1880,Premissas!$A$4:$E$7,4,0)+L1880*VLOOKUP($B1880,Premissas!$A$4:$E$7,5,0))</f>
        <v/>
      </c>
      <c r="N1880" s="14">
        <f>H1880-M1880</f>
        <v/>
      </c>
      <c r="O1880" t="inlineStr">
        <is>
          <t>Não</t>
        </is>
      </c>
      <c r="P1880" t="inlineStr">
        <is>
          <t>1.350</t>
        </is>
      </c>
    </row>
    <row r="1881">
      <c r="A1881" t="inlineStr">
        <is>
          <t>Antes de 2026</t>
        </is>
      </c>
      <c r="B1881" t="inlineStr">
        <is>
          <t>Frete de venda</t>
        </is>
      </c>
      <c r="C1881" t="inlineStr">
        <is>
          <t>Frete de venda (para clientes)</t>
        </is>
      </c>
      <c r="D1881" t="inlineStr">
        <is>
          <t>CT-e</t>
        </is>
      </c>
      <c r="E1881" t="inlineStr">
        <is>
          <t>000002864</t>
        </is>
      </c>
      <c r="F1881" t="inlineStr">
        <is>
          <t>R&amp;R TRANSPORTE E LOGISTICA</t>
        </is>
      </c>
      <c r="G1881" s="27" t="n">
        <v>45581</v>
      </c>
      <c r="H1881" s="14" t="n">
        <v>25</v>
      </c>
      <c r="I1881" s="14" t="n">
        <v>0</v>
      </c>
      <c r="J1881" s="14" t="n">
        <v>0</v>
      </c>
      <c r="K1881" s="14" t="n">
        <v>0</v>
      </c>
      <c r="L1881" s="14" t="n">
        <v>0</v>
      </c>
      <c r="M1881" s="14">
        <f>IF(B1881="Frete de venda",0,(1-ISNUMBER(SEARCH("556",P1881)))*(I1881*VLOOKUP($B1881,Premissas!$A$4:$E$7,2,0)+J1881*VLOOKUP($B1881,Premissas!$A$4:$E$7,3,0))+K1881*VLOOKUP($B1881,Premissas!$A$4:$E$7,4,0)+L1881*VLOOKUP($B1881,Premissas!$A$4:$E$7,5,0))</f>
        <v/>
      </c>
      <c r="N1881" s="14">
        <f>H1881-M1881</f>
        <v/>
      </c>
      <c r="O1881" t="inlineStr">
        <is>
          <t>Não</t>
        </is>
      </c>
      <c r="P1881" t="inlineStr">
        <is>
          <t>1.350</t>
        </is>
      </c>
    </row>
    <row r="1882">
      <c r="A1882" t="inlineStr">
        <is>
          <t>Antes de 2026</t>
        </is>
      </c>
      <c r="B1882" t="inlineStr">
        <is>
          <t>Frete de venda</t>
        </is>
      </c>
      <c r="C1882" t="inlineStr">
        <is>
          <t>Frete de venda (para clientes)</t>
        </is>
      </c>
      <c r="D1882" t="inlineStr">
        <is>
          <t>CT-e</t>
        </is>
      </c>
      <c r="E1882" t="inlineStr">
        <is>
          <t>000002687</t>
        </is>
      </c>
      <c r="F1882" t="inlineStr">
        <is>
          <t>R&amp;R TRANSPORTE E LOGISTICA</t>
        </is>
      </c>
      <c r="G1882" s="27" t="n">
        <v>45555</v>
      </c>
      <c r="H1882" s="14" t="n">
        <v>2600</v>
      </c>
      <c r="I1882" s="14" t="n">
        <v>0</v>
      </c>
      <c r="J1882" s="14" t="n">
        <v>0</v>
      </c>
      <c r="K1882" s="14" t="n">
        <v>0</v>
      </c>
      <c r="L1882" s="14" t="n">
        <v>0</v>
      </c>
      <c r="M1882" s="14">
        <f>IF(B1882="Frete de venda",0,(1-ISNUMBER(SEARCH("556",P1882)))*(I1882*VLOOKUP($B1882,Premissas!$A$4:$E$7,2,0)+J1882*VLOOKUP($B1882,Premissas!$A$4:$E$7,3,0))+K1882*VLOOKUP($B1882,Premissas!$A$4:$E$7,4,0)+L1882*VLOOKUP($B1882,Premissas!$A$4:$E$7,5,0))</f>
        <v/>
      </c>
      <c r="N1882" s="14">
        <f>H1882-M1882</f>
        <v/>
      </c>
      <c r="O1882" t="inlineStr">
        <is>
          <t>Não</t>
        </is>
      </c>
      <c r="P1882" t="inlineStr">
        <is>
          <t>1.350</t>
        </is>
      </c>
    </row>
    <row r="1883">
      <c r="A1883" t="inlineStr">
        <is>
          <t>Antes de 2026</t>
        </is>
      </c>
      <c r="B1883" t="inlineStr">
        <is>
          <t>Frete de venda</t>
        </is>
      </c>
      <c r="C1883" t="inlineStr">
        <is>
          <t>Frete de venda (para clientes)</t>
        </is>
      </c>
      <c r="D1883" t="inlineStr">
        <is>
          <t>CT-e</t>
        </is>
      </c>
      <c r="E1883" t="inlineStr">
        <is>
          <t>000002878</t>
        </is>
      </c>
      <c r="F1883" t="inlineStr">
        <is>
          <t>R&amp;R TRANSPORTE E LOGISTICA</t>
        </is>
      </c>
      <c r="G1883" s="27" t="n">
        <v>45581</v>
      </c>
      <c r="H1883" s="14" t="n">
        <v>230</v>
      </c>
      <c r="I1883" s="14" t="n">
        <v>0</v>
      </c>
      <c r="J1883" s="14" t="n">
        <v>0</v>
      </c>
      <c r="K1883" s="14" t="n">
        <v>0</v>
      </c>
      <c r="L1883" s="14" t="n">
        <v>0</v>
      </c>
      <c r="M1883" s="14">
        <f>IF(B1883="Frete de venda",0,(1-ISNUMBER(SEARCH("556",P1883)))*(I1883*VLOOKUP($B1883,Premissas!$A$4:$E$7,2,0)+J1883*VLOOKUP($B1883,Premissas!$A$4:$E$7,3,0))+K1883*VLOOKUP($B1883,Premissas!$A$4:$E$7,4,0)+L1883*VLOOKUP($B1883,Premissas!$A$4:$E$7,5,0))</f>
        <v/>
      </c>
      <c r="N1883" s="14">
        <f>H1883-M1883</f>
        <v/>
      </c>
      <c r="O1883" t="inlineStr">
        <is>
          <t>Não</t>
        </is>
      </c>
      <c r="P1883" t="inlineStr">
        <is>
          <t>1.350</t>
        </is>
      </c>
    </row>
    <row r="1884">
      <c r="A1884" t="inlineStr">
        <is>
          <t>Antes de 2026</t>
        </is>
      </c>
      <c r="B1884" t="inlineStr">
        <is>
          <t>Frete de venda</t>
        </is>
      </c>
      <c r="C1884" t="inlineStr">
        <is>
          <t>Frete de venda (para clientes)</t>
        </is>
      </c>
      <c r="D1884" t="inlineStr">
        <is>
          <t>CT-e</t>
        </is>
      </c>
      <c r="E1884" t="inlineStr">
        <is>
          <t>000002606</t>
        </is>
      </c>
      <c r="F1884" t="inlineStr">
        <is>
          <t>R&amp;R TRANSPORTE E LOGISTICA</t>
        </is>
      </c>
      <c r="G1884" s="27" t="n">
        <v>45541</v>
      </c>
      <c r="H1884" s="14" t="n">
        <v>16</v>
      </c>
      <c r="I1884" s="14" t="n">
        <v>0</v>
      </c>
      <c r="J1884" s="14" t="n">
        <v>0</v>
      </c>
      <c r="K1884" s="14" t="n">
        <v>0</v>
      </c>
      <c r="L1884" s="14" t="n">
        <v>0</v>
      </c>
      <c r="M1884" s="14">
        <f>IF(B1884="Frete de venda",0,(1-ISNUMBER(SEARCH("556",P1884)))*(I1884*VLOOKUP($B1884,Premissas!$A$4:$E$7,2,0)+J1884*VLOOKUP($B1884,Premissas!$A$4:$E$7,3,0))+K1884*VLOOKUP($B1884,Premissas!$A$4:$E$7,4,0)+L1884*VLOOKUP($B1884,Premissas!$A$4:$E$7,5,0))</f>
        <v/>
      </c>
      <c r="N1884" s="14">
        <f>H1884-M1884</f>
        <v/>
      </c>
      <c r="O1884" t="inlineStr">
        <is>
          <t>Não</t>
        </is>
      </c>
      <c r="P1884" t="inlineStr">
        <is>
          <t>1.350</t>
        </is>
      </c>
    </row>
    <row r="1885">
      <c r="A1885" t="inlineStr">
        <is>
          <t>Antes de 2026</t>
        </is>
      </c>
      <c r="B1885" t="inlineStr">
        <is>
          <t>Frete de venda</t>
        </is>
      </c>
      <c r="C1885" t="inlineStr">
        <is>
          <t>Frete de venda (para clientes)</t>
        </is>
      </c>
      <c r="D1885" t="inlineStr">
        <is>
          <t>CT-e</t>
        </is>
      </c>
      <c r="E1885" t="inlineStr">
        <is>
          <t>000002726</t>
        </is>
      </c>
      <c r="F1885" t="inlineStr">
        <is>
          <t>R&amp;R TRANSPORTE E LOGISTICA</t>
        </is>
      </c>
      <c r="G1885" s="27" t="n">
        <v>45566</v>
      </c>
      <c r="H1885" s="14" t="n">
        <v>42</v>
      </c>
      <c r="I1885" s="14" t="n">
        <v>0</v>
      </c>
      <c r="J1885" s="14" t="n">
        <v>0</v>
      </c>
      <c r="K1885" s="14" t="n">
        <v>0</v>
      </c>
      <c r="L1885" s="14" t="n">
        <v>0</v>
      </c>
      <c r="M1885" s="14">
        <f>IF(B1885="Frete de venda",0,(1-ISNUMBER(SEARCH("556",P1885)))*(I1885*VLOOKUP($B1885,Premissas!$A$4:$E$7,2,0)+J1885*VLOOKUP($B1885,Premissas!$A$4:$E$7,3,0))+K1885*VLOOKUP($B1885,Premissas!$A$4:$E$7,4,0)+L1885*VLOOKUP($B1885,Premissas!$A$4:$E$7,5,0))</f>
        <v/>
      </c>
      <c r="N1885" s="14">
        <f>H1885-M1885</f>
        <v/>
      </c>
      <c r="O1885" t="inlineStr">
        <is>
          <t>Não</t>
        </is>
      </c>
      <c r="P1885" t="inlineStr">
        <is>
          <t>1.350</t>
        </is>
      </c>
    </row>
    <row r="1886">
      <c r="A1886" t="inlineStr">
        <is>
          <t>Antes de 2026</t>
        </is>
      </c>
      <c r="B1886" t="inlineStr">
        <is>
          <t>Frete de venda</t>
        </is>
      </c>
      <c r="C1886" t="inlineStr">
        <is>
          <t>Frete de venda (para clientes)</t>
        </is>
      </c>
      <c r="D1886" t="inlineStr">
        <is>
          <t>CT-e</t>
        </is>
      </c>
      <c r="E1886" t="inlineStr">
        <is>
          <t>000002868</t>
        </is>
      </c>
      <c r="F1886" t="inlineStr">
        <is>
          <t>R&amp;R TRANSPORTE E LOGISTICA</t>
        </is>
      </c>
      <c r="G1886" s="27" t="n">
        <v>45581</v>
      </c>
      <c r="H1886" s="14" t="n">
        <v>22</v>
      </c>
      <c r="I1886" s="14" t="n">
        <v>0</v>
      </c>
      <c r="J1886" s="14" t="n">
        <v>0</v>
      </c>
      <c r="K1886" s="14" t="n">
        <v>0</v>
      </c>
      <c r="L1886" s="14" t="n">
        <v>0</v>
      </c>
      <c r="M1886" s="14">
        <f>IF(B1886="Frete de venda",0,(1-ISNUMBER(SEARCH("556",P1886)))*(I1886*VLOOKUP($B1886,Premissas!$A$4:$E$7,2,0)+J1886*VLOOKUP($B1886,Premissas!$A$4:$E$7,3,0))+K1886*VLOOKUP($B1886,Premissas!$A$4:$E$7,4,0)+L1886*VLOOKUP($B1886,Premissas!$A$4:$E$7,5,0))</f>
        <v/>
      </c>
      <c r="N1886" s="14">
        <f>H1886-M1886</f>
        <v/>
      </c>
      <c r="O1886" t="inlineStr">
        <is>
          <t>Não</t>
        </is>
      </c>
      <c r="P1886" t="inlineStr">
        <is>
          <t>1.350</t>
        </is>
      </c>
    </row>
    <row r="1887">
      <c r="A1887" t="inlineStr">
        <is>
          <t>Antes de 2026</t>
        </is>
      </c>
      <c r="B1887" t="inlineStr">
        <is>
          <t>Frete de venda</t>
        </is>
      </c>
      <c r="C1887" t="inlineStr">
        <is>
          <t>Frete de venda (para clientes)</t>
        </is>
      </c>
      <c r="D1887" t="inlineStr">
        <is>
          <t>CT-e</t>
        </is>
      </c>
      <c r="E1887" t="inlineStr">
        <is>
          <t>000002705</t>
        </is>
      </c>
      <c r="F1887" t="inlineStr">
        <is>
          <t>R&amp;R TRANSPORTE E LOGISTICA</t>
        </is>
      </c>
      <c r="G1887" s="27" t="n">
        <v>45560</v>
      </c>
      <c r="H1887" s="14" t="n">
        <v>35</v>
      </c>
      <c r="I1887" s="14" t="n">
        <v>0</v>
      </c>
      <c r="J1887" s="14" t="n">
        <v>0</v>
      </c>
      <c r="K1887" s="14" t="n">
        <v>0</v>
      </c>
      <c r="L1887" s="14" t="n">
        <v>0</v>
      </c>
      <c r="M1887" s="14">
        <f>IF(B1887="Frete de venda",0,(1-ISNUMBER(SEARCH("556",P1887)))*(I1887*VLOOKUP($B1887,Premissas!$A$4:$E$7,2,0)+J1887*VLOOKUP($B1887,Premissas!$A$4:$E$7,3,0))+K1887*VLOOKUP($B1887,Premissas!$A$4:$E$7,4,0)+L1887*VLOOKUP($B1887,Premissas!$A$4:$E$7,5,0))</f>
        <v/>
      </c>
      <c r="N1887" s="14">
        <f>H1887-M1887</f>
        <v/>
      </c>
      <c r="O1887" t="inlineStr">
        <is>
          <t>Não</t>
        </is>
      </c>
      <c r="P1887" t="inlineStr">
        <is>
          <t>1.350</t>
        </is>
      </c>
    </row>
    <row r="1888">
      <c r="A1888" t="inlineStr">
        <is>
          <t>Antes de 2026</t>
        </is>
      </c>
      <c r="B1888" t="inlineStr">
        <is>
          <t>Frete de venda</t>
        </is>
      </c>
      <c r="C1888" t="inlineStr">
        <is>
          <t>Frete de venda (para clientes)</t>
        </is>
      </c>
      <c r="D1888" t="inlineStr">
        <is>
          <t>CT-e</t>
        </is>
      </c>
      <c r="E1888" t="inlineStr">
        <is>
          <t>000002532</t>
        </is>
      </c>
      <c r="F1888" t="inlineStr">
        <is>
          <t>R&amp;R TRANSPORTE E LOGISTICA</t>
        </is>
      </c>
      <c r="G1888" s="27" t="n">
        <v>45527</v>
      </c>
      <c r="H1888" s="14" t="n">
        <v>1200</v>
      </c>
      <c r="I1888" s="14" t="n">
        <v>0</v>
      </c>
      <c r="J1888" s="14" t="n">
        <v>0</v>
      </c>
      <c r="K1888" s="14" t="n">
        <v>0</v>
      </c>
      <c r="L1888" s="14" t="n">
        <v>0</v>
      </c>
      <c r="M1888" s="14">
        <f>IF(B1888="Frete de venda",0,(1-ISNUMBER(SEARCH("556",P1888)))*(I1888*VLOOKUP($B1888,Premissas!$A$4:$E$7,2,0)+J1888*VLOOKUP($B1888,Premissas!$A$4:$E$7,3,0))+K1888*VLOOKUP($B1888,Premissas!$A$4:$E$7,4,0)+L1888*VLOOKUP($B1888,Premissas!$A$4:$E$7,5,0))</f>
        <v/>
      </c>
      <c r="N1888" s="14">
        <f>H1888-M1888</f>
        <v/>
      </c>
      <c r="O1888" t="inlineStr">
        <is>
          <t>Não</t>
        </is>
      </c>
      <c r="P1888" t="inlineStr">
        <is>
          <t>1.350</t>
        </is>
      </c>
    </row>
    <row r="1889">
      <c r="A1889" t="inlineStr">
        <is>
          <t>Antes de 2026</t>
        </is>
      </c>
      <c r="B1889" t="inlineStr">
        <is>
          <t>Frete de venda</t>
        </is>
      </c>
      <c r="C1889" t="inlineStr">
        <is>
          <t>Frete de venda (para clientes)</t>
        </is>
      </c>
      <c r="D1889" t="inlineStr">
        <is>
          <t>CT-e</t>
        </is>
      </c>
      <c r="E1889" t="inlineStr">
        <is>
          <t>000002504</t>
        </is>
      </c>
      <c r="F1889" t="inlineStr">
        <is>
          <t>R&amp;R TRANSPORTE E LOGISTICA</t>
        </is>
      </c>
      <c r="G1889" s="27" t="n">
        <v>45520</v>
      </c>
      <c r="H1889" s="14" t="n">
        <v>50</v>
      </c>
      <c r="I1889" s="14" t="n">
        <v>0</v>
      </c>
      <c r="J1889" s="14" t="n">
        <v>0</v>
      </c>
      <c r="K1889" s="14" t="n">
        <v>0</v>
      </c>
      <c r="L1889" s="14" t="n">
        <v>0</v>
      </c>
      <c r="M1889" s="14">
        <f>IF(B1889="Frete de venda",0,(1-ISNUMBER(SEARCH("556",P1889)))*(I1889*VLOOKUP($B1889,Premissas!$A$4:$E$7,2,0)+J1889*VLOOKUP($B1889,Premissas!$A$4:$E$7,3,0))+K1889*VLOOKUP($B1889,Premissas!$A$4:$E$7,4,0)+L1889*VLOOKUP($B1889,Premissas!$A$4:$E$7,5,0))</f>
        <v/>
      </c>
      <c r="N1889" s="14">
        <f>H1889-M1889</f>
        <v/>
      </c>
      <c r="O1889" t="inlineStr">
        <is>
          <t>Não</t>
        </is>
      </c>
      <c r="P1889" t="inlineStr">
        <is>
          <t>1.350</t>
        </is>
      </c>
    </row>
    <row r="1890">
      <c r="A1890" t="inlineStr">
        <is>
          <t>Antes de 2026</t>
        </is>
      </c>
      <c r="B1890" t="inlineStr">
        <is>
          <t>Frete de venda</t>
        </is>
      </c>
      <c r="C1890" t="inlineStr">
        <is>
          <t>Frete de venda (para clientes)</t>
        </is>
      </c>
      <c r="D1890" t="inlineStr">
        <is>
          <t>CT-e</t>
        </is>
      </c>
      <c r="E1890" t="inlineStr">
        <is>
          <t>000002779</t>
        </is>
      </c>
      <c r="F1890" t="inlineStr">
        <is>
          <t>R&amp;R TRANSPORTE E LOGISTICA</t>
        </is>
      </c>
      <c r="G1890" s="27" t="n">
        <v>45573</v>
      </c>
      <c r="H1890" s="14" t="n">
        <v>230</v>
      </c>
      <c r="I1890" s="14" t="n">
        <v>0</v>
      </c>
      <c r="J1890" s="14" t="n">
        <v>0</v>
      </c>
      <c r="K1890" s="14" t="n">
        <v>0</v>
      </c>
      <c r="L1890" s="14" t="n">
        <v>0</v>
      </c>
      <c r="M1890" s="14">
        <f>IF(B1890="Frete de venda",0,(1-ISNUMBER(SEARCH("556",P1890)))*(I1890*VLOOKUP($B1890,Premissas!$A$4:$E$7,2,0)+J1890*VLOOKUP($B1890,Premissas!$A$4:$E$7,3,0))+K1890*VLOOKUP($B1890,Premissas!$A$4:$E$7,4,0)+L1890*VLOOKUP($B1890,Premissas!$A$4:$E$7,5,0))</f>
        <v/>
      </c>
      <c r="N1890" s="14">
        <f>H1890-M1890</f>
        <v/>
      </c>
      <c r="O1890" t="inlineStr">
        <is>
          <t>Não</t>
        </is>
      </c>
      <c r="P1890" t="inlineStr">
        <is>
          <t>1.350</t>
        </is>
      </c>
    </row>
    <row r="1891">
      <c r="A1891" t="inlineStr">
        <is>
          <t>Antes de 2026</t>
        </is>
      </c>
      <c r="B1891" t="inlineStr">
        <is>
          <t>Frete de venda</t>
        </is>
      </c>
      <c r="C1891" t="inlineStr">
        <is>
          <t>Frete de venda (para clientes)</t>
        </is>
      </c>
      <c r="D1891" t="inlineStr">
        <is>
          <t>CT-e</t>
        </is>
      </c>
      <c r="E1891" t="inlineStr">
        <is>
          <t>000002445</t>
        </is>
      </c>
      <c r="F1891" t="inlineStr">
        <is>
          <t>R&amp;R TRANSPORTE E LOGISTICA</t>
        </is>
      </c>
      <c r="G1891" s="27" t="n">
        <v>45512</v>
      </c>
      <c r="H1891" s="14" t="n">
        <v>50</v>
      </c>
      <c r="I1891" s="14" t="n">
        <v>0</v>
      </c>
      <c r="J1891" s="14" t="n">
        <v>0</v>
      </c>
      <c r="K1891" s="14" t="n">
        <v>0</v>
      </c>
      <c r="L1891" s="14" t="n">
        <v>0</v>
      </c>
      <c r="M1891" s="14">
        <f>IF(B1891="Frete de venda",0,(1-ISNUMBER(SEARCH("556",P1891)))*(I1891*VLOOKUP($B1891,Premissas!$A$4:$E$7,2,0)+J1891*VLOOKUP($B1891,Premissas!$A$4:$E$7,3,0))+K1891*VLOOKUP($B1891,Premissas!$A$4:$E$7,4,0)+L1891*VLOOKUP($B1891,Premissas!$A$4:$E$7,5,0))</f>
        <v/>
      </c>
      <c r="N1891" s="14">
        <f>H1891-M1891</f>
        <v/>
      </c>
      <c r="O1891" t="inlineStr">
        <is>
          <t>Não</t>
        </is>
      </c>
      <c r="P1891" t="inlineStr">
        <is>
          <t>1.350</t>
        </is>
      </c>
    </row>
    <row r="1892">
      <c r="A1892" t="inlineStr">
        <is>
          <t>Antes de 2026</t>
        </is>
      </c>
      <c r="B1892" t="inlineStr">
        <is>
          <t>Frete de venda</t>
        </is>
      </c>
      <c r="C1892" t="inlineStr">
        <is>
          <t>Frete de venda (para clientes)</t>
        </is>
      </c>
      <c r="D1892" t="inlineStr">
        <is>
          <t>CT-e</t>
        </is>
      </c>
      <c r="E1892" t="inlineStr">
        <is>
          <t>000002508</t>
        </is>
      </c>
      <c r="F1892" t="inlineStr">
        <is>
          <t>R&amp;R TRANSPORTE E LOGISTICA</t>
        </is>
      </c>
      <c r="G1892" s="27" t="n">
        <v>45520</v>
      </c>
      <c r="H1892" s="14" t="n">
        <v>25</v>
      </c>
      <c r="I1892" s="14" t="n">
        <v>0</v>
      </c>
      <c r="J1892" s="14" t="n">
        <v>0</v>
      </c>
      <c r="K1892" s="14" t="n">
        <v>0</v>
      </c>
      <c r="L1892" s="14" t="n">
        <v>0</v>
      </c>
      <c r="M1892" s="14">
        <f>IF(B1892="Frete de venda",0,(1-ISNUMBER(SEARCH("556",P1892)))*(I1892*VLOOKUP($B1892,Premissas!$A$4:$E$7,2,0)+J1892*VLOOKUP($B1892,Premissas!$A$4:$E$7,3,0))+K1892*VLOOKUP($B1892,Premissas!$A$4:$E$7,4,0)+L1892*VLOOKUP($B1892,Premissas!$A$4:$E$7,5,0))</f>
        <v/>
      </c>
      <c r="N1892" s="14">
        <f>H1892-M1892</f>
        <v/>
      </c>
      <c r="O1892" t="inlineStr">
        <is>
          <t>Não</t>
        </is>
      </c>
      <c r="P1892" t="inlineStr">
        <is>
          <t>1.350</t>
        </is>
      </c>
    </row>
    <row r="1893">
      <c r="A1893" t="inlineStr">
        <is>
          <t>Antes de 2026</t>
        </is>
      </c>
      <c r="B1893" t="inlineStr">
        <is>
          <t>Frete de venda</t>
        </is>
      </c>
      <c r="C1893" t="inlineStr">
        <is>
          <t>Frete de venda (para clientes)</t>
        </is>
      </c>
      <c r="D1893" t="inlineStr">
        <is>
          <t>CT-e</t>
        </is>
      </c>
      <c r="E1893" t="inlineStr">
        <is>
          <t>000002701</t>
        </is>
      </c>
      <c r="F1893" t="inlineStr">
        <is>
          <t>R&amp;R TRANSPORTE E LOGISTICA</t>
        </is>
      </c>
      <c r="G1893" s="27" t="n">
        <v>45560</v>
      </c>
      <c r="H1893" s="14" t="n">
        <v>42</v>
      </c>
      <c r="I1893" s="14" t="n">
        <v>0</v>
      </c>
      <c r="J1893" s="14" t="n">
        <v>0</v>
      </c>
      <c r="K1893" s="14" t="n">
        <v>0</v>
      </c>
      <c r="L1893" s="14" t="n">
        <v>0</v>
      </c>
      <c r="M1893" s="14">
        <f>IF(B1893="Frete de venda",0,(1-ISNUMBER(SEARCH("556",P1893)))*(I1893*VLOOKUP($B1893,Premissas!$A$4:$E$7,2,0)+J1893*VLOOKUP($B1893,Premissas!$A$4:$E$7,3,0))+K1893*VLOOKUP($B1893,Premissas!$A$4:$E$7,4,0)+L1893*VLOOKUP($B1893,Premissas!$A$4:$E$7,5,0))</f>
        <v/>
      </c>
      <c r="N1893" s="14">
        <f>H1893-M1893</f>
        <v/>
      </c>
      <c r="O1893" t="inlineStr">
        <is>
          <t>Não</t>
        </is>
      </c>
      <c r="P1893" t="inlineStr">
        <is>
          <t>1.350</t>
        </is>
      </c>
    </row>
    <row r="1894">
      <c r="A1894" t="inlineStr">
        <is>
          <t>Antes de 2026</t>
        </is>
      </c>
      <c r="B1894" t="inlineStr">
        <is>
          <t>Frete de venda</t>
        </is>
      </c>
      <c r="C1894" t="inlineStr">
        <is>
          <t>Frete de venda (para clientes)</t>
        </is>
      </c>
      <c r="D1894" t="inlineStr">
        <is>
          <t>CT-e</t>
        </is>
      </c>
      <c r="E1894" t="inlineStr">
        <is>
          <t>000002511</t>
        </is>
      </c>
      <c r="F1894" t="inlineStr">
        <is>
          <t>R&amp;R TRANSPORTE E LOGISTICA</t>
        </is>
      </c>
      <c r="G1894" s="27" t="n">
        <v>45523</v>
      </c>
      <c r="H1894" s="14" t="n">
        <v>300</v>
      </c>
      <c r="I1894" s="14" t="n">
        <v>0</v>
      </c>
      <c r="J1894" s="14" t="n">
        <v>0</v>
      </c>
      <c r="K1894" s="14" t="n">
        <v>0</v>
      </c>
      <c r="L1894" s="14" t="n">
        <v>0</v>
      </c>
      <c r="M1894" s="14">
        <f>IF(B1894="Frete de venda",0,(1-ISNUMBER(SEARCH("556",P1894)))*(I1894*VLOOKUP($B1894,Premissas!$A$4:$E$7,2,0)+J1894*VLOOKUP($B1894,Premissas!$A$4:$E$7,3,0))+K1894*VLOOKUP($B1894,Premissas!$A$4:$E$7,4,0)+L1894*VLOOKUP($B1894,Premissas!$A$4:$E$7,5,0))</f>
        <v/>
      </c>
      <c r="N1894" s="14">
        <f>H1894-M1894</f>
        <v/>
      </c>
      <c r="O1894" t="inlineStr">
        <is>
          <t>Não</t>
        </is>
      </c>
      <c r="P1894" t="inlineStr">
        <is>
          <t>1.350</t>
        </is>
      </c>
    </row>
    <row r="1895">
      <c r="A1895" t="inlineStr">
        <is>
          <t>Antes de 2026</t>
        </is>
      </c>
      <c r="B1895" t="inlineStr">
        <is>
          <t>Frete de venda</t>
        </is>
      </c>
      <c r="C1895" t="inlineStr">
        <is>
          <t>Frete de venda (para clientes)</t>
        </is>
      </c>
      <c r="D1895" t="inlineStr">
        <is>
          <t>CT-e</t>
        </is>
      </c>
      <c r="E1895" t="inlineStr">
        <is>
          <t>000002455</t>
        </is>
      </c>
      <c r="F1895" t="inlineStr">
        <is>
          <t>R&amp;R TRANSPORTE E LOGISTICA</t>
        </is>
      </c>
      <c r="G1895" s="27" t="n">
        <v>45516</v>
      </c>
      <c r="H1895" s="14" t="n">
        <v>380</v>
      </c>
      <c r="I1895" s="14" t="n">
        <v>0</v>
      </c>
      <c r="J1895" s="14" t="n">
        <v>0</v>
      </c>
      <c r="K1895" s="14" t="n">
        <v>0</v>
      </c>
      <c r="L1895" s="14" t="n">
        <v>0</v>
      </c>
      <c r="M1895" s="14">
        <f>IF(B1895="Frete de venda",0,(1-ISNUMBER(SEARCH("556",P1895)))*(I1895*VLOOKUP($B1895,Premissas!$A$4:$E$7,2,0)+J1895*VLOOKUP($B1895,Premissas!$A$4:$E$7,3,0))+K1895*VLOOKUP($B1895,Premissas!$A$4:$E$7,4,0)+L1895*VLOOKUP($B1895,Premissas!$A$4:$E$7,5,0))</f>
        <v/>
      </c>
      <c r="N1895" s="14">
        <f>H1895-M1895</f>
        <v/>
      </c>
      <c r="O1895" t="inlineStr">
        <is>
          <t>Não</t>
        </is>
      </c>
      <c r="P1895" t="inlineStr">
        <is>
          <t>1.350</t>
        </is>
      </c>
    </row>
    <row r="1896">
      <c r="A1896" t="inlineStr">
        <is>
          <t>Antes de 2026</t>
        </is>
      </c>
      <c r="B1896" t="inlineStr">
        <is>
          <t>Frete de venda</t>
        </is>
      </c>
      <c r="C1896" t="inlineStr">
        <is>
          <t>Frete de venda (para clientes)</t>
        </is>
      </c>
      <c r="D1896" t="inlineStr">
        <is>
          <t>CT-e</t>
        </is>
      </c>
      <c r="E1896" t="inlineStr">
        <is>
          <t>000002780</t>
        </is>
      </c>
      <c r="F1896" t="inlineStr">
        <is>
          <t>R&amp;R TRANSPORTE E LOGISTICA</t>
        </is>
      </c>
      <c r="G1896" s="27" t="n">
        <v>45573</v>
      </c>
      <c r="H1896" s="14" t="n">
        <v>230</v>
      </c>
      <c r="I1896" s="14" t="n">
        <v>0</v>
      </c>
      <c r="J1896" s="14" t="n">
        <v>0</v>
      </c>
      <c r="K1896" s="14" t="n">
        <v>0</v>
      </c>
      <c r="L1896" s="14" t="n">
        <v>0</v>
      </c>
      <c r="M1896" s="14">
        <f>IF(B1896="Frete de venda",0,(1-ISNUMBER(SEARCH("556",P1896)))*(I1896*VLOOKUP($B1896,Premissas!$A$4:$E$7,2,0)+J1896*VLOOKUP($B1896,Premissas!$A$4:$E$7,3,0))+K1896*VLOOKUP($B1896,Premissas!$A$4:$E$7,4,0)+L1896*VLOOKUP($B1896,Premissas!$A$4:$E$7,5,0))</f>
        <v/>
      </c>
      <c r="N1896" s="14">
        <f>H1896-M1896</f>
        <v/>
      </c>
      <c r="O1896" t="inlineStr">
        <is>
          <t>Não</t>
        </is>
      </c>
      <c r="P1896" t="inlineStr">
        <is>
          <t>1.350</t>
        </is>
      </c>
    </row>
    <row r="1897">
      <c r="A1897" t="inlineStr">
        <is>
          <t>Antes de 2026</t>
        </is>
      </c>
      <c r="B1897" t="inlineStr">
        <is>
          <t>Frete de venda</t>
        </is>
      </c>
      <c r="C1897" t="inlineStr">
        <is>
          <t>Frete de venda (para clientes)</t>
        </is>
      </c>
      <c r="D1897" t="inlineStr">
        <is>
          <t>CT-e</t>
        </is>
      </c>
      <c r="E1897" t="inlineStr">
        <is>
          <t>000002520</t>
        </is>
      </c>
      <c r="F1897" t="inlineStr">
        <is>
          <t>R&amp;R TRANSPORTE E LOGISTICA</t>
        </is>
      </c>
      <c r="G1897" s="27" t="n">
        <v>45526</v>
      </c>
      <c r="H1897" s="14" t="n">
        <v>380</v>
      </c>
      <c r="I1897" s="14" t="n">
        <v>0</v>
      </c>
      <c r="J1897" s="14" t="n">
        <v>0</v>
      </c>
      <c r="K1897" s="14" t="n">
        <v>0</v>
      </c>
      <c r="L1897" s="14" t="n">
        <v>0</v>
      </c>
      <c r="M1897" s="14">
        <f>IF(B1897="Frete de venda",0,(1-ISNUMBER(SEARCH("556",P1897)))*(I1897*VLOOKUP($B1897,Premissas!$A$4:$E$7,2,0)+J1897*VLOOKUP($B1897,Premissas!$A$4:$E$7,3,0))+K1897*VLOOKUP($B1897,Premissas!$A$4:$E$7,4,0)+L1897*VLOOKUP($B1897,Premissas!$A$4:$E$7,5,0))</f>
        <v/>
      </c>
      <c r="N1897" s="14">
        <f>H1897-M1897</f>
        <v/>
      </c>
      <c r="O1897" t="inlineStr">
        <is>
          <t>Não</t>
        </is>
      </c>
      <c r="P1897" t="inlineStr">
        <is>
          <t>1.350</t>
        </is>
      </c>
    </row>
    <row r="1898">
      <c r="A1898" t="inlineStr">
        <is>
          <t>Antes de 2026</t>
        </is>
      </c>
      <c r="B1898" t="inlineStr">
        <is>
          <t>Frete de venda</t>
        </is>
      </c>
      <c r="C1898" t="inlineStr">
        <is>
          <t>Frete de venda (para clientes)</t>
        </is>
      </c>
      <c r="D1898" t="inlineStr">
        <is>
          <t>CT-e</t>
        </is>
      </c>
      <c r="E1898" t="inlineStr">
        <is>
          <t>000002591</t>
        </is>
      </c>
      <c r="F1898" t="inlineStr">
        <is>
          <t>R&amp;R TRANSPORTE E LOGISTICA</t>
        </is>
      </c>
      <c r="G1898" s="27" t="n">
        <v>45539</v>
      </c>
      <c r="H1898" s="14" t="n">
        <v>30</v>
      </c>
      <c r="I1898" s="14" t="n">
        <v>0</v>
      </c>
      <c r="J1898" s="14" t="n">
        <v>0</v>
      </c>
      <c r="K1898" s="14" t="n">
        <v>0</v>
      </c>
      <c r="L1898" s="14" t="n">
        <v>0</v>
      </c>
      <c r="M1898" s="14">
        <f>IF(B1898="Frete de venda",0,(1-ISNUMBER(SEARCH("556",P1898)))*(I1898*VLOOKUP($B1898,Premissas!$A$4:$E$7,2,0)+J1898*VLOOKUP($B1898,Premissas!$A$4:$E$7,3,0))+K1898*VLOOKUP($B1898,Premissas!$A$4:$E$7,4,0)+L1898*VLOOKUP($B1898,Premissas!$A$4:$E$7,5,0))</f>
        <v/>
      </c>
      <c r="N1898" s="14">
        <f>H1898-M1898</f>
        <v/>
      </c>
      <c r="O1898" t="inlineStr">
        <is>
          <t>Não</t>
        </is>
      </c>
      <c r="P1898" t="inlineStr">
        <is>
          <t>1.350</t>
        </is>
      </c>
    </row>
    <row r="1899">
      <c r="A1899" t="inlineStr">
        <is>
          <t>Antes de 2026</t>
        </is>
      </c>
      <c r="B1899" t="inlineStr">
        <is>
          <t>Frete de venda</t>
        </is>
      </c>
      <c r="C1899" t="inlineStr">
        <is>
          <t>Frete de venda (para clientes)</t>
        </is>
      </c>
      <c r="D1899" t="inlineStr">
        <is>
          <t>CT-e</t>
        </is>
      </c>
      <c r="E1899" t="inlineStr">
        <is>
          <t>000002604</t>
        </is>
      </c>
      <c r="F1899" t="inlineStr">
        <is>
          <t>R&amp;R TRANSPORTE E LOGISTICA</t>
        </is>
      </c>
      <c r="G1899" s="27" t="n">
        <v>45541</v>
      </c>
      <c r="H1899" s="14" t="n">
        <v>16</v>
      </c>
      <c r="I1899" s="14" t="n">
        <v>0</v>
      </c>
      <c r="J1899" s="14" t="n">
        <v>0</v>
      </c>
      <c r="K1899" s="14" t="n">
        <v>0</v>
      </c>
      <c r="L1899" s="14" t="n">
        <v>0</v>
      </c>
      <c r="M1899" s="14">
        <f>IF(B1899="Frete de venda",0,(1-ISNUMBER(SEARCH("556",P1899)))*(I1899*VLOOKUP($B1899,Premissas!$A$4:$E$7,2,0)+J1899*VLOOKUP($B1899,Premissas!$A$4:$E$7,3,0))+K1899*VLOOKUP($B1899,Premissas!$A$4:$E$7,4,0)+L1899*VLOOKUP($B1899,Premissas!$A$4:$E$7,5,0))</f>
        <v/>
      </c>
      <c r="N1899" s="14">
        <f>H1899-M1899</f>
        <v/>
      </c>
      <c r="O1899" t="inlineStr">
        <is>
          <t>Não</t>
        </is>
      </c>
      <c r="P1899" t="inlineStr">
        <is>
          <t>1.350</t>
        </is>
      </c>
    </row>
    <row r="1900">
      <c r="A1900" t="inlineStr">
        <is>
          <t>Antes de 2026</t>
        </is>
      </c>
      <c r="B1900" t="inlineStr">
        <is>
          <t>Frete de venda</t>
        </is>
      </c>
      <c r="C1900" t="inlineStr">
        <is>
          <t>Frete de venda (para clientes)</t>
        </is>
      </c>
      <c r="D1900" t="inlineStr">
        <is>
          <t>CT-e</t>
        </is>
      </c>
      <c r="E1900" t="inlineStr">
        <is>
          <t>000002640</t>
        </is>
      </c>
      <c r="F1900" t="inlineStr">
        <is>
          <t>R&amp;R TRANSPORTE E LOGISTICA</t>
        </is>
      </c>
      <c r="G1900" s="27" t="n">
        <v>45545</v>
      </c>
      <c r="H1900" s="14" t="n">
        <v>17</v>
      </c>
      <c r="I1900" s="14" t="n">
        <v>0</v>
      </c>
      <c r="J1900" s="14" t="n">
        <v>0</v>
      </c>
      <c r="K1900" s="14" t="n">
        <v>0</v>
      </c>
      <c r="L1900" s="14" t="n">
        <v>0</v>
      </c>
      <c r="M1900" s="14">
        <f>IF(B1900="Frete de venda",0,(1-ISNUMBER(SEARCH("556",P1900)))*(I1900*VLOOKUP($B1900,Premissas!$A$4:$E$7,2,0)+J1900*VLOOKUP($B1900,Premissas!$A$4:$E$7,3,0))+K1900*VLOOKUP($B1900,Premissas!$A$4:$E$7,4,0)+L1900*VLOOKUP($B1900,Premissas!$A$4:$E$7,5,0))</f>
        <v/>
      </c>
      <c r="N1900" s="14">
        <f>H1900-M1900</f>
        <v/>
      </c>
      <c r="O1900" t="inlineStr">
        <is>
          <t>Não</t>
        </is>
      </c>
      <c r="P1900" t="inlineStr">
        <is>
          <t>1.350</t>
        </is>
      </c>
    </row>
    <row r="1901">
      <c r="A1901" t="inlineStr">
        <is>
          <t>Antes de 2026</t>
        </is>
      </c>
      <c r="B1901" t="inlineStr">
        <is>
          <t>Frete de venda</t>
        </is>
      </c>
      <c r="C1901" t="inlineStr">
        <is>
          <t>Frete de venda (para clientes)</t>
        </is>
      </c>
      <c r="D1901" t="inlineStr">
        <is>
          <t>CT-e</t>
        </is>
      </c>
      <c r="E1901" t="inlineStr">
        <is>
          <t>000002717</t>
        </is>
      </c>
      <c r="F1901" t="inlineStr">
        <is>
          <t>R&amp;R TRANSPORTE E LOGISTICA</t>
        </is>
      </c>
      <c r="G1901" s="27" t="n">
        <v>45566</v>
      </c>
      <c r="H1901" s="14" t="n">
        <v>391</v>
      </c>
      <c r="I1901" s="14" t="n">
        <v>0</v>
      </c>
      <c r="J1901" s="14" t="n">
        <v>0</v>
      </c>
      <c r="K1901" s="14" t="n">
        <v>0</v>
      </c>
      <c r="L1901" s="14" t="n">
        <v>0</v>
      </c>
      <c r="M1901" s="14">
        <f>IF(B1901="Frete de venda",0,(1-ISNUMBER(SEARCH("556",P1901)))*(I1901*VLOOKUP($B1901,Premissas!$A$4:$E$7,2,0)+J1901*VLOOKUP($B1901,Premissas!$A$4:$E$7,3,0))+K1901*VLOOKUP($B1901,Premissas!$A$4:$E$7,4,0)+L1901*VLOOKUP($B1901,Premissas!$A$4:$E$7,5,0))</f>
        <v/>
      </c>
      <c r="N1901" s="14">
        <f>H1901-M1901</f>
        <v/>
      </c>
      <c r="O1901" t="inlineStr">
        <is>
          <t>Não</t>
        </is>
      </c>
      <c r="P1901" t="inlineStr">
        <is>
          <t>1.350</t>
        </is>
      </c>
    </row>
    <row r="1902">
      <c r="A1902" t="inlineStr">
        <is>
          <t>Antes de 2026</t>
        </is>
      </c>
      <c r="B1902" t="inlineStr">
        <is>
          <t>Frete de venda</t>
        </is>
      </c>
      <c r="C1902" t="inlineStr">
        <is>
          <t>Frete de venda (para clientes)</t>
        </is>
      </c>
      <c r="D1902" t="inlineStr">
        <is>
          <t>CT-e</t>
        </is>
      </c>
      <c r="E1902" t="inlineStr">
        <is>
          <t>000002546</t>
        </is>
      </c>
      <c r="F1902" t="inlineStr">
        <is>
          <t>R&amp;R TRANSPORTE E LOGISTICA</t>
        </is>
      </c>
      <c r="G1902" s="27" t="n">
        <v>45531</v>
      </c>
      <c r="H1902" s="14" t="n">
        <v>150</v>
      </c>
      <c r="I1902" s="14" t="n">
        <v>0</v>
      </c>
      <c r="J1902" s="14" t="n">
        <v>0</v>
      </c>
      <c r="K1902" s="14" t="n">
        <v>0</v>
      </c>
      <c r="L1902" s="14" t="n">
        <v>0</v>
      </c>
      <c r="M1902" s="14">
        <f>IF(B1902="Frete de venda",0,(1-ISNUMBER(SEARCH("556",P1902)))*(I1902*VLOOKUP($B1902,Premissas!$A$4:$E$7,2,0)+J1902*VLOOKUP($B1902,Premissas!$A$4:$E$7,3,0))+K1902*VLOOKUP($B1902,Premissas!$A$4:$E$7,4,0)+L1902*VLOOKUP($B1902,Premissas!$A$4:$E$7,5,0))</f>
        <v/>
      </c>
      <c r="N1902" s="14">
        <f>H1902-M1902</f>
        <v/>
      </c>
      <c r="O1902" t="inlineStr">
        <is>
          <t>Não</t>
        </is>
      </c>
      <c r="P1902" t="inlineStr">
        <is>
          <t>1.350</t>
        </is>
      </c>
    </row>
    <row r="1903">
      <c r="A1903" t="inlineStr">
        <is>
          <t>Antes de 2026</t>
        </is>
      </c>
      <c r="B1903" t="inlineStr">
        <is>
          <t>Frete de venda</t>
        </is>
      </c>
      <c r="C1903" t="inlineStr">
        <is>
          <t>Frete de venda (para clientes)</t>
        </is>
      </c>
      <c r="D1903" t="inlineStr">
        <is>
          <t>CT-e</t>
        </is>
      </c>
      <c r="E1903" t="inlineStr">
        <is>
          <t>000002576</t>
        </is>
      </c>
      <c r="F1903" t="inlineStr">
        <is>
          <t>R&amp;R TRANSPORTE E LOGISTICA</t>
        </is>
      </c>
      <c r="G1903" s="27" t="n">
        <v>45538</v>
      </c>
      <c r="H1903" s="14" t="n">
        <v>50</v>
      </c>
      <c r="I1903" s="14" t="n">
        <v>0</v>
      </c>
      <c r="J1903" s="14" t="n">
        <v>0</v>
      </c>
      <c r="K1903" s="14" t="n">
        <v>0</v>
      </c>
      <c r="L1903" s="14" t="n">
        <v>0</v>
      </c>
      <c r="M1903" s="14">
        <f>IF(B1903="Frete de venda",0,(1-ISNUMBER(SEARCH("556",P1903)))*(I1903*VLOOKUP($B1903,Premissas!$A$4:$E$7,2,0)+J1903*VLOOKUP($B1903,Premissas!$A$4:$E$7,3,0))+K1903*VLOOKUP($B1903,Premissas!$A$4:$E$7,4,0)+L1903*VLOOKUP($B1903,Premissas!$A$4:$E$7,5,0))</f>
        <v/>
      </c>
      <c r="N1903" s="14">
        <f>H1903-M1903</f>
        <v/>
      </c>
      <c r="O1903" t="inlineStr">
        <is>
          <t>Não</t>
        </is>
      </c>
      <c r="P1903" t="inlineStr">
        <is>
          <t>1.350</t>
        </is>
      </c>
    </row>
    <row r="1904">
      <c r="A1904" t="inlineStr">
        <is>
          <t>Antes de 2026</t>
        </is>
      </c>
      <c r="B1904" t="inlineStr">
        <is>
          <t>Frete de venda</t>
        </is>
      </c>
      <c r="C1904" t="inlineStr">
        <is>
          <t>Frete de venda (para clientes)</t>
        </is>
      </c>
      <c r="D1904" t="inlineStr">
        <is>
          <t>CT-e</t>
        </is>
      </c>
      <c r="E1904" t="inlineStr">
        <is>
          <t>000002636</t>
        </is>
      </c>
      <c r="F1904" t="inlineStr">
        <is>
          <t>R&amp;R TRANSPORTE E LOGISTICA</t>
        </is>
      </c>
      <c r="G1904" s="27" t="n">
        <v>45545</v>
      </c>
      <c r="H1904" s="14" t="n">
        <v>16</v>
      </c>
      <c r="I1904" s="14" t="n">
        <v>0</v>
      </c>
      <c r="J1904" s="14" t="n">
        <v>0</v>
      </c>
      <c r="K1904" s="14" t="n">
        <v>0</v>
      </c>
      <c r="L1904" s="14" t="n">
        <v>0</v>
      </c>
      <c r="M1904" s="14">
        <f>IF(B1904="Frete de venda",0,(1-ISNUMBER(SEARCH("556",P1904)))*(I1904*VLOOKUP($B1904,Premissas!$A$4:$E$7,2,0)+J1904*VLOOKUP($B1904,Premissas!$A$4:$E$7,3,0))+K1904*VLOOKUP($B1904,Premissas!$A$4:$E$7,4,0)+L1904*VLOOKUP($B1904,Premissas!$A$4:$E$7,5,0))</f>
        <v/>
      </c>
      <c r="N1904" s="14">
        <f>H1904-M1904</f>
        <v/>
      </c>
      <c r="O1904" t="inlineStr">
        <is>
          <t>Não</t>
        </is>
      </c>
      <c r="P1904" t="inlineStr">
        <is>
          <t>1.350</t>
        </is>
      </c>
    </row>
    <row r="1905">
      <c r="A1905" t="inlineStr">
        <is>
          <t>Antes de 2026</t>
        </is>
      </c>
      <c r="B1905" t="inlineStr">
        <is>
          <t>Frete de venda</t>
        </is>
      </c>
      <c r="C1905" t="inlineStr">
        <is>
          <t>Frete de venda (para clientes)</t>
        </is>
      </c>
      <c r="D1905" t="inlineStr">
        <is>
          <t>CT-e</t>
        </is>
      </c>
      <c r="E1905" t="inlineStr">
        <is>
          <t>000002633</t>
        </is>
      </c>
      <c r="F1905" t="inlineStr">
        <is>
          <t>R&amp;R TRANSPORTE E LOGISTICA</t>
        </is>
      </c>
      <c r="G1905" s="27" t="n">
        <v>45545</v>
      </c>
      <c r="H1905" s="14" t="n">
        <v>19</v>
      </c>
      <c r="I1905" s="14" t="n">
        <v>0</v>
      </c>
      <c r="J1905" s="14" t="n">
        <v>0</v>
      </c>
      <c r="K1905" s="14" t="n">
        <v>0</v>
      </c>
      <c r="L1905" s="14" t="n">
        <v>0</v>
      </c>
      <c r="M1905" s="14">
        <f>IF(B1905="Frete de venda",0,(1-ISNUMBER(SEARCH("556",P1905)))*(I1905*VLOOKUP($B1905,Premissas!$A$4:$E$7,2,0)+J1905*VLOOKUP($B1905,Premissas!$A$4:$E$7,3,0))+K1905*VLOOKUP($B1905,Premissas!$A$4:$E$7,4,0)+L1905*VLOOKUP($B1905,Premissas!$A$4:$E$7,5,0))</f>
        <v/>
      </c>
      <c r="N1905" s="14">
        <f>H1905-M1905</f>
        <v/>
      </c>
      <c r="O1905" t="inlineStr">
        <is>
          <t>Não</t>
        </is>
      </c>
      <c r="P1905" t="inlineStr">
        <is>
          <t>1.350</t>
        </is>
      </c>
    </row>
    <row r="1906">
      <c r="A1906" t="inlineStr">
        <is>
          <t>Antes de 2026</t>
        </is>
      </c>
      <c r="B1906" t="inlineStr">
        <is>
          <t>Frete de venda</t>
        </is>
      </c>
      <c r="C1906" t="inlineStr">
        <is>
          <t>Frete de venda (para clientes)</t>
        </is>
      </c>
      <c r="D1906" t="inlineStr">
        <is>
          <t>CT-e</t>
        </is>
      </c>
      <c r="E1906" t="inlineStr">
        <is>
          <t>000002641</t>
        </is>
      </c>
      <c r="F1906" t="inlineStr">
        <is>
          <t>R&amp;R TRANSPORTE E LOGISTICA</t>
        </is>
      </c>
      <c r="G1906" s="27" t="n">
        <v>45545</v>
      </c>
      <c r="H1906" s="14" t="n">
        <v>19</v>
      </c>
      <c r="I1906" s="14" t="n">
        <v>0</v>
      </c>
      <c r="J1906" s="14" t="n">
        <v>0</v>
      </c>
      <c r="K1906" s="14" t="n">
        <v>0</v>
      </c>
      <c r="L1906" s="14" t="n">
        <v>0</v>
      </c>
      <c r="M1906" s="14">
        <f>IF(B1906="Frete de venda",0,(1-ISNUMBER(SEARCH("556",P1906)))*(I1906*VLOOKUP($B1906,Premissas!$A$4:$E$7,2,0)+J1906*VLOOKUP($B1906,Premissas!$A$4:$E$7,3,0))+K1906*VLOOKUP($B1906,Premissas!$A$4:$E$7,4,0)+L1906*VLOOKUP($B1906,Premissas!$A$4:$E$7,5,0))</f>
        <v/>
      </c>
      <c r="N1906" s="14">
        <f>H1906-M1906</f>
        <v/>
      </c>
      <c r="O1906" t="inlineStr">
        <is>
          <t>Não</t>
        </is>
      </c>
      <c r="P1906" t="inlineStr">
        <is>
          <t>1.350</t>
        </is>
      </c>
    </row>
    <row r="1907">
      <c r="A1907" t="inlineStr">
        <is>
          <t>Antes de 2026</t>
        </is>
      </c>
      <c r="B1907" t="inlineStr">
        <is>
          <t>Frete de venda</t>
        </is>
      </c>
      <c r="C1907" t="inlineStr">
        <is>
          <t>Frete de venda (para clientes)</t>
        </is>
      </c>
      <c r="D1907" t="inlineStr">
        <is>
          <t>CT-e</t>
        </is>
      </c>
      <c r="E1907" t="inlineStr">
        <is>
          <t>000002637</t>
        </is>
      </c>
      <c r="F1907" t="inlineStr">
        <is>
          <t>R&amp;R TRANSPORTE E LOGISTICA</t>
        </is>
      </c>
      <c r="G1907" s="27" t="n">
        <v>45545</v>
      </c>
      <c r="H1907" s="14" t="n">
        <v>19</v>
      </c>
      <c r="I1907" s="14" t="n">
        <v>0</v>
      </c>
      <c r="J1907" s="14" t="n">
        <v>0</v>
      </c>
      <c r="K1907" s="14" t="n">
        <v>0</v>
      </c>
      <c r="L1907" s="14" t="n">
        <v>0</v>
      </c>
      <c r="M1907" s="14">
        <f>IF(B1907="Frete de venda",0,(1-ISNUMBER(SEARCH("556",P1907)))*(I1907*VLOOKUP($B1907,Premissas!$A$4:$E$7,2,0)+J1907*VLOOKUP($B1907,Premissas!$A$4:$E$7,3,0))+K1907*VLOOKUP($B1907,Premissas!$A$4:$E$7,4,0)+L1907*VLOOKUP($B1907,Premissas!$A$4:$E$7,5,0))</f>
        <v/>
      </c>
      <c r="N1907" s="14">
        <f>H1907-M1907</f>
        <v/>
      </c>
      <c r="O1907" t="inlineStr">
        <is>
          <t>Não</t>
        </is>
      </c>
      <c r="P1907" t="inlineStr">
        <is>
          <t>1.350</t>
        </is>
      </c>
    </row>
    <row r="1908">
      <c r="A1908" t="inlineStr">
        <is>
          <t>Antes de 2026</t>
        </is>
      </c>
      <c r="B1908" t="inlineStr">
        <is>
          <t>Frete de venda</t>
        </is>
      </c>
      <c r="C1908" t="inlineStr">
        <is>
          <t>Frete de venda (para clientes)</t>
        </is>
      </c>
      <c r="D1908" t="inlineStr">
        <is>
          <t>CT-e</t>
        </is>
      </c>
      <c r="E1908" t="inlineStr">
        <is>
          <t>000002643</t>
        </is>
      </c>
      <c r="F1908" t="inlineStr">
        <is>
          <t>R&amp;R TRANSPORTE E LOGISTICA</t>
        </is>
      </c>
      <c r="G1908" s="27" t="n">
        <v>45545</v>
      </c>
      <c r="H1908" s="14" t="n">
        <v>19</v>
      </c>
      <c r="I1908" s="14" t="n">
        <v>0</v>
      </c>
      <c r="J1908" s="14" t="n">
        <v>0</v>
      </c>
      <c r="K1908" s="14" t="n">
        <v>0</v>
      </c>
      <c r="L1908" s="14" t="n">
        <v>0</v>
      </c>
      <c r="M1908" s="14">
        <f>IF(B1908="Frete de venda",0,(1-ISNUMBER(SEARCH("556",P1908)))*(I1908*VLOOKUP($B1908,Premissas!$A$4:$E$7,2,0)+J1908*VLOOKUP($B1908,Premissas!$A$4:$E$7,3,0))+K1908*VLOOKUP($B1908,Premissas!$A$4:$E$7,4,0)+L1908*VLOOKUP($B1908,Premissas!$A$4:$E$7,5,0))</f>
        <v/>
      </c>
      <c r="N1908" s="14">
        <f>H1908-M1908</f>
        <v/>
      </c>
      <c r="O1908" t="inlineStr">
        <is>
          <t>Não</t>
        </is>
      </c>
      <c r="P1908" t="inlineStr">
        <is>
          <t>1.350</t>
        </is>
      </c>
    </row>
    <row r="1909">
      <c r="A1909" t="inlineStr">
        <is>
          <t>Antes de 2026</t>
        </is>
      </c>
      <c r="B1909" t="inlineStr">
        <is>
          <t>Frete de venda</t>
        </is>
      </c>
      <c r="C1909" t="inlineStr">
        <is>
          <t>Frete de venda (para clientes)</t>
        </is>
      </c>
      <c r="D1909" t="inlineStr">
        <is>
          <t>CT-e</t>
        </is>
      </c>
      <c r="E1909" t="inlineStr">
        <is>
          <t>000002635</t>
        </is>
      </c>
      <c r="F1909" t="inlineStr">
        <is>
          <t>R&amp;R TRANSPORTE E LOGISTICA</t>
        </is>
      </c>
      <c r="G1909" s="27" t="n">
        <v>45545</v>
      </c>
      <c r="H1909" s="14" t="n">
        <v>19</v>
      </c>
      <c r="I1909" s="14" t="n">
        <v>0</v>
      </c>
      <c r="J1909" s="14" t="n">
        <v>0</v>
      </c>
      <c r="K1909" s="14" t="n">
        <v>0</v>
      </c>
      <c r="L1909" s="14" t="n">
        <v>0</v>
      </c>
      <c r="M1909" s="14">
        <f>IF(B1909="Frete de venda",0,(1-ISNUMBER(SEARCH("556",P1909)))*(I1909*VLOOKUP($B1909,Premissas!$A$4:$E$7,2,0)+J1909*VLOOKUP($B1909,Premissas!$A$4:$E$7,3,0))+K1909*VLOOKUP($B1909,Premissas!$A$4:$E$7,4,0)+L1909*VLOOKUP($B1909,Premissas!$A$4:$E$7,5,0))</f>
        <v/>
      </c>
      <c r="N1909" s="14">
        <f>H1909-M1909</f>
        <v/>
      </c>
      <c r="O1909" t="inlineStr">
        <is>
          <t>Não</t>
        </is>
      </c>
      <c r="P1909" t="inlineStr">
        <is>
          <t>1.350</t>
        </is>
      </c>
    </row>
    <row r="1910">
      <c r="A1910" t="inlineStr">
        <is>
          <t>Antes de 2026</t>
        </is>
      </c>
      <c r="B1910" t="inlineStr">
        <is>
          <t>Frete de venda</t>
        </is>
      </c>
      <c r="C1910" t="inlineStr">
        <is>
          <t>Frete de venda (para clientes)</t>
        </is>
      </c>
      <c r="D1910" t="inlineStr">
        <is>
          <t>CT-e</t>
        </is>
      </c>
      <c r="E1910" t="inlineStr">
        <is>
          <t>000002634</t>
        </is>
      </c>
      <c r="F1910" t="inlineStr">
        <is>
          <t>R&amp;R TRANSPORTE E LOGISTICA</t>
        </is>
      </c>
      <c r="G1910" s="27" t="n">
        <v>45545</v>
      </c>
      <c r="H1910" s="14" t="n">
        <v>19</v>
      </c>
      <c r="I1910" s="14" t="n">
        <v>0</v>
      </c>
      <c r="J1910" s="14" t="n">
        <v>0</v>
      </c>
      <c r="K1910" s="14" t="n">
        <v>0</v>
      </c>
      <c r="L1910" s="14" t="n">
        <v>0</v>
      </c>
      <c r="M1910" s="14">
        <f>IF(B1910="Frete de venda",0,(1-ISNUMBER(SEARCH("556",P1910)))*(I1910*VLOOKUP($B1910,Premissas!$A$4:$E$7,2,0)+J1910*VLOOKUP($B1910,Premissas!$A$4:$E$7,3,0))+K1910*VLOOKUP($B1910,Premissas!$A$4:$E$7,4,0)+L1910*VLOOKUP($B1910,Premissas!$A$4:$E$7,5,0))</f>
        <v/>
      </c>
      <c r="N1910" s="14">
        <f>H1910-M1910</f>
        <v/>
      </c>
      <c r="O1910" t="inlineStr">
        <is>
          <t>Não</t>
        </is>
      </c>
      <c r="P1910" t="inlineStr">
        <is>
          <t>1.350</t>
        </is>
      </c>
    </row>
    <row r="1911">
      <c r="A1911" t="inlineStr">
        <is>
          <t>Antes de 2026</t>
        </is>
      </c>
      <c r="B1911" t="inlineStr">
        <is>
          <t>Frete de venda</t>
        </is>
      </c>
      <c r="C1911" t="inlineStr">
        <is>
          <t>Frete de venda (para clientes)</t>
        </is>
      </c>
      <c r="D1911" t="inlineStr">
        <is>
          <t>CT-e</t>
        </is>
      </c>
      <c r="E1911" t="inlineStr">
        <is>
          <t>000002639</t>
        </is>
      </c>
      <c r="F1911" t="inlineStr">
        <is>
          <t>R&amp;R TRANSPORTE E LOGISTICA</t>
        </is>
      </c>
      <c r="G1911" s="27" t="n">
        <v>45545</v>
      </c>
      <c r="H1911" s="14" t="n">
        <v>20</v>
      </c>
      <c r="I1911" s="14" t="n">
        <v>0</v>
      </c>
      <c r="J1911" s="14" t="n">
        <v>0</v>
      </c>
      <c r="K1911" s="14" t="n">
        <v>0</v>
      </c>
      <c r="L1911" s="14" t="n">
        <v>0</v>
      </c>
      <c r="M1911" s="14">
        <f>IF(B1911="Frete de venda",0,(1-ISNUMBER(SEARCH("556",P1911)))*(I1911*VLOOKUP($B1911,Premissas!$A$4:$E$7,2,0)+J1911*VLOOKUP($B1911,Premissas!$A$4:$E$7,3,0))+K1911*VLOOKUP($B1911,Premissas!$A$4:$E$7,4,0)+L1911*VLOOKUP($B1911,Premissas!$A$4:$E$7,5,0))</f>
        <v/>
      </c>
      <c r="N1911" s="14">
        <f>H1911-M1911</f>
        <v/>
      </c>
      <c r="O1911" t="inlineStr">
        <is>
          <t>Não</t>
        </is>
      </c>
      <c r="P1911" t="inlineStr">
        <is>
          <t>1.350</t>
        </is>
      </c>
    </row>
    <row r="1912">
      <c r="A1912" t="inlineStr">
        <is>
          <t>Antes de 2026</t>
        </is>
      </c>
      <c r="B1912" t="inlineStr">
        <is>
          <t>Frete de venda</t>
        </is>
      </c>
      <c r="C1912" t="inlineStr">
        <is>
          <t>Frete de venda (para clientes)</t>
        </is>
      </c>
      <c r="D1912" t="inlineStr">
        <is>
          <t>CT-e</t>
        </is>
      </c>
      <c r="E1912" t="inlineStr">
        <is>
          <t>000002456</t>
        </is>
      </c>
      <c r="F1912" t="inlineStr">
        <is>
          <t>R&amp;R TRANSPORTE E LOGISTICA</t>
        </is>
      </c>
      <c r="G1912" s="27" t="n">
        <v>45516</v>
      </c>
      <c r="H1912" s="14" t="n">
        <v>380</v>
      </c>
      <c r="I1912" s="14" t="n">
        <v>0</v>
      </c>
      <c r="J1912" s="14" t="n">
        <v>0</v>
      </c>
      <c r="K1912" s="14" t="n">
        <v>0</v>
      </c>
      <c r="L1912" s="14" t="n">
        <v>0</v>
      </c>
      <c r="M1912" s="14">
        <f>IF(B1912="Frete de venda",0,(1-ISNUMBER(SEARCH("556",P1912)))*(I1912*VLOOKUP($B1912,Premissas!$A$4:$E$7,2,0)+J1912*VLOOKUP($B1912,Premissas!$A$4:$E$7,3,0))+K1912*VLOOKUP($B1912,Premissas!$A$4:$E$7,4,0)+L1912*VLOOKUP($B1912,Premissas!$A$4:$E$7,5,0))</f>
        <v/>
      </c>
      <c r="N1912" s="14">
        <f>H1912-M1912</f>
        <v/>
      </c>
      <c r="O1912" t="inlineStr">
        <is>
          <t>Não</t>
        </is>
      </c>
      <c r="P1912" t="inlineStr">
        <is>
          <t>1.350</t>
        </is>
      </c>
    </row>
    <row r="1913">
      <c r="A1913" t="inlineStr">
        <is>
          <t>Antes de 2026</t>
        </is>
      </c>
      <c r="B1913" t="inlineStr">
        <is>
          <t>Frete de venda</t>
        </is>
      </c>
      <c r="C1913" t="inlineStr">
        <is>
          <t>Frete de venda (para clientes)</t>
        </is>
      </c>
      <c r="D1913" t="inlineStr">
        <is>
          <t>CT-e</t>
        </is>
      </c>
      <c r="E1913" t="inlineStr">
        <is>
          <t>000002877</t>
        </is>
      </c>
      <c r="F1913" t="inlineStr">
        <is>
          <t>R&amp;R TRANSPORTE E LOGISTICA</t>
        </is>
      </c>
      <c r="G1913" s="27" t="n">
        <v>45581</v>
      </c>
      <c r="H1913" s="14" t="n">
        <v>230</v>
      </c>
      <c r="I1913" s="14" t="n">
        <v>0</v>
      </c>
      <c r="J1913" s="14" t="n">
        <v>0</v>
      </c>
      <c r="K1913" s="14" t="n">
        <v>0</v>
      </c>
      <c r="L1913" s="14" t="n">
        <v>0</v>
      </c>
      <c r="M1913" s="14">
        <f>IF(B1913="Frete de venda",0,(1-ISNUMBER(SEARCH("556",P1913)))*(I1913*VLOOKUP($B1913,Premissas!$A$4:$E$7,2,0)+J1913*VLOOKUP($B1913,Premissas!$A$4:$E$7,3,0))+K1913*VLOOKUP($B1913,Premissas!$A$4:$E$7,4,0)+L1913*VLOOKUP($B1913,Premissas!$A$4:$E$7,5,0))</f>
        <v/>
      </c>
      <c r="N1913" s="14">
        <f>H1913-M1913</f>
        <v/>
      </c>
      <c r="O1913" t="inlineStr">
        <is>
          <t>Não</t>
        </is>
      </c>
      <c r="P1913" t="inlineStr">
        <is>
          <t>1.350</t>
        </is>
      </c>
    </row>
    <row r="1914">
      <c r="A1914" t="inlineStr">
        <is>
          <t>Antes de 2026</t>
        </is>
      </c>
      <c r="B1914" t="inlineStr">
        <is>
          <t>Frete de venda</t>
        </is>
      </c>
      <c r="C1914" t="inlineStr">
        <is>
          <t>Frete de venda (para clientes)</t>
        </is>
      </c>
      <c r="D1914" t="inlineStr">
        <is>
          <t>CT-e</t>
        </is>
      </c>
      <c r="E1914" t="inlineStr">
        <is>
          <t>000002662</t>
        </is>
      </c>
      <c r="F1914" t="inlineStr">
        <is>
          <t>R&amp;R TRANSPORTE E LOGISTICA</t>
        </is>
      </c>
      <c r="G1914" s="27" t="n">
        <v>45549</v>
      </c>
      <c r="H1914" s="14" t="n">
        <v>80</v>
      </c>
      <c r="I1914" s="14" t="n">
        <v>0</v>
      </c>
      <c r="J1914" s="14" t="n">
        <v>0</v>
      </c>
      <c r="K1914" s="14" t="n">
        <v>0</v>
      </c>
      <c r="L1914" s="14" t="n">
        <v>0</v>
      </c>
      <c r="M1914" s="14">
        <f>IF(B1914="Frete de venda",0,(1-ISNUMBER(SEARCH("556",P1914)))*(I1914*VLOOKUP($B1914,Premissas!$A$4:$E$7,2,0)+J1914*VLOOKUP($B1914,Premissas!$A$4:$E$7,3,0))+K1914*VLOOKUP($B1914,Premissas!$A$4:$E$7,4,0)+L1914*VLOOKUP($B1914,Premissas!$A$4:$E$7,5,0))</f>
        <v/>
      </c>
      <c r="N1914" s="14">
        <f>H1914-M1914</f>
        <v/>
      </c>
      <c r="O1914" t="inlineStr">
        <is>
          <t>Não</t>
        </is>
      </c>
      <c r="P1914" t="inlineStr">
        <is>
          <t>1.350</t>
        </is>
      </c>
    </row>
    <row r="1915">
      <c r="A1915" t="inlineStr">
        <is>
          <t>Antes de 2026</t>
        </is>
      </c>
      <c r="B1915" t="inlineStr">
        <is>
          <t>Frete de venda</t>
        </is>
      </c>
      <c r="C1915" t="inlineStr">
        <is>
          <t>Frete de venda (para clientes)</t>
        </is>
      </c>
      <c r="D1915" t="inlineStr">
        <is>
          <t>CT-e</t>
        </is>
      </c>
      <c r="E1915" t="inlineStr">
        <is>
          <t>000002685</t>
        </is>
      </c>
      <c r="F1915" t="inlineStr">
        <is>
          <t>R&amp;R TRANSPORTE E LOGISTICA</t>
        </is>
      </c>
      <c r="G1915" s="27" t="n">
        <v>45555</v>
      </c>
      <c r="H1915" s="14" t="n">
        <v>146</v>
      </c>
      <c r="I1915" s="14" t="n">
        <v>0</v>
      </c>
      <c r="J1915" s="14" t="n">
        <v>0</v>
      </c>
      <c r="K1915" s="14" t="n">
        <v>0</v>
      </c>
      <c r="L1915" s="14" t="n">
        <v>0</v>
      </c>
      <c r="M1915" s="14">
        <f>IF(B1915="Frete de venda",0,(1-ISNUMBER(SEARCH("556",P1915)))*(I1915*VLOOKUP($B1915,Premissas!$A$4:$E$7,2,0)+J1915*VLOOKUP($B1915,Premissas!$A$4:$E$7,3,0))+K1915*VLOOKUP($B1915,Premissas!$A$4:$E$7,4,0)+L1915*VLOOKUP($B1915,Premissas!$A$4:$E$7,5,0))</f>
        <v/>
      </c>
      <c r="N1915" s="14">
        <f>H1915-M1915</f>
        <v/>
      </c>
      <c r="O1915" t="inlineStr">
        <is>
          <t>Não</t>
        </is>
      </c>
      <c r="P1915" t="inlineStr">
        <is>
          <t>1.350</t>
        </is>
      </c>
    </row>
    <row r="1916">
      <c r="A1916" t="inlineStr">
        <is>
          <t>Antes de 2026</t>
        </is>
      </c>
      <c r="B1916" t="inlineStr">
        <is>
          <t>Frete de venda</t>
        </is>
      </c>
      <c r="C1916" t="inlineStr">
        <is>
          <t>Frete de venda (para clientes)</t>
        </is>
      </c>
      <c r="D1916" t="inlineStr">
        <is>
          <t>CT-e</t>
        </is>
      </c>
      <c r="E1916" t="inlineStr">
        <is>
          <t>000002725</t>
        </is>
      </c>
      <c r="F1916" t="inlineStr">
        <is>
          <t>R&amp;R TRANSPORTE E LOGISTICA</t>
        </is>
      </c>
      <c r="G1916" s="27" t="n">
        <v>45566</v>
      </c>
      <c r="H1916" s="14" t="n">
        <v>43</v>
      </c>
      <c r="I1916" s="14" t="n">
        <v>0</v>
      </c>
      <c r="J1916" s="14" t="n">
        <v>0</v>
      </c>
      <c r="K1916" s="14" t="n">
        <v>0</v>
      </c>
      <c r="L1916" s="14" t="n">
        <v>0</v>
      </c>
      <c r="M1916" s="14">
        <f>IF(B1916="Frete de venda",0,(1-ISNUMBER(SEARCH("556",P1916)))*(I1916*VLOOKUP($B1916,Premissas!$A$4:$E$7,2,0)+J1916*VLOOKUP($B1916,Premissas!$A$4:$E$7,3,0))+K1916*VLOOKUP($B1916,Premissas!$A$4:$E$7,4,0)+L1916*VLOOKUP($B1916,Premissas!$A$4:$E$7,5,0))</f>
        <v/>
      </c>
      <c r="N1916" s="14">
        <f>H1916-M1916</f>
        <v/>
      </c>
      <c r="O1916" t="inlineStr">
        <is>
          <t>Não</t>
        </is>
      </c>
      <c r="P1916" t="inlineStr">
        <is>
          <t>1.350</t>
        </is>
      </c>
    </row>
    <row r="1917">
      <c r="A1917" t="inlineStr">
        <is>
          <t>Antes de 2026</t>
        </is>
      </c>
      <c r="B1917" t="inlineStr">
        <is>
          <t>Frete de venda</t>
        </is>
      </c>
      <c r="C1917" t="inlineStr">
        <is>
          <t>Frete de venda (para clientes)</t>
        </is>
      </c>
      <c r="D1917" t="inlineStr">
        <is>
          <t>CT-e</t>
        </is>
      </c>
      <c r="E1917" t="inlineStr">
        <is>
          <t>000002522</t>
        </is>
      </c>
      <c r="F1917" t="inlineStr">
        <is>
          <t>R&amp;R TRANSPORTE E LOGISTICA</t>
        </is>
      </c>
      <c r="G1917" s="27" t="n">
        <v>45526</v>
      </c>
      <c r="H1917" s="14" t="n">
        <v>390</v>
      </c>
      <c r="I1917" s="14" t="n">
        <v>0</v>
      </c>
      <c r="J1917" s="14" t="n">
        <v>0</v>
      </c>
      <c r="K1917" s="14" t="n">
        <v>0</v>
      </c>
      <c r="L1917" s="14" t="n">
        <v>0</v>
      </c>
      <c r="M1917" s="14">
        <f>IF(B1917="Frete de venda",0,(1-ISNUMBER(SEARCH("556",P1917)))*(I1917*VLOOKUP($B1917,Premissas!$A$4:$E$7,2,0)+J1917*VLOOKUP($B1917,Premissas!$A$4:$E$7,3,0))+K1917*VLOOKUP($B1917,Premissas!$A$4:$E$7,4,0)+L1917*VLOOKUP($B1917,Premissas!$A$4:$E$7,5,0))</f>
        <v/>
      </c>
      <c r="N1917" s="14">
        <f>H1917-M1917</f>
        <v/>
      </c>
      <c r="O1917" t="inlineStr">
        <is>
          <t>Não</t>
        </is>
      </c>
      <c r="P1917" t="inlineStr">
        <is>
          <t>1.350</t>
        </is>
      </c>
    </row>
    <row r="1918">
      <c r="A1918" t="inlineStr">
        <is>
          <t>Antes de 2026</t>
        </is>
      </c>
      <c r="B1918" t="inlineStr">
        <is>
          <t>Frete de venda</t>
        </is>
      </c>
      <c r="C1918" t="inlineStr">
        <is>
          <t>Frete de venda (para clientes)</t>
        </is>
      </c>
      <c r="D1918" t="inlineStr">
        <is>
          <t>CT-e</t>
        </is>
      </c>
      <c r="E1918" t="inlineStr">
        <is>
          <t>000002718</t>
        </is>
      </c>
      <c r="F1918" t="inlineStr">
        <is>
          <t>R&amp;R TRANSPORTE E LOGISTICA</t>
        </is>
      </c>
      <c r="G1918" s="27" t="n">
        <v>45566</v>
      </c>
      <c r="H1918" s="14" t="n">
        <v>160</v>
      </c>
      <c r="I1918" s="14" t="n">
        <v>0</v>
      </c>
      <c r="J1918" s="14" t="n">
        <v>0</v>
      </c>
      <c r="K1918" s="14" t="n">
        <v>0</v>
      </c>
      <c r="L1918" s="14" t="n">
        <v>0</v>
      </c>
      <c r="M1918" s="14">
        <f>IF(B1918="Frete de venda",0,(1-ISNUMBER(SEARCH("556",P1918)))*(I1918*VLOOKUP($B1918,Premissas!$A$4:$E$7,2,0)+J1918*VLOOKUP($B1918,Premissas!$A$4:$E$7,3,0))+K1918*VLOOKUP($B1918,Premissas!$A$4:$E$7,4,0)+L1918*VLOOKUP($B1918,Premissas!$A$4:$E$7,5,0))</f>
        <v/>
      </c>
      <c r="N1918" s="14">
        <f>H1918-M1918</f>
        <v/>
      </c>
      <c r="O1918" t="inlineStr">
        <is>
          <t>Não</t>
        </is>
      </c>
      <c r="P1918" t="inlineStr">
        <is>
          <t>1.350</t>
        </is>
      </c>
    </row>
    <row r="1919">
      <c r="A1919" t="inlineStr">
        <is>
          <t>Antes de 2026</t>
        </is>
      </c>
      <c r="B1919" t="inlineStr">
        <is>
          <t>Frete de venda</t>
        </is>
      </c>
      <c r="C1919" t="inlineStr">
        <is>
          <t>Frete de venda (para clientes)</t>
        </is>
      </c>
      <c r="D1919" t="inlineStr">
        <is>
          <t>CT-e</t>
        </is>
      </c>
      <c r="E1919" t="inlineStr">
        <is>
          <t>000002682</t>
        </is>
      </c>
      <c r="F1919" t="inlineStr">
        <is>
          <t>R&amp;R TRANSPORTE E LOGISTICA</t>
        </is>
      </c>
      <c r="G1919" s="27" t="n">
        <v>45554</v>
      </c>
      <c r="H1919" s="14" t="n">
        <v>100</v>
      </c>
      <c r="I1919" s="14" t="n">
        <v>0</v>
      </c>
      <c r="J1919" s="14" t="n">
        <v>0</v>
      </c>
      <c r="K1919" s="14" t="n">
        <v>0</v>
      </c>
      <c r="L1919" s="14" t="n">
        <v>0</v>
      </c>
      <c r="M1919" s="14">
        <f>IF(B1919="Frete de venda",0,(1-ISNUMBER(SEARCH("556",P1919)))*(I1919*VLOOKUP($B1919,Premissas!$A$4:$E$7,2,0)+J1919*VLOOKUP($B1919,Premissas!$A$4:$E$7,3,0))+K1919*VLOOKUP($B1919,Premissas!$A$4:$E$7,4,0)+L1919*VLOOKUP($B1919,Premissas!$A$4:$E$7,5,0))</f>
        <v/>
      </c>
      <c r="N1919" s="14">
        <f>H1919-M1919</f>
        <v/>
      </c>
      <c r="O1919" t="inlineStr">
        <is>
          <t>Não</t>
        </is>
      </c>
      <c r="P1919" t="inlineStr">
        <is>
          <t>1.350</t>
        </is>
      </c>
    </row>
    <row r="1920">
      <c r="A1920" t="inlineStr">
        <is>
          <t>Antes de 2026</t>
        </is>
      </c>
      <c r="B1920" t="inlineStr">
        <is>
          <t>Frete de venda</t>
        </is>
      </c>
      <c r="C1920" t="inlineStr">
        <is>
          <t>Frete de venda (para clientes)</t>
        </is>
      </c>
      <c r="D1920" t="inlineStr">
        <is>
          <t>CT-e</t>
        </is>
      </c>
      <c r="E1920" t="inlineStr">
        <is>
          <t>000002574</t>
        </is>
      </c>
      <c r="F1920" t="inlineStr">
        <is>
          <t>R&amp;R TRANSPORTE E LOGISTICA</t>
        </is>
      </c>
      <c r="G1920" s="27" t="n">
        <v>45538</v>
      </c>
      <c r="H1920" s="14" t="n">
        <v>37.5</v>
      </c>
      <c r="I1920" s="14" t="n">
        <v>0</v>
      </c>
      <c r="J1920" s="14" t="n">
        <v>0</v>
      </c>
      <c r="K1920" s="14" t="n">
        <v>0</v>
      </c>
      <c r="L1920" s="14" t="n">
        <v>0</v>
      </c>
      <c r="M1920" s="14">
        <f>IF(B1920="Frete de venda",0,(1-ISNUMBER(SEARCH("556",P1920)))*(I1920*VLOOKUP($B1920,Premissas!$A$4:$E$7,2,0)+J1920*VLOOKUP($B1920,Premissas!$A$4:$E$7,3,0))+K1920*VLOOKUP($B1920,Premissas!$A$4:$E$7,4,0)+L1920*VLOOKUP($B1920,Premissas!$A$4:$E$7,5,0))</f>
        <v/>
      </c>
      <c r="N1920" s="14">
        <f>H1920-M1920</f>
        <v/>
      </c>
      <c r="O1920" t="inlineStr">
        <is>
          <t>Não</t>
        </is>
      </c>
      <c r="P1920" t="inlineStr">
        <is>
          <t>1.350</t>
        </is>
      </c>
    </row>
    <row r="1921">
      <c r="A1921" t="inlineStr">
        <is>
          <t>Antes de 2026</t>
        </is>
      </c>
      <c r="B1921" t="inlineStr">
        <is>
          <t>Frete de venda</t>
        </is>
      </c>
      <c r="C1921" t="inlineStr">
        <is>
          <t>Frete de venda (para clientes)</t>
        </is>
      </c>
      <c r="D1921" t="inlineStr">
        <is>
          <t>CT-e</t>
        </is>
      </c>
      <c r="E1921" t="inlineStr">
        <is>
          <t>000002642</t>
        </is>
      </c>
      <c r="F1921" t="inlineStr">
        <is>
          <t>R&amp;R TRANSPORTE E LOGISTICA</t>
        </is>
      </c>
      <c r="G1921" s="27" t="n">
        <v>45545</v>
      </c>
      <c r="H1921" s="14" t="n">
        <v>19</v>
      </c>
      <c r="I1921" s="14" t="n">
        <v>0</v>
      </c>
      <c r="J1921" s="14" t="n">
        <v>0</v>
      </c>
      <c r="K1921" s="14" t="n">
        <v>0</v>
      </c>
      <c r="L1921" s="14" t="n">
        <v>0</v>
      </c>
      <c r="M1921" s="14">
        <f>IF(B1921="Frete de venda",0,(1-ISNUMBER(SEARCH("556",P1921)))*(I1921*VLOOKUP($B1921,Premissas!$A$4:$E$7,2,0)+J1921*VLOOKUP($B1921,Premissas!$A$4:$E$7,3,0))+K1921*VLOOKUP($B1921,Premissas!$A$4:$E$7,4,0)+L1921*VLOOKUP($B1921,Premissas!$A$4:$E$7,5,0))</f>
        <v/>
      </c>
      <c r="N1921" s="14">
        <f>H1921-M1921</f>
        <v/>
      </c>
      <c r="O1921" t="inlineStr">
        <is>
          <t>Não</t>
        </is>
      </c>
      <c r="P1921" t="inlineStr">
        <is>
          <t>1.350</t>
        </is>
      </c>
    </row>
    <row r="1922">
      <c r="A1922" t="inlineStr">
        <is>
          <t>Antes de 2026</t>
        </is>
      </c>
      <c r="B1922" t="inlineStr">
        <is>
          <t>Frete de venda</t>
        </is>
      </c>
      <c r="C1922" t="inlineStr">
        <is>
          <t>Frete de venda (para clientes)</t>
        </is>
      </c>
      <c r="D1922" t="inlineStr">
        <is>
          <t>CT-e</t>
        </is>
      </c>
      <c r="E1922" t="inlineStr">
        <is>
          <t>000000053</t>
        </is>
      </c>
      <c r="F1922" t="inlineStr">
        <is>
          <t>ADIL CARLOS DA SILVA</t>
        </is>
      </c>
      <c r="G1922" s="27" t="n">
        <v>45565</v>
      </c>
      <c r="H1922" s="14" t="n">
        <v>150</v>
      </c>
      <c r="I1922" s="14" t="n">
        <v>0</v>
      </c>
      <c r="J1922" s="14" t="n">
        <v>0</v>
      </c>
      <c r="K1922" s="14" t="n">
        <v>0</v>
      </c>
      <c r="L1922" s="14" t="n">
        <v>0</v>
      </c>
      <c r="M1922" s="14">
        <f>IF(B1922="Frete de venda",0,(1-ISNUMBER(SEARCH("556",P1922)))*(I1922*VLOOKUP($B1922,Premissas!$A$4:$E$7,2,0)+J1922*VLOOKUP($B1922,Premissas!$A$4:$E$7,3,0))+K1922*VLOOKUP($B1922,Premissas!$A$4:$E$7,4,0)+L1922*VLOOKUP($B1922,Premissas!$A$4:$E$7,5,0))</f>
        <v/>
      </c>
      <c r="N1922" s="14">
        <f>H1922-M1922</f>
        <v/>
      </c>
      <c r="O1922" t="inlineStr">
        <is>
          <t>Não</t>
        </is>
      </c>
      <c r="P1922" t="inlineStr">
        <is>
          <t>2.350</t>
        </is>
      </c>
    </row>
    <row r="1923">
      <c r="A1923" t="inlineStr">
        <is>
          <t>Antes de 2026</t>
        </is>
      </c>
      <c r="B1923" t="inlineStr">
        <is>
          <t>Frete de venda</t>
        </is>
      </c>
      <c r="C1923" t="inlineStr">
        <is>
          <t>Frete de venda (para clientes)</t>
        </is>
      </c>
      <c r="D1923" t="inlineStr">
        <is>
          <t>CT-e</t>
        </is>
      </c>
      <c r="E1923" t="inlineStr">
        <is>
          <t>000002507</t>
        </is>
      </c>
      <c r="F1923" t="inlineStr">
        <is>
          <t>R&amp;R TRANSPORTE E LOGISTICA</t>
        </is>
      </c>
      <c r="G1923" s="27" t="n">
        <v>45520</v>
      </c>
      <c r="H1923" s="14" t="n">
        <v>35</v>
      </c>
      <c r="I1923" s="14" t="n">
        <v>0</v>
      </c>
      <c r="J1923" s="14" t="n">
        <v>0</v>
      </c>
      <c r="K1923" s="14" t="n">
        <v>0</v>
      </c>
      <c r="L1923" s="14" t="n">
        <v>0</v>
      </c>
      <c r="M1923" s="14">
        <f>IF(B1923="Frete de venda",0,(1-ISNUMBER(SEARCH("556",P1923)))*(I1923*VLOOKUP($B1923,Premissas!$A$4:$E$7,2,0)+J1923*VLOOKUP($B1923,Premissas!$A$4:$E$7,3,0))+K1923*VLOOKUP($B1923,Premissas!$A$4:$E$7,4,0)+L1923*VLOOKUP($B1923,Premissas!$A$4:$E$7,5,0))</f>
        <v/>
      </c>
      <c r="N1923" s="14">
        <f>H1923-M1923</f>
        <v/>
      </c>
      <c r="O1923" t="inlineStr">
        <is>
          <t>Não</t>
        </is>
      </c>
      <c r="P1923" t="inlineStr">
        <is>
          <t>1.350</t>
        </is>
      </c>
    </row>
    <row r="1924">
      <c r="A1924" t="inlineStr">
        <is>
          <t>Antes de 2026</t>
        </is>
      </c>
      <c r="B1924" t="inlineStr">
        <is>
          <t>Frete de venda</t>
        </is>
      </c>
      <c r="C1924" t="inlineStr">
        <is>
          <t>Frete de venda (para clientes)</t>
        </is>
      </c>
      <c r="D1924" t="inlineStr">
        <is>
          <t>CT-e</t>
        </is>
      </c>
      <c r="E1924" t="inlineStr">
        <is>
          <t>000002783</t>
        </is>
      </c>
      <c r="F1924" t="inlineStr">
        <is>
          <t>R&amp;R TRANSPORTE E LOGISTICA</t>
        </is>
      </c>
      <c r="G1924" s="27" t="n">
        <v>45573</v>
      </c>
      <c r="H1924" s="14" t="n">
        <v>230</v>
      </c>
      <c r="I1924" s="14" t="n">
        <v>0</v>
      </c>
      <c r="J1924" s="14" t="n">
        <v>0</v>
      </c>
      <c r="K1924" s="14" t="n">
        <v>0</v>
      </c>
      <c r="L1924" s="14" t="n">
        <v>0</v>
      </c>
      <c r="M1924" s="14">
        <f>IF(B1924="Frete de venda",0,(1-ISNUMBER(SEARCH("556",P1924)))*(I1924*VLOOKUP($B1924,Premissas!$A$4:$E$7,2,0)+J1924*VLOOKUP($B1924,Premissas!$A$4:$E$7,3,0))+K1924*VLOOKUP($B1924,Premissas!$A$4:$E$7,4,0)+L1924*VLOOKUP($B1924,Premissas!$A$4:$E$7,5,0))</f>
        <v/>
      </c>
      <c r="N1924" s="14">
        <f>H1924-M1924</f>
        <v/>
      </c>
      <c r="O1924" t="inlineStr">
        <is>
          <t>Não</t>
        </is>
      </c>
      <c r="P1924" t="inlineStr">
        <is>
          <t>1.350</t>
        </is>
      </c>
    </row>
    <row r="1925">
      <c r="A1925" t="inlineStr">
        <is>
          <t>Antes de 2026</t>
        </is>
      </c>
      <c r="B1925" t="inlineStr">
        <is>
          <t>Frete de venda</t>
        </is>
      </c>
      <c r="C1925" t="inlineStr">
        <is>
          <t>Frete de venda (para clientes)</t>
        </is>
      </c>
      <c r="D1925" t="inlineStr">
        <is>
          <t>CT-e</t>
        </is>
      </c>
      <c r="E1925" t="inlineStr">
        <is>
          <t>000002588</t>
        </is>
      </c>
      <c r="F1925" t="inlineStr">
        <is>
          <t>R&amp;R TRANSPORTE E LOGISTICA</t>
        </is>
      </c>
      <c r="G1925" s="27" t="n">
        <v>45539</v>
      </c>
      <c r="H1925" s="14" t="n">
        <v>30</v>
      </c>
      <c r="I1925" s="14" t="n">
        <v>0</v>
      </c>
      <c r="J1925" s="14" t="n">
        <v>0</v>
      </c>
      <c r="K1925" s="14" t="n">
        <v>0</v>
      </c>
      <c r="L1925" s="14" t="n">
        <v>0</v>
      </c>
      <c r="M1925" s="14">
        <f>IF(B1925="Frete de venda",0,(1-ISNUMBER(SEARCH("556",P1925)))*(I1925*VLOOKUP($B1925,Premissas!$A$4:$E$7,2,0)+J1925*VLOOKUP($B1925,Premissas!$A$4:$E$7,3,0))+K1925*VLOOKUP($B1925,Premissas!$A$4:$E$7,4,0)+L1925*VLOOKUP($B1925,Premissas!$A$4:$E$7,5,0))</f>
        <v/>
      </c>
      <c r="N1925" s="14">
        <f>H1925-M1925</f>
        <v/>
      </c>
      <c r="O1925" t="inlineStr">
        <is>
          <t>Não</t>
        </is>
      </c>
      <c r="P1925" t="inlineStr">
        <is>
          <t>1.350</t>
        </is>
      </c>
    </row>
    <row r="1926">
      <c r="A1926" t="inlineStr">
        <is>
          <t>Antes de 2026</t>
        </is>
      </c>
      <c r="B1926" t="inlineStr">
        <is>
          <t>Frete de venda</t>
        </is>
      </c>
      <c r="C1926" t="inlineStr">
        <is>
          <t>Frete de venda (para clientes)</t>
        </is>
      </c>
      <c r="D1926" t="inlineStr">
        <is>
          <t>CT-e</t>
        </is>
      </c>
      <c r="E1926" t="inlineStr">
        <is>
          <t>000002683</t>
        </is>
      </c>
      <c r="F1926" t="inlineStr">
        <is>
          <t>R&amp;R TRANSPORTE E LOGISTICA</t>
        </is>
      </c>
      <c r="G1926" s="27" t="n">
        <v>45554</v>
      </c>
      <c r="H1926" s="14" t="n">
        <v>200</v>
      </c>
      <c r="I1926" s="14" t="n">
        <v>0</v>
      </c>
      <c r="J1926" s="14" t="n">
        <v>0</v>
      </c>
      <c r="K1926" s="14" t="n">
        <v>0</v>
      </c>
      <c r="L1926" s="14" t="n">
        <v>0</v>
      </c>
      <c r="M1926" s="14">
        <f>IF(B1926="Frete de venda",0,(1-ISNUMBER(SEARCH("556",P1926)))*(I1926*VLOOKUP($B1926,Premissas!$A$4:$E$7,2,0)+J1926*VLOOKUP($B1926,Premissas!$A$4:$E$7,3,0))+K1926*VLOOKUP($B1926,Premissas!$A$4:$E$7,4,0)+L1926*VLOOKUP($B1926,Premissas!$A$4:$E$7,5,0))</f>
        <v/>
      </c>
      <c r="N1926" s="14">
        <f>H1926-M1926</f>
        <v/>
      </c>
      <c r="O1926" t="inlineStr">
        <is>
          <t>Não</t>
        </is>
      </c>
      <c r="P1926" t="inlineStr">
        <is>
          <t>1.350</t>
        </is>
      </c>
    </row>
    <row r="1927">
      <c r="A1927" t="inlineStr">
        <is>
          <t>Antes de 2026</t>
        </is>
      </c>
      <c r="B1927" t="inlineStr">
        <is>
          <t>Frete de venda</t>
        </is>
      </c>
      <c r="C1927" t="inlineStr">
        <is>
          <t>Frete de venda (para clientes)</t>
        </is>
      </c>
      <c r="D1927" t="inlineStr">
        <is>
          <t>CT-e</t>
        </is>
      </c>
      <c r="E1927" t="inlineStr">
        <is>
          <t>000002505</t>
        </is>
      </c>
      <c r="F1927" t="inlineStr">
        <is>
          <t>R&amp;R TRANSPORTE E LOGISTICA</t>
        </is>
      </c>
      <c r="G1927" s="27" t="n">
        <v>45520</v>
      </c>
      <c r="H1927" s="14" t="n">
        <v>50</v>
      </c>
      <c r="I1927" s="14" t="n">
        <v>0</v>
      </c>
      <c r="J1927" s="14" t="n">
        <v>0</v>
      </c>
      <c r="K1927" s="14" t="n">
        <v>0</v>
      </c>
      <c r="L1927" s="14" t="n">
        <v>0</v>
      </c>
      <c r="M1927" s="14">
        <f>IF(B1927="Frete de venda",0,(1-ISNUMBER(SEARCH("556",P1927)))*(I1927*VLOOKUP($B1927,Premissas!$A$4:$E$7,2,0)+J1927*VLOOKUP($B1927,Premissas!$A$4:$E$7,3,0))+K1927*VLOOKUP($B1927,Premissas!$A$4:$E$7,4,0)+L1927*VLOOKUP($B1927,Premissas!$A$4:$E$7,5,0))</f>
        <v/>
      </c>
      <c r="N1927" s="14">
        <f>H1927-M1927</f>
        <v/>
      </c>
      <c r="O1927" t="inlineStr">
        <is>
          <t>Não</t>
        </is>
      </c>
      <c r="P1927" t="inlineStr">
        <is>
          <t>1.350</t>
        </is>
      </c>
    </row>
    <row r="1928">
      <c r="A1928" t="inlineStr">
        <is>
          <t>Antes de 2026</t>
        </is>
      </c>
      <c r="B1928" t="inlineStr">
        <is>
          <t>Frete de venda</t>
        </is>
      </c>
      <c r="C1928" t="inlineStr">
        <is>
          <t>Frete de venda (para clientes)</t>
        </is>
      </c>
      <c r="D1928" t="inlineStr">
        <is>
          <t>CT-e</t>
        </is>
      </c>
      <c r="E1928" t="inlineStr">
        <is>
          <t>000000050</t>
        </is>
      </c>
      <c r="F1928" t="inlineStr">
        <is>
          <t>ADIL CARLOS DA SILVA</t>
        </is>
      </c>
      <c r="G1928" s="27" t="n">
        <v>45557</v>
      </c>
      <c r="H1928" s="14" t="n">
        <v>10</v>
      </c>
      <c r="I1928" s="14" t="n">
        <v>0</v>
      </c>
      <c r="J1928" s="14" t="n">
        <v>0</v>
      </c>
      <c r="K1928" s="14" t="n">
        <v>0</v>
      </c>
      <c r="L1928" s="14" t="n">
        <v>0</v>
      </c>
      <c r="M1928" s="14">
        <f>IF(B1928="Frete de venda",0,(1-ISNUMBER(SEARCH("556",P1928)))*(I1928*VLOOKUP($B1928,Premissas!$A$4:$E$7,2,0)+J1928*VLOOKUP($B1928,Premissas!$A$4:$E$7,3,0))+K1928*VLOOKUP($B1928,Premissas!$A$4:$E$7,4,0)+L1928*VLOOKUP($B1928,Premissas!$A$4:$E$7,5,0))</f>
        <v/>
      </c>
      <c r="N1928" s="14">
        <f>H1928-M1928</f>
        <v/>
      </c>
      <c r="O1928" t="inlineStr">
        <is>
          <t>Não</t>
        </is>
      </c>
      <c r="P1928" t="inlineStr">
        <is>
          <t>2.350</t>
        </is>
      </c>
    </row>
    <row r="1929">
      <c r="A1929" t="inlineStr">
        <is>
          <t>Antes de 2026</t>
        </is>
      </c>
      <c r="B1929" t="inlineStr">
        <is>
          <t>Frete de venda</t>
        </is>
      </c>
      <c r="C1929" t="inlineStr">
        <is>
          <t>Frete de venda (para clientes)</t>
        </is>
      </c>
      <c r="D1929" t="inlineStr">
        <is>
          <t>CT-e</t>
        </is>
      </c>
      <c r="E1929" t="inlineStr">
        <is>
          <t>000002703</t>
        </is>
      </c>
      <c r="F1929" t="inlineStr">
        <is>
          <t>R&amp;R TRANSPORTE E LOGISTICA</t>
        </is>
      </c>
      <c r="G1929" s="27" t="n">
        <v>45560</v>
      </c>
      <c r="H1929" s="14" t="n">
        <v>62</v>
      </c>
      <c r="I1929" s="14" t="n">
        <v>0</v>
      </c>
      <c r="J1929" s="14" t="n">
        <v>0</v>
      </c>
      <c r="K1929" s="14" t="n">
        <v>0</v>
      </c>
      <c r="L1929" s="14" t="n">
        <v>0</v>
      </c>
      <c r="M1929" s="14">
        <f>IF(B1929="Frete de venda",0,(1-ISNUMBER(SEARCH("556",P1929)))*(I1929*VLOOKUP($B1929,Premissas!$A$4:$E$7,2,0)+J1929*VLOOKUP($B1929,Premissas!$A$4:$E$7,3,0))+K1929*VLOOKUP($B1929,Premissas!$A$4:$E$7,4,0)+L1929*VLOOKUP($B1929,Premissas!$A$4:$E$7,5,0))</f>
        <v/>
      </c>
      <c r="N1929" s="14">
        <f>H1929-M1929</f>
        <v/>
      </c>
      <c r="O1929" t="inlineStr">
        <is>
          <t>Não</t>
        </is>
      </c>
      <c r="P1929" t="inlineStr">
        <is>
          <t>1.350</t>
        </is>
      </c>
    </row>
    <row r="1930">
      <c r="A1930" t="inlineStr">
        <is>
          <t>Antes de 2026</t>
        </is>
      </c>
      <c r="B1930" t="inlineStr">
        <is>
          <t>Frete de venda</t>
        </is>
      </c>
      <c r="C1930" t="inlineStr">
        <is>
          <t>Frete de venda (para clientes)</t>
        </is>
      </c>
      <c r="D1930" t="inlineStr">
        <is>
          <t>CT-e</t>
        </is>
      </c>
      <c r="E1930" t="inlineStr">
        <is>
          <t>000002598</t>
        </is>
      </c>
      <c r="F1930" t="inlineStr">
        <is>
          <t>R&amp;R TRANSPORTE E LOGISTICA</t>
        </is>
      </c>
      <c r="G1930" s="27" t="n">
        <v>45541</v>
      </c>
      <c r="H1930" s="14" t="n">
        <v>16</v>
      </c>
      <c r="I1930" s="14" t="n">
        <v>0</v>
      </c>
      <c r="J1930" s="14" t="n">
        <v>0</v>
      </c>
      <c r="K1930" s="14" t="n">
        <v>0</v>
      </c>
      <c r="L1930" s="14" t="n">
        <v>0</v>
      </c>
      <c r="M1930" s="14">
        <f>IF(B1930="Frete de venda",0,(1-ISNUMBER(SEARCH("556",P1930)))*(I1930*VLOOKUP($B1930,Premissas!$A$4:$E$7,2,0)+J1930*VLOOKUP($B1930,Premissas!$A$4:$E$7,3,0))+K1930*VLOOKUP($B1930,Premissas!$A$4:$E$7,4,0)+L1930*VLOOKUP($B1930,Premissas!$A$4:$E$7,5,0))</f>
        <v/>
      </c>
      <c r="N1930" s="14">
        <f>H1930-M1930</f>
        <v/>
      </c>
      <c r="O1930" t="inlineStr">
        <is>
          <t>Não</t>
        </is>
      </c>
      <c r="P1930" t="inlineStr">
        <is>
          <t>1.350</t>
        </is>
      </c>
    </row>
    <row r="1931">
      <c r="A1931" t="inlineStr">
        <is>
          <t>Antes de 2026</t>
        </is>
      </c>
      <c r="B1931" t="inlineStr">
        <is>
          <t>Frete de venda</t>
        </is>
      </c>
      <c r="C1931" t="inlineStr">
        <is>
          <t>Frete de venda (para clientes)</t>
        </is>
      </c>
      <c r="D1931" t="inlineStr">
        <is>
          <t>CT-e</t>
        </is>
      </c>
      <c r="E1931" t="inlineStr">
        <is>
          <t>000002601</t>
        </is>
      </c>
      <c r="F1931" t="inlineStr">
        <is>
          <t>R&amp;R TRANSPORTE E LOGISTICA</t>
        </is>
      </c>
      <c r="G1931" s="27" t="n">
        <v>45541</v>
      </c>
      <c r="H1931" s="14" t="n">
        <v>16</v>
      </c>
      <c r="I1931" s="14" t="n">
        <v>0</v>
      </c>
      <c r="J1931" s="14" t="n">
        <v>0</v>
      </c>
      <c r="K1931" s="14" t="n">
        <v>0</v>
      </c>
      <c r="L1931" s="14" t="n">
        <v>0</v>
      </c>
      <c r="M1931" s="14">
        <f>IF(B1931="Frete de venda",0,(1-ISNUMBER(SEARCH("556",P1931)))*(I1931*VLOOKUP($B1931,Premissas!$A$4:$E$7,2,0)+J1931*VLOOKUP($B1931,Premissas!$A$4:$E$7,3,0))+K1931*VLOOKUP($B1931,Premissas!$A$4:$E$7,4,0)+L1931*VLOOKUP($B1931,Premissas!$A$4:$E$7,5,0))</f>
        <v/>
      </c>
      <c r="N1931" s="14">
        <f>H1931-M1931</f>
        <v/>
      </c>
      <c r="O1931" t="inlineStr">
        <is>
          <t>Não</t>
        </is>
      </c>
      <c r="P1931" t="inlineStr">
        <is>
          <t>1.350</t>
        </is>
      </c>
    </row>
    <row r="1932">
      <c r="A1932" t="inlineStr">
        <is>
          <t>Antes de 2026</t>
        </is>
      </c>
      <c r="B1932" t="inlineStr">
        <is>
          <t>Frete de venda</t>
        </is>
      </c>
      <c r="C1932" t="inlineStr">
        <is>
          <t>Frete de venda (para clientes)</t>
        </is>
      </c>
      <c r="D1932" t="inlineStr">
        <is>
          <t>CT-e</t>
        </is>
      </c>
      <c r="E1932" t="inlineStr">
        <is>
          <t>000002605</t>
        </is>
      </c>
      <c r="F1932" t="inlineStr">
        <is>
          <t>R&amp;R TRANSPORTE E LOGISTICA</t>
        </is>
      </c>
      <c r="G1932" s="27" t="n">
        <v>45541</v>
      </c>
      <c r="H1932" s="14" t="n">
        <v>16</v>
      </c>
      <c r="I1932" s="14" t="n">
        <v>0</v>
      </c>
      <c r="J1932" s="14" t="n">
        <v>0</v>
      </c>
      <c r="K1932" s="14" t="n">
        <v>0</v>
      </c>
      <c r="L1932" s="14" t="n">
        <v>0</v>
      </c>
      <c r="M1932" s="14">
        <f>IF(B1932="Frete de venda",0,(1-ISNUMBER(SEARCH("556",P1932)))*(I1932*VLOOKUP($B1932,Premissas!$A$4:$E$7,2,0)+J1932*VLOOKUP($B1932,Premissas!$A$4:$E$7,3,0))+K1932*VLOOKUP($B1932,Premissas!$A$4:$E$7,4,0)+L1932*VLOOKUP($B1932,Premissas!$A$4:$E$7,5,0))</f>
        <v/>
      </c>
      <c r="N1932" s="14">
        <f>H1932-M1932</f>
        <v/>
      </c>
      <c r="O1932" t="inlineStr">
        <is>
          <t>Não</t>
        </is>
      </c>
      <c r="P1932" t="inlineStr">
        <is>
          <t>1.350</t>
        </is>
      </c>
    </row>
    <row r="1933">
      <c r="A1933" t="inlineStr">
        <is>
          <t>Antes de 2026</t>
        </is>
      </c>
      <c r="B1933" t="inlineStr">
        <is>
          <t>Frete de venda</t>
        </is>
      </c>
      <c r="C1933" t="inlineStr">
        <is>
          <t>Frete de venda (para clientes)</t>
        </is>
      </c>
      <c r="D1933" t="inlineStr">
        <is>
          <t>CT-e</t>
        </is>
      </c>
      <c r="E1933" t="inlineStr">
        <is>
          <t>000002531</t>
        </is>
      </c>
      <c r="F1933" t="inlineStr">
        <is>
          <t>R&amp;R TRANSPORTE E LOGISTICA</t>
        </is>
      </c>
      <c r="G1933" s="27" t="n">
        <v>45527</v>
      </c>
      <c r="H1933" s="14" t="n">
        <v>1300</v>
      </c>
      <c r="I1933" s="14" t="n">
        <v>0</v>
      </c>
      <c r="J1933" s="14" t="n">
        <v>0</v>
      </c>
      <c r="K1933" s="14" t="n">
        <v>0</v>
      </c>
      <c r="L1933" s="14" t="n">
        <v>0</v>
      </c>
      <c r="M1933" s="14">
        <f>IF(B1933="Frete de venda",0,(1-ISNUMBER(SEARCH("556",P1933)))*(I1933*VLOOKUP($B1933,Premissas!$A$4:$E$7,2,0)+J1933*VLOOKUP($B1933,Premissas!$A$4:$E$7,3,0))+K1933*VLOOKUP($B1933,Premissas!$A$4:$E$7,4,0)+L1933*VLOOKUP($B1933,Premissas!$A$4:$E$7,5,0))</f>
        <v/>
      </c>
      <c r="N1933" s="14">
        <f>H1933-M1933</f>
        <v/>
      </c>
      <c r="O1933" t="inlineStr">
        <is>
          <t>Não</t>
        </is>
      </c>
      <c r="P1933" t="inlineStr">
        <is>
          <t>1.350</t>
        </is>
      </c>
    </row>
    <row r="1934">
      <c r="A1934" t="inlineStr">
        <is>
          <t>Antes de 2026</t>
        </is>
      </c>
      <c r="B1934" t="inlineStr">
        <is>
          <t>Frete de venda</t>
        </is>
      </c>
      <c r="C1934" t="inlineStr">
        <is>
          <t>Frete de venda (para clientes)</t>
        </is>
      </c>
      <c r="D1934" t="inlineStr">
        <is>
          <t>CT-e</t>
        </is>
      </c>
      <c r="E1934" t="inlineStr">
        <is>
          <t>000002573</t>
        </is>
      </c>
      <c r="F1934" t="inlineStr">
        <is>
          <t>R&amp;R TRANSPORTE E LOGISTICA</t>
        </is>
      </c>
      <c r="G1934" s="27" t="n">
        <v>45538</v>
      </c>
      <c r="H1934" s="14" t="n">
        <v>37.5</v>
      </c>
      <c r="I1934" s="14" t="n">
        <v>0</v>
      </c>
      <c r="J1934" s="14" t="n">
        <v>0</v>
      </c>
      <c r="K1934" s="14" t="n">
        <v>0</v>
      </c>
      <c r="L1934" s="14" t="n">
        <v>0</v>
      </c>
      <c r="M1934" s="14">
        <f>IF(B1934="Frete de venda",0,(1-ISNUMBER(SEARCH("556",P1934)))*(I1934*VLOOKUP($B1934,Premissas!$A$4:$E$7,2,0)+J1934*VLOOKUP($B1934,Premissas!$A$4:$E$7,3,0))+K1934*VLOOKUP($B1934,Premissas!$A$4:$E$7,4,0)+L1934*VLOOKUP($B1934,Premissas!$A$4:$E$7,5,0))</f>
        <v/>
      </c>
      <c r="N1934" s="14">
        <f>H1934-M1934</f>
        <v/>
      </c>
      <c r="O1934" t="inlineStr">
        <is>
          <t>Não</t>
        </is>
      </c>
      <c r="P1934" t="inlineStr">
        <is>
          <t>1.350</t>
        </is>
      </c>
    </row>
    <row r="1935">
      <c r="A1935" t="inlineStr">
        <is>
          <t>Antes de 2026</t>
        </is>
      </c>
      <c r="B1935" t="inlineStr">
        <is>
          <t>Frete de venda</t>
        </is>
      </c>
      <c r="C1935" t="inlineStr">
        <is>
          <t>Frete de venda (para clientes)</t>
        </is>
      </c>
      <c r="D1935" t="inlineStr">
        <is>
          <t>CT-e</t>
        </is>
      </c>
      <c r="E1935" t="inlineStr">
        <is>
          <t>000002589</t>
        </is>
      </c>
      <c r="F1935" t="inlineStr">
        <is>
          <t>R&amp;R TRANSPORTE E LOGISTICA</t>
        </is>
      </c>
      <c r="G1935" s="27" t="n">
        <v>45539</v>
      </c>
      <c r="H1935" s="14" t="n">
        <v>30</v>
      </c>
      <c r="I1935" s="14" t="n">
        <v>0</v>
      </c>
      <c r="J1935" s="14" t="n">
        <v>0</v>
      </c>
      <c r="K1935" s="14" t="n">
        <v>0</v>
      </c>
      <c r="L1935" s="14" t="n">
        <v>0</v>
      </c>
      <c r="M1935" s="14">
        <f>IF(B1935="Frete de venda",0,(1-ISNUMBER(SEARCH("556",P1935)))*(I1935*VLOOKUP($B1935,Premissas!$A$4:$E$7,2,0)+J1935*VLOOKUP($B1935,Premissas!$A$4:$E$7,3,0))+K1935*VLOOKUP($B1935,Premissas!$A$4:$E$7,4,0)+L1935*VLOOKUP($B1935,Premissas!$A$4:$E$7,5,0))</f>
        <v/>
      </c>
      <c r="N1935" s="14">
        <f>H1935-M1935</f>
        <v/>
      </c>
      <c r="O1935" t="inlineStr">
        <is>
          <t>Não</t>
        </is>
      </c>
      <c r="P1935" t="inlineStr">
        <is>
          <t>1.350</t>
        </is>
      </c>
    </row>
    <row r="1936">
      <c r="A1936" t="inlineStr">
        <is>
          <t>Antes de 2026</t>
        </is>
      </c>
      <c r="B1936" t="inlineStr">
        <is>
          <t>Frete de venda</t>
        </is>
      </c>
      <c r="C1936" t="inlineStr">
        <is>
          <t>Frete de venda (para clientes)</t>
        </is>
      </c>
      <c r="D1936" t="inlineStr">
        <is>
          <t>CT-e</t>
        </is>
      </c>
      <c r="E1936" t="inlineStr">
        <is>
          <t>000002454</t>
        </is>
      </c>
      <c r="F1936" t="inlineStr">
        <is>
          <t>R&amp;R TRANSPORTE E LOGISTICA</t>
        </is>
      </c>
      <c r="G1936" s="27" t="n">
        <v>45516</v>
      </c>
      <c r="H1936" s="14" t="n">
        <v>380</v>
      </c>
      <c r="I1936" s="14" t="n">
        <v>0</v>
      </c>
      <c r="J1936" s="14" t="n">
        <v>0</v>
      </c>
      <c r="K1936" s="14" t="n">
        <v>0</v>
      </c>
      <c r="L1936" s="14" t="n">
        <v>0</v>
      </c>
      <c r="M1936" s="14">
        <f>IF(B1936="Frete de venda",0,(1-ISNUMBER(SEARCH("556",P1936)))*(I1936*VLOOKUP($B1936,Premissas!$A$4:$E$7,2,0)+J1936*VLOOKUP($B1936,Premissas!$A$4:$E$7,3,0))+K1936*VLOOKUP($B1936,Premissas!$A$4:$E$7,4,0)+L1936*VLOOKUP($B1936,Premissas!$A$4:$E$7,5,0))</f>
        <v/>
      </c>
      <c r="N1936" s="14">
        <f>H1936-M1936</f>
        <v/>
      </c>
      <c r="O1936" t="inlineStr">
        <is>
          <t>Não</t>
        </is>
      </c>
      <c r="P1936" t="inlineStr">
        <is>
          <t>1.350</t>
        </is>
      </c>
    </row>
    <row r="1937">
      <c r="A1937" t="inlineStr">
        <is>
          <t>Antes de 2026</t>
        </is>
      </c>
      <c r="B1937" t="inlineStr">
        <is>
          <t>Frete de venda</t>
        </is>
      </c>
      <c r="C1937" t="inlineStr">
        <is>
          <t>Frete de venda (para clientes)</t>
        </is>
      </c>
      <c r="D1937" t="inlineStr">
        <is>
          <t>CT-e</t>
        </is>
      </c>
      <c r="E1937" t="inlineStr">
        <is>
          <t>000002875</t>
        </is>
      </c>
      <c r="F1937" t="inlineStr">
        <is>
          <t>R&amp;R TRANSPORTE E LOGISTICA</t>
        </is>
      </c>
      <c r="G1937" s="27" t="n">
        <v>45581</v>
      </c>
      <c r="H1937" s="14" t="n">
        <v>230</v>
      </c>
      <c r="I1937" s="14" t="n">
        <v>0</v>
      </c>
      <c r="J1937" s="14" t="n">
        <v>0</v>
      </c>
      <c r="K1937" s="14" t="n">
        <v>0</v>
      </c>
      <c r="L1937" s="14" t="n">
        <v>0</v>
      </c>
      <c r="M1937" s="14">
        <f>IF(B1937="Frete de venda",0,(1-ISNUMBER(SEARCH("556",P1937)))*(I1937*VLOOKUP($B1937,Premissas!$A$4:$E$7,2,0)+J1937*VLOOKUP($B1937,Premissas!$A$4:$E$7,3,0))+K1937*VLOOKUP($B1937,Premissas!$A$4:$E$7,4,0)+L1937*VLOOKUP($B1937,Premissas!$A$4:$E$7,5,0))</f>
        <v/>
      </c>
      <c r="N1937" s="14">
        <f>H1937-M1937</f>
        <v/>
      </c>
      <c r="O1937" t="inlineStr">
        <is>
          <t>Não</t>
        </is>
      </c>
      <c r="P1937" t="inlineStr">
        <is>
          <t>1.350</t>
        </is>
      </c>
    </row>
    <row r="1938">
      <c r="A1938" t="inlineStr">
        <is>
          <t>Antes de 2026</t>
        </is>
      </c>
      <c r="B1938" t="inlineStr">
        <is>
          <t>Frete de venda</t>
        </is>
      </c>
      <c r="C1938" t="inlineStr">
        <is>
          <t>Frete de venda (para clientes)</t>
        </is>
      </c>
      <c r="D1938" t="inlineStr">
        <is>
          <t>CT-e</t>
        </is>
      </c>
      <c r="E1938" t="inlineStr">
        <is>
          <t>000002879</t>
        </is>
      </c>
      <c r="F1938" t="inlineStr">
        <is>
          <t>R&amp;R TRANSPORTE E LOGISTICA</t>
        </is>
      </c>
      <c r="G1938" s="27" t="n">
        <v>45581</v>
      </c>
      <c r="H1938" s="14" t="n">
        <v>230</v>
      </c>
      <c r="I1938" s="14" t="n">
        <v>0</v>
      </c>
      <c r="J1938" s="14" t="n">
        <v>0</v>
      </c>
      <c r="K1938" s="14" t="n">
        <v>0</v>
      </c>
      <c r="L1938" s="14" t="n">
        <v>0</v>
      </c>
      <c r="M1938" s="14">
        <f>IF(B1938="Frete de venda",0,(1-ISNUMBER(SEARCH("556",P1938)))*(I1938*VLOOKUP($B1938,Premissas!$A$4:$E$7,2,0)+J1938*VLOOKUP($B1938,Premissas!$A$4:$E$7,3,0))+K1938*VLOOKUP($B1938,Premissas!$A$4:$E$7,4,0)+L1938*VLOOKUP($B1938,Premissas!$A$4:$E$7,5,0))</f>
        <v/>
      </c>
      <c r="N1938" s="14">
        <f>H1938-M1938</f>
        <v/>
      </c>
      <c r="O1938" t="inlineStr">
        <is>
          <t>Não</t>
        </is>
      </c>
      <c r="P1938" t="inlineStr">
        <is>
          <t>1.350</t>
        </is>
      </c>
    </row>
    <row r="1939">
      <c r="A1939" t="inlineStr">
        <is>
          <t>Antes de 2026</t>
        </is>
      </c>
      <c r="B1939" t="inlineStr">
        <is>
          <t>Frete de venda</t>
        </is>
      </c>
      <c r="C1939" t="inlineStr">
        <is>
          <t>Frete de venda (para clientes)</t>
        </is>
      </c>
      <c r="D1939" t="inlineStr">
        <is>
          <t>CT-e</t>
        </is>
      </c>
      <c r="E1939" t="inlineStr">
        <is>
          <t>000002610</t>
        </is>
      </c>
      <c r="F1939" t="inlineStr">
        <is>
          <t>R&amp;R TRANSPORTE E LOGISTICA</t>
        </is>
      </c>
      <c r="G1939" s="27" t="n">
        <v>45541</v>
      </c>
      <c r="H1939" s="14" t="n">
        <v>16</v>
      </c>
      <c r="I1939" s="14" t="n">
        <v>0</v>
      </c>
      <c r="J1939" s="14" t="n">
        <v>0</v>
      </c>
      <c r="K1939" s="14" t="n">
        <v>0</v>
      </c>
      <c r="L1939" s="14" t="n">
        <v>0</v>
      </c>
      <c r="M1939" s="14">
        <f>IF(B1939="Frete de venda",0,(1-ISNUMBER(SEARCH("556",P1939)))*(I1939*VLOOKUP($B1939,Premissas!$A$4:$E$7,2,0)+J1939*VLOOKUP($B1939,Premissas!$A$4:$E$7,3,0))+K1939*VLOOKUP($B1939,Premissas!$A$4:$E$7,4,0)+L1939*VLOOKUP($B1939,Premissas!$A$4:$E$7,5,0))</f>
        <v/>
      </c>
      <c r="N1939" s="14">
        <f>H1939-M1939</f>
        <v/>
      </c>
      <c r="O1939" t="inlineStr">
        <is>
          <t>Não</t>
        </is>
      </c>
      <c r="P1939" t="inlineStr">
        <is>
          <t>1.350</t>
        </is>
      </c>
    </row>
    <row r="1940">
      <c r="A1940" t="inlineStr">
        <is>
          <t>Antes de 2026</t>
        </is>
      </c>
      <c r="B1940" t="inlineStr">
        <is>
          <t>Frete de venda</t>
        </is>
      </c>
      <c r="C1940" t="inlineStr">
        <is>
          <t>Frete de venda (para clientes)</t>
        </is>
      </c>
      <c r="D1940" t="inlineStr">
        <is>
          <t>CT-e</t>
        </is>
      </c>
      <c r="E1940" t="inlineStr">
        <is>
          <t>000002521</t>
        </is>
      </c>
      <c r="F1940" t="inlineStr">
        <is>
          <t>R&amp;R TRANSPORTE E LOGISTICA</t>
        </is>
      </c>
      <c r="G1940" s="27" t="n">
        <v>45526</v>
      </c>
      <c r="H1940" s="14" t="n">
        <v>380</v>
      </c>
      <c r="I1940" s="14" t="n">
        <v>0</v>
      </c>
      <c r="J1940" s="14" t="n">
        <v>0</v>
      </c>
      <c r="K1940" s="14" t="n">
        <v>0</v>
      </c>
      <c r="L1940" s="14" t="n">
        <v>0</v>
      </c>
      <c r="M1940" s="14">
        <f>IF(B1940="Frete de venda",0,(1-ISNUMBER(SEARCH("556",P1940)))*(I1940*VLOOKUP($B1940,Premissas!$A$4:$E$7,2,0)+J1940*VLOOKUP($B1940,Premissas!$A$4:$E$7,3,0))+K1940*VLOOKUP($B1940,Premissas!$A$4:$E$7,4,0)+L1940*VLOOKUP($B1940,Premissas!$A$4:$E$7,5,0))</f>
        <v/>
      </c>
      <c r="N1940" s="14">
        <f>H1940-M1940</f>
        <v/>
      </c>
      <c r="O1940" t="inlineStr">
        <is>
          <t>Não</t>
        </is>
      </c>
      <c r="P1940" t="inlineStr">
        <is>
          <t>1.350</t>
        </is>
      </c>
    </row>
    <row r="1941">
      <c r="A1941" t="inlineStr">
        <is>
          <t>Antes de 2026</t>
        </is>
      </c>
      <c r="B1941" t="inlineStr">
        <is>
          <t>Frete de venda</t>
        </is>
      </c>
      <c r="C1941" t="inlineStr">
        <is>
          <t>Frete de venda (para clientes)</t>
        </is>
      </c>
      <c r="D1941" t="inlineStr">
        <is>
          <t>CT-e</t>
        </is>
      </c>
      <c r="E1941" t="inlineStr">
        <is>
          <t>000002681</t>
        </is>
      </c>
      <c r="F1941" t="inlineStr">
        <is>
          <t>R&amp;R TRANSPORTE E LOGISTICA</t>
        </is>
      </c>
      <c r="G1941" s="27" t="n">
        <v>45554</v>
      </c>
      <c r="H1941" s="14" t="n">
        <v>200</v>
      </c>
      <c r="I1941" s="14" t="n">
        <v>0</v>
      </c>
      <c r="J1941" s="14" t="n">
        <v>0</v>
      </c>
      <c r="K1941" s="14" t="n">
        <v>0</v>
      </c>
      <c r="L1941" s="14" t="n">
        <v>0</v>
      </c>
      <c r="M1941" s="14">
        <f>IF(B1941="Frete de venda",0,(1-ISNUMBER(SEARCH("556",P1941)))*(I1941*VLOOKUP($B1941,Premissas!$A$4:$E$7,2,0)+J1941*VLOOKUP($B1941,Premissas!$A$4:$E$7,3,0))+K1941*VLOOKUP($B1941,Premissas!$A$4:$E$7,4,0)+L1941*VLOOKUP($B1941,Premissas!$A$4:$E$7,5,0))</f>
        <v/>
      </c>
      <c r="N1941" s="14">
        <f>H1941-M1941</f>
        <v/>
      </c>
      <c r="O1941" t="inlineStr">
        <is>
          <t>Não</t>
        </is>
      </c>
      <c r="P1941" t="inlineStr">
        <is>
          <t>1.350</t>
        </is>
      </c>
    </row>
    <row r="1942">
      <c r="A1942" t="inlineStr">
        <is>
          <t>Antes de 2026</t>
        </is>
      </c>
      <c r="B1942" t="inlineStr">
        <is>
          <t>Frete de venda</t>
        </is>
      </c>
      <c r="C1942" t="inlineStr">
        <is>
          <t>Frete de venda (para clientes)</t>
        </is>
      </c>
      <c r="D1942" t="inlineStr">
        <is>
          <t>CT-e</t>
        </is>
      </c>
      <c r="E1942" t="inlineStr">
        <is>
          <t>000002781</t>
        </is>
      </c>
      <c r="F1942" t="inlineStr">
        <is>
          <t>R&amp;R TRANSPORTE E LOGISTICA</t>
        </is>
      </c>
      <c r="G1942" s="27" t="n">
        <v>45573</v>
      </c>
      <c r="H1942" s="14" t="n">
        <v>230</v>
      </c>
      <c r="I1942" s="14" t="n">
        <v>0</v>
      </c>
      <c r="J1942" s="14" t="n">
        <v>0</v>
      </c>
      <c r="K1942" s="14" t="n">
        <v>0</v>
      </c>
      <c r="L1942" s="14" t="n">
        <v>0</v>
      </c>
      <c r="M1942" s="14">
        <f>IF(B1942="Frete de venda",0,(1-ISNUMBER(SEARCH("556",P1942)))*(I1942*VLOOKUP($B1942,Premissas!$A$4:$E$7,2,0)+J1942*VLOOKUP($B1942,Premissas!$A$4:$E$7,3,0))+K1942*VLOOKUP($B1942,Premissas!$A$4:$E$7,4,0)+L1942*VLOOKUP($B1942,Premissas!$A$4:$E$7,5,0))</f>
        <v/>
      </c>
      <c r="N1942" s="14">
        <f>H1942-M1942</f>
        <v/>
      </c>
      <c r="O1942" t="inlineStr">
        <is>
          <t>Não</t>
        </is>
      </c>
      <c r="P1942" t="inlineStr">
        <is>
          <t>1.350</t>
        </is>
      </c>
    </row>
    <row r="1943">
      <c r="A1943" t="inlineStr">
        <is>
          <t>Antes de 2026</t>
        </is>
      </c>
      <c r="B1943" t="inlineStr">
        <is>
          <t>Frete de venda</t>
        </is>
      </c>
      <c r="C1943" t="inlineStr">
        <is>
          <t>Frete de venda (para clientes)</t>
        </is>
      </c>
      <c r="D1943" t="inlineStr">
        <is>
          <t>CT-e</t>
        </is>
      </c>
      <c r="E1943" t="inlineStr">
        <is>
          <t>000000054</t>
        </is>
      </c>
      <c r="F1943" t="inlineStr">
        <is>
          <t>ADIL CARLOS DA SILVA</t>
        </is>
      </c>
      <c r="G1943" s="27" t="n">
        <v>45565</v>
      </c>
      <c r="H1943" s="14" t="n">
        <v>150</v>
      </c>
      <c r="I1943" s="14" t="n">
        <v>0</v>
      </c>
      <c r="J1943" s="14" t="n">
        <v>0</v>
      </c>
      <c r="K1943" s="14" t="n">
        <v>0</v>
      </c>
      <c r="L1943" s="14" t="n">
        <v>0</v>
      </c>
      <c r="M1943" s="14">
        <f>IF(B1943="Frete de venda",0,(1-ISNUMBER(SEARCH("556",P1943)))*(I1943*VLOOKUP($B1943,Premissas!$A$4:$E$7,2,0)+J1943*VLOOKUP($B1943,Premissas!$A$4:$E$7,3,0))+K1943*VLOOKUP($B1943,Premissas!$A$4:$E$7,4,0)+L1943*VLOOKUP($B1943,Premissas!$A$4:$E$7,5,0))</f>
        <v/>
      </c>
      <c r="N1943" s="14">
        <f>H1943-M1943</f>
        <v/>
      </c>
      <c r="O1943" t="inlineStr">
        <is>
          <t>Não</t>
        </is>
      </c>
      <c r="P1943" t="inlineStr">
        <is>
          <t>2.350</t>
        </is>
      </c>
    </row>
    <row r="1944">
      <c r="A1944" t="inlineStr">
        <is>
          <t>Antes de 2026</t>
        </is>
      </c>
      <c r="B1944" t="inlineStr">
        <is>
          <t>Frete de venda</t>
        </is>
      </c>
      <c r="C1944" t="inlineStr">
        <is>
          <t>Frete de venda (para clientes)</t>
        </is>
      </c>
      <c r="D1944" t="inlineStr">
        <is>
          <t>CT-e</t>
        </is>
      </c>
      <c r="E1944" t="inlineStr">
        <is>
          <t>000000049</t>
        </is>
      </c>
      <c r="F1944" t="inlineStr">
        <is>
          <t>ADIL CARLOS DA SILVA</t>
        </is>
      </c>
      <c r="G1944" s="27" t="n">
        <v>45554</v>
      </c>
      <c r="H1944" s="14" t="n">
        <v>150</v>
      </c>
      <c r="I1944" s="14" t="n">
        <v>0</v>
      </c>
      <c r="J1944" s="14" t="n">
        <v>0</v>
      </c>
      <c r="K1944" s="14" t="n">
        <v>0</v>
      </c>
      <c r="L1944" s="14" t="n">
        <v>0</v>
      </c>
      <c r="M1944" s="14">
        <f>IF(B1944="Frete de venda",0,(1-ISNUMBER(SEARCH("556",P1944)))*(I1944*VLOOKUP($B1944,Premissas!$A$4:$E$7,2,0)+J1944*VLOOKUP($B1944,Premissas!$A$4:$E$7,3,0))+K1944*VLOOKUP($B1944,Premissas!$A$4:$E$7,4,0)+L1944*VLOOKUP($B1944,Premissas!$A$4:$E$7,5,0))</f>
        <v/>
      </c>
      <c r="N1944" s="14">
        <f>H1944-M1944</f>
        <v/>
      </c>
      <c r="O1944" t="inlineStr">
        <is>
          <t>Não</t>
        </is>
      </c>
      <c r="P1944" t="inlineStr">
        <is>
          <t>2.350</t>
        </is>
      </c>
    </row>
    <row r="1945">
      <c r="A1945" t="inlineStr">
        <is>
          <t>Antes de 2026</t>
        </is>
      </c>
      <c r="B1945" t="inlineStr">
        <is>
          <t>Frete de venda</t>
        </is>
      </c>
      <c r="C1945" t="inlineStr">
        <is>
          <t>Frete de venda (para clientes)</t>
        </is>
      </c>
      <c r="D1945" t="inlineStr">
        <is>
          <t>CT-e</t>
        </is>
      </c>
      <c r="E1945" t="inlineStr">
        <is>
          <t>000002575</t>
        </is>
      </c>
      <c r="F1945" t="inlineStr">
        <is>
          <t>R&amp;R TRANSPORTE E LOGISTICA</t>
        </is>
      </c>
      <c r="G1945" s="27" t="n">
        <v>45538</v>
      </c>
      <c r="H1945" s="14" t="n">
        <v>37.5</v>
      </c>
      <c r="I1945" s="14" t="n">
        <v>0</v>
      </c>
      <c r="J1945" s="14" t="n">
        <v>0</v>
      </c>
      <c r="K1945" s="14" t="n">
        <v>0</v>
      </c>
      <c r="L1945" s="14" t="n">
        <v>0</v>
      </c>
      <c r="M1945" s="14">
        <f>IF(B1945="Frete de venda",0,(1-ISNUMBER(SEARCH("556",P1945)))*(I1945*VLOOKUP($B1945,Premissas!$A$4:$E$7,2,0)+J1945*VLOOKUP($B1945,Premissas!$A$4:$E$7,3,0))+K1945*VLOOKUP($B1945,Premissas!$A$4:$E$7,4,0)+L1945*VLOOKUP($B1945,Premissas!$A$4:$E$7,5,0))</f>
        <v/>
      </c>
      <c r="N1945" s="14">
        <f>H1945-M1945</f>
        <v/>
      </c>
      <c r="O1945" t="inlineStr">
        <is>
          <t>Não</t>
        </is>
      </c>
      <c r="P1945" t="inlineStr">
        <is>
          <t>1.350</t>
        </is>
      </c>
    </row>
    <row r="1946">
      <c r="A1946" t="inlineStr">
        <is>
          <t>Antes de 2026</t>
        </is>
      </c>
      <c r="B1946" t="inlineStr">
        <is>
          <t>Frete de venda</t>
        </is>
      </c>
      <c r="C1946" t="inlineStr">
        <is>
          <t>Frete de venda (para clientes)</t>
        </is>
      </c>
      <c r="D1946" t="inlineStr">
        <is>
          <t>CT-e</t>
        </is>
      </c>
      <c r="E1946" t="inlineStr">
        <is>
          <t>000002871</t>
        </is>
      </c>
      <c r="F1946" t="inlineStr">
        <is>
          <t>R&amp;R TRANSPORTE E LOGISTICA</t>
        </is>
      </c>
      <c r="G1946" s="27" t="n">
        <v>45581</v>
      </c>
      <c r="H1946" s="14" t="n">
        <v>25</v>
      </c>
      <c r="I1946" s="14" t="n">
        <v>0</v>
      </c>
      <c r="J1946" s="14" t="n">
        <v>0</v>
      </c>
      <c r="K1946" s="14" t="n">
        <v>0</v>
      </c>
      <c r="L1946" s="14" t="n">
        <v>0</v>
      </c>
      <c r="M1946" s="14">
        <f>IF(B1946="Frete de venda",0,(1-ISNUMBER(SEARCH("556",P1946)))*(I1946*VLOOKUP($B1946,Premissas!$A$4:$E$7,2,0)+J1946*VLOOKUP($B1946,Premissas!$A$4:$E$7,3,0))+K1946*VLOOKUP($B1946,Premissas!$A$4:$E$7,4,0)+L1946*VLOOKUP($B1946,Premissas!$A$4:$E$7,5,0))</f>
        <v/>
      </c>
      <c r="N1946" s="14">
        <f>H1946-M1946</f>
        <v/>
      </c>
      <c r="O1946" t="inlineStr">
        <is>
          <t>Não</t>
        </is>
      </c>
      <c r="P1946" t="inlineStr">
        <is>
          <t>1.350</t>
        </is>
      </c>
    </row>
    <row r="1947">
      <c r="A1947" t="inlineStr">
        <is>
          <t>Antes de 2026</t>
        </is>
      </c>
      <c r="B1947" t="inlineStr">
        <is>
          <t>Frete de venda</t>
        </is>
      </c>
      <c r="C1947" t="inlineStr">
        <is>
          <t>Frete de venda (para clientes)</t>
        </is>
      </c>
      <c r="D1947" t="inlineStr">
        <is>
          <t>CT-e</t>
        </is>
      </c>
      <c r="E1947" t="inlineStr">
        <is>
          <t>000002609</t>
        </is>
      </c>
      <c r="F1947" t="inlineStr">
        <is>
          <t>R&amp;R TRANSPORTE E LOGISTICA</t>
        </is>
      </c>
      <c r="G1947" s="27" t="n">
        <v>45541</v>
      </c>
      <c r="H1947" s="14" t="n">
        <v>16</v>
      </c>
      <c r="I1947" s="14" t="n">
        <v>0</v>
      </c>
      <c r="J1947" s="14" t="n">
        <v>0</v>
      </c>
      <c r="K1947" s="14" t="n">
        <v>0</v>
      </c>
      <c r="L1947" s="14" t="n">
        <v>0</v>
      </c>
      <c r="M1947" s="14">
        <f>IF(B1947="Frete de venda",0,(1-ISNUMBER(SEARCH("556",P1947)))*(I1947*VLOOKUP($B1947,Premissas!$A$4:$E$7,2,0)+J1947*VLOOKUP($B1947,Premissas!$A$4:$E$7,3,0))+K1947*VLOOKUP($B1947,Premissas!$A$4:$E$7,4,0)+L1947*VLOOKUP($B1947,Premissas!$A$4:$E$7,5,0))</f>
        <v/>
      </c>
      <c r="N1947" s="14">
        <f>H1947-M1947</f>
        <v/>
      </c>
      <c r="O1947" t="inlineStr">
        <is>
          <t>Não</t>
        </is>
      </c>
      <c r="P1947" t="inlineStr">
        <is>
          <t>1.350</t>
        </is>
      </c>
    </row>
    <row r="1948">
      <c r="A1948" t="inlineStr">
        <is>
          <t>Antes de 2026</t>
        </is>
      </c>
      <c r="B1948" t="inlineStr">
        <is>
          <t>Frete de venda</t>
        </is>
      </c>
      <c r="C1948" t="inlineStr">
        <is>
          <t>Frete de venda (para clientes)</t>
        </is>
      </c>
      <c r="D1948" t="inlineStr">
        <is>
          <t>CT-e</t>
        </is>
      </c>
      <c r="E1948" t="inlineStr">
        <is>
          <t>000002530</t>
        </is>
      </c>
      <c r="F1948" t="inlineStr">
        <is>
          <t>R&amp;R TRANSPORTE E LOGISTICA</t>
        </is>
      </c>
      <c r="G1948" s="27" t="n">
        <v>45527</v>
      </c>
      <c r="H1948" s="14" t="n">
        <v>1300</v>
      </c>
      <c r="I1948" s="14" t="n">
        <v>0</v>
      </c>
      <c r="J1948" s="14" t="n">
        <v>0</v>
      </c>
      <c r="K1948" s="14" t="n">
        <v>0</v>
      </c>
      <c r="L1948" s="14" t="n">
        <v>0</v>
      </c>
      <c r="M1948" s="14">
        <f>IF(B1948="Frete de venda",0,(1-ISNUMBER(SEARCH("556",P1948)))*(I1948*VLOOKUP($B1948,Premissas!$A$4:$E$7,2,0)+J1948*VLOOKUP($B1948,Premissas!$A$4:$E$7,3,0))+K1948*VLOOKUP($B1948,Premissas!$A$4:$E$7,4,0)+L1948*VLOOKUP($B1948,Premissas!$A$4:$E$7,5,0))</f>
        <v/>
      </c>
      <c r="N1948" s="14">
        <f>H1948-M1948</f>
        <v/>
      </c>
      <c r="O1948" t="inlineStr">
        <is>
          <t>Não</t>
        </is>
      </c>
      <c r="P1948" t="inlineStr">
        <is>
          <t>1.350</t>
        </is>
      </c>
    </row>
    <row r="1949">
      <c r="A1949" t="inlineStr">
        <is>
          <t>Antes de 2026</t>
        </is>
      </c>
      <c r="B1949" t="inlineStr">
        <is>
          <t>Frete de venda</t>
        </is>
      </c>
      <c r="C1949" t="inlineStr">
        <is>
          <t>Frete de venda (para clientes)</t>
        </is>
      </c>
      <c r="D1949" t="inlineStr">
        <is>
          <t>CT-e</t>
        </is>
      </c>
      <c r="E1949" t="inlineStr">
        <is>
          <t>000002782</t>
        </is>
      </c>
      <c r="F1949" t="inlineStr">
        <is>
          <t>R&amp;R TRANSPORTE E LOGISTICA</t>
        </is>
      </c>
      <c r="G1949" s="27" t="n">
        <v>45573</v>
      </c>
      <c r="H1949" s="14" t="n">
        <v>230</v>
      </c>
      <c r="I1949" s="14" t="n">
        <v>0</v>
      </c>
      <c r="J1949" s="14" t="n">
        <v>0</v>
      </c>
      <c r="K1949" s="14" t="n">
        <v>0</v>
      </c>
      <c r="L1949" s="14" t="n">
        <v>0</v>
      </c>
      <c r="M1949" s="14">
        <f>IF(B1949="Frete de venda",0,(1-ISNUMBER(SEARCH("556",P1949)))*(I1949*VLOOKUP($B1949,Premissas!$A$4:$E$7,2,0)+J1949*VLOOKUP($B1949,Premissas!$A$4:$E$7,3,0))+K1949*VLOOKUP($B1949,Premissas!$A$4:$E$7,4,0)+L1949*VLOOKUP($B1949,Premissas!$A$4:$E$7,5,0))</f>
        <v/>
      </c>
      <c r="N1949" s="14">
        <f>H1949-M1949</f>
        <v/>
      </c>
      <c r="O1949" t="inlineStr">
        <is>
          <t>Não</t>
        </is>
      </c>
      <c r="P1949" t="inlineStr">
        <is>
          <t>1.350</t>
        </is>
      </c>
    </row>
    <row r="1950">
      <c r="A1950" t="inlineStr">
        <is>
          <t>Antes de 2026</t>
        </is>
      </c>
      <c r="B1950" t="inlineStr">
        <is>
          <t>Frete de venda</t>
        </is>
      </c>
      <c r="C1950" t="inlineStr">
        <is>
          <t>Frete de venda (para clientes)</t>
        </is>
      </c>
      <c r="D1950" t="inlineStr">
        <is>
          <t>CT-e</t>
        </is>
      </c>
      <c r="E1950" t="inlineStr">
        <is>
          <t>000002590</t>
        </is>
      </c>
      <c r="F1950" t="inlineStr">
        <is>
          <t>R&amp;R TRANSPORTE E LOGISTICA</t>
        </is>
      </c>
      <c r="G1950" s="27" t="n">
        <v>45539</v>
      </c>
      <c r="H1950" s="14" t="n">
        <v>30</v>
      </c>
      <c r="I1950" s="14" t="n">
        <v>0</v>
      </c>
      <c r="J1950" s="14" t="n">
        <v>0</v>
      </c>
      <c r="K1950" s="14" t="n">
        <v>0</v>
      </c>
      <c r="L1950" s="14" t="n">
        <v>0</v>
      </c>
      <c r="M1950" s="14">
        <f>IF(B1950="Frete de venda",0,(1-ISNUMBER(SEARCH("556",P1950)))*(I1950*VLOOKUP($B1950,Premissas!$A$4:$E$7,2,0)+J1950*VLOOKUP($B1950,Premissas!$A$4:$E$7,3,0))+K1950*VLOOKUP($B1950,Premissas!$A$4:$E$7,4,0)+L1950*VLOOKUP($B1950,Premissas!$A$4:$E$7,5,0))</f>
        <v/>
      </c>
      <c r="N1950" s="14">
        <f>H1950-M1950</f>
        <v/>
      </c>
      <c r="O1950" t="inlineStr">
        <is>
          <t>Não</t>
        </is>
      </c>
      <c r="P1950" t="inlineStr">
        <is>
          <t>1.350</t>
        </is>
      </c>
    </row>
    <row r="1951">
      <c r="A1951" t="inlineStr">
        <is>
          <t>Antes de 2026</t>
        </is>
      </c>
      <c r="B1951" t="inlineStr">
        <is>
          <t>Frete de venda</t>
        </is>
      </c>
      <c r="C1951" t="inlineStr">
        <is>
          <t>Frete de venda (para clientes)</t>
        </is>
      </c>
      <c r="D1951" t="inlineStr">
        <is>
          <t>CT-e</t>
        </is>
      </c>
      <c r="E1951" t="inlineStr">
        <is>
          <t>000002599</t>
        </is>
      </c>
      <c r="F1951" t="inlineStr">
        <is>
          <t>R&amp;R TRANSPORTE E LOGISTICA</t>
        </is>
      </c>
      <c r="G1951" s="27" t="n">
        <v>45541</v>
      </c>
      <c r="H1951" s="14" t="n">
        <v>16</v>
      </c>
      <c r="I1951" s="14" t="n">
        <v>0</v>
      </c>
      <c r="J1951" s="14" t="n">
        <v>0</v>
      </c>
      <c r="K1951" s="14" t="n">
        <v>0</v>
      </c>
      <c r="L1951" s="14" t="n">
        <v>0</v>
      </c>
      <c r="M1951" s="14">
        <f>IF(B1951="Frete de venda",0,(1-ISNUMBER(SEARCH("556",P1951)))*(I1951*VLOOKUP($B1951,Premissas!$A$4:$E$7,2,0)+J1951*VLOOKUP($B1951,Premissas!$A$4:$E$7,3,0))+K1951*VLOOKUP($B1951,Premissas!$A$4:$E$7,4,0)+L1951*VLOOKUP($B1951,Premissas!$A$4:$E$7,5,0))</f>
        <v/>
      </c>
      <c r="N1951" s="14">
        <f>H1951-M1951</f>
        <v/>
      </c>
      <c r="O1951" t="inlineStr">
        <is>
          <t>Não</t>
        </is>
      </c>
      <c r="P1951" t="inlineStr">
        <is>
          <t>1.350</t>
        </is>
      </c>
    </row>
    <row r="1952">
      <c r="A1952" t="inlineStr">
        <is>
          <t>Antes de 2026</t>
        </is>
      </c>
      <c r="B1952" t="inlineStr">
        <is>
          <t>Frete de venda</t>
        </is>
      </c>
      <c r="C1952" t="inlineStr">
        <is>
          <t>Frete de venda (para clientes)</t>
        </is>
      </c>
      <c r="D1952" t="inlineStr">
        <is>
          <t>CT-e</t>
        </is>
      </c>
      <c r="E1952" t="inlineStr">
        <is>
          <t>000002558</t>
        </is>
      </c>
      <c r="F1952" t="inlineStr">
        <is>
          <t>R&amp;R TRANSPORTE E LOGISTICA</t>
        </is>
      </c>
      <c r="G1952" s="27" t="n">
        <v>45534</v>
      </c>
      <c r="H1952" s="14" t="n">
        <v>91</v>
      </c>
      <c r="I1952" s="14" t="n">
        <v>0</v>
      </c>
      <c r="J1952" s="14" t="n">
        <v>0</v>
      </c>
      <c r="K1952" s="14" t="n">
        <v>0</v>
      </c>
      <c r="L1952" s="14" t="n">
        <v>0</v>
      </c>
      <c r="M1952" s="14">
        <f>IF(B1952="Frete de venda",0,(1-ISNUMBER(SEARCH("556",P1952)))*(I1952*VLOOKUP($B1952,Premissas!$A$4:$E$7,2,0)+J1952*VLOOKUP($B1952,Premissas!$A$4:$E$7,3,0))+K1952*VLOOKUP($B1952,Premissas!$A$4:$E$7,4,0)+L1952*VLOOKUP($B1952,Premissas!$A$4:$E$7,5,0))</f>
        <v/>
      </c>
      <c r="N1952" s="14">
        <f>H1952-M1952</f>
        <v/>
      </c>
      <c r="O1952" t="inlineStr">
        <is>
          <t>Não</t>
        </is>
      </c>
      <c r="P1952" t="inlineStr">
        <is>
          <t>1.350</t>
        </is>
      </c>
    </row>
    <row r="1953">
      <c r="A1953" t="inlineStr">
        <is>
          <t>Antes de 2026</t>
        </is>
      </c>
      <c r="B1953" t="inlineStr">
        <is>
          <t>Frete de venda</t>
        </is>
      </c>
      <c r="C1953" t="inlineStr">
        <is>
          <t>Frete de venda (para clientes)</t>
        </is>
      </c>
      <c r="D1953" t="inlineStr">
        <is>
          <t>CT-e</t>
        </is>
      </c>
      <c r="E1953" t="inlineStr">
        <is>
          <t>000002611</t>
        </is>
      </c>
      <c r="F1953" t="inlineStr">
        <is>
          <t>R&amp;R TRANSPORTE E LOGISTICA</t>
        </is>
      </c>
      <c r="G1953" s="27" t="n">
        <v>45541</v>
      </c>
      <c r="H1953" s="14" t="n">
        <v>283</v>
      </c>
      <c r="I1953" s="14" t="n">
        <v>0</v>
      </c>
      <c r="J1953" s="14" t="n">
        <v>0</v>
      </c>
      <c r="K1953" s="14" t="n">
        <v>0</v>
      </c>
      <c r="L1953" s="14" t="n">
        <v>0</v>
      </c>
      <c r="M1953" s="14">
        <f>IF(B1953="Frete de venda",0,(1-ISNUMBER(SEARCH("556",P1953)))*(I1953*VLOOKUP($B1953,Premissas!$A$4:$E$7,2,0)+J1953*VLOOKUP($B1953,Premissas!$A$4:$E$7,3,0))+K1953*VLOOKUP($B1953,Premissas!$A$4:$E$7,4,0)+L1953*VLOOKUP($B1953,Premissas!$A$4:$E$7,5,0))</f>
        <v/>
      </c>
      <c r="N1953" s="14">
        <f>H1953-M1953</f>
        <v/>
      </c>
      <c r="O1953" t="inlineStr">
        <is>
          <t>Não</t>
        </is>
      </c>
      <c r="P1953" t="inlineStr">
        <is>
          <t>1.350</t>
        </is>
      </c>
    </row>
    <row r="1954">
      <c r="A1954" t="inlineStr">
        <is>
          <t>Antes de 2026</t>
        </is>
      </c>
      <c r="B1954" t="inlineStr">
        <is>
          <t>Frete de venda</t>
        </is>
      </c>
      <c r="C1954" t="inlineStr">
        <is>
          <t>Frete de venda (para clientes)</t>
        </is>
      </c>
      <c r="D1954" t="inlineStr">
        <is>
          <t>CT-e</t>
        </is>
      </c>
      <c r="E1954" t="inlineStr">
        <is>
          <t>000002503</t>
        </is>
      </c>
      <c r="F1954" t="inlineStr">
        <is>
          <t>R&amp;R TRANSPORTE E LOGISTICA</t>
        </is>
      </c>
      <c r="G1954" s="27" t="n">
        <v>45520</v>
      </c>
      <c r="H1954" s="14" t="n">
        <v>50</v>
      </c>
      <c r="I1954" s="14" t="n">
        <v>0</v>
      </c>
      <c r="J1954" s="14" t="n">
        <v>0</v>
      </c>
      <c r="K1954" s="14" t="n">
        <v>0</v>
      </c>
      <c r="L1954" s="14" t="n">
        <v>0</v>
      </c>
      <c r="M1954" s="14">
        <f>IF(B1954="Frete de venda",0,(1-ISNUMBER(SEARCH("556",P1954)))*(I1954*VLOOKUP($B1954,Premissas!$A$4:$E$7,2,0)+J1954*VLOOKUP($B1954,Premissas!$A$4:$E$7,3,0))+K1954*VLOOKUP($B1954,Premissas!$A$4:$E$7,4,0)+L1954*VLOOKUP($B1954,Premissas!$A$4:$E$7,5,0))</f>
        <v/>
      </c>
      <c r="N1954" s="14">
        <f>H1954-M1954</f>
        <v/>
      </c>
      <c r="O1954" t="inlineStr">
        <is>
          <t>Não</t>
        </is>
      </c>
      <c r="P1954" t="inlineStr">
        <is>
          <t>1.350</t>
        </is>
      </c>
    </row>
    <row r="1955">
      <c r="A1955" t="inlineStr">
        <is>
          <t>Antes de 2026</t>
        </is>
      </c>
      <c r="B1955" t="inlineStr">
        <is>
          <t>Frete de venda</t>
        </is>
      </c>
      <c r="C1955" t="inlineStr">
        <is>
          <t>Frete de venda (para clientes)</t>
        </is>
      </c>
      <c r="D1955" t="inlineStr">
        <is>
          <t>CT-e</t>
        </is>
      </c>
      <c r="E1955" t="inlineStr">
        <is>
          <t>000002870</t>
        </is>
      </c>
      <c r="F1955" t="inlineStr">
        <is>
          <t>R&amp;R TRANSPORTE E LOGISTICA</t>
        </is>
      </c>
      <c r="G1955" s="27" t="n">
        <v>45581</v>
      </c>
      <c r="H1955" s="14" t="n">
        <v>25</v>
      </c>
      <c r="I1955" s="14" t="n">
        <v>0</v>
      </c>
      <c r="J1955" s="14" t="n">
        <v>0</v>
      </c>
      <c r="K1955" s="14" t="n">
        <v>0</v>
      </c>
      <c r="L1955" s="14" t="n">
        <v>0</v>
      </c>
      <c r="M1955" s="14">
        <f>IF(B1955="Frete de venda",0,(1-ISNUMBER(SEARCH("556",P1955)))*(I1955*VLOOKUP($B1955,Premissas!$A$4:$E$7,2,0)+J1955*VLOOKUP($B1955,Premissas!$A$4:$E$7,3,0))+K1955*VLOOKUP($B1955,Premissas!$A$4:$E$7,4,0)+L1955*VLOOKUP($B1955,Premissas!$A$4:$E$7,5,0))</f>
        <v/>
      </c>
      <c r="N1955" s="14">
        <f>H1955-M1955</f>
        <v/>
      </c>
      <c r="O1955" t="inlineStr">
        <is>
          <t>Não</t>
        </is>
      </c>
      <c r="P1955" t="inlineStr">
        <is>
          <t>1.350</t>
        </is>
      </c>
    </row>
    <row r="1956">
      <c r="A1956" t="inlineStr">
        <is>
          <t>Antes de 2026</t>
        </is>
      </c>
      <c r="B1956" t="inlineStr">
        <is>
          <t>Frete de venda</t>
        </is>
      </c>
      <c r="C1956" t="inlineStr">
        <is>
          <t>Frete de venda (para clientes)</t>
        </is>
      </c>
      <c r="D1956" t="inlineStr">
        <is>
          <t>CT-e</t>
        </is>
      </c>
      <c r="E1956" t="inlineStr">
        <is>
          <t>000002608</t>
        </is>
      </c>
      <c r="F1956" t="inlineStr">
        <is>
          <t>R&amp;R TRANSPORTE E LOGISTICA</t>
        </is>
      </c>
      <c r="G1956" s="27" t="n">
        <v>45541</v>
      </c>
      <c r="H1956" s="14" t="n">
        <v>16</v>
      </c>
      <c r="I1956" s="14" t="n">
        <v>0</v>
      </c>
      <c r="J1956" s="14" t="n">
        <v>0</v>
      </c>
      <c r="K1956" s="14" t="n">
        <v>0</v>
      </c>
      <c r="L1956" s="14" t="n">
        <v>0</v>
      </c>
      <c r="M1956" s="14">
        <f>IF(B1956="Frete de venda",0,(1-ISNUMBER(SEARCH("556",P1956)))*(I1956*VLOOKUP($B1956,Premissas!$A$4:$E$7,2,0)+J1956*VLOOKUP($B1956,Premissas!$A$4:$E$7,3,0))+K1956*VLOOKUP($B1956,Premissas!$A$4:$E$7,4,0)+L1956*VLOOKUP($B1956,Premissas!$A$4:$E$7,5,0))</f>
        <v/>
      </c>
      <c r="N1956" s="14">
        <f>H1956-M1956</f>
        <v/>
      </c>
      <c r="O1956" t="inlineStr">
        <is>
          <t>Não</t>
        </is>
      </c>
      <c r="P1956" t="inlineStr">
        <is>
          <t>1.350</t>
        </is>
      </c>
    </row>
    <row r="1957">
      <c r="A1957" t="inlineStr">
        <is>
          <t>Antes de 2026</t>
        </is>
      </c>
      <c r="B1957" t="inlineStr">
        <is>
          <t>Frete de venda</t>
        </is>
      </c>
      <c r="C1957" t="inlineStr">
        <is>
          <t>Frete de venda (para clientes)</t>
        </is>
      </c>
      <c r="D1957" t="inlineStr">
        <is>
          <t>CT-e</t>
        </is>
      </c>
      <c r="E1957" t="inlineStr">
        <is>
          <t>000002869</t>
        </is>
      </c>
      <c r="F1957" t="inlineStr">
        <is>
          <t>R&amp;R TRANSPORTE E LOGISTICA</t>
        </is>
      </c>
      <c r="G1957" s="27" t="n">
        <v>45581</v>
      </c>
      <c r="H1957" s="14" t="n">
        <v>22</v>
      </c>
      <c r="I1957" s="14" t="n">
        <v>0</v>
      </c>
      <c r="J1957" s="14" t="n">
        <v>0</v>
      </c>
      <c r="K1957" s="14" t="n">
        <v>0</v>
      </c>
      <c r="L1957" s="14" t="n">
        <v>0</v>
      </c>
      <c r="M1957" s="14">
        <f>IF(B1957="Frete de venda",0,(1-ISNUMBER(SEARCH("556",P1957)))*(I1957*VLOOKUP($B1957,Premissas!$A$4:$E$7,2,0)+J1957*VLOOKUP($B1957,Premissas!$A$4:$E$7,3,0))+K1957*VLOOKUP($B1957,Premissas!$A$4:$E$7,4,0)+L1957*VLOOKUP($B1957,Premissas!$A$4:$E$7,5,0))</f>
        <v/>
      </c>
      <c r="N1957" s="14">
        <f>H1957-M1957</f>
        <v/>
      </c>
      <c r="O1957" t="inlineStr">
        <is>
          <t>Não</t>
        </is>
      </c>
      <c r="P1957" t="inlineStr">
        <is>
          <t>1.350</t>
        </is>
      </c>
    </row>
    <row r="1958">
      <c r="A1958" t="inlineStr">
        <is>
          <t>Antes de 2026</t>
        </is>
      </c>
      <c r="B1958" t="inlineStr">
        <is>
          <t>Frete de venda</t>
        </is>
      </c>
      <c r="C1958" t="inlineStr">
        <is>
          <t>Frete de venda (para clientes)</t>
        </is>
      </c>
      <c r="D1958" t="inlineStr">
        <is>
          <t>CT-e</t>
        </is>
      </c>
      <c r="E1958" t="inlineStr">
        <is>
          <t>000002607</t>
        </is>
      </c>
      <c r="F1958" t="inlineStr">
        <is>
          <t>R&amp;R TRANSPORTE E LOGISTICA</t>
        </is>
      </c>
      <c r="G1958" s="27" t="n">
        <v>45541</v>
      </c>
      <c r="H1958" s="14" t="n">
        <v>16</v>
      </c>
      <c r="I1958" s="14" t="n">
        <v>0</v>
      </c>
      <c r="J1958" s="14" t="n">
        <v>0</v>
      </c>
      <c r="K1958" s="14" t="n">
        <v>0</v>
      </c>
      <c r="L1958" s="14" t="n">
        <v>0</v>
      </c>
      <c r="M1958" s="14">
        <f>IF(B1958="Frete de venda",0,(1-ISNUMBER(SEARCH("556",P1958)))*(I1958*VLOOKUP($B1958,Premissas!$A$4:$E$7,2,0)+J1958*VLOOKUP($B1958,Premissas!$A$4:$E$7,3,0))+K1958*VLOOKUP($B1958,Premissas!$A$4:$E$7,4,0)+L1958*VLOOKUP($B1958,Premissas!$A$4:$E$7,5,0))</f>
        <v/>
      </c>
      <c r="N1958" s="14">
        <f>H1958-M1958</f>
        <v/>
      </c>
      <c r="O1958" t="inlineStr">
        <is>
          <t>Não</t>
        </is>
      </c>
      <c r="P1958" t="inlineStr">
        <is>
          <t>1.350</t>
        </is>
      </c>
    </row>
    <row r="1959">
      <c r="A1959" t="inlineStr">
        <is>
          <t>Antes de 2026</t>
        </is>
      </c>
      <c r="B1959" t="inlineStr">
        <is>
          <t>Frete de venda</t>
        </is>
      </c>
      <c r="C1959" t="inlineStr">
        <is>
          <t>Frete de venda (para clientes)</t>
        </is>
      </c>
      <c r="D1959" t="inlineStr">
        <is>
          <t>CT-e</t>
        </is>
      </c>
      <c r="E1959" t="inlineStr">
        <is>
          <t>000002603</t>
        </is>
      </c>
      <c r="F1959" t="inlineStr">
        <is>
          <t>R&amp;R TRANSPORTE E LOGISTICA</t>
        </is>
      </c>
      <c r="G1959" s="27" t="n">
        <v>45541</v>
      </c>
      <c r="H1959" s="14" t="n">
        <v>16</v>
      </c>
      <c r="I1959" s="14" t="n">
        <v>0</v>
      </c>
      <c r="J1959" s="14" t="n">
        <v>0</v>
      </c>
      <c r="K1959" s="14" t="n">
        <v>0</v>
      </c>
      <c r="L1959" s="14" t="n">
        <v>0</v>
      </c>
      <c r="M1959" s="14">
        <f>IF(B1959="Frete de venda",0,(1-ISNUMBER(SEARCH("556",P1959)))*(I1959*VLOOKUP($B1959,Premissas!$A$4:$E$7,2,0)+J1959*VLOOKUP($B1959,Premissas!$A$4:$E$7,3,0))+K1959*VLOOKUP($B1959,Premissas!$A$4:$E$7,4,0)+L1959*VLOOKUP($B1959,Premissas!$A$4:$E$7,5,0))</f>
        <v/>
      </c>
      <c r="N1959" s="14">
        <f>H1959-M1959</f>
        <v/>
      </c>
      <c r="O1959" t="inlineStr">
        <is>
          <t>Não</t>
        </is>
      </c>
      <c r="P1959" t="inlineStr">
        <is>
          <t>1.350</t>
        </is>
      </c>
    </row>
    <row r="1960">
      <c r="A1960" t="inlineStr">
        <is>
          <t>Antes de 2026</t>
        </is>
      </c>
      <c r="B1960" t="inlineStr">
        <is>
          <t>Frete de venda</t>
        </is>
      </c>
      <c r="C1960" t="inlineStr">
        <is>
          <t>Frete de venda (para clientes)</t>
        </is>
      </c>
      <c r="D1960" t="inlineStr">
        <is>
          <t>CT-e</t>
        </is>
      </c>
      <c r="E1960" t="inlineStr">
        <is>
          <t>000002600</t>
        </is>
      </c>
      <c r="F1960" t="inlineStr">
        <is>
          <t>R&amp;R TRANSPORTE E LOGISTICA</t>
        </is>
      </c>
      <c r="G1960" s="27" t="n">
        <v>45541</v>
      </c>
      <c r="H1960" s="14" t="n">
        <v>16</v>
      </c>
      <c r="I1960" s="14" t="n">
        <v>0</v>
      </c>
      <c r="J1960" s="14" t="n">
        <v>0</v>
      </c>
      <c r="K1960" s="14" t="n">
        <v>0</v>
      </c>
      <c r="L1960" s="14" t="n">
        <v>0</v>
      </c>
      <c r="M1960" s="14">
        <f>IF(B1960="Frete de venda",0,(1-ISNUMBER(SEARCH("556",P1960)))*(I1960*VLOOKUP($B1960,Premissas!$A$4:$E$7,2,0)+J1960*VLOOKUP($B1960,Premissas!$A$4:$E$7,3,0))+K1960*VLOOKUP($B1960,Premissas!$A$4:$E$7,4,0)+L1960*VLOOKUP($B1960,Premissas!$A$4:$E$7,5,0))</f>
        <v/>
      </c>
      <c r="N1960" s="14">
        <f>H1960-M1960</f>
        <v/>
      </c>
      <c r="O1960" t="inlineStr">
        <is>
          <t>Não</t>
        </is>
      </c>
      <c r="P1960" t="inlineStr">
        <is>
          <t>1.350</t>
        </is>
      </c>
    </row>
    <row r="1961">
      <c r="A1961" t="inlineStr">
        <is>
          <t>Antes de 2026</t>
        </is>
      </c>
      <c r="B1961" t="inlineStr">
        <is>
          <t>Frete de venda</t>
        </is>
      </c>
      <c r="C1961" t="inlineStr">
        <is>
          <t>Frete de venda (para clientes)</t>
        </is>
      </c>
      <c r="D1961" t="inlineStr">
        <is>
          <t>CT-e</t>
        </is>
      </c>
      <c r="E1961" t="inlineStr">
        <is>
          <t>000002617</t>
        </is>
      </c>
      <c r="F1961" t="inlineStr">
        <is>
          <t>R&amp;R TRANSPORTE E LOGISTICA</t>
        </is>
      </c>
      <c r="G1961" s="27" t="n">
        <v>45545</v>
      </c>
      <c r="H1961" s="14" t="n">
        <v>500</v>
      </c>
      <c r="I1961" s="14" t="n">
        <v>0</v>
      </c>
      <c r="J1961" s="14" t="n">
        <v>0</v>
      </c>
      <c r="K1961" s="14" t="n">
        <v>0</v>
      </c>
      <c r="L1961" s="14" t="n">
        <v>0</v>
      </c>
      <c r="M1961" s="14">
        <f>IF(B1961="Frete de venda",0,(1-ISNUMBER(SEARCH("556",P1961)))*(I1961*VLOOKUP($B1961,Premissas!$A$4:$E$7,2,0)+J1961*VLOOKUP($B1961,Premissas!$A$4:$E$7,3,0))+K1961*VLOOKUP($B1961,Premissas!$A$4:$E$7,4,0)+L1961*VLOOKUP($B1961,Premissas!$A$4:$E$7,5,0))</f>
        <v/>
      </c>
      <c r="N1961" s="14">
        <f>H1961-M1961</f>
        <v/>
      </c>
      <c r="O1961" t="inlineStr">
        <is>
          <t>Não</t>
        </is>
      </c>
      <c r="P1961" t="inlineStr">
        <is>
          <t>1.350</t>
        </is>
      </c>
    </row>
    <row r="1962">
      <c r="A1962" t="inlineStr">
        <is>
          <t>Antes de 2026</t>
        </is>
      </c>
      <c r="B1962" t="inlineStr">
        <is>
          <t>Frete de venda</t>
        </is>
      </c>
      <c r="C1962" t="inlineStr">
        <is>
          <t>Frete de venda (para clientes)</t>
        </is>
      </c>
      <c r="D1962" t="inlineStr">
        <is>
          <t>CT-e</t>
        </is>
      </c>
      <c r="E1962" t="inlineStr">
        <is>
          <t>000002689</t>
        </is>
      </c>
      <c r="F1962" t="inlineStr">
        <is>
          <t>R&amp;R TRANSPORTE E LOGISTICA</t>
        </is>
      </c>
      <c r="G1962" s="27" t="n">
        <v>45558</v>
      </c>
      <c r="H1962" s="14" t="n">
        <v>250</v>
      </c>
      <c r="I1962" s="14" t="n">
        <v>0</v>
      </c>
      <c r="J1962" s="14" t="n">
        <v>0</v>
      </c>
      <c r="K1962" s="14" t="n">
        <v>0</v>
      </c>
      <c r="L1962" s="14" t="n">
        <v>0</v>
      </c>
      <c r="M1962" s="14">
        <f>IF(B1962="Frete de venda",0,(1-ISNUMBER(SEARCH("556",P1962)))*(I1962*VLOOKUP($B1962,Premissas!$A$4:$E$7,2,0)+J1962*VLOOKUP($B1962,Premissas!$A$4:$E$7,3,0))+K1962*VLOOKUP($B1962,Premissas!$A$4:$E$7,4,0)+L1962*VLOOKUP($B1962,Premissas!$A$4:$E$7,5,0))</f>
        <v/>
      </c>
      <c r="N1962" s="14">
        <f>H1962-M1962</f>
        <v/>
      </c>
      <c r="O1962" t="inlineStr">
        <is>
          <t>Não</t>
        </is>
      </c>
      <c r="P1962" t="inlineStr">
        <is>
          <t>1.350</t>
        </is>
      </c>
    </row>
    <row r="1963">
      <c r="A1963" t="inlineStr">
        <is>
          <t>Antes de 2026</t>
        </is>
      </c>
      <c r="B1963" t="inlineStr">
        <is>
          <t>Frete de venda</t>
        </is>
      </c>
      <c r="C1963" t="inlineStr">
        <is>
          <t>Frete de venda (para clientes)</t>
        </is>
      </c>
      <c r="D1963" t="inlineStr">
        <is>
          <t>CT-e</t>
        </is>
      </c>
      <c r="E1963" t="inlineStr">
        <is>
          <t>000002867</t>
        </is>
      </c>
      <c r="F1963" t="inlineStr">
        <is>
          <t>R&amp;R TRANSPORTE E LOGISTICA</t>
        </is>
      </c>
      <c r="G1963" s="27" t="n">
        <v>45581</v>
      </c>
      <c r="H1963" s="14" t="n">
        <v>25</v>
      </c>
      <c r="I1963" s="14" t="n">
        <v>0</v>
      </c>
      <c r="J1963" s="14" t="n">
        <v>0</v>
      </c>
      <c r="K1963" s="14" t="n">
        <v>0</v>
      </c>
      <c r="L1963" s="14" t="n">
        <v>0</v>
      </c>
      <c r="M1963" s="14">
        <f>IF(B1963="Frete de venda",0,(1-ISNUMBER(SEARCH("556",P1963)))*(I1963*VLOOKUP($B1963,Premissas!$A$4:$E$7,2,0)+J1963*VLOOKUP($B1963,Premissas!$A$4:$E$7,3,0))+K1963*VLOOKUP($B1963,Premissas!$A$4:$E$7,4,0)+L1963*VLOOKUP($B1963,Premissas!$A$4:$E$7,5,0))</f>
        <v/>
      </c>
      <c r="N1963" s="14">
        <f>H1963-M1963</f>
        <v/>
      </c>
      <c r="O1963" t="inlineStr">
        <is>
          <t>Não</t>
        </is>
      </c>
      <c r="P1963" t="inlineStr">
        <is>
          <t>1.350</t>
        </is>
      </c>
    </row>
    <row r="1964">
      <c r="A1964" t="inlineStr">
        <is>
          <t>Antes de 2026</t>
        </is>
      </c>
      <c r="B1964" t="inlineStr">
        <is>
          <t>Frete de venda</t>
        </is>
      </c>
      <c r="C1964" t="inlineStr">
        <is>
          <t>Frete de venda (para clientes)</t>
        </is>
      </c>
      <c r="D1964" t="inlineStr">
        <is>
          <t>CT-e</t>
        </is>
      </c>
      <c r="E1964" t="inlineStr">
        <is>
          <t>000002865</t>
        </is>
      </c>
      <c r="F1964" t="inlineStr">
        <is>
          <t>R&amp;R TRANSPORTE E LOGISTICA</t>
        </is>
      </c>
      <c r="G1964" s="27" t="n">
        <v>45581</v>
      </c>
      <c r="H1964" s="14" t="n">
        <v>25</v>
      </c>
      <c r="I1964" s="14" t="n">
        <v>0</v>
      </c>
      <c r="J1964" s="14" t="n">
        <v>0</v>
      </c>
      <c r="K1964" s="14" t="n">
        <v>0</v>
      </c>
      <c r="L1964" s="14" t="n">
        <v>0</v>
      </c>
      <c r="M1964" s="14">
        <f>IF(B1964="Frete de venda",0,(1-ISNUMBER(SEARCH("556",P1964)))*(I1964*VLOOKUP($B1964,Premissas!$A$4:$E$7,2,0)+J1964*VLOOKUP($B1964,Premissas!$A$4:$E$7,3,0))+K1964*VLOOKUP($B1964,Premissas!$A$4:$E$7,4,0)+L1964*VLOOKUP($B1964,Premissas!$A$4:$E$7,5,0))</f>
        <v/>
      </c>
      <c r="N1964" s="14">
        <f>H1964-M1964</f>
        <v/>
      </c>
      <c r="O1964" t="inlineStr">
        <is>
          <t>Não</t>
        </is>
      </c>
      <c r="P1964" t="inlineStr">
        <is>
          <t>1.350</t>
        </is>
      </c>
    </row>
    <row r="1965">
      <c r="A1965" t="inlineStr">
        <is>
          <t>Antes de 2026</t>
        </is>
      </c>
      <c r="B1965" t="inlineStr">
        <is>
          <t>Frete de venda</t>
        </is>
      </c>
      <c r="C1965" t="inlineStr">
        <is>
          <t>Frete de venda (para clientes)</t>
        </is>
      </c>
      <c r="D1965" t="inlineStr">
        <is>
          <t>CT-e</t>
        </is>
      </c>
      <c r="E1965" t="inlineStr">
        <is>
          <t>000002572</t>
        </is>
      </c>
      <c r="F1965" t="inlineStr">
        <is>
          <t>R&amp;R TRANSPORTE E LOGISTICA</t>
        </is>
      </c>
      <c r="G1965" s="27" t="n">
        <v>45538</v>
      </c>
      <c r="H1965" s="14" t="n">
        <v>37.5</v>
      </c>
      <c r="I1965" s="14" t="n">
        <v>0</v>
      </c>
      <c r="J1965" s="14" t="n">
        <v>0</v>
      </c>
      <c r="K1965" s="14" t="n">
        <v>0</v>
      </c>
      <c r="L1965" s="14" t="n">
        <v>0</v>
      </c>
      <c r="M1965" s="14">
        <f>IF(B1965="Frete de venda",0,(1-ISNUMBER(SEARCH("556",P1965)))*(I1965*VLOOKUP($B1965,Premissas!$A$4:$E$7,2,0)+J1965*VLOOKUP($B1965,Premissas!$A$4:$E$7,3,0))+K1965*VLOOKUP($B1965,Premissas!$A$4:$E$7,4,0)+L1965*VLOOKUP($B1965,Premissas!$A$4:$E$7,5,0))</f>
        <v/>
      </c>
      <c r="N1965" s="14">
        <f>H1965-M1965</f>
        <v/>
      </c>
      <c r="O1965" t="inlineStr">
        <is>
          <t>Não</t>
        </is>
      </c>
      <c r="P1965" t="inlineStr">
        <is>
          <t>1.350</t>
        </is>
      </c>
    </row>
    <row r="1966">
      <c r="A1966" t="inlineStr">
        <is>
          <t>Antes de 2026</t>
        </is>
      </c>
      <c r="B1966" t="inlineStr">
        <is>
          <t>Frete de venda</t>
        </is>
      </c>
      <c r="C1966" t="inlineStr">
        <is>
          <t>Frete de venda (para clientes)</t>
        </is>
      </c>
      <c r="D1966" t="inlineStr">
        <is>
          <t>CT-e</t>
        </is>
      </c>
      <c r="E1966" t="inlineStr">
        <is>
          <t>000002702</t>
        </is>
      </c>
      <c r="F1966" t="inlineStr">
        <is>
          <t>R&amp;R TRANSPORTE E LOGISTICA</t>
        </is>
      </c>
      <c r="G1966" s="27" t="n">
        <v>45560</v>
      </c>
      <c r="H1966" s="14" t="n">
        <v>62</v>
      </c>
      <c r="I1966" s="14" t="n">
        <v>0</v>
      </c>
      <c r="J1966" s="14" t="n">
        <v>0</v>
      </c>
      <c r="K1966" s="14" t="n">
        <v>0</v>
      </c>
      <c r="L1966" s="14" t="n">
        <v>0</v>
      </c>
      <c r="M1966" s="14">
        <f>IF(B1966="Frete de venda",0,(1-ISNUMBER(SEARCH("556",P1966)))*(I1966*VLOOKUP($B1966,Premissas!$A$4:$E$7,2,0)+J1966*VLOOKUP($B1966,Premissas!$A$4:$E$7,3,0))+K1966*VLOOKUP($B1966,Premissas!$A$4:$E$7,4,0)+L1966*VLOOKUP($B1966,Premissas!$A$4:$E$7,5,0))</f>
        <v/>
      </c>
      <c r="N1966" s="14">
        <f>H1966-M1966</f>
        <v/>
      </c>
      <c r="O1966" t="inlineStr">
        <is>
          <t>Não</t>
        </is>
      </c>
      <c r="P1966" t="inlineStr">
        <is>
          <t>1.350</t>
        </is>
      </c>
    </row>
    <row r="1967">
      <c r="A1967" t="inlineStr">
        <is>
          <t>Antes de 2026</t>
        </is>
      </c>
      <c r="B1967" t="inlineStr">
        <is>
          <t>Frete de venda</t>
        </is>
      </c>
      <c r="C1967" t="inlineStr">
        <is>
          <t>Frete de venda (para clientes)</t>
        </is>
      </c>
      <c r="D1967" t="inlineStr">
        <is>
          <t>CT-e</t>
        </is>
      </c>
      <c r="E1967" t="inlineStr">
        <is>
          <t>000002671</t>
        </is>
      </c>
      <c r="F1967" t="inlineStr">
        <is>
          <t>R&amp;R TRANSPORTE E LOGISTICA</t>
        </is>
      </c>
      <c r="G1967" s="27" t="n">
        <v>45551</v>
      </c>
      <c r="H1967" s="14" t="n">
        <v>700</v>
      </c>
      <c r="I1967" s="14" t="n">
        <v>0</v>
      </c>
      <c r="J1967" s="14" t="n">
        <v>0</v>
      </c>
      <c r="K1967" s="14" t="n">
        <v>0</v>
      </c>
      <c r="L1967" s="14" t="n">
        <v>0</v>
      </c>
      <c r="M1967" s="14">
        <f>IF(B1967="Frete de venda",0,(1-ISNUMBER(SEARCH("556",P1967)))*(I1967*VLOOKUP($B1967,Premissas!$A$4:$E$7,2,0)+J1967*VLOOKUP($B1967,Premissas!$A$4:$E$7,3,0))+K1967*VLOOKUP($B1967,Premissas!$A$4:$E$7,4,0)+L1967*VLOOKUP($B1967,Premissas!$A$4:$E$7,5,0))</f>
        <v/>
      </c>
      <c r="N1967" s="14">
        <f>H1967-M1967</f>
        <v/>
      </c>
      <c r="O1967" t="inlineStr">
        <is>
          <t>Não</t>
        </is>
      </c>
      <c r="P1967" t="inlineStr">
        <is>
          <t>1.350</t>
        </is>
      </c>
    </row>
    <row r="1968">
      <c r="A1968" t="inlineStr">
        <is>
          <t>Antes de 2026</t>
        </is>
      </c>
      <c r="B1968" t="inlineStr">
        <is>
          <t>Frete de venda</t>
        </is>
      </c>
      <c r="C1968" t="inlineStr">
        <is>
          <t>Frete de venda (para clientes)</t>
        </is>
      </c>
      <c r="D1968" t="inlineStr">
        <is>
          <t>CT-e</t>
        </is>
      </c>
      <c r="E1968" t="inlineStr">
        <is>
          <t>000002663</t>
        </is>
      </c>
      <c r="F1968" t="inlineStr">
        <is>
          <t>R&amp;R TRANSPORTE E LOGISTICA</t>
        </is>
      </c>
      <c r="G1968" s="27" t="n">
        <v>45549</v>
      </c>
      <c r="H1968" s="14" t="n">
        <v>275</v>
      </c>
      <c r="I1968" s="14" t="n">
        <v>0</v>
      </c>
      <c r="J1968" s="14" t="n">
        <v>0</v>
      </c>
      <c r="K1968" s="14" t="n">
        <v>0</v>
      </c>
      <c r="L1968" s="14" t="n">
        <v>0</v>
      </c>
      <c r="M1968" s="14">
        <f>IF(B1968="Frete de venda",0,(1-ISNUMBER(SEARCH("556",P1968)))*(I1968*VLOOKUP($B1968,Premissas!$A$4:$E$7,2,0)+J1968*VLOOKUP($B1968,Premissas!$A$4:$E$7,3,0))+K1968*VLOOKUP($B1968,Premissas!$A$4:$E$7,4,0)+L1968*VLOOKUP($B1968,Premissas!$A$4:$E$7,5,0))</f>
        <v/>
      </c>
      <c r="N1968" s="14">
        <f>H1968-M1968</f>
        <v/>
      </c>
      <c r="O1968" t="inlineStr">
        <is>
          <t>Não</t>
        </is>
      </c>
      <c r="P1968" t="inlineStr">
        <is>
          <t>1.350</t>
        </is>
      </c>
    </row>
    <row r="1969">
      <c r="A1969" t="inlineStr">
        <is>
          <t>Antes de 2026</t>
        </is>
      </c>
      <c r="B1969" t="inlineStr">
        <is>
          <t>Frete de venda</t>
        </is>
      </c>
      <c r="C1969" t="inlineStr">
        <is>
          <t>Frete de venda (para clientes)</t>
        </is>
      </c>
      <c r="D1969" t="inlineStr">
        <is>
          <t>CT-e</t>
        </is>
      </c>
      <c r="E1969" t="inlineStr">
        <is>
          <t>000002506</t>
        </is>
      </c>
      <c r="F1969" t="inlineStr">
        <is>
          <t>R&amp;R TRANSPORTE E LOGISTICA</t>
        </is>
      </c>
      <c r="G1969" s="27" t="n">
        <v>45520</v>
      </c>
      <c r="H1969" s="14" t="n">
        <v>50</v>
      </c>
      <c r="I1969" s="14" t="n">
        <v>0</v>
      </c>
      <c r="J1969" s="14" t="n">
        <v>0</v>
      </c>
      <c r="K1969" s="14" t="n">
        <v>0</v>
      </c>
      <c r="L1969" s="14" t="n">
        <v>0</v>
      </c>
      <c r="M1969" s="14">
        <f>IF(B1969="Frete de venda",0,(1-ISNUMBER(SEARCH("556",P1969)))*(I1969*VLOOKUP($B1969,Premissas!$A$4:$E$7,2,0)+J1969*VLOOKUP($B1969,Premissas!$A$4:$E$7,3,0))+K1969*VLOOKUP($B1969,Premissas!$A$4:$E$7,4,0)+L1969*VLOOKUP($B1969,Premissas!$A$4:$E$7,5,0))</f>
        <v/>
      </c>
      <c r="N1969" s="14">
        <f>H1969-M1969</f>
        <v/>
      </c>
      <c r="O1969" t="inlineStr">
        <is>
          <t>Não</t>
        </is>
      </c>
      <c r="P1969" t="inlineStr">
        <is>
          <t>1.350</t>
        </is>
      </c>
    </row>
    <row r="1970">
      <c r="A1970" t="inlineStr">
        <is>
          <t>Antes de 2026</t>
        </is>
      </c>
      <c r="B1970" t="inlineStr">
        <is>
          <t>Frete de venda</t>
        </is>
      </c>
      <c r="C1970" t="inlineStr">
        <is>
          <t>Frete de venda (para clientes)</t>
        </is>
      </c>
      <c r="D1970" t="inlineStr">
        <is>
          <t>CT-e</t>
        </is>
      </c>
      <c r="E1970" t="inlineStr">
        <is>
          <t>000002684</t>
        </is>
      </c>
      <c r="F1970" t="inlineStr">
        <is>
          <t>R&amp;R TRANSPORTE E LOGISTICA</t>
        </is>
      </c>
      <c r="G1970" s="27" t="n">
        <v>45555</v>
      </c>
      <c r="H1970" s="14" t="n">
        <v>184</v>
      </c>
      <c r="I1970" s="14" t="n">
        <v>0</v>
      </c>
      <c r="J1970" s="14" t="n">
        <v>0</v>
      </c>
      <c r="K1970" s="14" t="n">
        <v>0</v>
      </c>
      <c r="L1970" s="14" t="n">
        <v>0</v>
      </c>
      <c r="M1970" s="14">
        <f>IF(B1970="Frete de venda",0,(1-ISNUMBER(SEARCH("556",P1970)))*(I1970*VLOOKUP($B1970,Premissas!$A$4:$E$7,2,0)+J1970*VLOOKUP($B1970,Premissas!$A$4:$E$7,3,0))+K1970*VLOOKUP($B1970,Premissas!$A$4:$E$7,4,0)+L1970*VLOOKUP($B1970,Premissas!$A$4:$E$7,5,0))</f>
        <v/>
      </c>
      <c r="N1970" s="14">
        <f>H1970-M1970</f>
        <v/>
      </c>
      <c r="O1970" t="inlineStr">
        <is>
          <t>Não</t>
        </is>
      </c>
      <c r="P1970" t="inlineStr">
        <is>
          <t>1.350</t>
        </is>
      </c>
    </row>
    <row r="1971">
      <c r="A1971" t="inlineStr">
        <is>
          <t>Antes de 2026</t>
        </is>
      </c>
      <c r="B1971" t="inlineStr">
        <is>
          <t>Frete de venda</t>
        </is>
      </c>
      <c r="C1971" t="inlineStr">
        <is>
          <t>Frete de venda (para clientes)</t>
        </is>
      </c>
      <c r="D1971" t="inlineStr">
        <is>
          <t>CT-e</t>
        </is>
      </c>
      <c r="E1971" t="inlineStr">
        <is>
          <t>000000051</t>
        </is>
      </c>
      <c r="F1971" t="inlineStr">
        <is>
          <t>ADIL CARLOS DA SILVA</t>
        </is>
      </c>
      <c r="G1971" s="27" t="n">
        <v>45557</v>
      </c>
      <c r="H1971" s="14" t="n">
        <v>10</v>
      </c>
      <c r="I1971" s="14" t="n">
        <v>0</v>
      </c>
      <c r="J1971" s="14" t="n">
        <v>0</v>
      </c>
      <c r="K1971" s="14" t="n">
        <v>0</v>
      </c>
      <c r="L1971" s="14" t="n">
        <v>0</v>
      </c>
      <c r="M1971" s="14">
        <f>IF(B1971="Frete de venda",0,(1-ISNUMBER(SEARCH("556",P1971)))*(I1971*VLOOKUP($B1971,Premissas!$A$4:$E$7,2,0)+J1971*VLOOKUP($B1971,Premissas!$A$4:$E$7,3,0))+K1971*VLOOKUP($B1971,Premissas!$A$4:$E$7,4,0)+L1971*VLOOKUP($B1971,Premissas!$A$4:$E$7,5,0))</f>
        <v/>
      </c>
      <c r="N1971" s="14">
        <f>H1971-M1971</f>
        <v/>
      </c>
      <c r="O1971" t="inlineStr">
        <is>
          <t>Não</t>
        </is>
      </c>
      <c r="P1971" t="inlineStr">
        <is>
          <t>2.350</t>
        </is>
      </c>
    </row>
    <row r="1972">
      <c r="A1972" t="inlineStr">
        <is>
          <t>Antes de 2026</t>
        </is>
      </c>
      <c r="B1972" t="inlineStr">
        <is>
          <t>Frete de venda</t>
        </is>
      </c>
      <c r="C1972" t="inlineStr">
        <is>
          <t>Frete de venda (para clientes)</t>
        </is>
      </c>
      <c r="D1972" t="inlineStr">
        <is>
          <t>CT-e</t>
        </is>
      </c>
      <c r="E1972" t="inlineStr">
        <is>
          <t>000002722</t>
        </is>
      </c>
      <c r="F1972" t="inlineStr">
        <is>
          <t>R&amp;R TRANSPORTE E LOGISTICA</t>
        </is>
      </c>
      <c r="G1972" s="27" t="n">
        <v>45566</v>
      </c>
      <c r="H1972" s="14" t="n">
        <v>94</v>
      </c>
      <c r="I1972" s="14" t="n">
        <v>0</v>
      </c>
      <c r="J1972" s="14" t="n">
        <v>0</v>
      </c>
      <c r="K1972" s="14" t="n">
        <v>0</v>
      </c>
      <c r="L1972" s="14" t="n">
        <v>0</v>
      </c>
      <c r="M1972" s="14">
        <f>IF(B1972="Frete de venda",0,(1-ISNUMBER(SEARCH("556",P1972)))*(I1972*VLOOKUP($B1972,Premissas!$A$4:$E$7,2,0)+J1972*VLOOKUP($B1972,Premissas!$A$4:$E$7,3,0))+K1972*VLOOKUP($B1972,Premissas!$A$4:$E$7,4,0)+L1972*VLOOKUP($B1972,Premissas!$A$4:$E$7,5,0))</f>
        <v/>
      </c>
      <c r="N1972" s="14">
        <f>H1972-M1972</f>
        <v/>
      </c>
      <c r="O1972" t="inlineStr">
        <is>
          <t>Não</t>
        </is>
      </c>
      <c r="P1972" t="inlineStr">
        <is>
          <t>1.350</t>
        </is>
      </c>
    </row>
    <row r="1973">
      <c r="A1973" t="inlineStr">
        <is>
          <t>Antes de 2026</t>
        </is>
      </c>
      <c r="B1973" t="inlineStr">
        <is>
          <t>Frete de venda</t>
        </is>
      </c>
      <c r="C1973" t="inlineStr">
        <is>
          <t>Frete de venda (para clientes)</t>
        </is>
      </c>
      <c r="D1973" t="inlineStr">
        <is>
          <t>CT-e</t>
        </is>
      </c>
      <c r="E1973" t="inlineStr">
        <is>
          <t>000002444</t>
        </is>
      </c>
      <c r="F1973" t="inlineStr">
        <is>
          <t>R&amp;R TRANSPORTE E LOGISTICA</t>
        </is>
      </c>
      <c r="G1973" s="27" t="n">
        <v>45512</v>
      </c>
      <c r="H1973" s="14" t="n">
        <v>50</v>
      </c>
      <c r="I1973" s="14" t="n">
        <v>0</v>
      </c>
      <c r="J1973" s="14" t="n">
        <v>0</v>
      </c>
      <c r="K1973" s="14" t="n">
        <v>0</v>
      </c>
      <c r="L1973" s="14" t="n">
        <v>0</v>
      </c>
      <c r="M1973" s="14">
        <f>IF(B1973="Frete de venda",0,(1-ISNUMBER(SEARCH("556",P1973)))*(I1973*VLOOKUP($B1973,Premissas!$A$4:$E$7,2,0)+J1973*VLOOKUP($B1973,Premissas!$A$4:$E$7,3,0))+K1973*VLOOKUP($B1973,Premissas!$A$4:$E$7,4,0)+L1973*VLOOKUP($B1973,Premissas!$A$4:$E$7,5,0))</f>
        <v/>
      </c>
      <c r="N1973" s="14">
        <f>H1973-M1973</f>
        <v/>
      </c>
      <c r="O1973" t="inlineStr">
        <is>
          <t>Não</t>
        </is>
      </c>
      <c r="P1973" t="inlineStr">
        <is>
          <t>1.350</t>
        </is>
      </c>
    </row>
    <row r="1974">
      <c r="A1974" t="inlineStr">
        <is>
          <t>Antes de 2026</t>
        </is>
      </c>
      <c r="B1974" t="inlineStr">
        <is>
          <t>Frete de venda</t>
        </is>
      </c>
      <c r="C1974" t="inlineStr">
        <is>
          <t>Frete de venda (para clientes)</t>
        </is>
      </c>
      <c r="D1974" t="inlineStr">
        <is>
          <t>CT-e</t>
        </is>
      </c>
      <c r="E1974" t="inlineStr">
        <is>
          <t>000002545</t>
        </is>
      </c>
      <c r="F1974" t="inlineStr">
        <is>
          <t>R&amp;R TRANSPORTE E LOGISTICA</t>
        </is>
      </c>
      <c r="G1974" s="27" t="n">
        <v>45531</v>
      </c>
      <c r="H1974" s="14" t="n">
        <v>50</v>
      </c>
      <c r="I1974" s="14" t="n">
        <v>0</v>
      </c>
      <c r="J1974" s="14" t="n">
        <v>0</v>
      </c>
      <c r="K1974" s="14" t="n">
        <v>0</v>
      </c>
      <c r="L1974" s="14" t="n">
        <v>0</v>
      </c>
      <c r="M1974" s="14">
        <f>IF(B1974="Frete de venda",0,(1-ISNUMBER(SEARCH("556",P1974)))*(I1974*VLOOKUP($B1974,Premissas!$A$4:$E$7,2,0)+J1974*VLOOKUP($B1974,Premissas!$A$4:$E$7,3,0))+K1974*VLOOKUP($B1974,Premissas!$A$4:$E$7,4,0)+L1974*VLOOKUP($B1974,Premissas!$A$4:$E$7,5,0))</f>
        <v/>
      </c>
      <c r="N1974" s="14">
        <f>H1974-M1974</f>
        <v/>
      </c>
      <c r="O1974" t="inlineStr">
        <is>
          <t>Não</t>
        </is>
      </c>
      <c r="P1974" t="inlineStr">
        <is>
          <t>1.350</t>
        </is>
      </c>
    </row>
    <row r="1975">
      <c r="A1975" t="inlineStr">
        <is>
          <t>Antes de 2026</t>
        </is>
      </c>
      <c r="B1975" t="inlineStr">
        <is>
          <t>Frete de venda</t>
        </is>
      </c>
      <c r="C1975" t="inlineStr">
        <is>
          <t>Frete de venda (para clientes)</t>
        </is>
      </c>
      <c r="D1975" t="inlineStr">
        <is>
          <t>CT-e</t>
        </is>
      </c>
      <c r="E1975" t="inlineStr">
        <is>
          <t>000002866</t>
        </is>
      </c>
      <c r="F1975" t="inlineStr">
        <is>
          <t>R&amp;R TRANSPORTE E LOGISTICA</t>
        </is>
      </c>
      <c r="G1975" s="27" t="n">
        <v>45581</v>
      </c>
      <c r="H1975" s="14" t="n">
        <v>25</v>
      </c>
      <c r="I1975" s="14" t="n">
        <v>0</v>
      </c>
      <c r="J1975" s="14" t="n">
        <v>0</v>
      </c>
      <c r="K1975" s="14" t="n">
        <v>0</v>
      </c>
      <c r="L1975" s="14" t="n">
        <v>0</v>
      </c>
      <c r="M1975" s="14">
        <f>IF(B1975="Frete de venda",0,(1-ISNUMBER(SEARCH("556",P1975)))*(I1975*VLOOKUP($B1975,Premissas!$A$4:$E$7,2,0)+J1975*VLOOKUP($B1975,Premissas!$A$4:$E$7,3,0))+K1975*VLOOKUP($B1975,Premissas!$A$4:$E$7,4,0)+L1975*VLOOKUP($B1975,Premissas!$A$4:$E$7,5,0))</f>
        <v/>
      </c>
      <c r="N1975" s="14">
        <f>H1975-M1975</f>
        <v/>
      </c>
      <c r="O1975" t="inlineStr">
        <is>
          <t>Não</t>
        </is>
      </c>
      <c r="P1975" t="inlineStr">
        <is>
          <t>1.350</t>
        </is>
      </c>
    </row>
    <row r="1976">
      <c r="A1976" t="inlineStr">
        <is>
          <t>Antes de 2026</t>
        </is>
      </c>
      <c r="B1976" t="inlineStr">
        <is>
          <t>Frete de venda</t>
        </is>
      </c>
      <c r="C1976" t="inlineStr">
        <is>
          <t>Frete de venda (para clientes)</t>
        </is>
      </c>
      <c r="D1976" t="inlineStr">
        <is>
          <t>CT-e</t>
        </is>
      </c>
      <c r="E1976" t="inlineStr">
        <is>
          <t>000002704</t>
        </is>
      </c>
      <c r="F1976" t="inlineStr">
        <is>
          <t>R&amp;R TRANSPORTE E LOGISTICA</t>
        </is>
      </c>
      <c r="G1976" s="27" t="n">
        <v>45560</v>
      </c>
      <c r="H1976" s="14" t="n">
        <v>37</v>
      </c>
      <c r="I1976" s="14" t="n">
        <v>0</v>
      </c>
      <c r="J1976" s="14" t="n">
        <v>0</v>
      </c>
      <c r="K1976" s="14" t="n">
        <v>0</v>
      </c>
      <c r="L1976" s="14" t="n">
        <v>0</v>
      </c>
      <c r="M1976" s="14">
        <f>IF(B1976="Frete de venda",0,(1-ISNUMBER(SEARCH("556",P1976)))*(I1976*VLOOKUP($B1976,Premissas!$A$4:$E$7,2,0)+J1976*VLOOKUP($B1976,Premissas!$A$4:$E$7,3,0))+K1976*VLOOKUP($B1976,Premissas!$A$4:$E$7,4,0)+L1976*VLOOKUP($B1976,Premissas!$A$4:$E$7,5,0))</f>
        <v/>
      </c>
      <c r="N1976" s="14">
        <f>H1976-M1976</f>
        <v/>
      </c>
      <c r="O1976" t="inlineStr">
        <is>
          <t>Não</t>
        </is>
      </c>
      <c r="P1976" t="inlineStr">
        <is>
          <t>1.350</t>
        </is>
      </c>
    </row>
    <row r="1977">
      <c r="A1977" t="inlineStr">
        <is>
          <t>Antes de 2026</t>
        </is>
      </c>
      <c r="B1977" t="inlineStr">
        <is>
          <t>Frete de venda</t>
        </is>
      </c>
      <c r="C1977" t="inlineStr">
        <is>
          <t>Frete de venda (para clientes)</t>
        </is>
      </c>
      <c r="D1977" t="inlineStr">
        <is>
          <t>CT-e</t>
        </is>
      </c>
      <c r="E1977" t="inlineStr">
        <is>
          <t>000002675</t>
        </is>
      </c>
      <c r="F1977" t="inlineStr">
        <is>
          <t>R&amp;R TRANSPORTE E LOGISTICA</t>
        </is>
      </c>
      <c r="G1977" s="27" t="n">
        <v>45552</v>
      </c>
      <c r="H1977" s="14" t="n">
        <v>1053</v>
      </c>
      <c r="I1977" s="14" t="n">
        <v>0</v>
      </c>
      <c r="J1977" s="14" t="n">
        <v>0</v>
      </c>
      <c r="K1977" s="14" t="n">
        <v>0</v>
      </c>
      <c r="L1977" s="14" t="n">
        <v>0</v>
      </c>
      <c r="M1977" s="14">
        <f>IF(B1977="Frete de venda",0,(1-ISNUMBER(SEARCH("556",P1977)))*(I1977*VLOOKUP($B1977,Premissas!$A$4:$E$7,2,0)+J1977*VLOOKUP($B1977,Premissas!$A$4:$E$7,3,0))+K1977*VLOOKUP($B1977,Premissas!$A$4:$E$7,4,0)+L1977*VLOOKUP($B1977,Premissas!$A$4:$E$7,5,0))</f>
        <v/>
      </c>
      <c r="N1977" s="14">
        <f>H1977-M1977</f>
        <v/>
      </c>
      <c r="O1977" t="inlineStr">
        <is>
          <t>Não</t>
        </is>
      </c>
      <c r="P1977" t="inlineStr">
        <is>
          <t>1.350</t>
        </is>
      </c>
    </row>
    <row r="1978">
      <c r="A1978" t="inlineStr">
        <is>
          <t>Antes de 2026</t>
        </is>
      </c>
      <c r="B1978" t="inlineStr">
        <is>
          <t>Frete de venda</t>
        </is>
      </c>
      <c r="C1978" t="inlineStr">
        <is>
          <t>Frete de venda (para clientes)</t>
        </is>
      </c>
      <c r="D1978" t="inlineStr">
        <is>
          <t>CT-e</t>
        </is>
      </c>
      <c r="E1978" t="inlineStr">
        <is>
          <t>000002602</t>
        </is>
      </c>
      <c r="F1978" t="inlineStr">
        <is>
          <t>R&amp;R TRANSPORTE E LOGISTICA</t>
        </is>
      </c>
      <c r="G1978" s="27" t="n">
        <v>45541</v>
      </c>
      <c r="H1978" s="14" t="n">
        <v>16</v>
      </c>
      <c r="I1978" s="14" t="n">
        <v>0</v>
      </c>
      <c r="J1978" s="14" t="n">
        <v>0</v>
      </c>
      <c r="K1978" s="14" t="n">
        <v>0</v>
      </c>
      <c r="L1978" s="14" t="n">
        <v>0</v>
      </c>
      <c r="M1978" s="14">
        <f>IF(B1978="Frete de venda",0,(1-ISNUMBER(SEARCH("556",P1978)))*(I1978*VLOOKUP($B1978,Premissas!$A$4:$E$7,2,0)+J1978*VLOOKUP($B1978,Premissas!$A$4:$E$7,3,0))+K1978*VLOOKUP($B1978,Premissas!$A$4:$E$7,4,0)+L1978*VLOOKUP($B1978,Premissas!$A$4:$E$7,5,0))</f>
        <v/>
      </c>
      <c r="N1978" s="14">
        <f>H1978-M1978</f>
        <v/>
      </c>
      <c r="O1978" t="inlineStr">
        <is>
          <t>Não</t>
        </is>
      </c>
      <c r="P1978" t="inlineStr">
        <is>
          <t>1.350</t>
        </is>
      </c>
    </row>
    <row r="1979">
      <c r="A1979" t="inlineStr">
        <is>
          <t>Antes de 2026</t>
        </is>
      </c>
      <c r="B1979" t="inlineStr">
        <is>
          <t>Frete de venda</t>
        </is>
      </c>
      <c r="C1979" t="inlineStr">
        <is>
          <t>Frete de venda (para clientes)</t>
        </is>
      </c>
      <c r="D1979" t="inlineStr">
        <is>
          <t>CT-e</t>
        </is>
      </c>
      <c r="E1979" t="inlineStr">
        <is>
          <t>000000052</t>
        </is>
      </c>
      <c r="F1979" t="inlineStr">
        <is>
          <t>ADIL CARLOS DA SILVA</t>
        </is>
      </c>
      <c r="G1979" s="27" t="n">
        <v>45557</v>
      </c>
      <c r="H1979" s="14" t="n">
        <v>10</v>
      </c>
      <c r="I1979" s="14" t="n">
        <v>0</v>
      </c>
      <c r="J1979" s="14" t="n">
        <v>0</v>
      </c>
      <c r="K1979" s="14" t="n">
        <v>0</v>
      </c>
      <c r="L1979" s="14" t="n">
        <v>0</v>
      </c>
      <c r="M1979" s="14">
        <f>IF(B1979="Frete de venda",0,(1-ISNUMBER(SEARCH("556",P1979)))*(I1979*VLOOKUP($B1979,Premissas!$A$4:$E$7,2,0)+J1979*VLOOKUP($B1979,Premissas!$A$4:$E$7,3,0))+K1979*VLOOKUP($B1979,Premissas!$A$4:$E$7,4,0)+L1979*VLOOKUP($B1979,Premissas!$A$4:$E$7,5,0))</f>
        <v/>
      </c>
      <c r="N1979" s="14">
        <f>H1979-M1979</f>
        <v/>
      </c>
      <c r="O1979" t="inlineStr">
        <is>
          <t>Não</t>
        </is>
      </c>
      <c r="P1979" t="inlineStr">
        <is>
          <t>2.350</t>
        </is>
      </c>
    </row>
    <row r="1980">
      <c r="A1980" t="inlineStr">
        <is>
          <t>Antes de 2026</t>
        </is>
      </c>
      <c r="B1980" t="inlineStr">
        <is>
          <t>Frete de venda</t>
        </is>
      </c>
      <c r="C1980" t="inlineStr">
        <is>
          <t>Frete de venda (para clientes)</t>
        </is>
      </c>
      <c r="D1980" t="inlineStr">
        <is>
          <t>CT-e</t>
        </is>
      </c>
      <c r="E1980" t="inlineStr">
        <is>
          <t>000002638</t>
        </is>
      </c>
      <c r="F1980" t="inlineStr">
        <is>
          <t>R&amp;R TRANSPORTE E LOGISTICA</t>
        </is>
      </c>
      <c r="G1980" s="27" t="n">
        <v>45545</v>
      </c>
      <c r="H1980" s="14" t="n">
        <v>23</v>
      </c>
      <c r="I1980" s="14" t="n">
        <v>0</v>
      </c>
      <c r="J1980" s="14" t="n">
        <v>0</v>
      </c>
      <c r="K1980" s="14" t="n">
        <v>0</v>
      </c>
      <c r="L1980" s="14" t="n">
        <v>0</v>
      </c>
      <c r="M1980" s="14">
        <f>IF(B1980="Frete de venda",0,(1-ISNUMBER(SEARCH("556",P1980)))*(I1980*VLOOKUP($B1980,Premissas!$A$4:$E$7,2,0)+J1980*VLOOKUP($B1980,Premissas!$A$4:$E$7,3,0))+K1980*VLOOKUP($B1980,Premissas!$A$4:$E$7,4,0)+L1980*VLOOKUP($B1980,Premissas!$A$4:$E$7,5,0))</f>
        <v/>
      </c>
      <c r="N1980" s="14">
        <f>H1980-M1980</f>
        <v/>
      </c>
      <c r="O1980" t="inlineStr">
        <is>
          <t>Não</t>
        </is>
      </c>
      <c r="P1980" t="inlineStr">
        <is>
          <t>1.350</t>
        </is>
      </c>
    </row>
    <row r="1981">
      <c r="A1981" t="inlineStr">
        <is>
          <t>Antes de 2026</t>
        </is>
      </c>
      <c r="B1981" t="inlineStr">
        <is>
          <t>Frete de venda</t>
        </is>
      </c>
      <c r="C1981" t="inlineStr">
        <is>
          <t>Frete de venda (para clientes)</t>
        </is>
      </c>
      <c r="D1981" t="inlineStr">
        <is>
          <t>CT-e</t>
        </is>
      </c>
      <c r="E1981" t="inlineStr">
        <is>
          <t>000002723</t>
        </is>
      </c>
      <c r="F1981" t="inlineStr">
        <is>
          <t>R&amp;R TRANSPORTE E LOGISTICA</t>
        </is>
      </c>
      <c r="G1981" s="27" t="n">
        <v>45566</v>
      </c>
      <c r="H1981" s="14" t="n">
        <v>46</v>
      </c>
      <c r="I1981" s="14" t="n">
        <v>0</v>
      </c>
      <c r="J1981" s="14" t="n">
        <v>0</v>
      </c>
      <c r="K1981" s="14" t="n">
        <v>0</v>
      </c>
      <c r="L1981" s="14" t="n">
        <v>0</v>
      </c>
      <c r="M1981" s="14">
        <f>IF(B1981="Frete de venda",0,(1-ISNUMBER(SEARCH("556",P1981)))*(I1981*VLOOKUP($B1981,Premissas!$A$4:$E$7,2,0)+J1981*VLOOKUP($B1981,Premissas!$A$4:$E$7,3,0))+K1981*VLOOKUP($B1981,Premissas!$A$4:$E$7,4,0)+L1981*VLOOKUP($B1981,Premissas!$A$4:$E$7,5,0))</f>
        <v/>
      </c>
      <c r="N1981" s="14">
        <f>H1981-M1981</f>
        <v/>
      </c>
      <c r="O1981" t="inlineStr">
        <is>
          <t>Não</t>
        </is>
      </c>
      <c r="P1981" t="inlineStr">
        <is>
          <t>1.350</t>
        </is>
      </c>
    </row>
    <row r="1982">
      <c r="A1982" t="inlineStr">
        <is>
          <t>Antes de 2026</t>
        </is>
      </c>
      <c r="B1982" t="inlineStr">
        <is>
          <t>Frete de venda</t>
        </is>
      </c>
      <c r="C1982" t="inlineStr">
        <is>
          <t>Frete de venda (para clientes)</t>
        </is>
      </c>
      <c r="D1982" t="inlineStr">
        <is>
          <t>CT-e</t>
        </is>
      </c>
      <c r="E1982" t="inlineStr">
        <is>
          <t>000002446</t>
        </is>
      </c>
      <c r="F1982" t="inlineStr">
        <is>
          <t>R&amp;R TRANSPORTE E LOGISTICA</t>
        </is>
      </c>
      <c r="G1982" s="27" t="n">
        <v>45512</v>
      </c>
      <c r="H1982" s="14" t="n">
        <v>100</v>
      </c>
      <c r="I1982" s="14" t="n">
        <v>0</v>
      </c>
      <c r="J1982" s="14" t="n">
        <v>0</v>
      </c>
      <c r="K1982" s="14" t="n">
        <v>0</v>
      </c>
      <c r="L1982" s="14" t="n">
        <v>0</v>
      </c>
      <c r="M1982" s="14">
        <f>IF(B1982="Frete de venda",0,(1-ISNUMBER(SEARCH("556",P1982)))*(I1982*VLOOKUP($B1982,Premissas!$A$4:$E$7,2,0)+J1982*VLOOKUP($B1982,Premissas!$A$4:$E$7,3,0))+K1982*VLOOKUP($B1982,Premissas!$A$4:$E$7,4,0)+L1982*VLOOKUP($B1982,Premissas!$A$4:$E$7,5,0))</f>
        <v/>
      </c>
      <c r="N1982" s="14">
        <f>H1982-M1982</f>
        <v/>
      </c>
      <c r="O1982" t="inlineStr">
        <is>
          <t>Não</t>
        </is>
      </c>
      <c r="P1982" t="inlineStr">
        <is>
          <t>1.350</t>
        </is>
      </c>
    </row>
    <row r="1983">
      <c r="A1983" t="inlineStr">
        <is>
          <t>Antes de 2026</t>
        </is>
      </c>
      <c r="B1983" t="inlineStr">
        <is>
          <t>Frete de venda</t>
        </is>
      </c>
      <c r="C1983" t="inlineStr">
        <is>
          <t>Frete de venda (para clientes)</t>
        </is>
      </c>
      <c r="D1983" t="inlineStr">
        <is>
          <t>CT-e</t>
        </is>
      </c>
      <c r="E1983" t="inlineStr">
        <is>
          <t>000002876</t>
        </is>
      </c>
      <c r="F1983" t="inlineStr">
        <is>
          <t>R&amp;R TRANSPORTE E LOGISTICA</t>
        </is>
      </c>
      <c r="G1983" s="27" t="n">
        <v>45581</v>
      </c>
      <c r="H1983" s="14" t="n">
        <v>230</v>
      </c>
      <c r="I1983" s="14" t="n">
        <v>0</v>
      </c>
      <c r="J1983" s="14" t="n">
        <v>0</v>
      </c>
      <c r="K1983" s="14" t="n">
        <v>0</v>
      </c>
      <c r="L1983" s="14" t="n">
        <v>0</v>
      </c>
      <c r="M1983" s="14">
        <f>IF(B1983="Frete de venda",0,(1-ISNUMBER(SEARCH("556",P1983)))*(I1983*VLOOKUP($B1983,Premissas!$A$4:$E$7,2,0)+J1983*VLOOKUP($B1983,Premissas!$A$4:$E$7,3,0))+K1983*VLOOKUP($B1983,Premissas!$A$4:$E$7,4,0)+L1983*VLOOKUP($B1983,Premissas!$A$4:$E$7,5,0))</f>
        <v/>
      </c>
      <c r="N1983" s="14">
        <f>H1983-M1983</f>
        <v/>
      </c>
      <c r="O1983" t="inlineStr">
        <is>
          <t>Não</t>
        </is>
      </c>
      <c r="P1983" t="inlineStr">
        <is>
          <t>1.350</t>
        </is>
      </c>
    </row>
    <row r="1984">
      <c r="A1984" t="inlineStr">
        <is>
          <t>Antes de 2026</t>
        </is>
      </c>
      <c r="B1984" t="inlineStr">
        <is>
          <t>Frete de venda</t>
        </is>
      </c>
      <c r="C1984" t="inlineStr">
        <is>
          <t>Frete de venda (para clientes)</t>
        </is>
      </c>
      <c r="D1984" t="inlineStr">
        <is>
          <t>CT-e</t>
        </is>
      </c>
      <c r="E1984" t="inlineStr">
        <is>
          <t>000003906</t>
        </is>
      </c>
      <c r="F1984" t="inlineStr">
        <is>
          <t>R&amp;R TRANSPORTE E LOGISTICA</t>
        </is>
      </c>
      <c r="G1984" s="27" t="n">
        <v>45741</v>
      </c>
      <c r="H1984" s="14" t="n">
        <v>33.1</v>
      </c>
      <c r="I1984" s="14" t="n">
        <v>0</v>
      </c>
      <c r="J1984" s="14" t="n">
        <v>0</v>
      </c>
      <c r="K1984" s="14" t="n">
        <v>0</v>
      </c>
      <c r="L1984" s="14" t="n">
        <v>0</v>
      </c>
      <c r="M1984" s="14">
        <f>IF(B1984="Frete de venda",0,(1-ISNUMBER(SEARCH("556",P1984)))*(I1984*VLOOKUP($B1984,Premissas!$A$4:$E$7,2,0)+J1984*VLOOKUP($B1984,Premissas!$A$4:$E$7,3,0))+K1984*VLOOKUP($B1984,Premissas!$A$4:$E$7,4,0)+L1984*VLOOKUP($B1984,Premissas!$A$4:$E$7,5,0))</f>
        <v/>
      </c>
      <c r="N1984" s="14">
        <f>H1984-M1984</f>
        <v/>
      </c>
      <c r="O1984" t="inlineStr">
        <is>
          <t>Não</t>
        </is>
      </c>
      <c r="P1984" t="inlineStr">
        <is>
          <t>1.350</t>
        </is>
      </c>
    </row>
    <row r="1985">
      <c r="A1985" t="inlineStr">
        <is>
          <t>Antes de 2026</t>
        </is>
      </c>
      <c r="B1985" t="inlineStr">
        <is>
          <t>Frete de venda</t>
        </is>
      </c>
      <c r="C1985" t="inlineStr">
        <is>
          <t>Frete de venda (para clientes)</t>
        </is>
      </c>
      <c r="D1985" t="inlineStr">
        <is>
          <t>CT-e</t>
        </is>
      </c>
      <c r="E1985" t="inlineStr">
        <is>
          <t>000003949</t>
        </is>
      </c>
      <c r="F1985" t="inlineStr">
        <is>
          <t>R&amp;R TRANSPORTE E LOGISTICA</t>
        </is>
      </c>
      <c r="G1985" s="27" t="n">
        <v>45745</v>
      </c>
      <c r="H1985" s="14" t="n">
        <v>20</v>
      </c>
      <c r="I1985" s="14" t="n">
        <v>0</v>
      </c>
      <c r="J1985" s="14" t="n">
        <v>0</v>
      </c>
      <c r="K1985" s="14" t="n">
        <v>0</v>
      </c>
      <c r="L1985" s="14" t="n">
        <v>0</v>
      </c>
      <c r="M1985" s="14">
        <f>IF(B1985="Frete de venda",0,(1-ISNUMBER(SEARCH("556",P1985)))*(I1985*VLOOKUP($B1985,Premissas!$A$4:$E$7,2,0)+J1985*VLOOKUP($B1985,Premissas!$A$4:$E$7,3,0))+K1985*VLOOKUP($B1985,Premissas!$A$4:$E$7,4,0)+L1985*VLOOKUP($B1985,Premissas!$A$4:$E$7,5,0))</f>
        <v/>
      </c>
      <c r="N1985" s="14">
        <f>H1985-M1985</f>
        <v/>
      </c>
      <c r="O1985" t="inlineStr">
        <is>
          <t>Não</t>
        </is>
      </c>
      <c r="P1985" t="inlineStr">
        <is>
          <t>1.350</t>
        </is>
      </c>
    </row>
    <row r="1986">
      <c r="A1986" t="inlineStr">
        <is>
          <t>Antes de 2026</t>
        </is>
      </c>
      <c r="B1986" t="inlineStr">
        <is>
          <t>Frete de venda</t>
        </is>
      </c>
      <c r="C1986" t="inlineStr">
        <is>
          <t>Frete de venda (para clientes)</t>
        </is>
      </c>
      <c r="D1986" t="inlineStr">
        <is>
          <t>CT-e</t>
        </is>
      </c>
      <c r="E1986" t="inlineStr">
        <is>
          <t>000003911</t>
        </is>
      </c>
      <c r="F1986" t="inlineStr">
        <is>
          <t>R&amp;R TRANSPORTE E LOGISTICA</t>
        </is>
      </c>
      <c r="G1986" s="27" t="n">
        <v>45741</v>
      </c>
      <c r="H1986" s="14" t="n">
        <v>161.01</v>
      </c>
      <c r="I1986" s="14" t="n">
        <v>0</v>
      </c>
      <c r="J1986" s="14" t="n">
        <v>0</v>
      </c>
      <c r="K1986" s="14" t="n">
        <v>0</v>
      </c>
      <c r="L1986" s="14" t="n">
        <v>0</v>
      </c>
      <c r="M1986" s="14">
        <f>IF(B1986="Frete de venda",0,(1-ISNUMBER(SEARCH("556",P1986)))*(I1986*VLOOKUP($B1986,Premissas!$A$4:$E$7,2,0)+J1986*VLOOKUP($B1986,Premissas!$A$4:$E$7,3,0))+K1986*VLOOKUP($B1986,Premissas!$A$4:$E$7,4,0)+L1986*VLOOKUP($B1986,Premissas!$A$4:$E$7,5,0))</f>
        <v/>
      </c>
      <c r="N1986" s="14">
        <f>H1986-M1986</f>
        <v/>
      </c>
      <c r="O1986" t="inlineStr">
        <is>
          <t>Não</t>
        </is>
      </c>
      <c r="P1986" t="inlineStr">
        <is>
          <t>1.350</t>
        </is>
      </c>
    </row>
    <row r="1987">
      <c r="A1987" t="inlineStr">
        <is>
          <t>Antes de 2026</t>
        </is>
      </c>
      <c r="B1987" t="inlineStr">
        <is>
          <t>Frete de venda</t>
        </is>
      </c>
      <c r="C1987" t="inlineStr">
        <is>
          <t>Frete de venda (para clientes)</t>
        </is>
      </c>
      <c r="D1987" t="inlineStr">
        <is>
          <t>CT-e</t>
        </is>
      </c>
      <c r="E1987" t="inlineStr">
        <is>
          <t>000003951</t>
        </is>
      </c>
      <c r="F1987" t="inlineStr">
        <is>
          <t>R&amp;R TRANSPORTE E LOGISTICA</t>
        </is>
      </c>
      <c r="G1987" s="27" t="n">
        <v>45745</v>
      </c>
      <c r="H1987" s="14" t="n">
        <v>20</v>
      </c>
      <c r="I1987" s="14" t="n">
        <v>0</v>
      </c>
      <c r="J1987" s="14" t="n">
        <v>0</v>
      </c>
      <c r="K1987" s="14" t="n">
        <v>0</v>
      </c>
      <c r="L1987" s="14" t="n">
        <v>0</v>
      </c>
      <c r="M1987" s="14">
        <f>IF(B1987="Frete de venda",0,(1-ISNUMBER(SEARCH("556",P1987)))*(I1987*VLOOKUP($B1987,Premissas!$A$4:$E$7,2,0)+J1987*VLOOKUP($B1987,Premissas!$A$4:$E$7,3,0))+K1987*VLOOKUP($B1987,Premissas!$A$4:$E$7,4,0)+L1987*VLOOKUP($B1987,Premissas!$A$4:$E$7,5,0))</f>
        <v/>
      </c>
      <c r="N1987" s="14">
        <f>H1987-M1987</f>
        <v/>
      </c>
      <c r="O1987" t="inlineStr">
        <is>
          <t>Não</t>
        </is>
      </c>
      <c r="P1987" t="inlineStr">
        <is>
          <t>1.350</t>
        </is>
      </c>
    </row>
    <row r="1988">
      <c r="A1988" t="inlineStr">
        <is>
          <t>Antes de 2026</t>
        </is>
      </c>
      <c r="B1988" t="inlineStr">
        <is>
          <t>Frete de venda</t>
        </is>
      </c>
      <c r="C1988" t="inlineStr">
        <is>
          <t>Frete de venda (para clientes)</t>
        </is>
      </c>
      <c r="D1988" t="inlineStr">
        <is>
          <t>CT-e</t>
        </is>
      </c>
      <c r="E1988" t="inlineStr">
        <is>
          <t>000003952</t>
        </is>
      </c>
      <c r="F1988" t="inlineStr">
        <is>
          <t>R&amp;R TRANSPORTE E LOGISTICA</t>
        </is>
      </c>
      <c r="G1988" s="27" t="n">
        <v>45745</v>
      </c>
      <c r="H1988" s="14" t="n">
        <v>20</v>
      </c>
      <c r="I1988" s="14" t="n">
        <v>0</v>
      </c>
      <c r="J1988" s="14" t="n">
        <v>0</v>
      </c>
      <c r="K1988" s="14" t="n">
        <v>0</v>
      </c>
      <c r="L1988" s="14" t="n">
        <v>0</v>
      </c>
      <c r="M1988" s="14">
        <f>IF(B1988="Frete de venda",0,(1-ISNUMBER(SEARCH("556",P1988)))*(I1988*VLOOKUP($B1988,Premissas!$A$4:$E$7,2,0)+J1988*VLOOKUP($B1988,Premissas!$A$4:$E$7,3,0))+K1988*VLOOKUP($B1988,Premissas!$A$4:$E$7,4,0)+L1988*VLOOKUP($B1988,Premissas!$A$4:$E$7,5,0))</f>
        <v/>
      </c>
      <c r="N1988" s="14">
        <f>H1988-M1988</f>
        <v/>
      </c>
      <c r="O1988" t="inlineStr">
        <is>
          <t>Não</t>
        </is>
      </c>
      <c r="P1988" t="inlineStr">
        <is>
          <t>1.350</t>
        </is>
      </c>
    </row>
    <row r="1989">
      <c r="A1989" t="inlineStr">
        <is>
          <t>Antes de 2026</t>
        </is>
      </c>
      <c r="B1989" t="inlineStr">
        <is>
          <t>Frete de venda</t>
        </is>
      </c>
      <c r="C1989" t="inlineStr">
        <is>
          <t>Frete de venda (para clientes)</t>
        </is>
      </c>
      <c r="D1989" t="inlineStr">
        <is>
          <t>CT-e</t>
        </is>
      </c>
      <c r="E1989" t="inlineStr">
        <is>
          <t>000003950</t>
        </is>
      </c>
      <c r="F1989" t="inlineStr">
        <is>
          <t>R&amp;R TRANSPORTE E LOGISTICA</t>
        </is>
      </c>
      <c r="G1989" s="27" t="n">
        <v>45745</v>
      </c>
      <c r="H1989" s="14" t="n">
        <v>20</v>
      </c>
      <c r="I1989" s="14" t="n">
        <v>0</v>
      </c>
      <c r="J1989" s="14" t="n">
        <v>0</v>
      </c>
      <c r="K1989" s="14" t="n">
        <v>0</v>
      </c>
      <c r="L1989" s="14" t="n">
        <v>0</v>
      </c>
      <c r="M1989" s="14">
        <f>IF(B1989="Frete de venda",0,(1-ISNUMBER(SEARCH("556",P1989)))*(I1989*VLOOKUP($B1989,Premissas!$A$4:$E$7,2,0)+J1989*VLOOKUP($B1989,Premissas!$A$4:$E$7,3,0))+K1989*VLOOKUP($B1989,Premissas!$A$4:$E$7,4,0)+L1989*VLOOKUP($B1989,Premissas!$A$4:$E$7,5,0))</f>
        <v/>
      </c>
      <c r="N1989" s="14">
        <f>H1989-M1989</f>
        <v/>
      </c>
      <c r="O1989" t="inlineStr">
        <is>
          <t>Não</t>
        </is>
      </c>
      <c r="P1989" t="inlineStr">
        <is>
          <t>1.350</t>
        </is>
      </c>
    </row>
    <row r="1990">
      <c r="A1990" t="inlineStr">
        <is>
          <t>Antes de 2026</t>
        </is>
      </c>
      <c r="B1990" t="inlineStr">
        <is>
          <t>Frete de venda</t>
        </is>
      </c>
      <c r="C1990" t="inlineStr">
        <is>
          <t>Frete de venda (para clientes)</t>
        </is>
      </c>
      <c r="D1990" t="inlineStr">
        <is>
          <t>CT-e</t>
        </is>
      </c>
      <c r="E1990" t="inlineStr">
        <is>
          <t>000003947</t>
        </is>
      </c>
      <c r="F1990" t="inlineStr">
        <is>
          <t>R&amp;R TRANSPORTE E LOGISTICA</t>
        </is>
      </c>
      <c r="G1990" s="27" t="n">
        <v>45745</v>
      </c>
      <c r="H1990" s="14" t="n">
        <v>20</v>
      </c>
      <c r="I1990" s="14" t="n">
        <v>0</v>
      </c>
      <c r="J1990" s="14" t="n">
        <v>0</v>
      </c>
      <c r="K1990" s="14" t="n">
        <v>0</v>
      </c>
      <c r="L1990" s="14" t="n">
        <v>0</v>
      </c>
      <c r="M1990" s="14">
        <f>IF(B1990="Frete de venda",0,(1-ISNUMBER(SEARCH("556",P1990)))*(I1990*VLOOKUP($B1990,Premissas!$A$4:$E$7,2,0)+J1990*VLOOKUP($B1990,Premissas!$A$4:$E$7,3,0))+K1990*VLOOKUP($B1990,Premissas!$A$4:$E$7,4,0)+L1990*VLOOKUP($B1990,Premissas!$A$4:$E$7,5,0))</f>
        <v/>
      </c>
      <c r="N1990" s="14">
        <f>H1990-M1990</f>
        <v/>
      </c>
      <c r="O1990" t="inlineStr">
        <is>
          <t>Não</t>
        </is>
      </c>
      <c r="P1990" t="inlineStr">
        <is>
          <t>1.350</t>
        </is>
      </c>
    </row>
    <row r="1991">
      <c r="A1991" t="inlineStr">
        <is>
          <t>Antes de 2026</t>
        </is>
      </c>
      <c r="B1991" t="inlineStr">
        <is>
          <t>Frete de venda</t>
        </is>
      </c>
      <c r="C1991" t="inlineStr">
        <is>
          <t>Frete de venda (para clientes)</t>
        </is>
      </c>
      <c r="D1991" t="inlineStr">
        <is>
          <t>CT-e</t>
        </is>
      </c>
      <c r="E1991" t="inlineStr">
        <is>
          <t>000003909</t>
        </is>
      </c>
      <c r="F1991" t="inlineStr">
        <is>
          <t>R&amp;R TRANSPORTE E LOGISTICA</t>
        </is>
      </c>
      <c r="G1991" s="27" t="n">
        <v>45741</v>
      </c>
      <c r="H1991" s="14" t="n">
        <v>33.49</v>
      </c>
      <c r="I1991" s="14" t="n">
        <v>0</v>
      </c>
      <c r="J1991" s="14" t="n">
        <v>0</v>
      </c>
      <c r="K1991" s="14" t="n">
        <v>0</v>
      </c>
      <c r="L1991" s="14" t="n">
        <v>0</v>
      </c>
      <c r="M1991" s="14">
        <f>IF(B1991="Frete de venda",0,(1-ISNUMBER(SEARCH("556",P1991)))*(I1991*VLOOKUP($B1991,Premissas!$A$4:$E$7,2,0)+J1991*VLOOKUP($B1991,Premissas!$A$4:$E$7,3,0))+K1991*VLOOKUP($B1991,Premissas!$A$4:$E$7,4,0)+L1991*VLOOKUP($B1991,Premissas!$A$4:$E$7,5,0))</f>
        <v/>
      </c>
      <c r="N1991" s="14">
        <f>H1991-M1991</f>
        <v/>
      </c>
      <c r="O1991" t="inlineStr">
        <is>
          <t>Não</t>
        </is>
      </c>
      <c r="P1991" t="inlineStr">
        <is>
          <t>1.350</t>
        </is>
      </c>
    </row>
    <row r="1992">
      <c r="A1992" t="inlineStr">
        <is>
          <t>Antes de 2026</t>
        </is>
      </c>
      <c r="B1992" t="inlineStr">
        <is>
          <t>Frete de venda</t>
        </is>
      </c>
      <c r="C1992" t="inlineStr">
        <is>
          <t>Frete de venda (para clientes)</t>
        </is>
      </c>
      <c r="D1992" t="inlineStr">
        <is>
          <t>CT-e</t>
        </is>
      </c>
      <c r="E1992" t="inlineStr">
        <is>
          <t>000003899</t>
        </is>
      </c>
      <c r="F1992" t="inlineStr">
        <is>
          <t>R&amp;R TRANSPORTE E LOGISTICA</t>
        </is>
      </c>
      <c r="G1992" s="27" t="n">
        <v>45740</v>
      </c>
      <c r="H1992" s="14" t="n">
        <v>45.36</v>
      </c>
      <c r="I1992" s="14" t="n">
        <v>0</v>
      </c>
      <c r="J1992" s="14" t="n">
        <v>0</v>
      </c>
      <c r="K1992" s="14" t="n">
        <v>0</v>
      </c>
      <c r="L1992" s="14" t="n">
        <v>0</v>
      </c>
      <c r="M1992" s="14">
        <f>IF(B1992="Frete de venda",0,(1-ISNUMBER(SEARCH("556",P1992)))*(I1992*VLOOKUP($B1992,Premissas!$A$4:$E$7,2,0)+J1992*VLOOKUP($B1992,Premissas!$A$4:$E$7,3,0))+K1992*VLOOKUP($B1992,Premissas!$A$4:$E$7,4,0)+L1992*VLOOKUP($B1992,Premissas!$A$4:$E$7,5,0))</f>
        <v/>
      </c>
      <c r="N1992" s="14">
        <f>H1992-M1992</f>
        <v/>
      </c>
      <c r="O1992" t="inlineStr">
        <is>
          <t>Não</t>
        </is>
      </c>
      <c r="P1992" t="inlineStr">
        <is>
          <t>1.350</t>
        </is>
      </c>
    </row>
    <row r="1993">
      <c r="A1993" t="inlineStr">
        <is>
          <t>Antes de 2026</t>
        </is>
      </c>
      <c r="B1993" t="inlineStr">
        <is>
          <t>Frete de venda</t>
        </is>
      </c>
      <c r="C1993" t="inlineStr">
        <is>
          <t>Frete de venda (para clientes)</t>
        </is>
      </c>
      <c r="D1993" t="inlineStr">
        <is>
          <t>CT-e</t>
        </is>
      </c>
      <c r="E1993" t="inlineStr">
        <is>
          <t>000003907</t>
        </is>
      </c>
      <c r="F1993" t="inlineStr">
        <is>
          <t>R&amp;R TRANSPORTE E LOGISTICA</t>
        </is>
      </c>
      <c r="G1993" s="27" t="n">
        <v>45741</v>
      </c>
      <c r="H1993" s="14" t="n">
        <v>36.16</v>
      </c>
      <c r="I1993" s="14" t="n">
        <v>0</v>
      </c>
      <c r="J1993" s="14" t="n">
        <v>0</v>
      </c>
      <c r="K1993" s="14" t="n">
        <v>0</v>
      </c>
      <c r="L1993" s="14" t="n">
        <v>0</v>
      </c>
      <c r="M1993" s="14">
        <f>IF(B1993="Frete de venda",0,(1-ISNUMBER(SEARCH("556",P1993)))*(I1993*VLOOKUP($B1993,Premissas!$A$4:$E$7,2,0)+J1993*VLOOKUP($B1993,Premissas!$A$4:$E$7,3,0))+K1993*VLOOKUP($B1993,Premissas!$A$4:$E$7,4,0)+L1993*VLOOKUP($B1993,Premissas!$A$4:$E$7,5,0))</f>
        <v/>
      </c>
      <c r="N1993" s="14">
        <f>H1993-M1993</f>
        <v/>
      </c>
      <c r="O1993" t="inlineStr">
        <is>
          <t>Não</t>
        </is>
      </c>
      <c r="P1993" t="inlineStr">
        <is>
          <t>1.350</t>
        </is>
      </c>
    </row>
    <row r="1994">
      <c r="A1994" t="inlineStr">
        <is>
          <t>Antes de 2026</t>
        </is>
      </c>
      <c r="B1994" t="inlineStr">
        <is>
          <t>Frete de venda</t>
        </is>
      </c>
      <c r="C1994" t="inlineStr">
        <is>
          <t>Frete de venda (para clientes)</t>
        </is>
      </c>
      <c r="D1994" t="inlineStr">
        <is>
          <t>CT-e</t>
        </is>
      </c>
      <c r="E1994" t="inlineStr">
        <is>
          <t>000003931</t>
        </is>
      </c>
      <c r="F1994" t="inlineStr">
        <is>
          <t>R&amp;R TRANSPORTE E LOGISTICA</t>
        </is>
      </c>
      <c r="G1994" s="27" t="n">
        <v>45743</v>
      </c>
      <c r="H1994" s="14" t="n">
        <v>700</v>
      </c>
      <c r="I1994" s="14" t="n">
        <v>0</v>
      </c>
      <c r="J1994" s="14" t="n">
        <v>0</v>
      </c>
      <c r="K1994" s="14" t="n">
        <v>0</v>
      </c>
      <c r="L1994" s="14" t="n">
        <v>0</v>
      </c>
      <c r="M1994" s="14">
        <f>IF(B1994="Frete de venda",0,(1-ISNUMBER(SEARCH("556",P1994)))*(I1994*VLOOKUP($B1994,Premissas!$A$4:$E$7,2,0)+J1994*VLOOKUP($B1994,Premissas!$A$4:$E$7,3,0))+K1994*VLOOKUP($B1994,Premissas!$A$4:$E$7,4,0)+L1994*VLOOKUP($B1994,Premissas!$A$4:$E$7,5,0))</f>
        <v/>
      </c>
      <c r="N1994" s="14">
        <f>H1994-M1994</f>
        <v/>
      </c>
      <c r="O1994" t="inlineStr">
        <is>
          <t>Não</t>
        </is>
      </c>
      <c r="P1994" t="inlineStr">
        <is>
          <t>1.350</t>
        </is>
      </c>
    </row>
    <row r="1995">
      <c r="A1995" t="inlineStr">
        <is>
          <t>Antes de 2026</t>
        </is>
      </c>
      <c r="B1995" t="inlineStr">
        <is>
          <t>Frete de venda</t>
        </is>
      </c>
      <c r="C1995" t="inlineStr">
        <is>
          <t>Frete de venda (para clientes)</t>
        </is>
      </c>
      <c r="D1995" t="inlineStr">
        <is>
          <t>CT-e</t>
        </is>
      </c>
      <c r="E1995" t="inlineStr">
        <is>
          <t>000003924</t>
        </is>
      </c>
      <c r="F1995" t="inlineStr">
        <is>
          <t>R&amp;R TRANSPORTE E LOGISTICA</t>
        </is>
      </c>
      <c r="G1995" s="27" t="n">
        <v>45743</v>
      </c>
      <c r="H1995" s="14" t="n">
        <v>91.48</v>
      </c>
      <c r="I1995" s="14" t="n">
        <v>0</v>
      </c>
      <c r="J1995" s="14" t="n">
        <v>0</v>
      </c>
      <c r="K1995" s="14" t="n">
        <v>0</v>
      </c>
      <c r="L1995" s="14" t="n">
        <v>0</v>
      </c>
      <c r="M1995" s="14">
        <f>IF(B1995="Frete de venda",0,(1-ISNUMBER(SEARCH("556",P1995)))*(I1995*VLOOKUP($B1995,Premissas!$A$4:$E$7,2,0)+J1995*VLOOKUP($B1995,Premissas!$A$4:$E$7,3,0))+K1995*VLOOKUP($B1995,Premissas!$A$4:$E$7,4,0)+L1995*VLOOKUP($B1995,Premissas!$A$4:$E$7,5,0))</f>
        <v/>
      </c>
      <c r="N1995" s="14">
        <f>H1995-M1995</f>
        <v/>
      </c>
      <c r="O1995" t="inlineStr">
        <is>
          <t>Não</t>
        </is>
      </c>
      <c r="P1995" t="inlineStr">
        <is>
          <t>1.350</t>
        </is>
      </c>
    </row>
    <row r="1996">
      <c r="A1996" t="inlineStr">
        <is>
          <t>Antes de 2026</t>
        </is>
      </c>
      <c r="B1996" t="inlineStr">
        <is>
          <t>Frete de venda</t>
        </is>
      </c>
      <c r="C1996" t="inlineStr">
        <is>
          <t>Frete de venda (para clientes)</t>
        </is>
      </c>
      <c r="D1996" t="inlineStr">
        <is>
          <t>CT-e</t>
        </is>
      </c>
      <c r="E1996" t="inlineStr">
        <is>
          <t>000003915</t>
        </is>
      </c>
      <c r="F1996" t="inlineStr">
        <is>
          <t>R&amp;R TRANSPORTE E LOGISTICA</t>
        </is>
      </c>
      <c r="G1996" s="27" t="n">
        <v>45741</v>
      </c>
      <c r="H1996" s="14" t="n">
        <v>58.49</v>
      </c>
      <c r="I1996" s="14" t="n">
        <v>0</v>
      </c>
      <c r="J1996" s="14" t="n">
        <v>0</v>
      </c>
      <c r="K1996" s="14" t="n">
        <v>0</v>
      </c>
      <c r="L1996" s="14" t="n">
        <v>0</v>
      </c>
      <c r="M1996" s="14">
        <f>IF(B1996="Frete de venda",0,(1-ISNUMBER(SEARCH("556",P1996)))*(I1996*VLOOKUP($B1996,Premissas!$A$4:$E$7,2,0)+J1996*VLOOKUP($B1996,Premissas!$A$4:$E$7,3,0))+K1996*VLOOKUP($B1996,Premissas!$A$4:$E$7,4,0)+L1996*VLOOKUP($B1996,Premissas!$A$4:$E$7,5,0))</f>
        <v/>
      </c>
      <c r="N1996" s="14">
        <f>H1996-M1996</f>
        <v/>
      </c>
      <c r="O1996" t="inlineStr">
        <is>
          <t>Não</t>
        </is>
      </c>
      <c r="P1996" t="inlineStr">
        <is>
          <t>1.350</t>
        </is>
      </c>
    </row>
    <row r="1997">
      <c r="A1997" t="inlineStr">
        <is>
          <t>Antes de 2026</t>
        </is>
      </c>
      <c r="B1997" t="inlineStr">
        <is>
          <t>Frete de venda</t>
        </is>
      </c>
      <c r="C1997" t="inlineStr">
        <is>
          <t>Frete de venda (para clientes)</t>
        </is>
      </c>
      <c r="D1997" t="inlineStr">
        <is>
          <t>CT-e</t>
        </is>
      </c>
      <c r="E1997" t="inlineStr">
        <is>
          <t>000003958</t>
        </is>
      </c>
      <c r="F1997" t="inlineStr">
        <is>
          <t>R&amp;R TRANSPORTE E LOGISTICA</t>
        </is>
      </c>
      <c r="G1997" s="27" t="n">
        <v>45747</v>
      </c>
      <c r="H1997" s="14" t="n">
        <v>61.14</v>
      </c>
      <c r="I1997" s="14" t="n">
        <v>0</v>
      </c>
      <c r="J1997" s="14" t="n">
        <v>0</v>
      </c>
      <c r="K1997" s="14" t="n">
        <v>0</v>
      </c>
      <c r="L1997" s="14" t="n">
        <v>0</v>
      </c>
      <c r="M1997" s="14">
        <f>IF(B1997="Frete de venda",0,(1-ISNUMBER(SEARCH("556",P1997)))*(I1997*VLOOKUP($B1997,Premissas!$A$4:$E$7,2,0)+J1997*VLOOKUP($B1997,Premissas!$A$4:$E$7,3,0))+K1997*VLOOKUP($B1997,Premissas!$A$4:$E$7,4,0)+L1997*VLOOKUP($B1997,Premissas!$A$4:$E$7,5,0))</f>
        <v/>
      </c>
      <c r="N1997" s="14">
        <f>H1997-M1997</f>
        <v/>
      </c>
      <c r="O1997" t="inlineStr">
        <is>
          <t>Não</t>
        </is>
      </c>
      <c r="P1997" t="inlineStr">
        <is>
          <t>1.350</t>
        </is>
      </c>
    </row>
    <row r="1998">
      <c r="A1998" t="inlineStr">
        <is>
          <t>Antes de 2026</t>
        </is>
      </c>
      <c r="B1998" t="inlineStr">
        <is>
          <t>Frete de venda</t>
        </is>
      </c>
      <c r="C1998" t="inlineStr">
        <is>
          <t>Frete de venda (para clientes)</t>
        </is>
      </c>
      <c r="D1998" t="inlineStr">
        <is>
          <t>CT-e</t>
        </is>
      </c>
      <c r="E1998" t="inlineStr">
        <is>
          <t>000003913</t>
        </is>
      </c>
      <c r="F1998" t="inlineStr">
        <is>
          <t>R&amp;R TRANSPORTE E LOGISTICA</t>
        </is>
      </c>
      <c r="G1998" s="27" t="n">
        <v>45741</v>
      </c>
      <c r="H1998" s="14" t="n">
        <v>181.75</v>
      </c>
      <c r="I1998" s="14" t="n">
        <v>0</v>
      </c>
      <c r="J1998" s="14" t="n">
        <v>0</v>
      </c>
      <c r="K1998" s="14" t="n">
        <v>0</v>
      </c>
      <c r="L1998" s="14" t="n">
        <v>0</v>
      </c>
      <c r="M1998" s="14">
        <f>IF(B1998="Frete de venda",0,(1-ISNUMBER(SEARCH("556",P1998)))*(I1998*VLOOKUP($B1998,Premissas!$A$4:$E$7,2,0)+J1998*VLOOKUP($B1998,Premissas!$A$4:$E$7,3,0))+K1998*VLOOKUP($B1998,Premissas!$A$4:$E$7,4,0)+L1998*VLOOKUP($B1998,Premissas!$A$4:$E$7,5,0))</f>
        <v/>
      </c>
      <c r="N1998" s="14">
        <f>H1998-M1998</f>
        <v/>
      </c>
      <c r="O1998" t="inlineStr">
        <is>
          <t>Não</t>
        </is>
      </c>
      <c r="P1998" t="inlineStr">
        <is>
          <t>1.350</t>
        </is>
      </c>
    </row>
    <row r="1999">
      <c r="A1999" t="inlineStr">
        <is>
          <t>Antes de 2026</t>
        </is>
      </c>
      <c r="B1999" t="inlineStr">
        <is>
          <t>Frete de venda</t>
        </is>
      </c>
      <c r="C1999" t="inlineStr">
        <is>
          <t>Frete de venda (para clientes)</t>
        </is>
      </c>
      <c r="D1999" t="inlineStr">
        <is>
          <t>CT-e</t>
        </is>
      </c>
      <c r="E1999" t="inlineStr">
        <is>
          <t>000003940</t>
        </is>
      </c>
      <c r="F1999" t="inlineStr">
        <is>
          <t>R&amp;R TRANSPORTE E LOGISTICA</t>
        </is>
      </c>
      <c r="G1999" s="27" t="n">
        <v>45744</v>
      </c>
      <c r="H1999" s="14" t="n">
        <v>637.28</v>
      </c>
      <c r="I1999" s="14" t="n">
        <v>0</v>
      </c>
      <c r="J1999" s="14" t="n">
        <v>0</v>
      </c>
      <c r="K1999" s="14" t="n">
        <v>0</v>
      </c>
      <c r="L1999" s="14" t="n">
        <v>0</v>
      </c>
      <c r="M1999" s="14">
        <f>IF(B1999="Frete de venda",0,(1-ISNUMBER(SEARCH("556",P1999)))*(I1999*VLOOKUP($B1999,Premissas!$A$4:$E$7,2,0)+J1999*VLOOKUP($B1999,Premissas!$A$4:$E$7,3,0))+K1999*VLOOKUP($B1999,Premissas!$A$4:$E$7,4,0)+L1999*VLOOKUP($B1999,Premissas!$A$4:$E$7,5,0))</f>
        <v/>
      </c>
      <c r="N1999" s="14">
        <f>H1999-M1999</f>
        <v/>
      </c>
      <c r="O1999" t="inlineStr">
        <is>
          <t>Não</t>
        </is>
      </c>
      <c r="P1999" t="inlineStr">
        <is>
          <t>1.350</t>
        </is>
      </c>
    </row>
    <row r="2000">
      <c r="A2000" t="inlineStr">
        <is>
          <t>Antes de 2026</t>
        </is>
      </c>
      <c r="B2000" t="inlineStr">
        <is>
          <t>Frete de venda</t>
        </is>
      </c>
      <c r="C2000" t="inlineStr">
        <is>
          <t>Frete de venda (para clientes)</t>
        </is>
      </c>
      <c r="D2000" t="inlineStr">
        <is>
          <t>CT-e</t>
        </is>
      </c>
      <c r="E2000" t="inlineStr">
        <is>
          <t>000003905</t>
        </is>
      </c>
      <c r="F2000" t="inlineStr">
        <is>
          <t>R&amp;R TRANSPORTE E LOGISTICA</t>
        </is>
      </c>
      <c r="G2000" s="27" t="n">
        <v>45741</v>
      </c>
      <c r="H2000" s="14" t="n">
        <v>38.18</v>
      </c>
      <c r="I2000" s="14" t="n">
        <v>0</v>
      </c>
      <c r="J2000" s="14" t="n">
        <v>0</v>
      </c>
      <c r="K2000" s="14" t="n">
        <v>0</v>
      </c>
      <c r="L2000" s="14" t="n">
        <v>0</v>
      </c>
      <c r="M2000" s="14">
        <f>IF(B2000="Frete de venda",0,(1-ISNUMBER(SEARCH("556",P2000)))*(I2000*VLOOKUP($B2000,Premissas!$A$4:$E$7,2,0)+J2000*VLOOKUP($B2000,Premissas!$A$4:$E$7,3,0))+K2000*VLOOKUP($B2000,Premissas!$A$4:$E$7,4,0)+L2000*VLOOKUP($B2000,Premissas!$A$4:$E$7,5,0))</f>
        <v/>
      </c>
      <c r="N2000" s="14">
        <f>H2000-M2000</f>
        <v/>
      </c>
      <c r="O2000" t="inlineStr">
        <is>
          <t>Não</t>
        </is>
      </c>
      <c r="P2000" t="inlineStr">
        <is>
          <t>1.350</t>
        </is>
      </c>
    </row>
    <row r="2001">
      <c r="A2001" t="inlineStr">
        <is>
          <t>Antes de 2026</t>
        </is>
      </c>
      <c r="B2001" t="inlineStr">
        <is>
          <t>Frete de venda</t>
        </is>
      </c>
      <c r="C2001" t="inlineStr">
        <is>
          <t>Frete de venda (para clientes)</t>
        </is>
      </c>
      <c r="D2001" t="inlineStr">
        <is>
          <t>CT-e</t>
        </is>
      </c>
      <c r="E2001" t="inlineStr">
        <is>
          <t>000003944</t>
        </is>
      </c>
      <c r="F2001" t="inlineStr">
        <is>
          <t>R&amp;R TRANSPORTE E LOGISTICA</t>
        </is>
      </c>
      <c r="G2001" s="27" t="n">
        <v>45745</v>
      </c>
      <c r="H2001" s="14" t="n">
        <v>20</v>
      </c>
      <c r="I2001" s="14" t="n">
        <v>0</v>
      </c>
      <c r="J2001" s="14" t="n">
        <v>0</v>
      </c>
      <c r="K2001" s="14" t="n">
        <v>0</v>
      </c>
      <c r="L2001" s="14" t="n">
        <v>0</v>
      </c>
      <c r="M2001" s="14">
        <f>IF(B2001="Frete de venda",0,(1-ISNUMBER(SEARCH("556",P2001)))*(I2001*VLOOKUP($B2001,Premissas!$A$4:$E$7,2,0)+J2001*VLOOKUP($B2001,Premissas!$A$4:$E$7,3,0))+K2001*VLOOKUP($B2001,Premissas!$A$4:$E$7,4,0)+L2001*VLOOKUP($B2001,Premissas!$A$4:$E$7,5,0))</f>
        <v/>
      </c>
      <c r="N2001" s="14">
        <f>H2001-M2001</f>
        <v/>
      </c>
      <c r="O2001" t="inlineStr">
        <is>
          <t>Não</t>
        </is>
      </c>
      <c r="P2001" t="inlineStr">
        <is>
          <t>1.350</t>
        </is>
      </c>
    </row>
    <row r="2002">
      <c r="A2002" t="inlineStr">
        <is>
          <t>Antes de 2026</t>
        </is>
      </c>
      <c r="B2002" t="inlineStr">
        <is>
          <t>Frete de venda</t>
        </is>
      </c>
      <c r="C2002" t="inlineStr">
        <is>
          <t>Frete de venda (para clientes)</t>
        </is>
      </c>
      <c r="D2002" t="inlineStr">
        <is>
          <t>CT-e</t>
        </is>
      </c>
      <c r="E2002" t="inlineStr">
        <is>
          <t>000003896</t>
        </is>
      </c>
      <c r="F2002" t="inlineStr">
        <is>
          <t>R&amp;R TRANSPORTE E LOGISTICA</t>
        </is>
      </c>
      <c r="G2002" s="27" t="n">
        <v>45740</v>
      </c>
      <c r="H2002" s="14" t="n">
        <v>28.48</v>
      </c>
      <c r="I2002" s="14" t="n">
        <v>0</v>
      </c>
      <c r="J2002" s="14" t="n">
        <v>0</v>
      </c>
      <c r="K2002" s="14" t="n">
        <v>0</v>
      </c>
      <c r="L2002" s="14" t="n">
        <v>0</v>
      </c>
      <c r="M2002" s="14">
        <f>IF(B2002="Frete de venda",0,(1-ISNUMBER(SEARCH("556",P2002)))*(I2002*VLOOKUP($B2002,Premissas!$A$4:$E$7,2,0)+J2002*VLOOKUP($B2002,Premissas!$A$4:$E$7,3,0))+K2002*VLOOKUP($B2002,Premissas!$A$4:$E$7,4,0)+L2002*VLOOKUP($B2002,Premissas!$A$4:$E$7,5,0))</f>
        <v/>
      </c>
      <c r="N2002" s="14">
        <f>H2002-M2002</f>
        <v/>
      </c>
      <c r="O2002" t="inlineStr">
        <is>
          <t>Não</t>
        </is>
      </c>
      <c r="P2002" t="inlineStr">
        <is>
          <t>1.350</t>
        </is>
      </c>
    </row>
    <row r="2003">
      <c r="A2003" t="inlineStr">
        <is>
          <t>Antes de 2026</t>
        </is>
      </c>
      <c r="B2003" t="inlineStr">
        <is>
          <t>Frete de venda</t>
        </is>
      </c>
      <c r="C2003" t="inlineStr">
        <is>
          <t>Frete de venda (para clientes)</t>
        </is>
      </c>
      <c r="D2003" t="inlineStr">
        <is>
          <t>CT-e</t>
        </is>
      </c>
      <c r="E2003" t="inlineStr">
        <is>
          <t>000003914</t>
        </is>
      </c>
      <c r="F2003" t="inlineStr">
        <is>
          <t>R&amp;R TRANSPORTE E LOGISTICA</t>
        </is>
      </c>
      <c r="G2003" s="27" t="n">
        <v>45741</v>
      </c>
      <c r="H2003" s="14" t="n">
        <v>55.61</v>
      </c>
      <c r="I2003" s="14" t="n">
        <v>0</v>
      </c>
      <c r="J2003" s="14" t="n">
        <v>0</v>
      </c>
      <c r="K2003" s="14" t="n">
        <v>0</v>
      </c>
      <c r="L2003" s="14" t="n">
        <v>0</v>
      </c>
      <c r="M2003" s="14">
        <f>IF(B2003="Frete de venda",0,(1-ISNUMBER(SEARCH("556",P2003)))*(I2003*VLOOKUP($B2003,Premissas!$A$4:$E$7,2,0)+J2003*VLOOKUP($B2003,Premissas!$A$4:$E$7,3,0))+K2003*VLOOKUP($B2003,Premissas!$A$4:$E$7,4,0)+L2003*VLOOKUP($B2003,Premissas!$A$4:$E$7,5,0))</f>
        <v/>
      </c>
      <c r="N2003" s="14">
        <f>H2003-M2003</f>
        <v/>
      </c>
      <c r="O2003" t="inlineStr">
        <is>
          <t>Não</t>
        </is>
      </c>
      <c r="P2003" t="inlineStr">
        <is>
          <t>1.350</t>
        </is>
      </c>
    </row>
    <row r="2004">
      <c r="A2004" t="inlineStr">
        <is>
          <t>Antes de 2026</t>
        </is>
      </c>
      <c r="B2004" t="inlineStr">
        <is>
          <t>Frete de venda</t>
        </is>
      </c>
      <c r="C2004" t="inlineStr">
        <is>
          <t>Frete de venda (para clientes)</t>
        </is>
      </c>
      <c r="D2004" t="inlineStr">
        <is>
          <t>CT-e</t>
        </is>
      </c>
      <c r="E2004" t="inlineStr">
        <is>
          <t>000003923</t>
        </is>
      </c>
      <c r="F2004" t="inlineStr">
        <is>
          <t>R&amp;R TRANSPORTE E LOGISTICA</t>
        </is>
      </c>
      <c r="G2004" s="27" t="n">
        <v>45743</v>
      </c>
      <c r="H2004" s="14" t="n">
        <v>36.96</v>
      </c>
      <c r="I2004" s="14" t="n">
        <v>0</v>
      </c>
      <c r="J2004" s="14" t="n">
        <v>0</v>
      </c>
      <c r="K2004" s="14" t="n">
        <v>0</v>
      </c>
      <c r="L2004" s="14" t="n">
        <v>0</v>
      </c>
      <c r="M2004" s="14">
        <f>IF(B2004="Frete de venda",0,(1-ISNUMBER(SEARCH("556",P2004)))*(I2004*VLOOKUP($B2004,Premissas!$A$4:$E$7,2,0)+J2004*VLOOKUP($B2004,Premissas!$A$4:$E$7,3,0))+K2004*VLOOKUP($B2004,Premissas!$A$4:$E$7,4,0)+L2004*VLOOKUP($B2004,Premissas!$A$4:$E$7,5,0))</f>
        <v/>
      </c>
      <c r="N2004" s="14">
        <f>H2004-M2004</f>
        <v/>
      </c>
      <c r="O2004" t="inlineStr">
        <is>
          <t>Não</t>
        </is>
      </c>
      <c r="P2004" t="inlineStr">
        <is>
          <t>1.350</t>
        </is>
      </c>
    </row>
    <row r="2005">
      <c r="A2005" t="inlineStr">
        <is>
          <t>Antes de 2026</t>
        </is>
      </c>
      <c r="B2005" t="inlineStr">
        <is>
          <t>Frete de venda</t>
        </is>
      </c>
      <c r="C2005" t="inlineStr">
        <is>
          <t>Frete de venda (para clientes)</t>
        </is>
      </c>
      <c r="D2005" t="inlineStr">
        <is>
          <t>CT-e</t>
        </is>
      </c>
      <c r="E2005" t="inlineStr">
        <is>
          <t>000003925</t>
        </is>
      </c>
      <c r="F2005" t="inlineStr">
        <is>
          <t>R&amp;R TRANSPORTE E LOGISTICA</t>
        </is>
      </c>
      <c r="G2005" s="27" t="n">
        <v>45743</v>
      </c>
      <c r="H2005" s="14" t="n">
        <v>118.51</v>
      </c>
      <c r="I2005" s="14" t="n">
        <v>0</v>
      </c>
      <c r="J2005" s="14" t="n">
        <v>0</v>
      </c>
      <c r="K2005" s="14" t="n">
        <v>0</v>
      </c>
      <c r="L2005" s="14" t="n">
        <v>0</v>
      </c>
      <c r="M2005" s="14">
        <f>IF(B2005="Frete de venda",0,(1-ISNUMBER(SEARCH("556",P2005)))*(I2005*VLOOKUP($B2005,Premissas!$A$4:$E$7,2,0)+J2005*VLOOKUP($B2005,Premissas!$A$4:$E$7,3,0))+K2005*VLOOKUP($B2005,Premissas!$A$4:$E$7,4,0)+L2005*VLOOKUP($B2005,Premissas!$A$4:$E$7,5,0))</f>
        <v/>
      </c>
      <c r="N2005" s="14">
        <f>H2005-M2005</f>
        <v/>
      </c>
      <c r="O2005" t="inlineStr">
        <is>
          <t>Não</t>
        </is>
      </c>
      <c r="P2005" t="inlineStr">
        <is>
          <t>1.350</t>
        </is>
      </c>
    </row>
    <row r="2006">
      <c r="A2006" t="inlineStr">
        <is>
          <t>Antes de 2026</t>
        </is>
      </c>
      <c r="B2006" t="inlineStr">
        <is>
          <t>Frete de venda</t>
        </is>
      </c>
      <c r="C2006" t="inlineStr">
        <is>
          <t>Frete de venda (para clientes)</t>
        </is>
      </c>
      <c r="D2006" t="inlineStr">
        <is>
          <t>CT-e</t>
        </is>
      </c>
      <c r="E2006" t="inlineStr">
        <is>
          <t>000003898</t>
        </is>
      </c>
      <c r="F2006" t="inlineStr">
        <is>
          <t>R&amp;R TRANSPORTE E LOGISTICA</t>
        </is>
      </c>
      <c r="G2006" s="27" t="n">
        <v>45740</v>
      </c>
      <c r="H2006" s="14" t="n">
        <v>31.68</v>
      </c>
      <c r="I2006" s="14" t="n">
        <v>0</v>
      </c>
      <c r="J2006" s="14" t="n">
        <v>0</v>
      </c>
      <c r="K2006" s="14" t="n">
        <v>0</v>
      </c>
      <c r="L2006" s="14" t="n">
        <v>0</v>
      </c>
      <c r="M2006" s="14">
        <f>IF(B2006="Frete de venda",0,(1-ISNUMBER(SEARCH("556",P2006)))*(I2006*VLOOKUP($B2006,Premissas!$A$4:$E$7,2,0)+J2006*VLOOKUP($B2006,Premissas!$A$4:$E$7,3,0))+K2006*VLOOKUP($B2006,Premissas!$A$4:$E$7,4,0)+L2006*VLOOKUP($B2006,Premissas!$A$4:$E$7,5,0))</f>
        <v/>
      </c>
      <c r="N2006" s="14">
        <f>H2006-M2006</f>
        <v/>
      </c>
      <c r="O2006" t="inlineStr">
        <is>
          <t>Não</t>
        </is>
      </c>
      <c r="P2006" t="inlineStr">
        <is>
          <t>1.350</t>
        </is>
      </c>
    </row>
    <row r="2007">
      <c r="A2007" t="inlineStr">
        <is>
          <t>Antes de 2026</t>
        </is>
      </c>
      <c r="B2007" t="inlineStr">
        <is>
          <t>Frete de venda</t>
        </is>
      </c>
      <c r="C2007" t="inlineStr">
        <is>
          <t>Frete de venda (para clientes)</t>
        </is>
      </c>
      <c r="D2007" t="inlineStr">
        <is>
          <t>CT-e</t>
        </is>
      </c>
      <c r="E2007" t="inlineStr">
        <is>
          <t>000003948</t>
        </is>
      </c>
      <c r="F2007" t="inlineStr">
        <is>
          <t>R&amp;R TRANSPORTE E LOGISTICA</t>
        </is>
      </c>
      <c r="G2007" s="27" t="n">
        <v>45745</v>
      </c>
      <c r="H2007" s="14" t="n">
        <v>20</v>
      </c>
      <c r="I2007" s="14" t="n">
        <v>0</v>
      </c>
      <c r="J2007" s="14" t="n">
        <v>0</v>
      </c>
      <c r="K2007" s="14" t="n">
        <v>0</v>
      </c>
      <c r="L2007" s="14" t="n">
        <v>0</v>
      </c>
      <c r="M2007" s="14">
        <f>IF(B2007="Frete de venda",0,(1-ISNUMBER(SEARCH("556",P2007)))*(I2007*VLOOKUP($B2007,Premissas!$A$4:$E$7,2,0)+J2007*VLOOKUP($B2007,Premissas!$A$4:$E$7,3,0))+K2007*VLOOKUP($B2007,Premissas!$A$4:$E$7,4,0)+L2007*VLOOKUP($B2007,Premissas!$A$4:$E$7,5,0))</f>
        <v/>
      </c>
      <c r="N2007" s="14">
        <f>H2007-M2007</f>
        <v/>
      </c>
      <c r="O2007" t="inlineStr">
        <is>
          <t>Não</t>
        </is>
      </c>
      <c r="P2007" t="inlineStr">
        <is>
          <t>1.350</t>
        </is>
      </c>
    </row>
    <row r="2008">
      <c r="A2008" t="inlineStr">
        <is>
          <t>Antes de 2026</t>
        </is>
      </c>
      <c r="B2008" t="inlineStr">
        <is>
          <t>Frete de venda</t>
        </is>
      </c>
      <c r="C2008" t="inlineStr">
        <is>
          <t>Frete de venda (para clientes)</t>
        </is>
      </c>
      <c r="D2008" t="inlineStr">
        <is>
          <t>CT-e</t>
        </is>
      </c>
      <c r="E2008" t="inlineStr">
        <is>
          <t>000000086</t>
        </is>
      </c>
      <c r="F2008" t="inlineStr">
        <is>
          <t>ADIL CARLOS DA SILVA</t>
        </is>
      </c>
      <c r="G2008" s="27" t="n">
        <v>45749</v>
      </c>
      <c r="H2008" s="14" t="n">
        <v>10</v>
      </c>
      <c r="I2008" s="14" t="n">
        <v>0</v>
      </c>
      <c r="J2008" s="14" t="n">
        <v>0</v>
      </c>
      <c r="K2008" s="14" t="n">
        <v>0</v>
      </c>
      <c r="L2008" s="14" t="n">
        <v>0</v>
      </c>
      <c r="M2008" s="14">
        <f>IF(B2008="Frete de venda",0,(1-ISNUMBER(SEARCH("556",P2008)))*(I2008*VLOOKUP($B2008,Premissas!$A$4:$E$7,2,0)+J2008*VLOOKUP($B2008,Premissas!$A$4:$E$7,3,0))+K2008*VLOOKUP($B2008,Premissas!$A$4:$E$7,4,0)+L2008*VLOOKUP($B2008,Premissas!$A$4:$E$7,5,0))</f>
        <v/>
      </c>
      <c r="N2008" s="14">
        <f>H2008-M2008</f>
        <v/>
      </c>
      <c r="O2008" t="inlineStr">
        <is>
          <t>Não</t>
        </is>
      </c>
      <c r="P2008" t="inlineStr">
        <is>
          <t>2.350</t>
        </is>
      </c>
    </row>
    <row r="2009">
      <c r="A2009" t="inlineStr">
        <is>
          <t>Antes de 2026</t>
        </is>
      </c>
      <c r="B2009" t="inlineStr">
        <is>
          <t>Frete de venda</t>
        </is>
      </c>
      <c r="C2009" t="inlineStr">
        <is>
          <t>Frete de venda (para clientes)</t>
        </is>
      </c>
      <c r="D2009" t="inlineStr">
        <is>
          <t>CT-e</t>
        </is>
      </c>
      <c r="E2009" t="inlineStr">
        <is>
          <t>000003927</t>
        </is>
      </c>
      <c r="F2009" t="inlineStr">
        <is>
          <t>R&amp;R TRANSPORTE E LOGISTICA</t>
        </is>
      </c>
      <c r="G2009" s="27" t="n">
        <v>45743</v>
      </c>
      <c r="H2009" s="14" t="n">
        <v>42.93</v>
      </c>
      <c r="I2009" s="14" t="n">
        <v>0</v>
      </c>
      <c r="J2009" s="14" t="n">
        <v>0</v>
      </c>
      <c r="K2009" s="14" t="n">
        <v>0</v>
      </c>
      <c r="L2009" s="14" t="n">
        <v>0</v>
      </c>
      <c r="M2009" s="14">
        <f>IF(B2009="Frete de venda",0,(1-ISNUMBER(SEARCH("556",P2009)))*(I2009*VLOOKUP($B2009,Premissas!$A$4:$E$7,2,0)+J2009*VLOOKUP($B2009,Premissas!$A$4:$E$7,3,0))+K2009*VLOOKUP($B2009,Premissas!$A$4:$E$7,4,0)+L2009*VLOOKUP($B2009,Premissas!$A$4:$E$7,5,0))</f>
        <v/>
      </c>
      <c r="N2009" s="14">
        <f>H2009-M2009</f>
        <v/>
      </c>
      <c r="O2009" t="inlineStr">
        <is>
          <t>Não</t>
        </is>
      </c>
      <c r="P2009" t="inlineStr">
        <is>
          <t>1.350</t>
        </is>
      </c>
    </row>
    <row r="2010">
      <c r="A2010" t="inlineStr">
        <is>
          <t>Antes de 2026</t>
        </is>
      </c>
      <c r="B2010" t="inlineStr">
        <is>
          <t>Frete de venda</t>
        </is>
      </c>
      <c r="C2010" t="inlineStr">
        <is>
          <t>Frete de venda (para clientes)</t>
        </is>
      </c>
      <c r="D2010" t="inlineStr">
        <is>
          <t>CT-e</t>
        </is>
      </c>
      <c r="E2010" t="inlineStr">
        <is>
          <t>000000084</t>
        </is>
      </c>
      <c r="F2010" t="inlineStr">
        <is>
          <t>ADIL CARLOS DA SILVA</t>
        </is>
      </c>
      <c r="G2010" s="27" t="n">
        <v>45749</v>
      </c>
      <c r="H2010" s="14" t="n">
        <v>100</v>
      </c>
      <c r="I2010" s="14" t="n">
        <v>0</v>
      </c>
      <c r="J2010" s="14" t="n">
        <v>0</v>
      </c>
      <c r="K2010" s="14" t="n">
        <v>0</v>
      </c>
      <c r="L2010" s="14" t="n">
        <v>0</v>
      </c>
      <c r="M2010" s="14">
        <f>IF(B2010="Frete de venda",0,(1-ISNUMBER(SEARCH("556",P2010)))*(I2010*VLOOKUP($B2010,Premissas!$A$4:$E$7,2,0)+J2010*VLOOKUP($B2010,Premissas!$A$4:$E$7,3,0))+K2010*VLOOKUP($B2010,Premissas!$A$4:$E$7,4,0)+L2010*VLOOKUP($B2010,Premissas!$A$4:$E$7,5,0))</f>
        <v/>
      </c>
      <c r="N2010" s="14">
        <f>H2010-M2010</f>
        <v/>
      </c>
      <c r="O2010" t="inlineStr">
        <is>
          <t>Não</t>
        </is>
      </c>
      <c r="P2010" t="inlineStr">
        <is>
          <t>2.350</t>
        </is>
      </c>
    </row>
    <row r="2011">
      <c r="A2011" t="inlineStr">
        <is>
          <t>Antes de 2026</t>
        </is>
      </c>
      <c r="B2011" t="inlineStr">
        <is>
          <t>Frete de venda</t>
        </is>
      </c>
      <c r="C2011" t="inlineStr">
        <is>
          <t>Frete de venda (para clientes)</t>
        </is>
      </c>
      <c r="D2011" t="inlineStr">
        <is>
          <t>CT-e</t>
        </is>
      </c>
      <c r="E2011" t="inlineStr">
        <is>
          <t>000003908</t>
        </is>
      </c>
      <c r="F2011" t="inlineStr">
        <is>
          <t>R&amp;R TRANSPORTE E LOGISTICA</t>
        </is>
      </c>
      <c r="G2011" s="27" t="n">
        <v>45741</v>
      </c>
      <c r="H2011" s="14" t="n">
        <v>34.8</v>
      </c>
      <c r="I2011" s="14" t="n">
        <v>0</v>
      </c>
      <c r="J2011" s="14" t="n">
        <v>0</v>
      </c>
      <c r="K2011" s="14" t="n">
        <v>0</v>
      </c>
      <c r="L2011" s="14" t="n">
        <v>0</v>
      </c>
      <c r="M2011" s="14">
        <f>IF(B2011="Frete de venda",0,(1-ISNUMBER(SEARCH("556",P2011)))*(I2011*VLOOKUP($B2011,Premissas!$A$4:$E$7,2,0)+J2011*VLOOKUP($B2011,Premissas!$A$4:$E$7,3,0))+K2011*VLOOKUP($B2011,Premissas!$A$4:$E$7,4,0)+L2011*VLOOKUP($B2011,Premissas!$A$4:$E$7,5,0))</f>
        <v/>
      </c>
      <c r="N2011" s="14">
        <f>H2011-M2011</f>
        <v/>
      </c>
      <c r="O2011" t="inlineStr">
        <is>
          <t>Não</t>
        </is>
      </c>
      <c r="P2011" t="inlineStr">
        <is>
          <t>1.350</t>
        </is>
      </c>
    </row>
    <row r="2012">
      <c r="A2012" t="inlineStr">
        <is>
          <t>Antes de 2026</t>
        </is>
      </c>
      <c r="B2012" t="inlineStr">
        <is>
          <t>Frete de venda</t>
        </is>
      </c>
      <c r="C2012" t="inlineStr">
        <is>
          <t>Frete de venda (para clientes)</t>
        </is>
      </c>
      <c r="D2012" t="inlineStr">
        <is>
          <t>CT-e</t>
        </is>
      </c>
      <c r="E2012" t="inlineStr">
        <is>
          <t>000003897</t>
        </is>
      </c>
      <c r="F2012" t="inlineStr">
        <is>
          <t>R&amp;R TRANSPORTE E LOGISTICA</t>
        </is>
      </c>
      <c r="G2012" s="27" t="n">
        <v>45740</v>
      </c>
      <c r="H2012" s="14" t="n">
        <v>34.33</v>
      </c>
      <c r="I2012" s="14" t="n">
        <v>0</v>
      </c>
      <c r="J2012" s="14" t="n">
        <v>0</v>
      </c>
      <c r="K2012" s="14" t="n">
        <v>0</v>
      </c>
      <c r="L2012" s="14" t="n">
        <v>0</v>
      </c>
      <c r="M2012" s="14">
        <f>IF(B2012="Frete de venda",0,(1-ISNUMBER(SEARCH("556",P2012)))*(I2012*VLOOKUP($B2012,Premissas!$A$4:$E$7,2,0)+J2012*VLOOKUP($B2012,Premissas!$A$4:$E$7,3,0))+K2012*VLOOKUP($B2012,Premissas!$A$4:$E$7,4,0)+L2012*VLOOKUP($B2012,Premissas!$A$4:$E$7,5,0))</f>
        <v/>
      </c>
      <c r="N2012" s="14">
        <f>H2012-M2012</f>
        <v/>
      </c>
      <c r="O2012" t="inlineStr">
        <is>
          <t>Não</t>
        </is>
      </c>
      <c r="P2012" t="inlineStr">
        <is>
          <t>1.350</t>
        </is>
      </c>
    </row>
    <row r="2013">
      <c r="A2013" t="inlineStr">
        <is>
          <t>Antes de 2026</t>
        </is>
      </c>
      <c r="B2013" t="inlineStr">
        <is>
          <t>Frete de venda</t>
        </is>
      </c>
      <c r="C2013" t="inlineStr">
        <is>
          <t>Frete de venda (para clientes)</t>
        </is>
      </c>
      <c r="D2013" t="inlineStr">
        <is>
          <t>CT-e</t>
        </is>
      </c>
      <c r="E2013" t="inlineStr">
        <is>
          <t>000003961</t>
        </is>
      </c>
      <c r="F2013" t="inlineStr">
        <is>
          <t>R&amp;R TRANSPORTE E LOGISTICA</t>
        </is>
      </c>
      <c r="G2013" s="27" t="n">
        <v>45747</v>
      </c>
      <c r="H2013" s="14" t="n">
        <v>53.06</v>
      </c>
      <c r="I2013" s="14" t="n">
        <v>0</v>
      </c>
      <c r="J2013" s="14" t="n">
        <v>0</v>
      </c>
      <c r="K2013" s="14" t="n">
        <v>0</v>
      </c>
      <c r="L2013" s="14" t="n">
        <v>0</v>
      </c>
      <c r="M2013" s="14">
        <f>IF(B2013="Frete de venda",0,(1-ISNUMBER(SEARCH("556",P2013)))*(I2013*VLOOKUP($B2013,Premissas!$A$4:$E$7,2,0)+J2013*VLOOKUP($B2013,Premissas!$A$4:$E$7,3,0))+K2013*VLOOKUP($B2013,Premissas!$A$4:$E$7,4,0)+L2013*VLOOKUP($B2013,Premissas!$A$4:$E$7,5,0))</f>
        <v/>
      </c>
      <c r="N2013" s="14">
        <f>H2013-M2013</f>
        <v/>
      </c>
      <c r="O2013" t="inlineStr">
        <is>
          <t>Não</t>
        </is>
      </c>
      <c r="P2013" t="inlineStr">
        <is>
          <t>1.350</t>
        </is>
      </c>
    </row>
    <row r="2014">
      <c r="A2014" t="inlineStr">
        <is>
          <t>Antes de 2026</t>
        </is>
      </c>
      <c r="B2014" t="inlineStr">
        <is>
          <t>Frete de venda</t>
        </is>
      </c>
      <c r="C2014" t="inlineStr">
        <is>
          <t>Frete de venda (para clientes)</t>
        </is>
      </c>
      <c r="D2014" t="inlineStr">
        <is>
          <t>CT-e</t>
        </is>
      </c>
      <c r="E2014" t="inlineStr">
        <is>
          <t>000003910</t>
        </is>
      </c>
      <c r="F2014" t="inlineStr">
        <is>
          <t>R&amp;R TRANSPORTE E LOGISTICA</t>
        </is>
      </c>
      <c r="G2014" s="27" t="n">
        <v>45741</v>
      </c>
      <c r="H2014" s="14" t="n">
        <v>32.9</v>
      </c>
      <c r="I2014" s="14" t="n">
        <v>0</v>
      </c>
      <c r="J2014" s="14" t="n">
        <v>0</v>
      </c>
      <c r="K2014" s="14" t="n">
        <v>0</v>
      </c>
      <c r="L2014" s="14" t="n">
        <v>0</v>
      </c>
      <c r="M2014" s="14">
        <f>IF(B2014="Frete de venda",0,(1-ISNUMBER(SEARCH("556",P2014)))*(I2014*VLOOKUP($B2014,Premissas!$A$4:$E$7,2,0)+J2014*VLOOKUP($B2014,Premissas!$A$4:$E$7,3,0))+K2014*VLOOKUP($B2014,Premissas!$A$4:$E$7,4,0)+L2014*VLOOKUP($B2014,Premissas!$A$4:$E$7,5,0))</f>
        <v/>
      </c>
      <c r="N2014" s="14">
        <f>H2014-M2014</f>
        <v/>
      </c>
      <c r="O2014" t="inlineStr">
        <is>
          <t>Não</t>
        </is>
      </c>
      <c r="P2014" t="inlineStr">
        <is>
          <t>1.350</t>
        </is>
      </c>
    </row>
    <row r="2015">
      <c r="A2015" t="inlineStr">
        <is>
          <t>Antes de 2026</t>
        </is>
      </c>
      <c r="B2015" t="inlineStr">
        <is>
          <t>Frete de venda</t>
        </is>
      </c>
      <c r="C2015" t="inlineStr">
        <is>
          <t>Frete de venda (para clientes)</t>
        </is>
      </c>
      <c r="D2015" t="inlineStr">
        <is>
          <t>CT-e</t>
        </is>
      </c>
      <c r="E2015" t="inlineStr">
        <is>
          <t>000000085</t>
        </is>
      </c>
      <c r="F2015" t="inlineStr">
        <is>
          <t>ADIL CARLOS DA SILVA</t>
        </is>
      </c>
      <c r="G2015" s="27" t="n">
        <v>45749</v>
      </c>
      <c r="H2015" s="14" t="n">
        <v>100</v>
      </c>
      <c r="I2015" s="14" t="n">
        <v>0</v>
      </c>
      <c r="J2015" s="14" t="n">
        <v>0</v>
      </c>
      <c r="K2015" s="14" t="n">
        <v>0</v>
      </c>
      <c r="L2015" s="14" t="n">
        <v>0</v>
      </c>
      <c r="M2015" s="14">
        <f>IF(B2015="Frete de venda",0,(1-ISNUMBER(SEARCH("556",P2015)))*(I2015*VLOOKUP($B2015,Premissas!$A$4:$E$7,2,0)+J2015*VLOOKUP($B2015,Premissas!$A$4:$E$7,3,0))+K2015*VLOOKUP($B2015,Premissas!$A$4:$E$7,4,0)+L2015*VLOOKUP($B2015,Premissas!$A$4:$E$7,5,0))</f>
        <v/>
      </c>
      <c r="N2015" s="14">
        <f>H2015-M2015</f>
        <v/>
      </c>
      <c r="O2015" t="inlineStr">
        <is>
          <t>Não</t>
        </is>
      </c>
      <c r="P2015" t="inlineStr">
        <is>
          <t>2.350</t>
        </is>
      </c>
    </row>
    <row r="2016">
      <c r="A2016" t="inlineStr">
        <is>
          <t>Antes de 2026</t>
        </is>
      </c>
      <c r="B2016" t="inlineStr">
        <is>
          <t>Frete de venda</t>
        </is>
      </c>
      <c r="C2016" t="inlineStr">
        <is>
          <t>Frete de venda (para clientes)</t>
        </is>
      </c>
      <c r="D2016" t="inlineStr">
        <is>
          <t>CT-e</t>
        </is>
      </c>
      <c r="E2016" t="inlineStr">
        <is>
          <t>000003960</t>
        </is>
      </c>
      <c r="F2016" t="inlineStr">
        <is>
          <t>R&amp;R TRANSPORTE E LOGISTICA</t>
        </is>
      </c>
      <c r="G2016" s="27" t="n">
        <v>45747</v>
      </c>
      <c r="H2016" s="14" t="n">
        <v>49.32</v>
      </c>
      <c r="I2016" s="14" t="n">
        <v>0</v>
      </c>
      <c r="J2016" s="14" t="n">
        <v>0</v>
      </c>
      <c r="K2016" s="14" t="n">
        <v>0</v>
      </c>
      <c r="L2016" s="14" t="n">
        <v>0</v>
      </c>
      <c r="M2016" s="14">
        <f>IF(B2016="Frete de venda",0,(1-ISNUMBER(SEARCH("556",P2016)))*(I2016*VLOOKUP($B2016,Premissas!$A$4:$E$7,2,0)+J2016*VLOOKUP($B2016,Premissas!$A$4:$E$7,3,0))+K2016*VLOOKUP($B2016,Premissas!$A$4:$E$7,4,0)+L2016*VLOOKUP($B2016,Premissas!$A$4:$E$7,5,0))</f>
        <v/>
      </c>
      <c r="N2016" s="14">
        <f>H2016-M2016</f>
        <v/>
      </c>
      <c r="O2016" t="inlineStr">
        <is>
          <t>Não</t>
        </is>
      </c>
      <c r="P2016" t="inlineStr">
        <is>
          <t>1.350</t>
        </is>
      </c>
    </row>
    <row r="2017">
      <c r="A2017" t="inlineStr">
        <is>
          <t>Antes de 2026</t>
        </is>
      </c>
      <c r="B2017" t="inlineStr">
        <is>
          <t>Frete de venda</t>
        </is>
      </c>
      <c r="C2017" t="inlineStr">
        <is>
          <t>Frete de venda (para clientes)</t>
        </is>
      </c>
      <c r="D2017" t="inlineStr">
        <is>
          <t>CT-e</t>
        </is>
      </c>
      <c r="E2017" t="inlineStr">
        <is>
          <t>000003917</t>
        </is>
      </c>
      <c r="F2017" t="inlineStr">
        <is>
          <t>R&amp;R TRANSPORTE E LOGISTICA</t>
        </is>
      </c>
      <c r="G2017" s="27" t="n">
        <v>45741</v>
      </c>
      <c r="H2017" s="14" t="n">
        <v>63.14</v>
      </c>
      <c r="I2017" s="14" t="n">
        <v>0</v>
      </c>
      <c r="J2017" s="14" t="n">
        <v>0</v>
      </c>
      <c r="K2017" s="14" t="n">
        <v>0</v>
      </c>
      <c r="L2017" s="14" t="n">
        <v>0</v>
      </c>
      <c r="M2017" s="14">
        <f>IF(B2017="Frete de venda",0,(1-ISNUMBER(SEARCH("556",P2017)))*(I2017*VLOOKUP($B2017,Premissas!$A$4:$E$7,2,0)+J2017*VLOOKUP($B2017,Premissas!$A$4:$E$7,3,0))+K2017*VLOOKUP($B2017,Premissas!$A$4:$E$7,4,0)+L2017*VLOOKUP($B2017,Premissas!$A$4:$E$7,5,0))</f>
        <v/>
      </c>
      <c r="N2017" s="14">
        <f>H2017-M2017</f>
        <v/>
      </c>
      <c r="O2017" t="inlineStr">
        <is>
          <t>Não</t>
        </is>
      </c>
      <c r="P2017" t="inlineStr">
        <is>
          <t>1.350</t>
        </is>
      </c>
    </row>
    <row r="2018">
      <c r="A2018" t="inlineStr">
        <is>
          <t>Antes de 2026</t>
        </is>
      </c>
      <c r="B2018" t="inlineStr">
        <is>
          <t>Frete de venda</t>
        </is>
      </c>
      <c r="C2018" t="inlineStr">
        <is>
          <t>Frete de venda (para clientes)</t>
        </is>
      </c>
      <c r="D2018" t="inlineStr">
        <is>
          <t>CT-e</t>
        </is>
      </c>
      <c r="E2018" t="inlineStr">
        <is>
          <t>000003959</t>
        </is>
      </c>
      <c r="F2018" t="inlineStr">
        <is>
          <t>R&amp;R TRANSPORTE E LOGISTICA</t>
        </is>
      </c>
      <c r="G2018" s="27" t="n">
        <v>45747</v>
      </c>
      <c r="H2018" s="14" t="n">
        <v>49.85</v>
      </c>
      <c r="I2018" s="14" t="n">
        <v>0</v>
      </c>
      <c r="J2018" s="14" t="n">
        <v>0</v>
      </c>
      <c r="K2018" s="14" t="n">
        <v>0</v>
      </c>
      <c r="L2018" s="14" t="n">
        <v>0</v>
      </c>
      <c r="M2018" s="14">
        <f>IF(B2018="Frete de venda",0,(1-ISNUMBER(SEARCH("556",P2018)))*(I2018*VLOOKUP($B2018,Premissas!$A$4:$E$7,2,0)+J2018*VLOOKUP($B2018,Premissas!$A$4:$E$7,3,0))+K2018*VLOOKUP($B2018,Premissas!$A$4:$E$7,4,0)+L2018*VLOOKUP($B2018,Premissas!$A$4:$E$7,5,0))</f>
        <v/>
      </c>
      <c r="N2018" s="14">
        <f>H2018-M2018</f>
        <v/>
      </c>
      <c r="O2018" t="inlineStr">
        <is>
          <t>Não</t>
        </is>
      </c>
      <c r="P2018" t="inlineStr">
        <is>
          <t>1.350</t>
        </is>
      </c>
    </row>
    <row r="2019">
      <c r="A2019" t="inlineStr">
        <is>
          <t>Antes de 2026</t>
        </is>
      </c>
      <c r="B2019" t="inlineStr">
        <is>
          <t>Frete de venda</t>
        </is>
      </c>
      <c r="C2019" t="inlineStr">
        <is>
          <t>Frete de venda (para clientes)</t>
        </is>
      </c>
      <c r="D2019" t="inlineStr">
        <is>
          <t>CT-e</t>
        </is>
      </c>
      <c r="E2019" t="inlineStr">
        <is>
          <t>000003945</t>
        </is>
      </c>
      <c r="F2019" t="inlineStr">
        <is>
          <t>R&amp;R TRANSPORTE E LOGISTICA</t>
        </is>
      </c>
      <c r="G2019" s="27" t="n">
        <v>45745</v>
      </c>
      <c r="H2019" s="14" t="n">
        <v>20</v>
      </c>
      <c r="I2019" s="14" t="n">
        <v>0</v>
      </c>
      <c r="J2019" s="14" t="n">
        <v>0</v>
      </c>
      <c r="K2019" s="14" t="n">
        <v>0</v>
      </c>
      <c r="L2019" s="14" t="n">
        <v>0</v>
      </c>
      <c r="M2019" s="14">
        <f>IF(B2019="Frete de venda",0,(1-ISNUMBER(SEARCH("556",P2019)))*(I2019*VLOOKUP($B2019,Premissas!$A$4:$E$7,2,0)+J2019*VLOOKUP($B2019,Premissas!$A$4:$E$7,3,0))+K2019*VLOOKUP($B2019,Premissas!$A$4:$E$7,4,0)+L2019*VLOOKUP($B2019,Premissas!$A$4:$E$7,5,0))</f>
        <v/>
      </c>
      <c r="N2019" s="14">
        <f>H2019-M2019</f>
        <v/>
      </c>
      <c r="O2019" t="inlineStr">
        <is>
          <t>Não</t>
        </is>
      </c>
      <c r="P2019" t="inlineStr">
        <is>
          <t>1.350</t>
        </is>
      </c>
    </row>
    <row r="2020">
      <c r="A2020" t="inlineStr">
        <is>
          <t>Antes de 2026</t>
        </is>
      </c>
      <c r="B2020" t="inlineStr">
        <is>
          <t>Frete de venda</t>
        </is>
      </c>
      <c r="C2020" t="inlineStr">
        <is>
          <t>Frete de venda (para clientes)</t>
        </is>
      </c>
      <c r="D2020" t="inlineStr">
        <is>
          <t>CT-e</t>
        </is>
      </c>
      <c r="E2020" t="inlineStr">
        <is>
          <t>000003935</t>
        </is>
      </c>
      <c r="F2020" t="inlineStr">
        <is>
          <t>R&amp;R TRANSPORTE E LOGISTICA</t>
        </is>
      </c>
      <c r="G2020" s="27" t="n">
        <v>45743</v>
      </c>
      <c r="H2020" s="14" t="n">
        <v>52.9</v>
      </c>
      <c r="I2020" s="14" t="n">
        <v>0</v>
      </c>
      <c r="J2020" s="14" t="n">
        <v>0</v>
      </c>
      <c r="K2020" s="14" t="n">
        <v>0</v>
      </c>
      <c r="L2020" s="14" t="n">
        <v>0</v>
      </c>
      <c r="M2020" s="14">
        <f>IF(B2020="Frete de venda",0,(1-ISNUMBER(SEARCH("556",P2020)))*(I2020*VLOOKUP($B2020,Premissas!$A$4:$E$7,2,0)+J2020*VLOOKUP($B2020,Premissas!$A$4:$E$7,3,0))+K2020*VLOOKUP($B2020,Premissas!$A$4:$E$7,4,0)+L2020*VLOOKUP($B2020,Premissas!$A$4:$E$7,5,0))</f>
        <v/>
      </c>
      <c r="N2020" s="14">
        <f>H2020-M2020</f>
        <v/>
      </c>
      <c r="O2020" t="inlineStr">
        <is>
          <t>Não</t>
        </is>
      </c>
      <c r="P2020" t="inlineStr">
        <is>
          <t>1.350</t>
        </is>
      </c>
    </row>
    <row r="2021">
      <c r="A2021" t="inlineStr">
        <is>
          <t>Antes de 2026</t>
        </is>
      </c>
      <c r="B2021" t="inlineStr">
        <is>
          <t>Frete de venda</t>
        </is>
      </c>
      <c r="C2021" t="inlineStr">
        <is>
          <t>Frete de venda (para clientes)</t>
        </is>
      </c>
      <c r="D2021" t="inlineStr">
        <is>
          <t>CT-e</t>
        </is>
      </c>
      <c r="E2021" t="inlineStr">
        <is>
          <t>000003912</t>
        </is>
      </c>
      <c r="F2021" t="inlineStr">
        <is>
          <t>R&amp;R TRANSPORTE E LOGISTICA</t>
        </is>
      </c>
      <c r="G2021" s="27" t="n">
        <v>45741</v>
      </c>
      <c r="H2021" s="14" t="n">
        <v>61.54</v>
      </c>
      <c r="I2021" s="14" t="n">
        <v>0</v>
      </c>
      <c r="J2021" s="14" t="n">
        <v>0</v>
      </c>
      <c r="K2021" s="14" t="n">
        <v>0</v>
      </c>
      <c r="L2021" s="14" t="n">
        <v>0</v>
      </c>
      <c r="M2021" s="14">
        <f>IF(B2021="Frete de venda",0,(1-ISNUMBER(SEARCH("556",P2021)))*(I2021*VLOOKUP($B2021,Premissas!$A$4:$E$7,2,0)+J2021*VLOOKUP($B2021,Premissas!$A$4:$E$7,3,0))+K2021*VLOOKUP($B2021,Premissas!$A$4:$E$7,4,0)+L2021*VLOOKUP($B2021,Premissas!$A$4:$E$7,5,0))</f>
        <v/>
      </c>
      <c r="N2021" s="14">
        <f>H2021-M2021</f>
        <v/>
      </c>
      <c r="O2021" t="inlineStr">
        <is>
          <t>Não</t>
        </is>
      </c>
      <c r="P2021" t="inlineStr">
        <is>
          <t>1.350</t>
        </is>
      </c>
    </row>
    <row r="2022">
      <c r="A2022" t="inlineStr">
        <is>
          <t>Antes de 2026</t>
        </is>
      </c>
      <c r="B2022" t="inlineStr">
        <is>
          <t>Frete de venda</t>
        </is>
      </c>
      <c r="C2022" t="inlineStr">
        <is>
          <t>Frete de venda (para clientes)</t>
        </is>
      </c>
      <c r="D2022" t="inlineStr">
        <is>
          <t>CT-e</t>
        </is>
      </c>
      <c r="E2022" t="inlineStr">
        <is>
          <t>000003895</t>
        </is>
      </c>
      <c r="F2022" t="inlineStr">
        <is>
          <t>R&amp;R TRANSPORTE E LOGISTICA</t>
        </is>
      </c>
      <c r="G2022" s="27" t="n">
        <v>45740</v>
      </c>
      <c r="H2022" s="14" t="n">
        <v>33.21</v>
      </c>
      <c r="I2022" s="14" t="n">
        <v>0</v>
      </c>
      <c r="J2022" s="14" t="n">
        <v>0</v>
      </c>
      <c r="K2022" s="14" t="n">
        <v>0</v>
      </c>
      <c r="L2022" s="14" t="n">
        <v>0</v>
      </c>
      <c r="M2022" s="14">
        <f>IF(B2022="Frete de venda",0,(1-ISNUMBER(SEARCH("556",P2022)))*(I2022*VLOOKUP($B2022,Premissas!$A$4:$E$7,2,0)+J2022*VLOOKUP($B2022,Premissas!$A$4:$E$7,3,0))+K2022*VLOOKUP($B2022,Premissas!$A$4:$E$7,4,0)+L2022*VLOOKUP($B2022,Premissas!$A$4:$E$7,5,0))</f>
        <v/>
      </c>
      <c r="N2022" s="14">
        <f>H2022-M2022</f>
        <v/>
      </c>
      <c r="O2022" t="inlineStr">
        <is>
          <t>Não</t>
        </is>
      </c>
      <c r="P2022" t="inlineStr">
        <is>
          <t>1.350</t>
        </is>
      </c>
    </row>
    <row r="2023">
      <c r="A2023" t="inlineStr">
        <is>
          <t>Antes de 2026</t>
        </is>
      </c>
      <c r="B2023" t="inlineStr">
        <is>
          <t>Frete de venda</t>
        </is>
      </c>
      <c r="C2023" t="inlineStr">
        <is>
          <t>Frete de venda (para clientes)</t>
        </is>
      </c>
      <c r="D2023" t="inlineStr">
        <is>
          <t>CT-e</t>
        </is>
      </c>
      <c r="E2023" t="inlineStr">
        <is>
          <t>000003900</t>
        </is>
      </c>
      <c r="F2023" t="inlineStr">
        <is>
          <t>R&amp;R TRANSPORTE E LOGISTICA</t>
        </is>
      </c>
      <c r="G2023" s="27" t="n">
        <v>45740</v>
      </c>
      <c r="H2023" s="14" t="n">
        <v>28.65</v>
      </c>
      <c r="I2023" s="14" t="n">
        <v>0</v>
      </c>
      <c r="J2023" s="14" t="n">
        <v>0</v>
      </c>
      <c r="K2023" s="14" t="n">
        <v>0</v>
      </c>
      <c r="L2023" s="14" t="n">
        <v>0</v>
      </c>
      <c r="M2023" s="14">
        <f>IF(B2023="Frete de venda",0,(1-ISNUMBER(SEARCH("556",P2023)))*(I2023*VLOOKUP($B2023,Premissas!$A$4:$E$7,2,0)+J2023*VLOOKUP($B2023,Premissas!$A$4:$E$7,3,0))+K2023*VLOOKUP($B2023,Premissas!$A$4:$E$7,4,0)+L2023*VLOOKUP($B2023,Premissas!$A$4:$E$7,5,0))</f>
        <v/>
      </c>
      <c r="N2023" s="14">
        <f>H2023-M2023</f>
        <v/>
      </c>
      <c r="O2023" t="inlineStr">
        <is>
          <t>Não</t>
        </is>
      </c>
      <c r="P2023" t="inlineStr">
        <is>
          <t>1.350</t>
        </is>
      </c>
    </row>
    <row r="2024">
      <c r="A2024" t="inlineStr">
        <is>
          <t>Antes de 2026</t>
        </is>
      </c>
      <c r="B2024" t="inlineStr">
        <is>
          <t>Frete de venda</t>
        </is>
      </c>
      <c r="C2024" t="inlineStr">
        <is>
          <t>Frete de venda (para clientes)</t>
        </is>
      </c>
      <c r="D2024" t="inlineStr">
        <is>
          <t>CT-e</t>
        </is>
      </c>
      <c r="E2024" t="inlineStr">
        <is>
          <t>000003916</t>
        </is>
      </c>
      <c r="F2024" t="inlineStr">
        <is>
          <t>R&amp;R TRANSPORTE E LOGISTICA</t>
        </is>
      </c>
      <c r="G2024" s="27" t="n">
        <v>45741</v>
      </c>
      <c r="H2024" s="14" t="n">
        <v>34.14</v>
      </c>
      <c r="I2024" s="14" t="n">
        <v>0</v>
      </c>
      <c r="J2024" s="14" t="n">
        <v>0</v>
      </c>
      <c r="K2024" s="14" t="n">
        <v>0</v>
      </c>
      <c r="L2024" s="14" t="n">
        <v>0</v>
      </c>
      <c r="M2024" s="14">
        <f>IF(B2024="Frete de venda",0,(1-ISNUMBER(SEARCH("556",P2024)))*(I2024*VLOOKUP($B2024,Premissas!$A$4:$E$7,2,0)+J2024*VLOOKUP($B2024,Premissas!$A$4:$E$7,3,0))+K2024*VLOOKUP($B2024,Premissas!$A$4:$E$7,4,0)+L2024*VLOOKUP($B2024,Premissas!$A$4:$E$7,5,0))</f>
        <v/>
      </c>
      <c r="N2024" s="14">
        <f>H2024-M2024</f>
        <v/>
      </c>
      <c r="O2024" t="inlineStr">
        <is>
          <t>Não</t>
        </is>
      </c>
      <c r="P2024" t="inlineStr">
        <is>
          <t>1.350</t>
        </is>
      </c>
    </row>
    <row r="2025">
      <c r="A2025" t="inlineStr">
        <is>
          <t>Antes de 2026</t>
        </is>
      </c>
      <c r="B2025" t="inlineStr">
        <is>
          <t>Frete de venda</t>
        </is>
      </c>
      <c r="C2025" t="inlineStr">
        <is>
          <t>Frete de venda (para clientes)</t>
        </is>
      </c>
      <c r="D2025" t="inlineStr">
        <is>
          <t>CT-e</t>
        </is>
      </c>
      <c r="E2025" t="inlineStr">
        <is>
          <t>000003928</t>
        </is>
      </c>
      <c r="F2025" t="inlineStr">
        <is>
          <t>R&amp;R TRANSPORTE E LOGISTICA</t>
        </is>
      </c>
      <c r="G2025" s="27" t="n">
        <v>45743</v>
      </c>
      <c r="H2025" s="14" t="n">
        <v>46.26</v>
      </c>
      <c r="I2025" s="14" t="n">
        <v>0</v>
      </c>
      <c r="J2025" s="14" t="n">
        <v>0</v>
      </c>
      <c r="K2025" s="14" t="n">
        <v>0</v>
      </c>
      <c r="L2025" s="14" t="n">
        <v>0</v>
      </c>
      <c r="M2025" s="14">
        <f>IF(B2025="Frete de venda",0,(1-ISNUMBER(SEARCH("556",P2025)))*(I2025*VLOOKUP($B2025,Premissas!$A$4:$E$7,2,0)+J2025*VLOOKUP($B2025,Premissas!$A$4:$E$7,3,0))+K2025*VLOOKUP($B2025,Premissas!$A$4:$E$7,4,0)+L2025*VLOOKUP($B2025,Premissas!$A$4:$E$7,5,0))</f>
        <v/>
      </c>
      <c r="N2025" s="14">
        <f>H2025-M2025</f>
        <v/>
      </c>
      <c r="O2025" t="inlineStr">
        <is>
          <t>Não</t>
        </is>
      </c>
      <c r="P2025" t="inlineStr">
        <is>
          <t>1.350</t>
        </is>
      </c>
    </row>
    <row r="2026">
      <c r="A2026" t="inlineStr">
        <is>
          <t>Antes de 2026</t>
        </is>
      </c>
      <c r="B2026" t="inlineStr">
        <is>
          <t>Frete de venda</t>
        </is>
      </c>
      <c r="C2026" t="inlineStr">
        <is>
          <t>Frete de venda (para clientes)</t>
        </is>
      </c>
      <c r="D2026" t="inlineStr">
        <is>
          <t>CT-e</t>
        </is>
      </c>
      <c r="E2026" t="inlineStr">
        <is>
          <t>000003926</t>
        </is>
      </c>
      <c r="F2026" t="inlineStr">
        <is>
          <t>R&amp;R TRANSPORTE E LOGISTICA</t>
        </is>
      </c>
      <c r="G2026" s="27" t="n">
        <v>45743</v>
      </c>
      <c r="H2026" s="14" t="n">
        <v>41.61</v>
      </c>
      <c r="I2026" s="14" t="n">
        <v>0</v>
      </c>
      <c r="J2026" s="14" t="n">
        <v>0</v>
      </c>
      <c r="K2026" s="14" t="n">
        <v>0</v>
      </c>
      <c r="L2026" s="14" t="n">
        <v>0</v>
      </c>
      <c r="M2026" s="14">
        <f>IF(B2026="Frete de venda",0,(1-ISNUMBER(SEARCH("556",P2026)))*(I2026*VLOOKUP($B2026,Premissas!$A$4:$E$7,2,0)+J2026*VLOOKUP($B2026,Premissas!$A$4:$E$7,3,0))+K2026*VLOOKUP($B2026,Premissas!$A$4:$E$7,4,0)+L2026*VLOOKUP($B2026,Premissas!$A$4:$E$7,5,0))</f>
        <v/>
      </c>
      <c r="N2026" s="14">
        <f>H2026-M2026</f>
        <v/>
      </c>
      <c r="O2026" t="inlineStr">
        <is>
          <t>Não</t>
        </is>
      </c>
      <c r="P2026" t="inlineStr">
        <is>
          <t>1.350</t>
        </is>
      </c>
    </row>
    <row r="2027">
      <c r="A2027" t="inlineStr">
        <is>
          <t>Antes de 2026</t>
        </is>
      </c>
      <c r="B2027" t="inlineStr">
        <is>
          <t>Frete de venda</t>
        </is>
      </c>
      <c r="C2027" t="inlineStr">
        <is>
          <t>Frete de venda (para clientes)</t>
        </is>
      </c>
      <c r="D2027" t="inlineStr">
        <is>
          <t>CT-e</t>
        </is>
      </c>
      <c r="E2027" t="inlineStr">
        <is>
          <t>000003918</t>
        </is>
      </c>
      <c r="F2027" t="inlineStr">
        <is>
          <t>R&amp;R TRANSPORTE E LOGISTICA</t>
        </is>
      </c>
      <c r="G2027" s="27" t="n">
        <v>45741</v>
      </c>
      <c r="H2027" s="14" t="n">
        <v>57.88</v>
      </c>
      <c r="I2027" s="14" t="n">
        <v>0</v>
      </c>
      <c r="J2027" s="14" t="n">
        <v>0</v>
      </c>
      <c r="K2027" s="14" t="n">
        <v>0</v>
      </c>
      <c r="L2027" s="14" t="n">
        <v>0</v>
      </c>
      <c r="M2027" s="14">
        <f>IF(B2027="Frete de venda",0,(1-ISNUMBER(SEARCH("556",P2027)))*(I2027*VLOOKUP($B2027,Premissas!$A$4:$E$7,2,0)+J2027*VLOOKUP($B2027,Premissas!$A$4:$E$7,3,0))+K2027*VLOOKUP($B2027,Premissas!$A$4:$E$7,4,0)+L2027*VLOOKUP($B2027,Premissas!$A$4:$E$7,5,0))</f>
        <v/>
      </c>
      <c r="N2027" s="14">
        <f>H2027-M2027</f>
        <v/>
      </c>
      <c r="O2027" t="inlineStr">
        <is>
          <t>Não</t>
        </is>
      </c>
      <c r="P2027" t="inlineStr">
        <is>
          <t>1.350</t>
        </is>
      </c>
    </row>
    <row r="2028">
      <c r="A2028" t="inlineStr">
        <is>
          <t>Antes de 2026</t>
        </is>
      </c>
      <c r="B2028" t="inlineStr">
        <is>
          <t>Frete de venda</t>
        </is>
      </c>
      <c r="C2028" t="inlineStr">
        <is>
          <t>Frete de venda (para clientes)</t>
        </is>
      </c>
      <c r="D2028" t="inlineStr">
        <is>
          <t>CT-e</t>
        </is>
      </c>
      <c r="E2028" t="inlineStr">
        <is>
          <t>000003936</t>
        </is>
      </c>
      <c r="F2028" t="inlineStr">
        <is>
          <t>R&amp;R TRANSPORTE E LOGISTICA</t>
        </is>
      </c>
      <c r="G2028" s="27" t="n">
        <v>45743</v>
      </c>
      <c r="H2028" s="14" t="n">
        <v>56.06</v>
      </c>
      <c r="I2028" s="14" t="n">
        <v>0</v>
      </c>
      <c r="J2028" s="14" t="n">
        <v>0</v>
      </c>
      <c r="K2028" s="14" t="n">
        <v>0</v>
      </c>
      <c r="L2028" s="14" t="n">
        <v>0</v>
      </c>
      <c r="M2028" s="14">
        <f>IF(B2028="Frete de venda",0,(1-ISNUMBER(SEARCH("556",P2028)))*(I2028*VLOOKUP($B2028,Premissas!$A$4:$E$7,2,0)+J2028*VLOOKUP($B2028,Premissas!$A$4:$E$7,3,0))+K2028*VLOOKUP($B2028,Premissas!$A$4:$E$7,4,0)+L2028*VLOOKUP($B2028,Premissas!$A$4:$E$7,5,0))</f>
        <v/>
      </c>
      <c r="N2028" s="14">
        <f>H2028-M2028</f>
        <v/>
      </c>
      <c r="O2028" t="inlineStr">
        <is>
          <t>Não</t>
        </is>
      </c>
      <c r="P2028" t="inlineStr">
        <is>
          <t>1.350</t>
        </is>
      </c>
    </row>
    <row r="2029">
      <c r="A2029" t="inlineStr">
        <is>
          <t>Antes de 2026</t>
        </is>
      </c>
      <c r="B2029" t="inlineStr">
        <is>
          <t>Frete de venda</t>
        </is>
      </c>
      <c r="C2029" t="inlineStr">
        <is>
          <t>Frete de venda (para clientes)</t>
        </is>
      </c>
      <c r="D2029" t="inlineStr">
        <is>
          <t>CT-e</t>
        </is>
      </c>
      <c r="E2029" t="inlineStr">
        <is>
          <t>000003946</t>
        </is>
      </c>
      <c r="F2029" t="inlineStr">
        <is>
          <t>R&amp;R TRANSPORTE E LOGISTICA</t>
        </is>
      </c>
      <c r="G2029" s="27" t="n">
        <v>45745</v>
      </c>
      <c r="H2029" s="14" t="n">
        <v>20</v>
      </c>
      <c r="I2029" s="14" t="n">
        <v>0</v>
      </c>
      <c r="J2029" s="14" t="n">
        <v>0</v>
      </c>
      <c r="K2029" s="14" t="n">
        <v>0</v>
      </c>
      <c r="L2029" s="14" t="n">
        <v>0</v>
      </c>
      <c r="M2029" s="14">
        <f>IF(B2029="Frete de venda",0,(1-ISNUMBER(SEARCH("556",P2029)))*(I2029*VLOOKUP($B2029,Premissas!$A$4:$E$7,2,0)+J2029*VLOOKUP($B2029,Premissas!$A$4:$E$7,3,0))+K2029*VLOOKUP($B2029,Premissas!$A$4:$E$7,4,0)+L2029*VLOOKUP($B2029,Premissas!$A$4:$E$7,5,0))</f>
        <v/>
      </c>
      <c r="N2029" s="14">
        <f>H2029-M2029</f>
        <v/>
      </c>
      <c r="O2029" t="inlineStr">
        <is>
          <t>Não</t>
        </is>
      </c>
      <c r="P2029" t="inlineStr">
        <is>
          <t>1.350</t>
        </is>
      </c>
    </row>
    <row r="2030">
      <c r="A2030" t="inlineStr">
        <is>
          <t>Antes de 2026</t>
        </is>
      </c>
      <c r="B2030" t="inlineStr">
        <is>
          <t>Frete de venda</t>
        </is>
      </c>
      <c r="C2030" t="inlineStr">
        <is>
          <t>Frete de venda (para clientes)</t>
        </is>
      </c>
      <c r="D2030" t="inlineStr">
        <is>
          <t>CT-e</t>
        </is>
      </c>
      <c r="E2030" t="inlineStr">
        <is>
          <t>000003930</t>
        </is>
      </c>
      <c r="F2030" t="inlineStr">
        <is>
          <t>R&amp;R TRANSPORTE E LOGISTICA</t>
        </is>
      </c>
      <c r="G2030" s="27" t="n">
        <v>45743</v>
      </c>
      <c r="H2030" s="14" t="n">
        <v>700</v>
      </c>
      <c r="I2030" s="14" t="n">
        <v>0</v>
      </c>
      <c r="J2030" s="14" t="n">
        <v>0</v>
      </c>
      <c r="K2030" s="14" t="n">
        <v>0</v>
      </c>
      <c r="L2030" s="14" t="n">
        <v>0</v>
      </c>
      <c r="M2030" s="14">
        <f>IF(B2030="Frete de venda",0,(1-ISNUMBER(SEARCH("556",P2030)))*(I2030*VLOOKUP($B2030,Premissas!$A$4:$E$7,2,0)+J2030*VLOOKUP($B2030,Premissas!$A$4:$E$7,3,0))+K2030*VLOOKUP($B2030,Premissas!$A$4:$E$7,4,0)+L2030*VLOOKUP($B2030,Premissas!$A$4:$E$7,5,0))</f>
        <v/>
      </c>
      <c r="N2030" s="14">
        <f>H2030-M2030</f>
        <v/>
      </c>
      <c r="O2030" t="inlineStr">
        <is>
          <t>Não</t>
        </is>
      </c>
      <c r="P2030" t="inlineStr">
        <is>
          <t>1.350</t>
        </is>
      </c>
    </row>
    <row r="2031">
      <c r="A2031" t="inlineStr">
        <is>
          <t>Antes de 2026</t>
        </is>
      </c>
      <c r="B2031" t="inlineStr">
        <is>
          <t>Frete de venda</t>
        </is>
      </c>
      <c r="C2031" t="inlineStr">
        <is>
          <t>Frete de venda (para clientes)</t>
        </is>
      </c>
      <c r="D2031" t="inlineStr">
        <is>
          <t>CT-e</t>
        </is>
      </c>
      <c r="E2031" t="inlineStr">
        <is>
          <t>000003894</t>
        </is>
      </c>
      <c r="F2031" t="inlineStr">
        <is>
          <t>R&amp;R TRANSPORTE E LOGISTICA</t>
        </is>
      </c>
      <c r="G2031" s="27" t="n">
        <v>45740</v>
      </c>
      <c r="H2031" s="14" t="n">
        <v>30.32</v>
      </c>
      <c r="I2031" s="14" t="n">
        <v>0</v>
      </c>
      <c r="J2031" s="14" t="n">
        <v>0</v>
      </c>
      <c r="K2031" s="14" t="n">
        <v>0</v>
      </c>
      <c r="L2031" s="14" t="n">
        <v>0</v>
      </c>
      <c r="M2031" s="14">
        <f>IF(B2031="Frete de venda",0,(1-ISNUMBER(SEARCH("556",P2031)))*(I2031*VLOOKUP($B2031,Premissas!$A$4:$E$7,2,0)+J2031*VLOOKUP($B2031,Premissas!$A$4:$E$7,3,0))+K2031*VLOOKUP($B2031,Premissas!$A$4:$E$7,4,0)+L2031*VLOOKUP($B2031,Premissas!$A$4:$E$7,5,0))</f>
        <v/>
      </c>
      <c r="N2031" s="14">
        <f>H2031-M2031</f>
        <v/>
      </c>
      <c r="O2031" t="inlineStr">
        <is>
          <t>Não</t>
        </is>
      </c>
      <c r="P2031" t="inlineStr">
        <is>
          <t>1.350</t>
        </is>
      </c>
    </row>
    <row r="2032">
      <c r="A2032" t="inlineStr">
        <is>
          <t>Antes de 2026</t>
        </is>
      </c>
      <c r="B2032" t="inlineStr">
        <is>
          <t>Insumos e papel</t>
        </is>
      </c>
      <c r="C2032" t="inlineStr">
        <is>
          <t>2.01.03 Compra de Matéria Prima (Papel)</t>
        </is>
      </c>
      <c r="D2032" t="inlineStr">
        <is>
          <t>NF-e</t>
        </is>
      </c>
      <c r="E2032" t="inlineStr">
        <is>
          <t>000011037</t>
        </is>
      </c>
      <c r="F2032" t="inlineStr">
        <is>
          <t>CMPC Iguacu Embalagens Ltda</t>
        </is>
      </c>
      <c r="G2032" s="27" t="n">
        <v>45959</v>
      </c>
      <c r="H2032" s="14" t="n">
        <v>136263.73</v>
      </c>
      <c r="I2032" s="14" t="n">
        <v>4289.17</v>
      </c>
      <c r="J2032" s="14" t="n">
        <v>9238.219999999999</v>
      </c>
      <c r="K2032" s="14" t="n">
        <v>2025.15</v>
      </c>
      <c r="L2032" s="14" t="n">
        <v>9327.969999999999</v>
      </c>
      <c r="M2032" s="14">
        <f>IF(B2032="Frete de venda",0,(1-ISNUMBER(SEARCH("556",P2032)))*(I2032*VLOOKUP($B2032,Premissas!$A$4:$E$7,2,0)+J2032*VLOOKUP($B2032,Premissas!$A$4:$E$7,3,0))+K2032*VLOOKUP($B2032,Premissas!$A$4:$E$7,4,0)+L2032*VLOOKUP($B2032,Premissas!$A$4:$E$7,5,0))</f>
        <v/>
      </c>
      <c r="N2032" s="14">
        <f>H2032-M2032</f>
        <v/>
      </c>
      <c r="O2032" t="inlineStr">
        <is>
          <t>Sim</t>
        </is>
      </c>
      <c r="P2032" t="inlineStr">
        <is>
          <t>1.556</t>
        </is>
      </c>
    </row>
    <row r="2033">
      <c r="A2033" t="inlineStr">
        <is>
          <t>Antes de 2026</t>
        </is>
      </c>
      <c r="B2033" t="inlineStr">
        <is>
          <t>Insumos e papel</t>
        </is>
      </c>
      <c r="C2033" t="inlineStr">
        <is>
          <t>2.01.03 Compra de Matéria Prima (Papel)</t>
        </is>
      </c>
      <c r="D2033" t="inlineStr">
        <is>
          <t>NF-e</t>
        </is>
      </c>
      <c r="E2033" t="inlineStr">
        <is>
          <t>000011343</t>
        </is>
      </c>
      <c r="F2033" t="inlineStr">
        <is>
          <t>CMPC Iguacu Embalagens Ltda</t>
        </is>
      </c>
      <c r="G2033" s="27" t="n">
        <v>45987</v>
      </c>
      <c r="H2033" s="14" t="n">
        <v>141745.88</v>
      </c>
      <c r="I2033" s="14" t="n">
        <v>4461.73</v>
      </c>
      <c r="J2033" s="14" t="n">
        <v>9609.889999999999</v>
      </c>
      <c r="K2033" s="14" t="n">
        <v>2106.63</v>
      </c>
      <c r="L2033" s="14" t="n">
        <v>9703.24</v>
      </c>
      <c r="M2033" s="14">
        <f>IF(B2033="Frete de venda",0,(1-ISNUMBER(SEARCH("556",P2033)))*(I2033*VLOOKUP($B2033,Premissas!$A$4:$E$7,2,0)+J2033*VLOOKUP($B2033,Premissas!$A$4:$E$7,3,0))+K2033*VLOOKUP($B2033,Premissas!$A$4:$E$7,4,0)+L2033*VLOOKUP($B2033,Premissas!$A$4:$E$7,5,0))</f>
        <v/>
      </c>
      <c r="N2033" s="14">
        <f>H2033-M2033</f>
        <v/>
      </c>
      <c r="O2033" t="inlineStr">
        <is>
          <t>Sim</t>
        </is>
      </c>
      <c r="P2033" t="inlineStr">
        <is>
          <t>1.556</t>
        </is>
      </c>
    </row>
    <row r="2034">
      <c r="A2034" t="inlineStr">
        <is>
          <t>Antes de 2026</t>
        </is>
      </c>
      <c r="B2034" t="inlineStr">
        <is>
          <t>Insumos e papel</t>
        </is>
      </c>
      <c r="C2034" t="inlineStr">
        <is>
          <t>2.01.03 Compra de Matéria Prima (Papel)</t>
        </is>
      </c>
      <c r="D2034" t="inlineStr">
        <is>
          <t>NF-e</t>
        </is>
      </c>
      <c r="E2034" t="inlineStr">
        <is>
          <t>000011345</t>
        </is>
      </c>
      <c r="F2034" t="inlineStr">
        <is>
          <t>CMPC Iguacu Embalagens Ltda</t>
        </is>
      </c>
      <c r="G2034" s="27" t="n">
        <v>45987</v>
      </c>
      <c r="H2034" s="14" t="n">
        <v>142813.51</v>
      </c>
      <c r="I2034" s="14" t="n">
        <v>4495.35</v>
      </c>
      <c r="J2034" s="14" t="n">
        <v>9682.280000000001</v>
      </c>
      <c r="K2034" s="14" t="n">
        <v>2122.5</v>
      </c>
      <c r="L2034" s="14" t="n">
        <v>9776.33</v>
      </c>
      <c r="M2034" s="14">
        <f>IF(B2034="Frete de venda",0,(1-ISNUMBER(SEARCH("556",P2034)))*(I2034*VLOOKUP($B2034,Premissas!$A$4:$E$7,2,0)+J2034*VLOOKUP($B2034,Premissas!$A$4:$E$7,3,0))+K2034*VLOOKUP($B2034,Premissas!$A$4:$E$7,4,0)+L2034*VLOOKUP($B2034,Premissas!$A$4:$E$7,5,0))</f>
        <v/>
      </c>
      <c r="N2034" s="14">
        <f>H2034-M2034</f>
        <v/>
      </c>
      <c r="O2034" t="inlineStr">
        <is>
          <t>Sim</t>
        </is>
      </c>
      <c r="P2034" t="inlineStr">
        <is>
          <t>1.556</t>
        </is>
      </c>
    </row>
    <row r="2035">
      <c r="A2035" t="inlineStr">
        <is>
          <t>Antes de 2026</t>
        </is>
      </c>
      <c r="B2035" t="inlineStr">
        <is>
          <t>Insumos e papel</t>
        </is>
      </c>
      <c r="C2035" t="inlineStr">
        <is>
          <t>2.01.03 Compra de Matéria Prima (Papel)</t>
        </is>
      </c>
      <c r="D2035" t="inlineStr">
        <is>
          <t>NF-e</t>
        </is>
      </c>
      <c r="E2035" t="inlineStr">
        <is>
          <t>000011351</t>
        </is>
      </c>
      <c r="F2035" t="inlineStr">
        <is>
          <t>CMPC Iguacu Embalagens Ltda</t>
        </is>
      </c>
      <c r="G2035" s="27" t="n">
        <v>45987</v>
      </c>
      <c r="H2035" s="14" t="n">
        <v>142781.47</v>
      </c>
      <c r="I2035" s="14" t="n">
        <v>4494.33</v>
      </c>
      <c r="J2035" s="14" t="n">
        <v>9680.1</v>
      </c>
      <c r="K2035" s="14" t="n">
        <v>2122.02</v>
      </c>
      <c r="L2035" s="14" t="n">
        <v>9774.129999999999</v>
      </c>
      <c r="M2035" s="14">
        <f>IF(B2035="Frete de venda",0,(1-ISNUMBER(SEARCH("556",P2035)))*(I2035*VLOOKUP($B2035,Premissas!$A$4:$E$7,2,0)+J2035*VLOOKUP($B2035,Premissas!$A$4:$E$7,3,0))+K2035*VLOOKUP($B2035,Premissas!$A$4:$E$7,4,0)+L2035*VLOOKUP($B2035,Premissas!$A$4:$E$7,5,0))</f>
        <v/>
      </c>
      <c r="N2035" s="14">
        <f>H2035-M2035</f>
        <v/>
      </c>
      <c r="O2035" t="inlineStr">
        <is>
          <t>Sim</t>
        </is>
      </c>
      <c r="P2035" t="inlineStr">
        <is>
          <t>1.556</t>
        </is>
      </c>
    </row>
    <row r="2036">
      <c r="A2036" t="inlineStr">
        <is>
          <t>Antes de 2026</t>
        </is>
      </c>
      <c r="B2036" t="inlineStr">
        <is>
          <t>Insumos e papel</t>
        </is>
      </c>
      <c r="C2036" t="inlineStr">
        <is>
          <t>2.01.03 Compra de Matéria Prima (Papel)</t>
        </is>
      </c>
      <c r="D2036" t="inlineStr">
        <is>
          <t>NF-e</t>
        </is>
      </c>
      <c r="E2036" t="inlineStr">
        <is>
          <t>000011363</t>
        </is>
      </c>
      <c r="F2036" t="inlineStr">
        <is>
          <t>CMPC Iguacu Embalagens Ltda</t>
        </is>
      </c>
      <c r="G2036" s="27" t="n">
        <v>45988</v>
      </c>
      <c r="H2036" s="14" t="n">
        <v>142674.71</v>
      </c>
      <c r="I2036" s="14" t="n">
        <v>4490.97</v>
      </c>
      <c r="J2036" s="14" t="n">
        <v>9672.860000000001</v>
      </c>
      <c r="K2036" s="14" t="n">
        <v>2120.43</v>
      </c>
      <c r="L2036" s="14" t="n">
        <v>9766.82</v>
      </c>
      <c r="M2036" s="14">
        <f>IF(B2036="Frete de venda",0,(1-ISNUMBER(SEARCH("556",P2036)))*(I2036*VLOOKUP($B2036,Premissas!$A$4:$E$7,2,0)+J2036*VLOOKUP($B2036,Premissas!$A$4:$E$7,3,0))+K2036*VLOOKUP($B2036,Premissas!$A$4:$E$7,4,0)+L2036*VLOOKUP($B2036,Premissas!$A$4:$E$7,5,0))</f>
        <v/>
      </c>
      <c r="N2036" s="14">
        <f>H2036-M2036</f>
        <v/>
      </c>
      <c r="O2036" t="inlineStr">
        <is>
          <t>Sim</t>
        </is>
      </c>
      <c r="P2036" t="inlineStr">
        <is>
          <t>1.556</t>
        </is>
      </c>
    </row>
    <row r="2037">
      <c r="A2037" t="inlineStr">
        <is>
          <t>Antes de 2026</t>
        </is>
      </c>
      <c r="B2037" t="inlineStr">
        <is>
          <t>Insumos e papel</t>
        </is>
      </c>
      <c r="C2037" t="inlineStr">
        <is>
          <t>2.01.03 Compra de Matéria Prima (Papel)</t>
        </is>
      </c>
      <c r="D2037" t="inlineStr">
        <is>
          <t>NF-e</t>
        </is>
      </c>
      <c r="E2037" t="inlineStr">
        <is>
          <t>000011391</t>
        </is>
      </c>
      <c r="F2037" t="inlineStr">
        <is>
          <t>CMPC Iguacu Embalagens Ltda</t>
        </is>
      </c>
      <c r="G2037" s="27" t="n">
        <v>45989</v>
      </c>
      <c r="H2037" s="14" t="n">
        <v>143069.72</v>
      </c>
      <c r="I2037" s="14" t="n">
        <v>4503.4</v>
      </c>
      <c r="J2037" s="14" t="n">
        <v>9699.639999999999</v>
      </c>
      <c r="K2037" s="14" t="n">
        <v>2126.31</v>
      </c>
      <c r="L2037" s="14" t="n">
        <v>9793.860000000001</v>
      </c>
      <c r="M2037" s="14">
        <f>IF(B2037="Frete de venda",0,(1-ISNUMBER(SEARCH("556",P2037)))*(I2037*VLOOKUP($B2037,Premissas!$A$4:$E$7,2,0)+J2037*VLOOKUP($B2037,Premissas!$A$4:$E$7,3,0))+K2037*VLOOKUP($B2037,Premissas!$A$4:$E$7,4,0)+L2037*VLOOKUP($B2037,Premissas!$A$4:$E$7,5,0))</f>
        <v/>
      </c>
      <c r="N2037" s="14">
        <f>H2037-M2037</f>
        <v/>
      </c>
      <c r="O2037" t="inlineStr">
        <is>
          <t>Sim</t>
        </is>
      </c>
      <c r="P2037" t="inlineStr">
        <is>
          <t>1.556</t>
        </is>
      </c>
    </row>
    <row r="2038">
      <c r="A2038" t="inlineStr">
        <is>
          <t>Antes de 2026</t>
        </is>
      </c>
      <c r="B2038" t="inlineStr">
        <is>
          <t>Insumos e papel</t>
        </is>
      </c>
      <c r="C2038" t="inlineStr">
        <is>
          <t>2.01.03 Compra de Matéria Prima (Papel)</t>
        </is>
      </c>
      <c r="D2038" t="inlineStr">
        <is>
          <t>NF-e</t>
        </is>
      </c>
      <c r="E2038" t="inlineStr">
        <is>
          <t>000011668</t>
        </is>
      </c>
      <c r="F2038" t="inlineStr">
        <is>
          <t>CMPC Iguacu Embalagens Ltda</t>
        </is>
      </c>
      <c r="G2038" s="27" t="n">
        <v>46010</v>
      </c>
      <c r="H2038" s="14" t="n">
        <v>140406.05</v>
      </c>
      <c r="I2038" s="14" t="n">
        <v>4419.56</v>
      </c>
      <c r="J2038" s="14" t="n">
        <v>9519.049999999999</v>
      </c>
      <c r="K2038" s="14" t="n">
        <v>2086.71</v>
      </c>
      <c r="L2038" s="14" t="n">
        <v>9611.530000000001</v>
      </c>
      <c r="M2038" s="14">
        <f>IF(B2038="Frete de venda",0,(1-ISNUMBER(SEARCH("556",P2038)))*(I2038*VLOOKUP($B2038,Premissas!$A$4:$E$7,2,0)+J2038*VLOOKUP($B2038,Premissas!$A$4:$E$7,3,0))+K2038*VLOOKUP($B2038,Premissas!$A$4:$E$7,4,0)+L2038*VLOOKUP($B2038,Premissas!$A$4:$E$7,5,0))</f>
        <v/>
      </c>
      <c r="N2038" s="14">
        <f>H2038-M2038</f>
        <v/>
      </c>
      <c r="O2038" t="inlineStr">
        <is>
          <t>Sim</t>
        </is>
      </c>
      <c r="P2038" t="inlineStr">
        <is>
          <t>1.556</t>
        </is>
      </c>
    </row>
    <row r="2039">
      <c r="A2039" t="inlineStr">
        <is>
          <t>Antes de 2026</t>
        </is>
      </c>
      <c r="B2039" t="inlineStr">
        <is>
          <t>Insumos e papel</t>
        </is>
      </c>
      <c r="C2039" t="inlineStr">
        <is>
          <t>2.01.03 Compra de Matéria Prima (Papel)</t>
        </is>
      </c>
      <c r="D2039" t="inlineStr">
        <is>
          <t>NF-e</t>
        </is>
      </c>
      <c r="E2039" t="inlineStr">
        <is>
          <t>000011671</t>
        </is>
      </c>
      <c r="F2039" t="inlineStr">
        <is>
          <t>CMPC Iguacu Embalagens Ltda</t>
        </is>
      </c>
      <c r="G2039" s="27" t="n">
        <v>46010</v>
      </c>
      <c r="H2039" s="14" t="n">
        <v>141078.64</v>
      </c>
      <c r="I2039" s="14" t="n">
        <v>4440.73</v>
      </c>
      <c r="J2039" s="14" t="n">
        <v>9564.65</v>
      </c>
      <c r="K2039" s="14" t="n">
        <v>2096.71</v>
      </c>
      <c r="L2039" s="14" t="n">
        <v>9657.57</v>
      </c>
      <c r="M2039" s="14">
        <f>IF(B2039="Frete de venda",0,(1-ISNUMBER(SEARCH("556",P2039)))*(I2039*VLOOKUP($B2039,Premissas!$A$4:$E$7,2,0)+J2039*VLOOKUP($B2039,Premissas!$A$4:$E$7,3,0))+K2039*VLOOKUP($B2039,Premissas!$A$4:$E$7,4,0)+L2039*VLOOKUP($B2039,Premissas!$A$4:$E$7,5,0))</f>
        <v/>
      </c>
      <c r="N2039" s="14">
        <f>H2039-M2039</f>
        <v/>
      </c>
      <c r="O2039" t="inlineStr">
        <is>
          <t>Sim</t>
        </is>
      </c>
      <c r="P2039" t="inlineStr">
        <is>
          <t>1.556</t>
        </is>
      </c>
    </row>
    <row r="2040">
      <c r="A2040" t="inlineStr">
        <is>
          <t>Antes de 2026</t>
        </is>
      </c>
      <c r="B2040" t="inlineStr">
        <is>
          <t>Insumos e papel</t>
        </is>
      </c>
      <c r="C2040" t="inlineStr">
        <is>
          <t>2.01.03 Compra de Matéria Prima (Papel)</t>
        </is>
      </c>
      <c r="D2040" t="inlineStr">
        <is>
          <t>NF-e</t>
        </is>
      </c>
      <c r="E2040" t="inlineStr">
        <is>
          <t>000011682</t>
        </is>
      </c>
      <c r="F2040" t="inlineStr">
        <is>
          <t>CMPC Iguacu Embalagens Ltda</t>
        </is>
      </c>
      <c r="G2040" s="27" t="n">
        <v>46010</v>
      </c>
      <c r="H2040" s="14" t="n">
        <v>141238.77</v>
      </c>
      <c r="I2040" s="14" t="n">
        <v>4445.77</v>
      </c>
      <c r="J2040" s="14" t="n">
        <v>9575.51</v>
      </c>
      <c r="K2040" s="14" t="n">
        <v>2099.09</v>
      </c>
      <c r="L2040" s="14" t="n">
        <v>9668.530000000001</v>
      </c>
      <c r="M2040" s="14">
        <f>IF(B2040="Frete de venda",0,(1-ISNUMBER(SEARCH("556",P2040)))*(I2040*VLOOKUP($B2040,Premissas!$A$4:$E$7,2,0)+J2040*VLOOKUP($B2040,Premissas!$A$4:$E$7,3,0))+K2040*VLOOKUP($B2040,Premissas!$A$4:$E$7,4,0)+L2040*VLOOKUP($B2040,Premissas!$A$4:$E$7,5,0))</f>
        <v/>
      </c>
      <c r="N2040" s="14">
        <f>H2040-M2040</f>
        <v/>
      </c>
      <c r="O2040" t="inlineStr">
        <is>
          <t>Sim</t>
        </is>
      </c>
      <c r="P2040" t="inlineStr">
        <is>
          <t>1.556</t>
        </is>
      </c>
    </row>
    <row r="2041">
      <c r="A2041" t="inlineStr">
        <is>
          <t>Antes de 2026</t>
        </is>
      </c>
      <c r="B2041" t="inlineStr">
        <is>
          <t>Insumos e papel</t>
        </is>
      </c>
      <c r="C2041" t="inlineStr">
        <is>
          <t>2.01.03 Compra de Matéria Prima (Papel)</t>
        </is>
      </c>
      <c r="D2041" t="inlineStr">
        <is>
          <t>NF-e</t>
        </is>
      </c>
      <c r="E2041" t="inlineStr">
        <is>
          <t>000011684</t>
        </is>
      </c>
      <c r="F2041" t="inlineStr">
        <is>
          <t>CMPC Iguacu Embalagens Ltda</t>
        </is>
      </c>
      <c r="G2041" s="27" t="n">
        <v>46010</v>
      </c>
      <c r="H2041" s="14" t="n">
        <v>142503.91</v>
      </c>
      <c r="I2041" s="14" t="n">
        <v>4485.6</v>
      </c>
      <c r="J2041" s="14" t="n">
        <v>9661.290000000001</v>
      </c>
      <c r="K2041" s="14" t="n">
        <v>2117.88</v>
      </c>
      <c r="L2041" s="14" t="n">
        <v>9755.129999999999</v>
      </c>
      <c r="M2041" s="14">
        <f>IF(B2041="Frete de venda",0,(1-ISNUMBER(SEARCH("556",P2041)))*(I2041*VLOOKUP($B2041,Premissas!$A$4:$E$7,2,0)+J2041*VLOOKUP($B2041,Premissas!$A$4:$E$7,3,0))+K2041*VLOOKUP($B2041,Premissas!$A$4:$E$7,4,0)+L2041*VLOOKUP($B2041,Premissas!$A$4:$E$7,5,0))</f>
        <v/>
      </c>
      <c r="N2041" s="14">
        <f>H2041-M2041</f>
        <v/>
      </c>
      <c r="O2041" t="inlineStr">
        <is>
          <t>Sim</t>
        </is>
      </c>
      <c r="P2041" t="inlineStr">
        <is>
          <t>1.556</t>
        </is>
      </c>
    </row>
    <row r="2042">
      <c r="A2042" t="inlineStr">
        <is>
          <t>Antes de 2026</t>
        </is>
      </c>
      <c r="B2042" t="inlineStr">
        <is>
          <t>Insumos e papel</t>
        </is>
      </c>
      <c r="C2042" t="inlineStr">
        <is>
          <t>2.01.03 Compra de Matéria Prima (Papel)</t>
        </is>
      </c>
      <c r="D2042" t="inlineStr">
        <is>
          <t>NF-e</t>
        </is>
      </c>
      <c r="E2042" t="inlineStr">
        <is>
          <t>000011695</t>
        </is>
      </c>
      <c r="F2042" t="inlineStr">
        <is>
          <t>CMPC Iguacu Embalagens Ltda</t>
        </is>
      </c>
      <c r="G2042" s="27" t="n">
        <v>46013</v>
      </c>
      <c r="H2042" s="14" t="n">
        <v>144628.42</v>
      </c>
      <c r="I2042" s="14" t="n">
        <v>4552.47</v>
      </c>
      <c r="J2042" s="14" t="n">
        <v>9805.32</v>
      </c>
      <c r="K2042" s="14" t="n">
        <v>2149.47</v>
      </c>
      <c r="L2042" s="14" t="n">
        <v>9900.57</v>
      </c>
      <c r="M2042" s="14">
        <f>IF(B2042="Frete de venda",0,(1-ISNUMBER(SEARCH("556",P2042)))*(I2042*VLOOKUP($B2042,Premissas!$A$4:$E$7,2,0)+J2042*VLOOKUP($B2042,Premissas!$A$4:$E$7,3,0))+K2042*VLOOKUP($B2042,Premissas!$A$4:$E$7,4,0)+L2042*VLOOKUP($B2042,Premissas!$A$4:$E$7,5,0))</f>
        <v/>
      </c>
      <c r="N2042" s="14">
        <f>H2042-M2042</f>
        <v/>
      </c>
      <c r="O2042" t="inlineStr">
        <is>
          <t>Sim</t>
        </is>
      </c>
      <c r="P2042" t="inlineStr">
        <is>
          <t>1.556</t>
        </is>
      </c>
    </row>
    <row r="2043">
      <c r="A2043" t="inlineStr">
        <is>
          <t>Antes de 2026</t>
        </is>
      </c>
      <c r="B2043" t="inlineStr">
        <is>
          <t>Insumos e papel</t>
        </is>
      </c>
      <c r="C2043" t="inlineStr">
        <is>
          <t>2.01.03 Compra de Matéria Prima (Papel)</t>
        </is>
      </c>
      <c r="D2043" t="inlineStr">
        <is>
          <t>NF-e</t>
        </is>
      </c>
      <c r="E2043" t="inlineStr">
        <is>
          <t>000011698</t>
        </is>
      </c>
      <c r="F2043" t="inlineStr">
        <is>
          <t>CMPC Iguacu Embalagens Ltda</t>
        </is>
      </c>
      <c r="G2043" s="27" t="n">
        <v>46013</v>
      </c>
      <c r="H2043" s="14" t="n">
        <v>143576.83</v>
      </c>
      <c r="I2043" s="14" t="n">
        <v>4519.36</v>
      </c>
      <c r="J2043" s="14" t="n">
        <v>9734.030000000001</v>
      </c>
      <c r="K2043" s="14" t="n">
        <v>2133.84</v>
      </c>
      <c r="L2043" s="14" t="n">
        <v>9828.58</v>
      </c>
      <c r="M2043" s="14">
        <f>IF(B2043="Frete de venda",0,(1-ISNUMBER(SEARCH("556",P2043)))*(I2043*VLOOKUP($B2043,Premissas!$A$4:$E$7,2,0)+J2043*VLOOKUP($B2043,Premissas!$A$4:$E$7,3,0))+K2043*VLOOKUP($B2043,Premissas!$A$4:$E$7,4,0)+L2043*VLOOKUP($B2043,Premissas!$A$4:$E$7,5,0))</f>
        <v/>
      </c>
      <c r="N2043" s="14">
        <f>H2043-M2043</f>
        <v/>
      </c>
      <c r="O2043" t="inlineStr">
        <is>
          <t>Sim</t>
        </is>
      </c>
      <c r="P2043" t="inlineStr">
        <is>
          <t>1.556</t>
        </is>
      </c>
    </row>
    <row r="2044">
      <c r="A2044" t="inlineStr">
        <is>
          <t>Antes de 2026</t>
        </is>
      </c>
      <c r="B2044" t="inlineStr">
        <is>
          <t>Insumos e papel</t>
        </is>
      </c>
      <c r="C2044" t="inlineStr">
        <is>
          <t>2.01.03 Compra de Matéria Prima (Papel)</t>
        </is>
      </c>
      <c r="D2044" t="inlineStr">
        <is>
          <t>NF-e</t>
        </is>
      </c>
      <c r="E2044" t="inlineStr">
        <is>
          <t>000011702</t>
        </is>
      </c>
      <c r="F2044" t="inlineStr">
        <is>
          <t>CMPC Iguacu Embalagens Ltda</t>
        </is>
      </c>
      <c r="G2044" s="27" t="n">
        <v>46013</v>
      </c>
      <c r="H2044" s="14" t="n">
        <v>144591.05</v>
      </c>
      <c r="I2044" s="14" t="n">
        <v>4551.29</v>
      </c>
      <c r="J2044" s="14" t="n">
        <v>9802.790000000001</v>
      </c>
      <c r="K2044" s="14" t="n">
        <v>2148.91</v>
      </c>
      <c r="L2044" s="14" t="n">
        <v>9898.01</v>
      </c>
      <c r="M2044" s="14">
        <f>IF(B2044="Frete de venda",0,(1-ISNUMBER(SEARCH("556",P2044)))*(I2044*VLOOKUP($B2044,Premissas!$A$4:$E$7,2,0)+J2044*VLOOKUP($B2044,Premissas!$A$4:$E$7,3,0))+K2044*VLOOKUP($B2044,Premissas!$A$4:$E$7,4,0)+L2044*VLOOKUP($B2044,Premissas!$A$4:$E$7,5,0))</f>
        <v/>
      </c>
      <c r="N2044" s="14">
        <f>H2044-M2044</f>
        <v/>
      </c>
      <c r="O2044" t="inlineStr">
        <is>
          <t>Sim</t>
        </is>
      </c>
      <c r="P2044" t="inlineStr">
        <is>
          <t>1.556</t>
        </is>
      </c>
    </row>
    <row r="2045">
      <c r="A2045" t="inlineStr">
        <is>
          <t>Antes de 2026</t>
        </is>
      </c>
      <c r="B2045" t="inlineStr">
        <is>
          <t>Insumos e papel</t>
        </is>
      </c>
      <c r="C2045" t="inlineStr">
        <is>
          <t>2.01.03 Compra de Matéria Prima (Papel)</t>
        </is>
      </c>
      <c r="D2045" t="inlineStr">
        <is>
          <t>NF-e</t>
        </is>
      </c>
      <c r="E2045" t="inlineStr">
        <is>
          <t>000011704</t>
        </is>
      </c>
      <c r="F2045" t="inlineStr">
        <is>
          <t>CMPC Iguacu Embalagens Ltda</t>
        </is>
      </c>
      <c r="G2045" s="27" t="n">
        <v>46013</v>
      </c>
      <c r="H2045" s="14" t="n">
        <v>142904.24</v>
      </c>
      <c r="I2045" s="14" t="n">
        <v>4498.2</v>
      </c>
      <c r="J2045" s="14" t="n">
        <v>9688.42</v>
      </c>
      <c r="K2045" s="14" t="n">
        <v>2123.84</v>
      </c>
      <c r="L2045" s="14" t="n">
        <v>9782.540000000001</v>
      </c>
      <c r="M2045" s="14">
        <f>IF(B2045="Frete de venda",0,(1-ISNUMBER(SEARCH("556",P2045)))*(I2045*VLOOKUP($B2045,Premissas!$A$4:$E$7,2,0)+J2045*VLOOKUP($B2045,Premissas!$A$4:$E$7,3,0))+K2045*VLOOKUP($B2045,Premissas!$A$4:$E$7,4,0)+L2045*VLOOKUP($B2045,Premissas!$A$4:$E$7,5,0))</f>
        <v/>
      </c>
      <c r="N2045" s="14">
        <f>H2045-M2045</f>
        <v/>
      </c>
      <c r="O2045" t="inlineStr">
        <is>
          <t>Sim</t>
        </is>
      </c>
      <c r="P2045" t="inlineStr">
        <is>
          <t>1.556</t>
        </is>
      </c>
    </row>
    <row r="2046">
      <c r="A2046" t="inlineStr">
        <is>
          <t>Antes de 2026</t>
        </is>
      </c>
      <c r="B2046" t="inlineStr">
        <is>
          <t>Insumos e papel</t>
        </is>
      </c>
      <c r="C2046" t="inlineStr">
        <is>
          <t>2.01.03 Compra de Matéria Prima (Papel)</t>
        </is>
      </c>
      <c r="D2046" t="inlineStr">
        <is>
          <t>NF-e</t>
        </is>
      </c>
      <c r="E2046" t="inlineStr">
        <is>
          <t>000011719</t>
        </is>
      </c>
      <c r="F2046" t="inlineStr">
        <is>
          <t>CMPC Iguacu Embalagens Ltda</t>
        </is>
      </c>
      <c r="G2046" s="27" t="n">
        <v>46014</v>
      </c>
      <c r="H2046" s="14" t="n">
        <v>142039.47</v>
      </c>
      <c r="I2046" s="14" t="n">
        <v>4470.97</v>
      </c>
      <c r="J2046" s="14" t="n">
        <v>9629.799999999999</v>
      </c>
      <c r="K2046" s="14" t="n">
        <v>2110.99</v>
      </c>
      <c r="L2046" s="14" t="n">
        <v>9723.35</v>
      </c>
      <c r="M2046" s="14">
        <f>IF(B2046="Frete de venda",0,(1-ISNUMBER(SEARCH("556",P2046)))*(I2046*VLOOKUP($B2046,Premissas!$A$4:$E$7,2,0)+J2046*VLOOKUP($B2046,Premissas!$A$4:$E$7,3,0))+K2046*VLOOKUP($B2046,Premissas!$A$4:$E$7,4,0)+L2046*VLOOKUP($B2046,Premissas!$A$4:$E$7,5,0))</f>
        <v/>
      </c>
      <c r="N2046" s="14">
        <f>H2046-M2046</f>
        <v/>
      </c>
      <c r="O2046" t="inlineStr">
        <is>
          <t>Sim</t>
        </is>
      </c>
      <c r="P2046" t="inlineStr">
        <is>
          <t>1.556</t>
        </is>
      </c>
    </row>
    <row r="2047">
      <c r="A2047" t="inlineStr">
        <is>
          <t>Antes de 2026</t>
        </is>
      </c>
      <c r="B2047" t="inlineStr">
        <is>
          <t>Insumos e papel</t>
        </is>
      </c>
      <c r="C2047" t="inlineStr">
        <is>
          <t>2.01.03 Compra de Matéria Prima (Papel)</t>
        </is>
      </c>
      <c r="D2047" t="inlineStr">
        <is>
          <t>NF-e</t>
        </is>
      </c>
      <c r="E2047" t="inlineStr">
        <is>
          <t>000011727</t>
        </is>
      </c>
      <c r="F2047" t="inlineStr">
        <is>
          <t>CMPC Iguacu Embalagens Ltda</t>
        </is>
      </c>
      <c r="G2047" s="27" t="n">
        <v>46014</v>
      </c>
      <c r="H2047" s="14" t="n">
        <v>140438.08</v>
      </c>
      <c r="I2047" s="14" t="n">
        <v>4420.57</v>
      </c>
      <c r="J2047" s="14" t="n">
        <v>9521.23</v>
      </c>
      <c r="K2047" s="14" t="n">
        <v>2087.19</v>
      </c>
      <c r="L2047" s="14" t="n">
        <v>9613.719999999999</v>
      </c>
      <c r="M2047" s="14">
        <f>IF(B2047="Frete de venda",0,(1-ISNUMBER(SEARCH("556",P2047)))*(I2047*VLOOKUP($B2047,Premissas!$A$4:$E$7,2,0)+J2047*VLOOKUP($B2047,Premissas!$A$4:$E$7,3,0))+K2047*VLOOKUP($B2047,Premissas!$A$4:$E$7,4,0)+L2047*VLOOKUP($B2047,Premissas!$A$4:$E$7,5,0))</f>
        <v/>
      </c>
      <c r="N2047" s="14">
        <f>H2047-M2047</f>
        <v/>
      </c>
      <c r="O2047" t="inlineStr">
        <is>
          <t>Sim</t>
        </is>
      </c>
      <c r="P2047" t="inlineStr">
        <is>
          <t>1.556</t>
        </is>
      </c>
    </row>
    <row r="2048">
      <c r="A2048" t="inlineStr">
        <is>
          <t>Antes de 2026</t>
        </is>
      </c>
      <c r="B2048" t="inlineStr">
        <is>
          <t>Insumos e papel</t>
        </is>
      </c>
      <c r="C2048" t="inlineStr">
        <is>
          <t>2.01.03 Compra de Matéria Prima (Papel)</t>
        </is>
      </c>
      <c r="D2048" t="inlineStr">
        <is>
          <t>NF-e</t>
        </is>
      </c>
      <c r="E2048" t="inlineStr">
        <is>
          <t>000011725</t>
        </is>
      </c>
      <c r="F2048" t="inlineStr">
        <is>
          <t>CMPC Iguacu Embalagens Ltda</t>
        </is>
      </c>
      <c r="G2048" s="27" t="n">
        <v>46014</v>
      </c>
      <c r="H2048" s="14" t="n">
        <v>143699.6</v>
      </c>
      <c r="I2048" s="14" t="n">
        <v>4523.23</v>
      </c>
      <c r="J2048" s="14" t="n">
        <v>9742.35</v>
      </c>
      <c r="K2048" s="14" t="n">
        <v>2135.66</v>
      </c>
      <c r="L2048" s="14" t="n">
        <v>9836.99</v>
      </c>
      <c r="M2048" s="14">
        <f>IF(B2048="Frete de venda",0,(1-ISNUMBER(SEARCH("556",P2048)))*(I2048*VLOOKUP($B2048,Premissas!$A$4:$E$7,2,0)+J2048*VLOOKUP($B2048,Premissas!$A$4:$E$7,3,0))+K2048*VLOOKUP($B2048,Premissas!$A$4:$E$7,4,0)+L2048*VLOOKUP($B2048,Premissas!$A$4:$E$7,5,0))</f>
        <v/>
      </c>
      <c r="N2048" s="14">
        <f>H2048-M2048</f>
        <v/>
      </c>
      <c r="O2048" t="inlineStr">
        <is>
          <t>Sim</t>
        </is>
      </c>
      <c r="P2048" t="inlineStr">
        <is>
          <t>1.556</t>
        </is>
      </c>
    </row>
    <row r="2049">
      <c r="A2049" t="inlineStr">
        <is>
          <t>Antes de 2026</t>
        </is>
      </c>
      <c r="B2049" t="inlineStr">
        <is>
          <t>Insumos e papel</t>
        </is>
      </c>
      <c r="C2049" t="inlineStr">
        <is>
          <t>2.01.03 Compra de Matéria Prima (Papel)</t>
        </is>
      </c>
      <c r="D2049" t="inlineStr">
        <is>
          <t>NF-e</t>
        </is>
      </c>
      <c r="E2049" t="inlineStr">
        <is>
          <t>000011729</t>
        </is>
      </c>
      <c r="F2049" t="inlineStr">
        <is>
          <t>CMPC Iguacu Embalagens Ltda</t>
        </is>
      </c>
      <c r="G2049" s="27" t="n">
        <v>46014</v>
      </c>
      <c r="H2049" s="14" t="n">
        <v>121242.55</v>
      </c>
      <c r="I2049" s="14" t="n">
        <v>3816.36</v>
      </c>
      <c r="J2049" s="14" t="n">
        <v>8219.84</v>
      </c>
      <c r="K2049" s="14" t="n">
        <v>1801.91</v>
      </c>
      <c r="L2049" s="14" t="n">
        <v>8299.67</v>
      </c>
      <c r="M2049" s="14">
        <f>IF(B2049="Frete de venda",0,(1-ISNUMBER(SEARCH("556",P2049)))*(I2049*VLOOKUP($B2049,Premissas!$A$4:$E$7,2,0)+J2049*VLOOKUP($B2049,Premissas!$A$4:$E$7,3,0))+K2049*VLOOKUP($B2049,Premissas!$A$4:$E$7,4,0)+L2049*VLOOKUP($B2049,Premissas!$A$4:$E$7,5,0))</f>
        <v/>
      </c>
      <c r="N2049" s="14">
        <f>H2049-M2049</f>
        <v/>
      </c>
      <c r="O2049" t="inlineStr">
        <is>
          <t>Sim</t>
        </is>
      </c>
      <c r="P2049" t="inlineStr">
        <is>
          <t>1.553</t>
        </is>
      </c>
    </row>
    <row r="2050">
      <c r="A2050" t="inlineStr">
        <is>
          <t>Antes de 2026</t>
        </is>
      </c>
      <c r="B2050" t="inlineStr">
        <is>
          <t>Insumos e papel</t>
        </is>
      </c>
      <c r="C2050" t="inlineStr">
        <is>
          <t>2.01.03 Compra de Matéria Prima (Papel)</t>
        </is>
      </c>
      <c r="D2050" t="inlineStr">
        <is>
          <t>NF-e</t>
        </is>
      </c>
      <c r="E2050" t="inlineStr">
        <is>
          <t>000626235</t>
        </is>
      </c>
      <c r="F2050" t="inlineStr">
        <is>
          <t>IRANI PAPEL E EMBALAGEM S.A.</t>
        </is>
      </c>
      <c r="G2050" s="27" t="n">
        <v>46003</v>
      </c>
      <c r="H2050" s="14" t="n">
        <v>162686.35</v>
      </c>
      <c r="I2050" s="14" t="n">
        <v>5120.88</v>
      </c>
      <c r="J2050" s="14" t="n">
        <v>11029.59</v>
      </c>
      <c r="K2050" s="14" t="n">
        <v>2417.85</v>
      </c>
      <c r="L2050" s="14" t="n">
        <v>11136.72</v>
      </c>
      <c r="M2050" s="14">
        <f>IF(B2050="Frete de venda",0,(1-ISNUMBER(SEARCH("556",P2050)))*(I2050*VLOOKUP($B2050,Premissas!$A$4:$E$7,2,0)+J2050*VLOOKUP($B2050,Premissas!$A$4:$E$7,3,0))+K2050*VLOOKUP($B2050,Premissas!$A$4:$E$7,4,0)+L2050*VLOOKUP($B2050,Premissas!$A$4:$E$7,5,0))</f>
        <v/>
      </c>
      <c r="N2050" s="14">
        <f>H2050-M2050</f>
        <v/>
      </c>
      <c r="O2050" t="inlineStr">
        <is>
          <t>Sim</t>
        </is>
      </c>
      <c r="P2050" t="inlineStr">
        <is>
          <t>2.102</t>
        </is>
      </c>
    </row>
    <row r="2051">
      <c r="A2051" t="inlineStr">
        <is>
          <t>Antes de 2026</t>
        </is>
      </c>
      <c r="B2051" t="inlineStr">
        <is>
          <t>Insumos e papel</t>
        </is>
      </c>
      <c r="C2051" t="inlineStr">
        <is>
          <t>2.01.03 Compra de Matéria Prima (Papel)</t>
        </is>
      </c>
      <c r="D2051" t="inlineStr">
        <is>
          <t>NF-e</t>
        </is>
      </c>
      <c r="E2051" t="inlineStr">
        <is>
          <t>000626306</t>
        </is>
      </c>
      <c r="F2051" t="inlineStr">
        <is>
          <t>IRANI PAPEL E EMBALAGEM S.A.</t>
        </is>
      </c>
      <c r="G2051" s="27" t="n">
        <v>46003</v>
      </c>
      <c r="H2051" s="14" t="n">
        <v>88909.00999999999</v>
      </c>
      <c r="I2051" s="14" t="n">
        <v>2798.59</v>
      </c>
      <c r="J2051" s="14" t="n">
        <v>6027.73</v>
      </c>
      <c r="K2051" s="14" t="n">
        <v>1321.36</v>
      </c>
      <c r="L2051" s="14" t="n">
        <v>6086.29</v>
      </c>
      <c r="M2051" s="14">
        <f>IF(B2051="Frete de venda",0,(1-ISNUMBER(SEARCH("556",P2051)))*(I2051*VLOOKUP($B2051,Premissas!$A$4:$E$7,2,0)+J2051*VLOOKUP($B2051,Premissas!$A$4:$E$7,3,0))+K2051*VLOOKUP($B2051,Premissas!$A$4:$E$7,4,0)+L2051*VLOOKUP($B2051,Premissas!$A$4:$E$7,5,0))</f>
        <v/>
      </c>
      <c r="N2051" s="14">
        <f>H2051-M2051</f>
        <v/>
      </c>
      <c r="O2051" t="inlineStr">
        <is>
          <t>Sim</t>
        </is>
      </c>
      <c r="P2051" t="inlineStr">
        <is>
          <t>2.102</t>
        </is>
      </c>
    </row>
    <row r="2052">
      <c r="A2052" t="inlineStr">
        <is>
          <t>Antes de 2026</t>
        </is>
      </c>
      <c r="B2052" t="inlineStr">
        <is>
          <t>Insumos e papel</t>
        </is>
      </c>
      <c r="C2052" t="inlineStr">
        <is>
          <t>2.01.03 Compra de Matéria Prima (Papel)</t>
        </is>
      </c>
      <c r="D2052" t="inlineStr">
        <is>
          <t>NF-e</t>
        </is>
      </c>
      <c r="E2052" t="inlineStr">
        <is>
          <t>000011555</t>
        </is>
      </c>
      <c r="F2052" t="inlineStr">
        <is>
          <t>NOVA CONPEL COMPANHIA NORDESTINA DE PAPEL LTDA</t>
        </is>
      </c>
      <c r="G2052" s="27" t="n">
        <v>46021</v>
      </c>
      <c r="H2052" s="14" t="n">
        <v>8842.33</v>
      </c>
      <c r="I2052" s="14" t="n">
        <v>278.33</v>
      </c>
      <c r="J2052" s="14" t="n">
        <v>1712.8</v>
      </c>
      <c r="K2052" s="14" t="n">
        <v>113.04</v>
      </c>
      <c r="L2052" s="14" t="n">
        <v>520.6900000000001</v>
      </c>
      <c r="M2052" s="14">
        <f>IF(B2052="Frete de venda",0,(1-ISNUMBER(SEARCH("556",P2052)))*(I2052*VLOOKUP($B2052,Premissas!$A$4:$E$7,2,0)+J2052*VLOOKUP($B2052,Premissas!$A$4:$E$7,3,0))+K2052*VLOOKUP($B2052,Premissas!$A$4:$E$7,4,0)+L2052*VLOOKUP($B2052,Premissas!$A$4:$E$7,5,0))</f>
        <v/>
      </c>
      <c r="N2052" s="14">
        <f>H2052-M2052</f>
        <v/>
      </c>
      <c r="O2052" t="inlineStr">
        <is>
          <t>Sim</t>
        </is>
      </c>
      <c r="P2052" t="inlineStr">
        <is>
          <t>1.102</t>
        </is>
      </c>
    </row>
    <row r="2053">
      <c r="A2053" t="inlineStr">
        <is>
          <t>Antes de 2026</t>
        </is>
      </c>
      <c r="B2053" t="inlineStr">
        <is>
          <t>Uso e consumo</t>
        </is>
      </c>
      <c r="C2053" t="inlineStr">
        <is>
          <t>2.01.85 Compra de Uso e Consumo</t>
        </is>
      </c>
      <c r="D2053" t="inlineStr">
        <is>
          <t>NF-e</t>
        </is>
      </c>
      <c r="E2053" t="inlineStr">
        <is>
          <t>000006534</t>
        </is>
      </c>
      <c r="F2053" t="inlineStr">
        <is>
          <t>SUPERGASBRAS ENERGIA LTDA</t>
        </is>
      </c>
      <c r="G2053" s="27" t="n">
        <v>46020</v>
      </c>
      <c r="H2053" s="14" t="n">
        <v>456.87</v>
      </c>
      <c r="I2053" s="14" t="n">
        <v>0</v>
      </c>
      <c r="J2053" s="14" t="n">
        <v>0</v>
      </c>
      <c r="K2053" s="14" t="n">
        <v>0</v>
      </c>
      <c r="L2053" s="14" t="n">
        <v>0</v>
      </c>
      <c r="M2053" s="14">
        <f>IF(B2053="Frete de venda",0,(1-ISNUMBER(SEARCH("556",P2053)))*(I2053*VLOOKUP($B2053,Premissas!$A$4:$E$7,2,0)+J2053*VLOOKUP($B2053,Premissas!$A$4:$E$7,3,0))+K2053*VLOOKUP($B2053,Premissas!$A$4:$E$7,4,0)+L2053*VLOOKUP($B2053,Premissas!$A$4:$E$7,5,0))</f>
        <v/>
      </c>
      <c r="N2053" s="14">
        <f>H2053-M2053</f>
        <v/>
      </c>
      <c r="O2053" t="inlineStr">
        <is>
          <t>Sim</t>
        </is>
      </c>
      <c r="P2053" t="inlineStr">
        <is>
          <t>1.653</t>
        </is>
      </c>
    </row>
    <row r="2054">
      <c r="A2054" t="inlineStr">
        <is>
          <t>Antes de 2026</t>
        </is>
      </c>
      <c r="B2054" t="inlineStr">
        <is>
          <t>Uso e consumo</t>
        </is>
      </c>
      <c r="C2054" t="inlineStr">
        <is>
          <t>2.01.87 Compra de Peças de Máquinas</t>
        </is>
      </c>
      <c r="D2054" t="inlineStr">
        <is>
          <t>NF-e</t>
        </is>
      </c>
      <c r="E2054" t="inlineStr">
        <is>
          <t>000018716</t>
        </is>
      </c>
      <c r="F2054" t="inlineStr">
        <is>
          <t>B. B. A. INDUSTRIA E COMERCIO IMPORTACAO E EXPORTACAO LTDA</t>
        </is>
      </c>
      <c r="G2054" s="27" t="n">
        <v>46007</v>
      </c>
      <c r="H2054" s="14" t="n">
        <v>3581.7</v>
      </c>
      <c r="I2054" s="14" t="n">
        <v>0</v>
      </c>
      <c r="J2054" s="14" t="n">
        <v>143.27</v>
      </c>
      <c r="K2054" s="14" t="n">
        <v>55.21</v>
      </c>
      <c r="L2054" s="14" t="n">
        <v>254.32</v>
      </c>
      <c r="M2054" s="14">
        <f>IF(B2054="Frete de venda",0,(1-ISNUMBER(SEARCH("556",P2054)))*(I2054*VLOOKUP($B2054,Premissas!$A$4:$E$7,2,0)+J2054*VLOOKUP($B2054,Premissas!$A$4:$E$7,3,0))+K2054*VLOOKUP($B2054,Premissas!$A$4:$E$7,4,0)+L2054*VLOOKUP($B2054,Premissas!$A$4:$E$7,5,0))</f>
        <v/>
      </c>
      <c r="N2054" s="14">
        <f>H2054-M2054</f>
        <v/>
      </c>
      <c r="O2054" t="inlineStr">
        <is>
          <t>Sim</t>
        </is>
      </c>
      <c r="P2054" t="inlineStr">
        <is>
          <t>2.102</t>
        </is>
      </c>
    </row>
    <row r="2055">
      <c r="A2055" t="inlineStr">
        <is>
          <t>Antes de 2026</t>
        </is>
      </c>
      <c r="B2055" t="inlineStr">
        <is>
          <t>Uso e consumo</t>
        </is>
      </c>
      <c r="C2055" t="inlineStr">
        <is>
          <t>2.01.87 Compra de Peças de Máquinas</t>
        </is>
      </c>
      <c r="D2055" t="inlineStr">
        <is>
          <t>NF-e</t>
        </is>
      </c>
      <c r="E2055" t="inlineStr">
        <is>
          <t>000012811</t>
        </is>
      </c>
      <c r="F2055" t="inlineStr">
        <is>
          <t>EDNA DE ARAUJO PACHECO LTDA</t>
        </is>
      </c>
      <c r="G2055" s="27" t="n">
        <v>46014</v>
      </c>
      <c r="H2055" s="14" t="n">
        <v>65.5</v>
      </c>
      <c r="I2055" s="14" t="n">
        <v>0</v>
      </c>
      <c r="J2055" s="14" t="n">
        <v>0</v>
      </c>
      <c r="K2055" s="14" t="n">
        <v>0</v>
      </c>
      <c r="L2055" s="14" t="n">
        <v>0</v>
      </c>
      <c r="M2055" s="14">
        <f>IF(B2055="Frete de venda",0,(1-ISNUMBER(SEARCH("556",P2055)))*(I2055*VLOOKUP($B2055,Premissas!$A$4:$E$7,2,0)+J2055*VLOOKUP($B2055,Premissas!$A$4:$E$7,3,0))+K2055*VLOOKUP($B2055,Premissas!$A$4:$E$7,4,0)+L2055*VLOOKUP($B2055,Premissas!$A$4:$E$7,5,0))</f>
        <v/>
      </c>
      <c r="N2055" s="14">
        <f>H2055-M2055</f>
        <v/>
      </c>
      <c r="O2055" t="inlineStr">
        <is>
          <t>Sim</t>
        </is>
      </c>
      <c r="P2055" t="inlineStr">
        <is>
          <t>1.102, 1.403</t>
        </is>
      </c>
    </row>
    <row r="2056">
      <c r="A2056" t="inlineStr">
        <is>
          <t>Antes de 2026</t>
        </is>
      </c>
      <c r="B2056" t="inlineStr">
        <is>
          <t>Uso e consumo</t>
        </is>
      </c>
      <c r="C2056" t="inlineStr">
        <is>
          <t>2.01.87 Compra de Peças de Máquinas</t>
        </is>
      </c>
      <c r="D2056" t="inlineStr">
        <is>
          <t>NF-e</t>
        </is>
      </c>
      <c r="E2056" t="inlineStr">
        <is>
          <t>000071597</t>
        </is>
      </c>
      <c r="F2056" t="inlineStr">
        <is>
          <t>TECFAG COMERCIO E IMPORTACAO DE MAQUINAS LTDA</t>
        </is>
      </c>
      <c r="G2056" s="27" t="n">
        <v>46014</v>
      </c>
      <c r="H2056" s="14" t="n">
        <v>498.88</v>
      </c>
      <c r="I2056" s="14" t="n">
        <v>0</v>
      </c>
      <c r="J2056" s="14" t="n">
        <v>19.96</v>
      </c>
      <c r="K2056" s="14" t="n">
        <v>3.24</v>
      </c>
      <c r="L2056" s="14" t="n">
        <v>14.97</v>
      </c>
      <c r="M2056" s="14">
        <f>IF(B2056="Frete de venda",0,(1-ISNUMBER(SEARCH("556",P2056)))*(I2056*VLOOKUP($B2056,Premissas!$A$4:$E$7,2,0)+J2056*VLOOKUP($B2056,Premissas!$A$4:$E$7,3,0))+K2056*VLOOKUP($B2056,Premissas!$A$4:$E$7,4,0)+L2056*VLOOKUP($B2056,Premissas!$A$4:$E$7,5,0))</f>
        <v/>
      </c>
      <c r="N2056" s="14">
        <f>H2056-M2056</f>
        <v/>
      </c>
      <c r="O2056" t="inlineStr">
        <is>
          <t>Sim</t>
        </is>
      </c>
      <c r="P2056" t="inlineStr">
        <is>
          <t>2.102</t>
        </is>
      </c>
    </row>
    <row r="2057">
      <c r="A2057" t="inlineStr">
        <is>
          <t>Antes de 2026</t>
        </is>
      </c>
      <c r="B2057" t="inlineStr">
        <is>
          <t>Uso e consumo</t>
        </is>
      </c>
      <c r="C2057" t="inlineStr">
        <is>
          <t>2.01.87 Compra de Peças de Máquinas</t>
        </is>
      </c>
      <c r="D2057" t="inlineStr">
        <is>
          <t>NF-e</t>
        </is>
      </c>
      <c r="E2057" t="inlineStr">
        <is>
          <t>000098696</t>
        </is>
      </c>
      <c r="F2057" t="inlineStr">
        <is>
          <t>TROPICAL IMPORT IND COM IMP AQUARIO LTDA</t>
        </is>
      </c>
      <c r="G2057" s="27" t="n">
        <v>46007</v>
      </c>
      <c r="H2057" s="14" t="n">
        <v>1625</v>
      </c>
      <c r="I2057" s="14" t="n">
        <v>0</v>
      </c>
      <c r="J2057" s="14" t="n">
        <v>65</v>
      </c>
      <c r="K2057" s="14" t="n">
        <v>10.14</v>
      </c>
      <c r="L2057" s="14" t="n">
        <v>46.8</v>
      </c>
      <c r="M2057" s="14">
        <f>IF(B2057="Frete de venda",0,(1-ISNUMBER(SEARCH("556",P2057)))*(I2057*VLOOKUP($B2057,Premissas!$A$4:$E$7,2,0)+J2057*VLOOKUP($B2057,Premissas!$A$4:$E$7,3,0))+K2057*VLOOKUP($B2057,Premissas!$A$4:$E$7,4,0)+L2057*VLOOKUP($B2057,Premissas!$A$4:$E$7,5,0))</f>
        <v/>
      </c>
      <c r="N2057" s="14">
        <f>H2057-M2057</f>
        <v/>
      </c>
      <c r="O2057" t="inlineStr">
        <is>
          <t>Sim</t>
        </is>
      </c>
      <c r="P2057" t="inlineStr">
        <is>
          <t>2.102</t>
        </is>
      </c>
    </row>
    <row r="2058">
      <c r="A2058" t="inlineStr">
        <is>
          <t>Antes de 2026</t>
        </is>
      </c>
      <c r="B2058" t="inlineStr">
        <is>
          <t>Insumos e papel</t>
        </is>
      </c>
      <c r="C2058" t="inlineStr">
        <is>
          <t>2.01.92 Compra de Tinta</t>
        </is>
      </c>
      <c r="D2058" t="inlineStr">
        <is>
          <t>NF-e</t>
        </is>
      </c>
      <c r="E2058" t="inlineStr">
        <is>
          <t>000015443</t>
        </is>
      </c>
      <c r="F2058" t="inlineStr">
        <is>
          <t>FITTYCOR - INDUSTRIA E COMERCIO DE TINTAS ESPECIAIS LTDA</t>
        </is>
      </c>
      <c r="G2058" s="27" t="n">
        <v>45994</v>
      </c>
      <c r="H2058" s="14" t="n">
        <v>71633.24000000001</v>
      </c>
      <c r="I2058" s="14" t="n">
        <v>0</v>
      </c>
      <c r="J2058" s="14" t="n">
        <v>5014.33</v>
      </c>
      <c r="K2058" s="14" t="n">
        <v>465.6</v>
      </c>
      <c r="L2058" s="14" t="n">
        <v>2148.98</v>
      </c>
      <c r="M2058" s="14">
        <f>IF(B2058="Frete de venda",0,(1-ISNUMBER(SEARCH("556",P2058)))*(I2058*VLOOKUP($B2058,Premissas!$A$4:$E$7,2,0)+J2058*VLOOKUP($B2058,Premissas!$A$4:$E$7,3,0))+K2058*VLOOKUP($B2058,Premissas!$A$4:$E$7,4,0)+L2058*VLOOKUP($B2058,Premissas!$A$4:$E$7,5,0))</f>
        <v/>
      </c>
      <c r="N2058" s="14">
        <f>H2058-M2058</f>
        <v/>
      </c>
      <c r="O2058" t="inlineStr">
        <is>
          <t>Sim</t>
        </is>
      </c>
      <c r="P2058" t="inlineStr">
        <is>
          <t>1.556, 2.102</t>
        </is>
      </c>
    </row>
    <row r="2059">
      <c r="A2059" t="inlineStr">
        <is>
          <t>Antes de 2026</t>
        </is>
      </c>
      <c r="B2059" t="inlineStr">
        <is>
          <t>Insumos e papel</t>
        </is>
      </c>
      <c r="C2059" t="inlineStr">
        <is>
          <t>2.01.97 Compra de Clichê</t>
        </is>
      </c>
      <c r="D2059" t="inlineStr">
        <is>
          <t>NF-e</t>
        </is>
      </c>
      <c r="E2059" t="inlineStr">
        <is>
          <t>000036754</t>
        </is>
      </c>
      <c r="F2059" t="inlineStr">
        <is>
          <t>DELINEAR BAHIA CLICHERIA LTDA</t>
        </is>
      </c>
      <c r="G2059" s="27" t="n">
        <v>46013</v>
      </c>
      <c r="H2059" s="14" t="n">
        <v>2786.23</v>
      </c>
      <c r="I2059" s="14" t="n">
        <v>0</v>
      </c>
      <c r="J2059" s="14" t="n">
        <v>0</v>
      </c>
      <c r="K2059" s="14" t="n">
        <v>0</v>
      </c>
      <c r="L2059" s="14" t="n">
        <v>0</v>
      </c>
      <c r="M2059" s="14">
        <f>IF(B2059="Frete de venda",0,(1-ISNUMBER(SEARCH("556",P2059)))*(I2059*VLOOKUP($B2059,Premissas!$A$4:$E$7,2,0)+J2059*VLOOKUP($B2059,Premissas!$A$4:$E$7,3,0))+K2059*VLOOKUP($B2059,Premissas!$A$4:$E$7,4,0)+L2059*VLOOKUP($B2059,Premissas!$A$4:$E$7,5,0))</f>
        <v/>
      </c>
      <c r="N2059" s="14">
        <f>H2059-M2059</f>
        <v/>
      </c>
      <c r="O2059" t="inlineStr">
        <is>
          <t>Sim</t>
        </is>
      </c>
      <c r="P2059" t="inlineStr">
        <is>
          <t>2.102</t>
        </is>
      </c>
    </row>
    <row r="2060">
      <c r="A2060" t="inlineStr">
        <is>
          <t>Antes de 2026</t>
        </is>
      </c>
      <c r="B2060" t="inlineStr">
        <is>
          <t>Insumos e papel</t>
        </is>
      </c>
      <c r="C2060" t="inlineStr">
        <is>
          <t>2.01.99 Compra de Caixas</t>
        </is>
      </c>
      <c r="D2060" t="inlineStr">
        <is>
          <t>NF-e</t>
        </is>
      </c>
      <c r="E2060" t="inlineStr">
        <is>
          <t>000011537</t>
        </is>
      </c>
      <c r="F2060" t="inlineStr">
        <is>
          <t>NOVA CONPEL COMPANHIA NORDESTINA DE PAPEL LTDA</t>
        </is>
      </c>
      <c r="G2060" s="27" t="n">
        <v>46021</v>
      </c>
      <c r="H2060" s="14" t="n">
        <v>18223.6</v>
      </c>
      <c r="I2060" s="14" t="n">
        <v>2376.97</v>
      </c>
      <c r="J2060" s="14" t="n">
        <v>3169.32</v>
      </c>
      <c r="K2060" s="14" t="n">
        <v>209.18</v>
      </c>
      <c r="L2060" s="14" t="n">
        <v>963.47</v>
      </c>
      <c r="M2060" s="14">
        <f>IF(B2060="Frete de venda",0,(1-ISNUMBER(SEARCH("556",P2060)))*(I2060*VLOOKUP($B2060,Premissas!$A$4:$E$7,2,0)+J2060*VLOOKUP($B2060,Premissas!$A$4:$E$7,3,0))+K2060*VLOOKUP($B2060,Premissas!$A$4:$E$7,4,0)+L2060*VLOOKUP($B2060,Premissas!$A$4:$E$7,5,0))</f>
        <v/>
      </c>
      <c r="N2060" s="14">
        <f>H2060-M2060</f>
        <v/>
      </c>
      <c r="O2060" t="inlineStr">
        <is>
          <t>Sim</t>
        </is>
      </c>
      <c r="P2060" t="inlineStr">
        <is>
          <t>1.102, 1.556</t>
        </is>
      </c>
    </row>
    <row r="2061">
      <c r="A2061" t="inlineStr">
        <is>
          <t>Antes de 2026</t>
        </is>
      </c>
      <c r="B2061" t="inlineStr">
        <is>
          <t>Insumos e papel</t>
        </is>
      </c>
      <c r="C2061" t="inlineStr">
        <is>
          <t>2.01.99 Compra de Caixas</t>
        </is>
      </c>
      <c r="D2061" t="inlineStr">
        <is>
          <t>NF-e</t>
        </is>
      </c>
      <c r="E2061" t="inlineStr">
        <is>
          <t>000011554</t>
        </is>
      </c>
      <c r="F2061" t="inlineStr">
        <is>
          <t>NOVA CONPEL COMPANHIA NORDESTINA DE PAPEL LTDA</t>
        </is>
      </c>
      <c r="G2061" s="27" t="n">
        <v>46021</v>
      </c>
      <c r="H2061" s="14" t="n">
        <v>3604.74</v>
      </c>
      <c r="I2061" s="14" t="n">
        <v>470.18</v>
      </c>
      <c r="J2061" s="14" t="n">
        <v>626.91</v>
      </c>
      <c r="K2061" s="14" t="n">
        <v>41.38</v>
      </c>
      <c r="L2061" s="14" t="n">
        <v>190.58</v>
      </c>
      <c r="M2061" s="14">
        <f>IF(B2061="Frete de venda",0,(1-ISNUMBER(SEARCH("556",P2061)))*(I2061*VLOOKUP($B2061,Premissas!$A$4:$E$7,2,0)+J2061*VLOOKUP($B2061,Premissas!$A$4:$E$7,3,0))+K2061*VLOOKUP($B2061,Premissas!$A$4:$E$7,4,0)+L2061*VLOOKUP($B2061,Premissas!$A$4:$E$7,5,0))</f>
        <v/>
      </c>
      <c r="N2061" s="14">
        <f>H2061-M2061</f>
        <v/>
      </c>
      <c r="O2061" t="inlineStr">
        <is>
          <t>Sim</t>
        </is>
      </c>
      <c r="P2061" t="inlineStr">
        <is>
          <t>1.102</t>
        </is>
      </c>
    </row>
    <row r="2062">
      <c r="A2062" s="24" t="n">
        <v>46023</v>
      </c>
      <c r="B2062" t="inlineStr">
        <is>
          <t>Frete de venda</t>
        </is>
      </c>
      <c r="C2062" t="inlineStr">
        <is>
          <t>Frete de venda (para clientes)</t>
        </is>
      </c>
      <c r="D2062" t="inlineStr">
        <is>
          <t>CT-e</t>
        </is>
      </c>
      <c r="E2062" t="inlineStr">
        <is>
          <t>000000318</t>
        </is>
      </c>
      <c r="F2062" t="inlineStr">
        <is>
          <t>ADEMIR DA SILVA LTDA</t>
        </is>
      </c>
      <c r="G2062" s="27" t="n">
        <v>46052</v>
      </c>
      <c r="H2062" s="14" t="n">
        <v>300</v>
      </c>
      <c r="I2062" s="14" t="n">
        <v>0</v>
      </c>
      <c r="J2062" s="14" t="n">
        <v>0</v>
      </c>
      <c r="K2062" s="14" t="n">
        <v>0</v>
      </c>
      <c r="L2062" s="14" t="n">
        <v>0</v>
      </c>
      <c r="M2062" s="14">
        <f>IF(B2062="Frete de venda",0,(1-ISNUMBER(SEARCH("556",P2062)))*(I2062*VLOOKUP($B2062,Premissas!$A$4:$E$7,2,0)+J2062*VLOOKUP($B2062,Premissas!$A$4:$E$7,3,0))+K2062*VLOOKUP($B2062,Premissas!$A$4:$E$7,4,0)+L2062*VLOOKUP($B2062,Premissas!$A$4:$E$7,5,0))</f>
        <v/>
      </c>
      <c r="N2062" s="14">
        <f>H2062-M2062</f>
        <v/>
      </c>
      <c r="O2062" t="inlineStr">
        <is>
          <t>Sim</t>
        </is>
      </c>
      <c r="P2062" t="inlineStr">
        <is>
          <t>1.350</t>
        </is>
      </c>
    </row>
    <row r="2063">
      <c r="A2063" s="24" t="n">
        <v>46023</v>
      </c>
      <c r="B2063" t="inlineStr">
        <is>
          <t>Frete de venda</t>
        </is>
      </c>
      <c r="C2063" t="inlineStr">
        <is>
          <t>Frete de venda (para clientes)</t>
        </is>
      </c>
      <c r="D2063" t="inlineStr">
        <is>
          <t>CT-e</t>
        </is>
      </c>
      <c r="E2063" t="inlineStr">
        <is>
          <t>000083544</t>
        </is>
      </c>
      <c r="F2063" t="inlineStr">
        <is>
          <t>CRUZ DE MALTA TRANSPORTES LTDA</t>
        </is>
      </c>
      <c r="G2063" s="27" t="n">
        <v>46049</v>
      </c>
      <c r="H2063" s="14" t="n">
        <v>800</v>
      </c>
      <c r="I2063" s="14" t="n">
        <v>0</v>
      </c>
      <c r="J2063" s="14" t="n">
        <v>152</v>
      </c>
      <c r="K2063" s="14" t="n">
        <v>0</v>
      </c>
      <c r="L2063" s="14" t="n">
        <v>0</v>
      </c>
      <c r="M2063" s="14">
        <f>IF(B2063="Frete de venda",0,(1-ISNUMBER(SEARCH("556",P2063)))*(I2063*VLOOKUP($B2063,Premissas!$A$4:$E$7,2,0)+J2063*VLOOKUP($B2063,Premissas!$A$4:$E$7,3,0))+K2063*VLOOKUP($B2063,Premissas!$A$4:$E$7,4,0)+L2063*VLOOKUP($B2063,Premissas!$A$4:$E$7,5,0))</f>
        <v/>
      </c>
      <c r="N2063" s="14">
        <f>H2063-M2063</f>
        <v/>
      </c>
      <c r="O2063" t="inlineStr">
        <is>
          <t>Sim</t>
        </is>
      </c>
      <c r="P2063" t="inlineStr">
        <is>
          <t>1.350</t>
        </is>
      </c>
    </row>
    <row r="2064">
      <c r="A2064" s="24" t="n">
        <v>46023</v>
      </c>
      <c r="B2064" t="inlineStr">
        <is>
          <t>Frete de venda</t>
        </is>
      </c>
      <c r="C2064" t="inlineStr">
        <is>
          <t>Frete de venda (para clientes)</t>
        </is>
      </c>
      <c r="D2064" t="inlineStr">
        <is>
          <t>CT-e</t>
        </is>
      </c>
      <c r="E2064" t="inlineStr">
        <is>
          <t>000000316</t>
        </is>
      </c>
      <c r="F2064" t="inlineStr">
        <is>
          <t>ADEMIR DA SILVA LTDA</t>
        </is>
      </c>
      <c r="G2064" s="27" t="n">
        <v>46052</v>
      </c>
      <c r="H2064" s="14" t="n">
        <v>300</v>
      </c>
      <c r="I2064" s="14" t="n">
        <v>0</v>
      </c>
      <c r="J2064" s="14" t="n">
        <v>0</v>
      </c>
      <c r="K2064" s="14" t="n">
        <v>0</v>
      </c>
      <c r="L2064" s="14" t="n">
        <v>0</v>
      </c>
      <c r="M2064" s="14">
        <f>IF(B2064="Frete de venda",0,(1-ISNUMBER(SEARCH("556",P2064)))*(I2064*VLOOKUP($B2064,Premissas!$A$4:$E$7,2,0)+J2064*VLOOKUP($B2064,Premissas!$A$4:$E$7,3,0))+K2064*VLOOKUP($B2064,Premissas!$A$4:$E$7,4,0)+L2064*VLOOKUP($B2064,Premissas!$A$4:$E$7,5,0))</f>
        <v/>
      </c>
      <c r="N2064" s="14">
        <f>H2064-M2064</f>
        <v/>
      </c>
      <c r="O2064" t="inlineStr">
        <is>
          <t>Sim</t>
        </is>
      </c>
      <c r="P2064" t="inlineStr">
        <is>
          <t>1.350</t>
        </is>
      </c>
    </row>
    <row r="2065">
      <c r="A2065" s="24" t="n">
        <v>46023</v>
      </c>
      <c r="B2065" t="inlineStr">
        <is>
          <t>Frete de venda</t>
        </is>
      </c>
      <c r="C2065" t="inlineStr">
        <is>
          <t>Frete de venda (para clientes)</t>
        </is>
      </c>
      <c r="D2065" t="inlineStr">
        <is>
          <t>CT-e</t>
        </is>
      </c>
      <c r="E2065" t="inlineStr">
        <is>
          <t>000000315</t>
        </is>
      </c>
      <c r="F2065" t="inlineStr">
        <is>
          <t>ADEMIR DA SILVA LTDA</t>
        </is>
      </c>
      <c r="G2065" s="27" t="n">
        <v>46052</v>
      </c>
      <c r="H2065" s="14" t="n">
        <v>600</v>
      </c>
      <c r="I2065" s="14" t="n">
        <v>0</v>
      </c>
      <c r="J2065" s="14" t="n">
        <v>0</v>
      </c>
      <c r="K2065" s="14" t="n">
        <v>0</v>
      </c>
      <c r="L2065" s="14" t="n">
        <v>0</v>
      </c>
      <c r="M2065" s="14">
        <f>IF(B2065="Frete de venda",0,(1-ISNUMBER(SEARCH("556",P2065)))*(I2065*VLOOKUP($B2065,Premissas!$A$4:$E$7,2,0)+J2065*VLOOKUP($B2065,Premissas!$A$4:$E$7,3,0))+K2065*VLOOKUP($B2065,Premissas!$A$4:$E$7,4,0)+L2065*VLOOKUP($B2065,Premissas!$A$4:$E$7,5,0))</f>
        <v/>
      </c>
      <c r="N2065" s="14">
        <f>H2065-M2065</f>
        <v/>
      </c>
      <c r="O2065" t="inlineStr">
        <is>
          <t>Sim</t>
        </is>
      </c>
      <c r="P2065" t="inlineStr">
        <is>
          <t>1.350</t>
        </is>
      </c>
    </row>
    <row r="2066">
      <c r="A2066" s="24" t="n">
        <v>46023</v>
      </c>
      <c r="B2066" t="inlineStr">
        <is>
          <t>Frete de venda</t>
        </is>
      </c>
      <c r="C2066" t="inlineStr">
        <is>
          <t>Frete de venda (para clientes)</t>
        </is>
      </c>
      <c r="D2066" t="inlineStr">
        <is>
          <t>CT-e</t>
        </is>
      </c>
      <c r="E2066" t="inlineStr">
        <is>
          <t>000000317</t>
        </is>
      </c>
      <c r="F2066" t="inlineStr">
        <is>
          <t>ADEMIR DA SILVA LTDA</t>
        </is>
      </c>
      <c r="G2066" s="27" t="n">
        <v>46052</v>
      </c>
      <c r="H2066" s="14" t="n">
        <v>300</v>
      </c>
      <c r="I2066" s="14" t="n">
        <v>0</v>
      </c>
      <c r="J2066" s="14" t="n">
        <v>0</v>
      </c>
      <c r="K2066" s="14" t="n">
        <v>0</v>
      </c>
      <c r="L2066" s="14" t="n">
        <v>0</v>
      </c>
      <c r="M2066" s="14">
        <f>IF(B2066="Frete de venda",0,(1-ISNUMBER(SEARCH("556",P2066)))*(I2066*VLOOKUP($B2066,Premissas!$A$4:$E$7,2,0)+J2066*VLOOKUP($B2066,Premissas!$A$4:$E$7,3,0))+K2066*VLOOKUP($B2066,Premissas!$A$4:$E$7,4,0)+L2066*VLOOKUP($B2066,Premissas!$A$4:$E$7,5,0))</f>
        <v/>
      </c>
      <c r="N2066" s="14">
        <f>H2066-M2066</f>
        <v/>
      </c>
      <c r="O2066" t="inlineStr">
        <is>
          <t>Sim</t>
        </is>
      </c>
      <c r="P2066" t="inlineStr">
        <is>
          <t>1.350</t>
        </is>
      </c>
    </row>
    <row r="2067">
      <c r="A2067" s="24" t="n">
        <v>46023</v>
      </c>
      <c r="B2067" t="inlineStr">
        <is>
          <t>Frete de venda</t>
        </is>
      </c>
      <c r="C2067" t="inlineStr">
        <is>
          <t>Frete de venda (para clientes)</t>
        </is>
      </c>
      <c r="D2067" t="inlineStr">
        <is>
          <t>CT-e</t>
        </is>
      </c>
      <c r="E2067" t="inlineStr">
        <is>
          <t>000083545</t>
        </is>
      </c>
      <c r="F2067" t="inlineStr">
        <is>
          <t>CRUZ DE MALTA TRANSPORTES LTDA</t>
        </is>
      </c>
      <c r="G2067" s="27" t="n">
        <v>46049</v>
      </c>
      <c r="H2067" s="14" t="n">
        <v>500</v>
      </c>
      <c r="I2067" s="14" t="n">
        <v>0</v>
      </c>
      <c r="J2067" s="14" t="n">
        <v>95</v>
      </c>
      <c r="K2067" s="14" t="n">
        <v>0</v>
      </c>
      <c r="L2067" s="14" t="n">
        <v>0</v>
      </c>
      <c r="M2067" s="14">
        <f>IF(B2067="Frete de venda",0,(1-ISNUMBER(SEARCH("556",P2067)))*(I2067*VLOOKUP($B2067,Premissas!$A$4:$E$7,2,0)+J2067*VLOOKUP($B2067,Premissas!$A$4:$E$7,3,0))+K2067*VLOOKUP($B2067,Premissas!$A$4:$E$7,4,0)+L2067*VLOOKUP($B2067,Premissas!$A$4:$E$7,5,0))</f>
        <v/>
      </c>
      <c r="N2067" s="14">
        <f>H2067-M2067</f>
        <v/>
      </c>
      <c r="O2067" t="inlineStr">
        <is>
          <t>Sim</t>
        </is>
      </c>
      <c r="P2067" t="inlineStr">
        <is>
          <t>1.350</t>
        </is>
      </c>
    </row>
    <row r="2068">
      <c r="A2068" s="24" t="n">
        <v>46023</v>
      </c>
      <c r="B2068" t="inlineStr">
        <is>
          <t>Frete de compra</t>
        </is>
      </c>
      <c r="C2068" t="inlineStr">
        <is>
          <t>Frete de compra</t>
        </is>
      </c>
      <c r="D2068" t="inlineStr">
        <is>
          <t>CT-e</t>
        </is>
      </c>
      <c r="E2068" t="inlineStr">
        <is>
          <t>000075476</t>
        </is>
      </c>
      <c r="F2068" t="inlineStr">
        <is>
          <t>GOL LINHAS AEREAS S.A.</t>
        </is>
      </c>
      <c r="G2068" s="27" t="n">
        <v>46037</v>
      </c>
      <c r="H2068" s="14" t="n">
        <v>1163.65</v>
      </c>
      <c r="I2068" s="14" t="n">
        <v>0</v>
      </c>
      <c r="J2068" s="14" t="n">
        <v>46.55</v>
      </c>
      <c r="K2068" s="14" t="n">
        <v>0</v>
      </c>
      <c r="L2068" s="14" t="n">
        <v>0</v>
      </c>
      <c r="M2068" s="14">
        <f>IF(B2068="Frete de venda",0,(1-ISNUMBER(SEARCH("556",P2068)))*(I2068*VLOOKUP($B2068,Premissas!$A$4:$E$7,2,0)+J2068*VLOOKUP($B2068,Premissas!$A$4:$E$7,3,0))+K2068*VLOOKUP($B2068,Premissas!$A$4:$E$7,4,0)+L2068*VLOOKUP($B2068,Premissas!$A$4:$E$7,5,0))</f>
        <v/>
      </c>
      <c r="N2068" s="14">
        <f>H2068-M2068</f>
        <v/>
      </c>
      <c r="O2068" t="inlineStr">
        <is>
          <t>Sim</t>
        </is>
      </c>
      <c r="P2068" t="inlineStr">
        <is>
          <t>1.350</t>
        </is>
      </c>
    </row>
    <row r="2069">
      <c r="A2069" s="24" t="n">
        <v>46023</v>
      </c>
      <c r="B2069" t="inlineStr">
        <is>
          <t>Frete de venda</t>
        </is>
      </c>
      <c r="C2069" t="inlineStr">
        <is>
          <t>Frete de venda (para clientes)</t>
        </is>
      </c>
      <c r="D2069" t="inlineStr">
        <is>
          <t>CT-e</t>
        </is>
      </c>
      <c r="E2069" t="inlineStr">
        <is>
          <t>000213565</t>
        </is>
      </c>
      <c r="F2069" t="inlineStr">
        <is>
          <t>CAZAN TRANSPORTES LTDA</t>
        </is>
      </c>
      <c r="G2069" s="27" t="n">
        <v>46052</v>
      </c>
      <c r="H2069" s="14" t="n">
        <v>8287</v>
      </c>
      <c r="I2069" s="14" t="n">
        <v>0</v>
      </c>
      <c r="J2069" s="14" t="n">
        <v>580.09</v>
      </c>
      <c r="K2069" s="14" t="n">
        <v>0</v>
      </c>
      <c r="L2069" s="14" t="n">
        <v>0</v>
      </c>
      <c r="M2069" s="14">
        <f>IF(B2069="Frete de venda",0,(1-ISNUMBER(SEARCH("556",P2069)))*(I2069*VLOOKUP($B2069,Premissas!$A$4:$E$7,2,0)+J2069*VLOOKUP($B2069,Premissas!$A$4:$E$7,3,0))+K2069*VLOOKUP($B2069,Premissas!$A$4:$E$7,4,0)+L2069*VLOOKUP($B2069,Premissas!$A$4:$E$7,5,0))</f>
        <v/>
      </c>
      <c r="N2069" s="14">
        <f>H2069-M2069</f>
        <v/>
      </c>
      <c r="O2069" t="inlineStr">
        <is>
          <t>Sim</t>
        </is>
      </c>
      <c r="P2069" t="inlineStr">
        <is>
          <t>1.350</t>
        </is>
      </c>
    </row>
    <row r="2070">
      <c r="A2070" s="24" t="n">
        <v>46023</v>
      </c>
      <c r="B2070" t="inlineStr">
        <is>
          <t>Frete de compra</t>
        </is>
      </c>
      <c r="C2070" t="inlineStr">
        <is>
          <t>Frete de compra</t>
        </is>
      </c>
      <c r="D2070" t="inlineStr">
        <is>
          <t>CT-e</t>
        </is>
      </c>
      <c r="E2070" t="inlineStr">
        <is>
          <t>000188201</t>
        </is>
      </c>
      <c r="F2070" t="inlineStr">
        <is>
          <t>ALIANCA NAVEGACAO E LOGISTICA LTDA</t>
        </is>
      </c>
      <c r="G2070" s="27" t="n">
        <v>46045</v>
      </c>
      <c r="H2070" s="14" t="n">
        <v>17208.34</v>
      </c>
      <c r="I2070" s="14" t="n">
        <v>0</v>
      </c>
      <c r="J2070" s="14" t="n">
        <v>1204.58</v>
      </c>
      <c r="K2070" s="14" t="n">
        <v>0</v>
      </c>
      <c r="L2070" s="14" t="n">
        <v>0</v>
      </c>
      <c r="M2070" s="14">
        <f>IF(B2070="Frete de venda",0,(1-ISNUMBER(SEARCH("556",P2070)))*(I2070*VLOOKUP($B2070,Premissas!$A$4:$E$7,2,0)+J2070*VLOOKUP($B2070,Premissas!$A$4:$E$7,3,0))+K2070*VLOOKUP($B2070,Premissas!$A$4:$E$7,4,0)+L2070*VLOOKUP($B2070,Premissas!$A$4:$E$7,5,0))</f>
        <v/>
      </c>
      <c r="N2070" s="14">
        <f>H2070-M2070</f>
        <v/>
      </c>
      <c r="O2070" t="inlineStr">
        <is>
          <t>Sim</t>
        </is>
      </c>
      <c r="P2070" t="inlineStr">
        <is>
          <t>1.350</t>
        </is>
      </c>
    </row>
    <row r="2071">
      <c r="A2071" s="24" t="n">
        <v>46023</v>
      </c>
      <c r="B2071" t="inlineStr">
        <is>
          <t>Frete de compra</t>
        </is>
      </c>
      <c r="C2071" t="inlineStr">
        <is>
          <t>Frete de compra</t>
        </is>
      </c>
      <c r="D2071" t="inlineStr">
        <is>
          <t>CT-e</t>
        </is>
      </c>
      <c r="E2071" t="inlineStr">
        <is>
          <t>000188202</t>
        </is>
      </c>
      <c r="F2071" t="inlineStr">
        <is>
          <t>ALIANCA NAVEGACAO E LOGISTICA LTDA</t>
        </is>
      </c>
      <c r="G2071" s="27" t="n">
        <v>46045</v>
      </c>
      <c r="H2071" s="14" t="n">
        <v>17211.95</v>
      </c>
      <c r="I2071" s="14" t="n">
        <v>0</v>
      </c>
      <c r="J2071" s="14" t="n">
        <v>1204.84</v>
      </c>
      <c r="K2071" s="14" t="n">
        <v>0</v>
      </c>
      <c r="L2071" s="14" t="n">
        <v>0</v>
      </c>
      <c r="M2071" s="14">
        <f>IF(B2071="Frete de venda",0,(1-ISNUMBER(SEARCH("556",P2071)))*(I2071*VLOOKUP($B2071,Premissas!$A$4:$E$7,2,0)+J2071*VLOOKUP($B2071,Premissas!$A$4:$E$7,3,0))+K2071*VLOOKUP($B2071,Premissas!$A$4:$E$7,4,0)+L2071*VLOOKUP($B2071,Premissas!$A$4:$E$7,5,0))</f>
        <v/>
      </c>
      <c r="N2071" s="14">
        <f>H2071-M2071</f>
        <v/>
      </c>
      <c r="O2071" t="inlineStr">
        <is>
          <t>Sim</t>
        </is>
      </c>
      <c r="P2071" t="inlineStr">
        <is>
          <t>1.350</t>
        </is>
      </c>
    </row>
    <row r="2072">
      <c r="A2072" s="24" t="n">
        <v>46023</v>
      </c>
      <c r="B2072" t="inlineStr">
        <is>
          <t>Frete de compra</t>
        </is>
      </c>
      <c r="C2072" t="inlineStr">
        <is>
          <t>Frete de compra</t>
        </is>
      </c>
      <c r="D2072" t="inlineStr">
        <is>
          <t>CT-e</t>
        </is>
      </c>
      <c r="E2072" t="inlineStr">
        <is>
          <t>000188203</t>
        </is>
      </c>
      <c r="F2072" t="inlineStr">
        <is>
          <t>ALIANCA NAVEGACAO E LOGISTICA LTDA</t>
        </is>
      </c>
      <c r="G2072" s="27" t="n">
        <v>46046</v>
      </c>
      <c r="H2072" s="14" t="n">
        <v>17204.9</v>
      </c>
      <c r="I2072" s="14" t="n">
        <v>0</v>
      </c>
      <c r="J2072" s="14" t="n">
        <v>1204.34</v>
      </c>
      <c r="K2072" s="14" t="n">
        <v>0</v>
      </c>
      <c r="L2072" s="14" t="n">
        <v>0</v>
      </c>
      <c r="M2072" s="14">
        <f>IF(B2072="Frete de venda",0,(1-ISNUMBER(SEARCH("556",P2072)))*(I2072*VLOOKUP($B2072,Premissas!$A$4:$E$7,2,0)+J2072*VLOOKUP($B2072,Premissas!$A$4:$E$7,3,0))+K2072*VLOOKUP($B2072,Premissas!$A$4:$E$7,4,0)+L2072*VLOOKUP($B2072,Premissas!$A$4:$E$7,5,0))</f>
        <v/>
      </c>
      <c r="N2072" s="14">
        <f>H2072-M2072</f>
        <v/>
      </c>
      <c r="O2072" t="inlineStr">
        <is>
          <t>Sim</t>
        </is>
      </c>
      <c r="P2072" t="inlineStr">
        <is>
          <t>1.350</t>
        </is>
      </c>
    </row>
    <row r="2073">
      <c r="A2073" s="24" t="n">
        <v>46023</v>
      </c>
      <c r="B2073" t="inlineStr">
        <is>
          <t>Frete de compra</t>
        </is>
      </c>
      <c r="C2073" t="inlineStr">
        <is>
          <t>Frete de compra</t>
        </is>
      </c>
      <c r="D2073" t="inlineStr">
        <is>
          <t>CT-e</t>
        </is>
      </c>
      <c r="E2073" t="inlineStr">
        <is>
          <t>000188204</t>
        </is>
      </c>
      <c r="F2073" t="inlineStr">
        <is>
          <t>ALIANCA NAVEGACAO E LOGISTICA LTDA</t>
        </is>
      </c>
      <c r="G2073" s="27" t="n">
        <v>46046</v>
      </c>
      <c r="H2073" s="14" t="n">
        <v>17205.39</v>
      </c>
      <c r="I2073" s="14" t="n">
        <v>0</v>
      </c>
      <c r="J2073" s="14" t="n">
        <v>1204.38</v>
      </c>
      <c r="K2073" s="14" t="n">
        <v>0</v>
      </c>
      <c r="L2073" s="14" t="n">
        <v>0</v>
      </c>
      <c r="M2073" s="14">
        <f>IF(B2073="Frete de venda",0,(1-ISNUMBER(SEARCH("556",P2073)))*(I2073*VLOOKUP($B2073,Premissas!$A$4:$E$7,2,0)+J2073*VLOOKUP($B2073,Premissas!$A$4:$E$7,3,0))+K2073*VLOOKUP($B2073,Premissas!$A$4:$E$7,4,0)+L2073*VLOOKUP($B2073,Premissas!$A$4:$E$7,5,0))</f>
        <v/>
      </c>
      <c r="N2073" s="14">
        <f>H2073-M2073</f>
        <v/>
      </c>
      <c r="O2073" t="inlineStr">
        <is>
          <t>Sim</t>
        </is>
      </c>
      <c r="P2073" t="inlineStr">
        <is>
          <t>1.350</t>
        </is>
      </c>
    </row>
    <row r="2074">
      <c r="A2074" s="24" t="n">
        <v>46023</v>
      </c>
      <c r="B2074" t="inlineStr">
        <is>
          <t>Frete de compra</t>
        </is>
      </c>
      <c r="C2074" t="inlineStr">
        <is>
          <t>Frete de compra</t>
        </is>
      </c>
      <c r="D2074" t="inlineStr">
        <is>
          <t>CT-e</t>
        </is>
      </c>
      <c r="E2074" t="inlineStr">
        <is>
          <t>000188241</t>
        </is>
      </c>
      <c r="F2074" t="inlineStr">
        <is>
          <t>ALIANCA NAVEGACAO E LOGISTICA LTDA</t>
        </is>
      </c>
      <c r="G2074" s="27" t="n">
        <v>46048</v>
      </c>
      <c r="H2074" s="14" t="n">
        <v>17213.35</v>
      </c>
      <c r="I2074" s="14" t="n">
        <v>0</v>
      </c>
      <c r="J2074" s="14" t="n">
        <v>1204.93</v>
      </c>
      <c r="K2074" s="14" t="n">
        <v>0</v>
      </c>
      <c r="L2074" s="14" t="n">
        <v>0</v>
      </c>
      <c r="M2074" s="14">
        <f>IF(B2074="Frete de venda",0,(1-ISNUMBER(SEARCH("556",P2074)))*(I2074*VLOOKUP($B2074,Premissas!$A$4:$E$7,2,0)+J2074*VLOOKUP($B2074,Premissas!$A$4:$E$7,3,0))+K2074*VLOOKUP($B2074,Premissas!$A$4:$E$7,4,0)+L2074*VLOOKUP($B2074,Premissas!$A$4:$E$7,5,0))</f>
        <v/>
      </c>
      <c r="N2074" s="14">
        <f>H2074-M2074</f>
        <v/>
      </c>
      <c r="O2074" t="inlineStr">
        <is>
          <t>Sim</t>
        </is>
      </c>
      <c r="P2074" t="inlineStr">
        <is>
          <t>1.350</t>
        </is>
      </c>
    </row>
    <row r="2075">
      <c r="A2075" s="24" t="n">
        <v>46023</v>
      </c>
      <c r="B2075" t="inlineStr">
        <is>
          <t>Frete de compra</t>
        </is>
      </c>
      <c r="C2075" t="inlineStr">
        <is>
          <t>Frete de compra</t>
        </is>
      </c>
      <c r="D2075" t="inlineStr">
        <is>
          <t>CT-e</t>
        </is>
      </c>
      <c r="E2075" t="inlineStr">
        <is>
          <t>000188248</t>
        </is>
      </c>
      <c r="F2075" t="inlineStr">
        <is>
          <t>ALIANCA NAVEGACAO E LOGISTICA LTDA</t>
        </is>
      </c>
      <c r="G2075" s="27" t="n">
        <v>46048</v>
      </c>
      <c r="H2075" s="14" t="n">
        <v>17206.4</v>
      </c>
      <c r="I2075" s="14" t="n">
        <v>0</v>
      </c>
      <c r="J2075" s="14" t="n">
        <v>1204.45</v>
      </c>
      <c r="K2075" s="14" t="n">
        <v>0</v>
      </c>
      <c r="L2075" s="14" t="n">
        <v>0</v>
      </c>
      <c r="M2075" s="14">
        <f>IF(B2075="Frete de venda",0,(1-ISNUMBER(SEARCH("556",P2075)))*(I2075*VLOOKUP($B2075,Premissas!$A$4:$E$7,2,0)+J2075*VLOOKUP($B2075,Premissas!$A$4:$E$7,3,0))+K2075*VLOOKUP($B2075,Premissas!$A$4:$E$7,4,0)+L2075*VLOOKUP($B2075,Premissas!$A$4:$E$7,5,0))</f>
        <v/>
      </c>
      <c r="N2075" s="14">
        <f>H2075-M2075</f>
        <v/>
      </c>
      <c r="O2075" t="inlineStr">
        <is>
          <t>Sim</t>
        </is>
      </c>
      <c r="P2075" t="inlineStr">
        <is>
          <t>1.350</t>
        </is>
      </c>
    </row>
    <row r="2076">
      <c r="A2076" s="24" t="n">
        <v>46023</v>
      </c>
      <c r="B2076" t="inlineStr">
        <is>
          <t>Frete de compra</t>
        </is>
      </c>
      <c r="C2076" t="inlineStr">
        <is>
          <t>Frete de compra</t>
        </is>
      </c>
      <c r="D2076" t="inlineStr">
        <is>
          <t>CT-e</t>
        </is>
      </c>
      <c r="E2076" t="inlineStr">
        <is>
          <t>000188282</t>
        </is>
      </c>
      <c r="F2076" t="inlineStr">
        <is>
          <t>ALIANCA NAVEGACAO E LOGISTICA LTDA</t>
        </is>
      </c>
      <c r="G2076" s="27" t="n">
        <v>46048</v>
      </c>
      <c r="H2076" s="14" t="n">
        <v>20006.16</v>
      </c>
      <c r="I2076" s="14" t="n">
        <v>0</v>
      </c>
      <c r="J2076" s="14" t="n">
        <v>1400.43</v>
      </c>
      <c r="K2076" s="14" t="n">
        <v>0</v>
      </c>
      <c r="L2076" s="14" t="n">
        <v>0</v>
      </c>
      <c r="M2076" s="14">
        <f>IF(B2076="Frete de venda",0,(1-ISNUMBER(SEARCH("556",P2076)))*(I2076*VLOOKUP($B2076,Premissas!$A$4:$E$7,2,0)+J2076*VLOOKUP($B2076,Premissas!$A$4:$E$7,3,0))+K2076*VLOOKUP($B2076,Premissas!$A$4:$E$7,4,0)+L2076*VLOOKUP($B2076,Premissas!$A$4:$E$7,5,0))</f>
        <v/>
      </c>
      <c r="N2076" s="14">
        <f>H2076-M2076</f>
        <v/>
      </c>
      <c r="O2076" t="inlineStr">
        <is>
          <t>Sim</t>
        </is>
      </c>
      <c r="P2076" t="inlineStr">
        <is>
          <t>1.350</t>
        </is>
      </c>
    </row>
    <row r="2077">
      <c r="A2077" s="24" t="n">
        <v>46023</v>
      </c>
      <c r="B2077" t="inlineStr">
        <is>
          <t>Frete de compra</t>
        </is>
      </c>
      <c r="C2077" t="inlineStr">
        <is>
          <t>Frete de compra</t>
        </is>
      </c>
      <c r="D2077" t="inlineStr">
        <is>
          <t>CT-e</t>
        </is>
      </c>
      <c r="E2077" t="inlineStr">
        <is>
          <t>000188285</t>
        </is>
      </c>
      <c r="F2077" t="inlineStr">
        <is>
          <t>ALIANCA NAVEGACAO E LOGISTICA LTDA</t>
        </is>
      </c>
      <c r="G2077" s="27" t="n">
        <v>46048</v>
      </c>
      <c r="H2077" s="14" t="n">
        <v>20006.62</v>
      </c>
      <c r="I2077" s="14" t="n">
        <v>0</v>
      </c>
      <c r="J2077" s="14" t="n">
        <v>1400.46</v>
      </c>
      <c r="K2077" s="14" t="n">
        <v>0</v>
      </c>
      <c r="L2077" s="14" t="n">
        <v>0</v>
      </c>
      <c r="M2077" s="14">
        <f>IF(B2077="Frete de venda",0,(1-ISNUMBER(SEARCH("556",P2077)))*(I2077*VLOOKUP($B2077,Premissas!$A$4:$E$7,2,0)+J2077*VLOOKUP($B2077,Premissas!$A$4:$E$7,3,0))+K2077*VLOOKUP($B2077,Premissas!$A$4:$E$7,4,0)+L2077*VLOOKUP($B2077,Premissas!$A$4:$E$7,5,0))</f>
        <v/>
      </c>
      <c r="N2077" s="14">
        <f>H2077-M2077</f>
        <v/>
      </c>
      <c r="O2077" t="inlineStr">
        <is>
          <t>Sim</t>
        </is>
      </c>
      <c r="P2077" t="inlineStr">
        <is>
          <t>1.350</t>
        </is>
      </c>
    </row>
    <row r="2078">
      <c r="A2078" s="24" t="n">
        <v>46023</v>
      </c>
      <c r="B2078" t="inlineStr">
        <is>
          <t>Frete de compra</t>
        </is>
      </c>
      <c r="C2078" t="inlineStr">
        <is>
          <t>Frete de compra</t>
        </is>
      </c>
      <c r="D2078" t="inlineStr">
        <is>
          <t>CT-e</t>
        </is>
      </c>
      <c r="E2078" t="inlineStr">
        <is>
          <t>000188283</t>
        </is>
      </c>
      <c r="F2078" t="inlineStr">
        <is>
          <t>ALIANCA NAVEGACAO E LOGISTICA LTDA</t>
        </is>
      </c>
      <c r="G2078" s="27" t="n">
        <v>46048</v>
      </c>
      <c r="H2078" s="14" t="n">
        <v>20006.52</v>
      </c>
      <c r="I2078" s="14" t="n">
        <v>0</v>
      </c>
      <c r="J2078" s="14" t="n">
        <v>1400.46</v>
      </c>
      <c r="K2078" s="14" t="n">
        <v>0</v>
      </c>
      <c r="L2078" s="14" t="n">
        <v>0</v>
      </c>
      <c r="M2078" s="14">
        <f>IF(B2078="Frete de venda",0,(1-ISNUMBER(SEARCH("556",P2078)))*(I2078*VLOOKUP($B2078,Premissas!$A$4:$E$7,2,0)+J2078*VLOOKUP($B2078,Premissas!$A$4:$E$7,3,0))+K2078*VLOOKUP($B2078,Premissas!$A$4:$E$7,4,0)+L2078*VLOOKUP($B2078,Premissas!$A$4:$E$7,5,0))</f>
        <v/>
      </c>
      <c r="N2078" s="14">
        <f>H2078-M2078</f>
        <v/>
      </c>
      <c r="O2078" t="inlineStr">
        <is>
          <t>Sim</t>
        </is>
      </c>
      <c r="P2078" t="inlineStr">
        <is>
          <t>1.350</t>
        </is>
      </c>
    </row>
    <row r="2079">
      <c r="A2079" s="24" t="n">
        <v>46023</v>
      </c>
      <c r="B2079" t="inlineStr">
        <is>
          <t>Frete de compra</t>
        </is>
      </c>
      <c r="C2079" t="inlineStr">
        <is>
          <t>Frete de compra</t>
        </is>
      </c>
      <c r="D2079" t="inlineStr">
        <is>
          <t>CT-e</t>
        </is>
      </c>
      <c r="E2079" t="inlineStr">
        <is>
          <t>000188284</t>
        </is>
      </c>
      <c r="F2079" t="inlineStr">
        <is>
          <t>ALIANCA NAVEGACAO E LOGISTICA LTDA</t>
        </is>
      </c>
      <c r="G2079" s="27" t="n">
        <v>46048</v>
      </c>
      <c r="H2079" s="14" t="n">
        <v>20003.02</v>
      </c>
      <c r="I2079" s="14" t="n">
        <v>0</v>
      </c>
      <c r="J2079" s="14" t="n">
        <v>1400.21</v>
      </c>
      <c r="K2079" s="14" t="n">
        <v>0</v>
      </c>
      <c r="L2079" s="14" t="n">
        <v>0</v>
      </c>
      <c r="M2079" s="14">
        <f>IF(B2079="Frete de venda",0,(1-ISNUMBER(SEARCH("556",P2079)))*(I2079*VLOOKUP($B2079,Premissas!$A$4:$E$7,2,0)+J2079*VLOOKUP($B2079,Premissas!$A$4:$E$7,3,0))+K2079*VLOOKUP($B2079,Premissas!$A$4:$E$7,4,0)+L2079*VLOOKUP($B2079,Premissas!$A$4:$E$7,5,0))</f>
        <v/>
      </c>
      <c r="N2079" s="14">
        <f>H2079-M2079</f>
        <v/>
      </c>
      <c r="O2079" t="inlineStr">
        <is>
          <t>Sim</t>
        </is>
      </c>
      <c r="P2079" t="inlineStr">
        <is>
          <t>1.350</t>
        </is>
      </c>
    </row>
    <row r="2080">
      <c r="A2080" s="24" t="n">
        <v>46023</v>
      </c>
      <c r="B2080" t="inlineStr">
        <is>
          <t>Frete de compra</t>
        </is>
      </c>
      <c r="C2080" t="inlineStr">
        <is>
          <t>Frete de compra</t>
        </is>
      </c>
      <c r="D2080" t="inlineStr">
        <is>
          <t>CT-e</t>
        </is>
      </c>
      <c r="E2080" t="inlineStr">
        <is>
          <t>000188286</t>
        </is>
      </c>
      <c r="F2080" t="inlineStr">
        <is>
          <t>ALIANCA NAVEGACAO E LOGISTICA LTDA</t>
        </is>
      </c>
      <c r="G2080" s="27" t="n">
        <v>46048</v>
      </c>
      <c r="H2080" s="14" t="n">
        <v>17210.38</v>
      </c>
      <c r="I2080" s="14" t="n">
        <v>0</v>
      </c>
      <c r="J2080" s="14" t="n">
        <v>1204.73</v>
      </c>
      <c r="K2080" s="14" t="n">
        <v>0</v>
      </c>
      <c r="L2080" s="14" t="n">
        <v>0</v>
      </c>
      <c r="M2080" s="14">
        <f>IF(B2080="Frete de venda",0,(1-ISNUMBER(SEARCH("556",P2080)))*(I2080*VLOOKUP($B2080,Premissas!$A$4:$E$7,2,0)+J2080*VLOOKUP($B2080,Premissas!$A$4:$E$7,3,0))+K2080*VLOOKUP($B2080,Premissas!$A$4:$E$7,4,0)+L2080*VLOOKUP($B2080,Premissas!$A$4:$E$7,5,0))</f>
        <v/>
      </c>
      <c r="N2080" s="14">
        <f>H2080-M2080</f>
        <v/>
      </c>
      <c r="O2080" t="inlineStr">
        <is>
          <t>Sim</t>
        </is>
      </c>
      <c r="P2080" t="inlineStr">
        <is>
          <t>1.350</t>
        </is>
      </c>
    </row>
    <row r="2081">
      <c r="A2081" s="24" t="n">
        <v>46023</v>
      </c>
      <c r="B2081" t="inlineStr">
        <is>
          <t>Frete de compra</t>
        </is>
      </c>
      <c r="C2081" t="inlineStr">
        <is>
          <t>Frete de compra</t>
        </is>
      </c>
      <c r="D2081" t="inlineStr">
        <is>
          <t>CT-e</t>
        </is>
      </c>
      <c r="E2081" t="inlineStr">
        <is>
          <t>000188293</t>
        </is>
      </c>
      <c r="F2081" t="inlineStr">
        <is>
          <t>ALIANCA NAVEGACAO E LOGISTICA LTDA</t>
        </is>
      </c>
      <c r="G2081" s="27" t="n">
        <v>46049</v>
      </c>
      <c r="H2081" s="14" t="n">
        <v>17212.69</v>
      </c>
      <c r="I2081" s="14" t="n">
        <v>0</v>
      </c>
      <c r="J2081" s="14" t="n">
        <v>1204.89</v>
      </c>
      <c r="K2081" s="14" t="n">
        <v>0</v>
      </c>
      <c r="L2081" s="14" t="n">
        <v>0</v>
      </c>
      <c r="M2081" s="14">
        <f>IF(B2081="Frete de venda",0,(1-ISNUMBER(SEARCH("556",P2081)))*(I2081*VLOOKUP($B2081,Premissas!$A$4:$E$7,2,0)+J2081*VLOOKUP($B2081,Premissas!$A$4:$E$7,3,0))+K2081*VLOOKUP($B2081,Premissas!$A$4:$E$7,4,0)+L2081*VLOOKUP($B2081,Premissas!$A$4:$E$7,5,0))</f>
        <v/>
      </c>
      <c r="N2081" s="14">
        <f>H2081-M2081</f>
        <v/>
      </c>
      <c r="O2081" t="inlineStr">
        <is>
          <t>Sim</t>
        </is>
      </c>
      <c r="P2081" t="inlineStr">
        <is>
          <t>1.350</t>
        </is>
      </c>
    </row>
    <row r="2082">
      <c r="A2082" s="24" t="n">
        <v>46023</v>
      </c>
      <c r="B2082" t="inlineStr">
        <is>
          <t>Frete de compra</t>
        </is>
      </c>
      <c r="C2082" t="inlineStr">
        <is>
          <t>Frete de compra</t>
        </is>
      </c>
      <c r="D2082" t="inlineStr">
        <is>
          <t>CT-e</t>
        </is>
      </c>
      <c r="E2082" t="inlineStr">
        <is>
          <t>000188296</t>
        </is>
      </c>
      <c r="F2082" t="inlineStr">
        <is>
          <t>ALIANCA NAVEGACAO E LOGISTICA LTDA</t>
        </is>
      </c>
      <c r="G2082" s="27" t="n">
        <v>46049</v>
      </c>
      <c r="H2082" s="14" t="n">
        <v>20004.48</v>
      </c>
      <c r="I2082" s="14" t="n">
        <v>0</v>
      </c>
      <c r="J2082" s="14" t="n">
        <v>1400.31</v>
      </c>
      <c r="K2082" s="14" t="n">
        <v>0</v>
      </c>
      <c r="L2082" s="14" t="n">
        <v>0</v>
      </c>
      <c r="M2082" s="14">
        <f>IF(B2082="Frete de venda",0,(1-ISNUMBER(SEARCH("556",P2082)))*(I2082*VLOOKUP($B2082,Premissas!$A$4:$E$7,2,0)+J2082*VLOOKUP($B2082,Premissas!$A$4:$E$7,3,0))+K2082*VLOOKUP($B2082,Premissas!$A$4:$E$7,4,0)+L2082*VLOOKUP($B2082,Premissas!$A$4:$E$7,5,0))</f>
        <v/>
      </c>
      <c r="N2082" s="14">
        <f>H2082-M2082</f>
        <v/>
      </c>
      <c r="O2082" t="inlineStr">
        <is>
          <t>Sim</t>
        </is>
      </c>
      <c r="P2082" t="inlineStr">
        <is>
          <t>1.350</t>
        </is>
      </c>
    </row>
    <row r="2083">
      <c r="A2083" s="24" t="n">
        <v>46023</v>
      </c>
      <c r="B2083" t="inlineStr">
        <is>
          <t>Frete de compra</t>
        </is>
      </c>
      <c r="C2083" t="inlineStr">
        <is>
          <t>Frete de compra</t>
        </is>
      </c>
      <c r="D2083" t="inlineStr">
        <is>
          <t>CT-e</t>
        </is>
      </c>
      <c r="E2083" t="inlineStr">
        <is>
          <t>000188297</t>
        </is>
      </c>
      <c r="F2083" t="inlineStr">
        <is>
          <t>ALIANCA NAVEGACAO E LOGISTICA LTDA</t>
        </is>
      </c>
      <c r="G2083" s="27" t="n">
        <v>46049</v>
      </c>
      <c r="H2083" s="14" t="n">
        <v>20007.49</v>
      </c>
      <c r="I2083" s="14" t="n">
        <v>0</v>
      </c>
      <c r="J2083" s="14" t="n">
        <v>1400.52</v>
      </c>
      <c r="K2083" s="14" t="n">
        <v>0</v>
      </c>
      <c r="L2083" s="14" t="n">
        <v>0</v>
      </c>
      <c r="M2083" s="14">
        <f>IF(B2083="Frete de venda",0,(1-ISNUMBER(SEARCH("556",P2083)))*(I2083*VLOOKUP($B2083,Premissas!$A$4:$E$7,2,0)+J2083*VLOOKUP($B2083,Premissas!$A$4:$E$7,3,0))+K2083*VLOOKUP($B2083,Premissas!$A$4:$E$7,4,0)+L2083*VLOOKUP($B2083,Premissas!$A$4:$E$7,5,0))</f>
        <v/>
      </c>
      <c r="N2083" s="14">
        <f>H2083-M2083</f>
        <v/>
      </c>
      <c r="O2083" t="inlineStr">
        <is>
          <t>Sim</t>
        </is>
      </c>
      <c r="P2083" t="inlineStr">
        <is>
          <t>1.350</t>
        </is>
      </c>
    </row>
    <row r="2084">
      <c r="A2084" s="24" t="n">
        <v>46023</v>
      </c>
      <c r="B2084" t="inlineStr">
        <is>
          <t>Frete de compra</t>
        </is>
      </c>
      <c r="C2084" t="inlineStr">
        <is>
          <t>Frete de compra</t>
        </is>
      </c>
      <c r="D2084" t="inlineStr">
        <is>
          <t>CT-e</t>
        </is>
      </c>
      <c r="E2084" t="inlineStr">
        <is>
          <t>000188298</t>
        </is>
      </c>
      <c r="F2084" t="inlineStr">
        <is>
          <t>ALIANCA NAVEGACAO E LOGISTICA LTDA</t>
        </is>
      </c>
      <c r="G2084" s="27" t="n">
        <v>46049</v>
      </c>
      <c r="H2084" s="14" t="n">
        <v>20005.98</v>
      </c>
      <c r="I2084" s="14" t="n">
        <v>0</v>
      </c>
      <c r="J2084" s="14" t="n">
        <v>1400.42</v>
      </c>
      <c r="K2084" s="14" t="n">
        <v>0</v>
      </c>
      <c r="L2084" s="14" t="n">
        <v>0</v>
      </c>
      <c r="M2084" s="14">
        <f>IF(B2084="Frete de venda",0,(1-ISNUMBER(SEARCH("556",P2084)))*(I2084*VLOOKUP($B2084,Premissas!$A$4:$E$7,2,0)+J2084*VLOOKUP($B2084,Premissas!$A$4:$E$7,3,0))+K2084*VLOOKUP($B2084,Premissas!$A$4:$E$7,4,0)+L2084*VLOOKUP($B2084,Premissas!$A$4:$E$7,5,0))</f>
        <v/>
      </c>
      <c r="N2084" s="14">
        <f>H2084-M2084</f>
        <v/>
      </c>
      <c r="O2084" t="inlineStr">
        <is>
          <t>Sim</t>
        </is>
      </c>
      <c r="P2084" t="inlineStr">
        <is>
          <t>1.350</t>
        </is>
      </c>
    </row>
    <row r="2085">
      <c r="A2085" s="24" t="n">
        <v>46023</v>
      </c>
      <c r="B2085" t="inlineStr">
        <is>
          <t>Frete de compra</t>
        </is>
      </c>
      <c r="C2085" t="inlineStr">
        <is>
          <t>Frete de compra</t>
        </is>
      </c>
      <c r="D2085" t="inlineStr">
        <is>
          <t>CT-e</t>
        </is>
      </c>
      <c r="E2085" t="inlineStr">
        <is>
          <t>000188301</t>
        </is>
      </c>
      <c r="F2085" t="inlineStr">
        <is>
          <t>ALIANCA NAVEGACAO E LOGISTICA LTDA</t>
        </is>
      </c>
      <c r="G2085" s="27" t="n">
        <v>46049</v>
      </c>
      <c r="H2085" s="14" t="n">
        <v>19991.7</v>
      </c>
      <c r="I2085" s="14" t="n">
        <v>0</v>
      </c>
      <c r="J2085" s="14" t="n">
        <v>1399.42</v>
      </c>
      <c r="K2085" s="14" t="n">
        <v>0</v>
      </c>
      <c r="L2085" s="14" t="n">
        <v>0</v>
      </c>
      <c r="M2085" s="14">
        <f>IF(B2085="Frete de venda",0,(1-ISNUMBER(SEARCH("556",P2085)))*(I2085*VLOOKUP($B2085,Premissas!$A$4:$E$7,2,0)+J2085*VLOOKUP($B2085,Premissas!$A$4:$E$7,3,0))+K2085*VLOOKUP($B2085,Premissas!$A$4:$E$7,4,0)+L2085*VLOOKUP($B2085,Premissas!$A$4:$E$7,5,0))</f>
        <v/>
      </c>
      <c r="N2085" s="14">
        <f>H2085-M2085</f>
        <v/>
      </c>
      <c r="O2085" t="inlineStr">
        <is>
          <t>Sim</t>
        </is>
      </c>
      <c r="P2085" t="inlineStr">
        <is>
          <t>1.350</t>
        </is>
      </c>
    </row>
    <row r="2086">
      <c r="A2086" s="24" t="n">
        <v>46023</v>
      </c>
      <c r="B2086" t="inlineStr">
        <is>
          <t>Frete de compra</t>
        </is>
      </c>
      <c r="C2086" t="inlineStr">
        <is>
          <t>Frete de compra</t>
        </is>
      </c>
      <c r="D2086" t="inlineStr">
        <is>
          <t>CT-e</t>
        </is>
      </c>
      <c r="E2086" t="inlineStr">
        <is>
          <t>000188324</t>
        </is>
      </c>
      <c r="F2086" t="inlineStr">
        <is>
          <t>ALIANCA NAVEGACAO E LOGISTICA LTDA</t>
        </is>
      </c>
      <c r="G2086" s="27" t="n">
        <v>46049</v>
      </c>
      <c r="H2086" s="14" t="n">
        <v>17207.95</v>
      </c>
      <c r="I2086" s="14" t="n">
        <v>0</v>
      </c>
      <c r="J2086" s="14" t="n">
        <v>1204.56</v>
      </c>
      <c r="K2086" s="14" t="n">
        <v>0</v>
      </c>
      <c r="L2086" s="14" t="n">
        <v>0</v>
      </c>
      <c r="M2086" s="14">
        <f>IF(B2086="Frete de venda",0,(1-ISNUMBER(SEARCH("556",P2086)))*(I2086*VLOOKUP($B2086,Premissas!$A$4:$E$7,2,0)+J2086*VLOOKUP($B2086,Premissas!$A$4:$E$7,3,0))+K2086*VLOOKUP($B2086,Premissas!$A$4:$E$7,4,0)+L2086*VLOOKUP($B2086,Premissas!$A$4:$E$7,5,0))</f>
        <v/>
      </c>
      <c r="N2086" s="14">
        <f>H2086-M2086</f>
        <v/>
      </c>
      <c r="O2086" t="inlineStr">
        <is>
          <t>Sim</t>
        </is>
      </c>
      <c r="P2086" t="inlineStr">
        <is>
          <t>1.350</t>
        </is>
      </c>
    </row>
    <row r="2087">
      <c r="A2087" s="24" t="n">
        <v>46023</v>
      </c>
      <c r="B2087" t="inlineStr">
        <is>
          <t>Frete de compra</t>
        </is>
      </c>
      <c r="C2087" t="inlineStr">
        <is>
          <t>Frete de compra</t>
        </is>
      </c>
      <c r="D2087" t="inlineStr">
        <is>
          <t>CT-e</t>
        </is>
      </c>
      <c r="E2087" t="inlineStr">
        <is>
          <t>000188325</t>
        </is>
      </c>
      <c r="F2087" t="inlineStr">
        <is>
          <t>ALIANCA NAVEGACAO E LOGISTICA LTDA</t>
        </is>
      </c>
      <c r="G2087" s="27" t="n">
        <v>46049</v>
      </c>
      <c r="H2087" s="14" t="n">
        <v>17209.22</v>
      </c>
      <c r="I2087" s="14" t="n">
        <v>0</v>
      </c>
      <c r="J2087" s="14" t="n">
        <v>1204.65</v>
      </c>
      <c r="K2087" s="14" t="n">
        <v>0</v>
      </c>
      <c r="L2087" s="14" t="n">
        <v>0</v>
      </c>
      <c r="M2087" s="14">
        <f>IF(B2087="Frete de venda",0,(1-ISNUMBER(SEARCH("556",P2087)))*(I2087*VLOOKUP($B2087,Premissas!$A$4:$E$7,2,0)+J2087*VLOOKUP($B2087,Premissas!$A$4:$E$7,3,0))+K2087*VLOOKUP($B2087,Premissas!$A$4:$E$7,4,0)+L2087*VLOOKUP($B2087,Premissas!$A$4:$E$7,5,0))</f>
        <v/>
      </c>
      <c r="N2087" s="14">
        <f>H2087-M2087</f>
        <v/>
      </c>
      <c r="O2087" t="inlineStr">
        <is>
          <t>Sim</t>
        </is>
      </c>
      <c r="P2087" t="inlineStr">
        <is>
          <t>1.350</t>
        </is>
      </c>
    </row>
    <row r="2088">
      <c r="A2088" s="24" t="n">
        <v>46023</v>
      </c>
      <c r="B2088" t="inlineStr">
        <is>
          <t>Frete de compra</t>
        </is>
      </c>
      <c r="C2088" t="inlineStr">
        <is>
          <t>Frete de compra</t>
        </is>
      </c>
      <c r="D2088" t="inlineStr">
        <is>
          <t>CT-e</t>
        </is>
      </c>
      <c r="E2088" t="inlineStr">
        <is>
          <t>000188363</t>
        </is>
      </c>
      <c r="F2088" t="inlineStr">
        <is>
          <t>ALIANCA NAVEGACAO E LOGISTICA LTDA</t>
        </is>
      </c>
      <c r="G2088" s="27" t="n">
        <v>46049</v>
      </c>
      <c r="H2088" s="14" t="n">
        <v>17209.16</v>
      </c>
      <c r="I2088" s="14" t="n">
        <v>0</v>
      </c>
      <c r="J2088" s="14" t="n">
        <v>1204.64</v>
      </c>
      <c r="K2088" s="14" t="n">
        <v>0</v>
      </c>
      <c r="L2088" s="14" t="n">
        <v>0</v>
      </c>
      <c r="M2088" s="14">
        <f>IF(B2088="Frete de venda",0,(1-ISNUMBER(SEARCH("556",P2088)))*(I2088*VLOOKUP($B2088,Premissas!$A$4:$E$7,2,0)+J2088*VLOOKUP($B2088,Premissas!$A$4:$E$7,3,0))+K2088*VLOOKUP($B2088,Premissas!$A$4:$E$7,4,0)+L2088*VLOOKUP($B2088,Premissas!$A$4:$E$7,5,0))</f>
        <v/>
      </c>
      <c r="N2088" s="14">
        <f>H2088-M2088</f>
        <v/>
      </c>
      <c r="O2088" t="inlineStr">
        <is>
          <t>Sim</t>
        </is>
      </c>
      <c r="P2088" t="inlineStr">
        <is>
          <t>1.350</t>
        </is>
      </c>
    </row>
    <row r="2089">
      <c r="A2089" s="24" t="n">
        <v>46023</v>
      </c>
      <c r="B2089" t="inlineStr">
        <is>
          <t>Frete de compra</t>
        </is>
      </c>
      <c r="C2089" t="inlineStr">
        <is>
          <t>Frete de compra</t>
        </is>
      </c>
      <c r="D2089" t="inlineStr">
        <is>
          <t>CT-e</t>
        </is>
      </c>
      <c r="E2089" t="inlineStr">
        <is>
          <t>000188380</t>
        </is>
      </c>
      <c r="F2089" t="inlineStr">
        <is>
          <t>ALIANCA NAVEGACAO E LOGISTICA LTDA</t>
        </is>
      </c>
      <c r="G2089" s="27" t="n">
        <v>46049</v>
      </c>
      <c r="H2089" s="14" t="n">
        <v>17201.01</v>
      </c>
      <c r="I2089" s="14" t="n">
        <v>0</v>
      </c>
      <c r="J2089" s="14" t="n">
        <v>1204.07</v>
      </c>
      <c r="K2089" s="14" t="n">
        <v>0</v>
      </c>
      <c r="L2089" s="14" t="n">
        <v>0</v>
      </c>
      <c r="M2089" s="14">
        <f>IF(B2089="Frete de venda",0,(1-ISNUMBER(SEARCH("556",P2089)))*(I2089*VLOOKUP($B2089,Premissas!$A$4:$E$7,2,0)+J2089*VLOOKUP($B2089,Premissas!$A$4:$E$7,3,0))+K2089*VLOOKUP($B2089,Premissas!$A$4:$E$7,4,0)+L2089*VLOOKUP($B2089,Premissas!$A$4:$E$7,5,0))</f>
        <v/>
      </c>
      <c r="N2089" s="14">
        <f>H2089-M2089</f>
        <v/>
      </c>
      <c r="O2089" t="inlineStr">
        <is>
          <t>Sim</t>
        </is>
      </c>
      <c r="P2089" t="inlineStr">
        <is>
          <t>1.350</t>
        </is>
      </c>
    </row>
    <row r="2090">
      <c r="A2090" s="24" t="n">
        <v>46023</v>
      </c>
      <c r="B2090" t="inlineStr">
        <is>
          <t>Frete de venda</t>
        </is>
      </c>
      <c r="C2090" t="inlineStr">
        <is>
          <t>Frete de venda (para clientes)</t>
        </is>
      </c>
      <c r="D2090" t="inlineStr">
        <is>
          <t>CT-e</t>
        </is>
      </c>
      <c r="E2090" t="inlineStr">
        <is>
          <t>000092160</t>
        </is>
      </c>
      <c r="F2090" t="inlineStr">
        <is>
          <t>CAMPINENSE TRANSPORTE DE CARGAS E LOCACOES LT</t>
        </is>
      </c>
      <c r="G2090" s="27" t="n">
        <v>46052</v>
      </c>
      <c r="H2090" s="14" t="n">
        <v>176.02</v>
      </c>
      <c r="I2090" s="14" t="n">
        <v>0</v>
      </c>
      <c r="J2090" s="14" t="n">
        <v>12.32</v>
      </c>
      <c r="K2090" s="14" t="n">
        <v>0</v>
      </c>
      <c r="L2090" s="14" t="n">
        <v>0</v>
      </c>
      <c r="M2090" s="14">
        <f>IF(B2090="Frete de venda",0,(1-ISNUMBER(SEARCH("556",P2090)))*(I2090*VLOOKUP($B2090,Premissas!$A$4:$E$7,2,0)+J2090*VLOOKUP($B2090,Premissas!$A$4:$E$7,3,0))+K2090*VLOOKUP($B2090,Premissas!$A$4:$E$7,4,0)+L2090*VLOOKUP($B2090,Premissas!$A$4:$E$7,5,0))</f>
        <v/>
      </c>
      <c r="N2090" s="14">
        <f>H2090-M2090</f>
        <v/>
      </c>
      <c r="O2090" t="inlineStr">
        <is>
          <t>Sim</t>
        </is>
      </c>
      <c r="P2090" t="inlineStr">
        <is>
          <t>1.350</t>
        </is>
      </c>
    </row>
    <row r="2091">
      <c r="A2091" s="24" t="n">
        <v>46023</v>
      </c>
      <c r="B2091" t="inlineStr">
        <is>
          <t>Frete de venda</t>
        </is>
      </c>
      <c r="C2091" t="inlineStr">
        <is>
          <t>Frete de venda (para clientes)</t>
        </is>
      </c>
      <c r="D2091" t="inlineStr">
        <is>
          <t>CT-e</t>
        </is>
      </c>
      <c r="E2091" t="inlineStr">
        <is>
          <t>000006122</t>
        </is>
      </c>
      <c r="F2091" t="inlineStr">
        <is>
          <t>R&amp;R TRANSPORTE E LOGISTICA</t>
        </is>
      </c>
      <c r="G2091" s="27" t="n">
        <v>46030</v>
      </c>
      <c r="H2091" s="14" t="n">
        <v>253.5</v>
      </c>
      <c r="I2091" s="14" t="n">
        <v>0</v>
      </c>
      <c r="J2091" s="14" t="n">
        <v>0</v>
      </c>
      <c r="K2091" s="14" t="n">
        <v>0</v>
      </c>
      <c r="L2091" s="14" t="n">
        <v>0</v>
      </c>
      <c r="M2091" s="14">
        <f>IF(B2091="Frete de venda",0,(1-ISNUMBER(SEARCH("556",P2091)))*(I2091*VLOOKUP($B2091,Premissas!$A$4:$E$7,2,0)+J2091*VLOOKUP($B2091,Premissas!$A$4:$E$7,3,0))+K2091*VLOOKUP($B2091,Premissas!$A$4:$E$7,4,0)+L2091*VLOOKUP($B2091,Premissas!$A$4:$E$7,5,0))</f>
        <v/>
      </c>
      <c r="N2091" s="14">
        <f>H2091-M2091</f>
        <v/>
      </c>
      <c r="O2091" t="inlineStr">
        <is>
          <t>Não</t>
        </is>
      </c>
      <c r="P2091" t="inlineStr">
        <is>
          <t>1.350</t>
        </is>
      </c>
    </row>
    <row r="2092">
      <c r="A2092" s="24" t="n">
        <v>46023</v>
      </c>
      <c r="B2092" t="inlineStr">
        <is>
          <t>Frete de venda</t>
        </is>
      </c>
      <c r="C2092" t="inlineStr">
        <is>
          <t>Frete de venda (para clientes)</t>
        </is>
      </c>
      <c r="D2092" t="inlineStr">
        <is>
          <t>CT-e</t>
        </is>
      </c>
      <c r="E2092" t="inlineStr">
        <is>
          <t>000002447</t>
        </is>
      </c>
      <c r="F2092" t="inlineStr">
        <is>
          <t>RAPIDO XAPURI TRANSPORTES E LOGISTICA LTDA</t>
        </is>
      </c>
      <c r="G2092" s="27" t="n">
        <v>46035</v>
      </c>
      <c r="H2092" s="14" t="n">
        <v>904.33</v>
      </c>
      <c r="I2092" s="14" t="n">
        <v>0</v>
      </c>
      <c r="J2092" s="14" t="n">
        <v>108.52</v>
      </c>
      <c r="K2092" s="14" t="n">
        <v>0</v>
      </c>
      <c r="L2092" s="14" t="n">
        <v>0</v>
      </c>
      <c r="M2092" s="14">
        <f>IF(B2092="Frete de venda",0,(1-ISNUMBER(SEARCH("556",P2092)))*(I2092*VLOOKUP($B2092,Premissas!$A$4:$E$7,2,0)+J2092*VLOOKUP($B2092,Premissas!$A$4:$E$7,3,0))+K2092*VLOOKUP($B2092,Premissas!$A$4:$E$7,4,0)+L2092*VLOOKUP($B2092,Premissas!$A$4:$E$7,5,0))</f>
        <v/>
      </c>
      <c r="N2092" s="14">
        <f>H2092-M2092</f>
        <v/>
      </c>
      <c r="O2092" t="inlineStr">
        <is>
          <t>Sim</t>
        </is>
      </c>
      <c r="P2092" t="inlineStr">
        <is>
          <t>1.350</t>
        </is>
      </c>
    </row>
    <row r="2093">
      <c r="A2093" s="24" t="n">
        <v>46023</v>
      </c>
      <c r="B2093" t="inlineStr">
        <is>
          <t>Frete de venda</t>
        </is>
      </c>
      <c r="C2093" t="inlineStr">
        <is>
          <t>Frete de venda (para clientes)</t>
        </is>
      </c>
      <c r="D2093" t="inlineStr">
        <is>
          <t>CT-e</t>
        </is>
      </c>
      <c r="E2093" t="inlineStr">
        <is>
          <t>000006224</t>
        </is>
      </c>
      <c r="F2093" t="inlineStr">
        <is>
          <t>R&amp;R TRANSPORTE E LOGISTICA</t>
        </is>
      </c>
      <c r="G2093" s="27" t="n">
        <v>46044</v>
      </c>
      <c r="H2093" s="14" t="n">
        <v>20.96</v>
      </c>
      <c r="I2093" s="14" t="n">
        <v>0</v>
      </c>
      <c r="J2093" s="14" t="n">
        <v>0</v>
      </c>
      <c r="K2093" s="14" t="n">
        <v>0</v>
      </c>
      <c r="L2093" s="14" t="n">
        <v>0</v>
      </c>
      <c r="M2093" s="14">
        <f>IF(B2093="Frete de venda",0,(1-ISNUMBER(SEARCH("556",P2093)))*(I2093*VLOOKUP($B2093,Premissas!$A$4:$E$7,2,0)+J2093*VLOOKUP($B2093,Premissas!$A$4:$E$7,3,0))+K2093*VLOOKUP($B2093,Premissas!$A$4:$E$7,4,0)+L2093*VLOOKUP($B2093,Premissas!$A$4:$E$7,5,0))</f>
        <v/>
      </c>
      <c r="N2093" s="14">
        <f>H2093-M2093</f>
        <v/>
      </c>
      <c r="O2093" t="inlineStr">
        <is>
          <t>Não</t>
        </is>
      </c>
      <c r="P2093" t="inlineStr">
        <is>
          <t>1.350</t>
        </is>
      </c>
    </row>
    <row r="2094">
      <c r="A2094" s="24" t="n">
        <v>46023</v>
      </c>
      <c r="B2094" t="inlineStr">
        <is>
          <t>Frete de venda</t>
        </is>
      </c>
      <c r="C2094" t="inlineStr">
        <is>
          <t>Frete de venda (para clientes)</t>
        </is>
      </c>
      <c r="D2094" t="inlineStr">
        <is>
          <t>CT-e</t>
        </is>
      </c>
      <c r="E2094" t="inlineStr">
        <is>
          <t>000006164</t>
        </is>
      </c>
      <c r="F2094" t="inlineStr">
        <is>
          <t>R&amp;R TRANSPORTE E LOGISTICA</t>
        </is>
      </c>
      <c r="G2094" s="27" t="n">
        <v>46036</v>
      </c>
      <c r="H2094" s="14" t="n">
        <v>700</v>
      </c>
      <c r="I2094" s="14" t="n">
        <v>0</v>
      </c>
      <c r="J2094" s="14" t="n">
        <v>0</v>
      </c>
      <c r="K2094" s="14" t="n">
        <v>0</v>
      </c>
      <c r="L2094" s="14" t="n">
        <v>0</v>
      </c>
      <c r="M2094" s="14">
        <f>IF(B2094="Frete de venda",0,(1-ISNUMBER(SEARCH("556",P2094)))*(I2094*VLOOKUP($B2094,Premissas!$A$4:$E$7,2,0)+J2094*VLOOKUP($B2094,Premissas!$A$4:$E$7,3,0))+K2094*VLOOKUP($B2094,Premissas!$A$4:$E$7,4,0)+L2094*VLOOKUP($B2094,Premissas!$A$4:$E$7,5,0))</f>
        <v/>
      </c>
      <c r="N2094" s="14">
        <f>H2094-M2094</f>
        <v/>
      </c>
      <c r="O2094" t="inlineStr">
        <is>
          <t>Não</t>
        </is>
      </c>
      <c r="P2094" t="inlineStr">
        <is>
          <t>1.350</t>
        </is>
      </c>
    </row>
    <row r="2095">
      <c r="A2095" s="24" t="n">
        <v>46023</v>
      </c>
      <c r="B2095" t="inlineStr">
        <is>
          <t>Frete de venda</t>
        </is>
      </c>
      <c r="C2095" t="inlineStr">
        <is>
          <t>Frete de venda (para clientes)</t>
        </is>
      </c>
      <c r="D2095" t="inlineStr">
        <is>
          <t>CT-e</t>
        </is>
      </c>
      <c r="E2095" t="inlineStr">
        <is>
          <t>000006265</t>
        </is>
      </c>
      <c r="F2095" t="inlineStr">
        <is>
          <t>R&amp;R TRANSPORTE E LOGISTICA</t>
        </is>
      </c>
      <c r="G2095" s="27" t="n">
        <v>46051</v>
      </c>
      <c r="H2095" s="14" t="n">
        <v>47.9</v>
      </c>
      <c r="I2095" s="14" t="n">
        <v>0</v>
      </c>
      <c r="J2095" s="14" t="n">
        <v>0</v>
      </c>
      <c r="K2095" s="14" t="n">
        <v>0</v>
      </c>
      <c r="L2095" s="14" t="n">
        <v>0</v>
      </c>
      <c r="M2095" s="14">
        <f>IF(B2095="Frete de venda",0,(1-ISNUMBER(SEARCH("556",P2095)))*(I2095*VLOOKUP($B2095,Premissas!$A$4:$E$7,2,0)+J2095*VLOOKUP($B2095,Premissas!$A$4:$E$7,3,0))+K2095*VLOOKUP($B2095,Premissas!$A$4:$E$7,4,0)+L2095*VLOOKUP($B2095,Premissas!$A$4:$E$7,5,0))</f>
        <v/>
      </c>
      <c r="N2095" s="14">
        <f>H2095-M2095</f>
        <v/>
      </c>
      <c r="O2095" t="inlineStr">
        <is>
          <t>Não</t>
        </is>
      </c>
      <c r="P2095" t="inlineStr">
        <is>
          <t>1.350</t>
        </is>
      </c>
    </row>
    <row r="2096">
      <c r="A2096" s="24" t="n">
        <v>46023</v>
      </c>
      <c r="B2096" t="inlineStr">
        <is>
          <t>Frete de venda</t>
        </is>
      </c>
      <c r="C2096" t="inlineStr">
        <is>
          <t>Frete de venda (para clientes)</t>
        </is>
      </c>
      <c r="D2096" t="inlineStr">
        <is>
          <t>CT-e</t>
        </is>
      </c>
      <c r="E2096" t="inlineStr">
        <is>
          <t>000006281</t>
        </is>
      </c>
      <c r="F2096" t="inlineStr">
        <is>
          <t>R&amp;R TRANSPORTE E LOGISTICA</t>
        </is>
      </c>
      <c r="G2096" s="27" t="n">
        <v>46053</v>
      </c>
      <c r="H2096" s="14" t="n">
        <v>28</v>
      </c>
      <c r="I2096" s="14" t="n">
        <v>0</v>
      </c>
      <c r="J2096" s="14" t="n">
        <v>0</v>
      </c>
      <c r="K2096" s="14" t="n">
        <v>0</v>
      </c>
      <c r="L2096" s="14" t="n">
        <v>0</v>
      </c>
      <c r="M2096" s="14">
        <f>IF(B2096="Frete de venda",0,(1-ISNUMBER(SEARCH("556",P2096)))*(I2096*VLOOKUP($B2096,Premissas!$A$4:$E$7,2,0)+J2096*VLOOKUP($B2096,Premissas!$A$4:$E$7,3,0))+K2096*VLOOKUP($B2096,Premissas!$A$4:$E$7,4,0)+L2096*VLOOKUP($B2096,Premissas!$A$4:$E$7,5,0))</f>
        <v/>
      </c>
      <c r="N2096" s="14">
        <f>H2096-M2096</f>
        <v/>
      </c>
      <c r="O2096" t="inlineStr">
        <is>
          <t>Não</t>
        </is>
      </c>
      <c r="P2096" t="inlineStr">
        <is>
          <t>1.350</t>
        </is>
      </c>
    </row>
    <row r="2097">
      <c r="A2097" s="24" t="n">
        <v>46023</v>
      </c>
      <c r="B2097" t="inlineStr">
        <is>
          <t>Frete de venda</t>
        </is>
      </c>
      <c r="C2097" t="inlineStr">
        <is>
          <t>Frete de venda (para clientes)</t>
        </is>
      </c>
      <c r="D2097" t="inlineStr">
        <is>
          <t>CT-e</t>
        </is>
      </c>
      <c r="E2097" t="inlineStr">
        <is>
          <t>000006279</t>
        </is>
      </c>
      <c r="F2097" t="inlineStr">
        <is>
          <t>R&amp;R TRANSPORTE E LOGISTICA</t>
        </is>
      </c>
      <c r="G2097" s="27" t="n">
        <v>46053</v>
      </c>
      <c r="H2097" s="14" t="n">
        <v>29</v>
      </c>
      <c r="I2097" s="14" t="n">
        <v>0</v>
      </c>
      <c r="J2097" s="14" t="n">
        <v>0</v>
      </c>
      <c r="K2097" s="14" t="n">
        <v>0</v>
      </c>
      <c r="L2097" s="14" t="n">
        <v>0</v>
      </c>
      <c r="M2097" s="14">
        <f>IF(B2097="Frete de venda",0,(1-ISNUMBER(SEARCH("556",P2097)))*(I2097*VLOOKUP($B2097,Premissas!$A$4:$E$7,2,0)+J2097*VLOOKUP($B2097,Premissas!$A$4:$E$7,3,0))+K2097*VLOOKUP($B2097,Premissas!$A$4:$E$7,4,0)+L2097*VLOOKUP($B2097,Premissas!$A$4:$E$7,5,0))</f>
        <v/>
      </c>
      <c r="N2097" s="14">
        <f>H2097-M2097</f>
        <v/>
      </c>
      <c r="O2097" t="inlineStr">
        <is>
          <t>Não</t>
        </is>
      </c>
      <c r="P2097" t="inlineStr">
        <is>
          <t>1.350</t>
        </is>
      </c>
    </row>
    <row r="2098">
      <c r="A2098" s="24" t="n">
        <v>46023</v>
      </c>
      <c r="B2098" t="inlineStr">
        <is>
          <t>Frete de venda</t>
        </is>
      </c>
      <c r="C2098" t="inlineStr">
        <is>
          <t>Frete de venda (para clientes)</t>
        </is>
      </c>
      <c r="D2098" t="inlineStr">
        <is>
          <t>CT-e</t>
        </is>
      </c>
      <c r="E2098" t="inlineStr">
        <is>
          <t>000006280</t>
        </is>
      </c>
      <c r="F2098" t="inlineStr">
        <is>
          <t>R&amp;R TRANSPORTE E LOGISTICA</t>
        </is>
      </c>
      <c r="G2098" s="27" t="n">
        <v>46053</v>
      </c>
      <c r="H2098" s="14" t="n">
        <v>37</v>
      </c>
      <c r="I2098" s="14" t="n">
        <v>0</v>
      </c>
      <c r="J2098" s="14" t="n">
        <v>0</v>
      </c>
      <c r="K2098" s="14" t="n">
        <v>0</v>
      </c>
      <c r="L2098" s="14" t="n">
        <v>0</v>
      </c>
      <c r="M2098" s="14">
        <f>IF(B2098="Frete de venda",0,(1-ISNUMBER(SEARCH("556",P2098)))*(I2098*VLOOKUP($B2098,Premissas!$A$4:$E$7,2,0)+J2098*VLOOKUP($B2098,Premissas!$A$4:$E$7,3,0))+K2098*VLOOKUP($B2098,Premissas!$A$4:$E$7,4,0)+L2098*VLOOKUP($B2098,Premissas!$A$4:$E$7,5,0))</f>
        <v/>
      </c>
      <c r="N2098" s="14">
        <f>H2098-M2098</f>
        <v/>
      </c>
      <c r="O2098" t="inlineStr">
        <is>
          <t>Não</t>
        </is>
      </c>
      <c r="P2098" t="inlineStr">
        <is>
          <t>1.350</t>
        </is>
      </c>
    </row>
    <row r="2099">
      <c r="A2099" s="24" t="n">
        <v>46023</v>
      </c>
      <c r="B2099" t="inlineStr">
        <is>
          <t>Frete de venda</t>
        </is>
      </c>
      <c r="C2099" t="inlineStr">
        <is>
          <t>Frete de venda (para clientes)</t>
        </is>
      </c>
      <c r="D2099" t="inlineStr">
        <is>
          <t>CT-e</t>
        </is>
      </c>
      <c r="E2099" t="inlineStr">
        <is>
          <t>000006106</t>
        </is>
      </c>
      <c r="F2099" t="inlineStr">
        <is>
          <t>R&amp;R TRANSPORTE E LOGISTICA</t>
        </is>
      </c>
      <c r="G2099" s="27" t="n">
        <v>46027</v>
      </c>
      <c r="H2099" s="14" t="n">
        <v>400</v>
      </c>
      <c r="I2099" s="14" t="n">
        <v>0</v>
      </c>
      <c r="J2099" s="14" t="n">
        <v>0</v>
      </c>
      <c r="K2099" s="14" t="n">
        <v>0</v>
      </c>
      <c r="L2099" s="14" t="n">
        <v>0</v>
      </c>
      <c r="M2099" s="14">
        <f>IF(B2099="Frete de venda",0,(1-ISNUMBER(SEARCH("556",P2099)))*(I2099*VLOOKUP($B2099,Premissas!$A$4:$E$7,2,0)+J2099*VLOOKUP($B2099,Premissas!$A$4:$E$7,3,0))+K2099*VLOOKUP($B2099,Premissas!$A$4:$E$7,4,0)+L2099*VLOOKUP($B2099,Premissas!$A$4:$E$7,5,0))</f>
        <v/>
      </c>
      <c r="N2099" s="14">
        <f>H2099-M2099</f>
        <v/>
      </c>
      <c r="O2099" t="inlineStr">
        <is>
          <t>Não</t>
        </is>
      </c>
      <c r="P2099" t="inlineStr">
        <is>
          <t>1.350</t>
        </is>
      </c>
    </row>
    <row r="2100">
      <c r="A2100" s="24" t="n">
        <v>46023</v>
      </c>
      <c r="B2100" t="inlineStr">
        <is>
          <t>Frete de venda</t>
        </is>
      </c>
      <c r="C2100" t="inlineStr">
        <is>
          <t>Frete de venda (para clientes)</t>
        </is>
      </c>
      <c r="D2100" t="inlineStr">
        <is>
          <t>CT-e</t>
        </is>
      </c>
      <c r="E2100" t="inlineStr">
        <is>
          <t>000006109</t>
        </is>
      </c>
      <c r="F2100" t="inlineStr">
        <is>
          <t>R&amp;R TRANSPORTE E LOGISTICA</t>
        </is>
      </c>
      <c r="G2100" s="27" t="n">
        <v>46028</v>
      </c>
      <c r="H2100" s="14" t="n">
        <v>464</v>
      </c>
      <c r="I2100" s="14" t="n">
        <v>0</v>
      </c>
      <c r="J2100" s="14" t="n">
        <v>0</v>
      </c>
      <c r="K2100" s="14" t="n">
        <v>0</v>
      </c>
      <c r="L2100" s="14" t="n">
        <v>0</v>
      </c>
      <c r="M2100" s="14">
        <f>IF(B2100="Frete de venda",0,(1-ISNUMBER(SEARCH("556",P2100)))*(I2100*VLOOKUP($B2100,Premissas!$A$4:$E$7,2,0)+J2100*VLOOKUP($B2100,Premissas!$A$4:$E$7,3,0))+K2100*VLOOKUP($B2100,Premissas!$A$4:$E$7,4,0)+L2100*VLOOKUP($B2100,Premissas!$A$4:$E$7,5,0))</f>
        <v/>
      </c>
      <c r="N2100" s="14">
        <f>H2100-M2100</f>
        <v/>
      </c>
      <c r="O2100" t="inlineStr">
        <is>
          <t>Não</t>
        </is>
      </c>
      <c r="P2100" t="inlineStr">
        <is>
          <t>1.350</t>
        </is>
      </c>
    </row>
    <row r="2101">
      <c r="A2101" s="24" t="n">
        <v>46023</v>
      </c>
      <c r="B2101" t="inlineStr">
        <is>
          <t>Frete de venda</t>
        </is>
      </c>
      <c r="C2101" t="inlineStr">
        <is>
          <t>Frete de venda (para clientes)</t>
        </is>
      </c>
      <c r="D2101" t="inlineStr">
        <is>
          <t>CT-e</t>
        </is>
      </c>
      <c r="E2101" t="inlineStr">
        <is>
          <t>000006217</t>
        </is>
      </c>
      <c r="F2101" t="inlineStr">
        <is>
          <t>R&amp;R TRANSPORTE E LOGISTICA</t>
        </is>
      </c>
      <c r="G2101" s="27" t="n">
        <v>46044</v>
      </c>
      <c r="H2101" s="14" t="n">
        <v>28.06</v>
      </c>
      <c r="I2101" s="14" t="n">
        <v>0</v>
      </c>
      <c r="J2101" s="14" t="n">
        <v>0</v>
      </c>
      <c r="K2101" s="14" t="n">
        <v>0</v>
      </c>
      <c r="L2101" s="14" t="n">
        <v>0</v>
      </c>
      <c r="M2101" s="14">
        <f>IF(B2101="Frete de venda",0,(1-ISNUMBER(SEARCH("556",P2101)))*(I2101*VLOOKUP($B2101,Premissas!$A$4:$E$7,2,0)+J2101*VLOOKUP($B2101,Premissas!$A$4:$E$7,3,0))+K2101*VLOOKUP($B2101,Premissas!$A$4:$E$7,4,0)+L2101*VLOOKUP($B2101,Premissas!$A$4:$E$7,5,0))</f>
        <v/>
      </c>
      <c r="N2101" s="14">
        <f>H2101-M2101</f>
        <v/>
      </c>
      <c r="O2101" t="inlineStr">
        <is>
          <t>Não</t>
        </is>
      </c>
      <c r="P2101" t="inlineStr">
        <is>
          <t>1.350</t>
        </is>
      </c>
    </row>
    <row r="2102">
      <c r="A2102" s="24" t="n">
        <v>46023</v>
      </c>
      <c r="B2102" t="inlineStr">
        <is>
          <t>Frete de venda</t>
        </is>
      </c>
      <c r="C2102" t="inlineStr">
        <is>
          <t>Frete de venda (para clientes)</t>
        </is>
      </c>
      <c r="D2102" t="inlineStr">
        <is>
          <t>CT-e</t>
        </is>
      </c>
      <c r="E2102" t="inlineStr">
        <is>
          <t>000006257</t>
        </is>
      </c>
      <c r="F2102" t="inlineStr">
        <is>
          <t>R&amp;R TRANSPORTE E LOGISTICA</t>
        </is>
      </c>
      <c r="G2102" s="27" t="n">
        <v>46050</v>
      </c>
      <c r="H2102" s="14" t="n">
        <v>23.72</v>
      </c>
      <c r="I2102" s="14" t="n">
        <v>0</v>
      </c>
      <c r="J2102" s="14" t="n">
        <v>0</v>
      </c>
      <c r="K2102" s="14" t="n">
        <v>0</v>
      </c>
      <c r="L2102" s="14" t="n">
        <v>0</v>
      </c>
      <c r="M2102" s="14">
        <f>IF(B2102="Frete de venda",0,(1-ISNUMBER(SEARCH("556",P2102)))*(I2102*VLOOKUP($B2102,Premissas!$A$4:$E$7,2,0)+J2102*VLOOKUP($B2102,Premissas!$A$4:$E$7,3,0))+K2102*VLOOKUP($B2102,Premissas!$A$4:$E$7,4,0)+L2102*VLOOKUP($B2102,Premissas!$A$4:$E$7,5,0))</f>
        <v/>
      </c>
      <c r="N2102" s="14">
        <f>H2102-M2102</f>
        <v/>
      </c>
      <c r="O2102" t="inlineStr">
        <is>
          <t>Não</t>
        </is>
      </c>
      <c r="P2102" t="inlineStr">
        <is>
          <t>1.350</t>
        </is>
      </c>
    </row>
    <row r="2103">
      <c r="A2103" s="24" t="n">
        <v>46023</v>
      </c>
      <c r="B2103" t="inlineStr">
        <is>
          <t>Frete de venda</t>
        </is>
      </c>
      <c r="C2103" t="inlineStr">
        <is>
          <t>Frete de venda (para clientes)</t>
        </is>
      </c>
      <c r="D2103" t="inlineStr">
        <is>
          <t>CT-e</t>
        </is>
      </c>
      <c r="E2103" t="inlineStr">
        <is>
          <t>000006243</t>
        </is>
      </c>
      <c r="F2103" t="inlineStr">
        <is>
          <t>R&amp;R TRANSPORTE E LOGISTICA</t>
        </is>
      </c>
      <c r="G2103" s="27" t="n">
        <v>46050</v>
      </c>
      <c r="H2103" s="14" t="n">
        <v>12.94</v>
      </c>
      <c r="I2103" s="14" t="n">
        <v>0</v>
      </c>
      <c r="J2103" s="14" t="n">
        <v>0</v>
      </c>
      <c r="K2103" s="14" t="n">
        <v>0</v>
      </c>
      <c r="L2103" s="14" t="n">
        <v>0</v>
      </c>
      <c r="M2103" s="14">
        <f>IF(B2103="Frete de venda",0,(1-ISNUMBER(SEARCH("556",P2103)))*(I2103*VLOOKUP($B2103,Premissas!$A$4:$E$7,2,0)+J2103*VLOOKUP($B2103,Premissas!$A$4:$E$7,3,0))+K2103*VLOOKUP($B2103,Premissas!$A$4:$E$7,4,0)+L2103*VLOOKUP($B2103,Premissas!$A$4:$E$7,5,0))</f>
        <v/>
      </c>
      <c r="N2103" s="14">
        <f>H2103-M2103</f>
        <v/>
      </c>
      <c r="O2103" t="inlineStr">
        <is>
          <t>Não</t>
        </is>
      </c>
      <c r="P2103" t="inlineStr">
        <is>
          <t>1.350</t>
        </is>
      </c>
    </row>
    <row r="2104">
      <c r="A2104" s="24" t="n">
        <v>46023</v>
      </c>
      <c r="B2104" t="inlineStr">
        <is>
          <t>Frete de venda</t>
        </is>
      </c>
      <c r="C2104" t="inlineStr">
        <is>
          <t>Frete de venda (para clientes)</t>
        </is>
      </c>
      <c r="D2104" t="inlineStr">
        <is>
          <t>CT-e</t>
        </is>
      </c>
      <c r="E2104" t="inlineStr">
        <is>
          <t>000006138</t>
        </is>
      </c>
      <c r="F2104" t="inlineStr">
        <is>
          <t>R&amp;R TRANSPORTE E LOGISTICA</t>
        </is>
      </c>
      <c r="G2104" s="27" t="n">
        <v>46036</v>
      </c>
      <c r="H2104" s="14" t="n">
        <v>106.62</v>
      </c>
      <c r="I2104" s="14" t="n">
        <v>0</v>
      </c>
      <c r="J2104" s="14" t="n">
        <v>0</v>
      </c>
      <c r="K2104" s="14" t="n">
        <v>0</v>
      </c>
      <c r="L2104" s="14" t="n">
        <v>0</v>
      </c>
      <c r="M2104" s="14">
        <f>IF(B2104="Frete de venda",0,(1-ISNUMBER(SEARCH("556",P2104)))*(I2104*VLOOKUP($B2104,Premissas!$A$4:$E$7,2,0)+J2104*VLOOKUP($B2104,Premissas!$A$4:$E$7,3,0))+K2104*VLOOKUP($B2104,Premissas!$A$4:$E$7,4,0)+L2104*VLOOKUP($B2104,Premissas!$A$4:$E$7,5,0))</f>
        <v/>
      </c>
      <c r="N2104" s="14">
        <f>H2104-M2104</f>
        <v/>
      </c>
      <c r="O2104" t="inlineStr">
        <is>
          <t>Não</t>
        </is>
      </c>
      <c r="P2104" t="inlineStr">
        <is>
          <t>1.350</t>
        </is>
      </c>
    </row>
    <row r="2105">
      <c r="A2105" s="24" t="n">
        <v>46023</v>
      </c>
      <c r="B2105" t="inlineStr">
        <is>
          <t>Frete de venda</t>
        </is>
      </c>
      <c r="C2105" t="inlineStr">
        <is>
          <t>Frete de venda (para clientes)</t>
        </is>
      </c>
      <c r="D2105" t="inlineStr">
        <is>
          <t>CT-e</t>
        </is>
      </c>
      <c r="E2105" t="inlineStr">
        <is>
          <t>000006177</t>
        </is>
      </c>
      <c r="F2105" t="inlineStr">
        <is>
          <t>R&amp;R TRANSPORTE E LOGISTICA</t>
        </is>
      </c>
      <c r="G2105" s="27" t="n">
        <v>46039</v>
      </c>
      <c r="H2105" s="14" t="n">
        <v>44.9</v>
      </c>
      <c r="I2105" s="14" t="n">
        <v>0</v>
      </c>
      <c r="J2105" s="14" t="n">
        <v>0</v>
      </c>
      <c r="K2105" s="14" t="n">
        <v>0</v>
      </c>
      <c r="L2105" s="14" t="n">
        <v>0</v>
      </c>
      <c r="M2105" s="14">
        <f>IF(B2105="Frete de venda",0,(1-ISNUMBER(SEARCH("556",P2105)))*(I2105*VLOOKUP($B2105,Premissas!$A$4:$E$7,2,0)+J2105*VLOOKUP($B2105,Premissas!$A$4:$E$7,3,0))+K2105*VLOOKUP($B2105,Premissas!$A$4:$E$7,4,0)+L2105*VLOOKUP($B2105,Premissas!$A$4:$E$7,5,0))</f>
        <v/>
      </c>
      <c r="N2105" s="14">
        <f>H2105-M2105</f>
        <v/>
      </c>
      <c r="O2105" t="inlineStr">
        <is>
          <t>Não</t>
        </is>
      </c>
      <c r="P2105" t="inlineStr">
        <is>
          <t>1.350</t>
        </is>
      </c>
    </row>
    <row r="2106">
      <c r="A2106" s="24" t="n">
        <v>46023</v>
      </c>
      <c r="B2106" t="inlineStr">
        <is>
          <t>Frete de venda</t>
        </is>
      </c>
      <c r="C2106" t="inlineStr">
        <is>
          <t>Frete de venda (para clientes)</t>
        </is>
      </c>
      <c r="D2106" t="inlineStr">
        <is>
          <t>CT-e</t>
        </is>
      </c>
      <c r="E2106" t="inlineStr">
        <is>
          <t>000006146</t>
        </is>
      </c>
      <c r="F2106" t="inlineStr">
        <is>
          <t>R&amp;R TRANSPORTE E LOGISTICA</t>
        </is>
      </c>
      <c r="G2106" s="27" t="n">
        <v>46036</v>
      </c>
      <c r="H2106" s="14" t="n">
        <v>14.85</v>
      </c>
      <c r="I2106" s="14" t="n">
        <v>0</v>
      </c>
      <c r="J2106" s="14" t="n">
        <v>0</v>
      </c>
      <c r="K2106" s="14" t="n">
        <v>0</v>
      </c>
      <c r="L2106" s="14" t="n">
        <v>0</v>
      </c>
      <c r="M2106" s="14">
        <f>IF(B2106="Frete de venda",0,(1-ISNUMBER(SEARCH("556",P2106)))*(I2106*VLOOKUP($B2106,Premissas!$A$4:$E$7,2,0)+J2106*VLOOKUP($B2106,Premissas!$A$4:$E$7,3,0))+K2106*VLOOKUP($B2106,Premissas!$A$4:$E$7,4,0)+L2106*VLOOKUP($B2106,Premissas!$A$4:$E$7,5,0))</f>
        <v/>
      </c>
      <c r="N2106" s="14">
        <f>H2106-M2106</f>
        <v/>
      </c>
      <c r="O2106" t="inlineStr">
        <is>
          <t>Não</t>
        </is>
      </c>
      <c r="P2106" t="inlineStr">
        <is>
          <t>1.350</t>
        </is>
      </c>
    </row>
    <row r="2107">
      <c r="A2107" s="24" t="n">
        <v>46023</v>
      </c>
      <c r="B2107" t="inlineStr">
        <is>
          <t>Frete de venda</t>
        </is>
      </c>
      <c r="C2107" t="inlineStr">
        <is>
          <t>Frete de venda (para clientes)</t>
        </is>
      </c>
      <c r="D2107" t="inlineStr">
        <is>
          <t>CT-e</t>
        </is>
      </c>
      <c r="E2107" t="inlineStr">
        <is>
          <t>000006105</t>
        </is>
      </c>
      <c r="F2107" t="inlineStr">
        <is>
          <t>R&amp;R TRANSPORTE E LOGISTICA</t>
        </is>
      </c>
      <c r="G2107" s="27" t="n">
        <v>46027</v>
      </c>
      <c r="H2107" s="14" t="n">
        <v>500</v>
      </c>
      <c r="I2107" s="14" t="n">
        <v>0</v>
      </c>
      <c r="J2107" s="14" t="n">
        <v>0</v>
      </c>
      <c r="K2107" s="14" t="n">
        <v>0</v>
      </c>
      <c r="L2107" s="14" t="n">
        <v>0</v>
      </c>
      <c r="M2107" s="14">
        <f>IF(B2107="Frete de venda",0,(1-ISNUMBER(SEARCH("556",P2107)))*(I2107*VLOOKUP($B2107,Premissas!$A$4:$E$7,2,0)+J2107*VLOOKUP($B2107,Premissas!$A$4:$E$7,3,0))+K2107*VLOOKUP($B2107,Premissas!$A$4:$E$7,4,0)+L2107*VLOOKUP($B2107,Premissas!$A$4:$E$7,5,0))</f>
        <v/>
      </c>
      <c r="N2107" s="14">
        <f>H2107-M2107</f>
        <v/>
      </c>
      <c r="O2107" t="inlineStr">
        <is>
          <t>Não</t>
        </is>
      </c>
      <c r="P2107" t="inlineStr">
        <is>
          <t>1.350</t>
        </is>
      </c>
    </row>
    <row r="2108">
      <c r="A2108" s="24" t="n">
        <v>46023</v>
      </c>
      <c r="B2108" t="inlineStr">
        <is>
          <t>Frete de venda</t>
        </is>
      </c>
      <c r="C2108" t="inlineStr">
        <is>
          <t>Frete de venda (para clientes)</t>
        </is>
      </c>
      <c r="D2108" t="inlineStr">
        <is>
          <t>CT-e</t>
        </is>
      </c>
      <c r="E2108" t="inlineStr">
        <is>
          <t>000006120</t>
        </is>
      </c>
      <c r="F2108" t="inlineStr">
        <is>
          <t>R&amp;R TRANSPORTE E LOGISTICA</t>
        </is>
      </c>
      <c r="G2108" s="27" t="n">
        <v>46030</v>
      </c>
      <c r="H2108" s="14" t="n">
        <v>71.12</v>
      </c>
      <c r="I2108" s="14" t="n">
        <v>0</v>
      </c>
      <c r="J2108" s="14" t="n">
        <v>0</v>
      </c>
      <c r="K2108" s="14" t="n">
        <v>0</v>
      </c>
      <c r="L2108" s="14" t="n">
        <v>0</v>
      </c>
      <c r="M2108" s="14">
        <f>IF(B2108="Frete de venda",0,(1-ISNUMBER(SEARCH("556",P2108)))*(I2108*VLOOKUP($B2108,Premissas!$A$4:$E$7,2,0)+J2108*VLOOKUP($B2108,Premissas!$A$4:$E$7,3,0))+K2108*VLOOKUP($B2108,Premissas!$A$4:$E$7,4,0)+L2108*VLOOKUP($B2108,Premissas!$A$4:$E$7,5,0))</f>
        <v/>
      </c>
      <c r="N2108" s="14">
        <f>H2108-M2108</f>
        <v/>
      </c>
      <c r="O2108" t="inlineStr">
        <is>
          <t>Não</t>
        </is>
      </c>
      <c r="P2108" t="inlineStr">
        <is>
          <t>1.350</t>
        </is>
      </c>
    </row>
    <row r="2109">
      <c r="A2109" s="24" t="n">
        <v>46023</v>
      </c>
      <c r="B2109" t="inlineStr">
        <is>
          <t>Frete de venda</t>
        </is>
      </c>
      <c r="C2109" t="inlineStr">
        <is>
          <t>Frete de venda (para clientes)</t>
        </is>
      </c>
      <c r="D2109" t="inlineStr">
        <is>
          <t>CT-e</t>
        </is>
      </c>
      <c r="E2109" t="inlineStr">
        <is>
          <t>000006221</t>
        </is>
      </c>
      <c r="F2109" t="inlineStr">
        <is>
          <t>R&amp;R TRANSPORTE E LOGISTICA</t>
        </is>
      </c>
      <c r="G2109" s="27" t="n">
        <v>46044</v>
      </c>
      <c r="H2109" s="14" t="n">
        <v>34.52</v>
      </c>
      <c r="I2109" s="14" t="n">
        <v>0</v>
      </c>
      <c r="J2109" s="14" t="n">
        <v>0</v>
      </c>
      <c r="K2109" s="14" t="n">
        <v>0</v>
      </c>
      <c r="L2109" s="14" t="n">
        <v>0</v>
      </c>
      <c r="M2109" s="14">
        <f>IF(B2109="Frete de venda",0,(1-ISNUMBER(SEARCH("556",P2109)))*(I2109*VLOOKUP($B2109,Premissas!$A$4:$E$7,2,0)+J2109*VLOOKUP($B2109,Premissas!$A$4:$E$7,3,0))+K2109*VLOOKUP($B2109,Premissas!$A$4:$E$7,4,0)+L2109*VLOOKUP($B2109,Premissas!$A$4:$E$7,5,0))</f>
        <v/>
      </c>
      <c r="N2109" s="14">
        <f>H2109-M2109</f>
        <v/>
      </c>
      <c r="O2109" t="inlineStr">
        <is>
          <t>Não</t>
        </is>
      </c>
      <c r="P2109" t="inlineStr">
        <is>
          <t>1.350</t>
        </is>
      </c>
    </row>
    <row r="2110">
      <c r="A2110" s="24" t="n">
        <v>46023</v>
      </c>
      <c r="B2110" t="inlineStr">
        <is>
          <t>Frete de venda</t>
        </is>
      </c>
      <c r="C2110" t="inlineStr">
        <is>
          <t>Frete de venda (para clientes)</t>
        </is>
      </c>
      <c r="D2110" t="inlineStr">
        <is>
          <t>CT-e</t>
        </is>
      </c>
      <c r="E2110" t="inlineStr">
        <is>
          <t>000006130</t>
        </is>
      </c>
      <c r="F2110" t="inlineStr">
        <is>
          <t>R&amp;R TRANSPORTE E LOGISTICA</t>
        </is>
      </c>
      <c r="G2110" s="27" t="n">
        <v>46034</v>
      </c>
      <c r="H2110" s="14" t="n">
        <v>26.46</v>
      </c>
      <c r="I2110" s="14" t="n">
        <v>0</v>
      </c>
      <c r="J2110" s="14" t="n">
        <v>0</v>
      </c>
      <c r="K2110" s="14" t="n">
        <v>0</v>
      </c>
      <c r="L2110" s="14" t="n">
        <v>0</v>
      </c>
      <c r="M2110" s="14">
        <f>IF(B2110="Frete de venda",0,(1-ISNUMBER(SEARCH("556",P2110)))*(I2110*VLOOKUP($B2110,Premissas!$A$4:$E$7,2,0)+J2110*VLOOKUP($B2110,Premissas!$A$4:$E$7,3,0))+K2110*VLOOKUP($B2110,Premissas!$A$4:$E$7,4,0)+L2110*VLOOKUP($B2110,Premissas!$A$4:$E$7,5,0))</f>
        <v/>
      </c>
      <c r="N2110" s="14">
        <f>H2110-M2110</f>
        <v/>
      </c>
      <c r="O2110" t="inlineStr">
        <is>
          <t>Não</t>
        </is>
      </c>
      <c r="P2110" t="inlineStr">
        <is>
          <t>1.350</t>
        </is>
      </c>
    </row>
    <row r="2111">
      <c r="A2111" s="24" t="n">
        <v>46023</v>
      </c>
      <c r="B2111" t="inlineStr">
        <is>
          <t>Frete de venda</t>
        </is>
      </c>
      <c r="C2111" t="inlineStr">
        <is>
          <t>Frete de venda (para clientes)</t>
        </is>
      </c>
      <c r="D2111" t="inlineStr">
        <is>
          <t>CT-e</t>
        </is>
      </c>
      <c r="E2111" t="inlineStr">
        <is>
          <t>000006204</t>
        </is>
      </c>
      <c r="F2111" t="inlineStr">
        <is>
          <t>R&amp;R TRANSPORTE E LOGISTICA</t>
        </is>
      </c>
      <c r="G2111" s="27" t="n">
        <v>46043</v>
      </c>
      <c r="H2111" s="14" t="n">
        <v>30.3</v>
      </c>
      <c r="I2111" s="14" t="n">
        <v>0</v>
      </c>
      <c r="J2111" s="14" t="n">
        <v>0</v>
      </c>
      <c r="K2111" s="14" t="n">
        <v>0</v>
      </c>
      <c r="L2111" s="14" t="n">
        <v>0</v>
      </c>
      <c r="M2111" s="14">
        <f>IF(B2111="Frete de venda",0,(1-ISNUMBER(SEARCH("556",P2111)))*(I2111*VLOOKUP($B2111,Premissas!$A$4:$E$7,2,0)+J2111*VLOOKUP($B2111,Premissas!$A$4:$E$7,3,0))+K2111*VLOOKUP($B2111,Premissas!$A$4:$E$7,4,0)+L2111*VLOOKUP($B2111,Premissas!$A$4:$E$7,5,0))</f>
        <v/>
      </c>
      <c r="N2111" s="14">
        <f>H2111-M2111</f>
        <v/>
      </c>
      <c r="O2111" t="inlineStr">
        <is>
          <t>Não</t>
        </is>
      </c>
      <c r="P2111" t="inlineStr">
        <is>
          <t>1.350</t>
        </is>
      </c>
    </row>
    <row r="2112">
      <c r="A2112" s="24" t="n">
        <v>46023</v>
      </c>
      <c r="B2112" t="inlineStr">
        <is>
          <t>Frete de venda</t>
        </is>
      </c>
      <c r="C2112" t="inlineStr">
        <is>
          <t>Frete de venda (para clientes)</t>
        </is>
      </c>
      <c r="D2112" t="inlineStr">
        <is>
          <t>CT-e</t>
        </is>
      </c>
      <c r="E2112" t="inlineStr">
        <is>
          <t>000006202</t>
        </is>
      </c>
      <c r="F2112" t="inlineStr">
        <is>
          <t>R&amp;R TRANSPORTE E LOGISTICA</t>
        </is>
      </c>
      <c r="G2112" s="27" t="n">
        <v>46043</v>
      </c>
      <c r="H2112" s="14" t="n">
        <v>30.98</v>
      </c>
      <c r="I2112" s="14" t="n">
        <v>0</v>
      </c>
      <c r="J2112" s="14" t="n">
        <v>0</v>
      </c>
      <c r="K2112" s="14" t="n">
        <v>0</v>
      </c>
      <c r="L2112" s="14" t="n">
        <v>0</v>
      </c>
      <c r="M2112" s="14">
        <f>IF(B2112="Frete de venda",0,(1-ISNUMBER(SEARCH("556",P2112)))*(I2112*VLOOKUP($B2112,Premissas!$A$4:$E$7,2,0)+J2112*VLOOKUP($B2112,Premissas!$A$4:$E$7,3,0))+K2112*VLOOKUP($B2112,Premissas!$A$4:$E$7,4,0)+L2112*VLOOKUP($B2112,Premissas!$A$4:$E$7,5,0))</f>
        <v/>
      </c>
      <c r="N2112" s="14">
        <f>H2112-M2112</f>
        <v/>
      </c>
      <c r="O2112" t="inlineStr">
        <is>
          <t>Não</t>
        </is>
      </c>
      <c r="P2112" t="inlineStr">
        <is>
          <t>1.350</t>
        </is>
      </c>
    </row>
    <row r="2113">
      <c r="A2113" s="24" t="n">
        <v>46023</v>
      </c>
      <c r="B2113" t="inlineStr">
        <is>
          <t>Frete de venda</t>
        </is>
      </c>
      <c r="C2113" t="inlineStr">
        <is>
          <t>Frete de venda (para clientes)</t>
        </is>
      </c>
      <c r="D2113" t="inlineStr">
        <is>
          <t>CT-e</t>
        </is>
      </c>
      <c r="E2113" t="inlineStr">
        <is>
          <t>000006201</t>
        </is>
      </c>
      <c r="F2113" t="inlineStr">
        <is>
          <t>R&amp;R TRANSPORTE E LOGISTICA</t>
        </is>
      </c>
      <c r="G2113" s="27" t="n">
        <v>46043</v>
      </c>
      <c r="H2113" s="14" t="n">
        <v>35.86</v>
      </c>
      <c r="I2113" s="14" t="n">
        <v>0</v>
      </c>
      <c r="J2113" s="14" t="n">
        <v>0</v>
      </c>
      <c r="K2113" s="14" t="n">
        <v>0</v>
      </c>
      <c r="L2113" s="14" t="n">
        <v>0</v>
      </c>
      <c r="M2113" s="14">
        <f>IF(B2113="Frete de venda",0,(1-ISNUMBER(SEARCH("556",P2113)))*(I2113*VLOOKUP($B2113,Premissas!$A$4:$E$7,2,0)+J2113*VLOOKUP($B2113,Premissas!$A$4:$E$7,3,0))+K2113*VLOOKUP($B2113,Premissas!$A$4:$E$7,4,0)+L2113*VLOOKUP($B2113,Premissas!$A$4:$E$7,5,0))</f>
        <v/>
      </c>
      <c r="N2113" s="14">
        <f>H2113-M2113</f>
        <v/>
      </c>
      <c r="O2113" t="inlineStr">
        <is>
          <t>Não</t>
        </is>
      </c>
      <c r="P2113" t="inlineStr">
        <is>
          <t>1.350</t>
        </is>
      </c>
    </row>
    <row r="2114">
      <c r="A2114" s="24" t="n">
        <v>46023</v>
      </c>
      <c r="B2114" t="inlineStr">
        <is>
          <t>Frete de venda</t>
        </is>
      </c>
      <c r="C2114" t="inlineStr">
        <is>
          <t>Frete de venda (para clientes)</t>
        </is>
      </c>
      <c r="D2114" t="inlineStr">
        <is>
          <t>CT-e</t>
        </is>
      </c>
      <c r="E2114" t="inlineStr">
        <is>
          <t>000006247</t>
        </is>
      </c>
      <c r="F2114" t="inlineStr">
        <is>
          <t>R&amp;R TRANSPORTE E LOGISTICA</t>
        </is>
      </c>
      <c r="G2114" s="27" t="n">
        <v>46050</v>
      </c>
      <c r="H2114" s="14" t="n">
        <v>8.69</v>
      </c>
      <c r="I2114" s="14" t="n">
        <v>0</v>
      </c>
      <c r="J2114" s="14" t="n">
        <v>0</v>
      </c>
      <c r="K2114" s="14" t="n">
        <v>0</v>
      </c>
      <c r="L2114" s="14" t="n">
        <v>0</v>
      </c>
      <c r="M2114" s="14">
        <f>IF(B2114="Frete de venda",0,(1-ISNUMBER(SEARCH("556",P2114)))*(I2114*VLOOKUP($B2114,Premissas!$A$4:$E$7,2,0)+J2114*VLOOKUP($B2114,Premissas!$A$4:$E$7,3,0))+K2114*VLOOKUP($B2114,Premissas!$A$4:$E$7,4,0)+L2114*VLOOKUP($B2114,Premissas!$A$4:$E$7,5,0))</f>
        <v/>
      </c>
      <c r="N2114" s="14">
        <f>H2114-M2114</f>
        <v/>
      </c>
      <c r="O2114" t="inlineStr">
        <is>
          <t>Não</t>
        </is>
      </c>
      <c r="P2114" t="inlineStr">
        <is>
          <t>1.350</t>
        </is>
      </c>
    </row>
    <row r="2115">
      <c r="A2115" s="24" t="n">
        <v>46023</v>
      </c>
      <c r="B2115" t="inlineStr">
        <is>
          <t>Frete de venda</t>
        </is>
      </c>
      <c r="C2115" t="inlineStr">
        <is>
          <t>Frete de venda (para clientes)</t>
        </is>
      </c>
      <c r="D2115" t="inlineStr">
        <is>
          <t>CT-e</t>
        </is>
      </c>
      <c r="E2115" t="inlineStr">
        <is>
          <t>000006181</t>
        </is>
      </c>
      <c r="F2115" t="inlineStr">
        <is>
          <t>R&amp;R TRANSPORTE E LOGISTICA</t>
        </is>
      </c>
      <c r="G2115" s="27" t="n">
        <v>46039</v>
      </c>
      <c r="H2115" s="14" t="n">
        <v>52.7</v>
      </c>
      <c r="I2115" s="14" t="n">
        <v>0</v>
      </c>
      <c r="J2115" s="14" t="n">
        <v>0</v>
      </c>
      <c r="K2115" s="14" t="n">
        <v>0</v>
      </c>
      <c r="L2115" s="14" t="n">
        <v>0</v>
      </c>
      <c r="M2115" s="14">
        <f>IF(B2115="Frete de venda",0,(1-ISNUMBER(SEARCH("556",P2115)))*(I2115*VLOOKUP($B2115,Premissas!$A$4:$E$7,2,0)+J2115*VLOOKUP($B2115,Premissas!$A$4:$E$7,3,0))+K2115*VLOOKUP($B2115,Premissas!$A$4:$E$7,4,0)+L2115*VLOOKUP($B2115,Premissas!$A$4:$E$7,5,0))</f>
        <v/>
      </c>
      <c r="N2115" s="14">
        <f>H2115-M2115</f>
        <v/>
      </c>
      <c r="O2115" t="inlineStr">
        <is>
          <t>Não</t>
        </is>
      </c>
      <c r="P2115" t="inlineStr">
        <is>
          <t>1.350</t>
        </is>
      </c>
    </row>
    <row r="2116">
      <c r="A2116" s="24" t="n">
        <v>46023</v>
      </c>
      <c r="B2116" t="inlineStr">
        <is>
          <t>Frete de venda</t>
        </is>
      </c>
      <c r="C2116" t="inlineStr">
        <is>
          <t>Frete de venda (para clientes)</t>
        </is>
      </c>
      <c r="D2116" t="inlineStr">
        <is>
          <t>CT-e</t>
        </is>
      </c>
      <c r="E2116" t="inlineStr">
        <is>
          <t>000006236</t>
        </is>
      </c>
      <c r="F2116" t="inlineStr">
        <is>
          <t>R&amp;R TRANSPORTE E LOGISTICA</t>
        </is>
      </c>
      <c r="G2116" s="27" t="n">
        <v>46050</v>
      </c>
      <c r="H2116" s="14" t="n">
        <v>60.98</v>
      </c>
      <c r="I2116" s="14" t="n">
        <v>0</v>
      </c>
      <c r="J2116" s="14" t="n">
        <v>0</v>
      </c>
      <c r="K2116" s="14" t="n">
        <v>0</v>
      </c>
      <c r="L2116" s="14" t="n">
        <v>0</v>
      </c>
      <c r="M2116" s="14">
        <f>IF(B2116="Frete de venda",0,(1-ISNUMBER(SEARCH("556",P2116)))*(I2116*VLOOKUP($B2116,Premissas!$A$4:$E$7,2,0)+J2116*VLOOKUP($B2116,Premissas!$A$4:$E$7,3,0))+K2116*VLOOKUP($B2116,Premissas!$A$4:$E$7,4,0)+L2116*VLOOKUP($B2116,Premissas!$A$4:$E$7,5,0))</f>
        <v/>
      </c>
      <c r="N2116" s="14">
        <f>H2116-M2116</f>
        <v/>
      </c>
      <c r="O2116" t="inlineStr">
        <is>
          <t>Não</t>
        </is>
      </c>
      <c r="P2116" t="inlineStr">
        <is>
          <t>1.350</t>
        </is>
      </c>
    </row>
    <row r="2117">
      <c r="A2117" s="24" t="n">
        <v>46023</v>
      </c>
      <c r="B2117" t="inlineStr">
        <is>
          <t>Frete de venda</t>
        </is>
      </c>
      <c r="C2117" t="inlineStr">
        <is>
          <t>Frete de venda (para clientes)</t>
        </is>
      </c>
      <c r="D2117" t="inlineStr">
        <is>
          <t>CT-e</t>
        </is>
      </c>
      <c r="E2117" t="inlineStr">
        <is>
          <t>000006161</t>
        </is>
      </c>
      <c r="F2117" t="inlineStr">
        <is>
          <t>R&amp;R TRANSPORTE E LOGISTICA</t>
        </is>
      </c>
      <c r="G2117" s="27" t="n">
        <v>46036</v>
      </c>
      <c r="H2117" s="14" t="n">
        <v>700</v>
      </c>
      <c r="I2117" s="14" t="n">
        <v>0</v>
      </c>
      <c r="J2117" s="14" t="n">
        <v>0</v>
      </c>
      <c r="K2117" s="14" t="n">
        <v>0</v>
      </c>
      <c r="L2117" s="14" t="n">
        <v>0</v>
      </c>
      <c r="M2117" s="14">
        <f>IF(B2117="Frete de venda",0,(1-ISNUMBER(SEARCH("556",P2117)))*(I2117*VLOOKUP($B2117,Premissas!$A$4:$E$7,2,0)+J2117*VLOOKUP($B2117,Premissas!$A$4:$E$7,3,0))+K2117*VLOOKUP($B2117,Premissas!$A$4:$E$7,4,0)+L2117*VLOOKUP($B2117,Premissas!$A$4:$E$7,5,0))</f>
        <v/>
      </c>
      <c r="N2117" s="14">
        <f>H2117-M2117</f>
        <v/>
      </c>
      <c r="O2117" t="inlineStr">
        <is>
          <t>Não</t>
        </is>
      </c>
      <c r="P2117" t="inlineStr">
        <is>
          <t>1.350</t>
        </is>
      </c>
    </row>
    <row r="2118">
      <c r="A2118" s="24" t="n">
        <v>46023</v>
      </c>
      <c r="B2118" t="inlineStr">
        <is>
          <t>Frete de venda</t>
        </is>
      </c>
      <c r="C2118" t="inlineStr">
        <is>
          <t>Frete de venda (para clientes)</t>
        </is>
      </c>
      <c r="D2118" t="inlineStr">
        <is>
          <t>CT-e</t>
        </is>
      </c>
      <c r="E2118" t="inlineStr">
        <is>
          <t>000006254</t>
        </is>
      </c>
      <c r="F2118" t="inlineStr">
        <is>
          <t>R&amp;R TRANSPORTE E LOGISTICA</t>
        </is>
      </c>
      <c r="G2118" s="27" t="n">
        <v>46050</v>
      </c>
      <c r="H2118" s="14" t="n">
        <v>11.17</v>
      </c>
      <c r="I2118" s="14" t="n">
        <v>0</v>
      </c>
      <c r="J2118" s="14" t="n">
        <v>0</v>
      </c>
      <c r="K2118" s="14" t="n">
        <v>0</v>
      </c>
      <c r="L2118" s="14" t="n">
        <v>0</v>
      </c>
      <c r="M2118" s="14">
        <f>IF(B2118="Frete de venda",0,(1-ISNUMBER(SEARCH("556",P2118)))*(I2118*VLOOKUP($B2118,Premissas!$A$4:$E$7,2,0)+J2118*VLOOKUP($B2118,Premissas!$A$4:$E$7,3,0))+K2118*VLOOKUP($B2118,Premissas!$A$4:$E$7,4,0)+L2118*VLOOKUP($B2118,Premissas!$A$4:$E$7,5,0))</f>
        <v/>
      </c>
      <c r="N2118" s="14">
        <f>H2118-M2118</f>
        <v/>
      </c>
      <c r="O2118" t="inlineStr">
        <is>
          <t>Não</t>
        </is>
      </c>
      <c r="P2118" t="inlineStr">
        <is>
          <t>1.350</t>
        </is>
      </c>
    </row>
    <row r="2119">
      <c r="A2119" s="24" t="n">
        <v>46023</v>
      </c>
      <c r="B2119" t="inlineStr">
        <is>
          <t>Frete de venda</t>
        </is>
      </c>
      <c r="C2119" t="inlineStr">
        <is>
          <t>Frete de venda (para clientes)</t>
        </is>
      </c>
      <c r="D2119" t="inlineStr">
        <is>
          <t>CT-e</t>
        </is>
      </c>
      <c r="E2119" t="inlineStr">
        <is>
          <t>000023608</t>
        </is>
      </c>
      <c r="F2119" t="inlineStr">
        <is>
          <t>TRANSPORTE OLIVEIRA E MELLOI - IDEALIZA TRANSPORTES</t>
        </is>
      </c>
      <c r="G2119" s="27" t="n">
        <v>46029</v>
      </c>
      <c r="H2119" s="14" t="n">
        <v>249.25</v>
      </c>
      <c r="I2119" s="14" t="n">
        <v>0</v>
      </c>
      <c r="J2119" s="14" t="n">
        <v>29.91</v>
      </c>
      <c r="K2119" s="14" t="n">
        <v>0</v>
      </c>
      <c r="L2119" s="14" t="n">
        <v>0</v>
      </c>
      <c r="M2119" s="14">
        <f>IF(B2119="Frete de venda",0,(1-ISNUMBER(SEARCH("556",P2119)))*(I2119*VLOOKUP($B2119,Premissas!$A$4:$E$7,2,0)+J2119*VLOOKUP($B2119,Premissas!$A$4:$E$7,3,0))+K2119*VLOOKUP($B2119,Premissas!$A$4:$E$7,4,0)+L2119*VLOOKUP($B2119,Premissas!$A$4:$E$7,5,0))</f>
        <v/>
      </c>
      <c r="N2119" s="14">
        <f>H2119-M2119</f>
        <v/>
      </c>
      <c r="O2119" t="inlineStr">
        <is>
          <t>Sim</t>
        </is>
      </c>
      <c r="P2119" t="inlineStr">
        <is>
          <t>1.350</t>
        </is>
      </c>
    </row>
    <row r="2120">
      <c r="A2120" s="24" t="n">
        <v>46023</v>
      </c>
      <c r="B2120" t="inlineStr">
        <is>
          <t>Frete de venda</t>
        </is>
      </c>
      <c r="C2120" t="inlineStr">
        <is>
          <t>Frete de venda (para clientes)</t>
        </is>
      </c>
      <c r="D2120" t="inlineStr">
        <is>
          <t>CT-e</t>
        </is>
      </c>
      <c r="E2120" t="inlineStr">
        <is>
          <t>000006288</t>
        </is>
      </c>
      <c r="F2120" t="inlineStr">
        <is>
          <t>R&amp;R TRANSPORTE E LOGISTICA</t>
        </is>
      </c>
      <c r="G2120" s="27" t="n">
        <v>46053</v>
      </c>
      <c r="H2120" s="14" t="n">
        <v>70.14</v>
      </c>
      <c r="I2120" s="14" t="n">
        <v>0</v>
      </c>
      <c r="J2120" s="14" t="n">
        <v>0</v>
      </c>
      <c r="K2120" s="14" t="n">
        <v>0</v>
      </c>
      <c r="L2120" s="14" t="n">
        <v>0</v>
      </c>
      <c r="M2120" s="14">
        <f>IF(B2120="Frete de venda",0,(1-ISNUMBER(SEARCH("556",P2120)))*(I2120*VLOOKUP($B2120,Premissas!$A$4:$E$7,2,0)+J2120*VLOOKUP($B2120,Premissas!$A$4:$E$7,3,0))+K2120*VLOOKUP($B2120,Premissas!$A$4:$E$7,4,0)+L2120*VLOOKUP($B2120,Premissas!$A$4:$E$7,5,0))</f>
        <v/>
      </c>
      <c r="N2120" s="14">
        <f>H2120-M2120</f>
        <v/>
      </c>
      <c r="O2120" t="inlineStr">
        <is>
          <t>Não</t>
        </is>
      </c>
      <c r="P2120" t="inlineStr">
        <is>
          <t>1.350</t>
        </is>
      </c>
    </row>
    <row r="2121">
      <c r="A2121" s="24" t="n">
        <v>46023</v>
      </c>
      <c r="B2121" t="inlineStr">
        <is>
          <t>Frete de venda</t>
        </is>
      </c>
      <c r="C2121" t="inlineStr">
        <is>
          <t>Frete de venda (para clientes)</t>
        </is>
      </c>
      <c r="D2121" t="inlineStr">
        <is>
          <t>CT-e</t>
        </is>
      </c>
      <c r="E2121" t="inlineStr">
        <is>
          <t>000006132</t>
        </is>
      </c>
      <c r="F2121" t="inlineStr">
        <is>
          <t>R&amp;R TRANSPORTE E LOGISTICA</t>
        </is>
      </c>
      <c r="G2121" s="27" t="n">
        <v>46034</v>
      </c>
      <c r="H2121" s="14" t="n">
        <v>46.76</v>
      </c>
      <c r="I2121" s="14" t="n">
        <v>0</v>
      </c>
      <c r="J2121" s="14" t="n">
        <v>0</v>
      </c>
      <c r="K2121" s="14" t="n">
        <v>0</v>
      </c>
      <c r="L2121" s="14" t="n">
        <v>0</v>
      </c>
      <c r="M2121" s="14">
        <f>IF(B2121="Frete de venda",0,(1-ISNUMBER(SEARCH("556",P2121)))*(I2121*VLOOKUP($B2121,Premissas!$A$4:$E$7,2,0)+J2121*VLOOKUP($B2121,Premissas!$A$4:$E$7,3,0))+K2121*VLOOKUP($B2121,Premissas!$A$4:$E$7,4,0)+L2121*VLOOKUP($B2121,Premissas!$A$4:$E$7,5,0))</f>
        <v/>
      </c>
      <c r="N2121" s="14">
        <f>H2121-M2121</f>
        <v/>
      </c>
      <c r="O2121" t="inlineStr">
        <is>
          <t>Não</t>
        </is>
      </c>
      <c r="P2121" t="inlineStr">
        <is>
          <t>1.350</t>
        </is>
      </c>
    </row>
    <row r="2122">
      <c r="A2122" s="24" t="n">
        <v>46023</v>
      </c>
      <c r="B2122" t="inlineStr">
        <is>
          <t>Frete de venda</t>
        </is>
      </c>
      <c r="C2122" t="inlineStr">
        <is>
          <t>Frete de venda (para clientes)</t>
        </is>
      </c>
      <c r="D2122" t="inlineStr">
        <is>
          <t>CT-e</t>
        </is>
      </c>
      <c r="E2122" t="inlineStr">
        <is>
          <t>000006134</t>
        </is>
      </c>
      <c r="F2122" t="inlineStr">
        <is>
          <t>R&amp;R TRANSPORTE E LOGISTICA</t>
        </is>
      </c>
      <c r="G2122" s="27" t="n">
        <v>46034</v>
      </c>
      <c r="H2122" s="14" t="n">
        <v>284.69</v>
      </c>
      <c r="I2122" s="14" t="n">
        <v>0</v>
      </c>
      <c r="J2122" s="14" t="n">
        <v>0</v>
      </c>
      <c r="K2122" s="14" t="n">
        <v>0</v>
      </c>
      <c r="L2122" s="14" t="n">
        <v>0</v>
      </c>
      <c r="M2122" s="14">
        <f>IF(B2122="Frete de venda",0,(1-ISNUMBER(SEARCH("556",P2122)))*(I2122*VLOOKUP($B2122,Premissas!$A$4:$E$7,2,0)+J2122*VLOOKUP($B2122,Premissas!$A$4:$E$7,3,0))+K2122*VLOOKUP($B2122,Premissas!$A$4:$E$7,4,0)+L2122*VLOOKUP($B2122,Premissas!$A$4:$E$7,5,0))</f>
        <v/>
      </c>
      <c r="N2122" s="14">
        <f>H2122-M2122</f>
        <v/>
      </c>
      <c r="O2122" t="inlineStr">
        <is>
          <t>Não</t>
        </is>
      </c>
      <c r="P2122" t="inlineStr">
        <is>
          <t>1.350</t>
        </is>
      </c>
    </row>
    <row r="2123">
      <c r="A2123" s="24" t="n">
        <v>46023</v>
      </c>
      <c r="B2123" t="inlineStr">
        <is>
          <t>Frete de venda</t>
        </is>
      </c>
      <c r="C2123" t="inlineStr">
        <is>
          <t>Frete de venda (para clientes)</t>
        </is>
      </c>
      <c r="D2123" t="inlineStr">
        <is>
          <t>CT-e</t>
        </is>
      </c>
      <c r="E2123" t="inlineStr">
        <is>
          <t>000006196</t>
        </is>
      </c>
      <c r="F2123" t="inlineStr">
        <is>
          <t>R&amp;R TRANSPORTE E LOGISTICA</t>
        </is>
      </c>
      <c r="G2123" s="27" t="n">
        <v>46043</v>
      </c>
      <c r="H2123" s="14" t="n">
        <v>31.17</v>
      </c>
      <c r="I2123" s="14" t="n">
        <v>0</v>
      </c>
      <c r="J2123" s="14" t="n">
        <v>0</v>
      </c>
      <c r="K2123" s="14" t="n">
        <v>0</v>
      </c>
      <c r="L2123" s="14" t="n">
        <v>0</v>
      </c>
      <c r="M2123" s="14">
        <f>IF(B2123="Frete de venda",0,(1-ISNUMBER(SEARCH("556",P2123)))*(I2123*VLOOKUP($B2123,Premissas!$A$4:$E$7,2,0)+J2123*VLOOKUP($B2123,Premissas!$A$4:$E$7,3,0))+K2123*VLOOKUP($B2123,Premissas!$A$4:$E$7,4,0)+L2123*VLOOKUP($B2123,Premissas!$A$4:$E$7,5,0))</f>
        <v/>
      </c>
      <c r="N2123" s="14">
        <f>H2123-M2123</f>
        <v/>
      </c>
      <c r="O2123" t="inlineStr">
        <is>
          <t>Não</t>
        </is>
      </c>
      <c r="P2123" t="inlineStr">
        <is>
          <t>1.350</t>
        </is>
      </c>
    </row>
    <row r="2124">
      <c r="A2124" s="24" t="n">
        <v>46023</v>
      </c>
      <c r="B2124" t="inlineStr">
        <is>
          <t>Frete de venda</t>
        </is>
      </c>
      <c r="C2124" t="inlineStr">
        <is>
          <t>Frete de venda (para clientes)</t>
        </is>
      </c>
      <c r="D2124" t="inlineStr">
        <is>
          <t>CT-e</t>
        </is>
      </c>
      <c r="E2124" t="inlineStr">
        <is>
          <t>000006128</t>
        </is>
      </c>
      <c r="F2124" t="inlineStr">
        <is>
          <t>R&amp;R TRANSPORTE E LOGISTICA</t>
        </is>
      </c>
      <c r="G2124" s="27" t="n">
        <v>46034</v>
      </c>
      <c r="H2124" s="14" t="n">
        <v>35.36</v>
      </c>
      <c r="I2124" s="14" t="n">
        <v>0</v>
      </c>
      <c r="J2124" s="14" t="n">
        <v>0</v>
      </c>
      <c r="K2124" s="14" t="n">
        <v>0</v>
      </c>
      <c r="L2124" s="14" t="n">
        <v>0</v>
      </c>
      <c r="M2124" s="14">
        <f>IF(B2124="Frete de venda",0,(1-ISNUMBER(SEARCH("556",P2124)))*(I2124*VLOOKUP($B2124,Premissas!$A$4:$E$7,2,0)+J2124*VLOOKUP($B2124,Premissas!$A$4:$E$7,3,0))+K2124*VLOOKUP($B2124,Premissas!$A$4:$E$7,4,0)+L2124*VLOOKUP($B2124,Premissas!$A$4:$E$7,5,0))</f>
        <v/>
      </c>
      <c r="N2124" s="14">
        <f>H2124-M2124</f>
        <v/>
      </c>
      <c r="O2124" t="inlineStr">
        <is>
          <t>Não</t>
        </is>
      </c>
      <c r="P2124" t="inlineStr">
        <is>
          <t>1.350</t>
        </is>
      </c>
    </row>
    <row r="2125">
      <c r="A2125" s="24" t="n">
        <v>46023</v>
      </c>
      <c r="B2125" t="inlineStr">
        <is>
          <t>Frete de venda</t>
        </is>
      </c>
      <c r="C2125" t="inlineStr">
        <is>
          <t>Frete de venda (para clientes)</t>
        </is>
      </c>
      <c r="D2125" t="inlineStr">
        <is>
          <t>CT-e</t>
        </is>
      </c>
      <c r="E2125" t="inlineStr">
        <is>
          <t>000006235</t>
        </is>
      </c>
      <c r="F2125" t="inlineStr">
        <is>
          <t>R&amp;R TRANSPORTE E LOGISTICA</t>
        </is>
      </c>
      <c r="G2125" s="27" t="n">
        <v>46048</v>
      </c>
      <c r="H2125" s="14" t="n">
        <v>673.34</v>
      </c>
      <c r="I2125" s="14" t="n">
        <v>0</v>
      </c>
      <c r="J2125" s="14" t="n">
        <v>0</v>
      </c>
      <c r="K2125" s="14" t="n">
        <v>0</v>
      </c>
      <c r="L2125" s="14" t="n">
        <v>0</v>
      </c>
      <c r="M2125" s="14">
        <f>IF(B2125="Frete de venda",0,(1-ISNUMBER(SEARCH("556",P2125)))*(I2125*VLOOKUP($B2125,Premissas!$A$4:$E$7,2,0)+J2125*VLOOKUP($B2125,Premissas!$A$4:$E$7,3,0))+K2125*VLOOKUP($B2125,Premissas!$A$4:$E$7,4,0)+L2125*VLOOKUP($B2125,Premissas!$A$4:$E$7,5,0))</f>
        <v/>
      </c>
      <c r="N2125" s="14">
        <f>H2125-M2125</f>
        <v/>
      </c>
      <c r="O2125" t="inlineStr">
        <is>
          <t>Não</t>
        </is>
      </c>
      <c r="P2125" t="inlineStr">
        <is>
          <t>1.350</t>
        </is>
      </c>
    </row>
    <row r="2126">
      <c r="A2126" s="24" t="n">
        <v>46023</v>
      </c>
      <c r="B2126" t="inlineStr">
        <is>
          <t>Frete de venda</t>
        </is>
      </c>
      <c r="C2126" t="inlineStr">
        <is>
          <t>Frete de venda (para clientes)</t>
        </is>
      </c>
      <c r="D2126" t="inlineStr">
        <is>
          <t>CT-e</t>
        </is>
      </c>
      <c r="E2126" t="inlineStr">
        <is>
          <t>000006142</t>
        </is>
      </c>
      <c r="F2126" t="inlineStr">
        <is>
          <t>R&amp;R TRANSPORTE E LOGISTICA</t>
        </is>
      </c>
      <c r="G2126" s="27" t="n">
        <v>46036</v>
      </c>
      <c r="H2126" s="14" t="n">
        <v>23.18</v>
      </c>
      <c r="I2126" s="14" t="n">
        <v>0</v>
      </c>
      <c r="J2126" s="14" t="n">
        <v>0</v>
      </c>
      <c r="K2126" s="14" t="n">
        <v>0</v>
      </c>
      <c r="L2126" s="14" t="n">
        <v>0</v>
      </c>
      <c r="M2126" s="14">
        <f>IF(B2126="Frete de venda",0,(1-ISNUMBER(SEARCH("556",P2126)))*(I2126*VLOOKUP($B2126,Premissas!$A$4:$E$7,2,0)+J2126*VLOOKUP($B2126,Premissas!$A$4:$E$7,3,0))+K2126*VLOOKUP($B2126,Premissas!$A$4:$E$7,4,0)+L2126*VLOOKUP($B2126,Premissas!$A$4:$E$7,5,0))</f>
        <v/>
      </c>
      <c r="N2126" s="14">
        <f>H2126-M2126</f>
        <v/>
      </c>
      <c r="O2126" t="inlineStr">
        <is>
          <t>Não</t>
        </is>
      </c>
      <c r="P2126" t="inlineStr">
        <is>
          <t>1.350</t>
        </is>
      </c>
    </row>
    <row r="2127">
      <c r="A2127" s="24" t="n">
        <v>46023</v>
      </c>
      <c r="B2127" t="inlineStr">
        <is>
          <t>Frete de venda</t>
        </is>
      </c>
      <c r="C2127" t="inlineStr">
        <is>
          <t>Frete de venda (para clientes)</t>
        </is>
      </c>
      <c r="D2127" t="inlineStr">
        <is>
          <t>CT-e</t>
        </is>
      </c>
      <c r="E2127" t="inlineStr">
        <is>
          <t>000006162</t>
        </is>
      </c>
      <c r="F2127" t="inlineStr">
        <is>
          <t>R&amp;R TRANSPORTE E LOGISTICA</t>
        </is>
      </c>
      <c r="G2127" s="27" t="n">
        <v>46036</v>
      </c>
      <c r="H2127" s="14" t="n">
        <v>700</v>
      </c>
      <c r="I2127" s="14" t="n">
        <v>0</v>
      </c>
      <c r="J2127" s="14" t="n">
        <v>0</v>
      </c>
      <c r="K2127" s="14" t="n">
        <v>0</v>
      </c>
      <c r="L2127" s="14" t="n">
        <v>0</v>
      </c>
      <c r="M2127" s="14">
        <f>IF(B2127="Frete de venda",0,(1-ISNUMBER(SEARCH("556",P2127)))*(I2127*VLOOKUP($B2127,Premissas!$A$4:$E$7,2,0)+J2127*VLOOKUP($B2127,Premissas!$A$4:$E$7,3,0))+K2127*VLOOKUP($B2127,Premissas!$A$4:$E$7,4,0)+L2127*VLOOKUP($B2127,Premissas!$A$4:$E$7,5,0))</f>
        <v/>
      </c>
      <c r="N2127" s="14">
        <f>H2127-M2127</f>
        <v/>
      </c>
      <c r="O2127" t="inlineStr">
        <is>
          <t>Não</t>
        </is>
      </c>
      <c r="P2127" t="inlineStr">
        <is>
          <t>1.350</t>
        </is>
      </c>
    </row>
    <row r="2128">
      <c r="A2128" s="24" t="n">
        <v>46023</v>
      </c>
      <c r="B2128" t="inlineStr">
        <is>
          <t>Frete de venda</t>
        </is>
      </c>
      <c r="C2128" t="inlineStr">
        <is>
          <t>Frete de venda (para clientes)</t>
        </is>
      </c>
      <c r="D2128" t="inlineStr">
        <is>
          <t>CT-e</t>
        </is>
      </c>
      <c r="E2128" t="inlineStr">
        <is>
          <t>000006256</t>
        </is>
      </c>
      <c r="F2128" t="inlineStr">
        <is>
          <t>R&amp;R TRANSPORTE E LOGISTICA</t>
        </is>
      </c>
      <c r="G2128" s="27" t="n">
        <v>46050</v>
      </c>
      <c r="H2128" s="14" t="n">
        <v>17.21</v>
      </c>
      <c r="I2128" s="14" t="n">
        <v>0</v>
      </c>
      <c r="J2128" s="14" t="n">
        <v>0</v>
      </c>
      <c r="K2128" s="14" t="n">
        <v>0</v>
      </c>
      <c r="L2128" s="14" t="n">
        <v>0</v>
      </c>
      <c r="M2128" s="14">
        <f>IF(B2128="Frete de venda",0,(1-ISNUMBER(SEARCH("556",P2128)))*(I2128*VLOOKUP($B2128,Premissas!$A$4:$E$7,2,0)+J2128*VLOOKUP($B2128,Premissas!$A$4:$E$7,3,0))+K2128*VLOOKUP($B2128,Premissas!$A$4:$E$7,4,0)+L2128*VLOOKUP($B2128,Premissas!$A$4:$E$7,5,0))</f>
        <v/>
      </c>
      <c r="N2128" s="14">
        <f>H2128-M2128</f>
        <v/>
      </c>
      <c r="O2128" t="inlineStr">
        <is>
          <t>Não</t>
        </is>
      </c>
      <c r="P2128" t="inlineStr">
        <is>
          <t>1.350</t>
        </is>
      </c>
    </row>
    <row r="2129">
      <c r="A2129" s="24" t="n">
        <v>46023</v>
      </c>
      <c r="B2129" t="inlineStr">
        <is>
          <t>Frete de venda</t>
        </is>
      </c>
      <c r="C2129" t="inlineStr">
        <is>
          <t>Frete de venda (para clientes)</t>
        </is>
      </c>
      <c r="D2129" t="inlineStr">
        <is>
          <t>CT-e</t>
        </is>
      </c>
      <c r="E2129" t="inlineStr">
        <is>
          <t>000023961</t>
        </is>
      </c>
      <c r="F2129" t="inlineStr">
        <is>
          <t>PICCOLI LOGISTICA E TRANSPORTES LTDA</t>
        </is>
      </c>
      <c r="G2129" s="27" t="n">
        <v>46028</v>
      </c>
      <c r="H2129" s="14" t="n">
        <v>2429.16</v>
      </c>
      <c r="I2129" s="14" t="n">
        <v>0</v>
      </c>
      <c r="J2129" s="14" t="n">
        <v>170.04</v>
      </c>
      <c r="K2129" s="14" t="n">
        <v>0</v>
      </c>
      <c r="L2129" s="14" t="n">
        <v>0</v>
      </c>
      <c r="M2129" s="14">
        <f>IF(B2129="Frete de venda",0,(1-ISNUMBER(SEARCH("556",P2129)))*(I2129*VLOOKUP($B2129,Premissas!$A$4:$E$7,2,0)+J2129*VLOOKUP($B2129,Premissas!$A$4:$E$7,3,0))+K2129*VLOOKUP($B2129,Premissas!$A$4:$E$7,4,0)+L2129*VLOOKUP($B2129,Premissas!$A$4:$E$7,5,0))</f>
        <v/>
      </c>
      <c r="N2129" s="14">
        <f>H2129-M2129</f>
        <v/>
      </c>
      <c r="O2129" t="inlineStr">
        <is>
          <t>Sim</t>
        </is>
      </c>
      <c r="P2129" t="inlineStr">
        <is>
          <t>1.350</t>
        </is>
      </c>
    </row>
    <row r="2130">
      <c r="A2130" s="24" t="n">
        <v>46023</v>
      </c>
      <c r="B2130" t="inlineStr">
        <is>
          <t>Frete de venda</t>
        </is>
      </c>
      <c r="C2130" t="inlineStr">
        <is>
          <t>Frete de venda (para clientes)</t>
        </is>
      </c>
      <c r="D2130" t="inlineStr">
        <is>
          <t>CT-e</t>
        </is>
      </c>
      <c r="E2130" t="inlineStr">
        <is>
          <t>000006251</t>
        </is>
      </c>
      <c r="F2130" t="inlineStr">
        <is>
          <t>R&amp;R TRANSPORTE E LOGISTICA</t>
        </is>
      </c>
      <c r="G2130" s="27" t="n">
        <v>46050</v>
      </c>
      <c r="H2130" s="14" t="n">
        <v>12.5</v>
      </c>
      <c r="I2130" s="14" t="n">
        <v>0</v>
      </c>
      <c r="J2130" s="14" t="n">
        <v>0</v>
      </c>
      <c r="K2130" s="14" t="n">
        <v>0</v>
      </c>
      <c r="L2130" s="14" t="n">
        <v>0</v>
      </c>
      <c r="M2130" s="14">
        <f>IF(B2130="Frete de venda",0,(1-ISNUMBER(SEARCH("556",P2130)))*(I2130*VLOOKUP($B2130,Premissas!$A$4:$E$7,2,0)+J2130*VLOOKUP($B2130,Premissas!$A$4:$E$7,3,0))+K2130*VLOOKUP($B2130,Premissas!$A$4:$E$7,4,0)+L2130*VLOOKUP($B2130,Premissas!$A$4:$E$7,5,0))</f>
        <v/>
      </c>
      <c r="N2130" s="14">
        <f>H2130-M2130</f>
        <v/>
      </c>
      <c r="O2130" t="inlineStr">
        <is>
          <t>Não</t>
        </is>
      </c>
      <c r="P2130" t="inlineStr">
        <is>
          <t>1.350</t>
        </is>
      </c>
    </row>
    <row r="2131">
      <c r="A2131" s="24" t="n">
        <v>46023</v>
      </c>
      <c r="B2131" t="inlineStr">
        <is>
          <t>Frete de venda</t>
        </is>
      </c>
      <c r="C2131" t="inlineStr">
        <is>
          <t>Frete de venda (para clientes)</t>
        </is>
      </c>
      <c r="D2131" t="inlineStr">
        <is>
          <t>CT-e</t>
        </is>
      </c>
      <c r="E2131" t="inlineStr">
        <is>
          <t>000006252</t>
        </is>
      </c>
      <c r="F2131" t="inlineStr">
        <is>
          <t>R&amp;R TRANSPORTE E LOGISTICA</t>
        </is>
      </c>
      <c r="G2131" s="27" t="n">
        <v>46050</v>
      </c>
      <c r="H2131" s="14" t="n">
        <v>11.71</v>
      </c>
      <c r="I2131" s="14" t="n">
        <v>0</v>
      </c>
      <c r="J2131" s="14" t="n">
        <v>0</v>
      </c>
      <c r="K2131" s="14" t="n">
        <v>0</v>
      </c>
      <c r="L2131" s="14" t="n">
        <v>0</v>
      </c>
      <c r="M2131" s="14">
        <f>IF(B2131="Frete de venda",0,(1-ISNUMBER(SEARCH("556",P2131)))*(I2131*VLOOKUP($B2131,Premissas!$A$4:$E$7,2,0)+J2131*VLOOKUP($B2131,Premissas!$A$4:$E$7,3,0))+K2131*VLOOKUP($B2131,Premissas!$A$4:$E$7,4,0)+L2131*VLOOKUP($B2131,Premissas!$A$4:$E$7,5,0))</f>
        <v/>
      </c>
      <c r="N2131" s="14">
        <f>H2131-M2131</f>
        <v/>
      </c>
      <c r="O2131" t="inlineStr">
        <is>
          <t>Não</t>
        </is>
      </c>
      <c r="P2131" t="inlineStr">
        <is>
          <t>1.350</t>
        </is>
      </c>
    </row>
    <row r="2132">
      <c r="A2132" s="24" t="n">
        <v>46023</v>
      </c>
      <c r="B2132" t="inlineStr">
        <is>
          <t>Frete de venda</t>
        </is>
      </c>
      <c r="C2132" t="inlineStr">
        <is>
          <t>Frete de venda (para clientes)</t>
        </is>
      </c>
      <c r="D2132" t="inlineStr">
        <is>
          <t>CT-e</t>
        </is>
      </c>
      <c r="E2132" t="inlineStr">
        <is>
          <t>000006199</t>
        </is>
      </c>
      <c r="F2132" t="inlineStr">
        <is>
          <t>R&amp;R TRANSPORTE E LOGISTICA</t>
        </is>
      </c>
      <c r="G2132" s="27" t="n">
        <v>46043</v>
      </c>
      <c r="H2132" s="14" t="n">
        <v>25.77</v>
      </c>
      <c r="I2132" s="14" t="n">
        <v>0</v>
      </c>
      <c r="J2132" s="14" t="n">
        <v>0</v>
      </c>
      <c r="K2132" s="14" t="n">
        <v>0</v>
      </c>
      <c r="L2132" s="14" t="n">
        <v>0</v>
      </c>
      <c r="M2132" s="14">
        <f>IF(B2132="Frete de venda",0,(1-ISNUMBER(SEARCH("556",P2132)))*(I2132*VLOOKUP($B2132,Premissas!$A$4:$E$7,2,0)+J2132*VLOOKUP($B2132,Premissas!$A$4:$E$7,3,0))+K2132*VLOOKUP($B2132,Premissas!$A$4:$E$7,4,0)+L2132*VLOOKUP($B2132,Premissas!$A$4:$E$7,5,0))</f>
        <v/>
      </c>
      <c r="N2132" s="14">
        <f>H2132-M2132</f>
        <v/>
      </c>
      <c r="O2132" t="inlineStr">
        <is>
          <t>Não</t>
        </is>
      </c>
      <c r="P2132" t="inlineStr">
        <is>
          <t>1.350</t>
        </is>
      </c>
    </row>
    <row r="2133">
      <c r="A2133" s="24" t="n">
        <v>46023</v>
      </c>
      <c r="B2133" t="inlineStr">
        <is>
          <t>Frete de venda</t>
        </is>
      </c>
      <c r="C2133" t="inlineStr">
        <is>
          <t>Frete de venda (para clientes)</t>
        </is>
      </c>
      <c r="D2133" t="inlineStr">
        <is>
          <t>CT-e</t>
        </is>
      </c>
      <c r="E2133" t="inlineStr">
        <is>
          <t>000006194</t>
        </is>
      </c>
      <c r="F2133" t="inlineStr">
        <is>
          <t>R&amp;R TRANSPORTE E LOGISTICA</t>
        </is>
      </c>
      <c r="G2133" s="27" t="n">
        <v>46043</v>
      </c>
      <c r="H2133" s="14" t="n">
        <v>66.64</v>
      </c>
      <c r="I2133" s="14" t="n">
        <v>0</v>
      </c>
      <c r="J2133" s="14" t="n">
        <v>0</v>
      </c>
      <c r="K2133" s="14" t="n">
        <v>0</v>
      </c>
      <c r="L2133" s="14" t="n">
        <v>0</v>
      </c>
      <c r="M2133" s="14">
        <f>IF(B2133="Frete de venda",0,(1-ISNUMBER(SEARCH("556",P2133)))*(I2133*VLOOKUP($B2133,Premissas!$A$4:$E$7,2,0)+J2133*VLOOKUP($B2133,Premissas!$A$4:$E$7,3,0))+K2133*VLOOKUP($B2133,Premissas!$A$4:$E$7,4,0)+L2133*VLOOKUP($B2133,Premissas!$A$4:$E$7,5,0))</f>
        <v/>
      </c>
      <c r="N2133" s="14">
        <f>H2133-M2133</f>
        <v/>
      </c>
      <c r="O2133" t="inlineStr">
        <is>
          <t>Não</t>
        </is>
      </c>
      <c r="P2133" t="inlineStr">
        <is>
          <t>1.350</t>
        </is>
      </c>
    </row>
    <row r="2134">
      <c r="A2134" s="24" t="n">
        <v>46023</v>
      </c>
      <c r="B2134" t="inlineStr">
        <is>
          <t>Frete de venda</t>
        </is>
      </c>
      <c r="C2134" t="inlineStr">
        <is>
          <t>Frete de venda (para clientes)</t>
        </is>
      </c>
      <c r="D2134" t="inlineStr">
        <is>
          <t>CT-e</t>
        </is>
      </c>
      <c r="E2134" t="inlineStr">
        <is>
          <t>000006292</t>
        </is>
      </c>
      <c r="F2134" t="inlineStr">
        <is>
          <t>R&amp;R TRANSPORTE E LOGISTICA</t>
        </is>
      </c>
      <c r="G2134" s="27" t="n">
        <v>46053</v>
      </c>
      <c r="H2134" s="14" t="n">
        <v>40</v>
      </c>
      <c r="I2134" s="14" t="n">
        <v>0</v>
      </c>
      <c r="J2134" s="14" t="n">
        <v>0</v>
      </c>
      <c r="K2134" s="14" t="n">
        <v>0</v>
      </c>
      <c r="L2134" s="14" t="n">
        <v>0</v>
      </c>
      <c r="M2134" s="14">
        <f>IF(B2134="Frete de venda",0,(1-ISNUMBER(SEARCH("556",P2134)))*(I2134*VLOOKUP($B2134,Premissas!$A$4:$E$7,2,0)+J2134*VLOOKUP($B2134,Premissas!$A$4:$E$7,3,0))+K2134*VLOOKUP($B2134,Premissas!$A$4:$E$7,4,0)+L2134*VLOOKUP($B2134,Premissas!$A$4:$E$7,5,0))</f>
        <v/>
      </c>
      <c r="N2134" s="14">
        <f>H2134-M2134</f>
        <v/>
      </c>
      <c r="O2134" t="inlineStr">
        <is>
          <t>Não</t>
        </is>
      </c>
      <c r="P2134" t="inlineStr">
        <is>
          <t>1.350</t>
        </is>
      </c>
    </row>
    <row r="2135">
      <c r="A2135" s="24" t="n">
        <v>46023</v>
      </c>
      <c r="B2135" t="inlineStr">
        <is>
          <t>Frete de venda</t>
        </is>
      </c>
      <c r="C2135" t="inlineStr">
        <is>
          <t>Frete de venda (para clientes)</t>
        </is>
      </c>
      <c r="D2135" t="inlineStr">
        <is>
          <t>CT-e</t>
        </is>
      </c>
      <c r="E2135" t="inlineStr">
        <is>
          <t>000006172</t>
        </is>
      </c>
      <c r="F2135" t="inlineStr">
        <is>
          <t>R&amp;R TRANSPORTE E LOGISTICA</t>
        </is>
      </c>
      <c r="G2135" s="27" t="n">
        <v>46038</v>
      </c>
      <c r="H2135" s="14" t="n">
        <v>81.78</v>
      </c>
      <c r="I2135" s="14" t="n">
        <v>0</v>
      </c>
      <c r="J2135" s="14" t="n">
        <v>0</v>
      </c>
      <c r="K2135" s="14" t="n">
        <v>0</v>
      </c>
      <c r="L2135" s="14" t="n">
        <v>0</v>
      </c>
      <c r="M2135" s="14">
        <f>IF(B2135="Frete de venda",0,(1-ISNUMBER(SEARCH("556",P2135)))*(I2135*VLOOKUP($B2135,Premissas!$A$4:$E$7,2,0)+J2135*VLOOKUP($B2135,Premissas!$A$4:$E$7,3,0))+K2135*VLOOKUP($B2135,Premissas!$A$4:$E$7,4,0)+L2135*VLOOKUP($B2135,Premissas!$A$4:$E$7,5,0))</f>
        <v/>
      </c>
      <c r="N2135" s="14">
        <f>H2135-M2135</f>
        <v/>
      </c>
      <c r="O2135" t="inlineStr">
        <is>
          <t>Não</t>
        </is>
      </c>
      <c r="P2135" t="inlineStr">
        <is>
          <t>1.350</t>
        </is>
      </c>
    </row>
    <row r="2136">
      <c r="A2136" s="24" t="n">
        <v>46023</v>
      </c>
      <c r="B2136" t="inlineStr">
        <is>
          <t>Frete de venda</t>
        </is>
      </c>
      <c r="C2136" t="inlineStr">
        <is>
          <t>Frete de venda (para clientes)</t>
        </is>
      </c>
      <c r="D2136" t="inlineStr">
        <is>
          <t>CT-e</t>
        </is>
      </c>
      <c r="E2136" t="inlineStr">
        <is>
          <t>000006299</t>
        </is>
      </c>
      <c r="F2136" t="inlineStr">
        <is>
          <t>R&amp;R TRANSPORTE E LOGISTICA</t>
        </is>
      </c>
      <c r="G2136" s="27" t="n">
        <v>46053</v>
      </c>
      <c r="H2136" s="14" t="n">
        <v>105.38</v>
      </c>
      <c r="I2136" s="14" t="n">
        <v>0</v>
      </c>
      <c r="J2136" s="14" t="n">
        <v>0</v>
      </c>
      <c r="K2136" s="14" t="n">
        <v>0</v>
      </c>
      <c r="L2136" s="14" t="n">
        <v>0</v>
      </c>
      <c r="M2136" s="14">
        <f>IF(B2136="Frete de venda",0,(1-ISNUMBER(SEARCH("556",P2136)))*(I2136*VLOOKUP($B2136,Premissas!$A$4:$E$7,2,0)+J2136*VLOOKUP($B2136,Premissas!$A$4:$E$7,3,0))+K2136*VLOOKUP($B2136,Premissas!$A$4:$E$7,4,0)+L2136*VLOOKUP($B2136,Premissas!$A$4:$E$7,5,0))</f>
        <v/>
      </c>
      <c r="N2136" s="14">
        <f>H2136-M2136</f>
        <v/>
      </c>
      <c r="O2136" t="inlineStr">
        <is>
          <t>Não</t>
        </is>
      </c>
      <c r="P2136" t="inlineStr">
        <is>
          <t>1.350</t>
        </is>
      </c>
    </row>
    <row r="2137">
      <c r="A2137" s="24" t="n">
        <v>46023</v>
      </c>
      <c r="B2137" t="inlineStr">
        <is>
          <t>Frete de venda</t>
        </is>
      </c>
      <c r="C2137" t="inlineStr">
        <is>
          <t>Frete de venda (para clientes)</t>
        </is>
      </c>
      <c r="D2137" t="inlineStr">
        <is>
          <t>CT-e</t>
        </is>
      </c>
      <c r="E2137" t="inlineStr">
        <is>
          <t>000006171</t>
        </is>
      </c>
      <c r="F2137" t="inlineStr">
        <is>
          <t>R&amp;R TRANSPORTE E LOGISTICA</t>
        </is>
      </c>
      <c r="G2137" s="27" t="n">
        <v>46038</v>
      </c>
      <c r="H2137" s="14" t="n">
        <v>73.06</v>
      </c>
      <c r="I2137" s="14" t="n">
        <v>0</v>
      </c>
      <c r="J2137" s="14" t="n">
        <v>0</v>
      </c>
      <c r="K2137" s="14" t="n">
        <v>0</v>
      </c>
      <c r="L2137" s="14" t="n">
        <v>0</v>
      </c>
      <c r="M2137" s="14">
        <f>IF(B2137="Frete de venda",0,(1-ISNUMBER(SEARCH("556",P2137)))*(I2137*VLOOKUP($B2137,Premissas!$A$4:$E$7,2,0)+J2137*VLOOKUP($B2137,Premissas!$A$4:$E$7,3,0))+K2137*VLOOKUP($B2137,Premissas!$A$4:$E$7,4,0)+L2137*VLOOKUP($B2137,Premissas!$A$4:$E$7,5,0))</f>
        <v/>
      </c>
      <c r="N2137" s="14">
        <f>H2137-M2137</f>
        <v/>
      </c>
      <c r="O2137" t="inlineStr">
        <is>
          <t>Não</t>
        </is>
      </c>
      <c r="P2137" t="inlineStr">
        <is>
          <t>1.350</t>
        </is>
      </c>
    </row>
    <row r="2138">
      <c r="A2138" s="24" t="n">
        <v>46023</v>
      </c>
      <c r="B2138" t="inlineStr">
        <is>
          <t>Frete de venda</t>
        </is>
      </c>
      <c r="C2138" t="inlineStr">
        <is>
          <t>Frete de venda (para clientes)</t>
        </is>
      </c>
      <c r="D2138" t="inlineStr">
        <is>
          <t>CT-e</t>
        </is>
      </c>
      <c r="E2138" t="inlineStr">
        <is>
          <t>000006129</t>
        </is>
      </c>
      <c r="F2138" t="inlineStr">
        <is>
          <t>R&amp;R TRANSPORTE E LOGISTICA</t>
        </is>
      </c>
      <c r="G2138" s="27" t="n">
        <v>46034</v>
      </c>
      <c r="H2138" s="14" t="n">
        <v>29.56</v>
      </c>
      <c r="I2138" s="14" t="n">
        <v>0</v>
      </c>
      <c r="J2138" s="14" t="n">
        <v>0</v>
      </c>
      <c r="K2138" s="14" t="n">
        <v>0</v>
      </c>
      <c r="L2138" s="14" t="n">
        <v>0</v>
      </c>
      <c r="M2138" s="14">
        <f>IF(B2138="Frete de venda",0,(1-ISNUMBER(SEARCH("556",P2138)))*(I2138*VLOOKUP($B2138,Premissas!$A$4:$E$7,2,0)+J2138*VLOOKUP($B2138,Premissas!$A$4:$E$7,3,0))+K2138*VLOOKUP($B2138,Premissas!$A$4:$E$7,4,0)+L2138*VLOOKUP($B2138,Premissas!$A$4:$E$7,5,0))</f>
        <v/>
      </c>
      <c r="N2138" s="14">
        <f>H2138-M2138</f>
        <v/>
      </c>
      <c r="O2138" t="inlineStr">
        <is>
          <t>Não</t>
        </is>
      </c>
      <c r="P2138" t="inlineStr">
        <is>
          <t>1.350</t>
        </is>
      </c>
    </row>
    <row r="2139">
      <c r="A2139" s="24" t="n">
        <v>46023</v>
      </c>
      <c r="B2139" t="inlineStr">
        <is>
          <t>Frete de venda</t>
        </is>
      </c>
      <c r="C2139" t="inlineStr">
        <is>
          <t>Frete de venda (para clientes)</t>
        </is>
      </c>
      <c r="D2139" t="inlineStr">
        <is>
          <t>CT-e</t>
        </is>
      </c>
      <c r="E2139" t="inlineStr">
        <is>
          <t>000000605</t>
        </is>
      </c>
      <c r="F2139" t="inlineStr">
        <is>
          <t>REIMAG - REINALDO DOMINGUES BARROS DA SILVA</t>
        </is>
      </c>
      <c r="G2139" s="27" t="n">
        <v>46037</v>
      </c>
      <c r="H2139" s="14" t="n">
        <v>375</v>
      </c>
      <c r="I2139" s="14" t="n">
        <v>0</v>
      </c>
      <c r="J2139" s="14" t="n">
        <v>0</v>
      </c>
      <c r="K2139" s="14" t="n">
        <v>0</v>
      </c>
      <c r="L2139" s="14" t="n">
        <v>0</v>
      </c>
      <c r="M2139" s="14">
        <f>IF(B2139="Frete de venda",0,(1-ISNUMBER(SEARCH("556",P2139)))*(I2139*VLOOKUP($B2139,Premissas!$A$4:$E$7,2,0)+J2139*VLOOKUP($B2139,Premissas!$A$4:$E$7,3,0))+K2139*VLOOKUP($B2139,Premissas!$A$4:$E$7,4,0)+L2139*VLOOKUP($B2139,Premissas!$A$4:$E$7,5,0))</f>
        <v/>
      </c>
      <c r="N2139" s="14">
        <f>H2139-M2139</f>
        <v/>
      </c>
      <c r="O2139" t="inlineStr">
        <is>
          <t>Sim</t>
        </is>
      </c>
      <c r="P2139" t="inlineStr">
        <is>
          <t>1.350</t>
        </is>
      </c>
    </row>
    <row r="2140">
      <c r="A2140" s="24" t="n">
        <v>46023</v>
      </c>
      <c r="B2140" t="inlineStr">
        <is>
          <t>Frete de venda</t>
        </is>
      </c>
      <c r="C2140" t="inlineStr">
        <is>
          <t>Frete de venda (para clientes)</t>
        </is>
      </c>
      <c r="D2140" t="inlineStr">
        <is>
          <t>CT-e</t>
        </is>
      </c>
      <c r="E2140" t="inlineStr">
        <is>
          <t>000006179</t>
        </is>
      </c>
      <c r="F2140" t="inlineStr">
        <is>
          <t>R&amp;R TRANSPORTE E LOGISTICA</t>
        </is>
      </c>
      <c r="G2140" s="27" t="n">
        <v>46039</v>
      </c>
      <c r="H2140" s="14" t="n">
        <v>60.12</v>
      </c>
      <c r="I2140" s="14" t="n">
        <v>0</v>
      </c>
      <c r="J2140" s="14" t="n">
        <v>0</v>
      </c>
      <c r="K2140" s="14" t="n">
        <v>0</v>
      </c>
      <c r="L2140" s="14" t="n">
        <v>0</v>
      </c>
      <c r="M2140" s="14">
        <f>IF(B2140="Frete de venda",0,(1-ISNUMBER(SEARCH("556",P2140)))*(I2140*VLOOKUP($B2140,Premissas!$A$4:$E$7,2,0)+J2140*VLOOKUP($B2140,Premissas!$A$4:$E$7,3,0))+K2140*VLOOKUP($B2140,Premissas!$A$4:$E$7,4,0)+L2140*VLOOKUP($B2140,Premissas!$A$4:$E$7,5,0))</f>
        <v/>
      </c>
      <c r="N2140" s="14">
        <f>H2140-M2140</f>
        <v/>
      </c>
      <c r="O2140" t="inlineStr">
        <is>
          <t>Não</t>
        </is>
      </c>
      <c r="P2140" t="inlineStr">
        <is>
          <t>1.350</t>
        </is>
      </c>
    </row>
    <row r="2141">
      <c r="A2141" s="24" t="n">
        <v>46023</v>
      </c>
      <c r="B2141" t="inlineStr">
        <is>
          <t>Frete de venda</t>
        </is>
      </c>
      <c r="C2141" t="inlineStr">
        <is>
          <t>Frete de venda (para clientes)</t>
        </is>
      </c>
      <c r="D2141" t="inlineStr">
        <is>
          <t>CT-e</t>
        </is>
      </c>
      <c r="E2141" t="inlineStr">
        <is>
          <t>000006290</t>
        </is>
      </c>
      <c r="F2141" t="inlineStr">
        <is>
          <t>R&amp;R TRANSPORTE E LOGISTICA</t>
        </is>
      </c>
      <c r="G2141" s="27" t="n">
        <v>46053</v>
      </c>
      <c r="H2141" s="14" t="n">
        <v>35</v>
      </c>
      <c r="I2141" s="14" t="n">
        <v>0</v>
      </c>
      <c r="J2141" s="14" t="n">
        <v>0</v>
      </c>
      <c r="K2141" s="14" t="n">
        <v>0</v>
      </c>
      <c r="L2141" s="14" t="n">
        <v>0</v>
      </c>
      <c r="M2141" s="14">
        <f>IF(B2141="Frete de venda",0,(1-ISNUMBER(SEARCH("556",P2141)))*(I2141*VLOOKUP($B2141,Premissas!$A$4:$E$7,2,0)+J2141*VLOOKUP($B2141,Premissas!$A$4:$E$7,3,0))+K2141*VLOOKUP($B2141,Premissas!$A$4:$E$7,4,0)+L2141*VLOOKUP($B2141,Premissas!$A$4:$E$7,5,0))</f>
        <v/>
      </c>
      <c r="N2141" s="14">
        <f>H2141-M2141</f>
        <v/>
      </c>
      <c r="O2141" t="inlineStr">
        <is>
          <t>Não</t>
        </is>
      </c>
      <c r="P2141" t="inlineStr">
        <is>
          <t>1.350</t>
        </is>
      </c>
    </row>
    <row r="2142">
      <c r="A2142" s="24" t="n">
        <v>46023</v>
      </c>
      <c r="B2142" t="inlineStr">
        <is>
          <t>Frete de venda</t>
        </is>
      </c>
      <c r="C2142" t="inlineStr">
        <is>
          <t>Frete de venda (para clientes)</t>
        </is>
      </c>
      <c r="D2142" t="inlineStr">
        <is>
          <t>CT-e</t>
        </is>
      </c>
      <c r="E2142" t="inlineStr">
        <is>
          <t>000006289</t>
        </is>
      </c>
      <c r="F2142" t="inlineStr">
        <is>
          <t>R&amp;R TRANSPORTE E LOGISTICA</t>
        </is>
      </c>
      <c r="G2142" s="27" t="n">
        <v>46053</v>
      </c>
      <c r="H2142" s="14" t="n">
        <v>25</v>
      </c>
      <c r="I2142" s="14" t="n">
        <v>0</v>
      </c>
      <c r="J2142" s="14" t="n">
        <v>0</v>
      </c>
      <c r="K2142" s="14" t="n">
        <v>0</v>
      </c>
      <c r="L2142" s="14" t="n">
        <v>0</v>
      </c>
      <c r="M2142" s="14">
        <f>IF(B2142="Frete de venda",0,(1-ISNUMBER(SEARCH("556",P2142)))*(I2142*VLOOKUP($B2142,Premissas!$A$4:$E$7,2,0)+J2142*VLOOKUP($B2142,Premissas!$A$4:$E$7,3,0))+K2142*VLOOKUP($B2142,Premissas!$A$4:$E$7,4,0)+L2142*VLOOKUP($B2142,Premissas!$A$4:$E$7,5,0))</f>
        <v/>
      </c>
      <c r="N2142" s="14">
        <f>H2142-M2142</f>
        <v/>
      </c>
      <c r="O2142" t="inlineStr">
        <is>
          <t>Não</t>
        </is>
      </c>
      <c r="P2142" t="inlineStr">
        <is>
          <t>1.350</t>
        </is>
      </c>
    </row>
    <row r="2143">
      <c r="A2143" s="24" t="n">
        <v>46023</v>
      </c>
      <c r="B2143" t="inlineStr">
        <is>
          <t>Frete de venda</t>
        </is>
      </c>
      <c r="C2143" t="inlineStr">
        <is>
          <t>Frete de venda (para clientes)</t>
        </is>
      </c>
      <c r="D2143" t="inlineStr">
        <is>
          <t>CT-e</t>
        </is>
      </c>
      <c r="E2143" t="inlineStr">
        <is>
          <t>000006145</t>
        </is>
      </c>
      <c r="F2143" t="inlineStr">
        <is>
          <t>R&amp;R TRANSPORTE E LOGISTICA</t>
        </is>
      </c>
      <c r="G2143" s="27" t="n">
        <v>46036</v>
      </c>
      <c r="H2143" s="14" t="n">
        <v>31.82</v>
      </c>
      <c r="I2143" s="14" t="n">
        <v>0</v>
      </c>
      <c r="J2143" s="14" t="n">
        <v>0</v>
      </c>
      <c r="K2143" s="14" t="n">
        <v>0</v>
      </c>
      <c r="L2143" s="14" t="n">
        <v>0</v>
      </c>
      <c r="M2143" s="14">
        <f>IF(B2143="Frete de venda",0,(1-ISNUMBER(SEARCH("556",P2143)))*(I2143*VLOOKUP($B2143,Premissas!$A$4:$E$7,2,0)+J2143*VLOOKUP($B2143,Premissas!$A$4:$E$7,3,0))+K2143*VLOOKUP($B2143,Premissas!$A$4:$E$7,4,0)+L2143*VLOOKUP($B2143,Premissas!$A$4:$E$7,5,0))</f>
        <v/>
      </c>
      <c r="N2143" s="14">
        <f>H2143-M2143</f>
        <v/>
      </c>
      <c r="O2143" t="inlineStr">
        <is>
          <t>Não</t>
        </is>
      </c>
      <c r="P2143" t="inlineStr">
        <is>
          <t>1.350</t>
        </is>
      </c>
    </row>
    <row r="2144">
      <c r="A2144" s="24" t="n">
        <v>46023</v>
      </c>
      <c r="B2144" t="inlineStr">
        <is>
          <t>Frete de venda</t>
        </is>
      </c>
      <c r="C2144" t="inlineStr">
        <is>
          <t>Frete de venda (para clientes)</t>
        </is>
      </c>
      <c r="D2144" t="inlineStr">
        <is>
          <t>CT-e</t>
        </is>
      </c>
      <c r="E2144" t="inlineStr">
        <is>
          <t>000006133</t>
        </is>
      </c>
      <c r="F2144" t="inlineStr">
        <is>
          <t>R&amp;R TRANSPORTE E LOGISTICA</t>
        </is>
      </c>
      <c r="G2144" s="27" t="n">
        <v>46034</v>
      </c>
      <c r="H2144" s="14" t="n">
        <v>40.73</v>
      </c>
      <c r="I2144" s="14" t="n">
        <v>0</v>
      </c>
      <c r="J2144" s="14" t="n">
        <v>0</v>
      </c>
      <c r="K2144" s="14" t="n">
        <v>0</v>
      </c>
      <c r="L2144" s="14" t="n">
        <v>0</v>
      </c>
      <c r="M2144" s="14">
        <f>IF(B2144="Frete de venda",0,(1-ISNUMBER(SEARCH("556",P2144)))*(I2144*VLOOKUP($B2144,Premissas!$A$4:$E$7,2,0)+J2144*VLOOKUP($B2144,Premissas!$A$4:$E$7,3,0))+K2144*VLOOKUP($B2144,Premissas!$A$4:$E$7,4,0)+L2144*VLOOKUP($B2144,Premissas!$A$4:$E$7,5,0))</f>
        <v/>
      </c>
      <c r="N2144" s="14">
        <f>H2144-M2144</f>
        <v/>
      </c>
      <c r="O2144" t="inlineStr">
        <is>
          <t>Não</t>
        </is>
      </c>
      <c r="P2144" t="inlineStr">
        <is>
          <t>1.350</t>
        </is>
      </c>
    </row>
    <row r="2145">
      <c r="A2145" s="24" t="n">
        <v>46023</v>
      </c>
      <c r="B2145" t="inlineStr">
        <is>
          <t>Frete de venda</t>
        </is>
      </c>
      <c r="C2145" t="inlineStr">
        <is>
          <t>Frete de venda (para clientes)</t>
        </is>
      </c>
      <c r="D2145" t="inlineStr">
        <is>
          <t>CT-e</t>
        </is>
      </c>
      <c r="E2145" t="inlineStr">
        <is>
          <t>000006250</t>
        </is>
      </c>
      <c r="F2145" t="inlineStr">
        <is>
          <t>R&amp;R TRANSPORTE E LOGISTICA</t>
        </is>
      </c>
      <c r="G2145" s="27" t="n">
        <v>46050</v>
      </c>
      <c r="H2145" s="14" t="n">
        <v>8.949999999999999</v>
      </c>
      <c r="I2145" s="14" t="n">
        <v>0</v>
      </c>
      <c r="J2145" s="14" t="n">
        <v>0</v>
      </c>
      <c r="K2145" s="14" t="n">
        <v>0</v>
      </c>
      <c r="L2145" s="14" t="n">
        <v>0</v>
      </c>
      <c r="M2145" s="14">
        <f>IF(B2145="Frete de venda",0,(1-ISNUMBER(SEARCH("556",P2145)))*(I2145*VLOOKUP($B2145,Premissas!$A$4:$E$7,2,0)+J2145*VLOOKUP($B2145,Premissas!$A$4:$E$7,3,0))+K2145*VLOOKUP($B2145,Premissas!$A$4:$E$7,4,0)+L2145*VLOOKUP($B2145,Premissas!$A$4:$E$7,5,0))</f>
        <v/>
      </c>
      <c r="N2145" s="14">
        <f>H2145-M2145</f>
        <v/>
      </c>
      <c r="O2145" t="inlineStr">
        <is>
          <t>Não</t>
        </is>
      </c>
      <c r="P2145" t="inlineStr">
        <is>
          <t>1.350</t>
        </is>
      </c>
    </row>
    <row r="2146">
      <c r="A2146" s="24" t="n">
        <v>46023</v>
      </c>
      <c r="B2146" t="inlineStr">
        <is>
          <t>Frete de venda</t>
        </is>
      </c>
      <c r="C2146" t="inlineStr">
        <is>
          <t>Frete de venda (para clientes)</t>
        </is>
      </c>
      <c r="D2146" t="inlineStr">
        <is>
          <t>CT-e</t>
        </is>
      </c>
      <c r="E2146" t="inlineStr">
        <is>
          <t>000006282</t>
        </is>
      </c>
      <c r="F2146" t="inlineStr">
        <is>
          <t>R&amp;R TRANSPORTE E LOGISTICA</t>
        </is>
      </c>
      <c r="G2146" s="27" t="n">
        <v>46053</v>
      </c>
      <c r="H2146" s="14" t="n">
        <v>26</v>
      </c>
      <c r="I2146" s="14" t="n">
        <v>0</v>
      </c>
      <c r="J2146" s="14" t="n">
        <v>0</v>
      </c>
      <c r="K2146" s="14" t="n">
        <v>0</v>
      </c>
      <c r="L2146" s="14" t="n">
        <v>0</v>
      </c>
      <c r="M2146" s="14">
        <f>IF(B2146="Frete de venda",0,(1-ISNUMBER(SEARCH("556",P2146)))*(I2146*VLOOKUP($B2146,Premissas!$A$4:$E$7,2,0)+J2146*VLOOKUP($B2146,Premissas!$A$4:$E$7,3,0))+K2146*VLOOKUP($B2146,Premissas!$A$4:$E$7,4,0)+L2146*VLOOKUP($B2146,Premissas!$A$4:$E$7,5,0))</f>
        <v/>
      </c>
      <c r="N2146" s="14">
        <f>H2146-M2146</f>
        <v/>
      </c>
      <c r="O2146" t="inlineStr">
        <is>
          <t>Não</t>
        </is>
      </c>
      <c r="P2146" t="inlineStr">
        <is>
          <t>1.350</t>
        </is>
      </c>
    </row>
    <row r="2147">
      <c r="A2147" s="24" t="n">
        <v>46023</v>
      </c>
      <c r="B2147" t="inlineStr">
        <is>
          <t>Frete de venda</t>
        </is>
      </c>
      <c r="C2147" t="inlineStr">
        <is>
          <t>Frete de venda (para clientes)</t>
        </is>
      </c>
      <c r="D2147" t="inlineStr">
        <is>
          <t>CT-e</t>
        </is>
      </c>
      <c r="E2147" t="inlineStr">
        <is>
          <t>000006255</t>
        </is>
      </c>
      <c r="F2147" t="inlineStr">
        <is>
          <t>R&amp;R TRANSPORTE E LOGISTICA</t>
        </is>
      </c>
      <c r="G2147" s="27" t="n">
        <v>46050</v>
      </c>
      <c r="H2147" s="14" t="n">
        <v>9.56</v>
      </c>
      <c r="I2147" s="14" t="n">
        <v>0</v>
      </c>
      <c r="J2147" s="14" t="n">
        <v>0</v>
      </c>
      <c r="K2147" s="14" t="n">
        <v>0</v>
      </c>
      <c r="L2147" s="14" t="n">
        <v>0</v>
      </c>
      <c r="M2147" s="14">
        <f>IF(B2147="Frete de venda",0,(1-ISNUMBER(SEARCH("556",P2147)))*(I2147*VLOOKUP($B2147,Premissas!$A$4:$E$7,2,0)+J2147*VLOOKUP($B2147,Premissas!$A$4:$E$7,3,0))+K2147*VLOOKUP($B2147,Premissas!$A$4:$E$7,4,0)+L2147*VLOOKUP($B2147,Premissas!$A$4:$E$7,5,0))</f>
        <v/>
      </c>
      <c r="N2147" s="14">
        <f>H2147-M2147</f>
        <v/>
      </c>
      <c r="O2147" t="inlineStr">
        <is>
          <t>Não</t>
        </is>
      </c>
      <c r="P2147" t="inlineStr">
        <is>
          <t>1.350</t>
        </is>
      </c>
    </row>
    <row r="2148">
      <c r="A2148" s="24" t="n">
        <v>46023</v>
      </c>
      <c r="B2148" t="inlineStr">
        <is>
          <t>Frete de venda</t>
        </is>
      </c>
      <c r="C2148" t="inlineStr">
        <is>
          <t>Frete de venda (para clientes)</t>
        </is>
      </c>
      <c r="D2148" t="inlineStr">
        <is>
          <t>CT-e</t>
        </is>
      </c>
      <c r="E2148" t="inlineStr">
        <is>
          <t>000006210</t>
        </is>
      </c>
      <c r="F2148" t="inlineStr">
        <is>
          <t>R&amp;R TRANSPORTE E LOGISTICA</t>
        </is>
      </c>
      <c r="G2148" s="27" t="n">
        <v>46044</v>
      </c>
      <c r="H2148" s="14" t="n">
        <v>25.67</v>
      </c>
      <c r="I2148" s="14" t="n">
        <v>0</v>
      </c>
      <c r="J2148" s="14" t="n">
        <v>0</v>
      </c>
      <c r="K2148" s="14" t="n">
        <v>0</v>
      </c>
      <c r="L2148" s="14" t="n">
        <v>0</v>
      </c>
      <c r="M2148" s="14">
        <f>IF(B2148="Frete de venda",0,(1-ISNUMBER(SEARCH("556",P2148)))*(I2148*VLOOKUP($B2148,Premissas!$A$4:$E$7,2,0)+J2148*VLOOKUP($B2148,Premissas!$A$4:$E$7,3,0))+K2148*VLOOKUP($B2148,Premissas!$A$4:$E$7,4,0)+L2148*VLOOKUP($B2148,Premissas!$A$4:$E$7,5,0))</f>
        <v/>
      </c>
      <c r="N2148" s="14">
        <f>H2148-M2148</f>
        <v/>
      </c>
      <c r="O2148" t="inlineStr">
        <is>
          <t>Não</t>
        </is>
      </c>
      <c r="P2148" t="inlineStr">
        <is>
          <t>1.350</t>
        </is>
      </c>
    </row>
    <row r="2149">
      <c r="A2149" s="24" t="n">
        <v>46023</v>
      </c>
      <c r="B2149" t="inlineStr">
        <is>
          <t>Frete de venda</t>
        </is>
      </c>
      <c r="C2149" t="inlineStr">
        <is>
          <t>Frete de venda (para clientes)</t>
        </is>
      </c>
      <c r="D2149" t="inlineStr">
        <is>
          <t>CT-e</t>
        </is>
      </c>
      <c r="E2149" t="inlineStr">
        <is>
          <t>000006267</t>
        </is>
      </c>
      <c r="F2149" t="inlineStr">
        <is>
          <t>R&amp;R TRANSPORTE E LOGISTICA</t>
        </is>
      </c>
      <c r="G2149" s="27" t="n">
        <v>46051</v>
      </c>
      <c r="H2149" s="14" t="n">
        <v>46.44</v>
      </c>
      <c r="I2149" s="14" t="n">
        <v>0</v>
      </c>
      <c r="J2149" s="14" t="n">
        <v>0</v>
      </c>
      <c r="K2149" s="14" t="n">
        <v>0</v>
      </c>
      <c r="L2149" s="14" t="n">
        <v>0</v>
      </c>
      <c r="M2149" s="14">
        <f>IF(B2149="Frete de venda",0,(1-ISNUMBER(SEARCH("556",P2149)))*(I2149*VLOOKUP($B2149,Premissas!$A$4:$E$7,2,0)+J2149*VLOOKUP($B2149,Premissas!$A$4:$E$7,3,0))+K2149*VLOOKUP($B2149,Premissas!$A$4:$E$7,4,0)+L2149*VLOOKUP($B2149,Premissas!$A$4:$E$7,5,0))</f>
        <v/>
      </c>
      <c r="N2149" s="14">
        <f>H2149-M2149</f>
        <v/>
      </c>
      <c r="O2149" t="inlineStr">
        <is>
          <t>Não</t>
        </is>
      </c>
      <c r="P2149" t="inlineStr">
        <is>
          <t>1.350</t>
        </is>
      </c>
    </row>
    <row r="2150">
      <c r="A2150" s="24" t="n">
        <v>46023</v>
      </c>
      <c r="B2150" t="inlineStr">
        <is>
          <t>Frete de venda</t>
        </is>
      </c>
      <c r="C2150" t="inlineStr">
        <is>
          <t>Frete de venda (para clientes)</t>
        </is>
      </c>
      <c r="D2150" t="inlineStr">
        <is>
          <t>CT-e</t>
        </is>
      </c>
      <c r="E2150" t="inlineStr">
        <is>
          <t>000006150</t>
        </is>
      </c>
      <c r="F2150" t="inlineStr">
        <is>
          <t>R&amp;R TRANSPORTE E LOGISTICA</t>
        </is>
      </c>
      <c r="G2150" s="27" t="n">
        <v>46036</v>
      </c>
      <c r="H2150" s="14" t="n">
        <v>25.55</v>
      </c>
      <c r="I2150" s="14" t="n">
        <v>0</v>
      </c>
      <c r="J2150" s="14" t="n">
        <v>0</v>
      </c>
      <c r="K2150" s="14" t="n">
        <v>0</v>
      </c>
      <c r="L2150" s="14" t="n">
        <v>0</v>
      </c>
      <c r="M2150" s="14">
        <f>IF(B2150="Frete de venda",0,(1-ISNUMBER(SEARCH("556",P2150)))*(I2150*VLOOKUP($B2150,Premissas!$A$4:$E$7,2,0)+J2150*VLOOKUP($B2150,Premissas!$A$4:$E$7,3,0))+K2150*VLOOKUP($B2150,Premissas!$A$4:$E$7,4,0)+L2150*VLOOKUP($B2150,Premissas!$A$4:$E$7,5,0))</f>
        <v/>
      </c>
      <c r="N2150" s="14">
        <f>H2150-M2150</f>
        <v/>
      </c>
      <c r="O2150" t="inlineStr">
        <is>
          <t>Não</t>
        </is>
      </c>
      <c r="P2150" t="inlineStr">
        <is>
          <t>1.350</t>
        </is>
      </c>
    </row>
    <row r="2151">
      <c r="A2151" s="24" t="n">
        <v>46023</v>
      </c>
      <c r="B2151" t="inlineStr">
        <is>
          <t>Frete de venda</t>
        </is>
      </c>
      <c r="C2151" t="inlineStr">
        <is>
          <t>Frete de venda (para clientes)</t>
        </is>
      </c>
      <c r="D2151" t="inlineStr">
        <is>
          <t>CT-e</t>
        </is>
      </c>
      <c r="E2151" t="inlineStr">
        <is>
          <t>000006213</t>
        </is>
      </c>
      <c r="F2151" t="inlineStr">
        <is>
          <t>R&amp;R TRANSPORTE E LOGISTICA</t>
        </is>
      </c>
      <c r="G2151" s="27" t="n">
        <v>46044</v>
      </c>
      <c r="H2151" s="14" t="n">
        <v>22.25</v>
      </c>
      <c r="I2151" s="14" t="n">
        <v>0</v>
      </c>
      <c r="J2151" s="14" t="n">
        <v>0</v>
      </c>
      <c r="K2151" s="14" t="n">
        <v>0</v>
      </c>
      <c r="L2151" s="14" t="n">
        <v>0</v>
      </c>
      <c r="M2151" s="14">
        <f>IF(B2151="Frete de venda",0,(1-ISNUMBER(SEARCH("556",P2151)))*(I2151*VLOOKUP($B2151,Premissas!$A$4:$E$7,2,0)+J2151*VLOOKUP($B2151,Premissas!$A$4:$E$7,3,0))+K2151*VLOOKUP($B2151,Premissas!$A$4:$E$7,4,0)+L2151*VLOOKUP($B2151,Premissas!$A$4:$E$7,5,0))</f>
        <v/>
      </c>
      <c r="N2151" s="14">
        <f>H2151-M2151</f>
        <v/>
      </c>
      <c r="O2151" t="inlineStr">
        <is>
          <t>Não</t>
        </is>
      </c>
      <c r="P2151" t="inlineStr">
        <is>
          <t>1.350</t>
        </is>
      </c>
    </row>
    <row r="2152">
      <c r="A2152" s="24" t="n">
        <v>46023</v>
      </c>
      <c r="B2152" t="inlineStr">
        <is>
          <t>Frete de venda</t>
        </is>
      </c>
      <c r="C2152" t="inlineStr">
        <is>
          <t>Frete de venda (para clientes)</t>
        </is>
      </c>
      <c r="D2152" t="inlineStr">
        <is>
          <t>CT-e</t>
        </is>
      </c>
      <c r="E2152" t="inlineStr">
        <is>
          <t>000023606</t>
        </is>
      </c>
      <c r="F2152" t="inlineStr">
        <is>
          <t>TRANSPORTE OLIVEIRA E MELLOI - IDEALIZA TRANSPORTES</t>
        </is>
      </c>
      <c r="G2152" s="27" t="n">
        <v>46029</v>
      </c>
      <c r="H2152" s="14" t="n">
        <v>749.14</v>
      </c>
      <c r="I2152" s="14" t="n">
        <v>0</v>
      </c>
      <c r="J2152" s="14" t="n">
        <v>89.90000000000001</v>
      </c>
      <c r="K2152" s="14" t="n">
        <v>0</v>
      </c>
      <c r="L2152" s="14" t="n">
        <v>0</v>
      </c>
      <c r="M2152" s="14">
        <f>IF(B2152="Frete de venda",0,(1-ISNUMBER(SEARCH("556",P2152)))*(I2152*VLOOKUP($B2152,Premissas!$A$4:$E$7,2,0)+J2152*VLOOKUP($B2152,Premissas!$A$4:$E$7,3,0))+K2152*VLOOKUP($B2152,Premissas!$A$4:$E$7,4,0)+L2152*VLOOKUP($B2152,Premissas!$A$4:$E$7,5,0))</f>
        <v/>
      </c>
      <c r="N2152" s="14">
        <f>H2152-M2152</f>
        <v/>
      </c>
      <c r="O2152" t="inlineStr">
        <is>
          <t>Sim</t>
        </is>
      </c>
      <c r="P2152" t="inlineStr">
        <is>
          <t>1.350</t>
        </is>
      </c>
    </row>
    <row r="2153">
      <c r="A2153" s="24" t="n">
        <v>46023</v>
      </c>
      <c r="B2153" t="inlineStr">
        <is>
          <t>Frete de venda</t>
        </is>
      </c>
      <c r="C2153" t="inlineStr">
        <is>
          <t>Frete de venda (para clientes)</t>
        </is>
      </c>
      <c r="D2153" t="inlineStr">
        <is>
          <t>CT-e</t>
        </is>
      </c>
      <c r="E2153" t="inlineStr">
        <is>
          <t>000006153</t>
        </is>
      </c>
      <c r="F2153" t="inlineStr">
        <is>
          <t>R&amp;R TRANSPORTE E LOGISTICA</t>
        </is>
      </c>
      <c r="G2153" s="27" t="n">
        <v>46036</v>
      </c>
      <c r="H2153" s="14" t="n">
        <v>72.87</v>
      </c>
      <c r="I2153" s="14" t="n">
        <v>0</v>
      </c>
      <c r="J2153" s="14" t="n">
        <v>0</v>
      </c>
      <c r="K2153" s="14" t="n">
        <v>0</v>
      </c>
      <c r="L2153" s="14" t="n">
        <v>0</v>
      </c>
      <c r="M2153" s="14">
        <f>IF(B2153="Frete de venda",0,(1-ISNUMBER(SEARCH("556",P2153)))*(I2153*VLOOKUP($B2153,Premissas!$A$4:$E$7,2,0)+J2153*VLOOKUP($B2153,Premissas!$A$4:$E$7,3,0))+K2153*VLOOKUP($B2153,Premissas!$A$4:$E$7,4,0)+L2153*VLOOKUP($B2153,Premissas!$A$4:$E$7,5,0))</f>
        <v/>
      </c>
      <c r="N2153" s="14">
        <f>H2153-M2153</f>
        <v/>
      </c>
      <c r="O2153" t="inlineStr">
        <is>
          <t>Não</t>
        </is>
      </c>
      <c r="P2153" t="inlineStr">
        <is>
          <t>1.350</t>
        </is>
      </c>
    </row>
    <row r="2154">
      <c r="A2154" s="24" t="n">
        <v>46023</v>
      </c>
      <c r="B2154" t="inlineStr">
        <is>
          <t>Frete de venda</t>
        </is>
      </c>
      <c r="C2154" t="inlineStr">
        <is>
          <t>Frete de venda (para clientes)</t>
        </is>
      </c>
      <c r="D2154" t="inlineStr">
        <is>
          <t>CT-e</t>
        </is>
      </c>
      <c r="E2154" t="inlineStr">
        <is>
          <t>000006152</t>
        </is>
      </c>
      <c r="F2154" t="inlineStr">
        <is>
          <t>R&amp;R TRANSPORTE E LOGISTICA</t>
        </is>
      </c>
      <c r="G2154" s="27" t="n">
        <v>46036</v>
      </c>
      <c r="H2154" s="14" t="n">
        <v>20.37</v>
      </c>
      <c r="I2154" s="14" t="n">
        <v>0</v>
      </c>
      <c r="J2154" s="14" t="n">
        <v>0</v>
      </c>
      <c r="K2154" s="14" t="n">
        <v>0</v>
      </c>
      <c r="L2154" s="14" t="n">
        <v>0</v>
      </c>
      <c r="M2154" s="14">
        <f>IF(B2154="Frete de venda",0,(1-ISNUMBER(SEARCH("556",P2154)))*(I2154*VLOOKUP($B2154,Premissas!$A$4:$E$7,2,0)+J2154*VLOOKUP($B2154,Premissas!$A$4:$E$7,3,0))+K2154*VLOOKUP($B2154,Premissas!$A$4:$E$7,4,0)+L2154*VLOOKUP($B2154,Premissas!$A$4:$E$7,5,0))</f>
        <v/>
      </c>
      <c r="N2154" s="14">
        <f>H2154-M2154</f>
        <v/>
      </c>
      <c r="O2154" t="inlineStr">
        <is>
          <t>Não</t>
        </is>
      </c>
      <c r="P2154" t="inlineStr">
        <is>
          <t>1.350</t>
        </is>
      </c>
    </row>
    <row r="2155">
      <c r="A2155" s="24" t="n">
        <v>46023</v>
      </c>
      <c r="B2155" t="inlineStr">
        <is>
          <t>Frete de venda</t>
        </is>
      </c>
      <c r="C2155" t="inlineStr">
        <is>
          <t>Frete de venda (para clientes)</t>
        </is>
      </c>
      <c r="D2155" t="inlineStr">
        <is>
          <t>CT-e</t>
        </is>
      </c>
      <c r="E2155" t="inlineStr">
        <is>
          <t>000006157</t>
        </is>
      </c>
      <c r="F2155" t="inlineStr">
        <is>
          <t>R&amp;R TRANSPORTE E LOGISTICA</t>
        </is>
      </c>
      <c r="G2155" s="27" t="n">
        <v>46036</v>
      </c>
      <c r="H2155" s="14" t="n">
        <v>19.19</v>
      </c>
      <c r="I2155" s="14" t="n">
        <v>0</v>
      </c>
      <c r="J2155" s="14" t="n">
        <v>0</v>
      </c>
      <c r="K2155" s="14" t="n">
        <v>0</v>
      </c>
      <c r="L2155" s="14" t="n">
        <v>0</v>
      </c>
      <c r="M2155" s="14">
        <f>IF(B2155="Frete de venda",0,(1-ISNUMBER(SEARCH("556",P2155)))*(I2155*VLOOKUP($B2155,Premissas!$A$4:$E$7,2,0)+J2155*VLOOKUP($B2155,Premissas!$A$4:$E$7,3,0))+K2155*VLOOKUP($B2155,Premissas!$A$4:$E$7,4,0)+L2155*VLOOKUP($B2155,Premissas!$A$4:$E$7,5,0))</f>
        <v/>
      </c>
      <c r="N2155" s="14">
        <f>H2155-M2155</f>
        <v/>
      </c>
      <c r="O2155" t="inlineStr">
        <is>
          <t>Não</t>
        </is>
      </c>
      <c r="P2155" t="inlineStr">
        <is>
          <t>1.350</t>
        </is>
      </c>
    </row>
    <row r="2156">
      <c r="A2156" s="24" t="n">
        <v>46023</v>
      </c>
      <c r="B2156" t="inlineStr">
        <is>
          <t>Frete de venda</t>
        </is>
      </c>
      <c r="C2156" t="inlineStr">
        <is>
          <t>Frete de venda (para clientes)</t>
        </is>
      </c>
      <c r="D2156" t="inlineStr">
        <is>
          <t>CT-e</t>
        </is>
      </c>
      <c r="E2156" t="inlineStr">
        <is>
          <t>000006211</t>
        </is>
      </c>
      <c r="F2156" t="inlineStr">
        <is>
          <t>R&amp;R TRANSPORTE E LOGISTICA</t>
        </is>
      </c>
      <c r="G2156" s="27" t="n">
        <v>46044</v>
      </c>
      <c r="H2156" s="14" t="n">
        <v>29.38</v>
      </c>
      <c r="I2156" s="14" t="n">
        <v>0</v>
      </c>
      <c r="J2156" s="14" t="n">
        <v>0</v>
      </c>
      <c r="K2156" s="14" t="n">
        <v>0</v>
      </c>
      <c r="L2156" s="14" t="n">
        <v>0</v>
      </c>
      <c r="M2156" s="14">
        <f>IF(B2156="Frete de venda",0,(1-ISNUMBER(SEARCH("556",P2156)))*(I2156*VLOOKUP($B2156,Premissas!$A$4:$E$7,2,0)+J2156*VLOOKUP($B2156,Premissas!$A$4:$E$7,3,0))+K2156*VLOOKUP($B2156,Premissas!$A$4:$E$7,4,0)+L2156*VLOOKUP($B2156,Premissas!$A$4:$E$7,5,0))</f>
        <v/>
      </c>
      <c r="N2156" s="14">
        <f>H2156-M2156</f>
        <v/>
      </c>
      <c r="O2156" t="inlineStr">
        <is>
          <t>Não</t>
        </is>
      </c>
      <c r="P2156" t="inlineStr">
        <is>
          <t>1.350</t>
        </is>
      </c>
    </row>
    <row r="2157">
      <c r="A2157" s="24" t="n">
        <v>46023</v>
      </c>
      <c r="B2157" t="inlineStr">
        <is>
          <t>Frete de venda</t>
        </is>
      </c>
      <c r="C2157" t="inlineStr">
        <is>
          <t>Frete de venda (para clientes)</t>
        </is>
      </c>
      <c r="D2157" t="inlineStr">
        <is>
          <t>CT-e</t>
        </is>
      </c>
      <c r="E2157" t="inlineStr">
        <is>
          <t>000006212</t>
        </is>
      </c>
      <c r="F2157" t="inlineStr">
        <is>
          <t>R&amp;R TRANSPORTE E LOGISTICA</t>
        </is>
      </c>
      <c r="G2157" s="27" t="n">
        <v>46044</v>
      </c>
      <c r="H2157" s="14" t="n">
        <v>23.73</v>
      </c>
      <c r="I2157" s="14" t="n">
        <v>0</v>
      </c>
      <c r="J2157" s="14" t="n">
        <v>0</v>
      </c>
      <c r="K2157" s="14" t="n">
        <v>0</v>
      </c>
      <c r="L2157" s="14" t="n">
        <v>0</v>
      </c>
      <c r="M2157" s="14">
        <f>IF(B2157="Frete de venda",0,(1-ISNUMBER(SEARCH("556",P2157)))*(I2157*VLOOKUP($B2157,Premissas!$A$4:$E$7,2,0)+J2157*VLOOKUP($B2157,Premissas!$A$4:$E$7,3,0))+K2157*VLOOKUP($B2157,Premissas!$A$4:$E$7,4,0)+L2157*VLOOKUP($B2157,Premissas!$A$4:$E$7,5,0))</f>
        <v/>
      </c>
      <c r="N2157" s="14">
        <f>H2157-M2157</f>
        <v/>
      </c>
      <c r="O2157" t="inlineStr">
        <is>
          <t>Não</t>
        </is>
      </c>
      <c r="P2157" t="inlineStr">
        <is>
          <t>1.350</t>
        </is>
      </c>
    </row>
    <row r="2158">
      <c r="A2158" s="24" t="n">
        <v>46023</v>
      </c>
      <c r="B2158" t="inlineStr">
        <is>
          <t>Frete de venda</t>
        </is>
      </c>
      <c r="C2158" t="inlineStr">
        <is>
          <t>Frete de venda (para clientes)</t>
        </is>
      </c>
      <c r="D2158" t="inlineStr">
        <is>
          <t>CT-e</t>
        </is>
      </c>
      <c r="E2158" t="inlineStr">
        <is>
          <t>000006215</t>
        </is>
      </c>
      <c r="F2158" t="inlineStr">
        <is>
          <t>R&amp;R TRANSPORTE E LOGISTICA</t>
        </is>
      </c>
      <c r="G2158" s="27" t="n">
        <v>46044</v>
      </c>
      <c r="H2158" s="14" t="n">
        <v>15.2</v>
      </c>
      <c r="I2158" s="14" t="n">
        <v>0</v>
      </c>
      <c r="J2158" s="14" t="n">
        <v>0</v>
      </c>
      <c r="K2158" s="14" t="n">
        <v>0</v>
      </c>
      <c r="L2158" s="14" t="n">
        <v>0</v>
      </c>
      <c r="M2158" s="14">
        <f>IF(B2158="Frete de venda",0,(1-ISNUMBER(SEARCH("556",P2158)))*(I2158*VLOOKUP($B2158,Premissas!$A$4:$E$7,2,0)+J2158*VLOOKUP($B2158,Premissas!$A$4:$E$7,3,0))+K2158*VLOOKUP($B2158,Premissas!$A$4:$E$7,4,0)+L2158*VLOOKUP($B2158,Premissas!$A$4:$E$7,5,0))</f>
        <v/>
      </c>
      <c r="N2158" s="14">
        <f>H2158-M2158</f>
        <v/>
      </c>
      <c r="O2158" t="inlineStr">
        <is>
          <t>Não</t>
        </is>
      </c>
      <c r="P2158" t="inlineStr">
        <is>
          <t>1.350</t>
        </is>
      </c>
    </row>
    <row r="2159">
      <c r="A2159" s="24" t="n">
        <v>46023</v>
      </c>
      <c r="B2159" t="inlineStr">
        <is>
          <t>Frete de venda</t>
        </is>
      </c>
      <c r="C2159" t="inlineStr">
        <is>
          <t>Frete de venda (para clientes)</t>
        </is>
      </c>
      <c r="D2159" t="inlineStr">
        <is>
          <t>CT-e</t>
        </is>
      </c>
      <c r="E2159" t="inlineStr">
        <is>
          <t>000006219</t>
        </is>
      </c>
      <c r="F2159" t="inlineStr">
        <is>
          <t>R&amp;R TRANSPORTE E LOGISTICA</t>
        </is>
      </c>
      <c r="G2159" s="27" t="n">
        <v>46044</v>
      </c>
      <c r="H2159" s="14" t="n">
        <v>33.47</v>
      </c>
      <c r="I2159" s="14" t="n">
        <v>0</v>
      </c>
      <c r="J2159" s="14" t="n">
        <v>0</v>
      </c>
      <c r="K2159" s="14" t="n">
        <v>0</v>
      </c>
      <c r="L2159" s="14" t="n">
        <v>0</v>
      </c>
      <c r="M2159" s="14">
        <f>IF(B2159="Frete de venda",0,(1-ISNUMBER(SEARCH("556",P2159)))*(I2159*VLOOKUP($B2159,Premissas!$A$4:$E$7,2,0)+J2159*VLOOKUP($B2159,Premissas!$A$4:$E$7,3,0))+K2159*VLOOKUP($B2159,Premissas!$A$4:$E$7,4,0)+L2159*VLOOKUP($B2159,Premissas!$A$4:$E$7,5,0))</f>
        <v/>
      </c>
      <c r="N2159" s="14">
        <f>H2159-M2159</f>
        <v/>
      </c>
      <c r="O2159" t="inlineStr">
        <is>
          <t>Não</t>
        </is>
      </c>
      <c r="P2159" t="inlineStr">
        <is>
          <t>1.350</t>
        </is>
      </c>
    </row>
    <row r="2160">
      <c r="A2160" s="24" t="n">
        <v>46023</v>
      </c>
      <c r="B2160" t="inlineStr">
        <is>
          <t>Frete de venda</t>
        </is>
      </c>
      <c r="C2160" t="inlineStr">
        <is>
          <t>Frete de venda (para clientes)</t>
        </is>
      </c>
      <c r="D2160" t="inlineStr">
        <is>
          <t>CT-e</t>
        </is>
      </c>
      <c r="E2160" t="inlineStr">
        <is>
          <t>000006220</t>
        </is>
      </c>
      <c r="F2160" t="inlineStr">
        <is>
          <t>R&amp;R TRANSPORTE E LOGISTICA</t>
        </is>
      </c>
      <c r="G2160" s="27" t="n">
        <v>46044</v>
      </c>
      <c r="H2160" s="14" t="n">
        <v>23.11</v>
      </c>
      <c r="I2160" s="14" t="n">
        <v>0</v>
      </c>
      <c r="J2160" s="14" t="n">
        <v>0</v>
      </c>
      <c r="K2160" s="14" t="n">
        <v>0</v>
      </c>
      <c r="L2160" s="14" t="n">
        <v>0</v>
      </c>
      <c r="M2160" s="14">
        <f>IF(B2160="Frete de venda",0,(1-ISNUMBER(SEARCH("556",P2160)))*(I2160*VLOOKUP($B2160,Premissas!$A$4:$E$7,2,0)+J2160*VLOOKUP($B2160,Premissas!$A$4:$E$7,3,0))+K2160*VLOOKUP($B2160,Premissas!$A$4:$E$7,4,0)+L2160*VLOOKUP($B2160,Premissas!$A$4:$E$7,5,0))</f>
        <v/>
      </c>
      <c r="N2160" s="14">
        <f>H2160-M2160</f>
        <v/>
      </c>
      <c r="O2160" t="inlineStr">
        <is>
          <t>Não</t>
        </is>
      </c>
      <c r="P2160" t="inlineStr">
        <is>
          <t>1.350</t>
        </is>
      </c>
    </row>
    <row r="2161">
      <c r="A2161" s="24" t="n">
        <v>46023</v>
      </c>
      <c r="B2161" t="inlineStr">
        <is>
          <t>Frete de venda</t>
        </is>
      </c>
      <c r="C2161" t="inlineStr">
        <is>
          <t>Frete de venda (para clientes)</t>
        </is>
      </c>
      <c r="D2161" t="inlineStr">
        <is>
          <t>CT-e</t>
        </is>
      </c>
      <c r="E2161" t="inlineStr">
        <is>
          <t>000006182</t>
        </is>
      </c>
      <c r="F2161" t="inlineStr">
        <is>
          <t>R&amp;R TRANSPORTE E LOGISTICA</t>
        </is>
      </c>
      <c r="G2161" s="27" t="n">
        <v>46039</v>
      </c>
      <c r="H2161" s="14" t="n">
        <v>50</v>
      </c>
      <c r="I2161" s="14" t="n">
        <v>0</v>
      </c>
      <c r="J2161" s="14" t="n">
        <v>0</v>
      </c>
      <c r="K2161" s="14" t="n">
        <v>0</v>
      </c>
      <c r="L2161" s="14" t="n">
        <v>0</v>
      </c>
      <c r="M2161" s="14">
        <f>IF(B2161="Frete de venda",0,(1-ISNUMBER(SEARCH("556",P2161)))*(I2161*VLOOKUP($B2161,Premissas!$A$4:$E$7,2,0)+J2161*VLOOKUP($B2161,Premissas!$A$4:$E$7,3,0))+K2161*VLOOKUP($B2161,Premissas!$A$4:$E$7,4,0)+L2161*VLOOKUP($B2161,Premissas!$A$4:$E$7,5,0))</f>
        <v/>
      </c>
      <c r="N2161" s="14">
        <f>H2161-M2161</f>
        <v/>
      </c>
      <c r="O2161" t="inlineStr">
        <is>
          <t>Não</t>
        </is>
      </c>
      <c r="P2161" t="inlineStr">
        <is>
          <t>1.350</t>
        </is>
      </c>
    </row>
    <row r="2162">
      <c r="A2162" s="24" t="n">
        <v>46023</v>
      </c>
      <c r="B2162" t="inlineStr">
        <is>
          <t>Frete de venda</t>
        </is>
      </c>
      <c r="C2162" t="inlineStr">
        <is>
          <t>Frete de venda (para clientes)</t>
        </is>
      </c>
      <c r="D2162" t="inlineStr">
        <is>
          <t>CT-e</t>
        </is>
      </c>
      <c r="E2162" t="inlineStr">
        <is>
          <t>000006244</t>
        </is>
      </c>
      <c r="F2162" t="inlineStr">
        <is>
          <t>R&amp;R TRANSPORTE E LOGISTICA</t>
        </is>
      </c>
      <c r="G2162" s="27" t="n">
        <v>46050</v>
      </c>
      <c r="H2162" s="14" t="n">
        <v>12.26</v>
      </c>
      <c r="I2162" s="14" t="n">
        <v>0</v>
      </c>
      <c r="J2162" s="14" t="n">
        <v>0</v>
      </c>
      <c r="K2162" s="14" t="n">
        <v>0</v>
      </c>
      <c r="L2162" s="14" t="n">
        <v>0</v>
      </c>
      <c r="M2162" s="14">
        <f>IF(B2162="Frete de venda",0,(1-ISNUMBER(SEARCH("556",P2162)))*(I2162*VLOOKUP($B2162,Premissas!$A$4:$E$7,2,0)+J2162*VLOOKUP($B2162,Premissas!$A$4:$E$7,3,0))+K2162*VLOOKUP($B2162,Premissas!$A$4:$E$7,4,0)+L2162*VLOOKUP($B2162,Premissas!$A$4:$E$7,5,0))</f>
        <v/>
      </c>
      <c r="N2162" s="14">
        <f>H2162-M2162</f>
        <v/>
      </c>
      <c r="O2162" t="inlineStr">
        <is>
          <t>Não</t>
        </is>
      </c>
      <c r="P2162" t="inlineStr">
        <is>
          <t>1.350</t>
        </is>
      </c>
    </row>
    <row r="2163">
      <c r="A2163" s="24" t="n">
        <v>46023</v>
      </c>
      <c r="B2163" t="inlineStr">
        <is>
          <t>Frete de venda</t>
        </is>
      </c>
      <c r="C2163" t="inlineStr">
        <is>
          <t>Frete de venda (para clientes)</t>
        </is>
      </c>
      <c r="D2163" t="inlineStr">
        <is>
          <t>CT-e</t>
        </is>
      </c>
      <c r="E2163" t="inlineStr">
        <is>
          <t>000006141</t>
        </is>
      </c>
      <c r="F2163" t="inlineStr">
        <is>
          <t>R&amp;R TRANSPORTE E LOGISTICA</t>
        </is>
      </c>
      <c r="G2163" s="27" t="n">
        <v>46036</v>
      </c>
      <c r="H2163" s="14" t="n">
        <v>26.29</v>
      </c>
      <c r="I2163" s="14" t="n">
        <v>0</v>
      </c>
      <c r="J2163" s="14" t="n">
        <v>0</v>
      </c>
      <c r="K2163" s="14" t="n">
        <v>0</v>
      </c>
      <c r="L2163" s="14" t="n">
        <v>0</v>
      </c>
      <c r="M2163" s="14">
        <f>IF(B2163="Frete de venda",0,(1-ISNUMBER(SEARCH("556",P2163)))*(I2163*VLOOKUP($B2163,Premissas!$A$4:$E$7,2,0)+J2163*VLOOKUP($B2163,Premissas!$A$4:$E$7,3,0))+K2163*VLOOKUP($B2163,Premissas!$A$4:$E$7,4,0)+L2163*VLOOKUP($B2163,Premissas!$A$4:$E$7,5,0))</f>
        <v/>
      </c>
      <c r="N2163" s="14">
        <f>H2163-M2163</f>
        <v/>
      </c>
      <c r="O2163" t="inlineStr">
        <is>
          <t>Não</t>
        </is>
      </c>
      <c r="P2163" t="inlineStr">
        <is>
          <t>1.350</t>
        </is>
      </c>
    </row>
    <row r="2164">
      <c r="A2164" s="24" t="n">
        <v>46023</v>
      </c>
      <c r="B2164" t="inlineStr">
        <is>
          <t>Frete de venda</t>
        </is>
      </c>
      <c r="C2164" t="inlineStr">
        <is>
          <t>Frete de venda (para clientes)</t>
        </is>
      </c>
      <c r="D2164" t="inlineStr">
        <is>
          <t>CT-e</t>
        </is>
      </c>
      <c r="E2164" t="inlineStr">
        <is>
          <t>000006147</t>
        </is>
      </c>
      <c r="F2164" t="inlineStr">
        <is>
          <t>R&amp;R TRANSPORTE E LOGISTICA</t>
        </is>
      </c>
      <c r="G2164" s="27" t="n">
        <v>46036</v>
      </c>
      <c r="H2164" s="14" t="n">
        <v>38.73</v>
      </c>
      <c r="I2164" s="14" t="n">
        <v>0</v>
      </c>
      <c r="J2164" s="14" t="n">
        <v>0</v>
      </c>
      <c r="K2164" s="14" t="n">
        <v>0</v>
      </c>
      <c r="L2164" s="14" t="n">
        <v>0</v>
      </c>
      <c r="M2164" s="14">
        <f>IF(B2164="Frete de venda",0,(1-ISNUMBER(SEARCH("556",P2164)))*(I2164*VLOOKUP($B2164,Premissas!$A$4:$E$7,2,0)+J2164*VLOOKUP($B2164,Premissas!$A$4:$E$7,3,0))+K2164*VLOOKUP($B2164,Premissas!$A$4:$E$7,4,0)+L2164*VLOOKUP($B2164,Premissas!$A$4:$E$7,5,0))</f>
        <v/>
      </c>
      <c r="N2164" s="14">
        <f>H2164-M2164</f>
        <v/>
      </c>
      <c r="O2164" t="inlineStr">
        <is>
          <t>Não</t>
        </is>
      </c>
      <c r="P2164" t="inlineStr">
        <is>
          <t>1.350</t>
        </is>
      </c>
    </row>
    <row r="2165">
      <c r="A2165" s="24" t="n">
        <v>46023</v>
      </c>
      <c r="B2165" t="inlineStr">
        <is>
          <t>Frete de venda</t>
        </is>
      </c>
      <c r="C2165" t="inlineStr">
        <is>
          <t>Frete de venda (para clientes)</t>
        </is>
      </c>
      <c r="D2165" t="inlineStr">
        <is>
          <t>CT-e</t>
        </is>
      </c>
      <c r="E2165" t="inlineStr">
        <is>
          <t>000006143</t>
        </is>
      </c>
      <c r="F2165" t="inlineStr">
        <is>
          <t>R&amp;R TRANSPORTE E LOGISTICA</t>
        </is>
      </c>
      <c r="G2165" s="27" t="n">
        <v>46036</v>
      </c>
      <c r="H2165" s="14" t="n">
        <v>25.97</v>
      </c>
      <c r="I2165" s="14" t="n">
        <v>0</v>
      </c>
      <c r="J2165" s="14" t="n">
        <v>0</v>
      </c>
      <c r="K2165" s="14" t="n">
        <v>0</v>
      </c>
      <c r="L2165" s="14" t="n">
        <v>0</v>
      </c>
      <c r="M2165" s="14">
        <f>IF(B2165="Frete de venda",0,(1-ISNUMBER(SEARCH("556",P2165)))*(I2165*VLOOKUP($B2165,Premissas!$A$4:$E$7,2,0)+J2165*VLOOKUP($B2165,Premissas!$A$4:$E$7,3,0))+K2165*VLOOKUP($B2165,Premissas!$A$4:$E$7,4,0)+L2165*VLOOKUP($B2165,Premissas!$A$4:$E$7,5,0))</f>
        <v/>
      </c>
      <c r="N2165" s="14">
        <f>H2165-M2165</f>
        <v/>
      </c>
      <c r="O2165" t="inlineStr">
        <is>
          <t>Não</t>
        </is>
      </c>
      <c r="P2165" t="inlineStr">
        <is>
          <t>1.350</t>
        </is>
      </c>
    </row>
    <row r="2166">
      <c r="A2166" s="24" t="n">
        <v>46023</v>
      </c>
      <c r="B2166" t="inlineStr">
        <is>
          <t>Frete de venda</t>
        </is>
      </c>
      <c r="C2166" t="inlineStr">
        <is>
          <t>Frete de venda (para clientes)</t>
        </is>
      </c>
      <c r="D2166" t="inlineStr">
        <is>
          <t>CT-e</t>
        </is>
      </c>
      <c r="E2166" t="inlineStr">
        <is>
          <t>000006121</t>
        </is>
      </c>
      <c r="F2166" t="inlineStr">
        <is>
          <t>R&amp;R TRANSPORTE E LOGISTICA</t>
        </is>
      </c>
      <c r="G2166" s="27" t="n">
        <v>46030</v>
      </c>
      <c r="H2166" s="14" t="n">
        <v>98.3</v>
      </c>
      <c r="I2166" s="14" t="n">
        <v>0</v>
      </c>
      <c r="J2166" s="14" t="n">
        <v>0</v>
      </c>
      <c r="K2166" s="14" t="n">
        <v>0</v>
      </c>
      <c r="L2166" s="14" t="n">
        <v>0</v>
      </c>
      <c r="M2166" s="14">
        <f>IF(B2166="Frete de venda",0,(1-ISNUMBER(SEARCH("556",P2166)))*(I2166*VLOOKUP($B2166,Premissas!$A$4:$E$7,2,0)+J2166*VLOOKUP($B2166,Premissas!$A$4:$E$7,3,0))+K2166*VLOOKUP($B2166,Premissas!$A$4:$E$7,4,0)+L2166*VLOOKUP($B2166,Premissas!$A$4:$E$7,5,0))</f>
        <v/>
      </c>
      <c r="N2166" s="14">
        <f>H2166-M2166</f>
        <v/>
      </c>
      <c r="O2166" t="inlineStr">
        <is>
          <t>Não</t>
        </is>
      </c>
      <c r="P2166" t="inlineStr">
        <is>
          <t>1.350</t>
        </is>
      </c>
    </row>
    <row r="2167">
      <c r="A2167" s="24" t="n">
        <v>46023</v>
      </c>
      <c r="B2167" t="inlineStr">
        <is>
          <t>Frete de venda</t>
        </is>
      </c>
      <c r="C2167" t="inlineStr">
        <is>
          <t>Frete de venda (para clientes)</t>
        </is>
      </c>
      <c r="D2167" t="inlineStr">
        <is>
          <t>CT-e</t>
        </is>
      </c>
      <c r="E2167" t="inlineStr">
        <is>
          <t>000006245</t>
        </is>
      </c>
      <c r="F2167" t="inlineStr">
        <is>
          <t>R&amp;R TRANSPORTE E LOGISTICA</t>
        </is>
      </c>
      <c r="G2167" s="27" t="n">
        <v>46050</v>
      </c>
      <c r="H2167" s="14" t="n">
        <v>9.27</v>
      </c>
      <c r="I2167" s="14" t="n">
        <v>0</v>
      </c>
      <c r="J2167" s="14" t="n">
        <v>0</v>
      </c>
      <c r="K2167" s="14" t="n">
        <v>0</v>
      </c>
      <c r="L2167" s="14" t="n">
        <v>0</v>
      </c>
      <c r="M2167" s="14">
        <f>IF(B2167="Frete de venda",0,(1-ISNUMBER(SEARCH("556",P2167)))*(I2167*VLOOKUP($B2167,Premissas!$A$4:$E$7,2,0)+J2167*VLOOKUP($B2167,Premissas!$A$4:$E$7,3,0))+K2167*VLOOKUP($B2167,Premissas!$A$4:$E$7,4,0)+L2167*VLOOKUP($B2167,Premissas!$A$4:$E$7,5,0))</f>
        <v/>
      </c>
      <c r="N2167" s="14">
        <f>H2167-M2167</f>
        <v/>
      </c>
      <c r="O2167" t="inlineStr">
        <is>
          <t>Não</t>
        </is>
      </c>
      <c r="P2167" t="inlineStr">
        <is>
          <t>1.350</t>
        </is>
      </c>
    </row>
    <row r="2168">
      <c r="A2168" s="24" t="n">
        <v>46023</v>
      </c>
      <c r="B2168" t="inlineStr">
        <is>
          <t>Frete de venda</t>
        </is>
      </c>
      <c r="C2168" t="inlineStr">
        <is>
          <t>Frete de venda (para clientes)</t>
        </is>
      </c>
      <c r="D2168" t="inlineStr">
        <is>
          <t>CT-e</t>
        </is>
      </c>
      <c r="E2168" t="inlineStr">
        <is>
          <t>000006209</t>
        </is>
      </c>
      <c r="F2168" t="inlineStr">
        <is>
          <t>R&amp;R TRANSPORTE E LOGISTICA</t>
        </is>
      </c>
      <c r="G2168" s="27" t="n">
        <v>46044</v>
      </c>
      <c r="H2168" s="14" t="n">
        <v>43.11</v>
      </c>
      <c r="I2168" s="14" t="n">
        <v>0</v>
      </c>
      <c r="J2168" s="14" t="n">
        <v>0</v>
      </c>
      <c r="K2168" s="14" t="n">
        <v>0</v>
      </c>
      <c r="L2168" s="14" t="n">
        <v>0</v>
      </c>
      <c r="M2168" s="14">
        <f>IF(B2168="Frete de venda",0,(1-ISNUMBER(SEARCH("556",P2168)))*(I2168*VLOOKUP($B2168,Premissas!$A$4:$E$7,2,0)+J2168*VLOOKUP($B2168,Premissas!$A$4:$E$7,3,0))+K2168*VLOOKUP($B2168,Premissas!$A$4:$E$7,4,0)+L2168*VLOOKUP($B2168,Premissas!$A$4:$E$7,5,0))</f>
        <v/>
      </c>
      <c r="N2168" s="14">
        <f>H2168-M2168</f>
        <v/>
      </c>
      <c r="O2168" t="inlineStr">
        <is>
          <t>Não</t>
        </is>
      </c>
      <c r="P2168" t="inlineStr">
        <is>
          <t>1.350</t>
        </is>
      </c>
    </row>
    <row r="2169">
      <c r="A2169" s="24" t="n">
        <v>46023</v>
      </c>
      <c r="B2169" t="inlineStr">
        <is>
          <t>Frete de venda</t>
        </is>
      </c>
      <c r="C2169" t="inlineStr">
        <is>
          <t>Frete de venda (para clientes)</t>
        </is>
      </c>
      <c r="D2169" t="inlineStr">
        <is>
          <t>CT-e</t>
        </is>
      </c>
      <c r="E2169" t="inlineStr">
        <is>
          <t>000006248</t>
        </is>
      </c>
      <c r="F2169" t="inlineStr">
        <is>
          <t>R&amp;R TRANSPORTE E LOGISTICA</t>
        </is>
      </c>
      <c r="G2169" s="27" t="n">
        <v>46050</v>
      </c>
      <c r="H2169" s="14" t="n">
        <v>12.42</v>
      </c>
      <c r="I2169" s="14" t="n">
        <v>0</v>
      </c>
      <c r="J2169" s="14" t="n">
        <v>0</v>
      </c>
      <c r="K2169" s="14" t="n">
        <v>0</v>
      </c>
      <c r="L2169" s="14" t="n">
        <v>0</v>
      </c>
      <c r="M2169" s="14">
        <f>IF(B2169="Frete de venda",0,(1-ISNUMBER(SEARCH("556",P2169)))*(I2169*VLOOKUP($B2169,Premissas!$A$4:$E$7,2,0)+J2169*VLOOKUP($B2169,Premissas!$A$4:$E$7,3,0))+K2169*VLOOKUP($B2169,Premissas!$A$4:$E$7,4,0)+L2169*VLOOKUP($B2169,Premissas!$A$4:$E$7,5,0))</f>
        <v/>
      </c>
      <c r="N2169" s="14">
        <f>H2169-M2169</f>
        <v/>
      </c>
      <c r="O2169" t="inlineStr">
        <is>
          <t>Não</t>
        </is>
      </c>
      <c r="P2169" t="inlineStr">
        <is>
          <t>1.350</t>
        </is>
      </c>
    </row>
    <row r="2170">
      <c r="A2170" s="24" t="n">
        <v>46023</v>
      </c>
      <c r="B2170" t="inlineStr">
        <is>
          <t>Frete de venda</t>
        </is>
      </c>
      <c r="C2170" t="inlineStr">
        <is>
          <t>Frete de venda (para clientes)</t>
        </is>
      </c>
      <c r="D2170" t="inlineStr">
        <is>
          <t>CT-e</t>
        </is>
      </c>
      <c r="E2170" t="inlineStr">
        <is>
          <t>000006223</t>
        </is>
      </c>
      <c r="F2170" t="inlineStr">
        <is>
          <t>R&amp;R TRANSPORTE E LOGISTICA</t>
        </is>
      </c>
      <c r="G2170" s="27" t="n">
        <v>46044</v>
      </c>
      <c r="H2170" s="14" t="n">
        <v>33.84</v>
      </c>
      <c r="I2170" s="14" t="n">
        <v>0</v>
      </c>
      <c r="J2170" s="14" t="n">
        <v>0</v>
      </c>
      <c r="K2170" s="14" t="n">
        <v>0</v>
      </c>
      <c r="L2170" s="14" t="n">
        <v>0</v>
      </c>
      <c r="M2170" s="14">
        <f>IF(B2170="Frete de venda",0,(1-ISNUMBER(SEARCH("556",P2170)))*(I2170*VLOOKUP($B2170,Premissas!$A$4:$E$7,2,0)+J2170*VLOOKUP($B2170,Premissas!$A$4:$E$7,3,0))+K2170*VLOOKUP($B2170,Premissas!$A$4:$E$7,4,0)+L2170*VLOOKUP($B2170,Premissas!$A$4:$E$7,5,0))</f>
        <v/>
      </c>
      <c r="N2170" s="14">
        <f>H2170-M2170</f>
        <v/>
      </c>
      <c r="O2170" t="inlineStr">
        <is>
          <t>Não</t>
        </is>
      </c>
      <c r="P2170" t="inlineStr">
        <is>
          <t>1.350</t>
        </is>
      </c>
    </row>
    <row r="2171">
      <c r="A2171" s="24" t="n">
        <v>46023</v>
      </c>
      <c r="B2171" t="inlineStr">
        <is>
          <t>Frete de venda</t>
        </is>
      </c>
      <c r="C2171" t="inlineStr">
        <is>
          <t>Frete de venda (para clientes)</t>
        </is>
      </c>
      <c r="D2171" t="inlineStr">
        <is>
          <t>CT-e</t>
        </is>
      </c>
      <c r="E2171" t="inlineStr">
        <is>
          <t>000006170</t>
        </is>
      </c>
      <c r="F2171" t="inlineStr">
        <is>
          <t>R&amp;R TRANSPORTE E LOGISTICA</t>
        </is>
      </c>
      <c r="G2171" s="27" t="n">
        <v>46038</v>
      </c>
      <c r="H2171" s="14" t="n">
        <v>111.13</v>
      </c>
      <c r="I2171" s="14" t="n">
        <v>0</v>
      </c>
      <c r="J2171" s="14" t="n">
        <v>0</v>
      </c>
      <c r="K2171" s="14" t="n">
        <v>0</v>
      </c>
      <c r="L2171" s="14" t="n">
        <v>0</v>
      </c>
      <c r="M2171" s="14">
        <f>IF(B2171="Frete de venda",0,(1-ISNUMBER(SEARCH("556",P2171)))*(I2171*VLOOKUP($B2171,Premissas!$A$4:$E$7,2,0)+J2171*VLOOKUP($B2171,Premissas!$A$4:$E$7,3,0))+K2171*VLOOKUP($B2171,Premissas!$A$4:$E$7,4,0)+L2171*VLOOKUP($B2171,Premissas!$A$4:$E$7,5,0))</f>
        <v/>
      </c>
      <c r="N2171" s="14">
        <f>H2171-M2171</f>
        <v/>
      </c>
      <c r="O2171" t="inlineStr">
        <is>
          <t>Não</t>
        </is>
      </c>
      <c r="P2171" t="inlineStr">
        <is>
          <t>1.350</t>
        </is>
      </c>
    </row>
    <row r="2172">
      <c r="A2172" s="24" t="n">
        <v>46023</v>
      </c>
      <c r="B2172" t="inlineStr">
        <is>
          <t>Frete de venda</t>
        </is>
      </c>
      <c r="C2172" t="inlineStr">
        <is>
          <t>Frete de venda (para clientes)</t>
        </is>
      </c>
      <c r="D2172" t="inlineStr">
        <is>
          <t>CT-e</t>
        </is>
      </c>
      <c r="E2172" t="inlineStr">
        <is>
          <t>000006298</t>
        </is>
      </c>
      <c r="F2172" t="inlineStr">
        <is>
          <t>R&amp;R TRANSPORTE E LOGISTICA</t>
        </is>
      </c>
      <c r="G2172" s="27" t="n">
        <v>46053</v>
      </c>
      <c r="H2172" s="14" t="n">
        <v>107.69</v>
      </c>
      <c r="I2172" s="14" t="n">
        <v>0</v>
      </c>
      <c r="J2172" s="14" t="n">
        <v>0</v>
      </c>
      <c r="K2172" s="14" t="n">
        <v>0</v>
      </c>
      <c r="L2172" s="14" t="n">
        <v>0</v>
      </c>
      <c r="M2172" s="14">
        <f>IF(B2172="Frete de venda",0,(1-ISNUMBER(SEARCH("556",P2172)))*(I2172*VLOOKUP($B2172,Premissas!$A$4:$E$7,2,0)+J2172*VLOOKUP($B2172,Premissas!$A$4:$E$7,3,0))+K2172*VLOOKUP($B2172,Premissas!$A$4:$E$7,4,0)+L2172*VLOOKUP($B2172,Premissas!$A$4:$E$7,5,0))</f>
        <v/>
      </c>
      <c r="N2172" s="14">
        <f>H2172-M2172</f>
        <v/>
      </c>
      <c r="O2172" t="inlineStr">
        <is>
          <t>Não</t>
        </is>
      </c>
      <c r="P2172" t="inlineStr">
        <is>
          <t>1.350</t>
        </is>
      </c>
    </row>
    <row r="2173">
      <c r="A2173" s="24" t="n">
        <v>46023</v>
      </c>
      <c r="B2173" t="inlineStr">
        <is>
          <t>Frete de venda</t>
        </is>
      </c>
      <c r="C2173" t="inlineStr">
        <is>
          <t>Frete de venda (para clientes)</t>
        </is>
      </c>
      <c r="D2173" t="inlineStr">
        <is>
          <t>CT-e</t>
        </is>
      </c>
      <c r="E2173" t="inlineStr">
        <is>
          <t>000006222</t>
        </is>
      </c>
      <c r="F2173" t="inlineStr">
        <is>
          <t>R&amp;R TRANSPORTE E LOGISTICA</t>
        </is>
      </c>
      <c r="G2173" s="27" t="n">
        <v>46044</v>
      </c>
      <c r="H2173" s="14" t="n">
        <v>17.92</v>
      </c>
      <c r="I2173" s="14" t="n">
        <v>0</v>
      </c>
      <c r="J2173" s="14" t="n">
        <v>0</v>
      </c>
      <c r="K2173" s="14" t="n">
        <v>0</v>
      </c>
      <c r="L2173" s="14" t="n">
        <v>0</v>
      </c>
      <c r="M2173" s="14">
        <f>IF(B2173="Frete de venda",0,(1-ISNUMBER(SEARCH("556",P2173)))*(I2173*VLOOKUP($B2173,Premissas!$A$4:$E$7,2,0)+J2173*VLOOKUP($B2173,Premissas!$A$4:$E$7,3,0))+K2173*VLOOKUP($B2173,Premissas!$A$4:$E$7,4,0)+L2173*VLOOKUP($B2173,Premissas!$A$4:$E$7,5,0))</f>
        <v/>
      </c>
      <c r="N2173" s="14">
        <f>H2173-M2173</f>
        <v/>
      </c>
      <c r="O2173" t="inlineStr">
        <is>
          <t>Não</t>
        </is>
      </c>
      <c r="P2173" t="inlineStr">
        <is>
          <t>1.350</t>
        </is>
      </c>
    </row>
    <row r="2174">
      <c r="A2174" s="24" t="n">
        <v>46023</v>
      </c>
      <c r="B2174" t="inlineStr">
        <is>
          <t>Frete de venda</t>
        </is>
      </c>
      <c r="C2174" t="inlineStr">
        <is>
          <t>Frete de venda (para clientes)</t>
        </is>
      </c>
      <c r="D2174" t="inlineStr">
        <is>
          <t>CT-e</t>
        </is>
      </c>
      <c r="E2174" t="inlineStr">
        <is>
          <t>000006240</t>
        </is>
      </c>
      <c r="F2174" t="inlineStr">
        <is>
          <t>R&amp;R TRANSPORTE E LOGISTICA</t>
        </is>
      </c>
      <c r="G2174" s="27" t="n">
        <v>46050</v>
      </c>
      <c r="H2174" s="14" t="n">
        <v>39.14</v>
      </c>
      <c r="I2174" s="14" t="n">
        <v>0</v>
      </c>
      <c r="J2174" s="14" t="n">
        <v>0</v>
      </c>
      <c r="K2174" s="14" t="n">
        <v>0</v>
      </c>
      <c r="L2174" s="14" t="n">
        <v>0</v>
      </c>
      <c r="M2174" s="14">
        <f>IF(B2174="Frete de venda",0,(1-ISNUMBER(SEARCH("556",P2174)))*(I2174*VLOOKUP($B2174,Premissas!$A$4:$E$7,2,0)+J2174*VLOOKUP($B2174,Premissas!$A$4:$E$7,3,0))+K2174*VLOOKUP($B2174,Premissas!$A$4:$E$7,4,0)+L2174*VLOOKUP($B2174,Premissas!$A$4:$E$7,5,0))</f>
        <v/>
      </c>
      <c r="N2174" s="14">
        <f>H2174-M2174</f>
        <v/>
      </c>
      <c r="O2174" t="inlineStr">
        <is>
          <t>Não</t>
        </is>
      </c>
      <c r="P2174" t="inlineStr">
        <is>
          <t>1.350</t>
        </is>
      </c>
    </row>
    <row r="2175">
      <c r="A2175" s="24" t="n">
        <v>46023</v>
      </c>
      <c r="B2175" t="inlineStr">
        <is>
          <t>Frete de venda</t>
        </is>
      </c>
      <c r="C2175" t="inlineStr">
        <is>
          <t>Frete de venda (para clientes)</t>
        </is>
      </c>
      <c r="D2175" t="inlineStr">
        <is>
          <t>CT-e</t>
        </is>
      </c>
      <c r="E2175" t="inlineStr">
        <is>
          <t>000023605</t>
        </is>
      </c>
      <c r="F2175" t="inlineStr">
        <is>
          <t>TRANSPORTE OLIVEIRA E MELLOI - IDEALIZA TRANSPORTES</t>
        </is>
      </c>
      <c r="G2175" s="27" t="n">
        <v>46029</v>
      </c>
      <c r="H2175" s="14" t="n">
        <v>1953.58</v>
      </c>
      <c r="I2175" s="14" t="n">
        <v>0</v>
      </c>
      <c r="J2175" s="14" t="n">
        <v>234.43</v>
      </c>
      <c r="K2175" s="14" t="n">
        <v>0</v>
      </c>
      <c r="L2175" s="14" t="n">
        <v>0</v>
      </c>
      <c r="M2175" s="14">
        <f>IF(B2175="Frete de venda",0,(1-ISNUMBER(SEARCH("556",P2175)))*(I2175*VLOOKUP($B2175,Premissas!$A$4:$E$7,2,0)+J2175*VLOOKUP($B2175,Premissas!$A$4:$E$7,3,0))+K2175*VLOOKUP($B2175,Premissas!$A$4:$E$7,4,0)+L2175*VLOOKUP($B2175,Premissas!$A$4:$E$7,5,0))</f>
        <v/>
      </c>
      <c r="N2175" s="14">
        <f>H2175-M2175</f>
        <v/>
      </c>
      <c r="O2175" t="inlineStr">
        <is>
          <t>Sim</t>
        </is>
      </c>
      <c r="P2175" t="inlineStr">
        <is>
          <t>1.350</t>
        </is>
      </c>
    </row>
    <row r="2176">
      <c r="A2176" s="24" t="n">
        <v>46023</v>
      </c>
      <c r="B2176" t="inlineStr">
        <is>
          <t>Frete de venda</t>
        </is>
      </c>
      <c r="C2176" t="inlineStr">
        <is>
          <t>Frete de venda (para clientes)</t>
        </is>
      </c>
      <c r="D2176" t="inlineStr">
        <is>
          <t>CT-e</t>
        </is>
      </c>
      <c r="E2176" t="inlineStr">
        <is>
          <t>000006238</t>
        </is>
      </c>
      <c r="F2176" t="inlineStr">
        <is>
          <t>R&amp;R TRANSPORTE E LOGISTICA</t>
        </is>
      </c>
      <c r="G2176" s="27" t="n">
        <v>46050</v>
      </c>
      <c r="H2176" s="14" t="n">
        <v>42.6</v>
      </c>
      <c r="I2176" s="14" t="n">
        <v>0</v>
      </c>
      <c r="J2176" s="14" t="n">
        <v>0</v>
      </c>
      <c r="K2176" s="14" t="n">
        <v>0</v>
      </c>
      <c r="L2176" s="14" t="n">
        <v>0</v>
      </c>
      <c r="M2176" s="14">
        <f>IF(B2176="Frete de venda",0,(1-ISNUMBER(SEARCH("556",P2176)))*(I2176*VLOOKUP($B2176,Premissas!$A$4:$E$7,2,0)+J2176*VLOOKUP($B2176,Premissas!$A$4:$E$7,3,0))+K2176*VLOOKUP($B2176,Premissas!$A$4:$E$7,4,0)+L2176*VLOOKUP($B2176,Premissas!$A$4:$E$7,5,0))</f>
        <v/>
      </c>
      <c r="N2176" s="14">
        <f>H2176-M2176</f>
        <v/>
      </c>
      <c r="O2176" t="inlineStr">
        <is>
          <t>Não</t>
        </is>
      </c>
      <c r="P2176" t="inlineStr">
        <is>
          <t>1.350</t>
        </is>
      </c>
    </row>
    <row r="2177">
      <c r="A2177" s="24" t="n">
        <v>46023</v>
      </c>
      <c r="B2177" t="inlineStr">
        <is>
          <t>Frete de venda</t>
        </is>
      </c>
      <c r="C2177" t="inlineStr">
        <is>
          <t>Frete de venda (para clientes)</t>
        </is>
      </c>
      <c r="D2177" t="inlineStr">
        <is>
          <t>CT-e</t>
        </is>
      </c>
      <c r="E2177" t="inlineStr">
        <is>
          <t>000006178</t>
        </is>
      </c>
      <c r="F2177" t="inlineStr">
        <is>
          <t>R&amp;R TRANSPORTE E LOGISTICA</t>
        </is>
      </c>
      <c r="G2177" s="27" t="n">
        <v>46039</v>
      </c>
      <c r="H2177" s="14" t="n">
        <v>56.18</v>
      </c>
      <c r="I2177" s="14" t="n">
        <v>0</v>
      </c>
      <c r="J2177" s="14" t="n">
        <v>0</v>
      </c>
      <c r="K2177" s="14" t="n">
        <v>0</v>
      </c>
      <c r="L2177" s="14" t="n">
        <v>0</v>
      </c>
      <c r="M2177" s="14">
        <f>IF(B2177="Frete de venda",0,(1-ISNUMBER(SEARCH("556",P2177)))*(I2177*VLOOKUP($B2177,Premissas!$A$4:$E$7,2,0)+J2177*VLOOKUP($B2177,Premissas!$A$4:$E$7,3,0))+K2177*VLOOKUP($B2177,Premissas!$A$4:$E$7,4,0)+L2177*VLOOKUP($B2177,Premissas!$A$4:$E$7,5,0))</f>
        <v/>
      </c>
      <c r="N2177" s="14">
        <f>H2177-M2177</f>
        <v/>
      </c>
      <c r="O2177" t="inlineStr">
        <is>
          <t>Não</t>
        </is>
      </c>
      <c r="P2177" t="inlineStr">
        <is>
          <t>1.350</t>
        </is>
      </c>
    </row>
    <row r="2178">
      <c r="A2178" s="24" t="n">
        <v>46023</v>
      </c>
      <c r="B2178" t="inlineStr">
        <is>
          <t>Frete de venda</t>
        </is>
      </c>
      <c r="C2178" t="inlineStr">
        <is>
          <t>Frete de venda (para clientes)</t>
        </is>
      </c>
      <c r="D2178" t="inlineStr">
        <is>
          <t>CT-e</t>
        </is>
      </c>
      <c r="E2178" t="inlineStr">
        <is>
          <t>000006214</t>
        </is>
      </c>
      <c r="F2178" t="inlineStr">
        <is>
          <t>R&amp;R TRANSPORTE E LOGISTICA</t>
        </is>
      </c>
      <c r="G2178" s="27" t="n">
        <v>46044</v>
      </c>
      <c r="H2178" s="14" t="n">
        <v>18.56</v>
      </c>
      <c r="I2178" s="14" t="n">
        <v>0</v>
      </c>
      <c r="J2178" s="14" t="n">
        <v>0</v>
      </c>
      <c r="K2178" s="14" t="n">
        <v>0</v>
      </c>
      <c r="L2178" s="14" t="n">
        <v>0</v>
      </c>
      <c r="M2178" s="14">
        <f>IF(B2178="Frete de venda",0,(1-ISNUMBER(SEARCH("556",P2178)))*(I2178*VLOOKUP($B2178,Premissas!$A$4:$E$7,2,0)+J2178*VLOOKUP($B2178,Premissas!$A$4:$E$7,3,0))+K2178*VLOOKUP($B2178,Premissas!$A$4:$E$7,4,0)+L2178*VLOOKUP($B2178,Premissas!$A$4:$E$7,5,0))</f>
        <v/>
      </c>
      <c r="N2178" s="14">
        <f>H2178-M2178</f>
        <v/>
      </c>
      <c r="O2178" t="inlineStr">
        <is>
          <t>Não</t>
        </is>
      </c>
      <c r="P2178" t="inlineStr">
        <is>
          <t>1.350</t>
        </is>
      </c>
    </row>
    <row r="2179">
      <c r="A2179" s="24" t="n">
        <v>46023</v>
      </c>
      <c r="B2179" t="inlineStr">
        <is>
          <t>Frete de venda</t>
        </is>
      </c>
      <c r="C2179" t="inlineStr">
        <is>
          <t>Frete de venda (para clientes)</t>
        </is>
      </c>
      <c r="D2179" t="inlineStr">
        <is>
          <t>CT-e</t>
        </is>
      </c>
      <c r="E2179" t="inlineStr">
        <is>
          <t>000006237</t>
        </is>
      </c>
      <c r="F2179" t="inlineStr">
        <is>
          <t>R&amp;R TRANSPORTE E LOGISTICA</t>
        </is>
      </c>
      <c r="G2179" s="27" t="n">
        <v>46050</v>
      </c>
      <c r="H2179" s="14" t="n">
        <v>22.46</v>
      </c>
      <c r="I2179" s="14" t="n">
        <v>0</v>
      </c>
      <c r="J2179" s="14" t="n">
        <v>0</v>
      </c>
      <c r="K2179" s="14" t="n">
        <v>0</v>
      </c>
      <c r="L2179" s="14" t="n">
        <v>0</v>
      </c>
      <c r="M2179" s="14">
        <f>IF(B2179="Frete de venda",0,(1-ISNUMBER(SEARCH("556",P2179)))*(I2179*VLOOKUP($B2179,Premissas!$A$4:$E$7,2,0)+J2179*VLOOKUP($B2179,Premissas!$A$4:$E$7,3,0))+K2179*VLOOKUP($B2179,Premissas!$A$4:$E$7,4,0)+L2179*VLOOKUP($B2179,Premissas!$A$4:$E$7,5,0))</f>
        <v/>
      </c>
      <c r="N2179" s="14">
        <f>H2179-M2179</f>
        <v/>
      </c>
      <c r="O2179" t="inlineStr">
        <is>
          <t>Não</t>
        </is>
      </c>
      <c r="P2179" t="inlineStr">
        <is>
          <t>1.350</t>
        </is>
      </c>
    </row>
    <row r="2180">
      <c r="A2180" s="24" t="n">
        <v>46023</v>
      </c>
      <c r="B2180" t="inlineStr">
        <is>
          <t>Frete de venda</t>
        </is>
      </c>
      <c r="C2180" t="inlineStr">
        <is>
          <t>Frete de venda (para clientes)</t>
        </is>
      </c>
      <c r="D2180" t="inlineStr">
        <is>
          <t>CT-e</t>
        </is>
      </c>
      <c r="E2180" t="inlineStr">
        <is>
          <t>000006149</t>
        </is>
      </c>
      <c r="F2180" t="inlineStr">
        <is>
          <t>R&amp;R TRANSPORTE E LOGISTICA</t>
        </is>
      </c>
      <c r="G2180" s="27" t="n">
        <v>46036</v>
      </c>
      <c r="H2180" s="14" t="n">
        <v>48.22</v>
      </c>
      <c r="I2180" s="14" t="n">
        <v>0</v>
      </c>
      <c r="J2180" s="14" t="n">
        <v>0</v>
      </c>
      <c r="K2180" s="14" t="n">
        <v>0</v>
      </c>
      <c r="L2180" s="14" t="n">
        <v>0</v>
      </c>
      <c r="M2180" s="14">
        <f>IF(B2180="Frete de venda",0,(1-ISNUMBER(SEARCH("556",P2180)))*(I2180*VLOOKUP($B2180,Premissas!$A$4:$E$7,2,0)+J2180*VLOOKUP($B2180,Premissas!$A$4:$E$7,3,0))+K2180*VLOOKUP($B2180,Premissas!$A$4:$E$7,4,0)+L2180*VLOOKUP($B2180,Premissas!$A$4:$E$7,5,0))</f>
        <v/>
      </c>
      <c r="N2180" s="14">
        <f>H2180-M2180</f>
        <v/>
      </c>
      <c r="O2180" t="inlineStr">
        <is>
          <t>Não</t>
        </is>
      </c>
      <c r="P2180" t="inlineStr">
        <is>
          <t>1.350</t>
        </is>
      </c>
    </row>
    <row r="2181">
      <c r="A2181" s="24" t="n">
        <v>46023</v>
      </c>
      <c r="B2181" t="inlineStr">
        <is>
          <t>Frete de venda</t>
        </is>
      </c>
      <c r="C2181" t="inlineStr">
        <is>
          <t>Frete de venda (para clientes)</t>
        </is>
      </c>
      <c r="D2181" t="inlineStr">
        <is>
          <t>CT-e</t>
        </is>
      </c>
      <c r="E2181" t="inlineStr">
        <is>
          <t>000006140</t>
        </is>
      </c>
      <c r="F2181" t="inlineStr">
        <is>
          <t>R&amp;R TRANSPORTE E LOGISTICA</t>
        </is>
      </c>
      <c r="G2181" s="27" t="n">
        <v>46036</v>
      </c>
      <c r="H2181" s="14" t="n">
        <v>32.03</v>
      </c>
      <c r="I2181" s="14" t="n">
        <v>0</v>
      </c>
      <c r="J2181" s="14" t="n">
        <v>0</v>
      </c>
      <c r="K2181" s="14" t="n">
        <v>0</v>
      </c>
      <c r="L2181" s="14" t="n">
        <v>0</v>
      </c>
      <c r="M2181" s="14">
        <f>IF(B2181="Frete de venda",0,(1-ISNUMBER(SEARCH("556",P2181)))*(I2181*VLOOKUP($B2181,Premissas!$A$4:$E$7,2,0)+J2181*VLOOKUP($B2181,Premissas!$A$4:$E$7,3,0))+K2181*VLOOKUP($B2181,Premissas!$A$4:$E$7,4,0)+L2181*VLOOKUP($B2181,Premissas!$A$4:$E$7,5,0))</f>
        <v/>
      </c>
      <c r="N2181" s="14">
        <f>H2181-M2181</f>
        <v/>
      </c>
      <c r="O2181" t="inlineStr">
        <is>
          <t>Não</t>
        </is>
      </c>
      <c r="P2181" t="inlineStr">
        <is>
          <t>1.350</t>
        </is>
      </c>
    </row>
    <row r="2182">
      <c r="A2182" s="24" t="n">
        <v>46023</v>
      </c>
      <c r="B2182" t="inlineStr">
        <is>
          <t>Frete de venda</t>
        </is>
      </c>
      <c r="C2182" t="inlineStr">
        <is>
          <t>Frete de venda (para clientes)</t>
        </is>
      </c>
      <c r="D2182" t="inlineStr">
        <is>
          <t>CT-e</t>
        </is>
      </c>
      <c r="E2182" t="inlineStr">
        <is>
          <t>000006148</t>
        </is>
      </c>
      <c r="F2182" t="inlineStr">
        <is>
          <t>R&amp;R TRANSPORTE E LOGISTICA</t>
        </is>
      </c>
      <c r="G2182" s="27" t="n">
        <v>46036</v>
      </c>
      <c r="H2182" s="14" t="n">
        <v>14.71</v>
      </c>
      <c r="I2182" s="14" t="n">
        <v>0</v>
      </c>
      <c r="J2182" s="14" t="n">
        <v>0</v>
      </c>
      <c r="K2182" s="14" t="n">
        <v>0</v>
      </c>
      <c r="L2182" s="14" t="n">
        <v>0</v>
      </c>
      <c r="M2182" s="14">
        <f>IF(B2182="Frete de venda",0,(1-ISNUMBER(SEARCH("556",P2182)))*(I2182*VLOOKUP($B2182,Premissas!$A$4:$E$7,2,0)+J2182*VLOOKUP($B2182,Premissas!$A$4:$E$7,3,0))+K2182*VLOOKUP($B2182,Premissas!$A$4:$E$7,4,0)+L2182*VLOOKUP($B2182,Premissas!$A$4:$E$7,5,0))</f>
        <v/>
      </c>
      <c r="N2182" s="14">
        <f>H2182-M2182</f>
        <v/>
      </c>
      <c r="O2182" t="inlineStr">
        <is>
          <t>Não</t>
        </is>
      </c>
      <c r="P2182" t="inlineStr">
        <is>
          <t>1.350</t>
        </is>
      </c>
    </row>
    <row r="2183">
      <c r="A2183" s="24" t="n">
        <v>46023</v>
      </c>
      <c r="B2183" t="inlineStr">
        <is>
          <t>Frete de venda</t>
        </is>
      </c>
      <c r="C2183" t="inlineStr">
        <is>
          <t>Frete de venda (para clientes)</t>
        </is>
      </c>
      <c r="D2183" t="inlineStr">
        <is>
          <t>CT-e</t>
        </is>
      </c>
      <c r="E2183" t="inlineStr">
        <is>
          <t>000006258</t>
        </is>
      </c>
      <c r="F2183" t="inlineStr">
        <is>
          <t>R&amp;R TRANSPORTE E LOGISTICA</t>
        </is>
      </c>
      <c r="G2183" s="27" t="n">
        <v>46050</v>
      </c>
      <c r="H2183" s="14" t="n">
        <v>11.97</v>
      </c>
      <c r="I2183" s="14" t="n">
        <v>0</v>
      </c>
      <c r="J2183" s="14" t="n">
        <v>0</v>
      </c>
      <c r="K2183" s="14" t="n">
        <v>0</v>
      </c>
      <c r="L2183" s="14" t="n">
        <v>0</v>
      </c>
      <c r="M2183" s="14">
        <f>IF(B2183="Frete de venda",0,(1-ISNUMBER(SEARCH("556",P2183)))*(I2183*VLOOKUP($B2183,Premissas!$A$4:$E$7,2,0)+J2183*VLOOKUP($B2183,Premissas!$A$4:$E$7,3,0))+K2183*VLOOKUP($B2183,Premissas!$A$4:$E$7,4,0)+L2183*VLOOKUP($B2183,Premissas!$A$4:$E$7,5,0))</f>
        <v/>
      </c>
      <c r="N2183" s="14">
        <f>H2183-M2183</f>
        <v/>
      </c>
      <c r="O2183" t="inlineStr">
        <is>
          <t>Não</t>
        </is>
      </c>
      <c r="P2183" t="inlineStr">
        <is>
          <t>1.350</t>
        </is>
      </c>
    </row>
    <row r="2184">
      <c r="A2184" s="24" t="n">
        <v>46023</v>
      </c>
      <c r="B2184" t="inlineStr">
        <is>
          <t>Frete de venda</t>
        </is>
      </c>
      <c r="C2184" t="inlineStr">
        <is>
          <t>Frete de venda (para clientes)</t>
        </is>
      </c>
      <c r="D2184" t="inlineStr">
        <is>
          <t>CT-e</t>
        </is>
      </c>
      <c r="E2184" t="inlineStr">
        <is>
          <t>000006151</t>
        </is>
      </c>
      <c r="F2184" t="inlineStr">
        <is>
          <t>R&amp;R TRANSPORTE E LOGISTICA</t>
        </is>
      </c>
      <c r="G2184" s="27" t="n">
        <v>46036</v>
      </c>
      <c r="H2184" s="14" t="n">
        <v>17.83</v>
      </c>
      <c r="I2184" s="14" t="n">
        <v>0</v>
      </c>
      <c r="J2184" s="14" t="n">
        <v>0</v>
      </c>
      <c r="K2184" s="14" t="n">
        <v>0</v>
      </c>
      <c r="L2184" s="14" t="n">
        <v>0</v>
      </c>
      <c r="M2184" s="14">
        <f>IF(B2184="Frete de venda",0,(1-ISNUMBER(SEARCH("556",P2184)))*(I2184*VLOOKUP($B2184,Premissas!$A$4:$E$7,2,0)+J2184*VLOOKUP($B2184,Premissas!$A$4:$E$7,3,0))+K2184*VLOOKUP($B2184,Premissas!$A$4:$E$7,4,0)+L2184*VLOOKUP($B2184,Premissas!$A$4:$E$7,5,0))</f>
        <v/>
      </c>
      <c r="N2184" s="14">
        <f>H2184-M2184</f>
        <v/>
      </c>
      <c r="O2184" t="inlineStr">
        <is>
          <t>Não</t>
        </is>
      </c>
      <c r="P2184" t="inlineStr">
        <is>
          <t>1.350</t>
        </is>
      </c>
    </row>
    <row r="2185">
      <c r="A2185" s="24" t="n">
        <v>46023</v>
      </c>
      <c r="B2185" t="inlineStr">
        <is>
          <t>Frete de venda</t>
        </is>
      </c>
      <c r="C2185" t="inlineStr">
        <is>
          <t>Frete de venda (para clientes)</t>
        </is>
      </c>
      <c r="D2185" t="inlineStr">
        <is>
          <t>CT-e</t>
        </is>
      </c>
      <c r="E2185" t="inlineStr">
        <is>
          <t>000006195</t>
        </is>
      </c>
      <c r="F2185" t="inlineStr">
        <is>
          <t>R&amp;R TRANSPORTE E LOGISTICA</t>
        </is>
      </c>
      <c r="G2185" s="27" t="n">
        <v>46043</v>
      </c>
      <c r="H2185" s="14" t="n">
        <v>44.93</v>
      </c>
      <c r="I2185" s="14" t="n">
        <v>0</v>
      </c>
      <c r="J2185" s="14" t="n">
        <v>0</v>
      </c>
      <c r="K2185" s="14" t="n">
        <v>0</v>
      </c>
      <c r="L2185" s="14" t="n">
        <v>0</v>
      </c>
      <c r="M2185" s="14">
        <f>IF(B2185="Frete de venda",0,(1-ISNUMBER(SEARCH("556",P2185)))*(I2185*VLOOKUP($B2185,Premissas!$A$4:$E$7,2,0)+J2185*VLOOKUP($B2185,Premissas!$A$4:$E$7,3,0))+K2185*VLOOKUP($B2185,Premissas!$A$4:$E$7,4,0)+L2185*VLOOKUP($B2185,Premissas!$A$4:$E$7,5,0))</f>
        <v/>
      </c>
      <c r="N2185" s="14">
        <f>H2185-M2185</f>
        <v/>
      </c>
      <c r="O2185" t="inlineStr">
        <is>
          <t>Não</t>
        </is>
      </c>
      <c r="P2185" t="inlineStr">
        <is>
          <t>1.350</t>
        </is>
      </c>
    </row>
    <row r="2186">
      <c r="A2186" s="24" t="n">
        <v>46023</v>
      </c>
      <c r="B2186" t="inlineStr">
        <is>
          <t>Frete de venda</t>
        </is>
      </c>
      <c r="C2186" t="inlineStr">
        <is>
          <t>Frete de venda (para clientes)</t>
        </is>
      </c>
      <c r="D2186" t="inlineStr">
        <is>
          <t>CT-e</t>
        </is>
      </c>
      <c r="E2186" t="inlineStr">
        <is>
          <t>000023609</t>
        </is>
      </c>
      <c r="F2186" t="inlineStr">
        <is>
          <t>TRANSPORTE OLIVEIRA E MELLOI - IDEALIZA TRANSPORTES</t>
        </is>
      </c>
      <c r="G2186" s="27" t="n">
        <v>46029</v>
      </c>
      <c r="H2186" s="14" t="n">
        <v>286.48</v>
      </c>
      <c r="I2186" s="14" t="n">
        <v>0</v>
      </c>
      <c r="J2186" s="14" t="n">
        <v>34.38</v>
      </c>
      <c r="K2186" s="14" t="n">
        <v>0</v>
      </c>
      <c r="L2186" s="14" t="n">
        <v>0</v>
      </c>
      <c r="M2186" s="14">
        <f>IF(B2186="Frete de venda",0,(1-ISNUMBER(SEARCH("556",P2186)))*(I2186*VLOOKUP($B2186,Premissas!$A$4:$E$7,2,0)+J2186*VLOOKUP($B2186,Premissas!$A$4:$E$7,3,0))+K2186*VLOOKUP($B2186,Premissas!$A$4:$E$7,4,0)+L2186*VLOOKUP($B2186,Premissas!$A$4:$E$7,5,0))</f>
        <v/>
      </c>
      <c r="N2186" s="14">
        <f>H2186-M2186</f>
        <v/>
      </c>
      <c r="O2186" t="inlineStr">
        <is>
          <t>Sim</t>
        </is>
      </c>
      <c r="P2186" t="inlineStr">
        <is>
          <t>1.350</t>
        </is>
      </c>
    </row>
    <row r="2187">
      <c r="A2187" s="24" t="n">
        <v>46023</v>
      </c>
      <c r="B2187" t="inlineStr">
        <is>
          <t>Frete de venda</t>
        </is>
      </c>
      <c r="C2187" t="inlineStr">
        <is>
          <t>Frete de venda (para clientes)</t>
        </is>
      </c>
      <c r="D2187" t="inlineStr">
        <is>
          <t>CT-e</t>
        </is>
      </c>
      <c r="E2187" t="inlineStr">
        <is>
          <t>000006118</t>
        </is>
      </c>
      <c r="F2187" t="inlineStr">
        <is>
          <t>R&amp;R TRANSPORTE E LOGISTICA</t>
        </is>
      </c>
      <c r="G2187" s="27" t="n">
        <v>46030</v>
      </c>
      <c r="H2187" s="14" t="n">
        <v>84.09999999999999</v>
      </c>
      <c r="I2187" s="14" t="n">
        <v>0</v>
      </c>
      <c r="J2187" s="14" t="n">
        <v>0</v>
      </c>
      <c r="K2187" s="14" t="n">
        <v>0</v>
      </c>
      <c r="L2187" s="14" t="n">
        <v>0</v>
      </c>
      <c r="M2187" s="14">
        <f>IF(B2187="Frete de venda",0,(1-ISNUMBER(SEARCH("556",P2187)))*(I2187*VLOOKUP($B2187,Premissas!$A$4:$E$7,2,0)+J2187*VLOOKUP($B2187,Premissas!$A$4:$E$7,3,0))+K2187*VLOOKUP($B2187,Premissas!$A$4:$E$7,4,0)+L2187*VLOOKUP($B2187,Premissas!$A$4:$E$7,5,0))</f>
        <v/>
      </c>
      <c r="N2187" s="14">
        <f>H2187-M2187</f>
        <v/>
      </c>
      <c r="O2187" t="inlineStr">
        <is>
          <t>Não</t>
        </is>
      </c>
      <c r="P2187" t="inlineStr">
        <is>
          <t>1.350</t>
        </is>
      </c>
    </row>
    <row r="2188">
      <c r="A2188" s="24" t="n">
        <v>46023</v>
      </c>
      <c r="B2188" t="inlineStr">
        <is>
          <t>Frete de venda</t>
        </is>
      </c>
      <c r="C2188" t="inlineStr">
        <is>
          <t>Frete de venda (para clientes)</t>
        </is>
      </c>
      <c r="D2188" t="inlineStr">
        <is>
          <t>CT-e</t>
        </is>
      </c>
      <c r="E2188" t="inlineStr">
        <is>
          <t>000006270</t>
        </is>
      </c>
      <c r="F2188" t="inlineStr">
        <is>
          <t>R&amp;R TRANSPORTE E LOGISTICA</t>
        </is>
      </c>
      <c r="G2188" s="27" t="n">
        <v>46051</v>
      </c>
      <c r="H2188" s="14" t="n">
        <v>54.62</v>
      </c>
      <c r="I2188" s="14" t="n">
        <v>0</v>
      </c>
      <c r="J2188" s="14" t="n">
        <v>0</v>
      </c>
      <c r="K2188" s="14" t="n">
        <v>0</v>
      </c>
      <c r="L2188" s="14" t="n">
        <v>0</v>
      </c>
      <c r="M2188" s="14">
        <f>IF(B2188="Frete de venda",0,(1-ISNUMBER(SEARCH("556",P2188)))*(I2188*VLOOKUP($B2188,Premissas!$A$4:$E$7,2,0)+J2188*VLOOKUP($B2188,Premissas!$A$4:$E$7,3,0))+K2188*VLOOKUP($B2188,Premissas!$A$4:$E$7,4,0)+L2188*VLOOKUP($B2188,Premissas!$A$4:$E$7,5,0))</f>
        <v/>
      </c>
      <c r="N2188" s="14">
        <f>H2188-M2188</f>
        <v/>
      </c>
      <c r="O2188" t="inlineStr">
        <is>
          <t>Não</t>
        </is>
      </c>
      <c r="P2188" t="inlineStr">
        <is>
          <t>1.350</t>
        </is>
      </c>
    </row>
    <row r="2189">
      <c r="A2189" s="24" t="n">
        <v>46023</v>
      </c>
      <c r="B2189" t="inlineStr">
        <is>
          <t>Frete de venda</t>
        </is>
      </c>
      <c r="C2189" t="inlineStr">
        <is>
          <t>Frete de venda (para clientes)</t>
        </is>
      </c>
      <c r="D2189" t="inlineStr">
        <is>
          <t>CT-e</t>
        </is>
      </c>
      <c r="E2189" t="inlineStr">
        <is>
          <t>000006253</t>
        </is>
      </c>
      <c r="F2189" t="inlineStr">
        <is>
          <t>R&amp;R TRANSPORTE E LOGISTICA</t>
        </is>
      </c>
      <c r="G2189" s="27" t="n">
        <v>46050</v>
      </c>
      <c r="H2189" s="14" t="n">
        <v>11.6</v>
      </c>
      <c r="I2189" s="14" t="n">
        <v>0</v>
      </c>
      <c r="J2189" s="14" t="n">
        <v>0</v>
      </c>
      <c r="K2189" s="14" t="n">
        <v>0</v>
      </c>
      <c r="L2189" s="14" t="n">
        <v>0</v>
      </c>
      <c r="M2189" s="14">
        <f>IF(B2189="Frete de venda",0,(1-ISNUMBER(SEARCH("556",P2189)))*(I2189*VLOOKUP($B2189,Premissas!$A$4:$E$7,2,0)+J2189*VLOOKUP($B2189,Premissas!$A$4:$E$7,3,0))+K2189*VLOOKUP($B2189,Premissas!$A$4:$E$7,4,0)+L2189*VLOOKUP($B2189,Premissas!$A$4:$E$7,5,0))</f>
        <v/>
      </c>
      <c r="N2189" s="14">
        <f>H2189-M2189</f>
        <v/>
      </c>
      <c r="O2189" t="inlineStr">
        <is>
          <t>Não</t>
        </is>
      </c>
      <c r="P2189" t="inlineStr">
        <is>
          <t>1.350</t>
        </is>
      </c>
    </row>
    <row r="2190">
      <c r="A2190" s="24" t="n">
        <v>46023</v>
      </c>
      <c r="B2190" t="inlineStr">
        <is>
          <t>Frete de venda</t>
        </is>
      </c>
      <c r="C2190" t="inlineStr">
        <is>
          <t>Frete de venda (para clientes)</t>
        </is>
      </c>
      <c r="D2190" t="inlineStr">
        <is>
          <t>CT-e</t>
        </is>
      </c>
      <c r="E2190" t="inlineStr">
        <is>
          <t>000006294</t>
        </is>
      </c>
      <c r="F2190" t="inlineStr">
        <is>
          <t>R&amp;R TRANSPORTE E LOGISTICA</t>
        </is>
      </c>
      <c r="G2190" s="27" t="n">
        <v>46053</v>
      </c>
      <c r="H2190" s="14" t="n">
        <v>45</v>
      </c>
      <c r="I2190" s="14" t="n">
        <v>0</v>
      </c>
      <c r="J2190" s="14" t="n">
        <v>0</v>
      </c>
      <c r="K2190" s="14" t="n">
        <v>0</v>
      </c>
      <c r="L2190" s="14" t="n">
        <v>0</v>
      </c>
      <c r="M2190" s="14">
        <f>IF(B2190="Frete de venda",0,(1-ISNUMBER(SEARCH("556",P2190)))*(I2190*VLOOKUP($B2190,Premissas!$A$4:$E$7,2,0)+J2190*VLOOKUP($B2190,Premissas!$A$4:$E$7,3,0))+K2190*VLOOKUP($B2190,Premissas!$A$4:$E$7,4,0)+L2190*VLOOKUP($B2190,Premissas!$A$4:$E$7,5,0))</f>
        <v/>
      </c>
      <c r="N2190" s="14">
        <f>H2190-M2190</f>
        <v/>
      </c>
      <c r="O2190" t="inlineStr">
        <is>
          <t>Não</t>
        </is>
      </c>
      <c r="P2190" t="inlineStr">
        <is>
          <t>1.350</t>
        </is>
      </c>
    </row>
    <row r="2191">
      <c r="A2191" s="24" t="n">
        <v>46023</v>
      </c>
      <c r="B2191" t="inlineStr">
        <is>
          <t>Frete de venda</t>
        </is>
      </c>
      <c r="C2191" t="inlineStr">
        <is>
          <t>Frete de venda (para clientes)</t>
        </is>
      </c>
      <c r="D2191" t="inlineStr">
        <is>
          <t>CT-e</t>
        </is>
      </c>
      <c r="E2191" t="inlineStr">
        <is>
          <t>000006200</t>
        </is>
      </c>
      <c r="F2191" t="inlineStr">
        <is>
          <t>R&amp;R TRANSPORTE E LOGISTICA</t>
        </is>
      </c>
      <c r="G2191" s="27" t="n">
        <v>46043</v>
      </c>
      <c r="H2191" s="14" t="n">
        <v>47.27</v>
      </c>
      <c r="I2191" s="14" t="n">
        <v>0</v>
      </c>
      <c r="J2191" s="14" t="n">
        <v>0</v>
      </c>
      <c r="K2191" s="14" t="n">
        <v>0</v>
      </c>
      <c r="L2191" s="14" t="n">
        <v>0</v>
      </c>
      <c r="M2191" s="14">
        <f>IF(B2191="Frete de venda",0,(1-ISNUMBER(SEARCH("556",P2191)))*(I2191*VLOOKUP($B2191,Premissas!$A$4:$E$7,2,0)+J2191*VLOOKUP($B2191,Premissas!$A$4:$E$7,3,0))+K2191*VLOOKUP($B2191,Premissas!$A$4:$E$7,4,0)+L2191*VLOOKUP($B2191,Premissas!$A$4:$E$7,5,0))</f>
        <v/>
      </c>
      <c r="N2191" s="14">
        <f>H2191-M2191</f>
        <v/>
      </c>
      <c r="O2191" t="inlineStr">
        <is>
          <t>Não</t>
        </is>
      </c>
      <c r="P2191" t="inlineStr">
        <is>
          <t>1.350</t>
        </is>
      </c>
    </row>
    <row r="2192">
      <c r="A2192" s="24" t="n">
        <v>46023</v>
      </c>
      <c r="B2192" t="inlineStr">
        <is>
          <t>Frete de venda</t>
        </is>
      </c>
      <c r="C2192" t="inlineStr">
        <is>
          <t>Frete de venda (para clientes)</t>
        </is>
      </c>
      <c r="D2192" t="inlineStr">
        <is>
          <t>CT-e</t>
        </is>
      </c>
      <c r="E2192" t="inlineStr">
        <is>
          <t>000006144</t>
        </is>
      </c>
      <c r="F2192" t="inlineStr">
        <is>
          <t>R&amp;R TRANSPORTE E LOGISTICA</t>
        </is>
      </c>
      <c r="G2192" s="27" t="n">
        <v>46036</v>
      </c>
      <c r="H2192" s="14" t="n">
        <v>19.87</v>
      </c>
      <c r="I2192" s="14" t="n">
        <v>0</v>
      </c>
      <c r="J2192" s="14" t="n">
        <v>0</v>
      </c>
      <c r="K2192" s="14" t="n">
        <v>0</v>
      </c>
      <c r="L2192" s="14" t="n">
        <v>0</v>
      </c>
      <c r="M2192" s="14">
        <f>IF(B2192="Frete de venda",0,(1-ISNUMBER(SEARCH("556",P2192)))*(I2192*VLOOKUP($B2192,Premissas!$A$4:$E$7,2,0)+J2192*VLOOKUP($B2192,Premissas!$A$4:$E$7,3,0))+K2192*VLOOKUP($B2192,Premissas!$A$4:$E$7,4,0)+L2192*VLOOKUP($B2192,Premissas!$A$4:$E$7,5,0))</f>
        <v/>
      </c>
      <c r="N2192" s="14">
        <f>H2192-M2192</f>
        <v/>
      </c>
      <c r="O2192" t="inlineStr">
        <is>
          <t>Não</t>
        </is>
      </c>
      <c r="P2192" t="inlineStr">
        <is>
          <t>1.350</t>
        </is>
      </c>
    </row>
    <row r="2193">
      <c r="A2193" s="24" t="n">
        <v>46023</v>
      </c>
      <c r="B2193" t="inlineStr">
        <is>
          <t>Frete de venda</t>
        </is>
      </c>
      <c r="C2193" t="inlineStr">
        <is>
          <t>Frete de venda (para clientes)</t>
        </is>
      </c>
      <c r="D2193" t="inlineStr">
        <is>
          <t>CT-e</t>
        </is>
      </c>
      <c r="E2193" t="inlineStr">
        <is>
          <t>000006287</t>
        </is>
      </c>
      <c r="F2193" t="inlineStr">
        <is>
          <t>R&amp;R TRANSPORTE E LOGISTICA</t>
        </is>
      </c>
      <c r="G2193" s="27" t="n">
        <v>46053</v>
      </c>
      <c r="H2193" s="14" t="n">
        <v>25</v>
      </c>
      <c r="I2193" s="14" t="n">
        <v>0</v>
      </c>
      <c r="J2193" s="14" t="n">
        <v>0</v>
      </c>
      <c r="K2193" s="14" t="n">
        <v>0</v>
      </c>
      <c r="L2193" s="14" t="n">
        <v>0</v>
      </c>
      <c r="M2193" s="14">
        <f>IF(B2193="Frete de venda",0,(1-ISNUMBER(SEARCH("556",P2193)))*(I2193*VLOOKUP($B2193,Premissas!$A$4:$E$7,2,0)+J2193*VLOOKUP($B2193,Premissas!$A$4:$E$7,3,0))+K2193*VLOOKUP($B2193,Premissas!$A$4:$E$7,4,0)+L2193*VLOOKUP($B2193,Premissas!$A$4:$E$7,5,0))</f>
        <v/>
      </c>
      <c r="N2193" s="14">
        <f>H2193-M2193</f>
        <v/>
      </c>
      <c r="O2193" t="inlineStr">
        <is>
          <t>Não</t>
        </is>
      </c>
      <c r="P2193" t="inlineStr">
        <is>
          <t>1.350</t>
        </is>
      </c>
    </row>
    <row r="2194">
      <c r="A2194" s="24" t="n">
        <v>46023</v>
      </c>
      <c r="B2194" t="inlineStr">
        <is>
          <t>Frete de venda</t>
        </is>
      </c>
      <c r="C2194" t="inlineStr">
        <is>
          <t>Frete de venda (para clientes)</t>
        </is>
      </c>
      <c r="D2194" t="inlineStr">
        <is>
          <t>CT-e</t>
        </is>
      </c>
      <c r="E2194" t="inlineStr">
        <is>
          <t>000023610</t>
        </is>
      </c>
      <c r="F2194" t="inlineStr">
        <is>
          <t>TRANSPORTE OLIVEIRA E MELLOI - IDEALIZA TRANSPORTES</t>
        </is>
      </c>
      <c r="G2194" s="27" t="n">
        <v>46029</v>
      </c>
      <c r="H2194" s="14" t="n">
        <v>244.02</v>
      </c>
      <c r="I2194" s="14" t="n">
        <v>0</v>
      </c>
      <c r="J2194" s="14" t="n">
        <v>29.28</v>
      </c>
      <c r="K2194" s="14" t="n">
        <v>0</v>
      </c>
      <c r="L2194" s="14" t="n">
        <v>0</v>
      </c>
      <c r="M2194" s="14">
        <f>IF(B2194="Frete de venda",0,(1-ISNUMBER(SEARCH("556",P2194)))*(I2194*VLOOKUP($B2194,Premissas!$A$4:$E$7,2,0)+J2194*VLOOKUP($B2194,Premissas!$A$4:$E$7,3,0))+K2194*VLOOKUP($B2194,Premissas!$A$4:$E$7,4,0)+L2194*VLOOKUP($B2194,Premissas!$A$4:$E$7,5,0))</f>
        <v/>
      </c>
      <c r="N2194" s="14">
        <f>H2194-M2194</f>
        <v/>
      </c>
      <c r="O2194" t="inlineStr">
        <is>
          <t>Sim</t>
        </is>
      </c>
      <c r="P2194" t="inlineStr">
        <is>
          <t>1.350</t>
        </is>
      </c>
    </row>
    <row r="2195">
      <c r="A2195" s="24" t="n">
        <v>46023</v>
      </c>
      <c r="B2195" t="inlineStr">
        <is>
          <t>Frete de venda</t>
        </is>
      </c>
      <c r="C2195" t="inlineStr">
        <is>
          <t>Frete de venda (para clientes)</t>
        </is>
      </c>
      <c r="D2195" t="inlineStr">
        <is>
          <t>CT-e</t>
        </is>
      </c>
      <c r="E2195" t="inlineStr">
        <is>
          <t>000023607</t>
        </is>
      </c>
      <c r="F2195" t="inlineStr">
        <is>
          <t>TRANSPORTE OLIVEIRA E MELLOI - IDEALIZA TRANSPORTES</t>
        </is>
      </c>
      <c r="G2195" s="27" t="n">
        <v>46029</v>
      </c>
      <c r="H2195" s="14" t="n">
        <v>953.8099999999999</v>
      </c>
      <c r="I2195" s="14" t="n">
        <v>0</v>
      </c>
      <c r="J2195" s="14" t="n">
        <v>114.46</v>
      </c>
      <c r="K2195" s="14" t="n">
        <v>0</v>
      </c>
      <c r="L2195" s="14" t="n">
        <v>0</v>
      </c>
      <c r="M2195" s="14">
        <f>IF(B2195="Frete de venda",0,(1-ISNUMBER(SEARCH("556",P2195)))*(I2195*VLOOKUP($B2195,Premissas!$A$4:$E$7,2,0)+J2195*VLOOKUP($B2195,Premissas!$A$4:$E$7,3,0))+K2195*VLOOKUP($B2195,Premissas!$A$4:$E$7,4,0)+L2195*VLOOKUP($B2195,Premissas!$A$4:$E$7,5,0))</f>
        <v/>
      </c>
      <c r="N2195" s="14">
        <f>H2195-M2195</f>
        <v/>
      </c>
      <c r="O2195" t="inlineStr">
        <is>
          <t>Sim</t>
        </is>
      </c>
      <c r="P2195" t="inlineStr">
        <is>
          <t>1.350</t>
        </is>
      </c>
    </row>
    <row r="2196">
      <c r="A2196" s="24" t="n">
        <v>46023</v>
      </c>
      <c r="B2196" t="inlineStr">
        <is>
          <t>Frete de venda</t>
        </is>
      </c>
      <c r="C2196" t="inlineStr">
        <is>
          <t>Frete de venda (para clientes)</t>
        </is>
      </c>
      <c r="D2196" t="inlineStr">
        <is>
          <t>CT-e</t>
        </is>
      </c>
      <c r="E2196" t="inlineStr">
        <is>
          <t>000006239</t>
        </is>
      </c>
      <c r="F2196" t="inlineStr">
        <is>
          <t>R&amp;R TRANSPORTE E LOGISTICA</t>
        </is>
      </c>
      <c r="G2196" s="27" t="n">
        <v>46050</v>
      </c>
      <c r="H2196" s="14" t="n">
        <v>23.05</v>
      </c>
      <c r="I2196" s="14" t="n">
        <v>0</v>
      </c>
      <c r="J2196" s="14" t="n">
        <v>0</v>
      </c>
      <c r="K2196" s="14" t="n">
        <v>0</v>
      </c>
      <c r="L2196" s="14" t="n">
        <v>0</v>
      </c>
      <c r="M2196" s="14">
        <f>IF(B2196="Frete de venda",0,(1-ISNUMBER(SEARCH("556",P2196)))*(I2196*VLOOKUP($B2196,Premissas!$A$4:$E$7,2,0)+J2196*VLOOKUP($B2196,Premissas!$A$4:$E$7,3,0))+K2196*VLOOKUP($B2196,Premissas!$A$4:$E$7,4,0)+L2196*VLOOKUP($B2196,Premissas!$A$4:$E$7,5,0))</f>
        <v/>
      </c>
      <c r="N2196" s="14">
        <f>H2196-M2196</f>
        <v/>
      </c>
      <c r="O2196" t="inlineStr">
        <is>
          <t>Não</t>
        </is>
      </c>
      <c r="P2196" t="inlineStr">
        <is>
          <t>1.350</t>
        </is>
      </c>
    </row>
    <row r="2197">
      <c r="A2197" s="24" t="n">
        <v>46023</v>
      </c>
      <c r="B2197" t="inlineStr">
        <is>
          <t>Frete de venda</t>
        </is>
      </c>
      <c r="C2197" t="inlineStr">
        <is>
          <t>Frete de venda (para clientes)</t>
        </is>
      </c>
      <c r="D2197" t="inlineStr">
        <is>
          <t>CT-e</t>
        </is>
      </c>
      <c r="E2197" t="inlineStr">
        <is>
          <t>000000604</t>
        </is>
      </c>
      <c r="F2197" t="inlineStr">
        <is>
          <t>REIMAG - REINALDO DOMINGUES BARROS DA SILVA</t>
        </is>
      </c>
      <c r="G2197" s="27" t="n">
        <v>46037</v>
      </c>
      <c r="H2197" s="14" t="n">
        <v>375</v>
      </c>
      <c r="I2197" s="14" t="n">
        <v>0</v>
      </c>
      <c r="J2197" s="14" t="n">
        <v>0</v>
      </c>
      <c r="K2197" s="14" t="n">
        <v>0</v>
      </c>
      <c r="L2197" s="14" t="n">
        <v>0</v>
      </c>
      <c r="M2197" s="14">
        <f>IF(B2197="Frete de venda",0,(1-ISNUMBER(SEARCH("556",P2197)))*(I2197*VLOOKUP($B2197,Premissas!$A$4:$E$7,2,0)+J2197*VLOOKUP($B2197,Premissas!$A$4:$E$7,3,0))+K2197*VLOOKUP($B2197,Premissas!$A$4:$E$7,4,0)+L2197*VLOOKUP($B2197,Premissas!$A$4:$E$7,5,0))</f>
        <v/>
      </c>
      <c r="N2197" s="14">
        <f>H2197-M2197</f>
        <v/>
      </c>
      <c r="O2197" t="inlineStr">
        <is>
          <t>Sim</t>
        </is>
      </c>
      <c r="P2197" t="inlineStr">
        <is>
          <t>1.350</t>
        </is>
      </c>
    </row>
    <row r="2198">
      <c r="A2198" s="24" t="n">
        <v>46023</v>
      </c>
      <c r="B2198" t="inlineStr">
        <is>
          <t>Frete de venda</t>
        </is>
      </c>
      <c r="C2198" t="inlineStr">
        <is>
          <t>Frete de venda (para clientes)</t>
        </is>
      </c>
      <c r="D2198" t="inlineStr">
        <is>
          <t>CT-e</t>
        </is>
      </c>
      <c r="E2198" t="inlineStr">
        <is>
          <t>000006180</t>
        </is>
      </c>
      <c r="F2198" t="inlineStr">
        <is>
          <t>R&amp;R TRANSPORTE E LOGISTICA</t>
        </is>
      </c>
      <c r="G2198" s="27" t="n">
        <v>46039</v>
      </c>
      <c r="H2198" s="14" t="n">
        <v>49.8</v>
      </c>
      <c r="I2198" s="14" t="n">
        <v>0</v>
      </c>
      <c r="J2198" s="14" t="n">
        <v>0</v>
      </c>
      <c r="K2198" s="14" t="n">
        <v>0</v>
      </c>
      <c r="L2198" s="14" t="n">
        <v>0</v>
      </c>
      <c r="M2198" s="14">
        <f>IF(B2198="Frete de venda",0,(1-ISNUMBER(SEARCH("556",P2198)))*(I2198*VLOOKUP($B2198,Premissas!$A$4:$E$7,2,0)+J2198*VLOOKUP($B2198,Premissas!$A$4:$E$7,3,0))+K2198*VLOOKUP($B2198,Premissas!$A$4:$E$7,4,0)+L2198*VLOOKUP($B2198,Premissas!$A$4:$E$7,5,0))</f>
        <v/>
      </c>
      <c r="N2198" s="14">
        <f>H2198-M2198</f>
        <v/>
      </c>
      <c r="O2198" t="inlineStr">
        <is>
          <t>Não</t>
        </is>
      </c>
      <c r="P2198" t="inlineStr">
        <is>
          <t>1.350</t>
        </is>
      </c>
    </row>
    <row r="2199">
      <c r="A2199" s="24" t="n">
        <v>46023</v>
      </c>
      <c r="B2199" t="inlineStr">
        <is>
          <t>Frete de venda</t>
        </is>
      </c>
      <c r="C2199" t="inlineStr">
        <is>
          <t>Frete de venda (para clientes)</t>
        </is>
      </c>
      <c r="D2199" t="inlineStr">
        <is>
          <t>CT-e</t>
        </is>
      </c>
      <c r="E2199" t="inlineStr">
        <is>
          <t>000000608</t>
        </is>
      </c>
      <c r="F2199" t="inlineStr">
        <is>
          <t>REIMAG - REINALDO DOMINGUES BARROS DA SILVA</t>
        </is>
      </c>
      <c r="G2199" s="27" t="n">
        <v>46044</v>
      </c>
      <c r="H2199" s="14" t="n">
        <v>900</v>
      </c>
      <c r="I2199" s="14" t="n">
        <v>0</v>
      </c>
      <c r="J2199" s="14" t="n">
        <v>0</v>
      </c>
      <c r="K2199" s="14" t="n">
        <v>0</v>
      </c>
      <c r="L2199" s="14" t="n">
        <v>0</v>
      </c>
      <c r="M2199" s="14">
        <f>IF(B2199="Frete de venda",0,(1-ISNUMBER(SEARCH("556",P2199)))*(I2199*VLOOKUP($B2199,Premissas!$A$4:$E$7,2,0)+J2199*VLOOKUP($B2199,Premissas!$A$4:$E$7,3,0))+K2199*VLOOKUP($B2199,Premissas!$A$4:$E$7,4,0)+L2199*VLOOKUP($B2199,Premissas!$A$4:$E$7,5,0))</f>
        <v/>
      </c>
      <c r="N2199" s="14">
        <f>H2199-M2199</f>
        <v/>
      </c>
      <c r="O2199" t="inlineStr">
        <is>
          <t>Sim</t>
        </is>
      </c>
      <c r="P2199" t="inlineStr">
        <is>
          <t>1.350</t>
        </is>
      </c>
    </row>
    <row r="2200">
      <c r="A2200" s="24" t="n">
        <v>46023</v>
      </c>
      <c r="B2200" t="inlineStr">
        <is>
          <t>Frete de venda</t>
        </is>
      </c>
      <c r="C2200" t="inlineStr">
        <is>
          <t>Frete de venda (para clientes)</t>
        </is>
      </c>
      <c r="D2200" t="inlineStr">
        <is>
          <t>CT-e</t>
        </is>
      </c>
      <c r="E2200" t="inlineStr">
        <is>
          <t>000006104</t>
        </is>
      </c>
      <c r="F2200" t="inlineStr">
        <is>
          <t>R&amp;R TRANSPORTE E LOGISTICA</t>
        </is>
      </c>
      <c r="G2200" s="27" t="n">
        <v>46027</v>
      </c>
      <c r="H2200" s="14" t="n">
        <v>500</v>
      </c>
      <c r="I2200" s="14" t="n">
        <v>0</v>
      </c>
      <c r="J2200" s="14" t="n">
        <v>0</v>
      </c>
      <c r="K2200" s="14" t="n">
        <v>0</v>
      </c>
      <c r="L2200" s="14" t="n">
        <v>0</v>
      </c>
      <c r="M2200" s="14">
        <f>IF(B2200="Frete de venda",0,(1-ISNUMBER(SEARCH("556",P2200)))*(I2200*VLOOKUP($B2200,Premissas!$A$4:$E$7,2,0)+J2200*VLOOKUP($B2200,Premissas!$A$4:$E$7,3,0))+K2200*VLOOKUP($B2200,Premissas!$A$4:$E$7,4,0)+L2200*VLOOKUP($B2200,Premissas!$A$4:$E$7,5,0))</f>
        <v/>
      </c>
      <c r="N2200" s="14">
        <f>H2200-M2200</f>
        <v/>
      </c>
      <c r="O2200" t="inlineStr">
        <is>
          <t>Não</t>
        </is>
      </c>
      <c r="P2200" t="inlineStr">
        <is>
          <t>1.350</t>
        </is>
      </c>
    </row>
    <row r="2201">
      <c r="A2201" s="24" t="n">
        <v>46023</v>
      </c>
      <c r="B2201" t="inlineStr">
        <is>
          <t>Frete de venda</t>
        </is>
      </c>
      <c r="C2201" t="inlineStr">
        <is>
          <t>Frete de venda (para clientes)</t>
        </is>
      </c>
      <c r="D2201" t="inlineStr">
        <is>
          <t>CT-e</t>
        </is>
      </c>
      <c r="E2201" t="inlineStr">
        <is>
          <t>000006218</t>
        </is>
      </c>
      <c r="F2201" t="inlineStr">
        <is>
          <t>R&amp;R TRANSPORTE E LOGISTICA</t>
        </is>
      </c>
      <c r="G2201" s="27" t="n">
        <v>46044</v>
      </c>
      <c r="H2201" s="14" t="n">
        <v>20.18</v>
      </c>
      <c r="I2201" s="14" t="n">
        <v>0</v>
      </c>
      <c r="J2201" s="14" t="n">
        <v>0</v>
      </c>
      <c r="K2201" s="14" t="n">
        <v>0</v>
      </c>
      <c r="L2201" s="14" t="n">
        <v>0</v>
      </c>
      <c r="M2201" s="14">
        <f>IF(B2201="Frete de venda",0,(1-ISNUMBER(SEARCH("556",P2201)))*(I2201*VLOOKUP($B2201,Premissas!$A$4:$E$7,2,0)+J2201*VLOOKUP($B2201,Premissas!$A$4:$E$7,3,0))+K2201*VLOOKUP($B2201,Premissas!$A$4:$E$7,4,0)+L2201*VLOOKUP($B2201,Premissas!$A$4:$E$7,5,0))</f>
        <v/>
      </c>
      <c r="N2201" s="14">
        <f>H2201-M2201</f>
        <v/>
      </c>
      <c r="O2201" t="inlineStr">
        <is>
          <t>Não</t>
        </is>
      </c>
      <c r="P2201" t="inlineStr">
        <is>
          <t>1.350</t>
        </is>
      </c>
    </row>
    <row r="2202">
      <c r="A2202" s="24" t="n">
        <v>46023</v>
      </c>
      <c r="B2202" t="inlineStr">
        <is>
          <t>Frete de venda</t>
        </is>
      </c>
      <c r="C2202" t="inlineStr">
        <is>
          <t>Frete de venda (para clientes)</t>
        </is>
      </c>
      <c r="D2202" t="inlineStr">
        <is>
          <t>CT-e</t>
        </is>
      </c>
      <c r="E2202" t="inlineStr">
        <is>
          <t>000006216</t>
        </is>
      </c>
      <c r="F2202" t="inlineStr">
        <is>
          <t>R&amp;R TRANSPORTE E LOGISTICA</t>
        </is>
      </c>
      <c r="G2202" s="27" t="n">
        <v>46044</v>
      </c>
      <c r="H2202" s="14" t="n">
        <v>61.12</v>
      </c>
      <c r="I2202" s="14" t="n">
        <v>0</v>
      </c>
      <c r="J2202" s="14" t="n">
        <v>0</v>
      </c>
      <c r="K2202" s="14" t="n">
        <v>0</v>
      </c>
      <c r="L2202" s="14" t="n">
        <v>0</v>
      </c>
      <c r="M2202" s="14">
        <f>IF(B2202="Frete de venda",0,(1-ISNUMBER(SEARCH("556",P2202)))*(I2202*VLOOKUP($B2202,Premissas!$A$4:$E$7,2,0)+J2202*VLOOKUP($B2202,Premissas!$A$4:$E$7,3,0))+K2202*VLOOKUP($B2202,Premissas!$A$4:$E$7,4,0)+L2202*VLOOKUP($B2202,Premissas!$A$4:$E$7,5,0))</f>
        <v/>
      </c>
      <c r="N2202" s="14">
        <f>H2202-M2202</f>
        <v/>
      </c>
      <c r="O2202" t="inlineStr">
        <is>
          <t>Não</t>
        </is>
      </c>
      <c r="P2202" t="inlineStr">
        <is>
          <t>1.350</t>
        </is>
      </c>
    </row>
    <row r="2203">
      <c r="A2203" s="24" t="n">
        <v>46023</v>
      </c>
      <c r="B2203" t="inlineStr">
        <is>
          <t>Frete de venda</t>
        </is>
      </c>
      <c r="C2203" t="inlineStr">
        <is>
          <t>Frete de venda (para clientes)</t>
        </is>
      </c>
      <c r="D2203" t="inlineStr">
        <is>
          <t>CT-e</t>
        </is>
      </c>
      <c r="E2203" t="inlineStr">
        <is>
          <t>000006268</t>
        </is>
      </c>
      <c r="F2203" t="inlineStr">
        <is>
          <t>R&amp;R TRANSPORTE E LOGISTICA</t>
        </is>
      </c>
      <c r="G2203" s="27" t="n">
        <v>46051</v>
      </c>
      <c r="H2203" s="14" t="n">
        <v>35.55</v>
      </c>
      <c r="I2203" s="14" t="n">
        <v>0</v>
      </c>
      <c r="J2203" s="14" t="n">
        <v>0</v>
      </c>
      <c r="K2203" s="14" t="n">
        <v>0</v>
      </c>
      <c r="L2203" s="14" t="n">
        <v>0</v>
      </c>
      <c r="M2203" s="14">
        <f>IF(B2203="Frete de venda",0,(1-ISNUMBER(SEARCH("556",P2203)))*(I2203*VLOOKUP($B2203,Premissas!$A$4:$E$7,2,0)+J2203*VLOOKUP($B2203,Premissas!$A$4:$E$7,3,0))+K2203*VLOOKUP($B2203,Premissas!$A$4:$E$7,4,0)+L2203*VLOOKUP($B2203,Premissas!$A$4:$E$7,5,0))</f>
        <v/>
      </c>
      <c r="N2203" s="14">
        <f>H2203-M2203</f>
        <v/>
      </c>
      <c r="O2203" t="inlineStr">
        <is>
          <t>Não</t>
        </is>
      </c>
      <c r="P2203" t="inlineStr">
        <is>
          <t>1.350</t>
        </is>
      </c>
    </row>
    <row r="2204">
      <c r="A2204" s="24" t="n">
        <v>46023</v>
      </c>
      <c r="B2204" t="inlineStr">
        <is>
          <t>Frete de venda</t>
        </is>
      </c>
      <c r="C2204" t="inlineStr">
        <is>
          <t>Frete de venda (para clientes)</t>
        </is>
      </c>
      <c r="D2204" t="inlineStr">
        <is>
          <t>CT-e</t>
        </is>
      </c>
      <c r="E2204" t="inlineStr">
        <is>
          <t>000006242</t>
        </is>
      </c>
      <c r="F2204" t="inlineStr">
        <is>
          <t>R&amp;R TRANSPORTE E LOGISTICA</t>
        </is>
      </c>
      <c r="G2204" s="27" t="n">
        <v>46050</v>
      </c>
      <c r="H2204" s="14" t="n">
        <v>9.800000000000001</v>
      </c>
      <c r="I2204" s="14" t="n">
        <v>0</v>
      </c>
      <c r="J2204" s="14" t="n">
        <v>0</v>
      </c>
      <c r="K2204" s="14" t="n">
        <v>0</v>
      </c>
      <c r="L2204" s="14" t="n">
        <v>0</v>
      </c>
      <c r="M2204" s="14">
        <f>IF(B2204="Frete de venda",0,(1-ISNUMBER(SEARCH("556",P2204)))*(I2204*VLOOKUP($B2204,Premissas!$A$4:$E$7,2,0)+J2204*VLOOKUP($B2204,Premissas!$A$4:$E$7,3,0))+K2204*VLOOKUP($B2204,Premissas!$A$4:$E$7,4,0)+L2204*VLOOKUP($B2204,Premissas!$A$4:$E$7,5,0))</f>
        <v/>
      </c>
      <c r="N2204" s="14">
        <f>H2204-M2204</f>
        <v/>
      </c>
      <c r="O2204" t="inlineStr">
        <is>
          <t>Não</t>
        </is>
      </c>
      <c r="P2204" t="inlineStr">
        <is>
          <t>1.350</t>
        </is>
      </c>
    </row>
    <row r="2205">
      <c r="A2205" s="24" t="n">
        <v>46023</v>
      </c>
      <c r="B2205" t="inlineStr">
        <is>
          <t>Frete de venda</t>
        </is>
      </c>
      <c r="C2205" t="inlineStr">
        <is>
          <t>Frete de venda (para clientes)</t>
        </is>
      </c>
      <c r="D2205" t="inlineStr">
        <is>
          <t>CT-e</t>
        </is>
      </c>
      <c r="E2205" t="inlineStr">
        <is>
          <t>000006203</t>
        </is>
      </c>
      <c r="F2205" t="inlineStr">
        <is>
          <t>R&amp;R TRANSPORTE E LOGISTICA</t>
        </is>
      </c>
      <c r="G2205" s="27" t="n">
        <v>46043</v>
      </c>
      <c r="H2205" s="14" t="n">
        <v>34.14</v>
      </c>
      <c r="I2205" s="14" t="n">
        <v>0</v>
      </c>
      <c r="J2205" s="14" t="n">
        <v>0</v>
      </c>
      <c r="K2205" s="14" t="n">
        <v>0</v>
      </c>
      <c r="L2205" s="14" t="n">
        <v>0</v>
      </c>
      <c r="M2205" s="14">
        <f>IF(B2205="Frete de venda",0,(1-ISNUMBER(SEARCH("556",P2205)))*(I2205*VLOOKUP($B2205,Premissas!$A$4:$E$7,2,0)+J2205*VLOOKUP($B2205,Premissas!$A$4:$E$7,3,0))+K2205*VLOOKUP($B2205,Premissas!$A$4:$E$7,4,0)+L2205*VLOOKUP($B2205,Premissas!$A$4:$E$7,5,0))</f>
        <v/>
      </c>
      <c r="N2205" s="14">
        <f>H2205-M2205</f>
        <v/>
      </c>
      <c r="O2205" t="inlineStr">
        <is>
          <t>Não</t>
        </is>
      </c>
      <c r="P2205" t="inlineStr">
        <is>
          <t>1.350</t>
        </is>
      </c>
    </row>
    <row r="2206">
      <c r="A2206" s="24" t="n">
        <v>46023</v>
      </c>
      <c r="B2206" t="inlineStr">
        <is>
          <t>Frete de venda</t>
        </is>
      </c>
      <c r="C2206" t="inlineStr">
        <is>
          <t>Frete de venda (para clientes)</t>
        </is>
      </c>
      <c r="D2206" t="inlineStr">
        <is>
          <t>CT-e</t>
        </is>
      </c>
      <c r="E2206" t="inlineStr">
        <is>
          <t>000006131</t>
        </is>
      </c>
      <c r="F2206" t="inlineStr">
        <is>
          <t>R&amp;R TRANSPORTE E LOGISTICA</t>
        </is>
      </c>
      <c r="G2206" s="27" t="n">
        <v>46034</v>
      </c>
      <c r="H2206" s="14" t="n">
        <v>252.35</v>
      </c>
      <c r="I2206" s="14" t="n">
        <v>0</v>
      </c>
      <c r="J2206" s="14" t="n">
        <v>0</v>
      </c>
      <c r="K2206" s="14" t="n">
        <v>0</v>
      </c>
      <c r="L2206" s="14" t="n">
        <v>0</v>
      </c>
      <c r="M2206" s="14">
        <f>IF(B2206="Frete de venda",0,(1-ISNUMBER(SEARCH("556",P2206)))*(I2206*VLOOKUP($B2206,Premissas!$A$4:$E$7,2,0)+J2206*VLOOKUP($B2206,Premissas!$A$4:$E$7,3,0))+K2206*VLOOKUP($B2206,Premissas!$A$4:$E$7,4,0)+L2206*VLOOKUP($B2206,Premissas!$A$4:$E$7,5,0))</f>
        <v/>
      </c>
      <c r="N2206" s="14">
        <f>H2206-M2206</f>
        <v/>
      </c>
      <c r="O2206" t="inlineStr">
        <is>
          <t>Não</t>
        </is>
      </c>
      <c r="P2206" t="inlineStr">
        <is>
          <t>1.350</t>
        </is>
      </c>
    </row>
    <row r="2207">
      <c r="A2207" s="24" t="n">
        <v>46023</v>
      </c>
      <c r="B2207" t="inlineStr">
        <is>
          <t>Frete de venda</t>
        </is>
      </c>
      <c r="C2207" t="inlineStr">
        <is>
          <t>Frete de venda (para clientes)</t>
        </is>
      </c>
      <c r="D2207" t="inlineStr">
        <is>
          <t>CT-e</t>
        </is>
      </c>
      <c r="E2207" t="inlineStr">
        <is>
          <t>000006198</t>
        </is>
      </c>
      <c r="F2207" t="inlineStr">
        <is>
          <t>R&amp;R TRANSPORTE E LOGISTICA</t>
        </is>
      </c>
      <c r="G2207" s="27" t="n">
        <v>46043</v>
      </c>
      <c r="H2207" s="14" t="n">
        <v>20.54</v>
      </c>
      <c r="I2207" s="14" t="n">
        <v>0</v>
      </c>
      <c r="J2207" s="14" t="n">
        <v>0</v>
      </c>
      <c r="K2207" s="14" t="n">
        <v>0</v>
      </c>
      <c r="L2207" s="14" t="n">
        <v>0</v>
      </c>
      <c r="M2207" s="14">
        <f>IF(B2207="Frete de venda",0,(1-ISNUMBER(SEARCH("556",P2207)))*(I2207*VLOOKUP($B2207,Premissas!$A$4:$E$7,2,0)+J2207*VLOOKUP($B2207,Premissas!$A$4:$E$7,3,0))+K2207*VLOOKUP($B2207,Premissas!$A$4:$E$7,4,0)+L2207*VLOOKUP($B2207,Premissas!$A$4:$E$7,5,0))</f>
        <v/>
      </c>
      <c r="N2207" s="14">
        <f>H2207-M2207</f>
        <v/>
      </c>
      <c r="O2207" t="inlineStr">
        <is>
          <t>Não</t>
        </is>
      </c>
      <c r="P2207" t="inlineStr">
        <is>
          <t>1.350</t>
        </is>
      </c>
    </row>
    <row r="2208">
      <c r="A2208" s="24" t="n">
        <v>46023</v>
      </c>
      <c r="B2208" t="inlineStr">
        <is>
          <t>Frete de venda</t>
        </is>
      </c>
      <c r="C2208" t="inlineStr">
        <is>
          <t>Frete de venda (para clientes)</t>
        </is>
      </c>
      <c r="D2208" t="inlineStr">
        <is>
          <t>CT-e</t>
        </is>
      </c>
      <c r="E2208" t="inlineStr">
        <is>
          <t>000006284</t>
        </is>
      </c>
      <c r="F2208" t="inlineStr">
        <is>
          <t>R&amp;R TRANSPORTE E LOGISTICA</t>
        </is>
      </c>
      <c r="G2208" s="27" t="n">
        <v>46053</v>
      </c>
      <c r="H2208" s="14" t="n">
        <v>107.99</v>
      </c>
      <c r="I2208" s="14" t="n">
        <v>0</v>
      </c>
      <c r="J2208" s="14" t="n">
        <v>0</v>
      </c>
      <c r="K2208" s="14" t="n">
        <v>0</v>
      </c>
      <c r="L2208" s="14" t="n">
        <v>0</v>
      </c>
      <c r="M2208" s="14">
        <f>IF(B2208="Frete de venda",0,(1-ISNUMBER(SEARCH("556",P2208)))*(I2208*VLOOKUP($B2208,Premissas!$A$4:$E$7,2,0)+J2208*VLOOKUP($B2208,Premissas!$A$4:$E$7,3,0))+K2208*VLOOKUP($B2208,Premissas!$A$4:$E$7,4,0)+L2208*VLOOKUP($B2208,Premissas!$A$4:$E$7,5,0))</f>
        <v/>
      </c>
      <c r="N2208" s="14">
        <f>H2208-M2208</f>
        <v/>
      </c>
      <c r="O2208" t="inlineStr">
        <is>
          <t>Não</t>
        </is>
      </c>
      <c r="P2208" t="inlineStr">
        <is>
          <t>1.350</t>
        </is>
      </c>
    </row>
    <row r="2209">
      <c r="A2209" s="24" t="n">
        <v>46023</v>
      </c>
      <c r="B2209" t="inlineStr">
        <is>
          <t>Frete de venda</t>
        </is>
      </c>
      <c r="C2209" t="inlineStr">
        <is>
          <t>Frete de venda (para clientes)</t>
        </is>
      </c>
      <c r="D2209" t="inlineStr">
        <is>
          <t>CT-e</t>
        </is>
      </c>
      <c r="E2209" t="inlineStr">
        <is>
          <t>000006139</t>
        </is>
      </c>
      <c r="F2209" t="inlineStr">
        <is>
          <t>R&amp;R TRANSPORTE E LOGISTICA</t>
        </is>
      </c>
      <c r="G2209" s="27" t="n">
        <v>46036</v>
      </c>
      <c r="H2209" s="14" t="n">
        <v>26.27</v>
      </c>
      <c r="I2209" s="14" t="n">
        <v>0</v>
      </c>
      <c r="J2209" s="14" t="n">
        <v>0</v>
      </c>
      <c r="K2209" s="14" t="n">
        <v>0</v>
      </c>
      <c r="L2209" s="14" t="n">
        <v>0</v>
      </c>
      <c r="M2209" s="14">
        <f>IF(B2209="Frete de venda",0,(1-ISNUMBER(SEARCH("556",P2209)))*(I2209*VLOOKUP($B2209,Premissas!$A$4:$E$7,2,0)+J2209*VLOOKUP($B2209,Premissas!$A$4:$E$7,3,0))+K2209*VLOOKUP($B2209,Premissas!$A$4:$E$7,4,0)+L2209*VLOOKUP($B2209,Premissas!$A$4:$E$7,5,0))</f>
        <v/>
      </c>
      <c r="N2209" s="14">
        <f>H2209-M2209</f>
        <v/>
      </c>
      <c r="O2209" t="inlineStr">
        <is>
          <t>Não</t>
        </is>
      </c>
      <c r="P2209" t="inlineStr">
        <is>
          <t>1.350</t>
        </is>
      </c>
    </row>
    <row r="2210">
      <c r="A2210" s="24" t="n">
        <v>46023</v>
      </c>
      <c r="B2210" t="inlineStr">
        <is>
          <t>Frete de venda</t>
        </is>
      </c>
      <c r="C2210" t="inlineStr">
        <is>
          <t>Frete de venda (para clientes)</t>
        </is>
      </c>
      <c r="D2210" t="inlineStr">
        <is>
          <t>CT-e</t>
        </is>
      </c>
      <c r="E2210" t="inlineStr">
        <is>
          <t>000006283</t>
        </is>
      </c>
      <c r="F2210" t="inlineStr">
        <is>
          <t>R&amp;R TRANSPORTE E LOGISTICA</t>
        </is>
      </c>
      <c r="G2210" s="27" t="n">
        <v>46053</v>
      </c>
      <c r="H2210" s="14" t="n">
        <v>25</v>
      </c>
      <c r="I2210" s="14" t="n">
        <v>0</v>
      </c>
      <c r="J2210" s="14" t="n">
        <v>0</v>
      </c>
      <c r="K2210" s="14" t="n">
        <v>0</v>
      </c>
      <c r="L2210" s="14" t="n">
        <v>0</v>
      </c>
      <c r="M2210" s="14">
        <f>IF(B2210="Frete de venda",0,(1-ISNUMBER(SEARCH("556",P2210)))*(I2210*VLOOKUP($B2210,Premissas!$A$4:$E$7,2,0)+J2210*VLOOKUP($B2210,Premissas!$A$4:$E$7,3,0))+K2210*VLOOKUP($B2210,Premissas!$A$4:$E$7,4,0)+L2210*VLOOKUP($B2210,Premissas!$A$4:$E$7,5,0))</f>
        <v/>
      </c>
      <c r="N2210" s="14">
        <f>H2210-M2210</f>
        <v/>
      </c>
      <c r="O2210" t="inlineStr">
        <is>
          <t>Não</t>
        </is>
      </c>
      <c r="P2210" t="inlineStr">
        <is>
          <t>1.350</t>
        </is>
      </c>
    </row>
    <row r="2211">
      <c r="A2211" s="24" t="n">
        <v>46023</v>
      </c>
      <c r="B2211" t="inlineStr">
        <is>
          <t>Frete de venda</t>
        </is>
      </c>
      <c r="C2211" t="inlineStr">
        <is>
          <t>Frete de venda (para clientes)</t>
        </is>
      </c>
      <c r="D2211" t="inlineStr">
        <is>
          <t>CT-e</t>
        </is>
      </c>
      <c r="E2211" t="inlineStr">
        <is>
          <t>000006291</t>
        </is>
      </c>
      <c r="F2211" t="inlineStr">
        <is>
          <t>R&amp;R TRANSPORTE E LOGISTICA</t>
        </is>
      </c>
      <c r="G2211" s="27" t="n">
        <v>46053</v>
      </c>
      <c r="H2211" s="14" t="n">
        <v>37</v>
      </c>
      <c r="I2211" s="14" t="n">
        <v>0</v>
      </c>
      <c r="J2211" s="14" t="n">
        <v>0</v>
      </c>
      <c r="K2211" s="14" t="n">
        <v>0</v>
      </c>
      <c r="L2211" s="14" t="n">
        <v>0</v>
      </c>
      <c r="M2211" s="14">
        <f>IF(B2211="Frete de venda",0,(1-ISNUMBER(SEARCH("556",P2211)))*(I2211*VLOOKUP($B2211,Premissas!$A$4:$E$7,2,0)+J2211*VLOOKUP($B2211,Premissas!$A$4:$E$7,3,0))+K2211*VLOOKUP($B2211,Premissas!$A$4:$E$7,4,0)+L2211*VLOOKUP($B2211,Premissas!$A$4:$E$7,5,0))</f>
        <v/>
      </c>
      <c r="N2211" s="14">
        <f>H2211-M2211</f>
        <v/>
      </c>
      <c r="O2211" t="inlineStr">
        <is>
          <t>Não</t>
        </is>
      </c>
      <c r="P2211" t="inlineStr">
        <is>
          <t>1.350</t>
        </is>
      </c>
    </row>
    <row r="2212">
      <c r="A2212" s="24" t="n">
        <v>46023</v>
      </c>
      <c r="B2212" t="inlineStr">
        <is>
          <t>Frete de venda</t>
        </is>
      </c>
      <c r="C2212" t="inlineStr">
        <is>
          <t>Frete de venda (para clientes)</t>
        </is>
      </c>
      <c r="D2212" t="inlineStr">
        <is>
          <t>CT-e</t>
        </is>
      </c>
      <c r="E2212" t="inlineStr">
        <is>
          <t>000006249</t>
        </is>
      </c>
      <c r="F2212" t="inlineStr">
        <is>
          <t>R&amp;R TRANSPORTE E LOGISTICA</t>
        </is>
      </c>
      <c r="G2212" s="27" t="n">
        <v>46050</v>
      </c>
      <c r="H2212" s="14" t="n">
        <v>11.5</v>
      </c>
      <c r="I2212" s="14" t="n">
        <v>0</v>
      </c>
      <c r="J2212" s="14" t="n">
        <v>0</v>
      </c>
      <c r="K2212" s="14" t="n">
        <v>0</v>
      </c>
      <c r="L2212" s="14" t="n">
        <v>0</v>
      </c>
      <c r="M2212" s="14">
        <f>IF(B2212="Frete de venda",0,(1-ISNUMBER(SEARCH("556",P2212)))*(I2212*VLOOKUP($B2212,Premissas!$A$4:$E$7,2,0)+J2212*VLOOKUP($B2212,Premissas!$A$4:$E$7,3,0))+K2212*VLOOKUP($B2212,Premissas!$A$4:$E$7,4,0)+L2212*VLOOKUP($B2212,Premissas!$A$4:$E$7,5,0))</f>
        <v/>
      </c>
      <c r="N2212" s="14">
        <f>H2212-M2212</f>
        <v/>
      </c>
      <c r="O2212" t="inlineStr">
        <is>
          <t>Não</t>
        </is>
      </c>
      <c r="P2212" t="inlineStr">
        <is>
          <t>1.350</t>
        </is>
      </c>
    </row>
    <row r="2213">
      <c r="A2213" s="24" t="n">
        <v>46023</v>
      </c>
      <c r="B2213" t="inlineStr">
        <is>
          <t>Frete de venda</t>
        </is>
      </c>
      <c r="C2213" t="inlineStr">
        <is>
          <t>Frete de venda (para clientes)</t>
        </is>
      </c>
      <c r="D2213" t="inlineStr">
        <is>
          <t>CT-e</t>
        </is>
      </c>
      <c r="E2213" t="inlineStr">
        <is>
          <t>000006269</t>
        </is>
      </c>
      <c r="F2213" t="inlineStr">
        <is>
          <t>R&amp;R TRANSPORTE E LOGISTICA</t>
        </is>
      </c>
      <c r="G2213" s="27" t="n">
        <v>46051</v>
      </c>
      <c r="H2213" s="14" t="n">
        <v>110.08</v>
      </c>
      <c r="I2213" s="14" t="n">
        <v>0</v>
      </c>
      <c r="J2213" s="14" t="n">
        <v>0</v>
      </c>
      <c r="K2213" s="14" t="n">
        <v>0</v>
      </c>
      <c r="L2213" s="14" t="n">
        <v>0</v>
      </c>
      <c r="M2213" s="14">
        <f>IF(B2213="Frete de venda",0,(1-ISNUMBER(SEARCH("556",P2213)))*(I2213*VLOOKUP($B2213,Premissas!$A$4:$E$7,2,0)+J2213*VLOOKUP($B2213,Premissas!$A$4:$E$7,3,0))+K2213*VLOOKUP($B2213,Premissas!$A$4:$E$7,4,0)+L2213*VLOOKUP($B2213,Premissas!$A$4:$E$7,5,0))</f>
        <v/>
      </c>
      <c r="N2213" s="14">
        <f>H2213-M2213</f>
        <v/>
      </c>
      <c r="O2213" t="inlineStr">
        <is>
          <t>Não</t>
        </is>
      </c>
      <c r="P2213" t="inlineStr">
        <is>
          <t>1.350</t>
        </is>
      </c>
    </row>
    <row r="2214">
      <c r="A2214" s="24" t="n">
        <v>46023</v>
      </c>
      <c r="B2214" t="inlineStr">
        <is>
          <t>Frete de venda</t>
        </is>
      </c>
      <c r="C2214" t="inlineStr">
        <is>
          <t>Frete de venda (para clientes)</t>
        </is>
      </c>
      <c r="D2214" t="inlineStr">
        <is>
          <t>CT-e</t>
        </is>
      </c>
      <c r="E2214" t="inlineStr">
        <is>
          <t>000006295</t>
        </is>
      </c>
      <c r="F2214" t="inlineStr">
        <is>
          <t>R&amp;R TRANSPORTE E LOGISTICA</t>
        </is>
      </c>
      <c r="G2214" s="27" t="n">
        <v>46053</v>
      </c>
      <c r="H2214" s="14" t="n">
        <v>45</v>
      </c>
      <c r="I2214" s="14" t="n">
        <v>0</v>
      </c>
      <c r="J2214" s="14" t="n">
        <v>0</v>
      </c>
      <c r="K2214" s="14" t="n">
        <v>0</v>
      </c>
      <c r="L2214" s="14" t="n">
        <v>0</v>
      </c>
      <c r="M2214" s="14">
        <f>IF(B2214="Frete de venda",0,(1-ISNUMBER(SEARCH("556",P2214)))*(I2214*VLOOKUP($B2214,Premissas!$A$4:$E$7,2,0)+J2214*VLOOKUP($B2214,Premissas!$A$4:$E$7,3,0))+K2214*VLOOKUP($B2214,Premissas!$A$4:$E$7,4,0)+L2214*VLOOKUP($B2214,Premissas!$A$4:$E$7,5,0))</f>
        <v/>
      </c>
      <c r="N2214" s="14">
        <f>H2214-M2214</f>
        <v/>
      </c>
      <c r="O2214" t="inlineStr">
        <is>
          <t>Não</t>
        </is>
      </c>
      <c r="P2214" t="inlineStr">
        <is>
          <t>1.350</t>
        </is>
      </c>
    </row>
    <row r="2215">
      <c r="A2215" s="24" t="n">
        <v>46023</v>
      </c>
      <c r="B2215" t="inlineStr">
        <is>
          <t>Frete de venda</t>
        </is>
      </c>
      <c r="C2215" t="inlineStr">
        <is>
          <t>Frete de venda (para clientes)</t>
        </is>
      </c>
      <c r="D2215" t="inlineStr">
        <is>
          <t>CT-e</t>
        </is>
      </c>
      <c r="E2215" t="inlineStr">
        <is>
          <t>000006197</t>
        </is>
      </c>
      <c r="F2215" t="inlineStr">
        <is>
          <t>R&amp;R TRANSPORTE E LOGISTICA</t>
        </is>
      </c>
      <c r="G2215" s="27" t="n">
        <v>46043</v>
      </c>
      <c r="H2215" s="14" t="n">
        <v>114</v>
      </c>
      <c r="I2215" s="14" t="n">
        <v>0</v>
      </c>
      <c r="J2215" s="14" t="n">
        <v>0</v>
      </c>
      <c r="K2215" s="14" t="n">
        <v>0</v>
      </c>
      <c r="L2215" s="14" t="n">
        <v>0</v>
      </c>
      <c r="M2215" s="14">
        <f>IF(B2215="Frete de venda",0,(1-ISNUMBER(SEARCH("556",P2215)))*(I2215*VLOOKUP($B2215,Premissas!$A$4:$E$7,2,0)+J2215*VLOOKUP($B2215,Premissas!$A$4:$E$7,3,0))+K2215*VLOOKUP($B2215,Premissas!$A$4:$E$7,4,0)+L2215*VLOOKUP($B2215,Premissas!$A$4:$E$7,5,0))</f>
        <v/>
      </c>
      <c r="N2215" s="14">
        <f>H2215-M2215</f>
        <v/>
      </c>
      <c r="O2215" t="inlineStr">
        <is>
          <t>Não</t>
        </is>
      </c>
      <c r="P2215" t="inlineStr">
        <is>
          <t>1.350</t>
        </is>
      </c>
    </row>
    <row r="2216">
      <c r="A2216" s="24" t="n">
        <v>46023</v>
      </c>
      <c r="B2216" t="inlineStr">
        <is>
          <t>Frete de venda</t>
        </is>
      </c>
      <c r="C2216" t="inlineStr">
        <is>
          <t>Frete de venda (para clientes)</t>
        </is>
      </c>
      <c r="D2216" t="inlineStr">
        <is>
          <t>CT-e</t>
        </is>
      </c>
      <c r="E2216" t="inlineStr">
        <is>
          <t>000006266</t>
        </is>
      </c>
      <c r="F2216" t="inlineStr">
        <is>
          <t>R&amp;R TRANSPORTE E LOGISTICA</t>
        </is>
      </c>
      <c r="G2216" s="27" t="n">
        <v>46051</v>
      </c>
      <c r="H2216" s="14" t="n">
        <v>51.52</v>
      </c>
      <c r="I2216" s="14" t="n">
        <v>0</v>
      </c>
      <c r="J2216" s="14" t="n">
        <v>0</v>
      </c>
      <c r="K2216" s="14" t="n">
        <v>0</v>
      </c>
      <c r="L2216" s="14" t="n">
        <v>0</v>
      </c>
      <c r="M2216" s="14">
        <f>IF(B2216="Frete de venda",0,(1-ISNUMBER(SEARCH("556",P2216)))*(I2216*VLOOKUP($B2216,Premissas!$A$4:$E$7,2,0)+J2216*VLOOKUP($B2216,Premissas!$A$4:$E$7,3,0))+K2216*VLOOKUP($B2216,Premissas!$A$4:$E$7,4,0)+L2216*VLOOKUP($B2216,Premissas!$A$4:$E$7,5,0))</f>
        <v/>
      </c>
      <c r="N2216" s="14">
        <f>H2216-M2216</f>
        <v/>
      </c>
      <c r="O2216" t="inlineStr">
        <is>
          <t>Não</t>
        </is>
      </c>
      <c r="P2216" t="inlineStr">
        <is>
          <t>1.350</t>
        </is>
      </c>
    </row>
    <row r="2217">
      <c r="A2217" s="24" t="n">
        <v>46023</v>
      </c>
      <c r="B2217" t="inlineStr">
        <is>
          <t>Frete de venda</t>
        </is>
      </c>
      <c r="C2217" t="inlineStr">
        <is>
          <t>Frete de venda (para clientes)</t>
        </is>
      </c>
      <c r="D2217" t="inlineStr">
        <is>
          <t>CT-e</t>
        </is>
      </c>
      <c r="E2217" t="inlineStr">
        <is>
          <t>000006155</t>
        </is>
      </c>
      <c r="F2217" t="inlineStr">
        <is>
          <t>R&amp;R TRANSPORTE E LOGISTICA</t>
        </is>
      </c>
      <c r="G2217" s="27" t="n">
        <v>46036</v>
      </c>
      <c r="H2217" s="14" t="n">
        <v>63.69</v>
      </c>
      <c r="I2217" s="14" t="n">
        <v>0</v>
      </c>
      <c r="J2217" s="14" t="n">
        <v>0</v>
      </c>
      <c r="K2217" s="14" t="n">
        <v>0</v>
      </c>
      <c r="L2217" s="14" t="n">
        <v>0</v>
      </c>
      <c r="M2217" s="14">
        <f>IF(B2217="Frete de venda",0,(1-ISNUMBER(SEARCH("556",P2217)))*(I2217*VLOOKUP($B2217,Premissas!$A$4:$E$7,2,0)+J2217*VLOOKUP($B2217,Premissas!$A$4:$E$7,3,0))+K2217*VLOOKUP($B2217,Premissas!$A$4:$E$7,4,0)+L2217*VLOOKUP($B2217,Premissas!$A$4:$E$7,5,0))</f>
        <v/>
      </c>
      <c r="N2217" s="14">
        <f>H2217-M2217</f>
        <v/>
      </c>
      <c r="O2217" t="inlineStr">
        <is>
          <t>Não</t>
        </is>
      </c>
      <c r="P2217" t="inlineStr">
        <is>
          <t>1.350</t>
        </is>
      </c>
    </row>
    <row r="2218">
      <c r="A2218" s="24" t="n">
        <v>46023</v>
      </c>
      <c r="B2218" t="inlineStr">
        <is>
          <t>Frete de venda</t>
        </is>
      </c>
      <c r="C2218" t="inlineStr">
        <is>
          <t>Frete de venda (para clientes)</t>
        </is>
      </c>
      <c r="D2218" t="inlineStr">
        <is>
          <t>CT-e</t>
        </is>
      </c>
      <c r="E2218" t="inlineStr">
        <is>
          <t>000006286</t>
        </is>
      </c>
      <c r="F2218" t="inlineStr">
        <is>
          <t>R&amp;R TRANSPORTE E LOGISTICA</t>
        </is>
      </c>
      <c r="G2218" s="27" t="n">
        <v>46053</v>
      </c>
      <c r="H2218" s="14" t="n">
        <v>34</v>
      </c>
      <c r="I2218" s="14" t="n">
        <v>0</v>
      </c>
      <c r="J2218" s="14" t="n">
        <v>0</v>
      </c>
      <c r="K2218" s="14" t="n">
        <v>0</v>
      </c>
      <c r="L2218" s="14" t="n">
        <v>0</v>
      </c>
      <c r="M2218" s="14">
        <f>IF(B2218="Frete de venda",0,(1-ISNUMBER(SEARCH("556",P2218)))*(I2218*VLOOKUP($B2218,Premissas!$A$4:$E$7,2,0)+J2218*VLOOKUP($B2218,Premissas!$A$4:$E$7,3,0))+K2218*VLOOKUP($B2218,Premissas!$A$4:$E$7,4,0)+L2218*VLOOKUP($B2218,Premissas!$A$4:$E$7,5,0))</f>
        <v/>
      </c>
      <c r="N2218" s="14">
        <f>H2218-M2218</f>
        <v/>
      </c>
      <c r="O2218" t="inlineStr">
        <is>
          <t>Não</t>
        </is>
      </c>
      <c r="P2218" t="inlineStr">
        <is>
          <t>1.350</t>
        </is>
      </c>
    </row>
    <row r="2219">
      <c r="A2219" s="24" t="n">
        <v>46023</v>
      </c>
      <c r="B2219" t="inlineStr">
        <is>
          <t>Frete de venda</t>
        </is>
      </c>
      <c r="C2219" t="inlineStr">
        <is>
          <t>Frete de venda (para clientes)</t>
        </is>
      </c>
      <c r="D2219" t="inlineStr">
        <is>
          <t>CT-e</t>
        </is>
      </c>
      <c r="E2219" t="inlineStr">
        <is>
          <t>000006119</t>
        </is>
      </c>
      <c r="F2219" t="inlineStr">
        <is>
          <t>R&amp;R TRANSPORTE E LOGISTICA</t>
        </is>
      </c>
      <c r="G2219" s="27" t="n">
        <v>46030</v>
      </c>
      <c r="H2219" s="14" t="n">
        <v>87.19</v>
      </c>
      <c r="I2219" s="14" t="n">
        <v>0</v>
      </c>
      <c r="J2219" s="14" t="n">
        <v>0</v>
      </c>
      <c r="K2219" s="14" t="n">
        <v>0</v>
      </c>
      <c r="L2219" s="14" t="n">
        <v>0</v>
      </c>
      <c r="M2219" s="14">
        <f>IF(B2219="Frete de venda",0,(1-ISNUMBER(SEARCH("556",P2219)))*(I2219*VLOOKUP($B2219,Premissas!$A$4:$E$7,2,0)+J2219*VLOOKUP($B2219,Premissas!$A$4:$E$7,3,0))+K2219*VLOOKUP($B2219,Premissas!$A$4:$E$7,4,0)+L2219*VLOOKUP($B2219,Premissas!$A$4:$E$7,5,0))</f>
        <v/>
      </c>
      <c r="N2219" s="14">
        <f>H2219-M2219</f>
        <v/>
      </c>
      <c r="O2219" t="inlineStr">
        <is>
          <t>Não</t>
        </is>
      </c>
      <c r="P2219" t="inlineStr">
        <is>
          <t>1.350</t>
        </is>
      </c>
    </row>
    <row r="2220">
      <c r="A2220" s="24" t="n">
        <v>46023</v>
      </c>
      <c r="B2220" t="inlineStr">
        <is>
          <t>Frete de venda</t>
        </is>
      </c>
      <c r="C2220" t="inlineStr">
        <is>
          <t>Frete de venda (para clientes)</t>
        </is>
      </c>
      <c r="D2220" t="inlineStr">
        <is>
          <t>CT-e</t>
        </is>
      </c>
      <c r="E2220" t="inlineStr">
        <is>
          <t>000006167</t>
        </is>
      </c>
      <c r="F2220" t="inlineStr">
        <is>
          <t>R&amp;R TRANSPORTE E LOGISTICA</t>
        </is>
      </c>
      <c r="G2220" s="27" t="n">
        <v>46038</v>
      </c>
      <c r="H2220" s="14" t="n">
        <v>112.28</v>
      </c>
      <c r="I2220" s="14" t="n">
        <v>0</v>
      </c>
      <c r="J2220" s="14" t="n">
        <v>0</v>
      </c>
      <c r="K2220" s="14" t="n">
        <v>0</v>
      </c>
      <c r="L2220" s="14" t="n">
        <v>0</v>
      </c>
      <c r="M2220" s="14">
        <f>IF(B2220="Frete de venda",0,(1-ISNUMBER(SEARCH("556",P2220)))*(I2220*VLOOKUP($B2220,Premissas!$A$4:$E$7,2,0)+J2220*VLOOKUP($B2220,Premissas!$A$4:$E$7,3,0))+K2220*VLOOKUP($B2220,Premissas!$A$4:$E$7,4,0)+L2220*VLOOKUP($B2220,Premissas!$A$4:$E$7,5,0))</f>
        <v/>
      </c>
      <c r="N2220" s="14">
        <f>H2220-M2220</f>
        <v/>
      </c>
      <c r="O2220" t="inlineStr">
        <is>
          <t>Não</t>
        </is>
      </c>
      <c r="P2220" t="inlineStr">
        <is>
          <t>1.350</t>
        </is>
      </c>
    </row>
    <row r="2221">
      <c r="A2221" s="24" t="n">
        <v>46023</v>
      </c>
      <c r="B2221" t="inlineStr">
        <is>
          <t>Frete de venda</t>
        </is>
      </c>
      <c r="C2221" t="inlineStr">
        <is>
          <t>Frete de venda (para clientes)</t>
        </is>
      </c>
      <c r="D2221" t="inlineStr">
        <is>
          <t>CT-e</t>
        </is>
      </c>
      <c r="E2221" t="inlineStr">
        <is>
          <t>000006187</t>
        </is>
      </c>
      <c r="F2221" t="inlineStr">
        <is>
          <t>R&amp;R TRANSPORTE E LOGISTICA</t>
        </is>
      </c>
      <c r="G2221" s="27" t="n">
        <v>46042</v>
      </c>
      <c r="H2221" s="14" t="n">
        <v>191.17</v>
      </c>
      <c r="I2221" s="14" t="n">
        <v>0</v>
      </c>
      <c r="J2221" s="14" t="n">
        <v>0</v>
      </c>
      <c r="K2221" s="14" t="n">
        <v>0</v>
      </c>
      <c r="L2221" s="14" t="n">
        <v>0</v>
      </c>
      <c r="M2221" s="14">
        <f>IF(B2221="Frete de venda",0,(1-ISNUMBER(SEARCH("556",P2221)))*(I2221*VLOOKUP($B2221,Premissas!$A$4:$E$7,2,0)+J2221*VLOOKUP($B2221,Premissas!$A$4:$E$7,3,0))+K2221*VLOOKUP($B2221,Premissas!$A$4:$E$7,4,0)+L2221*VLOOKUP($B2221,Premissas!$A$4:$E$7,5,0))</f>
        <v/>
      </c>
      <c r="N2221" s="14">
        <f>H2221-M2221</f>
        <v/>
      </c>
      <c r="O2221" t="inlineStr">
        <is>
          <t>Não</t>
        </is>
      </c>
      <c r="P2221" t="inlineStr">
        <is>
          <t>1.350</t>
        </is>
      </c>
    </row>
    <row r="2222">
      <c r="A2222" s="24" t="n">
        <v>46023</v>
      </c>
      <c r="B2222" t="inlineStr">
        <is>
          <t>Frete de venda</t>
        </is>
      </c>
      <c r="C2222" t="inlineStr">
        <is>
          <t>Frete de venda (para clientes)</t>
        </is>
      </c>
      <c r="D2222" t="inlineStr">
        <is>
          <t>CT-e</t>
        </is>
      </c>
      <c r="E2222" t="inlineStr">
        <is>
          <t>000006156</t>
        </is>
      </c>
      <c r="F2222" t="inlineStr">
        <is>
          <t>R&amp;R TRANSPORTE E LOGISTICA</t>
        </is>
      </c>
      <c r="G2222" s="27" t="n">
        <v>46036</v>
      </c>
      <c r="H2222" s="14" t="n">
        <v>37.16</v>
      </c>
      <c r="I2222" s="14" t="n">
        <v>0</v>
      </c>
      <c r="J2222" s="14" t="n">
        <v>0</v>
      </c>
      <c r="K2222" s="14" t="n">
        <v>0</v>
      </c>
      <c r="L2222" s="14" t="n">
        <v>0</v>
      </c>
      <c r="M2222" s="14">
        <f>IF(B2222="Frete de venda",0,(1-ISNUMBER(SEARCH("556",P2222)))*(I2222*VLOOKUP($B2222,Premissas!$A$4:$E$7,2,0)+J2222*VLOOKUP($B2222,Premissas!$A$4:$E$7,3,0))+K2222*VLOOKUP($B2222,Premissas!$A$4:$E$7,4,0)+L2222*VLOOKUP($B2222,Premissas!$A$4:$E$7,5,0))</f>
        <v/>
      </c>
      <c r="N2222" s="14">
        <f>H2222-M2222</f>
        <v/>
      </c>
      <c r="O2222" t="inlineStr">
        <is>
          <t>Não</t>
        </is>
      </c>
      <c r="P2222" t="inlineStr">
        <is>
          <t>1.350</t>
        </is>
      </c>
    </row>
    <row r="2223">
      <c r="A2223" s="24" t="n">
        <v>46023</v>
      </c>
      <c r="B2223" t="inlineStr">
        <is>
          <t>Frete de venda</t>
        </is>
      </c>
      <c r="C2223" t="inlineStr">
        <is>
          <t>Frete de venda (para clientes)</t>
        </is>
      </c>
      <c r="D2223" t="inlineStr">
        <is>
          <t>CT-e</t>
        </is>
      </c>
      <c r="E2223" t="inlineStr">
        <is>
          <t>000006285</t>
        </is>
      </c>
      <c r="F2223" t="inlineStr">
        <is>
          <t>R&amp;R TRANSPORTE E LOGISTICA</t>
        </is>
      </c>
      <c r="G2223" s="27" t="n">
        <v>46053</v>
      </c>
      <c r="H2223" s="14" t="n">
        <v>30</v>
      </c>
      <c r="I2223" s="14" t="n">
        <v>0</v>
      </c>
      <c r="J2223" s="14" t="n">
        <v>0</v>
      </c>
      <c r="K2223" s="14" t="n">
        <v>0</v>
      </c>
      <c r="L2223" s="14" t="n">
        <v>0</v>
      </c>
      <c r="M2223" s="14">
        <f>IF(B2223="Frete de venda",0,(1-ISNUMBER(SEARCH("556",P2223)))*(I2223*VLOOKUP($B2223,Premissas!$A$4:$E$7,2,0)+J2223*VLOOKUP($B2223,Premissas!$A$4:$E$7,3,0))+K2223*VLOOKUP($B2223,Premissas!$A$4:$E$7,4,0)+L2223*VLOOKUP($B2223,Premissas!$A$4:$E$7,5,0))</f>
        <v/>
      </c>
      <c r="N2223" s="14">
        <f>H2223-M2223</f>
        <v/>
      </c>
      <c r="O2223" t="inlineStr">
        <is>
          <t>Não</t>
        </is>
      </c>
      <c r="P2223" t="inlineStr">
        <is>
          <t>1.350</t>
        </is>
      </c>
    </row>
    <row r="2224">
      <c r="A2224" s="24" t="n">
        <v>46023</v>
      </c>
      <c r="B2224" t="inlineStr">
        <is>
          <t>Frete de venda</t>
        </is>
      </c>
      <c r="C2224" t="inlineStr">
        <is>
          <t>Frete de venda (para clientes)</t>
        </is>
      </c>
      <c r="D2224" t="inlineStr">
        <is>
          <t>CT-e</t>
        </is>
      </c>
      <c r="E2224" t="inlineStr">
        <is>
          <t>000006241</t>
        </is>
      </c>
      <c r="F2224" t="inlineStr">
        <is>
          <t>R&amp;R TRANSPORTE E LOGISTICA</t>
        </is>
      </c>
      <c r="G2224" s="27" t="n">
        <v>46050</v>
      </c>
      <c r="H2224" s="14" t="n">
        <v>137.21</v>
      </c>
      <c r="I2224" s="14" t="n">
        <v>0</v>
      </c>
      <c r="J2224" s="14" t="n">
        <v>0</v>
      </c>
      <c r="K2224" s="14" t="n">
        <v>0</v>
      </c>
      <c r="L2224" s="14" t="n">
        <v>0</v>
      </c>
      <c r="M2224" s="14">
        <f>IF(B2224="Frete de venda",0,(1-ISNUMBER(SEARCH("556",P2224)))*(I2224*VLOOKUP($B2224,Premissas!$A$4:$E$7,2,0)+J2224*VLOOKUP($B2224,Premissas!$A$4:$E$7,3,0))+K2224*VLOOKUP($B2224,Premissas!$A$4:$E$7,4,0)+L2224*VLOOKUP($B2224,Premissas!$A$4:$E$7,5,0))</f>
        <v/>
      </c>
      <c r="N2224" s="14">
        <f>H2224-M2224</f>
        <v/>
      </c>
      <c r="O2224" t="inlineStr">
        <is>
          <t>Não</t>
        </is>
      </c>
      <c r="P2224" t="inlineStr">
        <is>
          <t>1.350</t>
        </is>
      </c>
    </row>
    <row r="2225">
      <c r="A2225" s="24" t="n">
        <v>46023</v>
      </c>
      <c r="B2225" t="inlineStr">
        <is>
          <t>Frete de venda</t>
        </is>
      </c>
      <c r="C2225" t="inlineStr">
        <is>
          <t>Frete de venda (para clientes)</t>
        </is>
      </c>
      <c r="D2225" t="inlineStr">
        <is>
          <t>CT-e</t>
        </is>
      </c>
      <c r="E2225" t="inlineStr">
        <is>
          <t>000006102</t>
        </is>
      </c>
      <c r="F2225" t="inlineStr">
        <is>
          <t>R&amp;R TRANSPORTE E LOGISTICA</t>
        </is>
      </c>
      <c r="G2225" s="27" t="n">
        <v>46025</v>
      </c>
      <c r="H2225" s="14" t="n">
        <v>450</v>
      </c>
      <c r="I2225" s="14" t="n">
        <v>0</v>
      </c>
      <c r="J2225" s="14" t="n">
        <v>0</v>
      </c>
      <c r="K2225" s="14" t="n">
        <v>0</v>
      </c>
      <c r="L2225" s="14" t="n">
        <v>0</v>
      </c>
      <c r="M2225" s="14">
        <f>IF(B2225="Frete de venda",0,(1-ISNUMBER(SEARCH("556",P2225)))*(I2225*VLOOKUP($B2225,Premissas!$A$4:$E$7,2,0)+J2225*VLOOKUP($B2225,Premissas!$A$4:$E$7,3,0))+K2225*VLOOKUP($B2225,Premissas!$A$4:$E$7,4,0)+L2225*VLOOKUP($B2225,Premissas!$A$4:$E$7,5,0))</f>
        <v/>
      </c>
      <c r="N2225" s="14">
        <f>H2225-M2225</f>
        <v/>
      </c>
      <c r="O2225" t="inlineStr">
        <is>
          <t>Não</t>
        </is>
      </c>
      <c r="P2225" t="inlineStr">
        <is>
          <t>1.350</t>
        </is>
      </c>
    </row>
    <row r="2226">
      <c r="A2226" s="24" t="n">
        <v>46023</v>
      </c>
      <c r="B2226" t="inlineStr">
        <is>
          <t>Frete de venda</t>
        </is>
      </c>
      <c r="C2226" t="inlineStr">
        <is>
          <t>Frete de venda (para clientes)</t>
        </is>
      </c>
      <c r="D2226" t="inlineStr">
        <is>
          <t>CT-e</t>
        </is>
      </c>
      <c r="E2226" t="inlineStr">
        <is>
          <t>000006163</t>
        </is>
      </c>
      <c r="F2226" t="inlineStr">
        <is>
          <t>R&amp;R TRANSPORTE E LOGISTICA</t>
        </is>
      </c>
      <c r="G2226" s="27" t="n">
        <v>46036</v>
      </c>
      <c r="H2226" s="14" t="n">
        <v>700</v>
      </c>
      <c r="I2226" s="14" t="n">
        <v>0</v>
      </c>
      <c r="J2226" s="14" t="n">
        <v>0</v>
      </c>
      <c r="K2226" s="14" t="n">
        <v>0</v>
      </c>
      <c r="L2226" s="14" t="n">
        <v>0</v>
      </c>
      <c r="M2226" s="14">
        <f>IF(B2226="Frete de venda",0,(1-ISNUMBER(SEARCH("556",P2226)))*(I2226*VLOOKUP($B2226,Premissas!$A$4:$E$7,2,0)+J2226*VLOOKUP($B2226,Premissas!$A$4:$E$7,3,0))+K2226*VLOOKUP($B2226,Premissas!$A$4:$E$7,4,0)+L2226*VLOOKUP($B2226,Premissas!$A$4:$E$7,5,0))</f>
        <v/>
      </c>
      <c r="N2226" s="14">
        <f>H2226-M2226</f>
        <v/>
      </c>
      <c r="O2226" t="inlineStr">
        <is>
          <t>Não</t>
        </is>
      </c>
      <c r="P2226" t="inlineStr">
        <is>
          <t>1.350</t>
        </is>
      </c>
    </row>
    <row r="2227">
      <c r="A2227" s="24" t="n">
        <v>46023</v>
      </c>
      <c r="B2227" t="inlineStr">
        <is>
          <t>Frete de venda</t>
        </is>
      </c>
      <c r="C2227" t="inlineStr">
        <is>
          <t>Frete de venda (para clientes)</t>
        </is>
      </c>
      <c r="D2227" t="inlineStr">
        <is>
          <t>CT-e</t>
        </is>
      </c>
      <c r="E2227" t="inlineStr">
        <is>
          <t>000006189</t>
        </is>
      </c>
      <c r="F2227" t="inlineStr">
        <is>
          <t>R&amp;R TRANSPORTE E LOGISTICA</t>
        </is>
      </c>
      <c r="G2227" s="27" t="n">
        <v>46042</v>
      </c>
      <c r="H2227" s="14" t="n">
        <v>1345.5</v>
      </c>
      <c r="I2227" s="14" t="n">
        <v>0</v>
      </c>
      <c r="J2227" s="14" t="n">
        <v>0</v>
      </c>
      <c r="K2227" s="14" t="n">
        <v>0</v>
      </c>
      <c r="L2227" s="14" t="n">
        <v>0</v>
      </c>
      <c r="M2227" s="14">
        <f>IF(B2227="Frete de venda",0,(1-ISNUMBER(SEARCH("556",P2227)))*(I2227*VLOOKUP($B2227,Premissas!$A$4:$E$7,2,0)+J2227*VLOOKUP($B2227,Premissas!$A$4:$E$7,3,0))+K2227*VLOOKUP($B2227,Premissas!$A$4:$E$7,4,0)+L2227*VLOOKUP($B2227,Premissas!$A$4:$E$7,5,0))</f>
        <v/>
      </c>
      <c r="N2227" s="14">
        <f>H2227-M2227</f>
        <v/>
      </c>
      <c r="O2227" t="inlineStr">
        <is>
          <t>Não</t>
        </is>
      </c>
      <c r="P2227" t="inlineStr">
        <is>
          <t>1.350</t>
        </is>
      </c>
    </row>
    <row r="2228">
      <c r="A2228" s="24" t="n">
        <v>46023</v>
      </c>
      <c r="B2228" t="inlineStr">
        <is>
          <t>Frete de venda</t>
        </is>
      </c>
      <c r="C2228" t="inlineStr">
        <is>
          <t>Frete de venda (para clientes)</t>
        </is>
      </c>
      <c r="D2228" t="inlineStr">
        <is>
          <t>CT-e</t>
        </is>
      </c>
      <c r="E2228" t="inlineStr">
        <is>
          <t>000006166</t>
        </is>
      </c>
      <c r="F2228" t="inlineStr">
        <is>
          <t>R&amp;R TRANSPORTE E LOGISTICA</t>
        </is>
      </c>
      <c r="G2228" s="27" t="n">
        <v>46038</v>
      </c>
      <c r="H2228" s="14" t="n">
        <v>731.88</v>
      </c>
      <c r="I2228" s="14" t="n">
        <v>0</v>
      </c>
      <c r="J2228" s="14" t="n">
        <v>0</v>
      </c>
      <c r="K2228" s="14" t="n">
        <v>0</v>
      </c>
      <c r="L2228" s="14" t="n">
        <v>0</v>
      </c>
      <c r="M2228" s="14">
        <f>IF(B2228="Frete de venda",0,(1-ISNUMBER(SEARCH("556",P2228)))*(I2228*VLOOKUP($B2228,Premissas!$A$4:$E$7,2,0)+J2228*VLOOKUP($B2228,Premissas!$A$4:$E$7,3,0))+K2228*VLOOKUP($B2228,Premissas!$A$4:$E$7,4,0)+L2228*VLOOKUP($B2228,Premissas!$A$4:$E$7,5,0))</f>
        <v/>
      </c>
      <c r="N2228" s="14">
        <f>H2228-M2228</f>
        <v/>
      </c>
      <c r="O2228" t="inlineStr">
        <is>
          <t>Não</t>
        </is>
      </c>
      <c r="P2228" t="inlineStr">
        <is>
          <t>1.350</t>
        </is>
      </c>
    </row>
    <row r="2229">
      <c r="A2229" s="24" t="n">
        <v>46023</v>
      </c>
      <c r="B2229" t="inlineStr">
        <is>
          <t>Frete de venda</t>
        </is>
      </c>
      <c r="C2229" t="inlineStr">
        <is>
          <t>Frete de venda (para clientes)</t>
        </is>
      </c>
      <c r="D2229" t="inlineStr">
        <is>
          <t>CT-e</t>
        </is>
      </c>
      <c r="E2229" t="inlineStr">
        <is>
          <t>000006246</t>
        </is>
      </c>
      <c r="F2229" t="inlineStr">
        <is>
          <t>R&amp;R TRANSPORTE E LOGISTICA</t>
        </is>
      </c>
      <c r="G2229" s="27" t="n">
        <v>46050</v>
      </c>
      <c r="H2229" s="14" t="n">
        <v>12.01</v>
      </c>
      <c r="I2229" s="14" t="n">
        <v>0</v>
      </c>
      <c r="J2229" s="14" t="n">
        <v>0</v>
      </c>
      <c r="K2229" s="14" t="n">
        <v>0</v>
      </c>
      <c r="L2229" s="14" t="n">
        <v>0</v>
      </c>
      <c r="M2229" s="14">
        <f>IF(B2229="Frete de venda",0,(1-ISNUMBER(SEARCH("556",P2229)))*(I2229*VLOOKUP($B2229,Premissas!$A$4:$E$7,2,0)+J2229*VLOOKUP($B2229,Premissas!$A$4:$E$7,3,0))+K2229*VLOOKUP($B2229,Premissas!$A$4:$E$7,4,0)+L2229*VLOOKUP($B2229,Premissas!$A$4:$E$7,5,0))</f>
        <v/>
      </c>
      <c r="N2229" s="14">
        <f>H2229-M2229</f>
        <v/>
      </c>
      <c r="O2229" t="inlineStr">
        <is>
          <t>Não</t>
        </is>
      </c>
      <c r="P2229" t="inlineStr">
        <is>
          <t>1.350</t>
        </is>
      </c>
    </row>
    <row r="2230">
      <c r="A2230" s="24" t="n">
        <v>46023</v>
      </c>
      <c r="B2230" t="inlineStr">
        <is>
          <t>Frete de venda</t>
        </is>
      </c>
      <c r="C2230" t="inlineStr">
        <is>
          <t>Frete de venda (para clientes)</t>
        </is>
      </c>
      <c r="D2230" t="inlineStr">
        <is>
          <t>CT-e</t>
        </is>
      </c>
      <c r="E2230" t="inlineStr">
        <is>
          <t>000006154</t>
        </is>
      </c>
      <c r="F2230" t="inlineStr">
        <is>
          <t>R&amp;R TRANSPORTE E LOGISTICA</t>
        </is>
      </c>
      <c r="G2230" s="27" t="n">
        <v>46036</v>
      </c>
      <c r="H2230" s="14" t="n">
        <v>17.57</v>
      </c>
      <c r="I2230" s="14" t="n">
        <v>0</v>
      </c>
      <c r="J2230" s="14" t="n">
        <v>0</v>
      </c>
      <c r="K2230" s="14" t="n">
        <v>0</v>
      </c>
      <c r="L2230" s="14" t="n">
        <v>0</v>
      </c>
      <c r="M2230" s="14">
        <f>IF(B2230="Frete de venda",0,(1-ISNUMBER(SEARCH("556",P2230)))*(I2230*VLOOKUP($B2230,Premissas!$A$4:$E$7,2,0)+J2230*VLOOKUP($B2230,Premissas!$A$4:$E$7,3,0))+K2230*VLOOKUP($B2230,Premissas!$A$4:$E$7,4,0)+L2230*VLOOKUP($B2230,Premissas!$A$4:$E$7,5,0))</f>
        <v/>
      </c>
      <c r="N2230" s="14">
        <f>H2230-M2230</f>
        <v/>
      </c>
      <c r="O2230" t="inlineStr">
        <is>
          <t>Não</t>
        </is>
      </c>
      <c r="P2230" t="inlineStr">
        <is>
          <t>1.350</t>
        </is>
      </c>
    </row>
    <row r="2231">
      <c r="A2231" s="24" t="n">
        <v>46023</v>
      </c>
      <c r="B2231" t="inlineStr">
        <is>
          <t>Insumos e papel</t>
        </is>
      </c>
      <c r="C2231" t="inlineStr">
        <is>
          <t>2.01.03 Compra de Matéria Prima (Papel)</t>
        </is>
      </c>
      <c r="D2231" t="inlineStr">
        <is>
          <t>NF-e</t>
        </is>
      </c>
      <c r="E2231" t="inlineStr">
        <is>
          <t>000049422</t>
        </is>
      </c>
      <c r="F2231" t="inlineStr">
        <is>
          <t>ANIN INDUSTRIA E COMERCIO DE PAPEL LTDA</t>
        </is>
      </c>
      <c r="G2231" s="27" t="n">
        <v>46050</v>
      </c>
      <c r="H2231" s="14" t="n">
        <v>78170.82000000001</v>
      </c>
      <c r="I2231" s="14" t="n">
        <v>2460.57</v>
      </c>
      <c r="J2231" s="14" t="n">
        <v>5299.71</v>
      </c>
      <c r="K2231" s="14" t="n">
        <v>1161.77</v>
      </c>
      <c r="L2231" s="14" t="n">
        <v>5351.19</v>
      </c>
      <c r="M2231" s="14">
        <f>IF(B2231="Frete de venda",0,(1-ISNUMBER(SEARCH("556",P2231)))*(I2231*VLOOKUP($B2231,Premissas!$A$4:$E$7,2,0)+J2231*VLOOKUP($B2231,Premissas!$A$4:$E$7,3,0))+K2231*VLOOKUP($B2231,Premissas!$A$4:$E$7,4,0)+L2231*VLOOKUP($B2231,Premissas!$A$4:$E$7,5,0))</f>
        <v/>
      </c>
      <c r="N2231" s="14">
        <f>H2231-M2231</f>
        <v/>
      </c>
      <c r="O2231" t="inlineStr">
        <is>
          <t>Sim</t>
        </is>
      </c>
      <c r="P2231" t="inlineStr">
        <is>
          <t>2.102</t>
        </is>
      </c>
    </row>
    <row r="2232">
      <c r="A2232" s="24" t="n">
        <v>46023</v>
      </c>
      <c r="B2232" t="inlineStr">
        <is>
          <t>Insumos e papel</t>
        </is>
      </c>
      <c r="C2232" t="inlineStr">
        <is>
          <t>2.01.03 Compra de Matéria Prima (Papel)</t>
        </is>
      </c>
      <c r="D2232" t="inlineStr">
        <is>
          <t>NF-e</t>
        </is>
      </c>
      <c r="E2232" t="inlineStr">
        <is>
          <t>000012058</t>
        </is>
      </c>
      <c r="F2232" t="inlineStr">
        <is>
          <t>CMPC Iguacu Embalagens Ltda</t>
        </is>
      </c>
      <c r="G2232" s="27" t="n">
        <v>46045</v>
      </c>
      <c r="H2232" s="14" t="n">
        <v>141809.94</v>
      </c>
      <c r="I2232" s="14" t="n">
        <v>4463.75</v>
      </c>
      <c r="J2232" s="14" t="n">
        <v>9614.23</v>
      </c>
      <c r="K2232" s="14" t="n">
        <v>2107.58</v>
      </c>
      <c r="L2232" s="14" t="n">
        <v>9707.629999999999</v>
      </c>
      <c r="M2232" s="14">
        <f>IF(B2232="Frete de venda",0,(1-ISNUMBER(SEARCH("556",P2232)))*(I2232*VLOOKUP($B2232,Premissas!$A$4:$E$7,2,0)+J2232*VLOOKUP($B2232,Premissas!$A$4:$E$7,3,0))+K2232*VLOOKUP($B2232,Premissas!$A$4:$E$7,4,0)+L2232*VLOOKUP($B2232,Premissas!$A$4:$E$7,5,0))</f>
        <v/>
      </c>
      <c r="N2232" s="14">
        <f>H2232-M2232</f>
        <v/>
      </c>
      <c r="O2232" t="inlineStr">
        <is>
          <t>Sim</t>
        </is>
      </c>
      <c r="P2232" t="inlineStr">
        <is>
          <t>1.556</t>
        </is>
      </c>
    </row>
    <row r="2233">
      <c r="A2233" s="24" t="n">
        <v>46023</v>
      </c>
      <c r="B2233" t="inlineStr">
        <is>
          <t>Insumos e papel</t>
        </is>
      </c>
      <c r="C2233" t="inlineStr">
        <is>
          <t>2.01.03 Compra de Matéria Prima (Papel)</t>
        </is>
      </c>
      <c r="D2233" t="inlineStr">
        <is>
          <t>NF-e</t>
        </is>
      </c>
      <c r="E2233" t="inlineStr">
        <is>
          <t>000012069</t>
        </is>
      </c>
      <c r="F2233" t="inlineStr">
        <is>
          <t>CMPC Iguacu Embalagens Ltda</t>
        </is>
      </c>
      <c r="G2233" s="27" t="n">
        <v>46045</v>
      </c>
      <c r="H2233" s="14" t="n">
        <v>143752.99</v>
      </c>
      <c r="I2233" s="14" t="n">
        <v>4524.91</v>
      </c>
      <c r="J2233" s="14" t="n">
        <v>9745.969999999999</v>
      </c>
      <c r="K2233" s="14" t="n">
        <v>2136.46</v>
      </c>
      <c r="L2233" s="14" t="n">
        <v>9840.65</v>
      </c>
      <c r="M2233" s="14">
        <f>IF(B2233="Frete de venda",0,(1-ISNUMBER(SEARCH("556",P2233)))*(I2233*VLOOKUP($B2233,Premissas!$A$4:$E$7,2,0)+J2233*VLOOKUP($B2233,Premissas!$A$4:$E$7,3,0))+K2233*VLOOKUP($B2233,Premissas!$A$4:$E$7,4,0)+L2233*VLOOKUP($B2233,Premissas!$A$4:$E$7,5,0))</f>
        <v/>
      </c>
      <c r="N2233" s="14">
        <f>H2233-M2233</f>
        <v/>
      </c>
      <c r="O2233" t="inlineStr">
        <is>
          <t>Sim</t>
        </is>
      </c>
      <c r="P2233" t="inlineStr">
        <is>
          <t>1.556</t>
        </is>
      </c>
    </row>
    <row r="2234">
      <c r="A2234" s="24" t="n">
        <v>46023</v>
      </c>
      <c r="B2234" t="inlineStr">
        <is>
          <t>Insumos e papel</t>
        </is>
      </c>
      <c r="C2234" t="inlineStr">
        <is>
          <t>2.01.03 Compra de Matéria Prima (Papel)</t>
        </is>
      </c>
      <c r="D2234" t="inlineStr">
        <is>
          <t>NF-e</t>
        </is>
      </c>
      <c r="E2234" t="inlineStr">
        <is>
          <t>000012067</t>
        </is>
      </c>
      <c r="F2234" t="inlineStr">
        <is>
          <t>CMPC Iguacu Embalagens Ltda</t>
        </is>
      </c>
      <c r="G2234" s="27" t="n">
        <v>46045</v>
      </c>
      <c r="H2234" s="14" t="n">
        <v>141665.84</v>
      </c>
      <c r="I2234" s="14" t="n">
        <v>4459.22</v>
      </c>
      <c r="J2234" s="14" t="n">
        <v>9604.469999999999</v>
      </c>
      <c r="K2234" s="14" t="n">
        <v>2105.43</v>
      </c>
      <c r="L2234" s="14" t="n">
        <v>9697.77</v>
      </c>
      <c r="M2234" s="14">
        <f>IF(B2234="Frete de venda",0,(1-ISNUMBER(SEARCH("556",P2234)))*(I2234*VLOOKUP($B2234,Premissas!$A$4:$E$7,2,0)+J2234*VLOOKUP($B2234,Premissas!$A$4:$E$7,3,0))+K2234*VLOOKUP($B2234,Premissas!$A$4:$E$7,4,0)+L2234*VLOOKUP($B2234,Premissas!$A$4:$E$7,5,0))</f>
        <v/>
      </c>
      <c r="N2234" s="14">
        <f>H2234-M2234</f>
        <v/>
      </c>
      <c r="O2234" t="inlineStr">
        <is>
          <t>Sim</t>
        </is>
      </c>
      <c r="P2234" t="inlineStr">
        <is>
          <t>1.556</t>
        </is>
      </c>
    </row>
    <row r="2235">
      <c r="A2235" s="24" t="n">
        <v>46023</v>
      </c>
      <c r="B2235" t="inlineStr">
        <is>
          <t>Insumos e papel</t>
        </is>
      </c>
      <c r="C2235" t="inlineStr">
        <is>
          <t>2.01.03 Compra de Matéria Prima (Papel)</t>
        </is>
      </c>
      <c r="D2235" t="inlineStr">
        <is>
          <t>NF-e</t>
        </is>
      </c>
      <c r="E2235" t="inlineStr">
        <is>
          <t>000012065</t>
        </is>
      </c>
      <c r="F2235" t="inlineStr">
        <is>
          <t>CMPC Iguacu Embalagens Ltda</t>
        </is>
      </c>
      <c r="G2235" s="27" t="n">
        <v>46045</v>
      </c>
      <c r="H2235" s="14" t="n">
        <v>142685.38</v>
      </c>
      <c r="I2235" s="14" t="n">
        <v>4491.31</v>
      </c>
      <c r="J2235" s="14" t="n">
        <v>9673.59</v>
      </c>
      <c r="K2235" s="14" t="n">
        <v>2120.59</v>
      </c>
      <c r="L2235" s="14" t="n">
        <v>9767.559999999999</v>
      </c>
      <c r="M2235" s="14">
        <f>IF(B2235="Frete de venda",0,(1-ISNUMBER(SEARCH("556",P2235)))*(I2235*VLOOKUP($B2235,Premissas!$A$4:$E$7,2,0)+J2235*VLOOKUP($B2235,Premissas!$A$4:$E$7,3,0))+K2235*VLOOKUP($B2235,Premissas!$A$4:$E$7,4,0)+L2235*VLOOKUP($B2235,Premissas!$A$4:$E$7,5,0))</f>
        <v/>
      </c>
      <c r="N2235" s="14">
        <f>H2235-M2235</f>
        <v/>
      </c>
      <c r="O2235" t="inlineStr">
        <is>
          <t>Sim</t>
        </is>
      </c>
      <c r="P2235" t="inlineStr">
        <is>
          <t>1.556</t>
        </is>
      </c>
    </row>
    <row r="2236">
      <c r="A2236" s="24" t="n">
        <v>46023</v>
      </c>
      <c r="B2236" t="inlineStr">
        <is>
          <t>Insumos e papel</t>
        </is>
      </c>
      <c r="C2236" t="inlineStr">
        <is>
          <t>2.01.03 Compra de Matéria Prima (Papel)</t>
        </is>
      </c>
      <c r="D2236" t="inlineStr">
        <is>
          <t>NF-e</t>
        </is>
      </c>
      <c r="E2236" t="inlineStr">
        <is>
          <t>000012084</t>
        </is>
      </c>
      <c r="F2236" t="inlineStr">
        <is>
          <t>CMPC Iguacu Embalagens Ltda</t>
        </is>
      </c>
      <c r="G2236" s="27" t="n">
        <v>46048</v>
      </c>
      <c r="H2236" s="14" t="n">
        <v>144169.33</v>
      </c>
      <c r="I2236" s="14" t="n">
        <v>4538.01</v>
      </c>
      <c r="J2236" s="14" t="n">
        <v>9774.190000000001</v>
      </c>
      <c r="K2236" s="14" t="n">
        <v>2142.64</v>
      </c>
      <c r="L2236" s="14" t="n">
        <v>9869.139999999999</v>
      </c>
      <c r="M2236" s="14">
        <f>IF(B2236="Frete de venda",0,(1-ISNUMBER(SEARCH("556",P2236)))*(I2236*VLOOKUP($B2236,Premissas!$A$4:$E$7,2,0)+J2236*VLOOKUP($B2236,Premissas!$A$4:$E$7,3,0))+K2236*VLOOKUP($B2236,Premissas!$A$4:$E$7,4,0)+L2236*VLOOKUP($B2236,Premissas!$A$4:$E$7,5,0))</f>
        <v/>
      </c>
      <c r="N2236" s="14">
        <f>H2236-M2236</f>
        <v/>
      </c>
      <c r="O2236" t="inlineStr">
        <is>
          <t>Sim</t>
        </is>
      </c>
      <c r="P2236" t="inlineStr">
        <is>
          <t>1.556</t>
        </is>
      </c>
    </row>
    <row r="2237">
      <c r="A2237" s="24" t="n">
        <v>46023</v>
      </c>
      <c r="B2237" t="inlineStr">
        <is>
          <t>Insumos e papel</t>
        </is>
      </c>
      <c r="C2237" t="inlineStr">
        <is>
          <t>2.01.03 Compra de Matéria Prima (Papel)</t>
        </is>
      </c>
      <c r="D2237" t="inlineStr">
        <is>
          <t>NF-e</t>
        </is>
      </c>
      <c r="E2237" t="inlineStr">
        <is>
          <t>000012086</t>
        </is>
      </c>
      <c r="F2237" t="inlineStr">
        <is>
          <t>CMPC Iguacu Embalagens Ltda</t>
        </is>
      </c>
      <c r="G2237" s="27" t="n">
        <v>46048</v>
      </c>
      <c r="H2237" s="14" t="n">
        <v>142108.88</v>
      </c>
      <c r="I2237" s="14" t="n">
        <v>4473.16</v>
      </c>
      <c r="J2237" s="14" t="n">
        <v>9634.5</v>
      </c>
      <c r="K2237" s="14" t="n">
        <v>2112.02</v>
      </c>
      <c r="L2237" s="14" t="n">
        <v>9728.09</v>
      </c>
      <c r="M2237" s="14">
        <f>IF(B2237="Frete de venda",0,(1-ISNUMBER(SEARCH("556",P2237)))*(I2237*VLOOKUP($B2237,Premissas!$A$4:$E$7,2,0)+J2237*VLOOKUP($B2237,Premissas!$A$4:$E$7,3,0))+K2237*VLOOKUP($B2237,Premissas!$A$4:$E$7,4,0)+L2237*VLOOKUP($B2237,Premissas!$A$4:$E$7,5,0))</f>
        <v/>
      </c>
      <c r="N2237" s="14">
        <f>H2237-M2237</f>
        <v/>
      </c>
      <c r="O2237" t="inlineStr">
        <is>
          <t>Sim</t>
        </is>
      </c>
      <c r="P2237" t="inlineStr">
        <is>
          <t>1.556</t>
        </is>
      </c>
    </row>
    <row r="2238">
      <c r="A2238" s="24" t="n">
        <v>46023</v>
      </c>
      <c r="B2238" t="inlineStr">
        <is>
          <t>Insumos e papel</t>
        </is>
      </c>
      <c r="C2238" t="inlineStr">
        <is>
          <t>2.01.03 Compra de Matéria Prima (Papel)</t>
        </is>
      </c>
      <c r="D2238" t="inlineStr">
        <is>
          <t>NF-e</t>
        </is>
      </c>
      <c r="E2238" t="inlineStr">
        <is>
          <t>000012091</t>
        </is>
      </c>
      <c r="F2238" t="inlineStr">
        <is>
          <t>CMPC Iguacu Embalagens Ltda</t>
        </is>
      </c>
      <c r="G2238" s="27" t="n">
        <v>46048</v>
      </c>
      <c r="H2238" s="14" t="n">
        <v>143288.58</v>
      </c>
      <c r="I2238" s="14" t="n">
        <v>4510.3</v>
      </c>
      <c r="J2238" s="14" t="n">
        <v>9714.48</v>
      </c>
      <c r="K2238" s="14" t="n">
        <v>2129.55</v>
      </c>
      <c r="L2238" s="14" t="n">
        <v>9808.85</v>
      </c>
      <c r="M2238" s="14">
        <f>IF(B2238="Frete de venda",0,(1-ISNUMBER(SEARCH("556",P2238)))*(I2238*VLOOKUP($B2238,Premissas!$A$4:$E$7,2,0)+J2238*VLOOKUP($B2238,Premissas!$A$4:$E$7,3,0))+K2238*VLOOKUP($B2238,Premissas!$A$4:$E$7,4,0)+L2238*VLOOKUP($B2238,Premissas!$A$4:$E$7,5,0))</f>
        <v/>
      </c>
      <c r="N2238" s="14">
        <f>H2238-M2238</f>
        <v/>
      </c>
      <c r="O2238" t="inlineStr">
        <is>
          <t>Sim</t>
        </is>
      </c>
      <c r="P2238" t="inlineStr">
        <is>
          <t>1.556</t>
        </is>
      </c>
    </row>
    <row r="2239">
      <c r="A2239" s="24" t="n">
        <v>46023</v>
      </c>
      <c r="B2239" t="inlineStr">
        <is>
          <t>Insumos e papel</t>
        </is>
      </c>
      <c r="C2239" t="inlineStr">
        <is>
          <t>2.01.03 Compra de Matéria Prima (Papel)</t>
        </is>
      </c>
      <c r="D2239" t="inlineStr">
        <is>
          <t>NF-e</t>
        </is>
      </c>
      <c r="E2239" t="inlineStr">
        <is>
          <t>000012093</t>
        </is>
      </c>
      <c r="F2239" t="inlineStr">
        <is>
          <t>CMPC Iguacu Embalagens Ltda</t>
        </is>
      </c>
      <c r="G2239" s="27" t="n">
        <v>46048</v>
      </c>
      <c r="H2239" s="14" t="n">
        <v>143971.86</v>
      </c>
      <c r="I2239" s="14" t="n">
        <v>4531.8</v>
      </c>
      <c r="J2239" s="14" t="n">
        <v>9760.799999999999</v>
      </c>
      <c r="K2239" s="14" t="n">
        <v>2139.71</v>
      </c>
      <c r="L2239" s="14" t="n">
        <v>9855.629999999999</v>
      </c>
      <c r="M2239" s="14">
        <f>IF(B2239="Frete de venda",0,(1-ISNUMBER(SEARCH("556",P2239)))*(I2239*VLOOKUP($B2239,Premissas!$A$4:$E$7,2,0)+J2239*VLOOKUP($B2239,Premissas!$A$4:$E$7,3,0))+K2239*VLOOKUP($B2239,Premissas!$A$4:$E$7,4,0)+L2239*VLOOKUP($B2239,Premissas!$A$4:$E$7,5,0))</f>
        <v/>
      </c>
      <c r="N2239" s="14">
        <f>H2239-M2239</f>
        <v/>
      </c>
      <c r="O2239" t="inlineStr">
        <is>
          <t>Sim</t>
        </is>
      </c>
      <c r="P2239" t="inlineStr">
        <is>
          <t>1.556</t>
        </is>
      </c>
    </row>
    <row r="2240">
      <c r="A2240" s="24" t="n">
        <v>46023</v>
      </c>
      <c r="B2240" t="inlineStr">
        <is>
          <t>Insumos e papel</t>
        </is>
      </c>
      <c r="C2240" t="inlineStr">
        <is>
          <t>2.01.03 Compra de Matéria Prima (Papel)</t>
        </is>
      </c>
      <c r="D2240" t="inlineStr">
        <is>
          <t>NF-e</t>
        </is>
      </c>
      <c r="E2240" t="inlineStr">
        <is>
          <t>000012108</t>
        </is>
      </c>
      <c r="F2240" t="inlineStr">
        <is>
          <t>CMPC Iguacu Embalagens Ltda</t>
        </is>
      </c>
      <c r="G2240" s="27" t="n">
        <v>46049</v>
      </c>
      <c r="H2240" s="14" t="n">
        <v>140512.8</v>
      </c>
      <c r="I2240" s="14" t="n">
        <v>4422.92</v>
      </c>
      <c r="J2240" s="14" t="n">
        <v>9526.290000000001</v>
      </c>
      <c r="K2240" s="14" t="n">
        <v>2088.3</v>
      </c>
      <c r="L2240" s="14" t="n">
        <v>9618.83</v>
      </c>
      <c r="M2240" s="14">
        <f>IF(B2240="Frete de venda",0,(1-ISNUMBER(SEARCH("556",P2240)))*(I2240*VLOOKUP($B2240,Premissas!$A$4:$E$7,2,0)+J2240*VLOOKUP($B2240,Premissas!$A$4:$E$7,3,0))+K2240*VLOOKUP($B2240,Premissas!$A$4:$E$7,4,0)+L2240*VLOOKUP($B2240,Premissas!$A$4:$E$7,5,0))</f>
        <v/>
      </c>
      <c r="N2240" s="14">
        <f>H2240-M2240</f>
        <v/>
      </c>
      <c r="O2240" t="inlineStr">
        <is>
          <t>Sim</t>
        </is>
      </c>
      <c r="P2240" t="inlineStr">
        <is>
          <t>1.556</t>
        </is>
      </c>
    </row>
    <row r="2241">
      <c r="A2241" s="24" t="n">
        <v>46023</v>
      </c>
      <c r="B2241" t="inlineStr">
        <is>
          <t>Insumos e papel</t>
        </is>
      </c>
      <c r="C2241" t="inlineStr">
        <is>
          <t>2.01.03 Compra de Matéria Prima (Papel)</t>
        </is>
      </c>
      <c r="D2241" t="inlineStr">
        <is>
          <t>NF-e</t>
        </is>
      </c>
      <c r="E2241" t="inlineStr">
        <is>
          <t>000012111</t>
        </is>
      </c>
      <c r="F2241" t="inlineStr">
        <is>
          <t>CMPC Iguacu Embalagens Ltda</t>
        </is>
      </c>
      <c r="G2241" s="27" t="n">
        <v>46049</v>
      </c>
      <c r="H2241" s="14" t="n">
        <v>142925.6</v>
      </c>
      <c r="I2241" s="14" t="n">
        <v>4498.87</v>
      </c>
      <c r="J2241" s="14" t="n">
        <v>9689.870000000001</v>
      </c>
      <c r="K2241" s="14" t="n">
        <v>2124.16</v>
      </c>
      <c r="L2241" s="14" t="n">
        <v>9784</v>
      </c>
      <c r="M2241" s="14">
        <f>IF(B2241="Frete de venda",0,(1-ISNUMBER(SEARCH("556",P2241)))*(I2241*VLOOKUP($B2241,Premissas!$A$4:$E$7,2,0)+J2241*VLOOKUP($B2241,Premissas!$A$4:$E$7,3,0))+K2241*VLOOKUP($B2241,Premissas!$A$4:$E$7,4,0)+L2241*VLOOKUP($B2241,Premissas!$A$4:$E$7,5,0))</f>
        <v/>
      </c>
      <c r="N2241" s="14">
        <f>H2241-M2241</f>
        <v/>
      </c>
      <c r="O2241" t="inlineStr">
        <is>
          <t>Sim</t>
        </is>
      </c>
      <c r="P2241" t="inlineStr">
        <is>
          <t>1.556</t>
        </is>
      </c>
    </row>
    <row r="2242">
      <c r="A2242" s="24" t="n">
        <v>46023</v>
      </c>
      <c r="B2242" t="inlineStr">
        <is>
          <t>Insumos e papel</t>
        </is>
      </c>
      <c r="C2242" t="inlineStr">
        <is>
          <t>2.01.03 Compra de Matéria Prima (Papel)</t>
        </is>
      </c>
      <c r="D2242" t="inlineStr">
        <is>
          <t>NF-e</t>
        </is>
      </c>
      <c r="E2242" t="inlineStr">
        <is>
          <t>000012102</t>
        </is>
      </c>
      <c r="F2242" t="inlineStr">
        <is>
          <t>CMPC Iguacu Embalagens Ltda</t>
        </is>
      </c>
      <c r="G2242" s="27" t="n">
        <v>46049</v>
      </c>
      <c r="H2242" s="14" t="n">
        <v>142941.6</v>
      </c>
      <c r="I2242" s="14" t="n">
        <v>4499.37</v>
      </c>
      <c r="J2242" s="14" t="n">
        <v>9690.959999999999</v>
      </c>
      <c r="K2242" s="14" t="n">
        <v>2124.4</v>
      </c>
      <c r="L2242" s="14" t="n">
        <v>9785.1</v>
      </c>
      <c r="M2242" s="14">
        <f>IF(B2242="Frete de venda",0,(1-ISNUMBER(SEARCH("556",P2242)))*(I2242*VLOOKUP($B2242,Premissas!$A$4:$E$7,2,0)+J2242*VLOOKUP($B2242,Premissas!$A$4:$E$7,3,0))+K2242*VLOOKUP($B2242,Premissas!$A$4:$E$7,4,0)+L2242*VLOOKUP($B2242,Premissas!$A$4:$E$7,5,0))</f>
        <v/>
      </c>
      <c r="N2242" s="14">
        <f>H2242-M2242</f>
        <v/>
      </c>
      <c r="O2242" t="inlineStr">
        <is>
          <t>Sim</t>
        </is>
      </c>
      <c r="P2242" t="inlineStr">
        <is>
          <t>1.556</t>
        </is>
      </c>
    </row>
    <row r="2243">
      <c r="A2243" s="24" t="n">
        <v>46023</v>
      </c>
      <c r="B2243" t="inlineStr">
        <is>
          <t>Insumos e papel</t>
        </is>
      </c>
      <c r="C2243" t="inlineStr">
        <is>
          <t>2.01.03 Compra de Matéria Prima (Papel)</t>
        </is>
      </c>
      <c r="D2243" t="inlineStr">
        <is>
          <t>NF-e</t>
        </is>
      </c>
      <c r="E2243" t="inlineStr">
        <is>
          <t>000012100</t>
        </is>
      </c>
      <c r="F2243" t="inlineStr">
        <is>
          <t>CMPC Iguacu Embalagens Ltda</t>
        </is>
      </c>
      <c r="G2243" s="27" t="n">
        <v>46049</v>
      </c>
      <c r="H2243" s="14" t="n">
        <v>142567.94</v>
      </c>
      <c r="I2243" s="14" t="n">
        <v>4487.61</v>
      </c>
      <c r="J2243" s="14" t="n">
        <v>9665.620000000001</v>
      </c>
      <c r="K2243" s="14" t="n">
        <v>2118.84</v>
      </c>
      <c r="L2243" s="14" t="n">
        <v>9759.52</v>
      </c>
      <c r="M2243" s="14">
        <f>IF(B2243="Frete de venda",0,(1-ISNUMBER(SEARCH("556",P2243)))*(I2243*VLOOKUP($B2243,Premissas!$A$4:$E$7,2,0)+J2243*VLOOKUP($B2243,Premissas!$A$4:$E$7,3,0))+K2243*VLOOKUP($B2243,Premissas!$A$4:$E$7,4,0)+L2243*VLOOKUP($B2243,Premissas!$A$4:$E$7,5,0))</f>
        <v/>
      </c>
      <c r="N2243" s="14">
        <f>H2243-M2243</f>
        <v/>
      </c>
      <c r="O2243" t="inlineStr">
        <is>
          <t>Sim</t>
        </is>
      </c>
      <c r="P2243" t="inlineStr">
        <is>
          <t>1.556</t>
        </is>
      </c>
    </row>
    <row r="2244">
      <c r="A2244" s="24" t="n">
        <v>46023</v>
      </c>
      <c r="B2244" t="inlineStr">
        <is>
          <t>Uso e consumo</t>
        </is>
      </c>
      <c r="C2244" t="inlineStr">
        <is>
          <t>2.01.85 Compra de Uso e Consumo</t>
        </is>
      </c>
      <c r="D2244" t="inlineStr">
        <is>
          <t>NF-e</t>
        </is>
      </c>
      <c r="E2244" t="inlineStr">
        <is>
          <t>000023504</t>
        </is>
      </c>
      <c r="F2244" t="inlineStr">
        <is>
          <t>COSTA GONDIM e CIA LTDA</t>
        </is>
      </c>
      <c r="G2244" s="27" t="n">
        <v>46052</v>
      </c>
      <c r="H2244" s="14" t="n">
        <v>265</v>
      </c>
      <c r="I2244" s="14" t="n">
        <v>0</v>
      </c>
      <c r="J2244" s="14" t="n">
        <v>0</v>
      </c>
      <c r="K2244" s="14" t="n">
        <v>0</v>
      </c>
      <c r="L2244" s="14" t="n">
        <v>0</v>
      </c>
      <c r="M2244" s="14">
        <f>IF(B2244="Frete de venda",0,(1-ISNUMBER(SEARCH("556",P2244)))*(I2244*VLOOKUP($B2244,Premissas!$A$4:$E$7,2,0)+J2244*VLOOKUP($B2244,Premissas!$A$4:$E$7,3,0))+K2244*VLOOKUP($B2244,Premissas!$A$4:$E$7,4,0)+L2244*VLOOKUP($B2244,Premissas!$A$4:$E$7,5,0))</f>
        <v/>
      </c>
      <c r="N2244" s="14">
        <f>H2244-M2244</f>
        <v/>
      </c>
      <c r="O2244" t="inlineStr">
        <is>
          <t>Sim</t>
        </is>
      </c>
      <c r="P2244" t="inlineStr">
        <is>
          <t>1.102, 1.556</t>
        </is>
      </c>
    </row>
    <row r="2245">
      <c r="A2245" s="24" t="n">
        <v>46023</v>
      </c>
      <c r="B2245" t="inlineStr">
        <is>
          <t>Uso e consumo</t>
        </is>
      </c>
      <c r="C2245" t="inlineStr">
        <is>
          <t>2.01.85 Compra de Uso e Consumo</t>
        </is>
      </c>
      <c r="D2245" t="inlineStr">
        <is>
          <t>NF-e</t>
        </is>
      </c>
      <c r="E2245" t="inlineStr">
        <is>
          <t>000005635</t>
        </is>
      </c>
      <c r="F2245" t="inlineStr">
        <is>
          <t>GDM INDUSTRIA E COMERCIO DE PLASTICOS LTDA.</t>
        </is>
      </c>
      <c r="G2245" s="27" t="n">
        <v>46041</v>
      </c>
      <c r="H2245" s="14" t="n">
        <v>4919.77</v>
      </c>
      <c r="I2245" s="14" t="n">
        <v>641.71</v>
      </c>
      <c r="J2245" s="14" t="n">
        <v>513.37</v>
      </c>
      <c r="K2245" s="14" t="n">
        <v>62.12</v>
      </c>
      <c r="L2245" s="14" t="n">
        <v>286.12</v>
      </c>
      <c r="M2245" s="14">
        <f>IF(B2245="Frete de venda",0,(1-ISNUMBER(SEARCH("556",P2245)))*(I2245*VLOOKUP($B2245,Premissas!$A$4:$E$7,2,0)+J2245*VLOOKUP($B2245,Premissas!$A$4:$E$7,3,0))+K2245*VLOOKUP($B2245,Premissas!$A$4:$E$7,4,0)+L2245*VLOOKUP($B2245,Premissas!$A$4:$E$7,5,0))</f>
        <v/>
      </c>
      <c r="N2245" s="14">
        <f>H2245-M2245</f>
        <v/>
      </c>
      <c r="O2245" t="inlineStr">
        <is>
          <t>Sim</t>
        </is>
      </c>
      <c r="P2245" t="inlineStr">
        <is>
          <t>2.102</t>
        </is>
      </c>
    </row>
    <row r="2246">
      <c r="A2246" s="24" t="n">
        <v>46023</v>
      </c>
      <c r="B2246" t="inlineStr">
        <is>
          <t>Uso e consumo</t>
        </is>
      </c>
      <c r="C2246" t="inlineStr">
        <is>
          <t>2.01.85 Compra de Uso e Consumo</t>
        </is>
      </c>
      <c r="D2246" t="inlineStr">
        <is>
          <t>NF-e</t>
        </is>
      </c>
      <c r="E2246" t="inlineStr">
        <is>
          <t>000092343</t>
        </is>
      </c>
      <c r="F2246" t="inlineStr">
        <is>
          <t>REI DOS RELES DISTRIBUIDORA LTDA</t>
        </is>
      </c>
      <c r="G2246" s="27" t="n">
        <v>46036</v>
      </c>
      <c r="H2246" s="14" t="n">
        <v>575.5</v>
      </c>
      <c r="I2246" s="14" t="n">
        <v>0</v>
      </c>
      <c r="J2246" s="14" t="n">
        <v>23.02</v>
      </c>
      <c r="K2246" s="14" t="n">
        <v>3.59</v>
      </c>
      <c r="L2246" s="14" t="n">
        <v>16.57</v>
      </c>
      <c r="M2246" s="14">
        <f>IF(B2246="Frete de venda",0,(1-ISNUMBER(SEARCH("556",P2246)))*(I2246*VLOOKUP($B2246,Premissas!$A$4:$E$7,2,0)+J2246*VLOOKUP($B2246,Premissas!$A$4:$E$7,3,0))+K2246*VLOOKUP($B2246,Premissas!$A$4:$E$7,4,0)+L2246*VLOOKUP($B2246,Premissas!$A$4:$E$7,5,0))</f>
        <v/>
      </c>
      <c r="N2246" s="14">
        <f>H2246-M2246</f>
        <v/>
      </c>
      <c r="O2246" t="inlineStr">
        <is>
          <t>Sim</t>
        </is>
      </c>
      <c r="P2246" t="inlineStr">
        <is>
          <t>2.102</t>
        </is>
      </c>
    </row>
    <row r="2247">
      <c r="A2247" s="24" t="n">
        <v>46023</v>
      </c>
      <c r="B2247" t="inlineStr">
        <is>
          <t>Uso e consumo</t>
        </is>
      </c>
      <c r="C2247" t="inlineStr">
        <is>
          <t>2.01.85 Compra de Uso e Consumo</t>
        </is>
      </c>
      <c r="D2247" t="inlineStr">
        <is>
          <t>NF-e</t>
        </is>
      </c>
      <c r="E2247" t="inlineStr">
        <is>
          <t>000006588</t>
        </is>
      </c>
      <c r="F2247" t="inlineStr">
        <is>
          <t>SUPERGASBRAS ENERGIA LTDA</t>
        </is>
      </c>
      <c r="G2247" s="27" t="n">
        <v>46027</v>
      </c>
      <c r="H2247" s="14" t="n">
        <v>461.67</v>
      </c>
      <c r="I2247" s="14" t="n">
        <v>0</v>
      </c>
      <c r="J2247" s="14" t="n">
        <v>0</v>
      </c>
      <c r="K2247" s="14" t="n">
        <v>0</v>
      </c>
      <c r="L2247" s="14" t="n">
        <v>0</v>
      </c>
      <c r="M2247" s="14">
        <f>IF(B2247="Frete de venda",0,(1-ISNUMBER(SEARCH("556",P2247)))*(I2247*VLOOKUP($B2247,Premissas!$A$4:$E$7,2,0)+J2247*VLOOKUP($B2247,Premissas!$A$4:$E$7,3,0))+K2247*VLOOKUP($B2247,Premissas!$A$4:$E$7,4,0)+L2247*VLOOKUP($B2247,Premissas!$A$4:$E$7,5,0))</f>
        <v/>
      </c>
      <c r="N2247" s="14">
        <f>H2247-M2247</f>
        <v/>
      </c>
      <c r="O2247" t="inlineStr">
        <is>
          <t>Sim</t>
        </is>
      </c>
      <c r="P2247" t="inlineStr">
        <is>
          <t>1.653</t>
        </is>
      </c>
    </row>
    <row r="2248">
      <c r="A2248" s="24" t="n">
        <v>46023</v>
      </c>
      <c r="B2248" t="inlineStr">
        <is>
          <t>Uso e consumo</t>
        </is>
      </c>
      <c r="C2248" t="inlineStr">
        <is>
          <t>2.01.85 Compra de Uso e Consumo</t>
        </is>
      </c>
      <c r="D2248" t="inlineStr">
        <is>
          <t>NF-e</t>
        </is>
      </c>
      <c r="E2248" t="inlineStr">
        <is>
          <t>000006651</t>
        </is>
      </c>
      <c r="F2248" t="inlineStr">
        <is>
          <t>SUPERGASBRAS ENERGIA LTDA</t>
        </is>
      </c>
      <c r="G2248" s="27" t="n">
        <v>46034</v>
      </c>
      <c r="H2248" s="14" t="n">
        <v>307.78</v>
      </c>
      <c r="I2248" s="14" t="n">
        <v>0</v>
      </c>
      <c r="J2248" s="14" t="n">
        <v>0</v>
      </c>
      <c r="K2248" s="14" t="n">
        <v>0</v>
      </c>
      <c r="L2248" s="14" t="n">
        <v>0</v>
      </c>
      <c r="M2248" s="14">
        <f>IF(B2248="Frete de venda",0,(1-ISNUMBER(SEARCH("556",P2248)))*(I2248*VLOOKUP($B2248,Premissas!$A$4:$E$7,2,0)+J2248*VLOOKUP($B2248,Premissas!$A$4:$E$7,3,0))+K2248*VLOOKUP($B2248,Premissas!$A$4:$E$7,4,0)+L2248*VLOOKUP($B2248,Premissas!$A$4:$E$7,5,0))</f>
        <v/>
      </c>
      <c r="N2248" s="14">
        <f>H2248-M2248</f>
        <v/>
      </c>
      <c r="O2248" t="inlineStr">
        <is>
          <t>Sim</t>
        </is>
      </c>
      <c r="P2248" t="inlineStr">
        <is>
          <t>1.653</t>
        </is>
      </c>
    </row>
    <row r="2249">
      <c r="A2249" s="24" t="n">
        <v>46023</v>
      </c>
      <c r="B2249" t="inlineStr">
        <is>
          <t>Uso e consumo</t>
        </is>
      </c>
      <c r="C2249" t="inlineStr">
        <is>
          <t>2.01.85 Compra de Uso e Consumo</t>
        </is>
      </c>
      <c r="D2249" t="inlineStr">
        <is>
          <t>NF-e</t>
        </is>
      </c>
      <c r="E2249" t="inlineStr">
        <is>
          <t>000005038</t>
        </is>
      </c>
      <c r="F2249" t="inlineStr">
        <is>
          <t>SUPERGASBRAS ENERGIA LTDA</t>
        </is>
      </c>
      <c r="G2249" s="27" t="n">
        <v>46048</v>
      </c>
      <c r="H2249" s="14" t="n">
        <v>615.5599999999999</v>
      </c>
      <c r="I2249" s="14" t="n">
        <v>0</v>
      </c>
      <c r="J2249" s="14" t="n">
        <v>0</v>
      </c>
      <c r="K2249" s="14" t="n">
        <v>0</v>
      </c>
      <c r="L2249" s="14" t="n">
        <v>0</v>
      </c>
      <c r="M2249" s="14">
        <f>IF(B2249="Frete de venda",0,(1-ISNUMBER(SEARCH("556",P2249)))*(I2249*VLOOKUP($B2249,Premissas!$A$4:$E$7,2,0)+J2249*VLOOKUP($B2249,Premissas!$A$4:$E$7,3,0))+K2249*VLOOKUP($B2249,Premissas!$A$4:$E$7,4,0)+L2249*VLOOKUP($B2249,Premissas!$A$4:$E$7,5,0))</f>
        <v/>
      </c>
      <c r="N2249" s="14">
        <f>H2249-M2249</f>
        <v/>
      </c>
      <c r="O2249" t="inlineStr">
        <is>
          <t>Sim</t>
        </is>
      </c>
      <c r="P2249" t="inlineStr">
        <is>
          <t>1.653</t>
        </is>
      </c>
    </row>
    <row r="2250">
      <c r="A2250" s="24" t="n">
        <v>46023</v>
      </c>
      <c r="B2250" t="inlineStr">
        <is>
          <t>Uso e consumo</t>
        </is>
      </c>
      <c r="C2250" t="inlineStr">
        <is>
          <t>2.01.87 Compra de Peças de Máquinas</t>
        </is>
      </c>
      <c r="D2250" t="inlineStr">
        <is>
          <t>NF-e</t>
        </is>
      </c>
      <c r="E2250" t="inlineStr">
        <is>
          <t>000154852</t>
        </is>
      </c>
      <c r="F2250" t="inlineStr">
        <is>
          <t>Beltex Ind. e Com. de Correias Ltda.</t>
        </is>
      </c>
      <c r="G2250" s="27" t="n">
        <v>46051</v>
      </c>
      <c r="H2250" s="14" t="n">
        <v>3144.63</v>
      </c>
      <c r="I2250" s="14" t="n">
        <v>173.62</v>
      </c>
      <c r="J2250" s="14" t="n">
        <v>211.12</v>
      </c>
      <c r="K2250" s="14" t="n">
        <v>17.94</v>
      </c>
      <c r="L2250" s="14" t="n">
        <v>82.8</v>
      </c>
      <c r="M2250" s="14">
        <f>IF(B2250="Frete de venda",0,(1-ISNUMBER(SEARCH("556",P2250)))*(I2250*VLOOKUP($B2250,Premissas!$A$4:$E$7,2,0)+J2250*VLOOKUP($B2250,Premissas!$A$4:$E$7,3,0))+K2250*VLOOKUP($B2250,Premissas!$A$4:$E$7,4,0)+L2250*VLOOKUP($B2250,Premissas!$A$4:$E$7,5,0))</f>
        <v/>
      </c>
      <c r="N2250" s="14">
        <f>H2250-M2250</f>
        <v/>
      </c>
      <c r="O2250" t="inlineStr">
        <is>
          <t>Sim</t>
        </is>
      </c>
      <c r="P2250" t="inlineStr">
        <is>
          <t>2.102</t>
        </is>
      </c>
    </row>
    <row r="2251">
      <c r="A2251" s="24" t="n">
        <v>46023</v>
      </c>
      <c r="B2251" t="inlineStr">
        <is>
          <t>Uso e consumo</t>
        </is>
      </c>
      <c r="C2251" t="inlineStr">
        <is>
          <t>2.01.87 Compra de Peças de Máquinas</t>
        </is>
      </c>
      <c r="D2251" t="inlineStr">
        <is>
          <t>NF-e</t>
        </is>
      </c>
      <c r="E2251" t="inlineStr">
        <is>
          <t>000027856</t>
        </is>
      </c>
      <c r="F2251" t="inlineStr">
        <is>
          <t>CASA DOS PARAFUSOS COMERCIO DE FERRAGENS E FERRAMENTAS LTDA</t>
        </is>
      </c>
      <c r="G2251" s="27" t="n">
        <v>46031</v>
      </c>
      <c r="H2251" s="14" t="n">
        <v>216.36</v>
      </c>
      <c r="I2251" s="14" t="n">
        <v>0</v>
      </c>
      <c r="J2251" s="14" t="n">
        <v>0</v>
      </c>
      <c r="K2251" s="14" t="n">
        <v>1.4</v>
      </c>
      <c r="L2251" s="14" t="n">
        <v>6.49</v>
      </c>
      <c r="M2251" s="14">
        <f>IF(B2251="Frete de venda",0,(1-ISNUMBER(SEARCH("556",P2251)))*(I2251*VLOOKUP($B2251,Premissas!$A$4:$E$7,2,0)+J2251*VLOOKUP($B2251,Premissas!$A$4:$E$7,3,0))+K2251*VLOOKUP($B2251,Premissas!$A$4:$E$7,4,0)+L2251*VLOOKUP($B2251,Premissas!$A$4:$E$7,5,0))</f>
        <v/>
      </c>
      <c r="N2251" s="14">
        <f>H2251-M2251</f>
        <v/>
      </c>
      <c r="O2251" t="inlineStr">
        <is>
          <t>Sim</t>
        </is>
      </c>
      <c r="P2251" t="inlineStr">
        <is>
          <t>1.403</t>
        </is>
      </c>
    </row>
    <row r="2252">
      <c r="A2252" s="24" t="n">
        <v>46023</v>
      </c>
      <c r="B2252" t="inlineStr">
        <is>
          <t>Uso e consumo</t>
        </is>
      </c>
      <c r="C2252" t="inlineStr">
        <is>
          <t>2.01.87 Compra de Peças de Máquinas</t>
        </is>
      </c>
      <c r="D2252" t="inlineStr">
        <is>
          <t>NF-e</t>
        </is>
      </c>
      <c r="E2252" t="inlineStr">
        <is>
          <t>000012877</t>
        </is>
      </c>
      <c r="F2252" t="inlineStr">
        <is>
          <t>EDNA DE ARAUJO PACHECO LTDA</t>
        </is>
      </c>
      <c r="G2252" s="27" t="n">
        <v>46031</v>
      </c>
      <c r="H2252" s="14" t="n">
        <v>1342.4</v>
      </c>
      <c r="I2252" s="14" t="n">
        <v>0</v>
      </c>
      <c r="J2252" s="14" t="n">
        <v>0</v>
      </c>
      <c r="K2252" s="14" t="n">
        <v>0</v>
      </c>
      <c r="L2252" s="14" t="n">
        <v>0</v>
      </c>
      <c r="M2252" s="14">
        <f>IF(B2252="Frete de venda",0,(1-ISNUMBER(SEARCH("556",P2252)))*(I2252*VLOOKUP($B2252,Premissas!$A$4:$E$7,2,0)+J2252*VLOOKUP($B2252,Premissas!$A$4:$E$7,3,0))+K2252*VLOOKUP($B2252,Premissas!$A$4:$E$7,4,0)+L2252*VLOOKUP($B2252,Premissas!$A$4:$E$7,5,0))</f>
        <v/>
      </c>
      <c r="N2252" s="14">
        <f>H2252-M2252</f>
        <v/>
      </c>
      <c r="O2252" t="inlineStr">
        <is>
          <t>Sim</t>
        </is>
      </c>
      <c r="P2252" t="inlineStr">
        <is>
          <t>1.102, 1.403</t>
        </is>
      </c>
    </row>
    <row r="2253">
      <c r="A2253" s="24" t="n">
        <v>46023</v>
      </c>
      <c r="B2253" t="inlineStr">
        <is>
          <t>Uso e consumo</t>
        </is>
      </c>
      <c r="C2253" t="inlineStr">
        <is>
          <t>2.01.87 Compra de Peças de Máquinas</t>
        </is>
      </c>
      <c r="D2253" t="inlineStr">
        <is>
          <t>NF-e</t>
        </is>
      </c>
      <c r="E2253" t="inlineStr">
        <is>
          <t>000013056</t>
        </is>
      </c>
      <c r="F2253" t="inlineStr">
        <is>
          <t>EDNA DE ARAUJO PACHECO LTDA</t>
        </is>
      </c>
      <c r="G2253" s="27" t="n">
        <v>46050</v>
      </c>
      <c r="H2253" s="14" t="n">
        <v>230.76</v>
      </c>
      <c r="I2253" s="14" t="n">
        <v>0</v>
      </c>
      <c r="J2253" s="14" t="n">
        <v>0</v>
      </c>
      <c r="K2253" s="14" t="n">
        <v>0</v>
      </c>
      <c r="L2253" s="14" t="n">
        <v>0</v>
      </c>
      <c r="M2253" s="14">
        <f>IF(B2253="Frete de venda",0,(1-ISNUMBER(SEARCH("556",P2253)))*(I2253*VLOOKUP($B2253,Premissas!$A$4:$E$7,2,0)+J2253*VLOOKUP($B2253,Premissas!$A$4:$E$7,3,0))+K2253*VLOOKUP($B2253,Premissas!$A$4:$E$7,4,0)+L2253*VLOOKUP($B2253,Premissas!$A$4:$E$7,5,0))</f>
        <v/>
      </c>
      <c r="N2253" s="14">
        <f>H2253-M2253</f>
        <v/>
      </c>
      <c r="O2253" t="inlineStr">
        <is>
          <t>Sim</t>
        </is>
      </c>
      <c r="P2253" t="inlineStr">
        <is>
          <t>1.102</t>
        </is>
      </c>
    </row>
    <row r="2254">
      <c r="A2254" s="24" t="n">
        <v>46023</v>
      </c>
      <c r="B2254" t="inlineStr">
        <is>
          <t>Uso e consumo</t>
        </is>
      </c>
      <c r="C2254" t="inlineStr">
        <is>
          <t>2.01.87 Compra de Peças de Máquinas</t>
        </is>
      </c>
      <c r="D2254" t="inlineStr">
        <is>
          <t>NF-e</t>
        </is>
      </c>
      <c r="E2254" t="inlineStr">
        <is>
          <t>000101207</t>
        </is>
      </c>
      <c r="F2254" t="inlineStr">
        <is>
          <t>FERGE COMERCIO DE PRODUTOS INDUSTRIAIS LTDA</t>
        </is>
      </c>
      <c r="G2254" s="27" t="n">
        <v>46049</v>
      </c>
      <c r="H2254" s="14" t="n">
        <v>615</v>
      </c>
      <c r="I2254" s="14" t="n">
        <v>0</v>
      </c>
      <c r="J2254" s="14" t="n">
        <v>123</v>
      </c>
      <c r="K2254" s="14" t="n">
        <v>0</v>
      </c>
      <c r="L2254" s="14" t="n">
        <v>0</v>
      </c>
      <c r="M2254" s="14">
        <f>IF(B2254="Frete de venda",0,(1-ISNUMBER(SEARCH("556",P2254)))*(I2254*VLOOKUP($B2254,Premissas!$A$4:$E$7,2,0)+J2254*VLOOKUP($B2254,Premissas!$A$4:$E$7,3,0))+K2254*VLOOKUP($B2254,Premissas!$A$4:$E$7,4,0)+L2254*VLOOKUP($B2254,Premissas!$A$4:$E$7,5,0))</f>
        <v/>
      </c>
      <c r="N2254" s="14">
        <f>H2254-M2254</f>
        <v/>
      </c>
      <c r="O2254" t="inlineStr">
        <is>
          <t>Sim</t>
        </is>
      </c>
      <c r="P2254" t="inlineStr">
        <is>
          <t>1.102</t>
        </is>
      </c>
    </row>
    <row r="2255">
      <c r="A2255" s="24" t="n">
        <v>46023</v>
      </c>
      <c r="B2255" t="inlineStr">
        <is>
          <t>Uso e consumo</t>
        </is>
      </c>
      <c r="C2255" t="inlineStr">
        <is>
          <t>2.01.87 Compra de Peças de Máquinas</t>
        </is>
      </c>
      <c r="D2255" t="inlineStr">
        <is>
          <t>NF-e</t>
        </is>
      </c>
      <c r="E2255" t="inlineStr">
        <is>
          <t>000071052</t>
        </is>
      </c>
      <c r="F2255" t="inlineStr">
        <is>
          <t>FURNAX COMERCIAL E IMPORTADORA EIRELI</t>
        </is>
      </c>
      <c r="G2255" s="27" t="n">
        <v>46050</v>
      </c>
      <c r="H2255" s="14" t="n">
        <v>956.85</v>
      </c>
      <c r="I2255" s="14" t="n">
        <v>37.7</v>
      </c>
      <c r="J2255" s="14" t="n">
        <v>50.37</v>
      </c>
      <c r="K2255" s="14" t="n">
        <v>14.33</v>
      </c>
      <c r="L2255" s="14" t="n">
        <v>66.03</v>
      </c>
      <c r="M2255" s="14">
        <f>IF(B2255="Frete de venda",0,(1-ISNUMBER(SEARCH("556",P2255)))*(I2255*VLOOKUP($B2255,Premissas!$A$4:$E$7,2,0)+J2255*VLOOKUP($B2255,Premissas!$A$4:$E$7,3,0))+K2255*VLOOKUP($B2255,Premissas!$A$4:$E$7,4,0)+L2255*VLOOKUP($B2255,Premissas!$A$4:$E$7,5,0))</f>
        <v/>
      </c>
      <c r="N2255" s="14">
        <f>H2255-M2255</f>
        <v/>
      </c>
      <c r="O2255" t="inlineStr">
        <is>
          <t>Sim</t>
        </is>
      </c>
      <c r="P2255" t="inlineStr">
        <is>
          <t>2.102</t>
        </is>
      </c>
    </row>
    <row r="2256">
      <c r="A2256" s="24" t="n">
        <v>46023</v>
      </c>
      <c r="B2256" t="inlineStr">
        <is>
          <t>Uso e consumo</t>
        </is>
      </c>
      <c r="C2256" t="inlineStr">
        <is>
          <t>2.01.87 Compra de Peças de Máquinas</t>
        </is>
      </c>
      <c r="D2256" t="inlineStr">
        <is>
          <t>NF-e</t>
        </is>
      </c>
      <c r="E2256" t="inlineStr">
        <is>
          <t>000005330</t>
        </is>
      </c>
      <c r="F2256" t="inlineStr">
        <is>
          <t>GF COMERCIO DE PRODUTOS INDUSTRIAIS LTDA</t>
        </is>
      </c>
      <c r="G2256" s="27" t="n">
        <v>46028</v>
      </c>
      <c r="H2256" s="14" t="n">
        <v>220</v>
      </c>
      <c r="I2256" s="14" t="n">
        <v>0</v>
      </c>
      <c r="J2256" s="14" t="n">
        <v>0</v>
      </c>
      <c r="K2256" s="14" t="n">
        <v>0</v>
      </c>
      <c r="L2256" s="14" t="n">
        <v>0</v>
      </c>
      <c r="M2256" s="14">
        <f>IF(B2256="Frete de venda",0,(1-ISNUMBER(SEARCH("556",P2256)))*(I2256*VLOOKUP($B2256,Premissas!$A$4:$E$7,2,0)+J2256*VLOOKUP($B2256,Premissas!$A$4:$E$7,3,0))+K2256*VLOOKUP($B2256,Premissas!$A$4:$E$7,4,0)+L2256*VLOOKUP($B2256,Premissas!$A$4:$E$7,5,0))</f>
        <v/>
      </c>
      <c r="N2256" s="14">
        <f>H2256-M2256</f>
        <v/>
      </c>
      <c r="O2256" t="inlineStr">
        <is>
          <t>Sim</t>
        </is>
      </c>
      <c r="P2256" t="inlineStr">
        <is>
          <t>1.102</t>
        </is>
      </c>
    </row>
    <row r="2257">
      <c r="A2257" s="24" t="n">
        <v>46023</v>
      </c>
      <c r="B2257" t="inlineStr">
        <is>
          <t>Uso e consumo</t>
        </is>
      </c>
      <c r="C2257" t="inlineStr">
        <is>
          <t>2.01.87 Compra de Peças de Máquinas</t>
        </is>
      </c>
      <c r="D2257" t="inlineStr">
        <is>
          <t>NF-e</t>
        </is>
      </c>
      <c r="E2257" t="inlineStr">
        <is>
          <t>000000306</t>
        </is>
      </c>
      <c r="F2257" t="inlineStr">
        <is>
          <t>GOLDEN FIX PECAS E SERVICOS LTDA</t>
        </is>
      </c>
      <c r="G2257" s="27" t="n">
        <v>46042</v>
      </c>
      <c r="H2257" s="14" t="n">
        <v>561.2</v>
      </c>
      <c r="I2257" s="14" t="n">
        <v>0</v>
      </c>
      <c r="J2257" s="14" t="n">
        <v>0</v>
      </c>
      <c r="K2257" s="14" t="n">
        <v>0</v>
      </c>
      <c r="L2257" s="14" t="n">
        <v>0</v>
      </c>
      <c r="M2257" s="14">
        <f>IF(B2257="Frete de venda",0,(1-ISNUMBER(SEARCH("556",P2257)))*(I2257*VLOOKUP($B2257,Premissas!$A$4:$E$7,2,0)+J2257*VLOOKUP($B2257,Premissas!$A$4:$E$7,3,0))+K2257*VLOOKUP($B2257,Premissas!$A$4:$E$7,4,0)+L2257*VLOOKUP($B2257,Premissas!$A$4:$E$7,5,0))</f>
        <v/>
      </c>
      <c r="N2257" s="14">
        <f>H2257-M2257</f>
        <v/>
      </c>
      <c r="O2257" t="inlineStr">
        <is>
          <t>Sim</t>
        </is>
      </c>
      <c r="P2257" t="inlineStr">
        <is>
          <t>2.102</t>
        </is>
      </c>
    </row>
    <row r="2258">
      <c r="A2258" s="24" t="n">
        <v>46023</v>
      </c>
      <c r="B2258" t="inlineStr">
        <is>
          <t>Uso e consumo</t>
        </is>
      </c>
      <c r="C2258" t="inlineStr">
        <is>
          <t>2.01.87 Compra de Peças de Máquinas</t>
        </is>
      </c>
      <c r="D2258" t="inlineStr">
        <is>
          <t>NF-e</t>
        </is>
      </c>
      <c r="E2258" t="inlineStr">
        <is>
          <t>000240266</t>
        </is>
      </c>
      <c r="F2258" t="inlineStr">
        <is>
          <t>NORDIFE MATERIAIS ELETRICOS LTDA</t>
        </is>
      </c>
      <c r="G2258" s="27" t="n">
        <v>46035</v>
      </c>
      <c r="H2258" s="14" t="n">
        <v>141.52</v>
      </c>
      <c r="I2258" s="14" t="n">
        <v>0</v>
      </c>
      <c r="J2258" s="14" t="n">
        <v>0</v>
      </c>
      <c r="K2258" s="14" t="n">
        <v>0.92</v>
      </c>
      <c r="L2258" s="14" t="n">
        <v>4.25</v>
      </c>
      <c r="M2258" s="14">
        <f>IF(B2258="Frete de venda",0,(1-ISNUMBER(SEARCH("556",P2258)))*(I2258*VLOOKUP($B2258,Premissas!$A$4:$E$7,2,0)+J2258*VLOOKUP($B2258,Premissas!$A$4:$E$7,3,0))+K2258*VLOOKUP($B2258,Premissas!$A$4:$E$7,4,0)+L2258*VLOOKUP($B2258,Premissas!$A$4:$E$7,5,0))</f>
        <v/>
      </c>
      <c r="N2258" s="14">
        <f>H2258-M2258</f>
        <v/>
      </c>
      <c r="O2258" t="inlineStr">
        <is>
          <t>Sim</t>
        </is>
      </c>
      <c r="P2258" t="inlineStr">
        <is>
          <t>1.403</t>
        </is>
      </c>
    </row>
    <row r="2259">
      <c r="A2259" s="24" t="n">
        <v>46023</v>
      </c>
      <c r="B2259" t="inlineStr">
        <is>
          <t>Insumos e papel</t>
        </is>
      </c>
      <c r="C2259" t="inlineStr">
        <is>
          <t>2.01.89 Compra de Pallet</t>
        </is>
      </c>
      <c r="D2259" t="inlineStr">
        <is>
          <t>NF-e</t>
        </is>
      </c>
      <c r="E2259" t="inlineStr">
        <is>
          <t>000004089</t>
        </is>
      </c>
      <c r="F2259" t="inlineStr">
        <is>
          <t>RECICLAGEM LIBERDADE LTDA</t>
        </is>
      </c>
      <c r="G2259" s="27" t="n">
        <v>46035</v>
      </c>
      <c r="H2259" s="14" t="n">
        <v>1500</v>
      </c>
      <c r="I2259" s="14" t="n">
        <v>0</v>
      </c>
      <c r="J2259" s="14" t="n">
        <v>0</v>
      </c>
      <c r="K2259" s="14" t="n">
        <v>0</v>
      </c>
      <c r="L2259" s="14" t="n">
        <v>0</v>
      </c>
      <c r="M2259" s="14">
        <f>IF(B2259="Frete de venda",0,(1-ISNUMBER(SEARCH("556",P2259)))*(I2259*VLOOKUP($B2259,Premissas!$A$4:$E$7,2,0)+J2259*VLOOKUP($B2259,Premissas!$A$4:$E$7,3,0))+K2259*VLOOKUP($B2259,Premissas!$A$4:$E$7,4,0)+L2259*VLOOKUP($B2259,Premissas!$A$4:$E$7,5,0))</f>
        <v/>
      </c>
      <c r="N2259" s="14">
        <f>H2259-M2259</f>
        <v/>
      </c>
      <c r="O2259" t="inlineStr">
        <is>
          <t>Sim</t>
        </is>
      </c>
      <c r="P2259" t="inlineStr">
        <is>
          <t>1.556</t>
        </is>
      </c>
    </row>
    <row r="2260">
      <c r="A2260" s="24" t="n">
        <v>46023</v>
      </c>
      <c r="B2260" t="inlineStr">
        <is>
          <t>Insumos e papel</t>
        </is>
      </c>
      <c r="C2260" t="inlineStr">
        <is>
          <t>2.01.92 Compra de Tinta</t>
        </is>
      </c>
      <c r="D2260" t="inlineStr">
        <is>
          <t>NF-e</t>
        </is>
      </c>
      <c r="E2260" t="inlineStr">
        <is>
          <t>000003091</t>
        </is>
      </c>
      <c r="F2260" t="inlineStr">
        <is>
          <t>PRODUTOS, SERVICOS E TINTAS LATINOAMERICANOS PROYSA LTDA</t>
        </is>
      </c>
      <c r="G2260" s="27" t="n">
        <v>46049</v>
      </c>
      <c r="H2260" s="14" t="n">
        <v>1522</v>
      </c>
      <c r="I2260" s="14" t="n">
        <v>0</v>
      </c>
      <c r="J2260" s="14" t="n">
        <v>60.88</v>
      </c>
      <c r="K2260" s="14" t="n">
        <v>24.11</v>
      </c>
      <c r="L2260" s="14" t="n">
        <v>111.05</v>
      </c>
      <c r="M2260" s="14">
        <f>IF(B2260="Frete de venda",0,(1-ISNUMBER(SEARCH("556",P2260)))*(I2260*VLOOKUP($B2260,Premissas!$A$4:$E$7,2,0)+J2260*VLOOKUP($B2260,Premissas!$A$4:$E$7,3,0))+K2260*VLOOKUP($B2260,Premissas!$A$4:$E$7,4,0)+L2260*VLOOKUP($B2260,Premissas!$A$4:$E$7,5,0))</f>
        <v/>
      </c>
      <c r="N2260" s="14">
        <f>H2260-M2260</f>
        <v/>
      </c>
      <c r="O2260" t="inlineStr">
        <is>
          <t>Sim</t>
        </is>
      </c>
      <c r="P2260" t="inlineStr">
        <is>
          <t>2.102</t>
        </is>
      </c>
    </row>
    <row r="2261">
      <c r="A2261" s="24" t="n">
        <v>46023</v>
      </c>
      <c r="B2261" t="inlineStr">
        <is>
          <t>Insumos e papel</t>
        </is>
      </c>
      <c r="C2261" t="inlineStr">
        <is>
          <t>2.01.93 Compra de Plástico Poliolefínico</t>
        </is>
      </c>
      <c r="D2261" t="inlineStr">
        <is>
          <t>NF-e</t>
        </is>
      </c>
      <c r="E2261" t="inlineStr">
        <is>
          <t>000007852</t>
        </is>
      </c>
      <c r="F2261" t="inlineStr">
        <is>
          <t>ALSTEK SOLUCOES EM EMBALAGENS LTDA</t>
        </is>
      </c>
      <c r="G2261" s="27" t="n">
        <v>46035</v>
      </c>
      <c r="H2261" s="14" t="n">
        <v>54531.61</v>
      </c>
      <c r="I2261" s="14" t="n">
        <v>7112.81</v>
      </c>
      <c r="J2261" s="14" t="n">
        <v>1896.75</v>
      </c>
      <c r="K2261" s="14" t="n">
        <v>295.89</v>
      </c>
      <c r="L2261" s="14" t="n">
        <v>1365.66</v>
      </c>
      <c r="M2261" s="14">
        <f>IF(B2261="Frete de venda",0,(1-ISNUMBER(SEARCH("556",P2261)))*(I2261*VLOOKUP($B2261,Premissas!$A$4:$E$7,2,0)+J2261*VLOOKUP($B2261,Premissas!$A$4:$E$7,3,0))+K2261*VLOOKUP($B2261,Premissas!$A$4:$E$7,4,0)+L2261*VLOOKUP($B2261,Premissas!$A$4:$E$7,5,0))</f>
        <v/>
      </c>
      <c r="N2261" s="14">
        <f>H2261-M2261</f>
        <v/>
      </c>
      <c r="O2261" t="inlineStr">
        <is>
          <t>Sim</t>
        </is>
      </c>
      <c r="P2261" t="inlineStr">
        <is>
          <t>2.102</t>
        </is>
      </c>
    </row>
    <row r="2262">
      <c r="A2262" s="24" t="n">
        <v>46023</v>
      </c>
      <c r="B2262" t="inlineStr">
        <is>
          <t>Insumos e papel</t>
        </is>
      </c>
      <c r="C2262" t="inlineStr">
        <is>
          <t>2.01.94 Compra de Fita Adesiva</t>
        </is>
      </c>
      <c r="D2262" t="inlineStr">
        <is>
          <t>NF-e</t>
        </is>
      </c>
      <c r="E2262" t="inlineStr">
        <is>
          <t>000044698</t>
        </is>
      </c>
      <c r="F2262" t="inlineStr">
        <is>
          <t>ADERE PRODUTOS AUTO ADESIVOS LTDA</t>
        </is>
      </c>
      <c r="G2262" s="27" t="n">
        <v>46031</v>
      </c>
      <c r="H2262" s="14" t="n">
        <v>4519.87</v>
      </c>
      <c r="I2262" s="14" t="n">
        <v>142.27</v>
      </c>
      <c r="J2262" s="14" t="n">
        <v>542.38</v>
      </c>
      <c r="K2262" s="14" t="n">
        <v>63.28</v>
      </c>
      <c r="L2262" s="14" t="n">
        <v>291.48</v>
      </c>
      <c r="M2262" s="14">
        <f>IF(B2262="Frete de venda",0,(1-ISNUMBER(SEARCH("556",P2262)))*(I2262*VLOOKUP($B2262,Premissas!$A$4:$E$7,2,0)+J2262*VLOOKUP($B2262,Premissas!$A$4:$E$7,3,0))+K2262*VLOOKUP($B2262,Premissas!$A$4:$E$7,4,0)+L2262*VLOOKUP($B2262,Premissas!$A$4:$E$7,5,0))</f>
        <v/>
      </c>
      <c r="N2262" s="14">
        <f>H2262-M2262</f>
        <v/>
      </c>
      <c r="O2262" t="inlineStr">
        <is>
          <t>Sim</t>
        </is>
      </c>
      <c r="P2262" t="inlineStr">
        <is>
          <t>1.556</t>
        </is>
      </c>
    </row>
    <row r="2263">
      <c r="A2263" s="24" t="n">
        <v>46023</v>
      </c>
      <c r="B2263" t="inlineStr">
        <is>
          <t>Insumos e papel</t>
        </is>
      </c>
      <c r="C2263" t="inlineStr">
        <is>
          <t>2.01.94 Compra de Fita Adesiva</t>
        </is>
      </c>
      <c r="D2263" t="inlineStr">
        <is>
          <t>NF-e</t>
        </is>
      </c>
      <c r="E2263" t="inlineStr">
        <is>
          <t>000001699</t>
        </is>
      </c>
      <c r="F2263" t="inlineStr">
        <is>
          <t>B. B. A. INDUSTRIA E COMERCIO IMPORTACAO E EXPORTACAO LTDA</t>
        </is>
      </c>
      <c r="G2263" s="27" t="n">
        <v>46041</v>
      </c>
      <c r="H2263" s="14" t="n">
        <v>4609.2</v>
      </c>
      <c r="I2263" s="14" t="n">
        <v>601.2</v>
      </c>
      <c r="J2263" s="14" t="n">
        <v>553.1</v>
      </c>
      <c r="K2263" s="14" t="n">
        <v>57.01</v>
      </c>
      <c r="L2263" s="14" t="n">
        <v>262.57</v>
      </c>
      <c r="M2263" s="14">
        <f>IF(B2263="Frete de venda",0,(1-ISNUMBER(SEARCH("556",P2263)))*(I2263*VLOOKUP($B2263,Premissas!$A$4:$E$7,2,0)+J2263*VLOOKUP($B2263,Premissas!$A$4:$E$7,3,0))+K2263*VLOOKUP($B2263,Premissas!$A$4:$E$7,4,0)+L2263*VLOOKUP($B2263,Premissas!$A$4:$E$7,5,0))</f>
        <v/>
      </c>
      <c r="N2263" s="14">
        <f>H2263-M2263</f>
        <v/>
      </c>
      <c r="O2263" t="inlineStr">
        <is>
          <t>Sim</t>
        </is>
      </c>
      <c r="P2263" t="inlineStr">
        <is>
          <t>2.102</t>
        </is>
      </c>
    </row>
    <row r="2264">
      <c r="A2264" s="24" t="n">
        <v>46023</v>
      </c>
      <c r="B2264" t="inlineStr">
        <is>
          <t>Insumos e papel</t>
        </is>
      </c>
      <c r="C2264" t="inlineStr">
        <is>
          <t>2.01.94 Compra de Fita Adesiva</t>
        </is>
      </c>
      <c r="D2264" t="inlineStr">
        <is>
          <t>NF-e</t>
        </is>
      </c>
      <c r="E2264" t="inlineStr">
        <is>
          <t>000000656</t>
        </is>
      </c>
      <c r="F2264" t="inlineStr">
        <is>
          <t>Limptech Paper Comercio Ltda</t>
        </is>
      </c>
      <c r="G2264" s="27" t="n">
        <v>46035</v>
      </c>
      <c r="H2264" s="14" t="n">
        <v>618.75</v>
      </c>
      <c r="I2264" s="14" t="n">
        <v>0</v>
      </c>
      <c r="J2264" s="14" t="n">
        <v>0</v>
      </c>
      <c r="K2264" s="14" t="n">
        <v>0</v>
      </c>
      <c r="L2264" s="14" t="n">
        <v>0</v>
      </c>
      <c r="M2264" s="14">
        <f>IF(B2264="Frete de venda",0,(1-ISNUMBER(SEARCH("556",P2264)))*(I2264*VLOOKUP($B2264,Premissas!$A$4:$E$7,2,0)+J2264*VLOOKUP($B2264,Premissas!$A$4:$E$7,3,0))+K2264*VLOOKUP($B2264,Premissas!$A$4:$E$7,4,0)+L2264*VLOOKUP($B2264,Premissas!$A$4:$E$7,5,0))</f>
        <v/>
      </c>
      <c r="N2264" s="14">
        <f>H2264-M2264</f>
        <v/>
      </c>
      <c r="O2264" t="inlineStr">
        <is>
          <t>Sim</t>
        </is>
      </c>
      <c r="P2264" t="inlineStr">
        <is>
          <t>1.102</t>
        </is>
      </c>
    </row>
    <row r="2265">
      <c r="A2265" s="24" t="n">
        <v>46023</v>
      </c>
      <c r="B2265" t="inlineStr">
        <is>
          <t>Insumos e papel</t>
        </is>
      </c>
      <c r="C2265" t="inlineStr">
        <is>
          <t>2.01.94 Compra de Fita Adesiva</t>
        </is>
      </c>
      <c r="D2265" t="inlineStr">
        <is>
          <t>NF-e</t>
        </is>
      </c>
      <c r="E2265" t="inlineStr">
        <is>
          <t>000000362</t>
        </is>
      </c>
      <c r="F2265" t="inlineStr">
        <is>
          <t>ODAFLEXO COMERCIO DE PRODUTOS FLEXOGRAFICOS LTDA</t>
        </is>
      </c>
      <c r="G2265" s="27" t="n">
        <v>46030</v>
      </c>
      <c r="H2265" s="14" t="n">
        <v>3900</v>
      </c>
      <c r="I2265" s="14" t="n">
        <v>0</v>
      </c>
      <c r="J2265" s="14" t="n">
        <v>0</v>
      </c>
      <c r="K2265" s="14" t="n">
        <v>0</v>
      </c>
      <c r="L2265" s="14" t="n">
        <v>0</v>
      </c>
      <c r="M2265" s="14">
        <f>IF(B2265="Frete de venda",0,(1-ISNUMBER(SEARCH("556",P2265)))*(I2265*VLOOKUP($B2265,Premissas!$A$4:$E$7,2,0)+J2265*VLOOKUP($B2265,Premissas!$A$4:$E$7,3,0))+K2265*VLOOKUP($B2265,Premissas!$A$4:$E$7,4,0)+L2265*VLOOKUP($B2265,Premissas!$A$4:$E$7,5,0))</f>
        <v/>
      </c>
      <c r="N2265" s="14">
        <f>H2265-M2265</f>
        <v/>
      </c>
      <c r="O2265" t="inlineStr">
        <is>
          <t>Sim</t>
        </is>
      </c>
      <c r="P2265" t="inlineStr">
        <is>
          <t>2.102</t>
        </is>
      </c>
    </row>
    <row r="2266">
      <c r="A2266" s="24" t="n">
        <v>46023</v>
      </c>
      <c r="B2266" t="inlineStr">
        <is>
          <t>Insumos e papel</t>
        </is>
      </c>
      <c r="C2266" t="inlineStr">
        <is>
          <t>2.01.95 Compra de Etiqueta</t>
        </is>
      </c>
      <c r="D2266" t="inlineStr">
        <is>
          <t>NF-e</t>
        </is>
      </c>
      <c r="E2266" t="inlineStr">
        <is>
          <t>000002271</t>
        </is>
      </c>
      <c r="F2266" t="inlineStr">
        <is>
          <t>FLEXOPEL LTDA</t>
        </is>
      </c>
      <c r="G2266" s="27" t="n">
        <v>46037</v>
      </c>
      <c r="H2266" s="14" t="n">
        <v>9539.950000000001</v>
      </c>
      <c r="I2266" s="14" t="n">
        <v>0</v>
      </c>
      <c r="J2266" s="14" t="n">
        <v>1907.99</v>
      </c>
      <c r="K2266" s="14" t="n">
        <v>125.93</v>
      </c>
      <c r="L2266" s="14" t="n">
        <v>580.05</v>
      </c>
      <c r="M2266" s="14">
        <f>IF(B2266="Frete de venda",0,(1-ISNUMBER(SEARCH("556",P2266)))*(I2266*VLOOKUP($B2266,Premissas!$A$4:$E$7,2,0)+J2266*VLOOKUP($B2266,Premissas!$A$4:$E$7,3,0))+K2266*VLOOKUP($B2266,Premissas!$A$4:$E$7,4,0)+L2266*VLOOKUP($B2266,Premissas!$A$4:$E$7,5,0))</f>
        <v/>
      </c>
      <c r="N2266" s="14">
        <f>H2266-M2266</f>
        <v/>
      </c>
      <c r="O2266" t="inlineStr">
        <is>
          <t>Sim</t>
        </is>
      </c>
      <c r="P2266" t="inlineStr">
        <is>
          <t>1.102</t>
        </is>
      </c>
    </row>
    <row r="2267">
      <c r="A2267" s="24" t="n">
        <v>46023</v>
      </c>
      <c r="B2267" t="inlineStr">
        <is>
          <t>Insumos e papel</t>
        </is>
      </c>
      <c r="C2267" t="inlineStr">
        <is>
          <t>2.01.95 Compra de Etiqueta</t>
        </is>
      </c>
      <c r="D2267" t="inlineStr">
        <is>
          <t>NF-e</t>
        </is>
      </c>
      <c r="E2267" t="inlineStr">
        <is>
          <t>000002506</t>
        </is>
      </c>
      <c r="F2267" t="inlineStr">
        <is>
          <t>FLEXOPEL LTDA</t>
        </is>
      </c>
      <c r="G2267" s="27" t="n">
        <v>46052</v>
      </c>
      <c r="H2267" s="14" t="n">
        <v>816</v>
      </c>
      <c r="I2267" s="14" t="n">
        <v>0</v>
      </c>
      <c r="J2267" s="14" t="n">
        <v>163.2</v>
      </c>
      <c r="K2267" s="14" t="n">
        <v>10.77</v>
      </c>
      <c r="L2267" s="14" t="n">
        <v>49.61</v>
      </c>
      <c r="M2267" s="14">
        <f>IF(B2267="Frete de venda",0,(1-ISNUMBER(SEARCH("556",P2267)))*(I2267*VLOOKUP($B2267,Premissas!$A$4:$E$7,2,0)+J2267*VLOOKUP($B2267,Premissas!$A$4:$E$7,3,0))+K2267*VLOOKUP($B2267,Premissas!$A$4:$E$7,4,0)+L2267*VLOOKUP($B2267,Premissas!$A$4:$E$7,5,0))</f>
        <v/>
      </c>
      <c r="N2267" s="14">
        <f>H2267-M2267</f>
        <v/>
      </c>
      <c r="O2267" t="inlineStr">
        <is>
          <t>Sim</t>
        </is>
      </c>
      <c r="P2267" t="inlineStr">
        <is>
          <t>1.102</t>
        </is>
      </c>
    </row>
    <row r="2268">
      <c r="A2268" s="24" t="n">
        <v>46023</v>
      </c>
      <c r="B2268" t="inlineStr">
        <is>
          <t>Insumos e papel</t>
        </is>
      </c>
      <c r="C2268" t="inlineStr">
        <is>
          <t>2.01.95 Compra de Etiqueta</t>
        </is>
      </c>
      <c r="D2268" t="inlineStr">
        <is>
          <t>NF-e</t>
        </is>
      </c>
      <c r="E2268" t="inlineStr">
        <is>
          <t>000000204</t>
        </is>
      </c>
      <c r="F2268" t="inlineStr">
        <is>
          <t>INFORPOINT SERVICOS E COMERCIO EM TECNOLOGIA LTDA</t>
        </is>
      </c>
      <c r="G2268" s="27" t="n">
        <v>46030</v>
      </c>
      <c r="H2268" s="14" t="n">
        <v>250</v>
      </c>
      <c r="I2268" s="14" t="n">
        <v>0</v>
      </c>
      <c r="J2268" s="14" t="n">
        <v>0</v>
      </c>
      <c r="K2268" s="14" t="n">
        <v>0</v>
      </c>
      <c r="L2268" s="14" t="n">
        <v>0</v>
      </c>
      <c r="M2268" s="14">
        <f>IF(B2268="Frete de venda",0,(1-ISNUMBER(SEARCH("556",P2268)))*(I2268*VLOOKUP($B2268,Premissas!$A$4:$E$7,2,0)+J2268*VLOOKUP($B2268,Premissas!$A$4:$E$7,3,0))+K2268*VLOOKUP($B2268,Premissas!$A$4:$E$7,4,0)+L2268*VLOOKUP($B2268,Premissas!$A$4:$E$7,5,0))</f>
        <v/>
      </c>
      <c r="N2268" s="14">
        <f>H2268-M2268</f>
        <v/>
      </c>
      <c r="O2268" t="inlineStr">
        <is>
          <t>Sim</t>
        </is>
      </c>
      <c r="P2268" t="inlineStr">
        <is>
          <t>1.102</t>
        </is>
      </c>
    </row>
    <row r="2269">
      <c r="A2269" s="24" t="n">
        <v>46023</v>
      </c>
      <c r="B2269" t="inlineStr">
        <is>
          <t>Insumos e papel</t>
        </is>
      </c>
      <c r="C2269" t="inlineStr">
        <is>
          <t>2.01.96 Compra de Cola</t>
        </is>
      </c>
      <c r="D2269" t="inlineStr">
        <is>
          <t>NF-e</t>
        </is>
      </c>
      <c r="E2269" t="inlineStr">
        <is>
          <t>000036475</t>
        </is>
      </c>
      <c r="F2269" t="inlineStr">
        <is>
          <t>COLAMID</t>
        </is>
      </c>
      <c r="G2269" s="27" t="n">
        <v>46029</v>
      </c>
      <c r="H2269" s="14" t="n">
        <v>37030</v>
      </c>
      <c r="I2269" s="14" t="n">
        <v>0</v>
      </c>
      <c r="J2269" s="14" t="n">
        <v>4443.6</v>
      </c>
      <c r="K2269" s="14" t="n">
        <v>0</v>
      </c>
      <c r="L2269" s="14" t="n">
        <v>0</v>
      </c>
      <c r="M2269" s="14">
        <f>IF(B2269="Frete de venda",0,(1-ISNUMBER(SEARCH("556",P2269)))*(I2269*VLOOKUP($B2269,Premissas!$A$4:$E$7,2,0)+J2269*VLOOKUP($B2269,Premissas!$A$4:$E$7,3,0))+K2269*VLOOKUP($B2269,Premissas!$A$4:$E$7,4,0)+L2269*VLOOKUP($B2269,Premissas!$A$4:$E$7,5,0))</f>
        <v/>
      </c>
      <c r="N2269" s="14">
        <f>H2269-M2269</f>
        <v/>
      </c>
      <c r="O2269" t="inlineStr">
        <is>
          <t>Sim</t>
        </is>
      </c>
      <c r="P2269" t="inlineStr">
        <is>
          <t>1.556</t>
        </is>
      </c>
    </row>
    <row r="2270">
      <c r="A2270" s="24" t="n">
        <v>46023</v>
      </c>
      <c r="B2270" t="inlineStr">
        <is>
          <t>Insumos e papel</t>
        </is>
      </c>
      <c r="C2270" t="inlineStr">
        <is>
          <t>2.01.96 Compra de Cola</t>
        </is>
      </c>
      <c r="D2270" t="inlineStr">
        <is>
          <t>NF-e</t>
        </is>
      </c>
      <c r="E2270" t="inlineStr">
        <is>
          <t>000036540</t>
        </is>
      </c>
      <c r="F2270" t="inlineStr">
        <is>
          <t>COLAMID</t>
        </is>
      </c>
      <c r="G2270" s="27" t="n">
        <v>46037</v>
      </c>
      <c r="H2270" s="14" t="n">
        <v>44345</v>
      </c>
      <c r="I2270" s="14" t="n">
        <v>0</v>
      </c>
      <c r="J2270" s="14" t="n">
        <v>5321.4</v>
      </c>
      <c r="K2270" s="14" t="n">
        <v>0</v>
      </c>
      <c r="L2270" s="14" t="n">
        <v>0</v>
      </c>
      <c r="M2270" s="14">
        <f>IF(B2270="Frete de venda",0,(1-ISNUMBER(SEARCH("556",P2270)))*(I2270*VLOOKUP($B2270,Premissas!$A$4:$E$7,2,0)+J2270*VLOOKUP($B2270,Premissas!$A$4:$E$7,3,0))+K2270*VLOOKUP($B2270,Premissas!$A$4:$E$7,4,0)+L2270*VLOOKUP($B2270,Premissas!$A$4:$E$7,5,0))</f>
        <v/>
      </c>
      <c r="N2270" s="14">
        <f>H2270-M2270</f>
        <v/>
      </c>
      <c r="O2270" t="inlineStr">
        <is>
          <t>Sim</t>
        </is>
      </c>
      <c r="P2270" t="inlineStr">
        <is>
          <t>1.556</t>
        </is>
      </c>
    </row>
    <row r="2271">
      <c r="A2271" s="24" t="n">
        <v>46023</v>
      </c>
      <c r="B2271" t="inlineStr">
        <is>
          <t>Insumos e papel</t>
        </is>
      </c>
      <c r="C2271" t="inlineStr">
        <is>
          <t>2.01.96 Compra de Cola</t>
        </is>
      </c>
      <c r="D2271" t="inlineStr">
        <is>
          <t>NF-e</t>
        </is>
      </c>
      <c r="E2271" t="inlineStr">
        <is>
          <t>000020988</t>
        </is>
      </c>
      <c r="F2271" t="inlineStr">
        <is>
          <t>REQUIM PRODUTOS QUIMICOS LTDA</t>
        </is>
      </c>
      <c r="G2271" s="27" t="n">
        <v>46034</v>
      </c>
      <c r="H2271" s="14" t="n">
        <v>32400</v>
      </c>
      <c r="I2271" s="14" t="n">
        <v>0</v>
      </c>
      <c r="J2271" s="14" t="n">
        <v>1296</v>
      </c>
      <c r="K2271" s="14" t="n">
        <v>202.18</v>
      </c>
      <c r="L2271" s="14" t="n">
        <v>933.12</v>
      </c>
      <c r="M2271" s="14">
        <f>IF(B2271="Frete de venda",0,(1-ISNUMBER(SEARCH("556",P2271)))*(I2271*VLOOKUP($B2271,Premissas!$A$4:$E$7,2,0)+J2271*VLOOKUP($B2271,Premissas!$A$4:$E$7,3,0))+K2271*VLOOKUP($B2271,Premissas!$A$4:$E$7,4,0)+L2271*VLOOKUP($B2271,Premissas!$A$4:$E$7,5,0))</f>
        <v/>
      </c>
      <c r="N2271" s="14">
        <f>H2271-M2271</f>
        <v/>
      </c>
      <c r="O2271" t="inlineStr">
        <is>
          <t>Sim</t>
        </is>
      </c>
      <c r="P2271" t="inlineStr">
        <is>
          <t>2.102</t>
        </is>
      </c>
    </row>
    <row r="2272">
      <c r="A2272" s="24" t="n">
        <v>46023</v>
      </c>
      <c r="B2272" t="inlineStr">
        <is>
          <t>Insumos e papel</t>
        </is>
      </c>
      <c r="C2272" t="inlineStr">
        <is>
          <t>2.01.97 Compra de Clichê</t>
        </is>
      </c>
      <c r="D2272" t="inlineStr">
        <is>
          <t>NF-e</t>
        </is>
      </c>
      <c r="E2272" t="inlineStr">
        <is>
          <t>000036992</t>
        </is>
      </c>
      <c r="F2272" t="inlineStr">
        <is>
          <t>DELINEAR BAHIA CLICHERIA LTDA</t>
        </is>
      </c>
      <c r="G2272" s="27" t="n">
        <v>46050</v>
      </c>
      <c r="H2272" s="14" t="n">
        <v>16632.72</v>
      </c>
      <c r="I2272" s="14" t="n">
        <v>0</v>
      </c>
      <c r="J2272" s="14" t="n">
        <v>0</v>
      </c>
      <c r="K2272" s="14" t="n">
        <v>0</v>
      </c>
      <c r="L2272" s="14" t="n">
        <v>0</v>
      </c>
      <c r="M2272" s="14">
        <f>IF(B2272="Frete de venda",0,(1-ISNUMBER(SEARCH("556",P2272)))*(I2272*VLOOKUP($B2272,Premissas!$A$4:$E$7,2,0)+J2272*VLOOKUP($B2272,Premissas!$A$4:$E$7,3,0))+K2272*VLOOKUP($B2272,Premissas!$A$4:$E$7,4,0)+L2272*VLOOKUP($B2272,Premissas!$A$4:$E$7,5,0))</f>
        <v/>
      </c>
      <c r="N2272" s="14">
        <f>H2272-M2272</f>
        <v/>
      </c>
      <c r="O2272" t="inlineStr">
        <is>
          <t>Sim</t>
        </is>
      </c>
      <c r="P2272" t="inlineStr">
        <is>
          <t>2.102</t>
        </is>
      </c>
    </row>
    <row r="2273">
      <c r="A2273" s="24" t="n">
        <v>46023</v>
      </c>
      <c r="B2273" t="inlineStr">
        <is>
          <t>Insumos e papel</t>
        </is>
      </c>
      <c r="C2273" t="inlineStr">
        <is>
          <t>2.01.99 Compra de Caixas</t>
        </is>
      </c>
      <c r="D2273" t="inlineStr">
        <is>
          <t>NF-e</t>
        </is>
      </c>
      <c r="E2273" t="inlineStr">
        <is>
          <t>000011680</t>
        </is>
      </c>
      <c r="F2273" t="inlineStr">
        <is>
          <t>NOVA CONPEL COMPANHIA NORDESTINA DE PAPEL LTDA</t>
        </is>
      </c>
      <c r="G2273" s="27" t="n">
        <v>46028</v>
      </c>
      <c r="H2273" s="14" t="n">
        <v>1642.85</v>
      </c>
      <c r="I2273" s="14" t="n">
        <v>214.28</v>
      </c>
      <c r="J2273" s="14" t="n">
        <v>285.71</v>
      </c>
      <c r="K2273" s="14" t="n">
        <v>18.86</v>
      </c>
      <c r="L2273" s="14" t="n">
        <v>86.86</v>
      </c>
      <c r="M2273" s="14">
        <f>IF(B2273="Frete de venda",0,(1-ISNUMBER(SEARCH("556",P2273)))*(I2273*VLOOKUP($B2273,Premissas!$A$4:$E$7,2,0)+J2273*VLOOKUP($B2273,Premissas!$A$4:$E$7,3,0))+K2273*VLOOKUP($B2273,Premissas!$A$4:$E$7,4,0)+L2273*VLOOKUP($B2273,Premissas!$A$4:$E$7,5,0))</f>
        <v/>
      </c>
      <c r="N2273" s="14">
        <f>H2273-M2273</f>
        <v/>
      </c>
      <c r="O2273" t="inlineStr">
        <is>
          <t>Sim</t>
        </is>
      </c>
      <c r="P2273" t="inlineStr">
        <is>
          <t>1.556</t>
        </is>
      </c>
    </row>
    <row r="2274">
      <c r="A2274" s="24" t="n">
        <v>46023</v>
      </c>
      <c r="B2274" t="inlineStr">
        <is>
          <t>Insumos e papel</t>
        </is>
      </c>
      <c r="C2274" t="inlineStr">
        <is>
          <t>2.01.99 Compra de Caixas</t>
        </is>
      </c>
      <c r="D2274" t="inlineStr">
        <is>
          <t>NF-e</t>
        </is>
      </c>
      <c r="E2274" t="inlineStr">
        <is>
          <t>000011792</t>
        </is>
      </c>
      <c r="F2274" t="inlineStr">
        <is>
          <t>NOVA CONPEL COMPANHIA NORDESTINA DE PAPEL LTDA</t>
        </is>
      </c>
      <c r="G2274" s="27" t="n">
        <v>46031</v>
      </c>
      <c r="H2274" s="14" t="n">
        <v>30713.27</v>
      </c>
      <c r="I2274" s="14" t="n">
        <v>4006.05</v>
      </c>
      <c r="J2274" s="14" t="n">
        <v>5341.44</v>
      </c>
      <c r="K2274" s="14" t="n">
        <v>352.54</v>
      </c>
      <c r="L2274" s="14" t="n">
        <v>1623.8</v>
      </c>
      <c r="M2274" s="14">
        <f>IF(B2274="Frete de venda",0,(1-ISNUMBER(SEARCH("556",P2274)))*(I2274*VLOOKUP($B2274,Premissas!$A$4:$E$7,2,0)+J2274*VLOOKUP($B2274,Premissas!$A$4:$E$7,3,0))+K2274*VLOOKUP($B2274,Premissas!$A$4:$E$7,4,0)+L2274*VLOOKUP($B2274,Premissas!$A$4:$E$7,5,0))</f>
        <v/>
      </c>
      <c r="N2274" s="14">
        <f>H2274-M2274</f>
        <v/>
      </c>
      <c r="O2274" t="inlineStr">
        <is>
          <t>Sim</t>
        </is>
      </c>
      <c r="P2274" t="inlineStr">
        <is>
          <t>1.102, 1.556</t>
        </is>
      </c>
    </row>
    <row r="2275">
      <c r="A2275" s="24" t="n">
        <v>46023</v>
      </c>
      <c r="B2275" t="inlineStr">
        <is>
          <t>Insumos e papel</t>
        </is>
      </c>
      <c r="C2275" t="inlineStr">
        <is>
          <t>2.01.99 Compra de Caixas</t>
        </is>
      </c>
      <c r="D2275" t="inlineStr">
        <is>
          <t>NF-e</t>
        </is>
      </c>
      <c r="E2275" t="inlineStr">
        <is>
          <t>000011795</t>
        </is>
      </c>
      <c r="F2275" t="inlineStr">
        <is>
          <t>NOVA CONPEL COMPANHIA NORDESTINA DE PAPEL LTDA</t>
        </is>
      </c>
      <c r="G2275" s="27" t="n">
        <v>46031</v>
      </c>
      <c r="H2275" s="14" t="n">
        <v>2716.71</v>
      </c>
      <c r="I2275" s="14" t="n">
        <v>354.35</v>
      </c>
      <c r="J2275" s="14" t="n">
        <v>472.47</v>
      </c>
      <c r="K2275" s="14" t="n">
        <v>31.18</v>
      </c>
      <c r="L2275" s="14" t="n">
        <v>143.63</v>
      </c>
      <c r="M2275" s="14">
        <f>IF(B2275="Frete de venda",0,(1-ISNUMBER(SEARCH("556",P2275)))*(I2275*VLOOKUP($B2275,Premissas!$A$4:$E$7,2,0)+J2275*VLOOKUP($B2275,Premissas!$A$4:$E$7,3,0))+K2275*VLOOKUP($B2275,Premissas!$A$4:$E$7,4,0)+L2275*VLOOKUP($B2275,Premissas!$A$4:$E$7,5,0))</f>
        <v/>
      </c>
      <c r="N2275" s="14">
        <f>H2275-M2275</f>
        <v/>
      </c>
      <c r="O2275" t="inlineStr">
        <is>
          <t>Sim</t>
        </is>
      </c>
      <c r="P2275" t="inlineStr">
        <is>
          <t>1.556</t>
        </is>
      </c>
    </row>
    <row r="2276">
      <c r="A2276" s="24" t="n">
        <v>46023</v>
      </c>
      <c r="B2276" t="inlineStr">
        <is>
          <t>Insumos e papel</t>
        </is>
      </c>
      <c r="C2276" t="inlineStr">
        <is>
          <t>2.01.99 Compra de Caixas</t>
        </is>
      </c>
      <c r="D2276" t="inlineStr">
        <is>
          <t>NF-e</t>
        </is>
      </c>
      <c r="E2276" t="inlineStr">
        <is>
          <t>000011904</t>
        </is>
      </c>
      <c r="F2276" t="inlineStr">
        <is>
          <t>NOVA CONPEL COMPANHIA NORDESTINA DE PAPEL LTDA</t>
        </is>
      </c>
      <c r="G2276" s="27" t="n">
        <v>46036</v>
      </c>
      <c r="H2276" s="14" t="n">
        <v>453914.06</v>
      </c>
      <c r="I2276" s="14" t="n">
        <v>59206.18</v>
      </c>
      <c r="J2276" s="14" t="n">
        <v>0</v>
      </c>
      <c r="K2276" s="14" t="n">
        <v>0</v>
      </c>
      <c r="L2276" s="14" t="n">
        <v>0</v>
      </c>
      <c r="M2276" s="14">
        <f>IF(B2276="Frete de venda",0,(1-ISNUMBER(SEARCH("556",P2276)))*(I2276*VLOOKUP($B2276,Premissas!$A$4:$E$7,2,0)+J2276*VLOOKUP($B2276,Premissas!$A$4:$E$7,3,0))+K2276*VLOOKUP($B2276,Premissas!$A$4:$E$7,4,0)+L2276*VLOOKUP($B2276,Premissas!$A$4:$E$7,5,0))</f>
        <v/>
      </c>
      <c r="N2276" s="14">
        <f>H2276-M2276</f>
        <v/>
      </c>
      <c r="O2276" t="inlineStr">
        <is>
          <t>Sim</t>
        </is>
      </c>
      <c r="P2276" t="inlineStr">
        <is>
          <t>1.556</t>
        </is>
      </c>
    </row>
    <row r="2277">
      <c r="A2277" s="24" t="n">
        <v>46023</v>
      </c>
      <c r="B2277" t="inlineStr">
        <is>
          <t>Insumos e papel</t>
        </is>
      </c>
      <c r="C2277" t="inlineStr">
        <is>
          <t>2.01.99 Compra de Caixas</t>
        </is>
      </c>
      <c r="D2277" t="inlineStr">
        <is>
          <t>NF-e</t>
        </is>
      </c>
      <c r="E2277" t="inlineStr">
        <is>
          <t>000012193</t>
        </is>
      </c>
      <c r="F2277" t="inlineStr">
        <is>
          <t>NOVA CONPEL COMPANHIA NORDESTINA DE PAPEL LTDA</t>
        </is>
      </c>
      <c r="G2277" s="27" t="n">
        <v>46044</v>
      </c>
      <c r="H2277" s="14" t="n">
        <v>12454.73</v>
      </c>
      <c r="I2277" s="14" t="n">
        <v>0</v>
      </c>
      <c r="J2277" s="14" t="n">
        <v>2490.94</v>
      </c>
      <c r="K2277" s="14" t="n">
        <v>164.4</v>
      </c>
      <c r="L2277" s="14" t="n">
        <v>757.25</v>
      </c>
      <c r="M2277" s="14">
        <f>IF(B2277="Frete de venda",0,(1-ISNUMBER(SEARCH("556",P2277)))*(I2277*VLOOKUP($B2277,Premissas!$A$4:$E$7,2,0)+J2277*VLOOKUP($B2277,Premissas!$A$4:$E$7,3,0))+K2277*VLOOKUP($B2277,Premissas!$A$4:$E$7,4,0)+L2277*VLOOKUP($B2277,Premissas!$A$4:$E$7,5,0))</f>
        <v/>
      </c>
      <c r="N2277" s="14">
        <f>H2277-M2277</f>
        <v/>
      </c>
      <c r="O2277" t="inlineStr">
        <is>
          <t>Sim</t>
        </is>
      </c>
      <c r="P2277" t="inlineStr">
        <is>
          <t>1.102</t>
        </is>
      </c>
    </row>
    <row r="2278">
      <c r="A2278" s="24" t="n">
        <v>46023</v>
      </c>
      <c r="B2278" t="inlineStr">
        <is>
          <t>Insumos e papel</t>
        </is>
      </c>
      <c r="C2278" t="inlineStr">
        <is>
          <t>2.01.99 Compra de Caixas</t>
        </is>
      </c>
      <c r="D2278" t="inlineStr">
        <is>
          <t>NF-e</t>
        </is>
      </c>
      <c r="E2278" t="inlineStr">
        <is>
          <t>000012299</t>
        </is>
      </c>
      <c r="F2278" t="inlineStr">
        <is>
          <t>NOVA CONPEL COMPANHIA NORDESTINA DE PAPEL LTDA</t>
        </is>
      </c>
      <c r="G2278" s="27" t="n">
        <v>46048</v>
      </c>
      <c r="H2278" s="14" t="n">
        <v>12519.94</v>
      </c>
      <c r="I2278" s="14" t="n">
        <v>0</v>
      </c>
      <c r="J2278" s="14" t="n">
        <v>2503.98</v>
      </c>
      <c r="K2278" s="14" t="n">
        <v>165.26</v>
      </c>
      <c r="L2278" s="14" t="n">
        <v>761.21</v>
      </c>
      <c r="M2278" s="14">
        <f>IF(B2278="Frete de venda",0,(1-ISNUMBER(SEARCH("556",P2278)))*(I2278*VLOOKUP($B2278,Premissas!$A$4:$E$7,2,0)+J2278*VLOOKUP($B2278,Premissas!$A$4:$E$7,3,0))+K2278*VLOOKUP($B2278,Premissas!$A$4:$E$7,4,0)+L2278*VLOOKUP($B2278,Premissas!$A$4:$E$7,5,0))</f>
        <v/>
      </c>
      <c r="N2278" s="14">
        <f>H2278-M2278</f>
        <v/>
      </c>
      <c r="O2278" t="inlineStr">
        <is>
          <t>Sim</t>
        </is>
      </c>
      <c r="P2278" t="inlineStr">
        <is>
          <t>1.102</t>
        </is>
      </c>
    </row>
    <row r="2279">
      <c r="A2279" s="24" t="n">
        <v>46023</v>
      </c>
      <c r="B2279" t="inlineStr">
        <is>
          <t>Uso e consumo</t>
        </is>
      </c>
      <c r="C2279" t="inlineStr">
        <is>
          <t>2.03.90 Compra de EPI</t>
        </is>
      </c>
      <c r="D2279" t="inlineStr">
        <is>
          <t>NF-e</t>
        </is>
      </c>
      <c r="E2279" t="inlineStr">
        <is>
          <t>000117212</t>
        </is>
      </c>
      <c r="F2279" t="inlineStr">
        <is>
          <t>SEGURA COM DE EQUP. DE PROTECAO LTDA</t>
        </is>
      </c>
      <c r="G2279" s="27" t="n">
        <v>46034</v>
      </c>
      <c r="H2279" s="14" t="n">
        <v>1185.89</v>
      </c>
      <c r="I2279" s="14" t="n">
        <v>0</v>
      </c>
      <c r="J2279" s="14" t="n">
        <v>237.19</v>
      </c>
      <c r="K2279" s="14" t="n">
        <v>15.67</v>
      </c>
      <c r="L2279" s="14" t="n">
        <v>72.09</v>
      </c>
      <c r="M2279" s="14">
        <f>IF(B2279="Frete de venda",0,(1-ISNUMBER(SEARCH("556",P2279)))*(I2279*VLOOKUP($B2279,Premissas!$A$4:$E$7,2,0)+J2279*VLOOKUP($B2279,Premissas!$A$4:$E$7,3,0))+K2279*VLOOKUP($B2279,Premissas!$A$4:$E$7,4,0)+L2279*VLOOKUP($B2279,Premissas!$A$4:$E$7,5,0))</f>
        <v/>
      </c>
      <c r="N2279" s="14">
        <f>H2279-M2279</f>
        <v/>
      </c>
      <c r="O2279" t="inlineStr">
        <is>
          <t>Sim</t>
        </is>
      </c>
      <c r="P2279" t="inlineStr">
        <is>
          <t>1.102</t>
        </is>
      </c>
    </row>
    <row r="2280">
      <c r="A2280" s="24" t="n">
        <v>46023</v>
      </c>
      <c r="B2280" t="inlineStr">
        <is>
          <t>Uso e consumo</t>
        </is>
      </c>
      <c r="C2280" t="inlineStr">
        <is>
          <t>2.04.06 Material de Escritório</t>
        </is>
      </c>
      <c r="D2280" t="inlineStr">
        <is>
          <t>NF-e</t>
        </is>
      </c>
      <c r="E2280" t="inlineStr">
        <is>
          <t>000023171</t>
        </is>
      </c>
      <c r="F2280" t="inlineStr">
        <is>
          <t>COSTA GONDIM e CIA LTDA</t>
        </is>
      </c>
      <c r="G2280" s="27" t="n">
        <v>46027</v>
      </c>
      <c r="H2280" s="14" t="n">
        <v>1350</v>
      </c>
      <c r="I2280" s="14" t="n">
        <v>0</v>
      </c>
      <c r="J2280" s="14" t="n">
        <v>0</v>
      </c>
      <c r="K2280" s="14" t="n">
        <v>0</v>
      </c>
      <c r="L2280" s="14" t="n">
        <v>0</v>
      </c>
      <c r="M2280" s="14">
        <f>IF(B2280="Frete de venda",0,(1-ISNUMBER(SEARCH("556",P2280)))*(I2280*VLOOKUP($B2280,Premissas!$A$4:$E$7,2,0)+J2280*VLOOKUP($B2280,Premissas!$A$4:$E$7,3,0))+K2280*VLOOKUP($B2280,Premissas!$A$4:$E$7,4,0)+L2280*VLOOKUP($B2280,Premissas!$A$4:$E$7,5,0))</f>
        <v/>
      </c>
      <c r="N2280" s="14">
        <f>H2280-M2280</f>
        <v/>
      </c>
      <c r="O2280" t="inlineStr">
        <is>
          <t>Sim</t>
        </is>
      </c>
      <c r="P2280" t="inlineStr">
        <is>
          <t>1.102</t>
        </is>
      </c>
    </row>
    <row r="2281">
      <c r="A2281" s="24" t="n">
        <v>46023</v>
      </c>
      <c r="B2281" t="inlineStr">
        <is>
          <t>Uso e consumo</t>
        </is>
      </c>
      <c r="C2281" t="inlineStr">
        <is>
          <t>2.04.91 Compra de Material de Limpeza</t>
        </is>
      </c>
      <c r="D2281" t="inlineStr">
        <is>
          <t>NF-e</t>
        </is>
      </c>
      <c r="E2281" t="inlineStr">
        <is>
          <t>000009651</t>
        </is>
      </c>
      <c r="F2281" t="inlineStr">
        <is>
          <t>CRISTAL COMERCIO DE PRODUTOS QUIMICOS LTDA</t>
        </is>
      </c>
      <c r="G2281" s="27" t="n">
        <v>46025</v>
      </c>
      <c r="H2281" s="14" t="n">
        <v>109.25</v>
      </c>
      <c r="I2281" s="14" t="n">
        <v>0</v>
      </c>
      <c r="J2281" s="14" t="n">
        <v>0</v>
      </c>
      <c r="K2281" s="14" t="n">
        <v>0</v>
      </c>
      <c r="L2281" s="14" t="n">
        <v>0</v>
      </c>
      <c r="M2281" s="14">
        <f>IF(B2281="Frete de venda",0,(1-ISNUMBER(SEARCH("556",P2281)))*(I2281*VLOOKUP($B2281,Premissas!$A$4:$E$7,2,0)+J2281*VLOOKUP($B2281,Premissas!$A$4:$E$7,3,0))+K2281*VLOOKUP($B2281,Premissas!$A$4:$E$7,4,0)+L2281*VLOOKUP($B2281,Premissas!$A$4:$E$7,5,0))</f>
        <v/>
      </c>
      <c r="N2281" s="14">
        <f>H2281-M2281</f>
        <v/>
      </c>
      <c r="O2281" t="inlineStr">
        <is>
          <t>Sim</t>
        </is>
      </c>
      <c r="P2281" t="inlineStr">
        <is>
          <t>1.102</t>
        </is>
      </c>
    </row>
    <row r="2282">
      <c r="A2282" s="24" t="n">
        <v>46023</v>
      </c>
      <c r="B2282" t="inlineStr">
        <is>
          <t>Uso e consumo</t>
        </is>
      </c>
      <c r="C2282" t="inlineStr">
        <is>
          <t>2.04.91 Compra de Material de Limpeza</t>
        </is>
      </c>
      <c r="D2282" t="inlineStr">
        <is>
          <t>NF-e</t>
        </is>
      </c>
      <c r="E2282" t="inlineStr">
        <is>
          <t>000000629</t>
        </is>
      </c>
      <c r="F2282" t="inlineStr">
        <is>
          <t>Limptech Paper Comercio Ltda</t>
        </is>
      </c>
      <c r="G2282" s="27" t="n">
        <v>46028</v>
      </c>
      <c r="H2282" s="14" t="n">
        <v>2236.25</v>
      </c>
      <c r="I2282" s="14" t="n">
        <v>0</v>
      </c>
      <c r="J2282" s="14" t="n">
        <v>0</v>
      </c>
      <c r="K2282" s="14" t="n">
        <v>0</v>
      </c>
      <c r="L2282" s="14" t="n">
        <v>0</v>
      </c>
      <c r="M2282" s="14">
        <f>IF(B2282="Frete de venda",0,(1-ISNUMBER(SEARCH("556",P2282)))*(I2282*VLOOKUP($B2282,Premissas!$A$4:$E$7,2,0)+J2282*VLOOKUP($B2282,Premissas!$A$4:$E$7,3,0))+K2282*VLOOKUP($B2282,Premissas!$A$4:$E$7,4,0)+L2282*VLOOKUP($B2282,Premissas!$A$4:$E$7,5,0))</f>
        <v/>
      </c>
      <c r="N2282" s="14">
        <f>H2282-M2282</f>
        <v/>
      </c>
      <c r="O2282" t="inlineStr">
        <is>
          <t>Sim</t>
        </is>
      </c>
      <c r="P2282" t="inlineStr">
        <is>
          <t>1.102</t>
        </is>
      </c>
    </row>
    <row r="2283">
      <c r="A2283" s="24" t="n">
        <v>46023</v>
      </c>
      <c r="B2283" t="inlineStr">
        <is>
          <t>Uso e consumo</t>
        </is>
      </c>
      <c r="C2283" t="inlineStr">
        <is>
          <t>2.04.95 Copa e Cozinha</t>
        </is>
      </c>
      <c r="D2283" t="inlineStr">
        <is>
          <t>NF-e</t>
        </is>
      </c>
      <c r="E2283" t="inlineStr">
        <is>
          <t>000082331</t>
        </is>
      </c>
      <c r="F2283" t="inlineStr">
        <is>
          <t>KALUNGA SA</t>
        </is>
      </c>
      <c r="G2283" s="27" t="n">
        <v>46049</v>
      </c>
      <c r="H2283" s="14" t="n">
        <v>193.92</v>
      </c>
      <c r="I2283" s="14" t="n">
        <v>0</v>
      </c>
      <c r="J2283" s="14" t="n">
        <v>38.78</v>
      </c>
      <c r="K2283" s="14" t="n">
        <v>2.56</v>
      </c>
      <c r="L2283" s="14" t="n">
        <v>11.79</v>
      </c>
      <c r="M2283" s="14">
        <f>IF(B2283="Frete de venda",0,(1-ISNUMBER(SEARCH("556",P2283)))*(I2283*VLOOKUP($B2283,Premissas!$A$4:$E$7,2,0)+J2283*VLOOKUP($B2283,Premissas!$A$4:$E$7,3,0))+K2283*VLOOKUP($B2283,Premissas!$A$4:$E$7,4,0)+L2283*VLOOKUP($B2283,Premissas!$A$4:$E$7,5,0))</f>
        <v/>
      </c>
      <c r="N2283" s="14">
        <f>H2283-M2283</f>
        <v/>
      </c>
      <c r="O2283" t="inlineStr">
        <is>
          <t>Sim</t>
        </is>
      </c>
      <c r="P2283" t="inlineStr">
        <is>
          <t>1.102</t>
        </is>
      </c>
    </row>
    <row r="2284">
      <c r="A2284" s="24" t="n">
        <v>46054</v>
      </c>
      <c r="B2284" t="inlineStr">
        <is>
          <t>Frete de compra</t>
        </is>
      </c>
      <c r="C2284" t="inlineStr">
        <is>
          <t>Frete de compra</t>
        </is>
      </c>
      <c r="D2284" t="inlineStr">
        <is>
          <t>CT-e</t>
        </is>
      </c>
      <c r="E2284" t="inlineStr">
        <is>
          <t>000190606</t>
        </is>
      </c>
      <c r="F2284" t="inlineStr">
        <is>
          <t>ALIANCA NAVEGACAO E LOGISTICA LTDA</t>
        </is>
      </c>
      <c r="G2284" s="27" t="n">
        <v>46079</v>
      </c>
      <c r="H2284" s="14" t="n">
        <v>129.03</v>
      </c>
      <c r="I2284" s="14" t="n">
        <v>0</v>
      </c>
      <c r="J2284" s="14" t="n">
        <v>9.029999999999999</v>
      </c>
      <c r="K2284" s="14" t="n">
        <v>0</v>
      </c>
      <c r="L2284" s="14" t="n">
        <v>0</v>
      </c>
      <c r="M2284" s="14">
        <f>IF(B2284="Frete de venda",0,(1-ISNUMBER(SEARCH("556",P2284)))*(I2284*VLOOKUP($B2284,Premissas!$A$4:$E$7,2,0)+J2284*VLOOKUP($B2284,Premissas!$A$4:$E$7,3,0))+K2284*VLOOKUP($B2284,Premissas!$A$4:$E$7,4,0)+L2284*VLOOKUP($B2284,Premissas!$A$4:$E$7,5,0))</f>
        <v/>
      </c>
      <c r="N2284" s="14">
        <f>H2284-M2284</f>
        <v/>
      </c>
      <c r="O2284" t="inlineStr">
        <is>
          <t>Sim</t>
        </is>
      </c>
      <c r="P2284" t="inlineStr">
        <is>
          <t>1.350</t>
        </is>
      </c>
    </row>
    <row r="2285">
      <c r="A2285" s="24" t="n">
        <v>46054</v>
      </c>
      <c r="B2285" t="inlineStr">
        <is>
          <t>Frete de compra</t>
        </is>
      </c>
      <c r="C2285" t="inlineStr">
        <is>
          <t>Frete de compra</t>
        </is>
      </c>
      <c r="D2285" t="inlineStr">
        <is>
          <t>CT-e</t>
        </is>
      </c>
      <c r="E2285" t="inlineStr">
        <is>
          <t>000190605</t>
        </is>
      </c>
      <c r="F2285" t="inlineStr">
        <is>
          <t>ALIANCA NAVEGACAO E LOGISTICA LTDA</t>
        </is>
      </c>
      <c r="G2285" s="27" t="n">
        <v>46079</v>
      </c>
      <c r="H2285" s="14" t="n">
        <v>129.03</v>
      </c>
      <c r="I2285" s="14" t="n">
        <v>0</v>
      </c>
      <c r="J2285" s="14" t="n">
        <v>9.029999999999999</v>
      </c>
      <c r="K2285" s="14" t="n">
        <v>0</v>
      </c>
      <c r="L2285" s="14" t="n">
        <v>0</v>
      </c>
      <c r="M2285" s="14">
        <f>IF(B2285="Frete de venda",0,(1-ISNUMBER(SEARCH("556",P2285)))*(I2285*VLOOKUP($B2285,Premissas!$A$4:$E$7,2,0)+J2285*VLOOKUP($B2285,Premissas!$A$4:$E$7,3,0))+K2285*VLOOKUP($B2285,Premissas!$A$4:$E$7,4,0)+L2285*VLOOKUP($B2285,Premissas!$A$4:$E$7,5,0))</f>
        <v/>
      </c>
      <c r="N2285" s="14">
        <f>H2285-M2285</f>
        <v/>
      </c>
      <c r="O2285" t="inlineStr">
        <is>
          <t>Sim</t>
        </is>
      </c>
      <c r="P2285" t="inlineStr">
        <is>
          <t>1.350</t>
        </is>
      </c>
    </row>
    <row r="2286">
      <c r="A2286" s="24" t="n">
        <v>46054</v>
      </c>
      <c r="B2286" t="inlineStr">
        <is>
          <t>Frete de compra</t>
        </is>
      </c>
      <c r="C2286" t="inlineStr">
        <is>
          <t>Frete de compra</t>
        </is>
      </c>
      <c r="D2286" t="inlineStr">
        <is>
          <t>CT-e</t>
        </is>
      </c>
      <c r="E2286" t="inlineStr">
        <is>
          <t>000190609</t>
        </is>
      </c>
      <c r="F2286" t="inlineStr">
        <is>
          <t>ALIANCA NAVEGACAO E LOGISTICA LTDA</t>
        </is>
      </c>
      <c r="G2286" s="27" t="n">
        <v>46079</v>
      </c>
      <c r="H2286" s="14" t="n">
        <v>129.03</v>
      </c>
      <c r="I2286" s="14" t="n">
        <v>0</v>
      </c>
      <c r="J2286" s="14" t="n">
        <v>9.029999999999999</v>
      </c>
      <c r="K2286" s="14" t="n">
        <v>0</v>
      </c>
      <c r="L2286" s="14" t="n">
        <v>0</v>
      </c>
      <c r="M2286" s="14">
        <f>IF(B2286="Frete de venda",0,(1-ISNUMBER(SEARCH("556",P2286)))*(I2286*VLOOKUP($B2286,Premissas!$A$4:$E$7,2,0)+J2286*VLOOKUP($B2286,Premissas!$A$4:$E$7,3,0))+K2286*VLOOKUP($B2286,Premissas!$A$4:$E$7,4,0)+L2286*VLOOKUP($B2286,Premissas!$A$4:$E$7,5,0))</f>
        <v/>
      </c>
      <c r="N2286" s="14">
        <f>H2286-M2286</f>
        <v/>
      </c>
      <c r="O2286" t="inlineStr">
        <is>
          <t>Sim</t>
        </is>
      </c>
      <c r="P2286" t="inlineStr">
        <is>
          <t>1.350</t>
        </is>
      </c>
    </row>
    <row r="2287">
      <c r="A2287" s="24" t="n">
        <v>46054</v>
      </c>
      <c r="B2287" t="inlineStr">
        <is>
          <t>Frete de compra</t>
        </is>
      </c>
      <c r="C2287" t="inlineStr">
        <is>
          <t>Frete de compra</t>
        </is>
      </c>
      <c r="D2287" t="inlineStr">
        <is>
          <t>CT-e</t>
        </is>
      </c>
      <c r="E2287" t="inlineStr">
        <is>
          <t>000190611</t>
        </is>
      </c>
      <c r="F2287" t="inlineStr">
        <is>
          <t>ALIANCA NAVEGACAO E LOGISTICA LTDA</t>
        </is>
      </c>
      <c r="G2287" s="27" t="n">
        <v>46079</v>
      </c>
      <c r="H2287" s="14" t="n">
        <v>258.06</v>
      </c>
      <c r="I2287" s="14" t="n">
        <v>0</v>
      </c>
      <c r="J2287" s="14" t="n">
        <v>18.06</v>
      </c>
      <c r="K2287" s="14" t="n">
        <v>0</v>
      </c>
      <c r="L2287" s="14" t="n">
        <v>0</v>
      </c>
      <c r="M2287" s="14">
        <f>IF(B2287="Frete de venda",0,(1-ISNUMBER(SEARCH("556",P2287)))*(I2287*VLOOKUP($B2287,Premissas!$A$4:$E$7,2,0)+J2287*VLOOKUP($B2287,Premissas!$A$4:$E$7,3,0))+K2287*VLOOKUP($B2287,Premissas!$A$4:$E$7,4,0)+L2287*VLOOKUP($B2287,Premissas!$A$4:$E$7,5,0))</f>
        <v/>
      </c>
      <c r="N2287" s="14">
        <f>H2287-M2287</f>
        <v/>
      </c>
      <c r="O2287" t="inlineStr">
        <is>
          <t>Sim</t>
        </is>
      </c>
      <c r="P2287" t="inlineStr">
        <is>
          <t>1.350</t>
        </is>
      </c>
    </row>
    <row r="2288">
      <c r="A2288" s="24" t="n">
        <v>46054</v>
      </c>
      <c r="B2288" t="inlineStr">
        <is>
          <t>Frete de compra</t>
        </is>
      </c>
      <c r="C2288" t="inlineStr">
        <is>
          <t>Frete de compra</t>
        </is>
      </c>
      <c r="D2288" t="inlineStr">
        <is>
          <t>CT-e</t>
        </is>
      </c>
      <c r="E2288" t="inlineStr">
        <is>
          <t>000190625</t>
        </is>
      </c>
      <c r="F2288" t="inlineStr">
        <is>
          <t>ALIANCA NAVEGACAO E LOGISTICA LTDA</t>
        </is>
      </c>
      <c r="G2288" s="27" t="n">
        <v>46079</v>
      </c>
      <c r="H2288" s="14" t="n">
        <v>258.06</v>
      </c>
      <c r="I2288" s="14" t="n">
        <v>0</v>
      </c>
      <c r="J2288" s="14" t="n">
        <v>18.06</v>
      </c>
      <c r="K2288" s="14" t="n">
        <v>0</v>
      </c>
      <c r="L2288" s="14" t="n">
        <v>0</v>
      </c>
      <c r="M2288" s="14">
        <f>IF(B2288="Frete de venda",0,(1-ISNUMBER(SEARCH("556",P2288)))*(I2288*VLOOKUP($B2288,Premissas!$A$4:$E$7,2,0)+J2288*VLOOKUP($B2288,Premissas!$A$4:$E$7,3,0))+K2288*VLOOKUP($B2288,Premissas!$A$4:$E$7,4,0)+L2288*VLOOKUP($B2288,Premissas!$A$4:$E$7,5,0))</f>
        <v/>
      </c>
      <c r="N2288" s="14">
        <f>H2288-M2288</f>
        <v/>
      </c>
      <c r="O2288" t="inlineStr">
        <is>
          <t>Sim</t>
        </is>
      </c>
      <c r="P2288" t="inlineStr">
        <is>
          <t>1.350</t>
        </is>
      </c>
    </row>
    <row r="2289">
      <c r="A2289" s="24" t="n">
        <v>46054</v>
      </c>
      <c r="B2289" t="inlineStr">
        <is>
          <t>Frete de compra</t>
        </is>
      </c>
      <c r="C2289" t="inlineStr">
        <is>
          <t>Frete de compra</t>
        </is>
      </c>
      <c r="D2289" t="inlineStr">
        <is>
          <t>CT-e</t>
        </is>
      </c>
      <c r="E2289" t="inlineStr">
        <is>
          <t>000190634</t>
        </is>
      </c>
      <c r="F2289" t="inlineStr">
        <is>
          <t>ALIANCA NAVEGACAO E LOGISTICA LTDA</t>
        </is>
      </c>
      <c r="G2289" s="27" t="n">
        <v>46079</v>
      </c>
      <c r="H2289" s="14" t="n">
        <v>387.1</v>
      </c>
      <c r="I2289" s="14" t="n">
        <v>0</v>
      </c>
      <c r="J2289" s="14" t="n">
        <v>27.1</v>
      </c>
      <c r="K2289" s="14" t="n">
        <v>0</v>
      </c>
      <c r="L2289" s="14" t="n">
        <v>0</v>
      </c>
      <c r="M2289" s="14">
        <f>IF(B2289="Frete de venda",0,(1-ISNUMBER(SEARCH("556",P2289)))*(I2289*VLOOKUP($B2289,Premissas!$A$4:$E$7,2,0)+J2289*VLOOKUP($B2289,Premissas!$A$4:$E$7,3,0))+K2289*VLOOKUP($B2289,Premissas!$A$4:$E$7,4,0)+L2289*VLOOKUP($B2289,Premissas!$A$4:$E$7,5,0))</f>
        <v/>
      </c>
      <c r="N2289" s="14">
        <f>H2289-M2289</f>
        <v/>
      </c>
      <c r="O2289" t="inlineStr">
        <is>
          <t>Sim</t>
        </is>
      </c>
      <c r="P2289" t="inlineStr">
        <is>
          <t>1.350</t>
        </is>
      </c>
    </row>
    <row r="2290">
      <c r="A2290" s="24" t="n">
        <v>46054</v>
      </c>
      <c r="B2290" t="inlineStr">
        <is>
          <t>Frete de compra</t>
        </is>
      </c>
      <c r="C2290" t="inlineStr">
        <is>
          <t>Frete de compra</t>
        </is>
      </c>
      <c r="D2290" t="inlineStr">
        <is>
          <t>CT-e</t>
        </is>
      </c>
      <c r="E2290" t="inlineStr">
        <is>
          <t>000190638</t>
        </is>
      </c>
      <c r="F2290" t="inlineStr">
        <is>
          <t>ALIANCA NAVEGACAO E LOGISTICA LTDA</t>
        </is>
      </c>
      <c r="G2290" s="27" t="n">
        <v>46079</v>
      </c>
      <c r="H2290" s="14" t="n">
        <v>387.1</v>
      </c>
      <c r="I2290" s="14" t="n">
        <v>0</v>
      </c>
      <c r="J2290" s="14" t="n">
        <v>27.1</v>
      </c>
      <c r="K2290" s="14" t="n">
        <v>0</v>
      </c>
      <c r="L2290" s="14" t="n">
        <v>0</v>
      </c>
      <c r="M2290" s="14">
        <f>IF(B2290="Frete de venda",0,(1-ISNUMBER(SEARCH("556",P2290)))*(I2290*VLOOKUP($B2290,Premissas!$A$4:$E$7,2,0)+J2290*VLOOKUP($B2290,Premissas!$A$4:$E$7,3,0))+K2290*VLOOKUP($B2290,Premissas!$A$4:$E$7,4,0)+L2290*VLOOKUP($B2290,Premissas!$A$4:$E$7,5,0))</f>
        <v/>
      </c>
      <c r="N2290" s="14">
        <f>H2290-M2290</f>
        <v/>
      </c>
      <c r="O2290" t="inlineStr">
        <is>
          <t>Sim</t>
        </is>
      </c>
      <c r="P2290" t="inlineStr">
        <is>
          <t>1.350</t>
        </is>
      </c>
    </row>
    <row r="2291">
      <c r="A2291" s="24" t="n">
        <v>46054</v>
      </c>
      <c r="B2291" t="inlineStr">
        <is>
          <t>Frete de compra</t>
        </is>
      </c>
      <c r="C2291" t="inlineStr">
        <is>
          <t>Frete de compra</t>
        </is>
      </c>
      <c r="D2291" t="inlineStr">
        <is>
          <t>CT-e</t>
        </is>
      </c>
      <c r="E2291" t="inlineStr">
        <is>
          <t>000190649</t>
        </is>
      </c>
      <c r="F2291" t="inlineStr">
        <is>
          <t>ALIANCA NAVEGACAO E LOGISTICA LTDA</t>
        </is>
      </c>
      <c r="G2291" s="27" t="n">
        <v>46079</v>
      </c>
      <c r="H2291" s="14" t="n">
        <v>516.13</v>
      </c>
      <c r="I2291" s="14" t="n">
        <v>0</v>
      </c>
      <c r="J2291" s="14" t="n">
        <v>36.13</v>
      </c>
      <c r="K2291" s="14" t="n">
        <v>0</v>
      </c>
      <c r="L2291" s="14" t="n">
        <v>0</v>
      </c>
      <c r="M2291" s="14">
        <f>IF(B2291="Frete de venda",0,(1-ISNUMBER(SEARCH("556",P2291)))*(I2291*VLOOKUP($B2291,Premissas!$A$4:$E$7,2,0)+J2291*VLOOKUP($B2291,Premissas!$A$4:$E$7,3,0))+K2291*VLOOKUP($B2291,Premissas!$A$4:$E$7,4,0)+L2291*VLOOKUP($B2291,Premissas!$A$4:$E$7,5,0))</f>
        <v/>
      </c>
      <c r="N2291" s="14">
        <f>H2291-M2291</f>
        <v/>
      </c>
      <c r="O2291" t="inlineStr">
        <is>
          <t>Sim</t>
        </is>
      </c>
      <c r="P2291" t="inlineStr">
        <is>
          <t>1.350</t>
        </is>
      </c>
    </row>
    <row r="2292">
      <c r="A2292" s="24" t="n">
        <v>46054</v>
      </c>
      <c r="B2292" t="inlineStr">
        <is>
          <t>Frete de compra</t>
        </is>
      </c>
      <c r="C2292" t="inlineStr">
        <is>
          <t>Frete de compra</t>
        </is>
      </c>
      <c r="D2292" t="inlineStr">
        <is>
          <t>CT-e</t>
        </is>
      </c>
      <c r="E2292" t="inlineStr">
        <is>
          <t>000190650</t>
        </is>
      </c>
      <c r="F2292" t="inlineStr">
        <is>
          <t>ALIANCA NAVEGACAO E LOGISTICA LTDA</t>
        </is>
      </c>
      <c r="G2292" s="27" t="n">
        <v>46079</v>
      </c>
      <c r="H2292" s="14" t="n">
        <v>516.13</v>
      </c>
      <c r="I2292" s="14" t="n">
        <v>0</v>
      </c>
      <c r="J2292" s="14" t="n">
        <v>36.13</v>
      </c>
      <c r="K2292" s="14" t="n">
        <v>0</v>
      </c>
      <c r="L2292" s="14" t="n">
        <v>0</v>
      </c>
      <c r="M2292" s="14">
        <f>IF(B2292="Frete de venda",0,(1-ISNUMBER(SEARCH("556",P2292)))*(I2292*VLOOKUP($B2292,Premissas!$A$4:$E$7,2,0)+J2292*VLOOKUP($B2292,Premissas!$A$4:$E$7,3,0))+K2292*VLOOKUP($B2292,Premissas!$A$4:$E$7,4,0)+L2292*VLOOKUP($B2292,Premissas!$A$4:$E$7,5,0))</f>
        <v/>
      </c>
      <c r="N2292" s="14">
        <f>H2292-M2292</f>
        <v/>
      </c>
      <c r="O2292" t="inlineStr">
        <is>
          <t>Sim</t>
        </is>
      </c>
      <c r="P2292" t="inlineStr">
        <is>
          <t>1.350</t>
        </is>
      </c>
    </row>
    <row r="2293">
      <c r="A2293" s="24" t="n">
        <v>46054</v>
      </c>
      <c r="B2293" t="inlineStr">
        <is>
          <t>Frete de compra</t>
        </is>
      </c>
      <c r="C2293" t="inlineStr">
        <is>
          <t>Frete de compra</t>
        </is>
      </c>
      <c r="D2293" t="inlineStr">
        <is>
          <t>CT-e</t>
        </is>
      </c>
      <c r="E2293" t="inlineStr">
        <is>
          <t>000190656</t>
        </is>
      </c>
      <c r="F2293" t="inlineStr">
        <is>
          <t>ALIANCA NAVEGACAO E LOGISTICA LTDA</t>
        </is>
      </c>
      <c r="G2293" s="27" t="n">
        <v>46079</v>
      </c>
      <c r="H2293" s="14" t="n">
        <v>645.16</v>
      </c>
      <c r="I2293" s="14" t="n">
        <v>0</v>
      </c>
      <c r="J2293" s="14" t="n">
        <v>45.16</v>
      </c>
      <c r="K2293" s="14" t="n">
        <v>0</v>
      </c>
      <c r="L2293" s="14" t="n">
        <v>0</v>
      </c>
      <c r="M2293" s="14">
        <f>IF(B2293="Frete de venda",0,(1-ISNUMBER(SEARCH("556",P2293)))*(I2293*VLOOKUP($B2293,Premissas!$A$4:$E$7,2,0)+J2293*VLOOKUP($B2293,Premissas!$A$4:$E$7,3,0))+K2293*VLOOKUP($B2293,Premissas!$A$4:$E$7,4,0)+L2293*VLOOKUP($B2293,Premissas!$A$4:$E$7,5,0))</f>
        <v/>
      </c>
      <c r="N2293" s="14">
        <f>H2293-M2293</f>
        <v/>
      </c>
      <c r="O2293" t="inlineStr">
        <is>
          <t>Sim</t>
        </is>
      </c>
      <c r="P2293" t="inlineStr">
        <is>
          <t>1.350</t>
        </is>
      </c>
    </row>
    <row r="2294">
      <c r="A2294" s="24" t="n">
        <v>46054</v>
      </c>
      <c r="B2294" t="inlineStr">
        <is>
          <t>Frete de compra</t>
        </is>
      </c>
      <c r="C2294" t="inlineStr">
        <is>
          <t>Frete de compra</t>
        </is>
      </c>
      <c r="D2294" t="inlineStr">
        <is>
          <t>CT-e</t>
        </is>
      </c>
      <c r="E2294" t="inlineStr">
        <is>
          <t>000190666</t>
        </is>
      </c>
      <c r="F2294" t="inlineStr">
        <is>
          <t>ALIANCA NAVEGACAO E LOGISTICA LTDA</t>
        </is>
      </c>
      <c r="G2294" s="27" t="n">
        <v>46079</v>
      </c>
      <c r="H2294" s="14" t="n">
        <v>903.23</v>
      </c>
      <c r="I2294" s="14" t="n">
        <v>0</v>
      </c>
      <c r="J2294" s="14" t="n">
        <v>63.23</v>
      </c>
      <c r="K2294" s="14" t="n">
        <v>0</v>
      </c>
      <c r="L2294" s="14" t="n">
        <v>0</v>
      </c>
      <c r="M2294" s="14">
        <f>IF(B2294="Frete de venda",0,(1-ISNUMBER(SEARCH("556",P2294)))*(I2294*VLOOKUP($B2294,Premissas!$A$4:$E$7,2,0)+J2294*VLOOKUP($B2294,Premissas!$A$4:$E$7,3,0))+K2294*VLOOKUP($B2294,Premissas!$A$4:$E$7,4,0)+L2294*VLOOKUP($B2294,Premissas!$A$4:$E$7,5,0))</f>
        <v/>
      </c>
      <c r="N2294" s="14">
        <f>H2294-M2294</f>
        <v/>
      </c>
      <c r="O2294" t="inlineStr">
        <is>
          <t>Sim</t>
        </is>
      </c>
      <c r="P2294" t="inlineStr">
        <is>
          <t>1.350</t>
        </is>
      </c>
    </row>
    <row r="2295">
      <c r="A2295" s="24" t="n">
        <v>46054</v>
      </c>
      <c r="B2295" t="inlineStr">
        <is>
          <t>Frete de compra</t>
        </is>
      </c>
      <c r="C2295" t="inlineStr">
        <is>
          <t>Frete de compra</t>
        </is>
      </c>
      <c r="D2295" t="inlineStr">
        <is>
          <t>CT-e</t>
        </is>
      </c>
      <c r="E2295" t="inlineStr">
        <is>
          <t>000190657</t>
        </is>
      </c>
      <c r="F2295" t="inlineStr">
        <is>
          <t>ALIANCA NAVEGACAO E LOGISTICA LTDA</t>
        </is>
      </c>
      <c r="G2295" s="27" t="n">
        <v>46079</v>
      </c>
      <c r="H2295" s="14" t="n">
        <v>645.16</v>
      </c>
      <c r="I2295" s="14" t="n">
        <v>0</v>
      </c>
      <c r="J2295" s="14" t="n">
        <v>45.16</v>
      </c>
      <c r="K2295" s="14" t="n">
        <v>0</v>
      </c>
      <c r="L2295" s="14" t="n">
        <v>0</v>
      </c>
      <c r="M2295" s="14">
        <f>IF(B2295="Frete de venda",0,(1-ISNUMBER(SEARCH("556",P2295)))*(I2295*VLOOKUP($B2295,Premissas!$A$4:$E$7,2,0)+J2295*VLOOKUP($B2295,Premissas!$A$4:$E$7,3,0))+K2295*VLOOKUP($B2295,Premissas!$A$4:$E$7,4,0)+L2295*VLOOKUP($B2295,Premissas!$A$4:$E$7,5,0))</f>
        <v/>
      </c>
      <c r="N2295" s="14">
        <f>H2295-M2295</f>
        <v/>
      </c>
      <c r="O2295" t="inlineStr">
        <is>
          <t>Sim</t>
        </is>
      </c>
      <c r="P2295" t="inlineStr">
        <is>
          <t>1.350</t>
        </is>
      </c>
    </row>
    <row r="2296">
      <c r="A2296" s="24" t="n">
        <v>46054</v>
      </c>
      <c r="B2296" t="inlineStr">
        <is>
          <t>Frete de compra</t>
        </is>
      </c>
      <c r="C2296" t="inlineStr">
        <is>
          <t>Frete de compra</t>
        </is>
      </c>
      <c r="D2296" t="inlineStr">
        <is>
          <t>CT-e</t>
        </is>
      </c>
      <c r="E2296" t="inlineStr">
        <is>
          <t>000077210</t>
        </is>
      </c>
      <c r="F2296" t="inlineStr">
        <is>
          <t>GOL LINHAS AEREAS S.A.</t>
        </is>
      </c>
      <c r="G2296" s="27" t="n">
        <v>46073</v>
      </c>
      <c r="H2296" s="14" t="n">
        <v>132.35</v>
      </c>
      <c r="I2296" s="14" t="n">
        <v>0</v>
      </c>
      <c r="J2296" s="14" t="n">
        <v>5.29</v>
      </c>
      <c r="K2296" s="14" t="n">
        <v>0</v>
      </c>
      <c r="L2296" s="14" t="n">
        <v>0</v>
      </c>
      <c r="M2296" s="14">
        <f>IF(B2296="Frete de venda",0,(1-ISNUMBER(SEARCH("556",P2296)))*(I2296*VLOOKUP($B2296,Premissas!$A$4:$E$7,2,0)+J2296*VLOOKUP($B2296,Premissas!$A$4:$E$7,3,0))+K2296*VLOOKUP($B2296,Premissas!$A$4:$E$7,4,0)+L2296*VLOOKUP($B2296,Premissas!$A$4:$E$7,5,0))</f>
        <v/>
      </c>
      <c r="N2296" s="14">
        <f>H2296-M2296</f>
        <v/>
      </c>
      <c r="O2296" t="inlineStr">
        <is>
          <t>Sim</t>
        </is>
      </c>
      <c r="P2296" t="inlineStr">
        <is>
          <t>1.350</t>
        </is>
      </c>
    </row>
    <row r="2297">
      <c r="A2297" s="24" t="n">
        <v>46054</v>
      </c>
      <c r="B2297" t="inlineStr">
        <is>
          <t>Frete de compra</t>
        </is>
      </c>
      <c r="C2297" t="inlineStr">
        <is>
          <t>Frete de compra</t>
        </is>
      </c>
      <c r="D2297" t="inlineStr">
        <is>
          <t>CT-e</t>
        </is>
      </c>
      <c r="E2297" t="inlineStr">
        <is>
          <t>000077209</t>
        </is>
      </c>
      <c r="F2297" t="inlineStr">
        <is>
          <t>GOL LINHAS AEREAS S.A.</t>
        </is>
      </c>
      <c r="G2297" s="27" t="n">
        <v>46073</v>
      </c>
      <c r="H2297" s="14" t="n">
        <v>230.12</v>
      </c>
      <c r="I2297" s="14" t="n">
        <v>0</v>
      </c>
      <c r="J2297" s="14" t="n">
        <v>9.199999999999999</v>
      </c>
      <c r="K2297" s="14" t="n">
        <v>0</v>
      </c>
      <c r="L2297" s="14" t="n">
        <v>0</v>
      </c>
      <c r="M2297" s="14">
        <f>IF(B2297="Frete de venda",0,(1-ISNUMBER(SEARCH("556",P2297)))*(I2297*VLOOKUP($B2297,Premissas!$A$4:$E$7,2,0)+J2297*VLOOKUP($B2297,Premissas!$A$4:$E$7,3,0))+K2297*VLOOKUP($B2297,Premissas!$A$4:$E$7,4,0)+L2297*VLOOKUP($B2297,Premissas!$A$4:$E$7,5,0))</f>
        <v/>
      </c>
      <c r="N2297" s="14">
        <f>H2297-M2297</f>
        <v/>
      </c>
      <c r="O2297" t="inlineStr">
        <is>
          <t>Sim</t>
        </is>
      </c>
      <c r="P2297" t="inlineStr">
        <is>
          <t>1.350</t>
        </is>
      </c>
    </row>
    <row r="2298">
      <c r="A2298" s="24" t="n">
        <v>46054</v>
      </c>
      <c r="B2298" t="inlineStr">
        <is>
          <t>Frete de compra</t>
        </is>
      </c>
      <c r="C2298" t="inlineStr">
        <is>
          <t>Frete de compra</t>
        </is>
      </c>
      <c r="D2298" t="inlineStr">
        <is>
          <t>CT-e</t>
        </is>
      </c>
      <c r="E2298" t="inlineStr">
        <is>
          <t>000077208</t>
        </is>
      </c>
      <c r="F2298" t="inlineStr">
        <is>
          <t>GOL LINHAS AEREAS S.A.</t>
        </is>
      </c>
      <c r="G2298" s="27" t="n">
        <v>46073</v>
      </c>
      <c r="H2298" s="14" t="n">
        <v>280.56</v>
      </c>
      <c r="I2298" s="14" t="n">
        <v>0</v>
      </c>
      <c r="J2298" s="14" t="n">
        <v>11.22</v>
      </c>
      <c r="K2298" s="14" t="n">
        <v>0</v>
      </c>
      <c r="L2298" s="14" t="n">
        <v>0</v>
      </c>
      <c r="M2298" s="14">
        <f>IF(B2298="Frete de venda",0,(1-ISNUMBER(SEARCH("556",P2298)))*(I2298*VLOOKUP($B2298,Premissas!$A$4:$E$7,2,0)+J2298*VLOOKUP($B2298,Premissas!$A$4:$E$7,3,0))+K2298*VLOOKUP($B2298,Premissas!$A$4:$E$7,4,0)+L2298*VLOOKUP($B2298,Premissas!$A$4:$E$7,5,0))</f>
        <v/>
      </c>
      <c r="N2298" s="14">
        <f>H2298-M2298</f>
        <v/>
      </c>
      <c r="O2298" t="inlineStr">
        <is>
          <t>Sim</t>
        </is>
      </c>
      <c r="P2298" t="inlineStr">
        <is>
          <t>1.350</t>
        </is>
      </c>
    </row>
    <row r="2299">
      <c r="A2299" s="24" t="n">
        <v>46054</v>
      </c>
      <c r="B2299" t="inlineStr">
        <is>
          <t>Frete de compra</t>
        </is>
      </c>
      <c r="C2299" t="inlineStr">
        <is>
          <t>Frete de compra</t>
        </is>
      </c>
      <c r="D2299" t="inlineStr">
        <is>
          <t>CT-e</t>
        </is>
      </c>
      <c r="E2299" t="inlineStr">
        <is>
          <t>000190324</t>
        </is>
      </c>
      <c r="F2299" t="inlineStr">
        <is>
          <t>ALIANCA NAVEGACAO E LOGISTICA LTDA</t>
        </is>
      </c>
      <c r="G2299" s="27" t="n">
        <v>46077</v>
      </c>
      <c r="H2299" s="14" t="n">
        <v>17188.04</v>
      </c>
      <c r="I2299" s="14" t="n">
        <v>0</v>
      </c>
      <c r="J2299" s="14" t="n">
        <v>1203.16</v>
      </c>
      <c r="K2299" s="14" t="n">
        <v>0</v>
      </c>
      <c r="L2299" s="14" t="n">
        <v>0</v>
      </c>
      <c r="M2299" s="14">
        <f>IF(B2299="Frete de venda",0,(1-ISNUMBER(SEARCH("556",P2299)))*(I2299*VLOOKUP($B2299,Premissas!$A$4:$E$7,2,0)+J2299*VLOOKUP($B2299,Premissas!$A$4:$E$7,3,0))+K2299*VLOOKUP($B2299,Premissas!$A$4:$E$7,4,0)+L2299*VLOOKUP($B2299,Premissas!$A$4:$E$7,5,0))</f>
        <v/>
      </c>
      <c r="N2299" s="14">
        <f>H2299-M2299</f>
        <v/>
      </c>
      <c r="O2299" t="inlineStr">
        <is>
          <t>Sim</t>
        </is>
      </c>
      <c r="P2299" t="inlineStr">
        <is>
          <t>1.350</t>
        </is>
      </c>
    </row>
    <row r="2300">
      <c r="A2300" s="24" t="n">
        <v>46054</v>
      </c>
      <c r="B2300" t="inlineStr">
        <is>
          <t>Frete de compra</t>
        </is>
      </c>
      <c r="C2300" t="inlineStr">
        <is>
          <t>Frete de compra</t>
        </is>
      </c>
      <c r="D2300" t="inlineStr">
        <is>
          <t>CT-e</t>
        </is>
      </c>
      <c r="E2300" t="inlineStr">
        <is>
          <t>000190329</t>
        </is>
      </c>
      <c r="F2300" t="inlineStr">
        <is>
          <t>ALIANCA NAVEGACAO E LOGISTICA LTDA</t>
        </is>
      </c>
      <c r="G2300" s="27" t="n">
        <v>46077</v>
      </c>
      <c r="H2300" s="14" t="n">
        <v>17188.26</v>
      </c>
      <c r="I2300" s="14" t="n">
        <v>0</v>
      </c>
      <c r="J2300" s="14" t="n">
        <v>1203.18</v>
      </c>
      <c r="K2300" s="14" t="n">
        <v>0</v>
      </c>
      <c r="L2300" s="14" t="n">
        <v>0</v>
      </c>
      <c r="M2300" s="14">
        <f>IF(B2300="Frete de venda",0,(1-ISNUMBER(SEARCH("556",P2300)))*(I2300*VLOOKUP($B2300,Premissas!$A$4:$E$7,2,0)+J2300*VLOOKUP($B2300,Premissas!$A$4:$E$7,3,0))+K2300*VLOOKUP($B2300,Premissas!$A$4:$E$7,4,0)+L2300*VLOOKUP($B2300,Premissas!$A$4:$E$7,5,0))</f>
        <v/>
      </c>
      <c r="N2300" s="14">
        <f>H2300-M2300</f>
        <v/>
      </c>
      <c r="O2300" t="inlineStr">
        <is>
          <t>Sim</t>
        </is>
      </c>
      <c r="P2300" t="inlineStr">
        <is>
          <t>1.350</t>
        </is>
      </c>
    </row>
    <row r="2301">
      <c r="A2301" s="24" t="n">
        <v>46054</v>
      </c>
      <c r="B2301" t="inlineStr">
        <is>
          <t>Frete de compra</t>
        </is>
      </c>
      <c r="C2301" t="inlineStr">
        <is>
          <t>Frete de compra</t>
        </is>
      </c>
      <c r="D2301" t="inlineStr">
        <is>
          <t>CT-e</t>
        </is>
      </c>
      <c r="E2301" t="inlineStr">
        <is>
          <t>000190355</t>
        </is>
      </c>
      <c r="F2301" t="inlineStr">
        <is>
          <t>ALIANCA NAVEGACAO E LOGISTICA LTDA</t>
        </is>
      </c>
      <c r="G2301" s="27" t="n">
        <v>46077</v>
      </c>
      <c r="H2301" s="14" t="n">
        <v>17190.1</v>
      </c>
      <c r="I2301" s="14" t="n">
        <v>0</v>
      </c>
      <c r="J2301" s="14" t="n">
        <v>1203.31</v>
      </c>
      <c r="K2301" s="14" t="n">
        <v>0</v>
      </c>
      <c r="L2301" s="14" t="n">
        <v>0</v>
      </c>
      <c r="M2301" s="14">
        <f>IF(B2301="Frete de venda",0,(1-ISNUMBER(SEARCH("556",P2301)))*(I2301*VLOOKUP($B2301,Premissas!$A$4:$E$7,2,0)+J2301*VLOOKUP($B2301,Premissas!$A$4:$E$7,3,0))+K2301*VLOOKUP($B2301,Premissas!$A$4:$E$7,4,0)+L2301*VLOOKUP($B2301,Premissas!$A$4:$E$7,5,0))</f>
        <v/>
      </c>
      <c r="N2301" s="14">
        <f>H2301-M2301</f>
        <v/>
      </c>
      <c r="O2301" t="inlineStr">
        <is>
          <t>Sim</t>
        </is>
      </c>
      <c r="P2301" t="inlineStr">
        <is>
          <t>1.350</t>
        </is>
      </c>
    </row>
    <row r="2302">
      <c r="A2302" s="24" t="n">
        <v>46054</v>
      </c>
      <c r="B2302" t="inlineStr">
        <is>
          <t>Frete de compra</t>
        </is>
      </c>
      <c r="C2302" t="inlineStr">
        <is>
          <t>Frete de compra</t>
        </is>
      </c>
      <c r="D2302" t="inlineStr">
        <is>
          <t>CT-e</t>
        </is>
      </c>
      <c r="E2302" t="inlineStr">
        <is>
          <t>000190357</t>
        </is>
      </c>
      <c r="F2302" t="inlineStr">
        <is>
          <t>ALIANCA NAVEGACAO E LOGISTICA LTDA</t>
        </is>
      </c>
      <c r="G2302" s="27" t="n">
        <v>46077</v>
      </c>
      <c r="H2302" s="14" t="n">
        <v>8886.440000000001</v>
      </c>
      <c r="I2302" s="14" t="n">
        <v>0</v>
      </c>
      <c r="J2302" s="14" t="n">
        <v>622.05</v>
      </c>
      <c r="K2302" s="14" t="n">
        <v>0</v>
      </c>
      <c r="L2302" s="14" t="n">
        <v>0</v>
      </c>
      <c r="M2302" s="14">
        <f>IF(B2302="Frete de venda",0,(1-ISNUMBER(SEARCH("556",P2302)))*(I2302*VLOOKUP($B2302,Premissas!$A$4:$E$7,2,0)+J2302*VLOOKUP($B2302,Premissas!$A$4:$E$7,3,0))+K2302*VLOOKUP($B2302,Premissas!$A$4:$E$7,4,0)+L2302*VLOOKUP($B2302,Premissas!$A$4:$E$7,5,0))</f>
        <v/>
      </c>
      <c r="N2302" s="14">
        <f>H2302-M2302</f>
        <v/>
      </c>
      <c r="O2302" t="inlineStr">
        <is>
          <t>Sim</t>
        </is>
      </c>
      <c r="P2302" t="inlineStr">
        <is>
          <t>1.350</t>
        </is>
      </c>
    </row>
    <row r="2303">
      <c r="A2303" s="24" t="n">
        <v>46054</v>
      </c>
      <c r="B2303" t="inlineStr">
        <is>
          <t>Frete de compra</t>
        </is>
      </c>
      <c r="C2303" t="inlineStr">
        <is>
          <t>Frete de compra</t>
        </is>
      </c>
      <c r="D2303" t="inlineStr">
        <is>
          <t>CT-e</t>
        </is>
      </c>
      <c r="E2303" t="inlineStr">
        <is>
          <t>000190358</t>
        </is>
      </c>
      <c r="F2303" t="inlineStr">
        <is>
          <t>ALIANCA NAVEGACAO E LOGISTICA LTDA</t>
        </is>
      </c>
      <c r="G2303" s="27" t="n">
        <v>46077</v>
      </c>
      <c r="H2303" s="14" t="n">
        <v>8831.26</v>
      </c>
      <c r="I2303" s="14" t="n">
        <v>0</v>
      </c>
      <c r="J2303" s="14" t="n">
        <v>618.1900000000001</v>
      </c>
      <c r="K2303" s="14" t="n">
        <v>0</v>
      </c>
      <c r="L2303" s="14" t="n">
        <v>0</v>
      </c>
      <c r="M2303" s="14">
        <f>IF(B2303="Frete de venda",0,(1-ISNUMBER(SEARCH("556",P2303)))*(I2303*VLOOKUP($B2303,Premissas!$A$4:$E$7,2,0)+J2303*VLOOKUP($B2303,Premissas!$A$4:$E$7,3,0))+K2303*VLOOKUP($B2303,Premissas!$A$4:$E$7,4,0)+L2303*VLOOKUP($B2303,Premissas!$A$4:$E$7,5,0))</f>
        <v/>
      </c>
      <c r="N2303" s="14">
        <f>H2303-M2303</f>
        <v/>
      </c>
      <c r="O2303" t="inlineStr">
        <is>
          <t>Sim</t>
        </is>
      </c>
      <c r="P2303" t="inlineStr">
        <is>
          <t>1.350</t>
        </is>
      </c>
    </row>
    <row r="2304">
      <c r="A2304" s="24" t="n">
        <v>46054</v>
      </c>
      <c r="B2304" t="inlineStr">
        <is>
          <t>Frete de compra</t>
        </is>
      </c>
      <c r="C2304" t="inlineStr">
        <is>
          <t>Frete de compra</t>
        </is>
      </c>
      <c r="D2304" t="inlineStr">
        <is>
          <t>CT-e</t>
        </is>
      </c>
      <c r="E2304" t="inlineStr">
        <is>
          <t>000190663</t>
        </is>
      </c>
      <c r="F2304" t="inlineStr">
        <is>
          <t>ALIANCA NAVEGACAO E LOGISTICA LTDA</t>
        </is>
      </c>
      <c r="G2304" s="27" t="n">
        <v>46079</v>
      </c>
      <c r="H2304" s="14" t="n">
        <v>17193.72</v>
      </c>
      <c r="I2304" s="14" t="n">
        <v>0</v>
      </c>
      <c r="J2304" s="14" t="n">
        <v>1203.56</v>
      </c>
      <c r="K2304" s="14" t="n">
        <v>0</v>
      </c>
      <c r="L2304" s="14" t="n">
        <v>0</v>
      </c>
      <c r="M2304" s="14">
        <f>IF(B2304="Frete de venda",0,(1-ISNUMBER(SEARCH("556",P2304)))*(I2304*VLOOKUP($B2304,Premissas!$A$4:$E$7,2,0)+J2304*VLOOKUP($B2304,Premissas!$A$4:$E$7,3,0))+K2304*VLOOKUP($B2304,Premissas!$A$4:$E$7,4,0)+L2304*VLOOKUP($B2304,Premissas!$A$4:$E$7,5,0))</f>
        <v/>
      </c>
      <c r="N2304" s="14">
        <f>H2304-M2304</f>
        <v/>
      </c>
      <c r="O2304" t="inlineStr">
        <is>
          <t>Sim</t>
        </is>
      </c>
      <c r="P2304" t="inlineStr">
        <is>
          <t>1.350</t>
        </is>
      </c>
    </row>
    <row r="2305">
      <c r="A2305" s="24" t="n">
        <v>46054</v>
      </c>
      <c r="B2305" t="inlineStr">
        <is>
          <t>Frete de compra</t>
        </is>
      </c>
      <c r="C2305" t="inlineStr">
        <is>
          <t>Frete de compra</t>
        </is>
      </c>
      <c r="D2305" t="inlineStr">
        <is>
          <t>CT-e</t>
        </is>
      </c>
      <c r="E2305" t="inlineStr">
        <is>
          <t>000190682</t>
        </is>
      </c>
      <c r="F2305" t="inlineStr">
        <is>
          <t>ALIANCA NAVEGACAO E LOGISTICA LTDA</t>
        </is>
      </c>
      <c r="G2305" s="27" t="n">
        <v>46080</v>
      </c>
      <c r="H2305" s="14" t="n">
        <v>17188.33</v>
      </c>
      <c r="I2305" s="14" t="n">
        <v>0</v>
      </c>
      <c r="J2305" s="14" t="n">
        <v>1203.18</v>
      </c>
      <c r="K2305" s="14" t="n">
        <v>0</v>
      </c>
      <c r="L2305" s="14" t="n">
        <v>0</v>
      </c>
      <c r="M2305" s="14">
        <f>IF(B2305="Frete de venda",0,(1-ISNUMBER(SEARCH("556",P2305)))*(I2305*VLOOKUP($B2305,Premissas!$A$4:$E$7,2,0)+J2305*VLOOKUP($B2305,Premissas!$A$4:$E$7,3,0))+K2305*VLOOKUP($B2305,Premissas!$A$4:$E$7,4,0)+L2305*VLOOKUP($B2305,Premissas!$A$4:$E$7,5,0))</f>
        <v/>
      </c>
      <c r="N2305" s="14">
        <f>H2305-M2305</f>
        <v/>
      </c>
      <c r="O2305" t="inlineStr">
        <is>
          <t>Sim</t>
        </is>
      </c>
      <c r="P2305" t="inlineStr">
        <is>
          <t>1.350</t>
        </is>
      </c>
    </row>
    <row r="2306">
      <c r="A2306" s="24" t="n">
        <v>46054</v>
      </c>
      <c r="B2306" t="inlineStr">
        <is>
          <t>Frete de compra</t>
        </is>
      </c>
      <c r="C2306" t="inlineStr">
        <is>
          <t>Frete de compra</t>
        </is>
      </c>
      <c r="D2306" t="inlineStr">
        <is>
          <t>CT-e</t>
        </is>
      </c>
      <c r="E2306" t="inlineStr">
        <is>
          <t>000190693</t>
        </is>
      </c>
      <c r="F2306" t="inlineStr">
        <is>
          <t>ALIANCA NAVEGACAO E LOGISTICA LTDA</t>
        </is>
      </c>
      <c r="G2306" s="27" t="n">
        <v>46080</v>
      </c>
      <c r="H2306" s="14" t="n">
        <v>17245.92</v>
      </c>
      <c r="I2306" s="14" t="n">
        <v>0</v>
      </c>
      <c r="J2306" s="14" t="n">
        <v>1207.21</v>
      </c>
      <c r="K2306" s="14" t="n">
        <v>0</v>
      </c>
      <c r="L2306" s="14" t="n">
        <v>0</v>
      </c>
      <c r="M2306" s="14">
        <f>IF(B2306="Frete de venda",0,(1-ISNUMBER(SEARCH("556",P2306)))*(I2306*VLOOKUP($B2306,Premissas!$A$4:$E$7,2,0)+J2306*VLOOKUP($B2306,Premissas!$A$4:$E$7,3,0))+K2306*VLOOKUP($B2306,Premissas!$A$4:$E$7,4,0)+L2306*VLOOKUP($B2306,Premissas!$A$4:$E$7,5,0))</f>
        <v/>
      </c>
      <c r="N2306" s="14">
        <f>H2306-M2306</f>
        <v/>
      </c>
      <c r="O2306" t="inlineStr">
        <is>
          <t>Sim</t>
        </is>
      </c>
      <c r="P2306" t="inlineStr">
        <is>
          <t>1.350</t>
        </is>
      </c>
    </row>
    <row r="2307">
      <c r="A2307" s="24" t="n">
        <v>46054</v>
      </c>
      <c r="B2307" t="inlineStr">
        <is>
          <t>Frete de venda</t>
        </is>
      </c>
      <c r="C2307" t="inlineStr">
        <is>
          <t>Frete de venda (para clientes)</t>
        </is>
      </c>
      <c r="D2307" t="inlineStr">
        <is>
          <t>CT-e</t>
        </is>
      </c>
      <c r="E2307" t="inlineStr">
        <is>
          <t>000096109</t>
        </is>
      </c>
      <c r="F2307" t="inlineStr">
        <is>
          <t>CAMPINENSE TRANSPORTE DE CARGAS E LOCACOES LT</t>
        </is>
      </c>
      <c r="G2307" s="27" t="n">
        <v>46079</v>
      </c>
      <c r="H2307" s="14" t="n">
        <v>182.67</v>
      </c>
      <c r="I2307" s="14" t="n">
        <v>0</v>
      </c>
      <c r="J2307" s="14" t="n">
        <v>12.79</v>
      </c>
      <c r="K2307" s="14" t="n">
        <v>0</v>
      </c>
      <c r="L2307" s="14" t="n">
        <v>0</v>
      </c>
      <c r="M2307" s="14">
        <f>IF(B2307="Frete de venda",0,(1-ISNUMBER(SEARCH("556",P2307)))*(I2307*VLOOKUP($B2307,Premissas!$A$4:$E$7,2,0)+J2307*VLOOKUP($B2307,Premissas!$A$4:$E$7,3,0))+K2307*VLOOKUP($B2307,Premissas!$A$4:$E$7,4,0)+L2307*VLOOKUP($B2307,Premissas!$A$4:$E$7,5,0))</f>
        <v/>
      </c>
      <c r="N2307" s="14">
        <f>H2307-M2307</f>
        <v/>
      </c>
      <c r="O2307" t="inlineStr">
        <is>
          <t>Sim</t>
        </is>
      </c>
      <c r="P2307" t="inlineStr">
        <is>
          <t>1.350</t>
        </is>
      </c>
    </row>
    <row r="2308">
      <c r="A2308" s="24" t="n">
        <v>46054</v>
      </c>
      <c r="B2308" t="inlineStr">
        <is>
          <t>Frete de venda</t>
        </is>
      </c>
      <c r="C2308" t="inlineStr">
        <is>
          <t>Frete de venda (para clientes)</t>
        </is>
      </c>
      <c r="D2308" t="inlineStr">
        <is>
          <t>CT-e</t>
        </is>
      </c>
      <c r="E2308" t="inlineStr">
        <is>
          <t>000006445</t>
        </is>
      </c>
      <c r="F2308" t="inlineStr">
        <is>
          <t>R&amp;R TRANSPORTE E LOGISTICA</t>
        </is>
      </c>
      <c r="G2308" s="27" t="n">
        <v>46080</v>
      </c>
      <c r="H2308" s="14" t="n">
        <v>129.6</v>
      </c>
      <c r="I2308" s="14" t="n">
        <v>0</v>
      </c>
      <c r="J2308" s="14" t="n">
        <v>0</v>
      </c>
      <c r="K2308" s="14" t="n">
        <v>0</v>
      </c>
      <c r="L2308" s="14" t="n">
        <v>0</v>
      </c>
      <c r="M2308" s="14">
        <f>IF(B2308="Frete de venda",0,(1-ISNUMBER(SEARCH("556",P2308)))*(I2308*VLOOKUP($B2308,Premissas!$A$4:$E$7,2,0)+J2308*VLOOKUP($B2308,Premissas!$A$4:$E$7,3,0))+K2308*VLOOKUP($B2308,Premissas!$A$4:$E$7,4,0)+L2308*VLOOKUP($B2308,Premissas!$A$4:$E$7,5,0))</f>
        <v/>
      </c>
      <c r="N2308" s="14">
        <f>H2308-M2308</f>
        <v/>
      </c>
      <c r="O2308" t="inlineStr">
        <is>
          <t>Não</t>
        </is>
      </c>
      <c r="P2308" t="inlineStr">
        <is>
          <t>1.350</t>
        </is>
      </c>
    </row>
    <row r="2309">
      <c r="A2309" s="24" t="n">
        <v>46054</v>
      </c>
      <c r="B2309" t="inlineStr">
        <is>
          <t>Frete de venda</t>
        </is>
      </c>
      <c r="C2309" t="inlineStr">
        <is>
          <t>Frete de venda (para clientes)</t>
        </is>
      </c>
      <c r="D2309" t="inlineStr">
        <is>
          <t>CT-e</t>
        </is>
      </c>
      <c r="E2309" t="inlineStr">
        <is>
          <t>000006316</t>
        </is>
      </c>
      <c r="F2309" t="inlineStr">
        <is>
          <t>R&amp;R TRANSPORTE E LOGISTICA</t>
        </is>
      </c>
      <c r="G2309" s="27" t="n">
        <v>46060</v>
      </c>
      <c r="H2309" s="14" t="n">
        <v>69.05</v>
      </c>
      <c r="I2309" s="14" t="n">
        <v>0</v>
      </c>
      <c r="J2309" s="14" t="n">
        <v>0</v>
      </c>
      <c r="K2309" s="14" t="n">
        <v>0</v>
      </c>
      <c r="L2309" s="14" t="n">
        <v>0</v>
      </c>
      <c r="M2309" s="14">
        <f>IF(B2309="Frete de venda",0,(1-ISNUMBER(SEARCH("556",P2309)))*(I2309*VLOOKUP($B2309,Premissas!$A$4:$E$7,2,0)+J2309*VLOOKUP($B2309,Premissas!$A$4:$E$7,3,0))+K2309*VLOOKUP($B2309,Premissas!$A$4:$E$7,4,0)+L2309*VLOOKUP($B2309,Premissas!$A$4:$E$7,5,0))</f>
        <v/>
      </c>
      <c r="N2309" s="14">
        <f>H2309-M2309</f>
        <v/>
      </c>
      <c r="O2309" t="inlineStr">
        <is>
          <t>Não</t>
        </is>
      </c>
      <c r="P2309" t="inlineStr">
        <is>
          <t>1.350</t>
        </is>
      </c>
    </row>
    <row r="2310">
      <c r="A2310" s="24" t="n">
        <v>46054</v>
      </c>
      <c r="B2310" t="inlineStr">
        <is>
          <t>Frete de venda</t>
        </is>
      </c>
      <c r="C2310" t="inlineStr">
        <is>
          <t>Frete de venda (para clientes)</t>
        </is>
      </c>
      <c r="D2310" t="inlineStr">
        <is>
          <t>CT-e</t>
        </is>
      </c>
      <c r="E2310" t="inlineStr">
        <is>
          <t>000002927</t>
        </is>
      </c>
      <c r="F2310" t="inlineStr">
        <is>
          <t>RAPIDO XAPURI TRANSPORTES E LOGISTICA LTDA</t>
        </is>
      </c>
      <c r="G2310" s="27" t="n">
        <v>46079</v>
      </c>
      <c r="H2310" s="14" t="n">
        <v>1402.75</v>
      </c>
      <c r="I2310" s="14" t="n">
        <v>0</v>
      </c>
      <c r="J2310" s="14" t="n">
        <v>168.33</v>
      </c>
      <c r="K2310" s="14" t="n">
        <v>0</v>
      </c>
      <c r="L2310" s="14" t="n">
        <v>0</v>
      </c>
      <c r="M2310" s="14">
        <f>IF(B2310="Frete de venda",0,(1-ISNUMBER(SEARCH("556",P2310)))*(I2310*VLOOKUP($B2310,Premissas!$A$4:$E$7,2,0)+J2310*VLOOKUP($B2310,Premissas!$A$4:$E$7,3,0))+K2310*VLOOKUP($B2310,Premissas!$A$4:$E$7,4,0)+L2310*VLOOKUP($B2310,Premissas!$A$4:$E$7,5,0))</f>
        <v/>
      </c>
      <c r="N2310" s="14">
        <f>H2310-M2310</f>
        <v/>
      </c>
      <c r="O2310" t="inlineStr">
        <is>
          <t>Sim</t>
        </is>
      </c>
      <c r="P2310" t="inlineStr">
        <is>
          <t>1.350</t>
        </is>
      </c>
    </row>
    <row r="2311">
      <c r="A2311" s="24" t="n">
        <v>46054</v>
      </c>
      <c r="B2311" t="inlineStr">
        <is>
          <t>Frete de venda</t>
        </is>
      </c>
      <c r="C2311" t="inlineStr">
        <is>
          <t>Frete de venda (para clientes)</t>
        </is>
      </c>
      <c r="D2311" t="inlineStr">
        <is>
          <t>CT-e</t>
        </is>
      </c>
      <c r="E2311" t="inlineStr">
        <is>
          <t>000006400</t>
        </is>
      </c>
      <c r="F2311" t="inlineStr">
        <is>
          <t>R&amp;R TRANSPORTE E LOGISTICA</t>
        </is>
      </c>
      <c r="G2311" s="27" t="n">
        <v>46072</v>
      </c>
      <c r="H2311" s="14" t="n">
        <v>34.36</v>
      </c>
      <c r="I2311" s="14" t="n">
        <v>0</v>
      </c>
      <c r="J2311" s="14" t="n">
        <v>0</v>
      </c>
      <c r="K2311" s="14" t="n">
        <v>0</v>
      </c>
      <c r="L2311" s="14" t="n">
        <v>0</v>
      </c>
      <c r="M2311" s="14">
        <f>IF(B2311="Frete de venda",0,(1-ISNUMBER(SEARCH("556",P2311)))*(I2311*VLOOKUP($B2311,Premissas!$A$4:$E$7,2,0)+J2311*VLOOKUP($B2311,Premissas!$A$4:$E$7,3,0))+K2311*VLOOKUP($B2311,Premissas!$A$4:$E$7,4,0)+L2311*VLOOKUP($B2311,Premissas!$A$4:$E$7,5,0))</f>
        <v/>
      </c>
      <c r="N2311" s="14">
        <f>H2311-M2311</f>
        <v/>
      </c>
      <c r="O2311" t="inlineStr">
        <is>
          <t>Não</t>
        </is>
      </c>
      <c r="P2311" t="inlineStr">
        <is>
          <t>1.350</t>
        </is>
      </c>
    </row>
    <row r="2312">
      <c r="A2312" s="24" t="n">
        <v>46054</v>
      </c>
      <c r="B2312" t="inlineStr">
        <is>
          <t>Frete de venda</t>
        </is>
      </c>
      <c r="C2312" t="inlineStr">
        <is>
          <t>Frete de venda (para clientes)</t>
        </is>
      </c>
      <c r="D2312" t="inlineStr">
        <is>
          <t>CT-e</t>
        </is>
      </c>
      <c r="E2312" t="inlineStr">
        <is>
          <t>000006434</t>
        </is>
      </c>
      <c r="F2312" t="inlineStr">
        <is>
          <t>R&amp;R TRANSPORTE E LOGISTICA</t>
        </is>
      </c>
      <c r="G2312" s="27" t="n">
        <v>46077</v>
      </c>
      <c r="H2312" s="14" t="n">
        <v>50.53</v>
      </c>
      <c r="I2312" s="14" t="n">
        <v>0</v>
      </c>
      <c r="J2312" s="14" t="n">
        <v>0</v>
      </c>
      <c r="K2312" s="14" t="n">
        <v>0</v>
      </c>
      <c r="L2312" s="14" t="n">
        <v>0</v>
      </c>
      <c r="M2312" s="14">
        <f>IF(B2312="Frete de venda",0,(1-ISNUMBER(SEARCH("556",P2312)))*(I2312*VLOOKUP($B2312,Premissas!$A$4:$E$7,2,0)+J2312*VLOOKUP($B2312,Premissas!$A$4:$E$7,3,0))+K2312*VLOOKUP($B2312,Premissas!$A$4:$E$7,4,0)+L2312*VLOOKUP($B2312,Premissas!$A$4:$E$7,5,0))</f>
        <v/>
      </c>
      <c r="N2312" s="14">
        <f>H2312-M2312</f>
        <v/>
      </c>
      <c r="O2312" t="inlineStr">
        <is>
          <t>Não</t>
        </is>
      </c>
      <c r="P2312" t="inlineStr">
        <is>
          <t>1.350</t>
        </is>
      </c>
    </row>
    <row r="2313">
      <c r="A2313" s="24" t="n">
        <v>46054</v>
      </c>
      <c r="B2313" t="inlineStr">
        <is>
          <t>Frete de venda</t>
        </is>
      </c>
      <c r="C2313" t="inlineStr">
        <is>
          <t>Frete de venda (para clientes)</t>
        </is>
      </c>
      <c r="D2313" t="inlineStr">
        <is>
          <t>CT-e</t>
        </is>
      </c>
      <c r="E2313" t="inlineStr">
        <is>
          <t>000006358</t>
        </is>
      </c>
      <c r="F2313" t="inlineStr">
        <is>
          <t>R&amp;R TRANSPORTE E LOGISTICA</t>
        </is>
      </c>
      <c r="G2313" s="27" t="n">
        <v>46066</v>
      </c>
      <c r="H2313" s="14" t="n">
        <v>16.58</v>
      </c>
      <c r="I2313" s="14" t="n">
        <v>0</v>
      </c>
      <c r="J2313" s="14" t="n">
        <v>0</v>
      </c>
      <c r="K2313" s="14" t="n">
        <v>0</v>
      </c>
      <c r="L2313" s="14" t="n">
        <v>0</v>
      </c>
      <c r="M2313" s="14">
        <f>IF(B2313="Frete de venda",0,(1-ISNUMBER(SEARCH("556",P2313)))*(I2313*VLOOKUP($B2313,Premissas!$A$4:$E$7,2,0)+J2313*VLOOKUP($B2313,Premissas!$A$4:$E$7,3,0))+K2313*VLOOKUP($B2313,Premissas!$A$4:$E$7,4,0)+L2313*VLOOKUP($B2313,Premissas!$A$4:$E$7,5,0))</f>
        <v/>
      </c>
      <c r="N2313" s="14">
        <f>H2313-M2313</f>
        <v/>
      </c>
      <c r="O2313" t="inlineStr">
        <is>
          <t>Não</t>
        </is>
      </c>
      <c r="P2313" t="inlineStr">
        <is>
          <t>1.350</t>
        </is>
      </c>
    </row>
    <row r="2314">
      <c r="A2314" s="24" t="n">
        <v>46054</v>
      </c>
      <c r="B2314" t="inlineStr">
        <is>
          <t>Frete de venda</t>
        </is>
      </c>
      <c r="C2314" t="inlineStr">
        <is>
          <t>Frete de venda (para clientes)</t>
        </is>
      </c>
      <c r="D2314" t="inlineStr">
        <is>
          <t>CT-e</t>
        </is>
      </c>
      <c r="E2314" t="inlineStr">
        <is>
          <t>000006435</t>
        </is>
      </c>
      <c r="F2314" t="inlineStr">
        <is>
          <t>R&amp;R TRANSPORTE E LOGISTICA</t>
        </is>
      </c>
      <c r="G2314" s="27" t="n">
        <v>46077</v>
      </c>
      <c r="H2314" s="14" t="n">
        <v>61.12</v>
      </c>
      <c r="I2314" s="14" t="n">
        <v>0</v>
      </c>
      <c r="J2314" s="14" t="n">
        <v>0</v>
      </c>
      <c r="K2314" s="14" t="n">
        <v>0</v>
      </c>
      <c r="L2314" s="14" t="n">
        <v>0</v>
      </c>
      <c r="M2314" s="14">
        <f>IF(B2314="Frete de venda",0,(1-ISNUMBER(SEARCH("556",P2314)))*(I2314*VLOOKUP($B2314,Premissas!$A$4:$E$7,2,0)+J2314*VLOOKUP($B2314,Premissas!$A$4:$E$7,3,0))+K2314*VLOOKUP($B2314,Premissas!$A$4:$E$7,4,0)+L2314*VLOOKUP($B2314,Premissas!$A$4:$E$7,5,0))</f>
        <v/>
      </c>
      <c r="N2314" s="14">
        <f>H2314-M2314</f>
        <v/>
      </c>
      <c r="O2314" t="inlineStr">
        <is>
          <t>Não</t>
        </is>
      </c>
      <c r="P2314" t="inlineStr">
        <is>
          <t>1.350</t>
        </is>
      </c>
    </row>
    <row r="2315">
      <c r="A2315" s="24" t="n">
        <v>46054</v>
      </c>
      <c r="B2315" t="inlineStr">
        <is>
          <t>Frete de venda</t>
        </is>
      </c>
      <c r="C2315" t="inlineStr">
        <is>
          <t>Frete de venda (para clientes)</t>
        </is>
      </c>
      <c r="D2315" t="inlineStr">
        <is>
          <t>CT-e</t>
        </is>
      </c>
      <c r="E2315" t="inlineStr">
        <is>
          <t>000006363</t>
        </is>
      </c>
      <c r="F2315" t="inlineStr">
        <is>
          <t>R&amp;R TRANSPORTE E LOGISTICA</t>
        </is>
      </c>
      <c r="G2315" s="27" t="n">
        <v>46066</v>
      </c>
      <c r="H2315" s="14" t="n">
        <v>11.85</v>
      </c>
      <c r="I2315" s="14" t="n">
        <v>0</v>
      </c>
      <c r="J2315" s="14" t="n">
        <v>0</v>
      </c>
      <c r="K2315" s="14" t="n">
        <v>0</v>
      </c>
      <c r="L2315" s="14" t="n">
        <v>0</v>
      </c>
      <c r="M2315" s="14">
        <f>IF(B2315="Frete de venda",0,(1-ISNUMBER(SEARCH("556",P2315)))*(I2315*VLOOKUP($B2315,Premissas!$A$4:$E$7,2,0)+J2315*VLOOKUP($B2315,Premissas!$A$4:$E$7,3,0))+K2315*VLOOKUP($B2315,Premissas!$A$4:$E$7,4,0)+L2315*VLOOKUP($B2315,Premissas!$A$4:$E$7,5,0))</f>
        <v/>
      </c>
      <c r="N2315" s="14">
        <f>H2315-M2315</f>
        <v/>
      </c>
      <c r="O2315" t="inlineStr">
        <is>
          <t>Não</t>
        </is>
      </c>
      <c r="P2315" t="inlineStr">
        <is>
          <t>1.350</t>
        </is>
      </c>
    </row>
    <row r="2316">
      <c r="A2316" s="24" t="n">
        <v>46054</v>
      </c>
      <c r="B2316" t="inlineStr">
        <is>
          <t>Frete de venda</t>
        </is>
      </c>
      <c r="C2316" t="inlineStr">
        <is>
          <t>Frete de venda (para clientes)</t>
        </is>
      </c>
      <c r="D2316" t="inlineStr">
        <is>
          <t>CT-e</t>
        </is>
      </c>
      <c r="E2316" t="inlineStr">
        <is>
          <t>000006411</t>
        </is>
      </c>
      <c r="F2316" t="inlineStr">
        <is>
          <t>R&amp;R TRANSPORTE E LOGISTICA</t>
        </is>
      </c>
      <c r="G2316" s="27" t="n">
        <v>46074</v>
      </c>
      <c r="H2316" s="14" t="n">
        <v>13.72</v>
      </c>
      <c r="I2316" s="14" t="n">
        <v>0</v>
      </c>
      <c r="J2316" s="14" t="n">
        <v>0</v>
      </c>
      <c r="K2316" s="14" t="n">
        <v>0</v>
      </c>
      <c r="L2316" s="14" t="n">
        <v>0</v>
      </c>
      <c r="M2316" s="14">
        <f>IF(B2316="Frete de venda",0,(1-ISNUMBER(SEARCH("556",P2316)))*(I2316*VLOOKUP($B2316,Premissas!$A$4:$E$7,2,0)+J2316*VLOOKUP($B2316,Premissas!$A$4:$E$7,3,0))+K2316*VLOOKUP($B2316,Premissas!$A$4:$E$7,4,0)+L2316*VLOOKUP($B2316,Premissas!$A$4:$E$7,5,0))</f>
        <v/>
      </c>
      <c r="N2316" s="14">
        <f>H2316-M2316</f>
        <v/>
      </c>
      <c r="O2316" t="inlineStr">
        <is>
          <t>Não</t>
        </is>
      </c>
      <c r="P2316" t="inlineStr">
        <is>
          <t>1.350</t>
        </is>
      </c>
    </row>
    <row r="2317">
      <c r="A2317" s="24" t="n">
        <v>46054</v>
      </c>
      <c r="B2317" t="inlineStr">
        <is>
          <t>Frete de venda</t>
        </is>
      </c>
      <c r="C2317" t="inlineStr">
        <is>
          <t>Frete de venda (para clientes)</t>
        </is>
      </c>
      <c r="D2317" t="inlineStr">
        <is>
          <t>CT-e</t>
        </is>
      </c>
      <c r="E2317" t="inlineStr">
        <is>
          <t>000006384</t>
        </is>
      </c>
      <c r="F2317" t="inlineStr">
        <is>
          <t>R&amp;R TRANSPORTE E LOGISTICA</t>
        </is>
      </c>
      <c r="G2317" s="27" t="n">
        <v>46067</v>
      </c>
      <c r="H2317" s="14" t="n">
        <v>124.49</v>
      </c>
      <c r="I2317" s="14" t="n">
        <v>0</v>
      </c>
      <c r="J2317" s="14" t="n">
        <v>0</v>
      </c>
      <c r="K2317" s="14" t="n">
        <v>0</v>
      </c>
      <c r="L2317" s="14" t="n">
        <v>0</v>
      </c>
      <c r="M2317" s="14">
        <f>IF(B2317="Frete de venda",0,(1-ISNUMBER(SEARCH("556",P2317)))*(I2317*VLOOKUP($B2317,Premissas!$A$4:$E$7,2,0)+J2317*VLOOKUP($B2317,Premissas!$A$4:$E$7,3,0))+K2317*VLOOKUP($B2317,Premissas!$A$4:$E$7,4,0)+L2317*VLOOKUP($B2317,Premissas!$A$4:$E$7,5,0))</f>
        <v/>
      </c>
      <c r="N2317" s="14">
        <f>H2317-M2317</f>
        <v/>
      </c>
      <c r="O2317" t="inlineStr">
        <is>
          <t>Não</t>
        </is>
      </c>
      <c r="P2317" t="inlineStr">
        <is>
          <t>1.350</t>
        </is>
      </c>
    </row>
    <row r="2318">
      <c r="A2318" s="24" t="n">
        <v>46054</v>
      </c>
      <c r="B2318" t="inlineStr">
        <is>
          <t>Frete de venda</t>
        </is>
      </c>
      <c r="C2318" t="inlineStr">
        <is>
          <t>Frete de venda (para clientes)</t>
        </is>
      </c>
      <c r="D2318" t="inlineStr">
        <is>
          <t>CT-e</t>
        </is>
      </c>
      <c r="E2318" t="inlineStr">
        <is>
          <t>000006382</t>
        </is>
      </c>
      <c r="F2318" t="inlineStr">
        <is>
          <t>R&amp;R TRANSPORTE E LOGISTICA</t>
        </is>
      </c>
      <c r="G2318" s="27" t="n">
        <v>46067</v>
      </c>
      <c r="H2318" s="14" t="n">
        <v>97.75</v>
      </c>
      <c r="I2318" s="14" t="n">
        <v>0</v>
      </c>
      <c r="J2318" s="14" t="n">
        <v>0</v>
      </c>
      <c r="K2318" s="14" t="n">
        <v>0</v>
      </c>
      <c r="L2318" s="14" t="n">
        <v>0</v>
      </c>
      <c r="M2318" s="14">
        <f>IF(B2318="Frete de venda",0,(1-ISNUMBER(SEARCH("556",P2318)))*(I2318*VLOOKUP($B2318,Premissas!$A$4:$E$7,2,0)+J2318*VLOOKUP($B2318,Premissas!$A$4:$E$7,3,0))+K2318*VLOOKUP($B2318,Premissas!$A$4:$E$7,4,0)+L2318*VLOOKUP($B2318,Premissas!$A$4:$E$7,5,0))</f>
        <v/>
      </c>
      <c r="N2318" s="14">
        <f>H2318-M2318</f>
        <v/>
      </c>
      <c r="O2318" t="inlineStr">
        <is>
          <t>Não</t>
        </is>
      </c>
      <c r="P2318" t="inlineStr">
        <is>
          <t>1.350</t>
        </is>
      </c>
    </row>
    <row r="2319">
      <c r="A2319" s="24" t="n">
        <v>46054</v>
      </c>
      <c r="B2319" t="inlineStr">
        <is>
          <t>Frete de venda</t>
        </is>
      </c>
      <c r="C2319" t="inlineStr">
        <is>
          <t>Frete de venda (para clientes)</t>
        </is>
      </c>
      <c r="D2319" t="inlineStr">
        <is>
          <t>CT-e</t>
        </is>
      </c>
      <c r="E2319" t="inlineStr">
        <is>
          <t>000006433</t>
        </is>
      </c>
      <c r="F2319" t="inlineStr">
        <is>
          <t>R&amp;R TRANSPORTE E LOGISTICA</t>
        </is>
      </c>
      <c r="G2319" s="27" t="n">
        <v>46077</v>
      </c>
      <c r="H2319" s="14" t="n">
        <v>51.54</v>
      </c>
      <c r="I2319" s="14" t="n">
        <v>0</v>
      </c>
      <c r="J2319" s="14" t="n">
        <v>0</v>
      </c>
      <c r="K2319" s="14" t="n">
        <v>0</v>
      </c>
      <c r="L2319" s="14" t="n">
        <v>0</v>
      </c>
      <c r="M2319" s="14">
        <f>IF(B2319="Frete de venda",0,(1-ISNUMBER(SEARCH("556",P2319)))*(I2319*VLOOKUP($B2319,Premissas!$A$4:$E$7,2,0)+J2319*VLOOKUP($B2319,Premissas!$A$4:$E$7,3,0))+K2319*VLOOKUP($B2319,Premissas!$A$4:$E$7,4,0)+L2319*VLOOKUP($B2319,Premissas!$A$4:$E$7,5,0))</f>
        <v/>
      </c>
      <c r="N2319" s="14">
        <f>H2319-M2319</f>
        <v/>
      </c>
      <c r="O2319" t="inlineStr">
        <is>
          <t>Não</t>
        </is>
      </c>
      <c r="P2319" t="inlineStr">
        <is>
          <t>1.350</t>
        </is>
      </c>
    </row>
    <row r="2320">
      <c r="A2320" s="24" t="n">
        <v>46054</v>
      </c>
      <c r="B2320" t="inlineStr">
        <is>
          <t>Frete de venda</t>
        </is>
      </c>
      <c r="C2320" t="inlineStr">
        <is>
          <t>Frete de venda (para clientes)</t>
        </is>
      </c>
      <c r="D2320" t="inlineStr">
        <is>
          <t>CT-e</t>
        </is>
      </c>
      <c r="E2320" t="inlineStr">
        <is>
          <t>000006451</t>
        </is>
      </c>
      <c r="F2320" t="inlineStr">
        <is>
          <t>R&amp;R TRANSPORTE E LOGISTICA</t>
        </is>
      </c>
      <c r="G2320" s="27" t="n">
        <v>46080</v>
      </c>
      <c r="H2320" s="14" t="n">
        <v>24.5</v>
      </c>
      <c r="I2320" s="14" t="n">
        <v>0</v>
      </c>
      <c r="J2320" s="14" t="n">
        <v>0</v>
      </c>
      <c r="K2320" s="14" t="n">
        <v>0</v>
      </c>
      <c r="L2320" s="14" t="n">
        <v>0</v>
      </c>
      <c r="M2320" s="14">
        <f>IF(B2320="Frete de venda",0,(1-ISNUMBER(SEARCH("556",P2320)))*(I2320*VLOOKUP($B2320,Premissas!$A$4:$E$7,2,0)+J2320*VLOOKUP($B2320,Premissas!$A$4:$E$7,3,0))+K2320*VLOOKUP($B2320,Premissas!$A$4:$E$7,4,0)+L2320*VLOOKUP($B2320,Premissas!$A$4:$E$7,5,0))</f>
        <v/>
      </c>
      <c r="N2320" s="14">
        <f>H2320-M2320</f>
        <v/>
      </c>
      <c r="O2320" t="inlineStr">
        <is>
          <t>Não</t>
        </is>
      </c>
      <c r="P2320" t="inlineStr">
        <is>
          <t>1.350</t>
        </is>
      </c>
    </row>
    <row r="2321">
      <c r="A2321" s="24" t="n">
        <v>46054</v>
      </c>
      <c r="B2321" t="inlineStr">
        <is>
          <t>Frete de venda</t>
        </is>
      </c>
      <c r="C2321" t="inlineStr">
        <is>
          <t>Frete de venda (para clientes)</t>
        </is>
      </c>
      <c r="D2321" t="inlineStr">
        <is>
          <t>CT-e</t>
        </is>
      </c>
      <c r="E2321" t="inlineStr">
        <is>
          <t>000006398</t>
        </is>
      </c>
      <c r="F2321" t="inlineStr">
        <is>
          <t>R&amp;R TRANSPORTE E LOGISTICA</t>
        </is>
      </c>
      <c r="G2321" s="27" t="n">
        <v>46072</v>
      </c>
      <c r="H2321" s="14" t="n">
        <v>31.61</v>
      </c>
      <c r="I2321" s="14" t="n">
        <v>0</v>
      </c>
      <c r="J2321" s="14" t="n">
        <v>0</v>
      </c>
      <c r="K2321" s="14" t="n">
        <v>0</v>
      </c>
      <c r="L2321" s="14" t="n">
        <v>0</v>
      </c>
      <c r="M2321" s="14">
        <f>IF(B2321="Frete de venda",0,(1-ISNUMBER(SEARCH("556",P2321)))*(I2321*VLOOKUP($B2321,Premissas!$A$4:$E$7,2,0)+J2321*VLOOKUP($B2321,Premissas!$A$4:$E$7,3,0))+K2321*VLOOKUP($B2321,Premissas!$A$4:$E$7,4,0)+L2321*VLOOKUP($B2321,Premissas!$A$4:$E$7,5,0))</f>
        <v/>
      </c>
      <c r="N2321" s="14">
        <f>H2321-M2321</f>
        <v/>
      </c>
      <c r="O2321" t="inlineStr">
        <is>
          <t>Não</t>
        </is>
      </c>
      <c r="P2321" t="inlineStr">
        <is>
          <t>1.350</t>
        </is>
      </c>
    </row>
    <row r="2322">
      <c r="A2322" s="24" t="n">
        <v>46054</v>
      </c>
      <c r="B2322" t="inlineStr">
        <is>
          <t>Frete de venda</t>
        </is>
      </c>
      <c r="C2322" t="inlineStr">
        <is>
          <t>Frete de venda (para clientes)</t>
        </is>
      </c>
      <c r="D2322" t="inlineStr">
        <is>
          <t>CT-e</t>
        </is>
      </c>
      <c r="E2322" t="inlineStr">
        <is>
          <t>000006454</t>
        </is>
      </c>
      <c r="F2322" t="inlineStr">
        <is>
          <t>R&amp;R TRANSPORTE E LOGISTICA</t>
        </is>
      </c>
      <c r="G2322" s="27" t="n">
        <v>46080</v>
      </c>
      <c r="H2322" s="14" t="n">
        <v>23.33</v>
      </c>
      <c r="I2322" s="14" t="n">
        <v>0</v>
      </c>
      <c r="J2322" s="14" t="n">
        <v>0</v>
      </c>
      <c r="K2322" s="14" t="n">
        <v>0</v>
      </c>
      <c r="L2322" s="14" t="n">
        <v>0</v>
      </c>
      <c r="M2322" s="14">
        <f>IF(B2322="Frete de venda",0,(1-ISNUMBER(SEARCH("556",P2322)))*(I2322*VLOOKUP($B2322,Premissas!$A$4:$E$7,2,0)+J2322*VLOOKUP($B2322,Premissas!$A$4:$E$7,3,0))+K2322*VLOOKUP($B2322,Premissas!$A$4:$E$7,4,0)+L2322*VLOOKUP($B2322,Premissas!$A$4:$E$7,5,0))</f>
        <v/>
      </c>
      <c r="N2322" s="14">
        <f>H2322-M2322</f>
        <v/>
      </c>
      <c r="O2322" t="inlineStr">
        <is>
          <t>Não</t>
        </is>
      </c>
      <c r="P2322" t="inlineStr">
        <is>
          <t>1.350</t>
        </is>
      </c>
    </row>
    <row r="2323">
      <c r="A2323" s="24" t="n">
        <v>46054</v>
      </c>
      <c r="B2323" t="inlineStr">
        <is>
          <t>Frete de venda</t>
        </is>
      </c>
      <c r="C2323" t="inlineStr">
        <is>
          <t>Frete de venda (para clientes)</t>
        </is>
      </c>
      <c r="D2323" t="inlineStr">
        <is>
          <t>CT-e</t>
        </is>
      </c>
      <c r="E2323" t="inlineStr">
        <is>
          <t>000006452</t>
        </is>
      </c>
      <c r="F2323" t="inlineStr">
        <is>
          <t>R&amp;R TRANSPORTE E LOGISTICA</t>
        </is>
      </c>
      <c r="G2323" s="27" t="n">
        <v>46080</v>
      </c>
      <c r="H2323" s="14" t="n">
        <v>26.91</v>
      </c>
      <c r="I2323" s="14" t="n">
        <v>0</v>
      </c>
      <c r="J2323" s="14" t="n">
        <v>0</v>
      </c>
      <c r="K2323" s="14" t="n">
        <v>0</v>
      </c>
      <c r="L2323" s="14" t="n">
        <v>0</v>
      </c>
      <c r="M2323" s="14">
        <f>IF(B2323="Frete de venda",0,(1-ISNUMBER(SEARCH("556",P2323)))*(I2323*VLOOKUP($B2323,Premissas!$A$4:$E$7,2,0)+J2323*VLOOKUP($B2323,Premissas!$A$4:$E$7,3,0))+K2323*VLOOKUP($B2323,Premissas!$A$4:$E$7,4,0)+L2323*VLOOKUP($B2323,Premissas!$A$4:$E$7,5,0))</f>
        <v/>
      </c>
      <c r="N2323" s="14">
        <f>H2323-M2323</f>
        <v/>
      </c>
      <c r="O2323" t="inlineStr">
        <is>
          <t>Não</t>
        </is>
      </c>
      <c r="P2323" t="inlineStr">
        <is>
          <t>1.350</t>
        </is>
      </c>
    </row>
    <row r="2324">
      <c r="A2324" s="24" t="n">
        <v>46054</v>
      </c>
      <c r="B2324" t="inlineStr">
        <is>
          <t>Frete de venda</t>
        </is>
      </c>
      <c r="C2324" t="inlineStr">
        <is>
          <t>Frete de venda (para clientes)</t>
        </is>
      </c>
      <c r="D2324" t="inlineStr">
        <is>
          <t>CT-e</t>
        </is>
      </c>
      <c r="E2324" t="inlineStr">
        <is>
          <t>000006372</t>
        </is>
      </c>
      <c r="F2324" t="inlineStr">
        <is>
          <t>R&amp;R TRANSPORTE E LOGISTICA</t>
        </is>
      </c>
      <c r="G2324" s="27" t="n">
        <v>46067</v>
      </c>
      <c r="H2324" s="14" t="n">
        <v>29.93</v>
      </c>
      <c r="I2324" s="14" t="n">
        <v>0</v>
      </c>
      <c r="J2324" s="14" t="n">
        <v>0</v>
      </c>
      <c r="K2324" s="14" t="n">
        <v>0</v>
      </c>
      <c r="L2324" s="14" t="n">
        <v>0</v>
      </c>
      <c r="M2324" s="14">
        <f>IF(B2324="Frete de venda",0,(1-ISNUMBER(SEARCH("556",P2324)))*(I2324*VLOOKUP($B2324,Premissas!$A$4:$E$7,2,0)+J2324*VLOOKUP($B2324,Premissas!$A$4:$E$7,3,0))+K2324*VLOOKUP($B2324,Premissas!$A$4:$E$7,4,0)+L2324*VLOOKUP($B2324,Premissas!$A$4:$E$7,5,0))</f>
        <v/>
      </c>
      <c r="N2324" s="14">
        <f>H2324-M2324</f>
        <v/>
      </c>
      <c r="O2324" t="inlineStr">
        <is>
          <t>Não</t>
        </is>
      </c>
      <c r="P2324" t="inlineStr">
        <is>
          <t>1.350</t>
        </is>
      </c>
    </row>
    <row r="2325">
      <c r="A2325" s="24" t="n">
        <v>46054</v>
      </c>
      <c r="B2325" t="inlineStr">
        <is>
          <t>Frete de venda</t>
        </is>
      </c>
      <c r="C2325" t="inlineStr">
        <is>
          <t>Frete de venda (para clientes)</t>
        </is>
      </c>
      <c r="D2325" t="inlineStr">
        <is>
          <t>CT-e</t>
        </is>
      </c>
      <c r="E2325" t="inlineStr">
        <is>
          <t>000023996</t>
        </is>
      </c>
      <c r="F2325" t="inlineStr">
        <is>
          <t>TRANSPORTE OLIVEIRA E MELLOI - IDEALIZA TRANSPORTES</t>
        </is>
      </c>
      <c r="G2325" s="27" t="n">
        <v>46080</v>
      </c>
      <c r="H2325" s="14" t="n">
        <v>399.5</v>
      </c>
      <c r="I2325" s="14" t="n">
        <v>0</v>
      </c>
      <c r="J2325" s="14" t="n">
        <v>47.94</v>
      </c>
      <c r="K2325" s="14" t="n">
        <v>0</v>
      </c>
      <c r="L2325" s="14" t="n">
        <v>0</v>
      </c>
      <c r="M2325" s="14">
        <f>IF(B2325="Frete de venda",0,(1-ISNUMBER(SEARCH("556",P2325)))*(I2325*VLOOKUP($B2325,Premissas!$A$4:$E$7,2,0)+J2325*VLOOKUP($B2325,Premissas!$A$4:$E$7,3,0))+K2325*VLOOKUP($B2325,Premissas!$A$4:$E$7,4,0)+L2325*VLOOKUP($B2325,Premissas!$A$4:$E$7,5,0))</f>
        <v/>
      </c>
      <c r="N2325" s="14">
        <f>H2325-M2325</f>
        <v/>
      </c>
      <c r="O2325" t="inlineStr">
        <is>
          <t>Sim</t>
        </is>
      </c>
      <c r="P2325" t="inlineStr">
        <is>
          <t>1.350</t>
        </is>
      </c>
    </row>
    <row r="2326">
      <c r="A2326" s="24" t="n">
        <v>46054</v>
      </c>
      <c r="B2326" t="inlineStr">
        <is>
          <t>Frete de venda</t>
        </is>
      </c>
      <c r="C2326" t="inlineStr">
        <is>
          <t>Frete de venda (para clientes)</t>
        </is>
      </c>
      <c r="D2326" t="inlineStr">
        <is>
          <t>CT-e</t>
        </is>
      </c>
      <c r="E2326" t="inlineStr">
        <is>
          <t>000006361</t>
        </is>
      </c>
      <c r="F2326" t="inlineStr">
        <is>
          <t>R&amp;R TRANSPORTE E LOGISTICA</t>
        </is>
      </c>
      <c r="G2326" s="27" t="n">
        <v>46066</v>
      </c>
      <c r="H2326" s="14" t="n">
        <v>13.62</v>
      </c>
      <c r="I2326" s="14" t="n">
        <v>0</v>
      </c>
      <c r="J2326" s="14" t="n">
        <v>0</v>
      </c>
      <c r="K2326" s="14" t="n">
        <v>0</v>
      </c>
      <c r="L2326" s="14" t="n">
        <v>0</v>
      </c>
      <c r="M2326" s="14">
        <f>IF(B2326="Frete de venda",0,(1-ISNUMBER(SEARCH("556",P2326)))*(I2326*VLOOKUP($B2326,Premissas!$A$4:$E$7,2,0)+J2326*VLOOKUP($B2326,Premissas!$A$4:$E$7,3,0))+K2326*VLOOKUP($B2326,Premissas!$A$4:$E$7,4,0)+L2326*VLOOKUP($B2326,Premissas!$A$4:$E$7,5,0))</f>
        <v/>
      </c>
      <c r="N2326" s="14">
        <f>H2326-M2326</f>
        <v/>
      </c>
      <c r="O2326" t="inlineStr">
        <is>
          <t>Não</t>
        </is>
      </c>
      <c r="P2326" t="inlineStr">
        <is>
          <t>1.350</t>
        </is>
      </c>
    </row>
    <row r="2327">
      <c r="A2327" s="24" t="n">
        <v>46054</v>
      </c>
      <c r="B2327" t="inlineStr">
        <is>
          <t>Frete de venda</t>
        </is>
      </c>
      <c r="C2327" t="inlineStr">
        <is>
          <t>Frete de venda (para clientes)</t>
        </is>
      </c>
      <c r="D2327" t="inlineStr">
        <is>
          <t>CT-e</t>
        </is>
      </c>
      <c r="E2327" t="inlineStr">
        <is>
          <t>000000625</t>
        </is>
      </c>
      <c r="F2327" t="inlineStr">
        <is>
          <t>REIMAG - REINALDO DOMINGUES BARROS DA SILVA</t>
        </is>
      </c>
      <c r="G2327" s="27" t="n">
        <v>46080</v>
      </c>
      <c r="H2327" s="14" t="n">
        <v>750</v>
      </c>
      <c r="I2327" s="14" t="n">
        <v>0</v>
      </c>
      <c r="J2327" s="14" t="n">
        <v>0</v>
      </c>
      <c r="K2327" s="14" t="n">
        <v>0</v>
      </c>
      <c r="L2327" s="14" t="n">
        <v>0</v>
      </c>
      <c r="M2327" s="14">
        <f>IF(B2327="Frete de venda",0,(1-ISNUMBER(SEARCH("556",P2327)))*(I2327*VLOOKUP($B2327,Premissas!$A$4:$E$7,2,0)+J2327*VLOOKUP($B2327,Premissas!$A$4:$E$7,3,0))+K2327*VLOOKUP($B2327,Premissas!$A$4:$E$7,4,0)+L2327*VLOOKUP($B2327,Premissas!$A$4:$E$7,5,0))</f>
        <v/>
      </c>
      <c r="N2327" s="14">
        <f>H2327-M2327</f>
        <v/>
      </c>
      <c r="O2327" t="inlineStr">
        <is>
          <t>Sim</t>
        </is>
      </c>
      <c r="P2327" t="inlineStr">
        <is>
          <t>1.350</t>
        </is>
      </c>
    </row>
    <row r="2328">
      <c r="A2328" s="24" t="n">
        <v>46054</v>
      </c>
      <c r="B2328" t="inlineStr">
        <is>
          <t>Frete de venda</t>
        </is>
      </c>
      <c r="C2328" t="inlineStr">
        <is>
          <t>Frete de venda (para clientes)</t>
        </is>
      </c>
      <c r="D2328" t="inlineStr">
        <is>
          <t>CT-e</t>
        </is>
      </c>
      <c r="E2328" t="inlineStr">
        <is>
          <t>000006458</t>
        </is>
      </c>
      <c r="F2328" t="inlineStr">
        <is>
          <t>R&amp;R TRANSPORTE E LOGISTICA</t>
        </is>
      </c>
      <c r="G2328" s="27" t="n">
        <v>46080</v>
      </c>
      <c r="H2328" s="14" t="n">
        <v>43.89</v>
      </c>
      <c r="I2328" s="14" t="n">
        <v>0</v>
      </c>
      <c r="J2328" s="14" t="n">
        <v>0</v>
      </c>
      <c r="K2328" s="14" t="n">
        <v>0</v>
      </c>
      <c r="L2328" s="14" t="n">
        <v>0</v>
      </c>
      <c r="M2328" s="14">
        <f>IF(B2328="Frete de venda",0,(1-ISNUMBER(SEARCH("556",P2328)))*(I2328*VLOOKUP($B2328,Premissas!$A$4:$E$7,2,0)+J2328*VLOOKUP($B2328,Premissas!$A$4:$E$7,3,0))+K2328*VLOOKUP($B2328,Premissas!$A$4:$E$7,4,0)+L2328*VLOOKUP($B2328,Premissas!$A$4:$E$7,5,0))</f>
        <v/>
      </c>
      <c r="N2328" s="14">
        <f>H2328-M2328</f>
        <v/>
      </c>
      <c r="O2328" t="inlineStr">
        <is>
          <t>Não</t>
        </is>
      </c>
      <c r="P2328" t="inlineStr">
        <is>
          <t>1.350</t>
        </is>
      </c>
    </row>
    <row r="2329">
      <c r="A2329" s="24" t="n">
        <v>46054</v>
      </c>
      <c r="B2329" t="inlineStr">
        <is>
          <t>Frete de venda</t>
        </is>
      </c>
      <c r="C2329" t="inlineStr">
        <is>
          <t>Frete de venda (para clientes)</t>
        </is>
      </c>
      <c r="D2329" t="inlineStr">
        <is>
          <t>CT-e</t>
        </is>
      </c>
      <c r="E2329" t="inlineStr">
        <is>
          <t>000006333</t>
        </is>
      </c>
      <c r="F2329" t="inlineStr">
        <is>
          <t>R&amp;R TRANSPORTE E LOGISTICA</t>
        </is>
      </c>
      <c r="G2329" s="27" t="n">
        <v>46063</v>
      </c>
      <c r="H2329" s="14" t="n">
        <v>140.19</v>
      </c>
      <c r="I2329" s="14" t="n">
        <v>0</v>
      </c>
      <c r="J2329" s="14" t="n">
        <v>0</v>
      </c>
      <c r="K2329" s="14" t="n">
        <v>0</v>
      </c>
      <c r="L2329" s="14" t="n">
        <v>0</v>
      </c>
      <c r="M2329" s="14">
        <f>IF(B2329="Frete de venda",0,(1-ISNUMBER(SEARCH("556",P2329)))*(I2329*VLOOKUP($B2329,Premissas!$A$4:$E$7,2,0)+J2329*VLOOKUP($B2329,Premissas!$A$4:$E$7,3,0))+K2329*VLOOKUP($B2329,Premissas!$A$4:$E$7,4,0)+L2329*VLOOKUP($B2329,Premissas!$A$4:$E$7,5,0))</f>
        <v/>
      </c>
      <c r="N2329" s="14">
        <f>H2329-M2329</f>
        <v/>
      </c>
      <c r="O2329" t="inlineStr">
        <is>
          <t>Não</t>
        </is>
      </c>
      <c r="P2329" t="inlineStr">
        <is>
          <t>1.350</t>
        </is>
      </c>
    </row>
    <row r="2330">
      <c r="A2330" s="24" t="n">
        <v>46054</v>
      </c>
      <c r="B2330" t="inlineStr">
        <is>
          <t>Frete de venda</t>
        </is>
      </c>
      <c r="C2330" t="inlineStr">
        <is>
          <t>Frete de venda (para clientes)</t>
        </is>
      </c>
      <c r="D2330" t="inlineStr">
        <is>
          <t>CT-e</t>
        </is>
      </c>
      <c r="E2330" t="inlineStr">
        <is>
          <t>000006334</t>
        </is>
      </c>
      <c r="F2330" t="inlineStr">
        <is>
          <t>R&amp;R TRANSPORTE E LOGISTICA</t>
        </is>
      </c>
      <c r="G2330" s="27" t="n">
        <v>46063</v>
      </c>
      <c r="H2330" s="14" t="n">
        <v>116.87</v>
      </c>
      <c r="I2330" s="14" t="n">
        <v>0</v>
      </c>
      <c r="J2330" s="14" t="n">
        <v>0</v>
      </c>
      <c r="K2330" s="14" t="n">
        <v>0</v>
      </c>
      <c r="L2330" s="14" t="n">
        <v>0</v>
      </c>
      <c r="M2330" s="14">
        <f>IF(B2330="Frete de venda",0,(1-ISNUMBER(SEARCH("556",P2330)))*(I2330*VLOOKUP($B2330,Premissas!$A$4:$E$7,2,0)+J2330*VLOOKUP($B2330,Premissas!$A$4:$E$7,3,0))+K2330*VLOOKUP($B2330,Premissas!$A$4:$E$7,4,0)+L2330*VLOOKUP($B2330,Premissas!$A$4:$E$7,5,0))</f>
        <v/>
      </c>
      <c r="N2330" s="14">
        <f>H2330-M2330</f>
        <v/>
      </c>
      <c r="O2330" t="inlineStr">
        <is>
          <t>Não</t>
        </is>
      </c>
      <c r="P2330" t="inlineStr">
        <is>
          <t>1.350</t>
        </is>
      </c>
    </row>
    <row r="2331">
      <c r="A2331" s="24" t="n">
        <v>46054</v>
      </c>
      <c r="B2331" t="inlineStr">
        <is>
          <t>Frete de venda</t>
        </is>
      </c>
      <c r="C2331" t="inlineStr">
        <is>
          <t>Frete de venda (para clientes)</t>
        </is>
      </c>
      <c r="D2331" t="inlineStr">
        <is>
          <t>CT-e</t>
        </is>
      </c>
      <c r="E2331" t="inlineStr">
        <is>
          <t>000006448</t>
        </is>
      </c>
      <c r="F2331" t="inlineStr">
        <is>
          <t>R&amp;R TRANSPORTE E LOGISTICA</t>
        </is>
      </c>
      <c r="G2331" s="27" t="n">
        <v>46080</v>
      </c>
      <c r="H2331" s="14" t="n">
        <v>34.09</v>
      </c>
      <c r="I2331" s="14" t="n">
        <v>0</v>
      </c>
      <c r="J2331" s="14" t="n">
        <v>0</v>
      </c>
      <c r="K2331" s="14" t="n">
        <v>0</v>
      </c>
      <c r="L2331" s="14" t="n">
        <v>0</v>
      </c>
      <c r="M2331" s="14">
        <f>IF(B2331="Frete de venda",0,(1-ISNUMBER(SEARCH("556",P2331)))*(I2331*VLOOKUP($B2331,Premissas!$A$4:$E$7,2,0)+J2331*VLOOKUP($B2331,Premissas!$A$4:$E$7,3,0))+K2331*VLOOKUP($B2331,Premissas!$A$4:$E$7,4,0)+L2331*VLOOKUP($B2331,Premissas!$A$4:$E$7,5,0))</f>
        <v/>
      </c>
      <c r="N2331" s="14">
        <f>H2331-M2331</f>
        <v/>
      </c>
      <c r="O2331" t="inlineStr">
        <is>
          <t>Não</t>
        </is>
      </c>
      <c r="P2331" t="inlineStr">
        <is>
          <t>1.350</t>
        </is>
      </c>
    </row>
    <row r="2332">
      <c r="A2332" s="24" t="n">
        <v>46054</v>
      </c>
      <c r="B2332" t="inlineStr">
        <is>
          <t>Frete de venda</t>
        </is>
      </c>
      <c r="C2332" t="inlineStr">
        <is>
          <t>Frete de venda (para clientes)</t>
        </is>
      </c>
      <c r="D2332" t="inlineStr">
        <is>
          <t>CT-e</t>
        </is>
      </c>
      <c r="E2332" t="inlineStr">
        <is>
          <t>000006325</t>
        </is>
      </c>
      <c r="F2332" t="inlineStr">
        <is>
          <t>R&amp;R TRANSPORTE E LOGISTICA</t>
        </is>
      </c>
      <c r="G2332" s="27" t="n">
        <v>46060</v>
      </c>
      <c r="H2332" s="14" t="n">
        <v>69.05</v>
      </c>
      <c r="I2332" s="14" t="n">
        <v>0</v>
      </c>
      <c r="J2332" s="14" t="n">
        <v>0</v>
      </c>
      <c r="K2332" s="14" t="n">
        <v>0</v>
      </c>
      <c r="L2332" s="14" t="n">
        <v>0</v>
      </c>
      <c r="M2332" s="14">
        <f>IF(B2332="Frete de venda",0,(1-ISNUMBER(SEARCH("556",P2332)))*(I2332*VLOOKUP($B2332,Premissas!$A$4:$E$7,2,0)+J2332*VLOOKUP($B2332,Premissas!$A$4:$E$7,3,0))+K2332*VLOOKUP($B2332,Premissas!$A$4:$E$7,4,0)+L2332*VLOOKUP($B2332,Premissas!$A$4:$E$7,5,0))</f>
        <v/>
      </c>
      <c r="N2332" s="14">
        <f>H2332-M2332</f>
        <v/>
      </c>
      <c r="O2332" t="inlineStr">
        <is>
          <t>Não</t>
        </is>
      </c>
      <c r="P2332" t="inlineStr">
        <is>
          <t>1.350</t>
        </is>
      </c>
    </row>
    <row r="2333">
      <c r="A2333" s="24" t="n">
        <v>46054</v>
      </c>
      <c r="B2333" t="inlineStr">
        <is>
          <t>Frete de venda</t>
        </is>
      </c>
      <c r="C2333" t="inlineStr">
        <is>
          <t>Frete de venda (para clientes)</t>
        </is>
      </c>
      <c r="D2333" t="inlineStr">
        <is>
          <t>CT-e</t>
        </is>
      </c>
      <c r="E2333" t="inlineStr">
        <is>
          <t>000006320</t>
        </is>
      </c>
      <c r="F2333" t="inlineStr">
        <is>
          <t>R&amp;R TRANSPORTE E LOGISTICA</t>
        </is>
      </c>
      <c r="G2333" s="27" t="n">
        <v>46060</v>
      </c>
      <c r="H2333" s="14" t="n">
        <v>69.05</v>
      </c>
      <c r="I2333" s="14" t="n">
        <v>0</v>
      </c>
      <c r="J2333" s="14" t="n">
        <v>0</v>
      </c>
      <c r="K2333" s="14" t="n">
        <v>0</v>
      </c>
      <c r="L2333" s="14" t="n">
        <v>0</v>
      </c>
      <c r="M2333" s="14">
        <f>IF(B2333="Frete de venda",0,(1-ISNUMBER(SEARCH("556",P2333)))*(I2333*VLOOKUP($B2333,Premissas!$A$4:$E$7,2,0)+J2333*VLOOKUP($B2333,Premissas!$A$4:$E$7,3,0))+K2333*VLOOKUP($B2333,Premissas!$A$4:$E$7,4,0)+L2333*VLOOKUP($B2333,Premissas!$A$4:$E$7,5,0))</f>
        <v/>
      </c>
      <c r="N2333" s="14">
        <f>H2333-M2333</f>
        <v/>
      </c>
      <c r="O2333" t="inlineStr">
        <is>
          <t>Não</t>
        </is>
      </c>
      <c r="P2333" t="inlineStr">
        <is>
          <t>1.350</t>
        </is>
      </c>
    </row>
    <row r="2334">
      <c r="A2334" s="24" t="n">
        <v>46054</v>
      </c>
      <c r="B2334" t="inlineStr">
        <is>
          <t>Frete de venda</t>
        </is>
      </c>
      <c r="C2334" t="inlineStr">
        <is>
          <t>Frete de venda (para clientes)</t>
        </is>
      </c>
      <c r="D2334" t="inlineStr">
        <is>
          <t>CT-e</t>
        </is>
      </c>
      <c r="E2334" t="inlineStr">
        <is>
          <t>000006310</t>
        </is>
      </c>
      <c r="F2334" t="inlineStr">
        <is>
          <t>R&amp;R TRANSPORTE E LOGISTICA</t>
        </is>
      </c>
      <c r="G2334" s="27" t="n">
        <v>46057</v>
      </c>
      <c r="H2334" s="14" t="n">
        <v>579.51</v>
      </c>
      <c r="I2334" s="14" t="n">
        <v>0</v>
      </c>
      <c r="J2334" s="14" t="n">
        <v>0</v>
      </c>
      <c r="K2334" s="14" t="n">
        <v>0</v>
      </c>
      <c r="L2334" s="14" t="n">
        <v>0</v>
      </c>
      <c r="M2334" s="14">
        <f>IF(B2334="Frete de venda",0,(1-ISNUMBER(SEARCH("556",P2334)))*(I2334*VLOOKUP($B2334,Premissas!$A$4:$E$7,2,0)+J2334*VLOOKUP($B2334,Premissas!$A$4:$E$7,3,0))+K2334*VLOOKUP($B2334,Premissas!$A$4:$E$7,4,0)+L2334*VLOOKUP($B2334,Premissas!$A$4:$E$7,5,0))</f>
        <v/>
      </c>
      <c r="N2334" s="14">
        <f>H2334-M2334</f>
        <v/>
      </c>
      <c r="O2334" t="inlineStr">
        <is>
          <t>Não</t>
        </is>
      </c>
      <c r="P2334" t="inlineStr">
        <is>
          <t>1.350</t>
        </is>
      </c>
    </row>
    <row r="2335">
      <c r="A2335" s="24" t="n">
        <v>46054</v>
      </c>
      <c r="B2335" t="inlineStr">
        <is>
          <t>Frete de venda</t>
        </is>
      </c>
      <c r="C2335" t="inlineStr">
        <is>
          <t>Frete de venda (para clientes)</t>
        </is>
      </c>
      <c r="D2335" t="inlineStr">
        <is>
          <t>CT-e</t>
        </is>
      </c>
      <c r="E2335" t="inlineStr">
        <is>
          <t>000006392</t>
        </is>
      </c>
      <c r="F2335" t="inlineStr">
        <is>
          <t>R&amp;R TRANSPORTE E LOGISTICA</t>
        </is>
      </c>
      <c r="G2335" s="27" t="n">
        <v>46071</v>
      </c>
      <c r="H2335" s="14" t="n">
        <v>692</v>
      </c>
      <c r="I2335" s="14" t="n">
        <v>0</v>
      </c>
      <c r="J2335" s="14" t="n">
        <v>0</v>
      </c>
      <c r="K2335" s="14" t="n">
        <v>0</v>
      </c>
      <c r="L2335" s="14" t="n">
        <v>0</v>
      </c>
      <c r="M2335" s="14">
        <f>IF(B2335="Frete de venda",0,(1-ISNUMBER(SEARCH("556",P2335)))*(I2335*VLOOKUP($B2335,Premissas!$A$4:$E$7,2,0)+J2335*VLOOKUP($B2335,Premissas!$A$4:$E$7,3,0))+K2335*VLOOKUP($B2335,Premissas!$A$4:$E$7,4,0)+L2335*VLOOKUP($B2335,Premissas!$A$4:$E$7,5,0))</f>
        <v/>
      </c>
      <c r="N2335" s="14">
        <f>H2335-M2335</f>
        <v/>
      </c>
      <c r="O2335" t="inlineStr">
        <is>
          <t>Não</t>
        </is>
      </c>
      <c r="P2335" t="inlineStr">
        <is>
          <t>1.350</t>
        </is>
      </c>
    </row>
    <row r="2336">
      <c r="A2336" s="24" t="n">
        <v>46054</v>
      </c>
      <c r="B2336" t="inlineStr">
        <is>
          <t>Frete de venda</t>
        </is>
      </c>
      <c r="C2336" t="inlineStr">
        <is>
          <t>Frete de venda (para clientes)</t>
        </is>
      </c>
      <c r="D2336" t="inlineStr">
        <is>
          <t>CT-e</t>
        </is>
      </c>
      <c r="E2336" t="inlineStr">
        <is>
          <t>000000624</t>
        </is>
      </c>
      <c r="F2336" t="inlineStr">
        <is>
          <t>REIMAG - REINALDO DOMINGUES BARROS DA SILVA</t>
        </is>
      </c>
      <c r="G2336" s="27" t="n">
        <v>46080</v>
      </c>
      <c r="H2336" s="14" t="n">
        <v>375</v>
      </c>
      <c r="I2336" s="14" t="n">
        <v>0</v>
      </c>
      <c r="J2336" s="14" t="n">
        <v>0</v>
      </c>
      <c r="K2336" s="14" t="n">
        <v>0</v>
      </c>
      <c r="L2336" s="14" t="n">
        <v>0</v>
      </c>
      <c r="M2336" s="14">
        <f>IF(B2336="Frete de venda",0,(1-ISNUMBER(SEARCH("556",P2336)))*(I2336*VLOOKUP($B2336,Premissas!$A$4:$E$7,2,0)+J2336*VLOOKUP($B2336,Premissas!$A$4:$E$7,3,0))+K2336*VLOOKUP($B2336,Premissas!$A$4:$E$7,4,0)+L2336*VLOOKUP($B2336,Premissas!$A$4:$E$7,5,0))</f>
        <v/>
      </c>
      <c r="N2336" s="14">
        <f>H2336-M2336</f>
        <v/>
      </c>
      <c r="O2336" t="inlineStr">
        <is>
          <t>Sim</t>
        </is>
      </c>
      <c r="P2336" t="inlineStr">
        <is>
          <t>1.350</t>
        </is>
      </c>
    </row>
    <row r="2337">
      <c r="A2337" s="24" t="n">
        <v>46054</v>
      </c>
      <c r="B2337" t="inlineStr">
        <is>
          <t>Frete de venda</t>
        </is>
      </c>
      <c r="C2337" t="inlineStr">
        <is>
          <t>Frete de venda (para clientes)</t>
        </is>
      </c>
      <c r="D2337" t="inlineStr">
        <is>
          <t>CT-e</t>
        </is>
      </c>
      <c r="E2337" t="inlineStr">
        <is>
          <t>000006341</t>
        </is>
      </c>
      <c r="F2337" t="inlineStr">
        <is>
          <t>R&amp;R TRANSPORTE E LOGISTICA</t>
        </is>
      </c>
      <c r="G2337" s="27" t="n">
        <v>46064</v>
      </c>
      <c r="H2337" s="14" t="n">
        <v>200</v>
      </c>
      <c r="I2337" s="14" t="n">
        <v>0</v>
      </c>
      <c r="J2337" s="14" t="n">
        <v>0</v>
      </c>
      <c r="K2337" s="14" t="n">
        <v>0</v>
      </c>
      <c r="L2337" s="14" t="n">
        <v>0</v>
      </c>
      <c r="M2337" s="14">
        <f>IF(B2337="Frete de venda",0,(1-ISNUMBER(SEARCH("556",P2337)))*(I2337*VLOOKUP($B2337,Premissas!$A$4:$E$7,2,0)+J2337*VLOOKUP($B2337,Premissas!$A$4:$E$7,3,0))+K2337*VLOOKUP($B2337,Premissas!$A$4:$E$7,4,0)+L2337*VLOOKUP($B2337,Premissas!$A$4:$E$7,5,0))</f>
        <v/>
      </c>
      <c r="N2337" s="14">
        <f>H2337-M2337</f>
        <v/>
      </c>
      <c r="O2337" t="inlineStr">
        <is>
          <t>Sim</t>
        </is>
      </c>
      <c r="P2337" t="inlineStr">
        <is>
          <t>1.350</t>
        </is>
      </c>
    </row>
    <row r="2338">
      <c r="A2338" s="24" t="n">
        <v>46054</v>
      </c>
      <c r="B2338" t="inlineStr">
        <is>
          <t>Frete de venda</t>
        </is>
      </c>
      <c r="C2338" t="inlineStr">
        <is>
          <t>Frete de venda (para clientes)</t>
        </is>
      </c>
      <c r="D2338" t="inlineStr">
        <is>
          <t>CT-e</t>
        </is>
      </c>
      <c r="E2338" t="inlineStr">
        <is>
          <t>000006342</t>
        </is>
      </c>
      <c r="F2338" t="inlineStr">
        <is>
          <t>R&amp;R TRANSPORTE E LOGISTICA</t>
        </is>
      </c>
      <c r="G2338" s="27" t="n">
        <v>46064</v>
      </c>
      <c r="H2338" s="14" t="n">
        <v>200</v>
      </c>
      <c r="I2338" s="14" t="n">
        <v>0</v>
      </c>
      <c r="J2338" s="14" t="n">
        <v>0</v>
      </c>
      <c r="K2338" s="14" t="n">
        <v>0</v>
      </c>
      <c r="L2338" s="14" t="n">
        <v>0</v>
      </c>
      <c r="M2338" s="14">
        <f>IF(B2338="Frete de venda",0,(1-ISNUMBER(SEARCH("556",P2338)))*(I2338*VLOOKUP($B2338,Premissas!$A$4:$E$7,2,0)+J2338*VLOOKUP($B2338,Premissas!$A$4:$E$7,3,0))+K2338*VLOOKUP($B2338,Premissas!$A$4:$E$7,4,0)+L2338*VLOOKUP($B2338,Premissas!$A$4:$E$7,5,0))</f>
        <v/>
      </c>
      <c r="N2338" s="14">
        <f>H2338-M2338</f>
        <v/>
      </c>
      <c r="O2338" t="inlineStr">
        <is>
          <t>Sim</t>
        </is>
      </c>
      <c r="P2338" t="inlineStr">
        <is>
          <t>1.350</t>
        </is>
      </c>
    </row>
    <row r="2339">
      <c r="A2339" s="24" t="n">
        <v>46054</v>
      </c>
      <c r="B2339" t="inlineStr">
        <is>
          <t>Frete de venda</t>
        </is>
      </c>
      <c r="C2339" t="inlineStr">
        <is>
          <t>Frete de venda (para clientes)</t>
        </is>
      </c>
      <c r="D2339" t="inlineStr">
        <is>
          <t>CT-e</t>
        </is>
      </c>
      <c r="E2339" t="inlineStr">
        <is>
          <t>000006429</t>
        </is>
      </c>
      <c r="F2339" t="inlineStr">
        <is>
          <t>R&amp;R TRANSPORTE E LOGISTICA</t>
        </is>
      </c>
      <c r="G2339" s="27" t="n">
        <v>46076</v>
      </c>
      <c r="H2339" s="14" t="n">
        <v>1000</v>
      </c>
      <c r="I2339" s="14" t="n">
        <v>0</v>
      </c>
      <c r="J2339" s="14" t="n">
        <v>0</v>
      </c>
      <c r="K2339" s="14" t="n">
        <v>0</v>
      </c>
      <c r="L2339" s="14" t="n">
        <v>0</v>
      </c>
      <c r="M2339" s="14">
        <f>IF(B2339="Frete de venda",0,(1-ISNUMBER(SEARCH("556",P2339)))*(I2339*VLOOKUP($B2339,Premissas!$A$4:$E$7,2,0)+J2339*VLOOKUP($B2339,Premissas!$A$4:$E$7,3,0))+K2339*VLOOKUP($B2339,Premissas!$A$4:$E$7,4,0)+L2339*VLOOKUP($B2339,Premissas!$A$4:$E$7,5,0))</f>
        <v/>
      </c>
      <c r="N2339" s="14">
        <f>H2339-M2339</f>
        <v/>
      </c>
      <c r="O2339" t="inlineStr">
        <is>
          <t>Sim</t>
        </is>
      </c>
      <c r="P2339" t="inlineStr">
        <is>
          <t>1.350</t>
        </is>
      </c>
    </row>
    <row r="2340">
      <c r="A2340" s="24" t="n">
        <v>46054</v>
      </c>
      <c r="B2340" t="inlineStr">
        <is>
          <t>Frete de venda</t>
        </is>
      </c>
      <c r="C2340" t="inlineStr">
        <is>
          <t>Frete de venda (para clientes)</t>
        </is>
      </c>
      <c r="D2340" t="inlineStr">
        <is>
          <t>CT-e</t>
        </is>
      </c>
      <c r="E2340" t="inlineStr">
        <is>
          <t>000006430</t>
        </is>
      </c>
      <c r="F2340" t="inlineStr">
        <is>
          <t>R&amp;R TRANSPORTE E LOGISTICA</t>
        </is>
      </c>
      <c r="G2340" s="27" t="n">
        <v>46076</v>
      </c>
      <c r="H2340" s="14" t="n">
        <v>2100</v>
      </c>
      <c r="I2340" s="14" t="n">
        <v>0</v>
      </c>
      <c r="J2340" s="14" t="n">
        <v>0</v>
      </c>
      <c r="K2340" s="14" t="n">
        <v>0</v>
      </c>
      <c r="L2340" s="14" t="n">
        <v>0</v>
      </c>
      <c r="M2340" s="14">
        <f>IF(B2340="Frete de venda",0,(1-ISNUMBER(SEARCH("556",P2340)))*(I2340*VLOOKUP($B2340,Premissas!$A$4:$E$7,2,0)+J2340*VLOOKUP($B2340,Premissas!$A$4:$E$7,3,0))+K2340*VLOOKUP($B2340,Premissas!$A$4:$E$7,4,0)+L2340*VLOOKUP($B2340,Premissas!$A$4:$E$7,5,0))</f>
        <v/>
      </c>
      <c r="N2340" s="14">
        <f>H2340-M2340</f>
        <v/>
      </c>
      <c r="O2340" t="inlineStr">
        <is>
          <t>Sim</t>
        </is>
      </c>
      <c r="P2340" t="inlineStr">
        <is>
          <t>1.350</t>
        </is>
      </c>
    </row>
    <row r="2341">
      <c r="A2341" s="24" t="n">
        <v>46054</v>
      </c>
      <c r="B2341" t="inlineStr">
        <is>
          <t>Frete de venda</t>
        </is>
      </c>
      <c r="C2341" t="inlineStr">
        <is>
          <t>Frete de venda (para clientes)</t>
        </is>
      </c>
      <c r="D2341" t="inlineStr">
        <is>
          <t>CT-e</t>
        </is>
      </c>
      <c r="E2341" t="inlineStr">
        <is>
          <t>000006401</t>
        </is>
      </c>
      <c r="F2341" t="inlineStr">
        <is>
          <t>R&amp;R TRANSPORTE E LOGISTICA</t>
        </is>
      </c>
      <c r="G2341" s="27" t="n">
        <v>46072</v>
      </c>
      <c r="H2341" s="14" t="n">
        <v>48.76</v>
      </c>
      <c r="I2341" s="14" t="n">
        <v>0</v>
      </c>
      <c r="J2341" s="14" t="n">
        <v>0</v>
      </c>
      <c r="K2341" s="14" t="n">
        <v>0</v>
      </c>
      <c r="L2341" s="14" t="n">
        <v>0</v>
      </c>
      <c r="M2341" s="14">
        <f>IF(B2341="Frete de venda",0,(1-ISNUMBER(SEARCH("556",P2341)))*(I2341*VLOOKUP($B2341,Premissas!$A$4:$E$7,2,0)+J2341*VLOOKUP($B2341,Premissas!$A$4:$E$7,3,0))+K2341*VLOOKUP($B2341,Premissas!$A$4:$E$7,4,0)+L2341*VLOOKUP($B2341,Premissas!$A$4:$E$7,5,0))</f>
        <v/>
      </c>
      <c r="N2341" s="14">
        <f>H2341-M2341</f>
        <v/>
      </c>
      <c r="O2341" t="inlineStr">
        <is>
          <t>Não</t>
        </is>
      </c>
      <c r="P2341" t="inlineStr">
        <is>
          <t>1.350</t>
        </is>
      </c>
    </row>
    <row r="2342">
      <c r="A2342" s="24" t="n">
        <v>46054</v>
      </c>
      <c r="B2342" t="inlineStr">
        <is>
          <t>Frete de venda</t>
        </is>
      </c>
      <c r="C2342" t="inlineStr">
        <is>
          <t>Frete de venda (para clientes)</t>
        </is>
      </c>
      <c r="D2342" t="inlineStr">
        <is>
          <t>CT-e</t>
        </is>
      </c>
      <c r="E2342" t="inlineStr">
        <is>
          <t>000006359</t>
        </is>
      </c>
      <c r="F2342" t="inlineStr">
        <is>
          <t>R&amp;R TRANSPORTE E LOGISTICA</t>
        </is>
      </c>
      <c r="G2342" s="27" t="n">
        <v>46066</v>
      </c>
      <c r="H2342" s="14" t="n">
        <v>23.11</v>
      </c>
      <c r="I2342" s="14" t="n">
        <v>0</v>
      </c>
      <c r="J2342" s="14" t="n">
        <v>0</v>
      </c>
      <c r="K2342" s="14" t="n">
        <v>0</v>
      </c>
      <c r="L2342" s="14" t="n">
        <v>0</v>
      </c>
      <c r="M2342" s="14">
        <f>IF(B2342="Frete de venda",0,(1-ISNUMBER(SEARCH("556",P2342)))*(I2342*VLOOKUP($B2342,Premissas!$A$4:$E$7,2,0)+J2342*VLOOKUP($B2342,Premissas!$A$4:$E$7,3,0))+K2342*VLOOKUP($B2342,Premissas!$A$4:$E$7,4,0)+L2342*VLOOKUP($B2342,Premissas!$A$4:$E$7,5,0))</f>
        <v/>
      </c>
      <c r="N2342" s="14">
        <f>H2342-M2342</f>
        <v/>
      </c>
      <c r="O2342" t="inlineStr">
        <is>
          <t>Não</t>
        </is>
      </c>
      <c r="P2342" t="inlineStr">
        <is>
          <t>1.350</t>
        </is>
      </c>
    </row>
    <row r="2343">
      <c r="A2343" s="24" t="n">
        <v>46054</v>
      </c>
      <c r="B2343" t="inlineStr">
        <is>
          <t>Frete de venda</t>
        </is>
      </c>
      <c r="C2343" t="inlineStr">
        <is>
          <t>Frete de venda (para clientes)</t>
        </is>
      </c>
      <c r="D2343" t="inlineStr">
        <is>
          <t>CT-e</t>
        </is>
      </c>
      <c r="E2343" t="inlineStr">
        <is>
          <t>000006327</t>
        </is>
      </c>
      <c r="F2343" t="inlineStr">
        <is>
          <t>R&amp;R TRANSPORTE E LOGISTICA</t>
        </is>
      </c>
      <c r="G2343" s="27" t="n">
        <v>46060</v>
      </c>
      <c r="H2343" s="14" t="n">
        <v>69.05</v>
      </c>
      <c r="I2343" s="14" t="n">
        <v>0</v>
      </c>
      <c r="J2343" s="14" t="n">
        <v>0</v>
      </c>
      <c r="K2343" s="14" t="n">
        <v>0</v>
      </c>
      <c r="L2343" s="14" t="n">
        <v>0</v>
      </c>
      <c r="M2343" s="14">
        <f>IF(B2343="Frete de venda",0,(1-ISNUMBER(SEARCH("556",P2343)))*(I2343*VLOOKUP($B2343,Premissas!$A$4:$E$7,2,0)+J2343*VLOOKUP($B2343,Premissas!$A$4:$E$7,3,0))+K2343*VLOOKUP($B2343,Premissas!$A$4:$E$7,4,0)+L2343*VLOOKUP($B2343,Premissas!$A$4:$E$7,5,0))</f>
        <v/>
      </c>
      <c r="N2343" s="14">
        <f>H2343-M2343</f>
        <v/>
      </c>
      <c r="O2343" t="inlineStr">
        <is>
          <t>Não</t>
        </is>
      </c>
      <c r="P2343" t="inlineStr">
        <is>
          <t>1.350</t>
        </is>
      </c>
    </row>
    <row r="2344">
      <c r="A2344" s="24" t="n">
        <v>46054</v>
      </c>
      <c r="B2344" t="inlineStr">
        <is>
          <t>Frete de venda</t>
        </is>
      </c>
      <c r="C2344" t="inlineStr">
        <is>
          <t>Frete de venda (para clientes)</t>
        </is>
      </c>
      <c r="D2344" t="inlineStr">
        <is>
          <t>CT-e</t>
        </is>
      </c>
      <c r="E2344" t="inlineStr">
        <is>
          <t>000006410</t>
        </is>
      </c>
      <c r="F2344" t="inlineStr">
        <is>
          <t>R&amp;R TRANSPORTE E LOGISTICA</t>
        </is>
      </c>
      <c r="G2344" s="27" t="n">
        <v>46074</v>
      </c>
      <c r="H2344" s="14" t="n">
        <v>14.41</v>
      </c>
      <c r="I2344" s="14" t="n">
        <v>0</v>
      </c>
      <c r="J2344" s="14" t="n">
        <v>0</v>
      </c>
      <c r="K2344" s="14" t="n">
        <v>0</v>
      </c>
      <c r="L2344" s="14" t="n">
        <v>0</v>
      </c>
      <c r="M2344" s="14">
        <f>IF(B2344="Frete de venda",0,(1-ISNUMBER(SEARCH("556",P2344)))*(I2344*VLOOKUP($B2344,Premissas!$A$4:$E$7,2,0)+J2344*VLOOKUP($B2344,Premissas!$A$4:$E$7,3,0))+K2344*VLOOKUP($B2344,Premissas!$A$4:$E$7,4,0)+L2344*VLOOKUP($B2344,Premissas!$A$4:$E$7,5,0))</f>
        <v/>
      </c>
      <c r="N2344" s="14">
        <f>H2344-M2344</f>
        <v/>
      </c>
      <c r="O2344" t="inlineStr">
        <is>
          <t>Não</t>
        </is>
      </c>
      <c r="P2344" t="inlineStr">
        <is>
          <t>1.350</t>
        </is>
      </c>
    </row>
    <row r="2345">
      <c r="A2345" s="24" t="n">
        <v>46054</v>
      </c>
      <c r="B2345" t="inlineStr">
        <is>
          <t>Frete de venda</t>
        </is>
      </c>
      <c r="C2345" t="inlineStr">
        <is>
          <t>Frete de venda (para clientes)</t>
        </is>
      </c>
      <c r="D2345" t="inlineStr">
        <is>
          <t>CT-e</t>
        </is>
      </c>
      <c r="E2345" t="inlineStr">
        <is>
          <t>000006328</t>
        </is>
      </c>
      <c r="F2345" t="inlineStr">
        <is>
          <t>R&amp;R TRANSPORTE E LOGISTICA</t>
        </is>
      </c>
      <c r="G2345" s="27" t="n">
        <v>46060</v>
      </c>
      <c r="H2345" s="14" t="n">
        <v>69.05</v>
      </c>
      <c r="I2345" s="14" t="n">
        <v>0</v>
      </c>
      <c r="J2345" s="14" t="n">
        <v>0</v>
      </c>
      <c r="K2345" s="14" t="n">
        <v>0</v>
      </c>
      <c r="L2345" s="14" t="n">
        <v>0</v>
      </c>
      <c r="M2345" s="14">
        <f>IF(B2345="Frete de venda",0,(1-ISNUMBER(SEARCH("556",P2345)))*(I2345*VLOOKUP($B2345,Premissas!$A$4:$E$7,2,0)+J2345*VLOOKUP($B2345,Premissas!$A$4:$E$7,3,0))+K2345*VLOOKUP($B2345,Premissas!$A$4:$E$7,4,0)+L2345*VLOOKUP($B2345,Premissas!$A$4:$E$7,5,0))</f>
        <v/>
      </c>
      <c r="N2345" s="14">
        <f>H2345-M2345</f>
        <v/>
      </c>
      <c r="O2345" t="inlineStr">
        <is>
          <t>Não</t>
        </is>
      </c>
      <c r="P2345" t="inlineStr">
        <is>
          <t>1.350</t>
        </is>
      </c>
    </row>
    <row r="2346">
      <c r="A2346" s="24" t="n">
        <v>46054</v>
      </c>
      <c r="B2346" t="inlineStr">
        <is>
          <t>Frete de venda</t>
        </is>
      </c>
      <c r="C2346" t="inlineStr">
        <is>
          <t>Frete de venda (para clientes)</t>
        </is>
      </c>
      <c r="D2346" t="inlineStr">
        <is>
          <t>CT-e</t>
        </is>
      </c>
      <c r="E2346" t="inlineStr">
        <is>
          <t>000006356</t>
        </is>
      </c>
      <c r="F2346" t="inlineStr">
        <is>
          <t>R&amp;R TRANSPORTE E LOGISTICA</t>
        </is>
      </c>
      <c r="G2346" s="27" t="n">
        <v>46066</v>
      </c>
      <c r="H2346" s="14" t="n">
        <v>20.69</v>
      </c>
      <c r="I2346" s="14" t="n">
        <v>0</v>
      </c>
      <c r="J2346" s="14" t="n">
        <v>0</v>
      </c>
      <c r="K2346" s="14" t="n">
        <v>0</v>
      </c>
      <c r="L2346" s="14" t="n">
        <v>0</v>
      </c>
      <c r="M2346" s="14">
        <f>IF(B2346="Frete de venda",0,(1-ISNUMBER(SEARCH("556",P2346)))*(I2346*VLOOKUP($B2346,Premissas!$A$4:$E$7,2,0)+J2346*VLOOKUP($B2346,Premissas!$A$4:$E$7,3,0))+K2346*VLOOKUP($B2346,Premissas!$A$4:$E$7,4,0)+L2346*VLOOKUP($B2346,Premissas!$A$4:$E$7,5,0))</f>
        <v/>
      </c>
      <c r="N2346" s="14">
        <f>H2346-M2346</f>
        <v/>
      </c>
      <c r="O2346" t="inlineStr">
        <is>
          <t>Não</t>
        </is>
      </c>
      <c r="P2346" t="inlineStr">
        <is>
          <t>1.350</t>
        </is>
      </c>
    </row>
    <row r="2347">
      <c r="A2347" s="24" t="n">
        <v>46054</v>
      </c>
      <c r="B2347" t="inlineStr">
        <is>
          <t>Frete de venda</t>
        </is>
      </c>
      <c r="C2347" t="inlineStr">
        <is>
          <t>Frete de venda (para clientes)</t>
        </is>
      </c>
      <c r="D2347" t="inlineStr">
        <is>
          <t>CT-e</t>
        </is>
      </c>
      <c r="E2347" t="inlineStr">
        <is>
          <t>000006321</t>
        </is>
      </c>
      <c r="F2347" t="inlineStr">
        <is>
          <t>R&amp;R TRANSPORTE E LOGISTICA</t>
        </is>
      </c>
      <c r="G2347" s="27" t="n">
        <v>46060</v>
      </c>
      <c r="H2347" s="14" t="n">
        <v>69.05</v>
      </c>
      <c r="I2347" s="14" t="n">
        <v>0</v>
      </c>
      <c r="J2347" s="14" t="n">
        <v>0</v>
      </c>
      <c r="K2347" s="14" t="n">
        <v>0</v>
      </c>
      <c r="L2347" s="14" t="n">
        <v>0</v>
      </c>
      <c r="M2347" s="14">
        <f>IF(B2347="Frete de venda",0,(1-ISNUMBER(SEARCH("556",P2347)))*(I2347*VLOOKUP($B2347,Premissas!$A$4:$E$7,2,0)+J2347*VLOOKUP($B2347,Premissas!$A$4:$E$7,3,0))+K2347*VLOOKUP($B2347,Premissas!$A$4:$E$7,4,0)+L2347*VLOOKUP($B2347,Premissas!$A$4:$E$7,5,0))</f>
        <v/>
      </c>
      <c r="N2347" s="14">
        <f>H2347-M2347</f>
        <v/>
      </c>
      <c r="O2347" t="inlineStr">
        <is>
          <t>Não</t>
        </is>
      </c>
      <c r="P2347" t="inlineStr">
        <is>
          <t>1.350</t>
        </is>
      </c>
    </row>
    <row r="2348">
      <c r="A2348" s="24" t="n">
        <v>46054</v>
      </c>
      <c r="B2348" t="inlineStr">
        <is>
          <t>Frete de venda</t>
        </is>
      </c>
      <c r="C2348" t="inlineStr">
        <is>
          <t>Frete de venda (para clientes)</t>
        </is>
      </c>
      <c r="D2348" t="inlineStr">
        <is>
          <t>CT-e</t>
        </is>
      </c>
      <c r="E2348" t="inlineStr">
        <is>
          <t>000006420</t>
        </is>
      </c>
      <c r="F2348" t="inlineStr">
        <is>
          <t>R&amp;R TRANSPORTE E LOGISTICA</t>
        </is>
      </c>
      <c r="G2348" s="27" t="n">
        <v>46074</v>
      </c>
      <c r="H2348" s="14" t="n">
        <v>14</v>
      </c>
      <c r="I2348" s="14" t="n">
        <v>0</v>
      </c>
      <c r="J2348" s="14" t="n">
        <v>0</v>
      </c>
      <c r="K2348" s="14" t="n">
        <v>0</v>
      </c>
      <c r="L2348" s="14" t="n">
        <v>0</v>
      </c>
      <c r="M2348" s="14">
        <f>IF(B2348="Frete de venda",0,(1-ISNUMBER(SEARCH("556",P2348)))*(I2348*VLOOKUP($B2348,Premissas!$A$4:$E$7,2,0)+J2348*VLOOKUP($B2348,Premissas!$A$4:$E$7,3,0))+K2348*VLOOKUP($B2348,Premissas!$A$4:$E$7,4,0)+L2348*VLOOKUP($B2348,Premissas!$A$4:$E$7,5,0))</f>
        <v/>
      </c>
      <c r="N2348" s="14">
        <f>H2348-M2348</f>
        <v/>
      </c>
      <c r="O2348" t="inlineStr">
        <is>
          <t>Não</t>
        </is>
      </c>
      <c r="P2348" t="inlineStr">
        <is>
          <t>1.350</t>
        </is>
      </c>
    </row>
    <row r="2349">
      <c r="A2349" s="24" t="n">
        <v>46054</v>
      </c>
      <c r="B2349" t="inlineStr">
        <is>
          <t>Frete de venda</t>
        </is>
      </c>
      <c r="C2349" t="inlineStr">
        <is>
          <t>Frete de venda (para clientes)</t>
        </is>
      </c>
      <c r="D2349" t="inlineStr">
        <is>
          <t>CT-e</t>
        </is>
      </c>
      <c r="E2349" t="inlineStr">
        <is>
          <t>000006449</t>
        </is>
      </c>
      <c r="F2349" t="inlineStr">
        <is>
          <t>R&amp;R TRANSPORTE E LOGISTICA</t>
        </is>
      </c>
      <c r="G2349" s="27" t="n">
        <v>46080</v>
      </c>
      <c r="H2349" s="14" t="n">
        <v>43.23</v>
      </c>
      <c r="I2349" s="14" t="n">
        <v>0</v>
      </c>
      <c r="J2349" s="14" t="n">
        <v>0</v>
      </c>
      <c r="K2349" s="14" t="n">
        <v>0</v>
      </c>
      <c r="L2349" s="14" t="n">
        <v>0</v>
      </c>
      <c r="M2349" s="14">
        <f>IF(B2349="Frete de venda",0,(1-ISNUMBER(SEARCH("556",P2349)))*(I2349*VLOOKUP($B2349,Premissas!$A$4:$E$7,2,0)+J2349*VLOOKUP($B2349,Premissas!$A$4:$E$7,3,0))+K2349*VLOOKUP($B2349,Premissas!$A$4:$E$7,4,0)+L2349*VLOOKUP($B2349,Premissas!$A$4:$E$7,5,0))</f>
        <v/>
      </c>
      <c r="N2349" s="14">
        <f>H2349-M2349</f>
        <v/>
      </c>
      <c r="O2349" t="inlineStr">
        <is>
          <t>Não</t>
        </is>
      </c>
      <c r="P2349" t="inlineStr">
        <is>
          <t>1.350</t>
        </is>
      </c>
    </row>
    <row r="2350">
      <c r="A2350" s="24" t="n">
        <v>46054</v>
      </c>
      <c r="B2350" t="inlineStr">
        <is>
          <t>Frete de venda</t>
        </is>
      </c>
      <c r="C2350" t="inlineStr">
        <is>
          <t>Frete de venda (para clientes)</t>
        </is>
      </c>
      <c r="D2350" t="inlineStr">
        <is>
          <t>CT-e</t>
        </is>
      </c>
      <c r="E2350" t="inlineStr">
        <is>
          <t>000006423</t>
        </is>
      </c>
      <c r="F2350" t="inlineStr">
        <is>
          <t>R&amp;R TRANSPORTE E LOGISTICA</t>
        </is>
      </c>
      <c r="G2350" s="27" t="n">
        <v>46074</v>
      </c>
      <c r="H2350" s="14" t="n">
        <v>27.33</v>
      </c>
      <c r="I2350" s="14" t="n">
        <v>0</v>
      </c>
      <c r="J2350" s="14" t="n">
        <v>0</v>
      </c>
      <c r="K2350" s="14" t="n">
        <v>0</v>
      </c>
      <c r="L2350" s="14" t="n">
        <v>0</v>
      </c>
      <c r="M2350" s="14">
        <f>IF(B2350="Frete de venda",0,(1-ISNUMBER(SEARCH("556",P2350)))*(I2350*VLOOKUP($B2350,Premissas!$A$4:$E$7,2,0)+J2350*VLOOKUP($B2350,Premissas!$A$4:$E$7,3,0))+K2350*VLOOKUP($B2350,Premissas!$A$4:$E$7,4,0)+L2350*VLOOKUP($B2350,Premissas!$A$4:$E$7,5,0))</f>
        <v/>
      </c>
      <c r="N2350" s="14">
        <f>H2350-M2350</f>
        <v/>
      </c>
      <c r="O2350" t="inlineStr">
        <is>
          <t>Não</t>
        </is>
      </c>
      <c r="P2350" t="inlineStr">
        <is>
          <t>1.350</t>
        </is>
      </c>
    </row>
    <row r="2351">
      <c r="A2351" s="24" t="n">
        <v>46054</v>
      </c>
      <c r="B2351" t="inlineStr">
        <is>
          <t>Frete de venda</t>
        </is>
      </c>
      <c r="C2351" t="inlineStr">
        <is>
          <t>Frete de venda (para clientes)</t>
        </is>
      </c>
      <c r="D2351" t="inlineStr">
        <is>
          <t>CT-e</t>
        </is>
      </c>
      <c r="E2351" t="inlineStr">
        <is>
          <t>000006419</t>
        </is>
      </c>
      <c r="F2351" t="inlineStr">
        <is>
          <t>R&amp;R TRANSPORTE E LOGISTICA</t>
        </is>
      </c>
      <c r="G2351" s="27" t="n">
        <v>46074</v>
      </c>
      <c r="H2351" s="14" t="n">
        <v>17.25</v>
      </c>
      <c r="I2351" s="14" t="n">
        <v>0</v>
      </c>
      <c r="J2351" s="14" t="n">
        <v>0</v>
      </c>
      <c r="K2351" s="14" t="n">
        <v>0</v>
      </c>
      <c r="L2351" s="14" t="n">
        <v>0</v>
      </c>
      <c r="M2351" s="14">
        <f>IF(B2351="Frete de venda",0,(1-ISNUMBER(SEARCH("556",P2351)))*(I2351*VLOOKUP($B2351,Premissas!$A$4:$E$7,2,0)+J2351*VLOOKUP($B2351,Premissas!$A$4:$E$7,3,0))+K2351*VLOOKUP($B2351,Premissas!$A$4:$E$7,4,0)+L2351*VLOOKUP($B2351,Premissas!$A$4:$E$7,5,0))</f>
        <v/>
      </c>
      <c r="N2351" s="14">
        <f>H2351-M2351</f>
        <v/>
      </c>
      <c r="O2351" t="inlineStr">
        <is>
          <t>Não</t>
        </is>
      </c>
      <c r="P2351" t="inlineStr">
        <is>
          <t>1.350</t>
        </is>
      </c>
    </row>
    <row r="2352">
      <c r="A2352" s="24" t="n">
        <v>46054</v>
      </c>
      <c r="B2352" t="inlineStr">
        <is>
          <t>Frete de venda</t>
        </is>
      </c>
      <c r="C2352" t="inlineStr">
        <is>
          <t>Frete de venda (para clientes)</t>
        </is>
      </c>
      <c r="D2352" t="inlineStr">
        <is>
          <t>CT-e</t>
        </is>
      </c>
      <c r="E2352" t="inlineStr">
        <is>
          <t>000006418</t>
        </is>
      </c>
      <c r="F2352" t="inlineStr">
        <is>
          <t>R&amp;R TRANSPORTE E LOGISTICA</t>
        </is>
      </c>
      <c r="G2352" s="27" t="n">
        <v>46074</v>
      </c>
      <c r="H2352" s="14" t="n">
        <v>20.07</v>
      </c>
      <c r="I2352" s="14" t="n">
        <v>0</v>
      </c>
      <c r="J2352" s="14" t="n">
        <v>0</v>
      </c>
      <c r="K2352" s="14" t="n">
        <v>0</v>
      </c>
      <c r="L2352" s="14" t="n">
        <v>0</v>
      </c>
      <c r="M2352" s="14">
        <f>IF(B2352="Frete de venda",0,(1-ISNUMBER(SEARCH("556",P2352)))*(I2352*VLOOKUP($B2352,Premissas!$A$4:$E$7,2,0)+J2352*VLOOKUP($B2352,Premissas!$A$4:$E$7,3,0))+K2352*VLOOKUP($B2352,Premissas!$A$4:$E$7,4,0)+L2352*VLOOKUP($B2352,Premissas!$A$4:$E$7,5,0))</f>
        <v/>
      </c>
      <c r="N2352" s="14">
        <f>H2352-M2352</f>
        <v/>
      </c>
      <c r="O2352" t="inlineStr">
        <is>
          <t>Não</t>
        </is>
      </c>
      <c r="P2352" t="inlineStr">
        <is>
          <t>1.350</t>
        </is>
      </c>
    </row>
    <row r="2353">
      <c r="A2353" s="24" t="n">
        <v>46054</v>
      </c>
      <c r="B2353" t="inlineStr">
        <is>
          <t>Frete de venda</t>
        </is>
      </c>
      <c r="C2353" t="inlineStr">
        <is>
          <t>Frete de venda (para clientes)</t>
        </is>
      </c>
      <c r="D2353" t="inlineStr">
        <is>
          <t>CT-e</t>
        </is>
      </c>
      <c r="E2353" t="inlineStr">
        <is>
          <t>000006347</t>
        </is>
      </c>
      <c r="F2353" t="inlineStr">
        <is>
          <t>R&amp;R TRANSPORTE E LOGISTICA</t>
        </is>
      </c>
      <c r="G2353" s="27" t="n">
        <v>46066</v>
      </c>
      <c r="H2353" s="14" t="n">
        <v>6.08</v>
      </c>
      <c r="I2353" s="14" t="n">
        <v>0</v>
      </c>
      <c r="J2353" s="14" t="n">
        <v>0</v>
      </c>
      <c r="K2353" s="14" t="n">
        <v>0</v>
      </c>
      <c r="L2353" s="14" t="n">
        <v>0</v>
      </c>
      <c r="M2353" s="14">
        <f>IF(B2353="Frete de venda",0,(1-ISNUMBER(SEARCH("556",P2353)))*(I2353*VLOOKUP($B2353,Premissas!$A$4:$E$7,2,0)+J2353*VLOOKUP($B2353,Premissas!$A$4:$E$7,3,0))+K2353*VLOOKUP($B2353,Premissas!$A$4:$E$7,4,0)+L2353*VLOOKUP($B2353,Premissas!$A$4:$E$7,5,0))</f>
        <v/>
      </c>
      <c r="N2353" s="14">
        <f>H2353-M2353</f>
        <v/>
      </c>
      <c r="O2353" t="inlineStr">
        <is>
          <t>Não</t>
        </is>
      </c>
      <c r="P2353" t="inlineStr">
        <is>
          <t>1.350</t>
        </is>
      </c>
    </row>
    <row r="2354">
      <c r="A2354" s="24" t="n">
        <v>46054</v>
      </c>
      <c r="B2354" t="inlineStr">
        <is>
          <t>Frete de venda</t>
        </is>
      </c>
      <c r="C2354" t="inlineStr">
        <is>
          <t>Frete de venda (para clientes)</t>
        </is>
      </c>
      <c r="D2354" t="inlineStr">
        <is>
          <t>CT-e</t>
        </is>
      </c>
      <c r="E2354" t="inlineStr">
        <is>
          <t>000006348</t>
        </is>
      </c>
      <c r="F2354" t="inlineStr">
        <is>
          <t>R&amp;R TRANSPORTE E LOGISTICA</t>
        </is>
      </c>
      <c r="G2354" s="27" t="n">
        <v>46066</v>
      </c>
      <c r="H2354" s="14" t="n">
        <v>26.4</v>
      </c>
      <c r="I2354" s="14" t="n">
        <v>0</v>
      </c>
      <c r="J2354" s="14" t="n">
        <v>0</v>
      </c>
      <c r="K2354" s="14" t="n">
        <v>0</v>
      </c>
      <c r="L2354" s="14" t="n">
        <v>0</v>
      </c>
      <c r="M2354" s="14">
        <f>IF(B2354="Frete de venda",0,(1-ISNUMBER(SEARCH("556",P2354)))*(I2354*VLOOKUP($B2354,Premissas!$A$4:$E$7,2,0)+J2354*VLOOKUP($B2354,Premissas!$A$4:$E$7,3,0))+K2354*VLOOKUP($B2354,Premissas!$A$4:$E$7,4,0)+L2354*VLOOKUP($B2354,Premissas!$A$4:$E$7,5,0))</f>
        <v/>
      </c>
      <c r="N2354" s="14">
        <f>H2354-M2354</f>
        <v/>
      </c>
      <c r="O2354" t="inlineStr">
        <is>
          <t>Não</t>
        </is>
      </c>
      <c r="P2354" t="inlineStr">
        <is>
          <t>1.350</t>
        </is>
      </c>
    </row>
    <row r="2355">
      <c r="A2355" s="24" t="n">
        <v>46054</v>
      </c>
      <c r="B2355" t="inlineStr">
        <is>
          <t>Frete de venda</t>
        </is>
      </c>
      <c r="C2355" t="inlineStr">
        <is>
          <t>Frete de venda (para clientes)</t>
        </is>
      </c>
      <c r="D2355" t="inlineStr">
        <is>
          <t>CT-e</t>
        </is>
      </c>
      <c r="E2355" t="inlineStr">
        <is>
          <t>000006403</t>
        </is>
      </c>
      <c r="F2355" t="inlineStr">
        <is>
          <t>R&amp;R TRANSPORTE E LOGISTICA</t>
        </is>
      </c>
      <c r="G2355" s="27" t="n">
        <v>46072</v>
      </c>
      <c r="H2355" s="14" t="n">
        <v>40.12</v>
      </c>
      <c r="I2355" s="14" t="n">
        <v>0</v>
      </c>
      <c r="J2355" s="14" t="n">
        <v>0</v>
      </c>
      <c r="K2355" s="14" t="n">
        <v>0</v>
      </c>
      <c r="L2355" s="14" t="n">
        <v>0</v>
      </c>
      <c r="M2355" s="14">
        <f>IF(B2355="Frete de venda",0,(1-ISNUMBER(SEARCH("556",P2355)))*(I2355*VLOOKUP($B2355,Premissas!$A$4:$E$7,2,0)+J2355*VLOOKUP($B2355,Premissas!$A$4:$E$7,3,0))+K2355*VLOOKUP($B2355,Premissas!$A$4:$E$7,4,0)+L2355*VLOOKUP($B2355,Premissas!$A$4:$E$7,5,0))</f>
        <v/>
      </c>
      <c r="N2355" s="14">
        <f>H2355-M2355</f>
        <v/>
      </c>
      <c r="O2355" t="inlineStr">
        <is>
          <t>Não</t>
        </is>
      </c>
      <c r="P2355" t="inlineStr">
        <is>
          <t>1.350</t>
        </is>
      </c>
    </row>
    <row r="2356">
      <c r="A2356" s="24" t="n">
        <v>46054</v>
      </c>
      <c r="B2356" t="inlineStr">
        <is>
          <t>Frete de venda</t>
        </is>
      </c>
      <c r="C2356" t="inlineStr">
        <is>
          <t>Frete de venda (para clientes)</t>
        </is>
      </c>
      <c r="D2356" t="inlineStr">
        <is>
          <t>CT-e</t>
        </is>
      </c>
      <c r="E2356" t="inlineStr">
        <is>
          <t>000006385</t>
        </is>
      </c>
      <c r="F2356" t="inlineStr">
        <is>
          <t>R&amp;R TRANSPORTE E LOGISTICA</t>
        </is>
      </c>
      <c r="G2356" s="27" t="n">
        <v>46067</v>
      </c>
      <c r="H2356" s="14" t="n">
        <v>94.18000000000001</v>
      </c>
      <c r="I2356" s="14" t="n">
        <v>0</v>
      </c>
      <c r="J2356" s="14" t="n">
        <v>0</v>
      </c>
      <c r="K2356" s="14" t="n">
        <v>0</v>
      </c>
      <c r="L2356" s="14" t="n">
        <v>0</v>
      </c>
      <c r="M2356" s="14">
        <f>IF(B2356="Frete de venda",0,(1-ISNUMBER(SEARCH("556",P2356)))*(I2356*VLOOKUP($B2356,Premissas!$A$4:$E$7,2,0)+J2356*VLOOKUP($B2356,Premissas!$A$4:$E$7,3,0))+K2356*VLOOKUP($B2356,Premissas!$A$4:$E$7,4,0)+L2356*VLOOKUP($B2356,Premissas!$A$4:$E$7,5,0))</f>
        <v/>
      </c>
      <c r="N2356" s="14">
        <f>H2356-M2356</f>
        <v/>
      </c>
      <c r="O2356" t="inlineStr">
        <is>
          <t>Não</t>
        </is>
      </c>
      <c r="P2356" t="inlineStr">
        <is>
          <t>1.350</t>
        </is>
      </c>
    </row>
    <row r="2357">
      <c r="A2357" s="24" t="n">
        <v>46054</v>
      </c>
      <c r="B2357" t="inlineStr">
        <is>
          <t>Frete de venda</t>
        </is>
      </c>
      <c r="C2357" t="inlineStr">
        <is>
          <t>Frete de venda (para clientes)</t>
        </is>
      </c>
      <c r="D2357" t="inlineStr">
        <is>
          <t>CT-e</t>
        </is>
      </c>
      <c r="E2357" t="inlineStr">
        <is>
          <t>000006383</t>
        </is>
      </c>
      <c r="F2357" t="inlineStr">
        <is>
          <t>R&amp;R TRANSPORTE E LOGISTICA</t>
        </is>
      </c>
      <c r="G2357" s="27" t="n">
        <v>46067</v>
      </c>
      <c r="H2357" s="14" t="n">
        <v>94.18000000000001</v>
      </c>
      <c r="I2357" s="14" t="n">
        <v>0</v>
      </c>
      <c r="J2357" s="14" t="n">
        <v>0</v>
      </c>
      <c r="K2357" s="14" t="n">
        <v>0</v>
      </c>
      <c r="L2357" s="14" t="n">
        <v>0</v>
      </c>
      <c r="M2357" s="14">
        <f>IF(B2357="Frete de venda",0,(1-ISNUMBER(SEARCH("556",P2357)))*(I2357*VLOOKUP($B2357,Premissas!$A$4:$E$7,2,0)+J2357*VLOOKUP($B2357,Premissas!$A$4:$E$7,3,0))+K2357*VLOOKUP($B2357,Premissas!$A$4:$E$7,4,0)+L2357*VLOOKUP($B2357,Premissas!$A$4:$E$7,5,0))</f>
        <v/>
      </c>
      <c r="N2357" s="14">
        <f>H2357-M2357</f>
        <v/>
      </c>
      <c r="O2357" t="inlineStr">
        <is>
          <t>Não</t>
        </is>
      </c>
      <c r="P2357" t="inlineStr">
        <is>
          <t>1.350</t>
        </is>
      </c>
    </row>
    <row r="2358">
      <c r="A2358" s="24" t="n">
        <v>46054</v>
      </c>
      <c r="B2358" t="inlineStr">
        <is>
          <t>Frete de venda</t>
        </is>
      </c>
      <c r="C2358" t="inlineStr">
        <is>
          <t>Frete de venda (para clientes)</t>
        </is>
      </c>
      <c r="D2358" t="inlineStr">
        <is>
          <t>CT-e</t>
        </is>
      </c>
      <c r="E2358" t="inlineStr">
        <is>
          <t>000006399</t>
        </is>
      </c>
      <c r="F2358" t="inlineStr">
        <is>
          <t>R&amp;R TRANSPORTE E LOGISTICA</t>
        </is>
      </c>
      <c r="G2358" s="27" t="n">
        <v>46072</v>
      </c>
      <c r="H2358" s="14" t="n">
        <v>39.36</v>
      </c>
      <c r="I2358" s="14" t="n">
        <v>0</v>
      </c>
      <c r="J2358" s="14" t="n">
        <v>0</v>
      </c>
      <c r="K2358" s="14" t="n">
        <v>0</v>
      </c>
      <c r="L2358" s="14" t="n">
        <v>0</v>
      </c>
      <c r="M2358" s="14">
        <f>IF(B2358="Frete de venda",0,(1-ISNUMBER(SEARCH("556",P2358)))*(I2358*VLOOKUP($B2358,Premissas!$A$4:$E$7,2,0)+J2358*VLOOKUP($B2358,Premissas!$A$4:$E$7,3,0))+K2358*VLOOKUP($B2358,Premissas!$A$4:$E$7,4,0)+L2358*VLOOKUP($B2358,Premissas!$A$4:$E$7,5,0))</f>
        <v/>
      </c>
      <c r="N2358" s="14">
        <f>H2358-M2358</f>
        <v/>
      </c>
      <c r="O2358" t="inlineStr">
        <is>
          <t>Não</t>
        </is>
      </c>
      <c r="P2358" t="inlineStr">
        <is>
          <t>1.350</t>
        </is>
      </c>
    </row>
    <row r="2359">
      <c r="A2359" s="24" t="n">
        <v>46054</v>
      </c>
      <c r="B2359" t="inlineStr">
        <is>
          <t>Frete de venda</t>
        </is>
      </c>
      <c r="C2359" t="inlineStr">
        <is>
          <t>Frete de venda (para clientes)</t>
        </is>
      </c>
      <c r="D2359" t="inlineStr">
        <is>
          <t>CT-e</t>
        </is>
      </c>
      <c r="E2359" t="inlineStr">
        <is>
          <t>000006438</t>
        </is>
      </c>
      <c r="F2359" t="inlineStr">
        <is>
          <t>R&amp;R TRANSPORTE E LOGISTICA</t>
        </is>
      </c>
      <c r="G2359" s="27" t="n">
        <v>46078</v>
      </c>
      <c r="H2359" s="14" t="n">
        <v>68.56999999999999</v>
      </c>
      <c r="I2359" s="14" t="n">
        <v>0</v>
      </c>
      <c r="J2359" s="14" t="n">
        <v>0</v>
      </c>
      <c r="K2359" s="14" t="n">
        <v>0</v>
      </c>
      <c r="L2359" s="14" t="n">
        <v>0</v>
      </c>
      <c r="M2359" s="14">
        <f>IF(B2359="Frete de venda",0,(1-ISNUMBER(SEARCH("556",P2359)))*(I2359*VLOOKUP($B2359,Premissas!$A$4:$E$7,2,0)+J2359*VLOOKUP($B2359,Premissas!$A$4:$E$7,3,0))+K2359*VLOOKUP($B2359,Premissas!$A$4:$E$7,4,0)+L2359*VLOOKUP($B2359,Premissas!$A$4:$E$7,5,0))</f>
        <v/>
      </c>
      <c r="N2359" s="14">
        <f>H2359-M2359</f>
        <v/>
      </c>
      <c r="O2359" t="inlineStr">
        <is>
          <t>Não</t>
        </is>
      </c>
      <c r="P2359" t="inlineStr">
        <is>
          <t>1.350</t>
        </is>
      </c>
    </row>
    <row r="2360">
      <c r="A2360" s="24" t="n">
        <v>46054</v>
      </c>
      <c r="B2360" t="inlineStr">
        <is>
          <t>Frete de venda</t>
        </is>
      </c>
      <c r="C2360" t="inlineStr">
        <is>
          <t>Frete de venda (para clientes)</t>
        </is>
      </c>
      <c r="D2360" t="inlineStr">
        <is>
          <t>CT-e</t>
        </is>
      </c>
      <c r="E2360" t="inlineStr">
        <is>
          <t>000006375</t>
        </is>
      </c>
      <c r="F2360" t="inlineStr">
        <is>
          <t>R&amp;R TRANSPORTE E LOGISTICA</t>
        </is>
      </c>
      <c r="G2360" s="27" t="n">
        <v>46067</v>
      </c>
      <c r="H2360" s="14" t="n">
        <v>114.16</v>
      </c>
      <c r="I2360" s="14" t="n">
        <v>0</v>
      </c>
      <c r="J2360" s="14" t="n">
        <v>0</v>
      </c>
      <c r="K2360" s="14" t="n">
        <v>0</v>
      </c>
      <c r="L2360" s="14" t="n">
        <v>0</v>
      </c>
      <c r="M2360" s="14">
        <f>IF(B2360="Frete de venda",0,(1-ISNUMBER(SEARCH("556",P2360)))*(I2360*VLOOKUP($B2360,Premissas!$A$4:$E$7,2,0)+J2360*VLOOKUP($B2360,Premissas!$A$4:$E$7,3,0))+K2360*VLOOKUP($B2360,Premissas!$A$4:$E$7,4,0)+L2360*VLOOKUP($B2360,Premissas!$A$4:$E$7,5,0))</f>
        <v/>
      </c>
      <c r="N2360" s="14">
        <f>H2360-M2360</f>
        <v/>
      </c>
      <c r="O2360" t="inlineStr">
        <is>
          <t>Não</t>
        </is>
      </c>
      <c r="P2360" t="inlineStr">
        <is>
          <t>1.350</t>
        </is>
      </c>
    </row>
    <row r="2361">
      <c r="A2361" s="24" t="n">
        <v>46054</v>
      </c>
      <c r="B2361" t="inlineStr">
        <is>
          <t>Frete de venda</t>
        </is>
      </c>
      <c r="C2361" t="inlineStr">
        <is>
          <t>Frete de venda (para clientes)</t>
        </is>
      </c>
      <c r="D2361" t="inlineStr">
        <is>
          <t>CT-e</t>
        </is>
      </c>
      <c r="E2361" t="inlineStr">
        <is>
          <t>000024000</t>
        </is>
      </c>
      <c r="F2361" t="inlineStr">
        <is>
          <t>TRANSPORTE OLIVEIRA E MELLOI - IDEALIZA TRANSPORTES</t>
        </is>
      </c>
      <c r="G2361" s="27" t="n">
        <v>46080</v>
      </c>
      <c r="H2361" s="14" t="n">
        <v>2279.45</v>
      </c>
      <c r="I2361" s="14" t="n">
        <v>0</v>
      </c>
      <c r="J2361" s="14" t="n">
        <v>273.53</v>
      </c>
      <c r="K2361" s="14" t="n">
        <v>0</v>
      </c>
      <c r="L2361" s="14" t="n">
        <v>0</v>
      </c>
      <c r="M2361" s="14">
        <f>IF(B2361="Frete de venda",0,(1-ISNUMBER(SEARCH("556",P2361)))*(I2361*VLOOKUP($B2361,Premissas!$A$4:$E$7,2,0)+J2361*VLOOKUP($B2361,Premissas!$A$4:$E$7,3,0))+K2361*VLOOKUP($B2361,Premissas!$A$4:$E$7,4,0)+L2361*VLOOKUP($B2361,Premissas!$A$4:$E$7,5,0))</f>
        <v/>
      </c>
      <c r="N2361" s="14">
        <f>H2361-M2361</f>
        <v/>
      </c>
      <c r="O2361" t="inlineStr">
        <is>
          <t>Sim</t>
        </is>
      </c>
      <c r="P2361" t="inlineStr">
        <is>
          <t>1.350</t>
        </is>
      </c>
    </row>
    <row r="2362">
      <c r="A2362" s="24" t="n">
        <v>46054</v>
      </c>
      <c r="B2362" t="inlineStr">
        <is>
          <t>Frete de venda</t>
        </is>
      </c>
      <c r="C2362" t="inlineStr">
        <is>
          <t>Frete de venda (para clientes)</t>
        </is>
      </c>
      <c r="D2362" t="inlineStr">
        <is>
          <t>CT-e</t>
        </is>
      </c>
      <c r="E2362" t="inlineStr">
        <is>
          <t>000023999</t>
        </is>
      </c>
      <c r="F2362" t="inlineStr">
        <is>
          <t>TRANSPORTE OLIVEIRA E MELLOI - IDEALIZA TRANSPORTES</t>
        </is>
      </c>
      <c r="G2362" s="27" t="n">
        <v>46080</v>
      </c>
      <c r="H2362" s="14" t="n">
        <v>750</v>
      </c>
      <c r="I2362" s="14" t="n">
        <v>0</v>
      </c>
      <c r="J2362" s="14" t="n">
        <v>90</v>
      </c>
      <c r="K2362" s="14" t="n">
        <v>0</v>
      </c>
      <c r="L2362" s="14" t="n">
        <v>0</v>
      </c>
      <c r="M2362" s="14">
        <f>IF(B2362="Frete de venda",0,(1-ISNUMBER(SEARCH("556",P2362)))*(I2362*VLOOKUP($B2362,Premissas!$A$4:$E$7,2,0)+J2362*VLOOKUP($B2362,Premissas!$A$4:$E$7,3,0))+K2362*VLOOKUP($B2362,Premissas!$A$4:$E$7,4,0)+L2362*VLOOKUP($B2362,Premissas!$A$4:$E$7,5,0))</f>
        <v/>
      </c>
      <c r="N2362" s="14">
        <f>H2362-M2362</f>
        <v/>
      </c>
      <c r="O2362" t="inlineStr">
        <is>
          <t>Sim</t>
        </is>
      </c>
      <c r="P2362" t="inlineStr">
        <is>
          <t>1.350</t>
        </is>
      </c>
    </row>
    <row r="2363">
      <c r="A2363" s="24" t="n">
        <v>46054</v>
      </c>
      <c r="B2363" t="inlineStr">
        <is>
          <t>Frete de venda</t>
        </is>
      </c>
      <c r="C2363" t="inlineStr">
        <is>
          <t>Frete de venda (para clientes)</t>
        </is>
      </c>
      <c r="D2363" t="inlineStr">
        <is>
          <t>CT-e</t>
        </is>
      </c>
      <c r="E2363" t="inlineStr">
        <is>
          <t>000006380</t>
        </is>
      </c>
      <c r="F2363" t="inlineStr">
        <is>
          <t>R&amp;R TRANSPORTE E LOGISTICA</t>
        </is>
      </c>
      <c r="G2363" s="27" t="n">
        <v>46067</v>
      </c>
      <c r="H2363" s="14" t="n">
        <v>89.91</v>
      </c>
      <c r="I2363" s="14" t="n">
        <v>0</v>
      </c>
      <c r="J2363" s="14" t="n">
        <v>0</v>
      </c>
      <c r="K2363" s="14" t="n">
        <v>0</v>
      </c>
      <c r="L2363" s="14" t="n">
        <v>0</v>
      </c>
      <c r="M2363" s="14">
        <f>IF(B2363="Frete de venda",0,(1-ISNUMBER(SEARCH("556",P2363)))*(I2363*VLOOKUP($B2363,Premissas!$A$4:$E$7,2,0)+J2363*VLOOKUP($B2363,Premissas!$A$4:$E$7,3,0))+K2363*VLOOKUP($B2363,Premissas!$A$4:$E$7,4,0)+L2363*VLOOKUP($B2363,Premissas!$A$4:$E$7,5,0))</f>
        <v/>
      </c>
      <c r="N2363" s="14">
        <f>H2363-M2363</f>
        <v/>
      </c>
      <c r="O2363" t="inlineStr">
        <is>
          <t>Não</t>
        </is>
      </c>
      <c r="P2363" t="inlineStr">
        <is>
          <t>1.350</t>
        </is>
      </c>
    </row>
    <row r="2364">
      <c r="A2364" s="24" t="n">
        <v>46054</v>
      </c>
      <c r="B2364" t="inlineStr">
        <is>
          <t>Frete de venda</t>
        </is>
      </c>
      <c r="C2364" t="inlineStr">
        <is>
          <t>Frete de venda (para clientes)</t>
        </is>
      </c>
      <c r="D2364" t="inlineStr">
        <is>
          <t>CT-e</t>
        </is>
      </c>
      <c r="E2364" t="inlineStr">
        <is>
          <t>000003655</t>
        </is>
      </c>
      <c r="F2364" t="inlineStr">
        <is>
          <t>UNIVERSAL CARGAS EXPRESS</t>
        </is>
      </c>
      <c r="G2364" s="27" t="n">
        <v>46077</v>
      </c>
      <c r="H2364" s="14" t="n">
        <v>350</v>
      </c>
      <c r="I2364" s="14" t="n">
        <v>0</v>
      </c>
      <c r="J2364" s="14" t="n">
        <v>0</v>
      </c>
      <c r="K2364" s="14" t="n">
        <v>0</v>
      </c>
      <c r="L2364" s="14" t="n">
        <v>0</v>
      </c>
      <c r="M2364" s="14">
        <f>IF(B2364="Frete de venda",0,(1-ISNUMBER(SEARCH("556",P2364)))*(I2364*VLOOKUP($B2364,Premissas!$A$4:$E$7,2,0)+J2364*VLOOKUP($B2364,Premissas!$A$4:$E$7,3,0))+K2364*VLOOKUP($B2364,Premissas!$A$4:$E$7,4,0)+L2364*VLOOKUP($B2364,Premissas!$A$4:$E$7,5,0))</f>
        <v/>
      </c>
      <c r="N2364" s="14">
        <f>H2364-M2364</f>
        <v/>
      </c>
      <c r="O2364" t="inlineStr">
        <is>
          <t>Sim</t>
        </is>
      </c>
      <c r="P2364" t="inlineStr">
        <is>
          <t>1.350</t>
        </is>
      </c>
    </row>
    <row r="2365">
      <c r="A2365" s="24" t="n">
        <v>46054</v>
      </c>
      <c r="B2365" t="inlineStr">
        <is>
          <t>Frete de venda</t>
        </is>
      </c>
      <c r="C2365" t="inlineStr">
        <is>
          <t>Frete de venda (para clientes)</t>
        </is>
      </c>
      <c r="D2365" t="inlineStr">
        <is>
          <t>CT-e</t>
        </is>
      </c>
      <c r="E2365" t="inlineStr">
        <is>
          <t>000006416</t>
        </is>
      </c>
      <c r="F2365" t="inlineStr">
        <is>
          <t>R&amp;R TRANSPORTE E LOGISTICA</t>
        </is>
      </c>
      <c r="G2365" s="27" t="n">
        <v>46074</v>
      </c>
      <c r="H2365" s="14" t="n">
        <v>14.34</v>
      </c>
      <c r="I2365" s="14" t="n">
        <v>0</v>
      </c>
      <c r="J2365" s="14" t="n">
        <v>0</v>
      </c>
      <c r="K2365" s="14" t="n">
        <v>0</v>
      </c>
      <c r="L2365" s="14" t="n">
        <v>0</v>
      </c>
      <c r="M2365" s="14">
        <f>IF(B2365="Frete de venda",0,(1-ISNUMBER(SEARCH("556",P2365)))*(I2365*VLOOKUP($B2365,Premissas!$A$4:$E$7,2,0)+J2365*VLOOKUP($B2365,Premissas!$A$4:$E$7,3,0))+K2365*VLOOKUP($B2365,Premissas!$A$4:$E$7,4,0)+L2365*VLOOKUP($B2365,Premissas!$A$4:$E$7,5,0))</f>
        <v/>
      </c>
      <c r="N2365" s="14">
        <f>H2365-M2365</f>
        <v/>
      </c>
      <c r="O2365" t="inlineStr">
        <is>
          <t>Não</t>
        </is>
      </c>
      <c r="P2365" t="inlineStr">
        <is>
          <t>1.350</t>
        </is>
      </c>
    </row>
    <row r="2366">
      <c r="A2366" s="24" t="n">
        <v>46054</v>
      </c>
      <c r="B2366" t="inlineStr">
        <is>
          <t>Frete de venda</t>
        </is>
      </c>
      <c r="C2366" t="inlineStr">
        <is>
          <t>Frete de venda (para clientes)</t>
        </is>
      </c>
      <c r="D2366" t="inlineStr">
        <is>
          <t>CT-e</t>
        </is>
      </c>
      <c r="E2366" t="inlineStr">
        <is>
          <t>000006377</t>
        </is>
      </c>
      <c r="F2366" t="inlineStr">
        <is>
          <t>R&amp;R TRANSPORTE E LOGISTICA</t>
        </is>
      </c>
      <c r="G2366" s="27" t="n">
        <v>46067</v>
      </c>
      <c r="H2366" s="14" t="n">
        <v>49.87</v>
      </c>
      <c r="I2366" s="14" t="n">
        <v>0</v>
      </c>
      <c r="J2366" s="14" t="n">
        <v>0</v>
      </c>
      <c r="K2366" s="14" t="n">
        <v>0</v>
      </c>
      <c r="L2366" s="14" t="n">
        <v>0</v>
      </c>
      <c r="M2366" s="14">
        <f>IF(B2366="Frete de venda",0,(1-ISNUMBER(SEARCH("556",P2366)))*(I2366*VLOOKUP($B2366,Premissas!$A$4:$E$7,2,0)+J2366*VLOOKUP($B2366,Premissas!$A$4:$E$7,3,0))+K2366*VLOOKUP($B2366,Premissas!$A$4:$E$7,4,0)+L2366*VLOOKUP($B2366,Premissas!$A$4:$E$7,5,0))</f>
        <v/>
      </c>
      <c r="N2366" s="14">
        <f>H2366-M2366</f>
        <v/>
      </c>
      <c r="O2366" t="inlineStr">
        <is>
          <t>Não</t>
        </is>
      </c>
      <c r="P2366" t="inlineStr">
        <is>
          <t>1.350</t>
        </is>
      </c>
    </row>
    <row r="2367">
      <c r="A2367" s="24" t="n">
        <v>46054</v>
      </c>
      <c r="B2367" t="inlineStr">
        <is>
          <t>Frete de venda</t>
        </is>
      </c>
      <c r="C2367" t="inlineStr">
        <is>
          <t>Frete de venda (para clientes)</t>
        </is>
      </c>
      <c r="D2367" t="inlineStr">
        <is>
          <t>CT-e</t>
        </is>
      </c>
      <c r="E2367" t="inlineStr">
        <is>
          <t>000023993</t>
        </is>
      </c>
      <c r="F2367" t="inlineStr">
        <is>
          <t>TRANSPORTE OLIVEIRA E MELLOI - IDEALIZA TRANSPORTES</t>
        </is>
      </c>
      <c r="G2367" s="27" t="n">
        <v>46080</v>
      </c>
      <c r="H2367" s="14" t="n">
        <v>1024.45</v>
      </c>
      <c r="I2367" s="14" t="n">
        <v>0</v>
      </c>
      <c r="J2367" s="14" t="n">
        <v>122.93</v>
      </c>
      <c r="K2367" s="14" t="n">
        <v>0</v>
      </c>
      <c r="L2367" s="14" t="n">
        <v>0</v>
      </c>
      <c r="M2367" s="14">
        <f>IF(B2367="Frete de venda",0,(1-ISNUMBER(SEARCH("556",P2367)))*(I2367*VLOOKUP($B2367,Premissas!$A$4:$E$7,2,0)+J2367*VLOOKUP($B2367,Premissas!$A$4:$E$7,3,0))+K2367*VLOOKUP($B2367,Premissas!$A$4:$E$7,4,0)+L2367*VLOOKUP($B2367,Premissas!$A$4:$E$7,5,0))</f>
        <v/>
      </c>
      <c r="N2367" s="14">
        <f>H2367-M2367</f>
        <v/>
      </c>
      <c r="O2367" t="inlineStr">
        <is>
          <t>Sim</t>
        </is>
      </c>
      <c r="P2367" t="inlineStr">
        <is>
          <t>1.350</t>
        </is>
      </c>
    </row>
    <row r="2368">
      <c r="A2368" s="24" t="n">
        <v>46054</v>
      </c>
      <c r="B2368" t="inlineStr">
        <is>
          <t>Frete de venda</t>
        </is>
      </c>
      <c r="C2368" t="inlineStr">
        <is>
          <t>Frete de venda (para clientes)</t>
        </is>
      </c>
      <c r="D2368" t="inlineStr">
        <is>
          <t>CT-e</t>
        </is>
      </c>
      <c r="E2368" t="inlineStr">
        <is>
          <t>000006368</t>
        </is>
      </c>
      <c r="F2368" t="inlineStr">
        <is>
          <t>R&amp;R TRANSPORTE E LOGISTICA</t>
        </is>
      </c>
      <c r="G2368" s="27" t="n">
        <v>46067</v>
      </c>
      <c r="H2368" s="14" t="n">
        <v>40.71</v>
      </c>
      <c r="I2368" s="14" t="n">
        <v>0</v>
      </c>
      <c r="J2368" s="14" t="n">
        <v>0</v>
      </c>
      <c r="K2368" s="14" t="n">
        <v>0</v>
      </c>
      <c r="L2368" s="14" t="n">
        <v>0</v>
      </c>
      <c r="M2368" s="14">
        <f>IF(B2368="Frete de venda",0,(1-ISNUMBER(SEARCH("556",P2368)))*(I2368*VLOOKUP($B2368,Premissas!$A$4:$E$7,2,0)+J2368*VLOOKUP($B2368,Premissas!$A$4:$E$7,3,0))+K2368*VLOOKUP($B2368,Premissas!$A$4:$E$7,4,0)+L2368*VLOOKUP($B2368,Premissas!$A$4:$E$7,5,0))</f>
        <v/>
      </c>
      <c r="N2368" s="14">
        <f>H2368-M2368</f>
        <v/>
      </c>
      <c r="O2368" t="inlineStr">
        <is>
          <t>Não</t>
        </is>
      </c>
      <c r="P2368" t="inlineStr">
        <is>
          <t>1.350</t>
        </is>
      </c>
    </row>
    <row r="2369">
      <c r="A2369" s="24" t="n">
        <v>46054</v>
      </c>
      <c r="B2369" t="inlineStr">
        <is>
          <t>Frete de venda</t>
        </is>
      </c>
      <c r="C2369" t="inlineStr">
        <is>
          <t>Frete de venda (para clientes)</t>
        </is>
      </c>
      <c r="D2369" t="inlineStr">
        <is>
          <t>CT-e</t>
        </is>
      </c>
      <c r="E2369" t="inlineStr">
        <is>
          <t>000006340</t>
        </is>
      </c>
      <c r="F2369" t="inlineStr">
        <is>
          <t>R&amp;R TRANSPORTE E LOGISTICA</t>
        </is>
      </c>
      <c r="G2369" s="27" t="n">
        <v>46064</v>
      </c>
      <c r="H2369" s="14" t="n">
        <v>1000</v>
      </c>
      <c r="I2369" s="14" t="n">
        <v>0</v>
      </c>
      <c r="J2369" s="14" t="n">
        <v>0</v>
      </c>
      <c r="K2369" s="14" t="n">
        <v>0</v>
      </c>
      <c r="L2369" s="14" t="n">
        <v>0</v>
      </c>
      <c r="M2369" s="14">
        <f>IF(B2369="Frete de venda",0,(1-ISNUMBER(SEARCH("556",P2369)))*(I2369*VLOOKUP($B2369,Premissas!$A$4:$E$7,2,0)+J2369*VLOOKUP($B2369,Premissas!$A$4:$E$7,3,0))+K2369*VLOOKUP($B2369,Premissas!$A$4:$E$7,4,0)+L2369*VLOOKUP($B2369,Premissas!$A$4:$E$7,5,0))</f>
        <v/>
      </c>
      <c r="N2369" s="14">
        <f>H2369-M2369</f>
        <v/>
      </c>
      <c r="O2369" t="inlineStr">
        <is>
          <t>Sim</t>
        </is>
      </c>
      <c r="P2369" t="inlineStr">
        <is>
          <t>1.350</t>
        </is>
      </c>
    </row>
    <row r="2370">
      <c r="A2370" s="24" t="n">
        <v>46054</v>
      </c>
      <c r="B2370" t="inlineStr">
        <is>
          <t>Frete de venda</t>
        </is>
      </c>
      <c r="C2370" t="inlineStr">
        <is>
          <t>Frete de venda (para clientes)</t>
        </is>
      </c>
      <c r="D2370" t="inlineStr">
        <is>
          <t>CT-e</t>
        </is>
      </c>
      <c r="E2370" t="inlineStr">
        <is>
          <t>000006409</t>
        </is>
      </c>
      <c r="F2370" t="inlineStr">
        <is>
          <t>R&amp;R TRANSPORTE E LOGISTICA</t>
        </is>
      </c>
      <c r="G2370" s="27" t="n">
        <v>46074</v>
      </c>
      <c r="H2370" s="14" t="n">
        <v>14.01</v>
      </c>
      <c r="I2370" s="14" t="n">
        <v>0</v>
      </c>
      <c r="J2370" s="14" t="n">
        <v>0</v>
      </c>
      <c r="K2370" s="14" t="n">
        <v>0</v>
      </c>
      <c r="L2370" s="14" t="n">
        <v>0</v>
      </c>
      <c r="M2370" s="14">
        <f>IF(B2370="Frete de venda",0,(1-ISNUMBER(SEARCH("556",P2370)))*(I2370*VLOOKUP($B2370,Premissas!$A$4:$E$7,2,0)+J2370*VLOOKUP($B2370,Premissas!$A$4:$E$7,3,0))+K2370*VLOOKUP($B2370,Premissas!$A$4:$E$7,4,0)+L2370*VLOOKUP($B2370,Premissas!$A$4:$E$7,5,0))</f>
        <v/>
      </c>
      <c r="N2370" s="14">
        <f>H2370-M2370</f>
        <v/>
      </c>
      <c r="O2370" t="inlineStr">
        <is>
          <t>Não</t>
        </is>
      </c>
      <c r="P2370" t="inlineStr">
        <is>
          <t>1.350</t>
        </is>
      </c>
    </row>
    <row r="2371">
      <c r="A2371" s="24" t="n">
        <v>46054</v>
      </c>
      <c r="B2371" t="inlineStr">
        <is>
          <t>Frete de venda</t>
        </is>
      </c>
      <c r="C2371" t="inlineStr">
        <is>
          <t>Frete de venda (para clientes)</t>
        </is>
      </c>
      <c r="D2371" t="inlineStr">
        <is>
          <t>CT-e</t>
        </is>
      </c>
      <c r="E2371" t="inlineStr">
        <is>
          <t>000006415</t>
        </is>
      </c>
      <c r="F2371" t="inlineStr">
        <is>
          <t>R&amp;R TRANSPORTE E LOGISTICA</t>
        </is>
      </c>
      <c r="G2371" s="27" t="n">
        <v>46074</v>
      </c>
      <c r="H2371" s="14" t="n">
        <v>12.76</v>
      </c>
      <c r="I2371" s="14" t="n">
        <v>0</v>
      </c>
      <c r="J2371" s="14" t="n">
        <v>0</v>
      </c>
      <c r="K2371" s="14" t="n">
        <v>0</v>
      </c>
      <c r="L2371" s="14" t="n">
        <v>0</v>
      </c>
      <c r="M2371" s="14">
        <f>IF(B2371="Frete de venda",0,(1-ISNUMBER(SEARCH("556",P2371)))*(I2371*VLOOKUP($B2371,Premissas!$A$4:$E$7,2,0)+J2371*VLOOKUP($B2371,Premissas!$A$4:$E$7,3,0))+K2371*VLOOKUP($B2371,Premissas!$A$4:$E$7,4,0)+L2371*VLOOKUP($B2371,Premissas!$A$4:$E$7,5,0))</f>
        <v/>
      </c>
      <c r="N2371" s="14">
        <f>H2371-M2371</f>
        <v/>
      </c>
      <c r="O2371" t="inlineStr">
        <is>
          <t>Não</t>
        </is>
      </c>
      <c r="P2371" t="inlineStr">
        <is>
          <t>1.350</t>
        </is>
      </c>
    </row>
    <row r="2372">
      <c r="A2372" s="24" t="n">
        <v>46054</v>
      </c>
      <c r="B2372" t="inlineStr">
        <is>
          <t>Frete de venda</t>
        </is>
      </c>
      <c r="C2372" t="inlineStr">
        <is>
          <t>Frete de venda (para clientes)</t>
        </is>
      </c>
      <c r="D2372" t="inlineStr">
        <is>
          <t>CT-e</t>
        </is>
      </c>
      <c r="E2372" t="inlineStr">
        <is>
          <t>000006422</t>
        </is>
      </c>
      <c r="F2372" t="inlineStr">
        <is>
          <t>R&amp;R TRANSPORTE E LOGISTICA</t>
        </is>
      </c>
      <c r="G2372" s="27" t="n">
        <v>46074</v>
      </c>
      <c r="H2372" s="14" t="n">
        <v>13.6</v>
      </c>
      <c r="I2372" s="14" t="n">
        <v>0</v>
      </c>
      <c r="J2372" s="14" t="n">
        <v>0</v>
      </c>
      <c r="K2372" s="14" t="n">
        <v>0</v>
      </c>
      <c r="L2372" s="14" t="n">
        <v>0</v>
      </c>
      <c r="M2372" s="14">
        <f>IF(B2372="Frete de venda",0,(1-ISNUMBER(SEARCH("556",P2372)))*(I2372*VLOOKUP($B2372,Premissas!$A$4:$E$7,2,0)+J2372*VLOOKUP($B2372,Premissas!$A$4:$E$7,3,0))+K2372*VLOOKUP($B2372,Premissas!$A$4:$E$7,4,0)+L2372*VLOOKUP($B2372,Premissas!$A$4:$E$7,5,0))</f>
        <v/>
      </c>
      <c r="N2372" s="14">
        <f>H2372-M2372</f>
        <v/>
      </c>
      <c r="O2372" t="inlineStr">
        <is>
          <t>Não</t>
        </is>
      </c>
      <c r="P2372" t="inlineStr">
        <is>
          <t>1.350</t>
        </is>
      </c>
    </row>
    <row r="2373">
      <c r="A2373" s="24" t="n">
        <v>46054</v>
      </c>
      <c r="B2373" t="inlineStr">
        <is>
          <t>Frete de venda</t>
        </is>
      </c>
      <c r="C2373" t="inlineStr">
        <is>
          <t>Frete de venda (para clientes)</t>
        </is>
      </c>
      <c r="D2373" t="inlineStr">
        <is>
          <t>CT-e</t>
        </is>
      </c>
      <c r="E2373" t="inlineStr">
        <is>
          <t>000006456</t>
        </is>
      </c>
      <c r="F2373" t="inlineStr">
        <is>
          <t>R&amp;R TRANSPORTE E LOGISTICA</t>
        </is>
      </c>
      <c r="G2373" s="27" t="n">
        <v>46080</v>
      </c>
      <c r="H2373" s="14" t="n">
        <v>25.02</v>
      </c>
      <c r="I2373" s="14" t="n">
        <v>0</v>
      </c>
      <c r="J2373" s="14" t="n">
        <v>0</v>
      </c>
      <c r="K2373" s="14" t="n">
        <v>0</v>
      </c>
      <c r="L2373" s="14" t="n">
        <v>0</v>
      </c>
      <c r="M2373" s="14">
        <f>IF(B2373="Frete de venda",0,(1-ISNUMBER(SEARCH("556",P2373)))*(I2373*VLOOKUP($B2373,Premissas!$A$4:$E$7,2,0)+J2373*VLOOKUP($B2373,Premissas!$A$4:$E$7,3,0))+K2373*VLOOKUP($B2373,Premissas!$A$4:$E$7,4,0)+L2373*VLOOKUP($B2373,Premissas!$A$4:$E$7,5,0))</f>
        <v/>
      </c>
      <c r="N2373" s="14">
        <f>H2373-M2373</f>
        <v/>
      </c>
      <c r="O2373" t="inlineStr">
        <is>
          <t>Não</t>
        </is>
      </c>
      <c r="P2373" t="inlineStr">
        <is>
          <t>1.350</t>
        </is>
      </c>
    </row>
    <row r="2374">
      <c r="A2374" s="24" t="n">
        <v>46054</v>
      </c>
      <c r="B2374" t="inlineStr">
        <is>
          <t>Frete de venda</t>
        </is>
      </c>
      <c r="C2374" t="inlineStr">
        <is>
          <t>Frete de venda (para clientes)</t>
        </is>
      </c>
      <c r="D2374" t="inlineStr">
        <is>
          <t>CT-e</t>
        </is>
      </c>
      <c r="E2374" t="inlineStr">
        <is>
          <t>000006323</t>
        </is>
      </c>
      <c r="F2374" t="inlineStr">
        <is>
          <t>R&amp;R TRANSPORTE E LOGISTICA</t>
        </is>
      </c>
      <c r="G2374" s="27" t="n">
        <v>46060</v>
      </c>
      <c r="H2374" s="14" t="n">
        <v>69.05</v>
      </c>
      <c r="I2374" s="14" t="n">
        <v>0</v>
      </c>
      <c r="J2374" s="14" t="n">
        <v>0</v>
      </c>
      <c r="K2374" s="14" t="n">
        <v>0</v>
      </c>
      <c r="L2374" s="14" t="n">
        <v>0</v>
      </c>
      <c r="M2374" s="14">
        <f>IF(B2374="Frete de venda",0,(1-ISNUMBER(SEARCH("556",P2374)))*(I2374*VLOOKUP($B2374,Premissas!$A$4:$E$7,2,0)+J2374*VLOOKUP($B2374,Premissas!$A$4:$E$7,3,0))+K2374*VLOOKUP($B2374,Premissas!$A$4:$E$7,4,0)+L2374*VLOOKUP($B2374,Premissas!$A$4:$E$7,5,0))</f>
        <v/>
      </c>
      <c r="N2374" s="14">
        <f>H2374-M2374</f>
        <v/>
      </c>
      <c r="O2374" t="inlineStr">
        <is>
          <t>Não</t>
        </is>
      </c>
      <c r="P2374" t="inlineStr">
        <is>
          <t>1.350</t>
        </is>
      </c>
    </row>
    <row r="2375">
      <c r="A2375" s="24" t="n">
        <v>46054</v>
      </c>
      <c r="B2375" t="inlineStr">
        <is>
          <t>Frete de venda</t>
        </is>
      </c>
      <c r="C2375" t="inlineStr">
        <is>
          <t>Frete de venda (para clientes)</t>
        </is>
      </c>
      <c r="D2375" t="inlineStr">
        <is>
          <t>CT-e</t>
        </is>
      </c>
      <c r="E2375" t="inlineStr">
        <is>
          <t>000024001</t>
        </is>
      </c>
      <c r="F2375" t="inlineStr">
        <is>
          <t>TRANSPORTE OLIVEIRA E MELLOI - IDEALIZA TRANSPORTES</t>
        </is>
      </c>
      <c r="G2375" s="27" t="n">
        <v>46080</v>
      </c>
      <c r="H2375" s="14" t="n">
        <v>890</v>
      </c>
      <c r="I2375" s="14" t="n">
        <v>0</v>
      </c>
      <c r="J2375" s="14" t="n">
        <v>106.8</v>
      </c>
      <c r="K2375" s="14" t="n">
        <v>0</v>
      </c>
      <c r="L2375" s="14" t="n">
        <v>0</v>
      </c>
      <c r="M2375" s="14">
        <f>IF(B2375="Frete de venda",0,(1-ISNUMBER(SEARCH("556",P2375)))*(I2375*VLOOKUP($B2375,Premissas!$A$4:$E$7,2,0)+J2375*VLOOKUP($B2375,Premissas!$A$4:$E$7,3,0))+K2375*VLOOKUP($B2375,Premissas!$A$4:$E$7,4,0)+L2375*VLOOKUP($B2375,Premissas!$A$4:$E$7,5,0))</f>
        <v/>
      </c>
      <c r="N2375" s="14">
        <f>H2375-M2375</f>
        <v/>
      </c>
      <c r="O2375" t="inlineStr">
        <is>
          <t>Sim</t>
        </is>
      </c>
      <c r="P2375" t="inlineStr">
        <is>
          <t>1.350</t>
        </is>
      </c>
    </row>
    <row r="2376">
      <c r="A2376" s="24" t="n">
        <v>46054</v>
      </c>
      <c r="B2376" t="inlineStr">
        <is>
          <t>Frete de venda</t>
        </is>
      </c>
      <c r="C2376" t="inlineStr">
        <is>
          <t>Frete de venda (para clientes)</t>
        </is>
      </c>
      <c r="D2376" t="inlineStr">
        <is>
          <t>CT-e</t>
        </is>
      </c>
      <c r="E2376" t="inlineStr">
        <is>
          <t>000006455</t>
        </is>
      </c>
      <c r="F2376" t="inlineStr">
        <is>
          <t>R&amp;R TRANSPORTE E LOGISTICA</t>
        </is>
      </c>
      <c r="G2376" s="27" t="n">
        <v>46080</v>
      </c>
      <c r="H2376" s="14" t="n">
        <v>25.21</v>
      </c>
      <c r="I2376" s="14" t="n">
        <v>0</v>
      </c>
      <c r="J2376" s="14" t="n">
        <v>0</v>
      </c>
      <c r="K2376" s="14" t="n">
        <v>0</v>
      </c>
      <c r="L2376" s="14" t="n">
        <v>0</v>
      </c>
      <c r="M2376" s="14">
        <f>IF(B2376="Frete de venda",0,(1-ISNUMBER(SEARCH("556",P2376)))*(I2376*VLOOKUP($B2376,Premissas!$A$4:$E$7,2,0)+J2376*VLOOKUP($B2376,Premissas!$A$4:$E$7,3,0))+K2376*VLOOKUP($B2376,Premissas!$A$4:$E$7,4,0)+L2376*VLOOKUP($B2376,Premissas!$A$4:$E$7,5,0))</f>
        <v/>
      </c>
      <c r="N2376" s="14">
        <f>H2376-M2376</f>
        <v/>
      </c>
      <c r="O2376" t="inlineStr">
        <is>
          <t>Não</t>
        </is>
      </c>
      <c r="P2376" t="inlineStr">
        <is>
          <t>1.350</t>
        </is>
      </c>
    </row>
    <row r="2377">
      <c r="A2377" s="24" t="n">
        <v>46054</v>
      </c>
      <c r="B2377" t="inlineStr">
        <is>
          <t>Frete de venda</t>
        </is>
      </c>
      <c r="C2377" t="inlineStr">
        <is>
          <t>Frete de venda (para clientes)</t>
        </is>
      </c>
      <c r="D2377" t="inlineStr">
        <is>
          <t>CT-e</t>
        </is>
      </c>
      <c r="E2377" t="inlineStr">
        <is>
          <t>000006407</t>
        </is>
      </c>
      <c r="F2377" t="inlineStr">
        <is>
          <t>R&amp;R TRANSPORTE E LOGISTICA</t>
        </is>
      </c>
      <c r="G2377" s="27" t="n">
        <v>46074</v>
      </c>
      <c r="H2377" s="14" t="n">
        <v>37.2</v>
      </c>
      <c r="I2377" s="14" t="n">
        <v>0</v>
      </c>
      <c r="J2377" s="14" t="n">
        <v>0</v>
      </c>
      <c r="K2377" s="14" t="n">
        <v>0</v>
      </c>
      <c r="L2377" s="14" t="n">
        <v>0</v>
      </c>
      <c r="M2377" s="14">
        <f>IF(B2377="Frete de venda",0,(1-ISNUMBER(SEARCH("556",P2377)))*(I2377*VLOOKUP($B2377,Premissas!$A$4:$E$7,2,0)+J2377*VLOOKUP($B2377,Premissas!$A$4:$E$7,3,0))+K2377*VLOOKUP($B2377,Premissas!$A$4:$E$7,4,0)+L2377*VLOOKUP($B2377,Premissas!$A$4:$E$7,5,0))</f>
        <v/>
      </c>
      <c r="N2377" s="14">
        <f>H2377-M2377</f>
        <v/>
      </c>
      <c r="O2377" t="inlineStr">
        <is>
          <t>Não</t>
        </is>
      </c>
      <c r="P2377" t="inlineStr">
        <is>
          <t>1.350</t>
        </is>
      </c>
    </row>
    <row r="2378">
      <c r="A2378" s="24" t="n">
        <v>46054</v>
      </c>
      <c r="B2378" t="inlineStr">
        <is>
          <t>Frete de venda</t>
        </is>
      </c>
      <c r="C2378" t="inlineStr">
        <is>
          <t>Frete de venda (para clientes)</t>
        </is>
      </c>
      <c r="D2378" t="inlineStr">
        <is>
          <t>CT-e</t>
        </is>
      </c>
      <c r="E2378" t="inlineStr">
        <is>
          <t>000006421</t>
        </is>
      </c>
      <c r="F2378" t="inlineStr">
        <is>
          <t>R&amp;R TRANSPORTE E LOGISTICA</t>
        </is>
      </c>
      <c r="G2378" s="27" t="n">
        <v>46074</v>
      </c>
      <c r="H2378" s="14" t="n">
        <v>22.96</v>
      </c>
      <c r="I2378" s="14" t="n">
        <v>0</v>
      </c>
      <c r="J2378" s="14" t="n">
        <v>0</v>
      </c>
      <c r="K2378" s="14" t="n">
        <v>0</v>
      </c>
      <c r="L2378" s="14" t="n">
        <v>0</v>
      </c>
      <c r="M2378" s="14">
        <f>IF(B2378="Frete de venda",0,(1-ISNUMBER(SEARCH("556",P2378)))*(I2378*VLOOKUP($B2378,Premissas!$A$4:$E$7,2,0)+J2378*VLOOKUP($B2378,Premissas!$A$4:$E$7,3,0))+K2378*VLOOKUP($B2378,Premissas!$A$4:$E$7,4,0)+L2378*VLOOKUP($B2378,Premissas!$A$4:$E$7,5,0))</f>
        <v/>
      </c>
      <c r="N2378" s="14">
        <f>H2378-M2378</f>
        <v/>
      </c>
      <c r="O2378" t="inlineStr">
        <is>
          <t>Não</t>
        </is>
      </c>
      <c r="P2378" t="inlineStr">
        <is>
          <t>1.350</t>
        </is>
      </c>
    </row>
    <row r="2379">
      <c r="A2379" s="24" t="n">
        <v>46054</v>
      </c>
      <c r="B2379" t="inlineStr">
        <is>
          <t>Frete de venda</t>
        </is>
      </c>
      <c r="C2379" t="inlineStr">
        <is>
          <t>Frete de venda (para clientes)</t>
        </is>
      </c>
      <c r="D2379" t="inlineStr">
        <is>
          <t>CT-e</t>
        </is>
      </c>
      <c r="E2379" t="inlineStr">
        <is>
          <t>000006357</t>
        </is>
      </c>
      <c r="F2379" t="inlineStr">
        <is>
          <t>R&amp;R TRANSPORTE E LOGISTICA</t>
        </is>
      </c>
      <c r="G2379" s="27" t="n">
        <v>46066</v>
      </c>
      <c r="H2379" s="14" t="n">
        <v>10.08</v>
      </c>
      <c r="I2379" s="14" t="n">
        <v>0</v>
      </c>
      <c r="J2379" s="14" t="n">
        <v>0</v>
      </c>
      <c r="K2379" s="14" t="n">
        <v>0</v>
      </c>
      <c r="L2379" s="14" t="n">
        <v>0</v>
      </c>
      <c r="M2379" s="14">
        <f>IF(B2379="Frete de venda",0,(1-ISNUMBER(SEARCH("556",P2379)))*(I2379*VLOOKUP($B2379,Premissas!$A$4:$E$7,2,0)+J2379*VLOOKUP($B2379,Premissas!$A$4:$E$7,3,0))+K2379*VLOOKUP($B2379,Premissas!$A$4:$E$7,4,0)+L2379*VLOOKUP($B2379,Premissas!$A$4:$E$7,5,0))</f>
        <v/>
      </c>
      <c r="N2379" s="14">
        <f>H2379-M2379</f>
        <v/>
      </c>
      <c r="O2379" t="inlineStr">
        <is>
          <t>Não</t>
        </is>
      </c>
      <c r="P2379" t="inlineStr">
        <is>
          <t>1.350</t>
        </is>
      </c>
    </row>
    <row r="2380">
      <c r="A2380" s="24" t="n">
        <v>46054</v>
      </c>
      <c r="B2380" t="inlineStr">
        <is>
          <t>Frete de venda</t>
        </is>
      </c>
      <c r="C2380" t="inlineStr">
        <is>
          <t>Frete de venda (para clientes)</t>
        </is>
      </c>
      <c r="D2380" t="inlineStr">
        <is>
          <t>CT-e</t>
        </is>
      </c>
      <c r="E2380" t="inlineStr">
        <is>
          <t>000006352</t>
        </is>
      </c>
      <c r="F2380" t="inlineStr">
        <is>
          <t>R&amp;R TRANSPORTE E LOGISTICA</t>
        </is>
      </c>
      <c r="G2380" s="27" t="n">
        <v>46066</v>
      </c>
      <c r="H2380" s="14" t="n">
        <v>14.07</v>
      </c>
      <c r="I2380" s="14" t="n">
        <v>0</v>
      </c>
      <c r="J2380" s="14" t="n">
        <v>0</v>
      </c>
      <c r="K2380" s="14" t="n">
        <v>0</v>
      </c>
      <c r="L2380" s="14" t="n">
        <v>0</v>
      </c>
      <c r="M2380" s="14">
        <f>IF(B2380="Frete de venda",0,(1-ISNUMBER(SEARCH("556",P2380)))*(I2380*VLOOKUP($B2380,Premissas!$A$4:$E$7,2,0)+J2380*VLOOKUP($B2380,Premissas!$A$4:$E$7,3,0))+K2380*VLOOKUP($B2380,Premissas!$A$4:$E$7,4,0)+L2380*VLOOKUP($B2380,Premissas!$A$4:$E$7,5,0))</f>
        <v/>
      </c>
      <c r="N2380" s="14">
        <f>H2380-M2380</f>
        <v/>
      </c>
      <c r="O2380" t="inlineStr">
        <is>
          <t>Não</t>
        </is>
      </c>
      <c r="P2380" t="inlineStr">
        <is>
          <t>1.350</t>
        </is>
      </c>
    </row>
    <row r="2381">
      <c r="A2381" s="24" t="n">
        <v>46054</v>
      </c>
      <c r="B2381" t="inlineStr">
        <is>
          <t>Frete de venda</t>
        </is>
      </c>
      <c r="C2381" t="inlineStr">
        <is>
          <t>Frete de venda (para clientes)</t>
        </is>
      </c>
      <c r="D2381" t="inlineStr">
        <is>
          <t>CT-e</t>
        </is>
      </c>
      <c r="E2381" t="inlineStr">
        <is>
          <t>001408561</t>
        </is>
      </c>
      <c r="F2381" t="inlineStr">
        <is>
          <t>PICCOLI TRANSPORTES LTDA</t>
        </is>
      </c>
      <c r="G2381" s="27" t="n">
        <v>46065</v>
      </c>
      <c r="H2381" s="14" t="n">
        <v>729.03</v>
      </c>
      <c r="I2381" s="14" t="n">
        <v>0</v>
      </c>
      <c r="J2381" s="14" t="n">
        <v>51.03</v>
      </c>
      <c r="K2381" s="14" t="n">
        <v>0</v>
      </c>
      <c r="L2381" s="14" t="n">
        <v>0</v>
      </c>
      <c r="M2381" s="14">
        <f>IF(B2381="Frete de venda",0,(1-ISNUMBER(SEARCH("556",P2381)))*(I2381*VLOOKUP($B2381,Premissas!$A$4:$E$7,2,0)+J2381*VLOOKUP($B2381,Premissas!$A$4:$E$7,3,0))+K2381*VLOOKUP($B2381,Premissas!$A$4:$E$7,4,0)+L2381*VLOOKUP($B2381,Premissas!$A$4:$E$7,5,0))</f>
        <v/>
      </c>
      <c r="N2381" s="14">
        <f>H2381-M2381</f>
        <v/>
      </c>
      <c r="O2381" t="inlineStr">
        <is>
          <t>Sim</t>
        </is>
      </c>
      <c r="P2381" t="inlineStr">
        <is>
          <t>1.350</t>
        </is>
      </c>
    </row>
    <row r="2382">
      <c r="A2382" s="24" t="n">
        <v>46054</v>
      </c>
      <c r="B2382" t="inlineStr">
        <is>
          <t>Frete de venda</t>
        </is>
      </c>
      <c r="C2382" t="inlineStr">
        <is>
          <t>Frete de venda (para clientes)</t>
        </is>
      </c>
      <c r="D2382" t="inlineStr">
        <is>
          <t>CT-e</t>
        </is>
      </c>
      <c r="E2382" t="inlineStr">
        <is>
          <t>000006369</t>
        </is>
      </c>
      <c r="F2382" t="inlineStr">
        <is>
          <t>R&amp;R TRANSPORTE E LOGISTICA</t>
        </is>
      </c>
      <c r="G2382" s="27" t="n">
        <v>46067</v>
      </c>
      <c r="H2382" s="14" t="n">
        <v>83.56</v>
      </c>
      <c r="I2382" s="14" t="n">
        <v>0</v>
      </c>
      <c r="J2382" s="14" t="n">
        <v>0</v>
      </c>
      <c r="K2382" s="14" t="n">
        <v>0</v>
      </c>
      <c r="L2382" s="14" t="n">
        <v>0</v>
      </c>
      <c r="M2382" s="14">
        <f>IF(B2382="Frete de venda",0,(1-ISNUMBER(SEARCH("556",P2382)))*(I2382*VLOOKUP($B2382,Premissas!$A$4:$E$7,2,0)+J2382*VLOOKUP($B2382,Premissas!$A$4:$E$7,3,0))+K2382*VLOOKUP($B2382,Premissas!$A$4:$E$7,4,0)+L2382*VLOOKUP($B2382,Premissas!$A$4:$E$7,5,0))</f>
        <v/>
      </c>
      <c r="N2382" s="14">
        <f>H2382-M2382</f>
        <v/>
      </c>
      <c r="O2382" t="inlineStr">
        <is>
          <t>Não</t>
        </is>
      </c>
      <c r="P2382" t="inlineStr">
        <is>
          <t>1.350</t>
        </is>
      </c>
    </row>
    <row r="2383">
      <c r="A2383" s="24" t="n">
        <v>46054</v>
      </c>
      <c r="B2383" t="inlineStr">
        <is>
          <t>Frete de venda</t>
        </is>
      </c>
      <c r="C2383" t="inlineStr">
        <is>
          <t>Frete de venda (para clientes)</t>
        </is>
      </c>
      <c r="D2383" t="inlineStr">
        <is>
          <t>CT-e</t>
        </is>
      </c>
      <c r="E2383" t="inlineStr">
        <is>
          <t>000003656</t>
        </is>
      </c>
      <c r="F2383" t="inlineStr">
        <is>
          <t>UNIVERSAL CARGAS EXPRESS</t>
        </is>
      </c>
      <c r="G2383" s="27" t="n">
        <v>46077</v>
      </c>
      <c r="H2383" s="14" t="n">
        <v>1100</v>
      </c>
      <c r="I2383" s="14" t="n">
        <v>0</v>
      </c>
      <c r="J2383" s="14" t="n">
        <v>0</v>
      </c>
      <c r="K2383" s="14" t="n">
        <v>0</v>
      </c>
      <c r="L2383" s="14" t="n">
        <v>0</v>
      </c>
      <c r="M2383" s="14">
        <f>IF(B2383="Frete de venda",0,(1-ISNUMBER(SEARCH("556",P2383)))*(I2383*VLOOKUP($B2383,Premissas!$A$4:$E$7,2,0)+J2383*VLOOKUP($B2383,Premissas!$A$4:$E$7,3,0))+K2383*VLOOKUP($B2383,Premissas!$A$4:$E$7,4,0)+L2383*VLOOKUP($B2383,Premissas!$A$4:$E$7,5,0))</f>
        <v/>
      </c>
      <c r="N2383" s="14">
        <f>H2383-M2383</f>
        <v/>
      </c>
      <c r="O2383" t="inlineStr">
        <is>
          <t>Sim</t>
        </is>
      </c>
      <c r="P2383" t="inlineStr">
        <is>
          <t>1.350</t>
        </is>
      </c>
    </row>
    <row r="2384">
      <c r="A2384" s="24" t="n">
        <v>46054</v>
      </c>
      <c r="B2384" t="inlineStr">
        <is>
          <t>Frete de venda</t>
        </is>
      </c>
      <c r="C2384" t="inlineStr">
        <is>
          <t>Frete de venda (para clientes)</t>
        </is>
      </c>
      <c r="D2384" t="inlineStr">
        <is>
          <t>CT-e</t>
        </is>
      </c>
      <c r="E2384" t="inlineStr">
        <is>
          <t>000006437</t>
        </is>
      </c>
      <c r="F2384" t="inlineStr">
        <is>
          <t>R&amp;R TRANSPORTE E LOGISTICA</t>
        </is>
      </c>
      <c r="G2384" s="27" t="n">
        <v>46078</v>
      </c>
      <c r="H2384" s="14" t="n">
        <v>79.61</v>
      </c>
      <c r="I2384" s="14" t="n">
        <v>0</v>
      </c>
      <c r="J2384" s="14" t="n">
        <v>0</v>
      </c>
      <c r="K2384" s="14" t="n">
        <v>0</v>
      </c>
      <c r="L2384" s="14" t="n">
        <v>0</v>
      </c>
      <c r="M2384" s="14">
        <f>IF(B2384="Frete de venda",0,(1-ISNUMBER(SEARCH("556",P2384)))*(I2384*VLOOKUP($B2384,Premissas!$A$4:$E$7,2,0)+J2384*VLOOKUP($B2384,Premissas!$A$4:$E$7,3,0))+K2384*VLOOKUP($B2384,Premissas!$A$4:$E$7,4,0)+L2384*VLOOKUP($B2384,Premissas!$A$4:$E$7,5,0))</f>
        <v/>
      </c>
      <c r="N2384" s="14">
        <f>H2384-M2384</f>
        <v/>
      </c>
      <c r="O2384" t="inlineStr">
        <is>
          <t>Não</t>
        </is>
      </c>
      <c r="P2384" t="inlineStr">
        <is>
          <t>1.350</t>
        </is>
      </c>
    </row>
    <row r="2385">
      <c r="A2385" s="24" t="n">
        <v>46054</v>
      </c>
      <c r="B2385" t="inlineStr">
        <is>
          <t>Frete de venda</t>
        </is>
      </c>
      <c r="C2385" t="inlineStr">
        <is>
          <t>Frete de venda (para clientes)</t>
        </is>
      </c>
      <c r="D2385" t="inlineStr">
        <is>
          <t>CT-e</t>
        </is>
      </c>
      <c r="E2385" t="inlineStr">
        <is>
          <t>001408477</t>
        </is>
      </c>
      <c r="F2385" t="inlineStr">
        <is>
          <t>PICCOLI TRANSPORTES LTDA</t>
        </is>
      </c>
      <c r="G2385" s="27" t="n">
        <v>46064</v>
      </c>
      <c r="H2385" s="14" t="n">
        <v>706.01</v>
      </c>
      <c r="I2385" s="14" t="n">
        <v>0</v>
      </c>
      <c r="J2385" s="14" t="n">
        <v>49.42</v>
      </c>
      <c r="K2385" s="14" t="n">
        <v>0</v>
      </c>
      <c r="L2385" s="14" t="n">
        <v>0</v>
      </c>
      <c r="M2385" s="14">
        <f>IF(B2385="Frete de venda",0,(1-ISNUMBER(SEARCH("556",P2385)))*(I2385*VLOOKUP($B2385,Premissas!$A$4:$E$7,2,0)+J2385*VLOOKUP($B2385,Premissas!$A$4:$E$7,3,0))+K2385*VLOOKUP($B2385,Premissas!$A$4:$E$7,4,0)+L2385*VLOOKUP($B2385,Premissas!$A$4:$E$7,5,0))</f>
        <v/>
      </c>
      <c r="N2385" s="14">
        <f>H2385-M2385</f>
        <v/>
      </c>
      <c r="O2385" t="inlineStr">
        <is>
          <t>Sim</t>
        </is>
      </c>
      <c r="P2385" t="inlineStr">
        <is>
          <t>1.350</t>
        </is>
      </c>
    </row>
    <row r="2386">
      <c r="A2386" s="24" t="n">
        <v>46054</v>
      </c>
      <c r="B2386" t="inlineStr">
        <is>
          <t>Frete de venda</t>
        </is>
      </c>
      <c r="C2386" t="inlineStr">
        <is>
          <t>Frete de venda (para clientes)</t>
        </is>
      </c>
      <c r="D2386" t="inlineStr">
        <is>
          <t>CT-e</t>
        </is>
      </c>
      <c r="E2386" t="inlineStr">
        <is>
          <t>000006355</t>
        </is>
      </c>
      <c r="F2386" t="inlineStr">
        <is>
          <t>R&amp;R TRANSPORTE E LOGISTICA</t>
        </is>
      </c>
      <c r="G2386" s="27" t="n">
        <v>46066</v>
      </c>
      <c r="H2386" s="14" t="n">
        <v>24.76</v>
      </c>
      <c r="I2386" s="14" t="n">
        <v>0</v>
      </c>
      <c r="J2386" s="14" t="n">
        <v>0</v>
      </c>
      <c r="K2386" s="14" t="n">
        <v>0</v>
      </c>
      <c r="L2386" s="14" t="n">
        <v>0</v>
      </c>
      <c r="M2386" s="14">
        <f>IF(B2386="Frete de venda",0,(1-ISNUMBER(SEARCH("556",P2386)))*(I2386*VLOOKUP($B2386,Premissas!$A$4:$E$7,2,0)+J2386*VLOOKUP($B2386,Premissas!$A$4:$E$7,3,0))+K2386*VLOOKUP($B2386,Premissas!$A$4:$E$7,4,0)+L2386*VLOOKUP($B2386,Premissas!$A$4:$E$7,5,0))</f>
        <v/>
      </c>
      <c r="N2386" s="14">
        <f>H2386-M2386</f>
        <v/>
      </c>
      <c r="O2386" t="inlineStr">
        <is>
          <t>Não</t>
        </is>
      </c>
      <c r="P2386" t="inlineStr">
        <is>
          <t>1.350</t>
        </is>
      </c>
    </row>
    <row r="2387">
      <c r="A2387" s="24" t="n">
        <v>46054</v>
      </c>
      <c r="B2387" t="inlineStr">
        <is>
          <t>Frete de venda</t>
        </is>
      </c>
      <c r="C2387" t="inlineStr">
        <is>
          <t>Frete de venda (para clientes)</t>
        </is>
      </c>
      <c r="D2387" t="inlineStr">
        <is>
          <t>CT-e</t>
        </is>
      </c>
      <c r="E2387" t="inlineStr">
        <is>
          <t>000006408</t>
        </is>
      </c>
      <c r="F2387" t="inlineStr">
        <is>
          <t>R&amp;R TRANSPORTE E LOGISTICA</t>
        </is>
      </c>
      <c r="G2387" s="27" t="n">
        <v>46074</v>
      </c>
      <c r="H2387" s="14" t="n">
        <v>13.62</v>
      </c>
      <c r="I2387" s="14" t="n">
        <v>0</v>
      </c>
      <c r="J2387" s="14" t="n">
        <v>0</v>
      </c>
      <c r="K2387" s="14" t="n">
        <v>0</v>
      </c>
      <c r="L2387" s="14" t="n">
        <v>0</v>
      </c>
      <c r="M2387" s="14">
        <f>IF(B2387="Frete de venda",0,(1-ISNUMBER(SEARCH("556",P2387)))*(I2387*VLOOKUP($B2387,Premissas!$A$4:$E$7,2,0)+J2387*VLOOKUP($B2387,Premissas!$A$4:$E$7,3,0))+K2387*VLOOKUP($B2387,Premissas!$A$4:$E$7,4,0)+L2387*VLOOKUP($B2387,Premissas!$A$4:$E$7,5,0))</f>
        <v/>
      </c>
      <c r="N2387" s="14">
        <f>H2387-M2387</f>
        <v/>
      </c>
      <c r="O2387" t="inlineStr">
        <is>
          <t>Não</t>
        </is>
      </c>
      <c r="P2387" t="inlineStr">
        <is>
          <t>1.350</t>
        </is>
      </c>
    </row>
    <row r="2388">
      <c r="A2388" s="24" t="n">
        <v>46054</v>
      </c>
      <c r="B2388" t="inlineStr">
        <is>
          <t>Frete de venda</t>
        </is>
      </c>
      <c r="C2388" t="inlineStr">
        <is>
          <t>Frete de venda (para clientes)</t>
        </is>
      </c>
      <c r="D2388" t="inlineStr">
        <is>
          <t>CT-e</t>
        </is>
      </c>
      <c r="E2388" t="inlineStr">
        <is>
          <t>000003657</t>
        </is>
      </c>
      <c r="F2388" t="inlineStr">
        <is>
          <t>UNIVERSAL CARGAS EXPRESS</t>
        </is>
      </c>
      <c r="G2388" s="27" t="n">
        <v>46077</v>
      </c>
      <c r="H2388" s="14" t="n">
        <v>280</v>
      </c>
      <c r="I2388" s="14" t="n">
        <v>0</v>
      </c>
      <c r="J2388" s="14" t="n">
        <v>0</v>
      </c>
      <c r="K2388" s="14" t="n">
        <v>0</v>
      </c>
      <c r="L2388" s="14" t="n">
        <v>0</v>
      </c>
      <c r="M2388" s="14">
        <f>IF(B2388="Frete de venda",0,(1-ISNUMBER(SEARCH("556",P2388)))*(I2388*VLOOKUP($B2388,Premissas!$A$4:$E$7,2,0)+J2388*VLOOKUP($B2388,Premissas!$A$4:$E$7,3,0))+K2388*VLOOKUP($B2388,Premissas!$A$4:$E$7,4,0)+L2388*VLOOKUP($B2388,Premissas!$A$4:$E$7,5,0))</f>
        <v/>
      </c>
      <c r="N2388" s="14">
        <f>H2388-M2388</f>
        <v/>
      </c>
      <c r="O2388" t="inlineStr">
        <is>
          <t>Sim</t>
        </is>
      </c>
      <c r="P2388" t="inlineStr">
        <is>
          <t>1.350</t>
        </is>
      </c>
    </row>
    <row r="2389">
      <c r="A2389" s="24" t="n">
        <v>46054</v>
      </c>
      <c r="B2389" t="inlineStr">
        <is>
          <t>Frete de venda</t>
        </is>
      </c>
      <c r="C2389" t="inlineStr">
        <is>
          <t>Frete de venda (para clientes)</t>
        </is>
      </c>
      <c r="D2389" t="inlineStr">
        <is>
          <t>CT-e</t>
        </is>
      </c>
      <c r="E2389" t="inlineStr">
        <is>
          <t>000006457</t>
        </is>
      </c>
      <c r="F2389" t="inlineStr">
        <is>
          <t>R&amp;R TRANSPORTE E LOGISTICA</t>
        </is>
      </c>
      <c r="G2389" s="27" t="n">
        <v>46080</v>
      </c>
      <c r="H2389" s="14" t="n">
        <v>20.74</v>
      </c>
      <c r="I2389" s="14" t="n">
        <v>0</v>
      </c>
      <c r="J2389" s="14" t="n">
        <v>0</v>
      </c>
      <c r="K2389" s="14" t="n">
        <v>0</v>
      </c>
      <c r="L2389" s="14" t="n">
        <v>0</v>
      </c>
      <c r="M2389" s="14">
        <f>IF(B2389="Frete de venda",0,(1-ISNUMBER(SEARCH("556",P2389)))*(I2389*VLOOKUP($B2389,Premissas!$A$4:$E$7,2,0)+J2389*VLOOKUP($B2389,Premissas!$A$4:$E$7,3,0))+K2389*VLOOKUP($B2389,Premissas!$A$4:$E$7,4,0)+L2389*VLOOKUP($B2389,Premissas!$A$4:$E$7,5,0))</f>
        <v/>
      </c>
      <c r="N2389" s="14">
        <f>H2389-M2389</f>
        <v/>
      </c>
      <c r="O2389" t="inlineStr">
        <is>
          <t>Não</t>
        </is>
      </c>
      <c r="P2389" t="inlineStr">
        <is>
          <t>1.350</t>
        </is>
      </c>
    </row>
    <row r="2390">
      <c r="A2390" s="24" t="n">
        <v>46054</v>
      </c>
      <c r="B2390" t="inlineStr">
        <is>
          <t>Frete de venda</t>
        </is>
      </c>
      <c r="C2390" t="inlineStr">
        <is>
          <t>Frete de venda (para clientes)</t>
        </is>
      </c>
      <c r="D2390" t="inlineStr">
        <is>
          <t>CT-e</t>
        </is>
      </c>
      <c r="E2390" t="inlineStr">
        <is>
          <t>000006319</t>
        </is>
      </c>
      <c r="F2390" t="inlineStr">
        <is>
          <t>R&amp;R TRANSPORTE E LOGISTICA</t>
        </is>
      </c>
      <c r="G2390" s="27" t="n">
        <v>46060</v>
      </c>
      <c r="H2390" s="14" t="n">
        <v>69.05</v>
      </c>
      <c r="I2390" s="14" t="n">
        <v>0</v>
      </c>
      <c r="J2390" s="14" t="n">
        <v>0</v>
      </c>
      <c r="K2390" s="14" t="n">
        <v>0</v>
      </c>
      <c r="L2390" s="14" t="n">
        <v>0</v>
      </c>
      <c r="M2390" s="14">
        <f>IF(B2390="Frete de venda",0,(1-ISNUMBER(SEARCH("556",P2390)))*(I2390*VLOOKUP($B2390,Premissas!$A$4:$E$7,2,0)+J2390*VLOOKUP($B2390,Premissas!$A$4:$E$7,3,0))+K2390*VLOOKUP($B2390,Premissas!$A$4:$E$7,4,0)+L2390*VLOOKUP($B2390,Premissas!$A$4:$E$7,5,0))</f>
        <v/>
      </c>
      <c r="N2390" s="14">
        <f>H2390-M2390</f>
        <v/>
      </c>
      <c r="O2390" t="inlineStr">
        <is>
          <t>Não</t>
        </is>
      </c>
      <c r="P2390" t="inlineStr">
        <is>
          <t>1.350</t>
        </is>
      </c>
    </row>
    <row r="2391">
      <c r="A2391" s="24" t="n">
        <v>46054</v>
      </c>
      <c r="B2391" t="inlineStr">
        <is>
          <t>Frete de venda</t>
        </is>
      </c>
      <c r="C2391" t="inlineStr">
        <is>
          <t>Frete de venda (para clientes)</t>
        </is>
      </c>
      <c r="D2391" t="inlineStr">
        <is>
          <t>CT-e</t>
        </is>
      </c>
      <c r="E2391" t="inlineStr">
        <is>
          <t>000002926</t>
        </is>
      </c>
      <c r="F2391" t="inlineStr">
        <is>
          <t>RAPIDO XAPURI TRANSPORTES E LOGISTICA LTDA</t>
        </is>
      </c>
      <c r="G2391" s="27" t="n">
        <v>46079</v>
      </c>
      <c r="H2391" s="14" t="n">
        <v>499.1</v>
      </c>
      <c r="I2391" s="14" t="n">
        <v>0</v>
      </c>
      <c r="J2391" s="14" t="n">
        <v>59.89</v>
      </c>
      <c r="K2391" s="14" t="n">
        <v>0</v>
      </c>
      <c r="L2391" s="14" t="n">
        <v>0</v>
      </c>
      <c r="M2391" s="14">
        <f>IF(B2391="Frete de venda",0,(1-ISNUMBER(SEARCH("556",P2391)))*(I2391*VLOOKUP($B2391,Premissas!$A$4:$E$7,2,0)+J2391*VLOOKUP($B2391,Premissas!$A$4:$E$7,3,0))+K2391*VLOOKUP($B2391,Premissas!$A$4:$E$7,4,0)+L2391*VLOOKUP($B2391,Premissas!$A$4:$E$7,5,0))</f>
        <v/>
      </c>
      <c r="N2391" s="14">
        <f>H2391-M2391</f>
        <v/>
      </c>
      <c r="O2391" t="inlineStr">
        <is>
          <t>Sim</t>
        </is>
      </c>
      <c r="P2391" t="inlineStr">
        <is>
          <t>1.350</t>
        </is>
      </c>
    </row>
    <row r="2392">
      <c r="A2392" s="24" t="n">
        <v>46054</v>
      </c>
      <c r="B2392" t="inlineStr">
        <is>
          <t>Frete de venda</t>
        </is>
      </c>
      <c r="C2392" t="inlineStr">
        <is>
          <t>Frete de venda (para clientes)</t>
        </is>
      </c>
      <c r="D2392" t="inlineStr">
        <is>
          <t>CT-e</t>
        </is>
      </c>
      <c r="E2392" t="inlineStr">
        <is>
          <t>000006351</t>
        </is>
      </c>
      <c r="F2392" t="inlineStr">
        <is>
          <t>R&amp;R TRANSPORTE E LOGISTICA</t>
        </is>
      </c>
      <c r="G2392" s="27" t="n">
        <v>46066</v>
      </c>
      <c r="H2392" s="14" t="n">
        <v>14.1</v>
      </c>
      <c r="I2392" s="14" t="n">
        <v>0</v>
      </c>
      <c r="J2392" s="14" t="n">
        <v>0</v>
      </c>
      <c r="K2392" s="14" t="n">
        <v>0</v>
      </c>
      <c r="L2392" s="14" t="n">
        <v>0</v>
      </c>
      <c r="M2392" s="14">
        <f>IF(B2392="Frete de venda",0,(1-ISNUMBER(SEARCH("556",P2392)))*(I2392*VLOOKUP($B2392,Premissas!$A$4:$E$7,2,0)+J2392*VLOOKUP($B2392,Premissas!$A$4:$E$7,3,0))+K2392*VLOOKUP($B2392,Premissas!$A$4:$E$7,4,0)+L2392*VLOOKUP($B2392,Premissas!$A$4:$E$7,5,0))</f>
        <v/>
      </c>
      <c r="N2392" s="14">
        <f>H2392-M2392</f>
        <v/>
      </c>
      <c r="O2392" t="inlineStr">
        <is>
          <t>Não</t>
        </is>
      </c>
      <c r="P2392" t="inlineStr">
        <is>
          <t>1.350</t>
        </is>
      </c>
    </row>
    <row r="2393">
      <c r="A2393" s="24" t="n">
        <v>46054</v>
      </c>
      <c r="B2393" t="inlineStr">
        <is>
          <t>Frete de venda</t>
        </is>
      </c>
      <c r="C2393" t="inlineStr">
        <is>
          <t>Frete de venda (para clientes)</t>
        </is>
      </c>
      <c r="D2393" t="inlineStr">
        <is>
          <t>CT-e</t>
        </is>
      </c>
      <c r="E2393" t="inlineStr">
        <is>
          <t>000006364</t>
        </is>
      </c>
      <c r="F2393" t="inlineStr">
        <is>
          <t>R&amp;R TRANSPORTE E LOGISTICA</t>
        </is>
      </c>
      <c r="G2393" s="27" t="n">
        <v>46066</v>
      </c>
      <c r="H2393" s="14" t="n">
        <v>16.88</v>
      </c>
      <c r="I2393" s="14" t="n">
        <v>0</v>
      </c>
      <c r="J2393" s="14" t="n">
        <v>0</v>
      </c>
      <c r="K2393" s="14" t="n">
        <v>0</v>
      </c>
      <c r="L2393" s="14" t="n">
        <v>0</v>
      </c>
      <c r="M2393" s="14">
        <f>IF(B2393="Frete de venda",0,(1-ISNUMBER(SEARCH("556",P2393)))*(I2393*VLOOKUP($B2393,Premissas!$A$4:$E$7,2,0)+J2393*VLOOKUP($B2393,Premissas!$A$4:$E$7,3,0))+K2393*VLOOKUP($B2393,Premissas!$A$4:$E$7,4,0)+L2393*VLOOKUP($B2393,Premissas!$A$4:$E$7,5,0))</f>
        <v/>
      </c>
      <c r="N2393" s="14">
        <f>H2393-M2393</f>
        <v/>
      </c>
      <c r="O2393" t="inlineStr">
        <is>
          <t>Não</t>
        </is>
      </c>
      <c r="P2393" t="inlineStr">
        <is>
          <t>1.350</t>
        </is>
      </c>
    </row>
    <row r="2394">
      <c r="A2394" s="24" t="n">
        <v>46054</v>
      </c>
      <c r="B2394" t="inlineStr">
        <is>
          <t>Frete de venda</t>
        </is>
      </c>
      <c r="C2394" t="inlineStr">
        <is>
          <t>Frete de venda (para clientes)</t>
        </is>
      </c>
      <c r="D2394" t="inlineStr">
        <is>
          <t>CT-e</t>
        </is>
      </c>
      <c r="E2394" t="inlineStr">
        <is>
          <t>000006446</t>
        </is>
      </c>
      <c r="F2394" t="inlineStr">
        <is>
          <t>R&amp;R TRANSPORTE E LOGISTICA</t>
        </is>
      </c>
      <c r="G2394" s="27" t="n">
        <v>46080</v>
      </c>
      <c r="H2394" s="14" t="n">
        <v>184.23</v>
      </c>
      <c r="I2394" s="14" t="n">
        <v>0</v>
      </c>
      <c r="J2394" s="14" t="n">
        <v>0</v>
      </c>
      <c r="K2394" s="14" t="n">
        <v>0</v>
      </c>
      <c r="L2394" s="14" t="n">
        <v>0</v>
      </c>
      <c r="M2394" s="14">
        <f>IF(B2394="Frete de venda",0,(1-ISNUMBER(SEARCH("556",P2394)))*(I2394*VLOOKUP($B2394,Premissas!$A$4:$E$7,2,0)+J2394*VLOOKUP($B2394,Premissas!$A$4:$E$7,3,0))+K2394*VLOOKUP($B2394,Premissas!$A$4:$E$7,4,0)+L2394*VLOOKUP($B2394,Premissas!$A$4:$E$7,5,0))</f>
        <v/>
      </c>
      <c r="N2394" s="14">
        <f>H2394-M2394</f>
        <v/>
      </c>
      <c r="O2394" t="inlineStr">
        <is>
          <t>Não</t>
        </is>
      </c>
      <c r="P2394" t="inlineStr">
        <is>
          <t>1.350</t>
        </is>
      </c>
    </row>
    <row r="2395">
      <c r="A2395" s="24" t="n">
        <v>46054</v>
      </c>
      <c r="B2395" t="inlineStr">
        <is>
          <t>Frete de venda</t>
        </is>
      </c>
      <c r="C2395" t="inlineStr">
        <is>
          <t>Frete de venda (para clientes)</t>
        </is>
      </c>
      <c r="D2395" t="inlineStr">
        <is>
          <t>CT-e</t>
        </is>
      </c>
      <c r="E2395" t="inlineStr">
        <is>
          <t>000006381</t>
        </is>
      </c>
      <c r="F2395" t="inlineStr">
        <is>
          <t>R&amp;R TRANSPORTE E LOGISTICA</t>
        </is>
      </c>
      <c r="G2395" s="27" t="n">
        <v>46067</v>
      </c>
      <c r="H2395" s="14" t="n">
        <v>36.38</v>
      </c>
      <c r="I2395" s="14" t="n">
        <v>0</v>
      </c>
      <c r="J2395" s="14" t="n">
        <v>0</v>
      </c>
      <c r="K2395" s="14" t="n">
        <v>0</v>
      </c>
      <c r="L2395" s="14" t="n">
        <v>0</v>
      </c>
      <c r="M2395" s="14">
        <f>IF(B2395="Frete de venda",0,(1-ISNUMBER(SEARCH("556",P2395)))*(I2395*VLOOKUP($B2395,Premissas!$A$4:$E$7,2,0)+J2395*VLOOKUP($B2395,Premissas!$A$4:$E$7,3,0))+K2395*VLOOKUP($B2395,Premissas!$A$4:$E$7,4,0)+L2395*VLOOKUP($B2395,Premissas!$A$4:$E$7,5,0))</f>
        <v/>
      </c>
      <c r="N2395" s="14">
        <f>H2395-M2395</f>
        <v/>
      </c>
      <c r="O2395" t="inlineStr">
        <is>
          <t>Não</t>
        </is>
      </c>
      <c r="P2395" t="inlineStr">
        <is>
          <t>1.350</t>
        </is>
      </c>
    </row>
    <row r="2396">
      <c r="A2396" s="24" t="n">
        <v>46054</v>
      </c>
      <c r="B2396" t="inlineStr">
        <is>
          <t>Frete de venda</t>
        </is>
      </c>
      <c r="C2396" t="inlineStr">
        <is>
          <t>Frete de venda (para clientes)</t>
        </is>
      </c>
      <c r="D2396" t="inlineStr">
        <is>
          <t>CT-e</t>
        </is>
      </c>
      <c r="E2396" t="inlineStr">
        <is>
          <t>000006376</t>
        </is>
      </c>
      <c r="F2396" t="inlineStr">
        <is>
          <t>R&amp;R TRANSPORTE E LOGISTICA</t>
        </is>
      </c>
      <c r="G2396" s="27" t="n">
        <v>46067</v>
      </c>
      <c r="H2396" s="14" t="n">
        <v>42.49</v>
      </c>
      <c r="I2396" s="14" t="n">
        <v>0</v>
      </c>
      <c r="J2396" s="14" t="n">
        <v>0</v>
      </c>
      <c r="K2396" s="14" t="n">
        <v>0</v>
      </c>
      <c r="L2396" s="14" t="n">
        <v>0</v>
      </c>
      <c r="M2396" s="14">
        <f>IF(B2396="Frete de venda",0,(1-ISNUMBER(SEARCH("556",P2396)))*(I2396*VLOOKUP($B2396,Premissas!$A$4:$E$7,2,0)+J2396*VLOOKUP($B2396,Premissas!$A$4:$E$7,3,0))+K2396*VLOOKUP($B2396,Premissas!$A$4:$E$7,4,0)+L2396*VLOOKUP($B2396,Premissas!$A$4:$E$7,5,0))</f>
        <v/>
      </c>
      <c r="N2396" s="14">
        <f>H2396-M2396</f>
        <v/>
      </c>
      <c r="O2396" t="inlineStr">
        <is>
          <t>Não</t>
        </is>
      </c>
      <c r="P2396" t="inlineStr">
        <is>
          <t>1.350</t>
        </is>
      </c>
    </row>
    <row r="2397">
      <c r="A2397" s="24" t="n">
        <v>46054</v>
      </c>
      <c r="B2397" t="inlineStr">
        <is>
          <t>Frete de venda</t>
        </is>
      </c>
      <c r="C2397" t="inlineStr">
        <is>
          <t>Frete de venda (para clientes)</t>
        </is>
      </c>
      <c r="D2397" t="inlineStr">
        <is>
          <t>CT-e</t>
        </is>
      </c>
      <c r="E2397" t="inlineStr">
        <is>
          <t>000023998</t>
        </is>
      </c>
      <c r="F2397" t="inlineStr">
        <is>
          <t>TRANSPORTE OLIVEIRA E MELLOI - IDEALIZA TRANSPORTES</t>
        </is>
      </c>
      <c r="G2397" s="27" t="n">
        <v>46080</v>
      </c>
      <c r="H2397" s="14" t="n">
        <v>774.36</v>
      </c>
      <c r="I2397" s="14" t="n">
        <v>0</v>
      </c>
      <c r="J2397" s="14" t="n">
        <v>92.92</v>
      </c>
      <c r="K2397" s="14" t="n">
        <v>0</v>
      </c>
      <c r="L2397" s="14" t="n">
        <v>0</v>
      </c>
      <c r="M2397" s="14">
        <f>IF(B2397="Frete de venda",0,(1-ISNUMBER(SEARCH("556",P2397)))*(I2397*VLOOKUP($B2397,Premissas!$A$4:$E$7,2,0)+J2397*VLOOKUP($B2397,Premissas!$A$4:$E$7,3,0))+K2397*VLOOKUP($B2397,Premissas!$A$4:$E$7,4,0)+L2397*VLOOKUP($B2397,Premissas!$A$4:$E$7,5,0))</f>
        <v/>
      </c>
      <c r="N2397" s="14">
        <f>H2397-M2397</f>
        <v/>
      </c>
      <c r="O2397" t="inlineStr">
        <is>
          <t>Sim</t>
        </is>
      </c>
      <c r="P2397" t="inlineStr">
        <is>
          <t>1.350</t>
        </is>
      </c>
    </row>
    <row r="2398">
      <c r="A2398" s="24" t="n">
        <v>46054</v>
      </c>
      <c r="B2398" t="inlineStr">
        <is>
          <t>Frete de venda</t>
        </is>
      </c>
      <c r="C2398" t="inlineStr">
        <is>
          <t>Frete de venda (para clientes)</t>
        </is>
      </c>
      <c r="D2398" t="inlineStr">
        <is>
          <t>CT-e</t>
        </is>
      </c>
      <c r="E2398" t="inlineStr">
        <is>
          <t>000006373</t>
        </is>
      </c>
      <c r="F2398" t="inlineStr">
        <is>
          <t>R&amp;R TRANSPORTE E LOGISTICA</t>
        </is>
      </c>
      <c r="G2398" s="27" t="n">
        <v>46067</v>
      </c>
      <c r="H2398" s="14" t="n">
        <v>43.7</v>
      </c>
      <c r="I2398" s="14" t="n">
        <v>0</v>
      </c>
      <c r="J2398" s="14" t="n">
        <v>0</v>
      </c>
      <c r="K2398" s="14" t="n">
        <v>0</v>
      </c>
      <c r="L2398" s="14" t="n">
        <v>0</v>
      </c>
      <c r="M2398" s="14">
        <f>IF(B2398="Frete de venda",0,(1-ISNUMBER(SEARCH("556",P2398)))*(I2398*VLOOKUP($B2398,Premissas!$A$4:$E$7,2,0)+J2398*VLOOKUP($B2398,Premissas!$A$4:$E$7,3,0))+K2398*VLOOKUP($B2398,Premissas!$A$4:$E$7,4,0)+L2398*VLOOKUP($B2398,Premissas!$A$4:$E$7,5,0))</f>
        <v/>
      </c>
      <c r="N2398" s="14">
        <f>H2398-M2398</f>
        <v/>
      </c>
      <c r="O2398" t="inlineStr">
        <is>
          <t>Não</t>
        </is>
      </c>
      <c r="P2398" t="inlineStr">
        <is>
          <t>1.350</t>
        </is>
      </c>
    </row>
    <row r="2399">
      <c r="A2399" s="24" t="n">
        <v>46054</v>
      </c>
      <c r="B2399" t="inlineStr">
        <is>
          <t>Frete de venda</t>
        </is>
      </c>
      <c r="C2399" t="inlineStr">
        <is>
          <t>Frete de venda (para clientes)</t>
        </is>
      </c>
      <c r="D2399" t="inlineStr">
        <is>
          <t>CT-e</t>
        </is>
      </c>
      <c r="E2399" t="inlineStr">
        <is>
          <t>000023997</t>
        </is>
      </c>
      <c r="F2399" t="inlineStr">
        <is>
          <t>TRANSPORTE OLIVEIRA E MELLOI - IDEALIZA TRANSPORTES</t>
        </is>
      </c>
      <c r="G2399" s="27" t="n">
        <v>46080</v>
      </c>
      <c r="H2399" s="14" t="n">
        <v>849.97</v>
      </c>
      <c r="I2399" s="14" t="n">
        <v>0</v>
      </c>
      <c r="J2399" s="14" t="n">
        <v>102</v>
      </c>
      <c r="K2399" s="14" t="n">
        <v>0</v>
      </c>
      <c r="L2399" s="14" t="n">
        <v>0</v>
      </c>
      <c r="M2399" s="14">
        <f>IF(B2399="Frete de venda",0,(1-ISNUMBER(SEARCH("556",P2399)))*(I2399*VLOOKUP($B2399,Premissas!$A$4:$E$7,2,0)+J2399*VLOOKUP($B2399,Premissas!$A$4:$E$7,3,0))+K2399*VLOOKUP($B2399,Premissas!$A$4:$E$7,4,0)+L2399*VLOOKUP($B2399,Premissas!$A$4:$E$7,5,0))</f>
        <v/>
      </c>
      <c r="N2399" s="14">
        <f>H2399-M2399</f>
        <v/>
      </c>
      <c r="O2399" t="inlineStr">
        <is>
          <t>Sim</t>
        </is>
      </c>
      <c r="P2399" t="inlineStr">
        <is>
          <t>1.350</t>
        </is>
      </c>
    </row>
    <row r="2400">
      <c r="A2400" s="24" t="n">
        <v>46054</v>
      </c>
      <c r="B2400" t="inlineStr">
        <is>
          <t>Frete de venda</t>
        </is>
      </c>
      <c r="C2400" t="inlineStr">
        <is>
          <t>Frete de venda (para clientes)</t>
        </is>
      </c>
      <c r="D2400" t="inlineStr">
        <is>
          <t>CT-e</t>
        </is>
      </c>
      <c r="E2400" t="inlineStr">
        <is>
          <t>000006349</t>
        </is>
      </c>
      <c r="F2400" t="inlineStr">
        <is>
          <t>R&amp;R TRANSPORTE E LOGISTICA</t>
        </is>
      </c>
      <c r="G2400" s="27" t="n">
        <v>46066</v>
      </c>
      <c r="H2400" s="14" t="n">
        <v>9.68</v>
      </c>
      <c r="I2400" s="14" t="n">
        <v>0</v>
      </c>
      <c r="J2400" s="14" t="n">
        <v>0</v>
      </c>
      <c r="K2400" s="14" t="n">
        <v>0</v>
      </c>
      <c r="L2400" s="14" t="n">
        <v>0</v>
      </c>
      <c r="M2400" s="14">
        <f>IF(B2400="Frete de venda",0,(1-ISNUMBER(SEARCH("556",P2400)))*(I2400*VLOOKUP($B2400,Premissas!$A$4:$E$7,2,0)+J2400*VLOOKUP($B2400,Premissas!$A$4:$E$7,3,0))+K2400*VLOOKUP($B2400,Premissas!$A$4:$E$7,4,0)+L2400*VLOOKUP($B2400,Premissas!$A$4:$E$7,5,0))</f>
        <v/>
      </c>
      <c r="N2400" s="14">
        <f>H2400-M2400</f>
        <v/>
      </c>
      <c r="O2400" t="inlineStr">
        <is>
          <t>Não</t>
        </is>
      </c>
      <c r="P2400" t="inlineStr">
        <is>
          <t>1.350</t>
        </is>
      </c>
    </row>
    <row r="2401">
      <c r="A2401" s="24" t="n">
        <v>46054</v>
      </c>
      <c r="B2401" t="inlineStr">
        <is>
          <t>Frete de venda</t>
        </is>
      </c>
      <c r="C2401" t="inlineStr">
        <is>
          <t>Frete de venda (para clientes)</t>
        </is>
      </c>
      <c r="D2401" t="inlineStr">
        <is>
          <t>CT-e</t>
        </is>
      </c>
      <c r="E2401" t="inlineStr">
        <is>
          <t>000006345</t>
        </is>
      </c>
      <c r="F2401" t="inlineStr">
        <is>
          <t>R&amp;R TRANSPORTE E LOGISTICA</t>
        </is>
      </c>
      <c r="G2401" s="27" t="n">
        <v>46066</v>
      </c>
      <c r="H2401" s="14" t="n">
        <v>19.26</v>
      </c>
      <c r="I2401" s="14" t="n">
        <v>0</v>
      </c>
      <c r="J2401" s="14" t="n">
        <v>0</v>
      </c>
      <c r="K2401" s="14" t="n">
        <v>0</v>
      </c>
      <c r="L2401" s="14" t="n">
        <v>0</v>
      </c>
      <c r="M2401" s="14">
        <f>IF(B2401="Frete de venda",0,(1-ISNUMBER(SEARCH("556",P2401)))*(I2401*VLOOKUP($B2401,Premissas!$A$4:$E$7,2,0)+J2401*VLOOKUP($B2401,Premissas!$A$4:$E$7,3,0))+K2401*VLOOKUP($B2401,Premissas!$A$4:$E$7,4,0)+L2401*VLOOKUP($B2401,Premissas!$A$4:$E$7,5,0))</f>
        <v/>
      </c>
      <c r="N2401" s="14">
        <f>H2401-M2401</f>
        <v/>
      </c>
      <c r="O2401" t="inlineStr">
        <is>
          <t>Não</t>
        </is>
      </c>
      <c r="P2401" t="inlineStr">
        <is>
          <t>1.350</t>
        </is>
      </c>
    </row>
    <row r="2402">
      <c r="A2402" s="24" t="n">
        <v>46054</v>
      </c>
      <c r="B2402" t="inlineStr">
        <is>
          <t>Frete de venda</t>
        </is>
      </c>
      <c r="C2402" t="inlineStr">
        <is>
          <t>Frete de venda (para clientes)</t>
        </is>
      </c>
      <c r="D2402" t="inlineStr">
        <is>
          <t>CT-e</t>
        </is>
      </c>
      <c r="E2402" t="inlineStr">
        <is>
          <t>001408564</t>
        </is>
      </c>
      <c r="F2402" t="inlineStr">
        <is>
          <t>PICCOLI TRANSPORTES LTDA</t>
        </is>
      </c>
      <c r="G2402" s="27" t="n">
        <v>46065</v>
      </c>
      <c r="H2402" s="14" t="n">
        <v>658.46</v>
      </c>
      <c r="I2402" s="14" t="n">
        <v>0</v>
      </c>
      <c r="J2402" s="14" t="n">
        <v>46.09</v>
      </c>
      <c r="K2402" s="14" t="n">
        <v>0</v>
      </c>
      <c r="L2402" s="14" t="n">
        <v>0</v>
      </c>
      <c r="M2402" s="14">
        <f>IF(B2402="Frete de venda",0,(1-ISNUMBER(SEARCH("556",P2402)))*(I2402*VLOOKUP($B2402,Premissas!$A$4:$E$7,2,0)+J2402*VLOOKUP($B2402,Premissas!$A$4:$E$7,3,0))+K2402*VLOOKUP($B2402,Premissas!$A$4:$E$7,4,0)+L2402*VLOOKUP($B2402,Premissas!$A$4:$E$7,5,0))</f>
        <v/>
      </c>
      <c r="N2402" s="14">
        <f>H2402-M2402</f>
        <v/>
      </c>
      <c r="O2402" t="inlineStr">
        <is>
          <t>Sim</t>
        </is>
      </c>
      <c r="P2402" t="inlineStr">
        <is>
          <t>1.350</t>
        </is>
      </c>
    </row>
    <row r="2403">
      <c r="A2403" s="24" t="n">
        <v>46054</v>
      </c>
      <c r="B2403" t="inlineStr">
        <is>
          <t>Frete de venda</t>
        </is>
      </c>
      <c r="C2403" t="inlineStr">
        <is>
          <t>Frete de venda (para clientes)</t>
        </is>
      </c>
      <c r="D2403" t="inlineStr">
        <is>
          <t>CT-e</t>
        </is>
      </c>
      <c r="E2403" t="inlineStr">
        <is>
          <t>000006339</t>
        </is>
      </c>
      <c r="F2403" t="inlineStr">
        <is>
          <t>R&amp;R TRANSPORTE E LOGISTICA</t>
        </is>
      </c>
      <c r="G2403" s="27" t="n">
        <v>46064</v>
      </c>
      <c r="H2403" s="14" t="n">
        <v>1000</v>
      </c>
      <c r="I2403" s="14" t="n">
        <v>0</v>
      </c>
      <c r="J2403" s="14" t="n">
        <v>0</v>
      </c>
      <c r="K2403" s="14" t="n">
        <v>0</v>
      </c>
      <c r="L2403" s="14" t="n">
        <v>0</v>
      </c>
      <c r="M2403" s="14">
        <f>IF(B2403="Frete de venda",0,(1-ISNUMBER(SEARCH("556",P2403)))*(I2403*VLOOKUP($B2403,Premissas!$A$4:$E$7,2,0)+J2403*VLOOKUP($B2403,Premissas!$A$4:$E$7,3,0))+K2403*VLOOKUP($B2403,Premissas!$A$4:$E$7,4,0)+L2403*VLOOKUP($B2403,Premissas!$A$4:$E$7,5,0))</f>
        <v/>
      </c>
      <c r="N2403" s="14">
        <f>H2403-M2403</f>
        <v/>
      </c>
      <c r="O2403" t="inlineStr">
        <is>
          <t>Sim</t>
        </is>
      </c>
      <c r="P2403" t="inlineStr">
        <is>
          <t>1.350</t>
        </is>
      </c>
    </row>
    <row r="2404">
      <c r="A2404" s="24" t="n">
        <v>46054</v>
      </c>
      <c r="B2404" t="inlineStr">
        <is>
          <t>Frete de venda</t>
        </is>
      </c>
      <c r="C2404" t="inlineStr">
        <is>
          <t>Frete de venda (para clientes)</t>
        </is>
      </c>
      <c r="D2404" t="inlineStr">
        <is>
          <t>CT-e</t>
        </is>
      </c>
      <c r="E2404" t="inlineStr">
        <is>
          <t>000006322</t>
        </is>
      </c>
      <c r="F2404" t="inlineStr">
        <is>
          <t>R&amp;R TRANSPORTE E LOGISTICA</t>
        </is>
      </c>
      <c r="G2404" s="27" t="n">
        <v>46060</v>
      </c>
      <c r="H2404" s="14" t="n">
        <v>69.05</v>
      </c>
      <c r="I2404" s="14" t="n">
        <v>0</v>
      </c>
      <c r="J2404" s="14" t="n">
        <v>0</v>
      </c>
      <c r="K2404" s="14" t="n">
        <v>0</v>
      </c>
      <c r="L2404" s="14" t="n">
        <v>0</v>
      </c>
      <c r="M2404" s="14">
        <f>IF(B2404="Frete de venda",0,(1-ISNUMBER(SEARCH("556",P2404)))*(I2404*VLOOKUP($B2404,Premissas!$A$4:$E$7,2,0)+J2404*VLOOKUP($B2404,Premissas!$A$4:$E$7,3,0))+K2404*VLOOKUP($B2404,Premissas!$A$4:$E$7,4,0)+L2404*VLOOKUP($B2404,Premissas!$A$4:$E$7,5,0))</f>
        <v/>
      </c>
      <c r="N2404" s="14">
        <f>H2404-M2404</f>
        <v/>
      </c>
      <c r="O2404" t="inlineStr">
        <is>
          <t>Não</t>
        </is>
      </c>
      <c r="P2404" t="inlineStr">
        <is>
          <t>1.350</t>
        </is>
      </c>
    </row>
    <row r="2405">
      <c r="A2405" s="24" t="n">
        <v>46054</v>
      </c>
      <c r="B2405" t="inlineStr">
        <is>
          <t>Frete de venda</t>
        </is>
      </c>
      <c r="C2405" t="inlineStr">
        <is>
          <t>Frete de venda (para clientes)</t>
        </is>
      </c>
      <c r="D2405" t="inlineStr">
        <is>
          <t>CT-e</t>
        </is>
      </c>
      <c r="E2405" t="inlineStr">
        <is>
          <t>000006371</t>
        </is>
      </c>
      <c r="F2405" t="inlineStr">
        <is>
          <t>R&amp;R TRANSPORTE E LOGISTICA</t>
        </is>
      </c>
      <c r="G2405" s="27" t="n">
        <v>46067</v>
      </c>
      <c r="H2405" s="14" t="n">
        <v>75.56</v>
      </c>
      <c r="I2405" s="14" t="n">
        <v>0</v>
      </c>
      <c r="J2405" s="14" t="n">
        <v>0</v>
      </c>
      <c r="K2405" s="14" t="n">
        <v>0</v>
      </c>
      <c r="L2405" s="14" t="n">
        <v>0</v>
      </c>
      <c r="M2405" s="14">
        <f>IF(B2405="Frete de venda",0,(1-ISNUMBER(SEARCH("556",P2405)))*(I2405*VLOOKUP($B2405,Premissas!$A$4:$E$7,2,0)+J2405*VLOOKUP($B2405,Premissas!$A$4:$E$7,3,0))+K2405*VLOOKUP($B2405,Premissas!$A$4:$E$7,4,0)+L2405*VLOOKUP($B2405,Premissas!$A$4:$E$7,5,0))</f>
        <v/>
      </c>
      <c r="N2405" s="14">
        <f>H2405-M2405</f>
        <v/>
      </c>
      <c r="O2405" t="inlineStr">
        <is>
          <t>Não</t>
        </is>
      </c>
      <c r="P2405" t="inlineStr">
        <is>
          <t>1.350</t>
        </is>
      </c>
    </row>
    <row r="2406">
      <c r="A2406" s="24" t="n">
        <v>46054</v>
      </c>
      <c r="B2406" t="inlineStr">
        <is>
          <t>Frete de venda</t>
        </is>
      </c>
      <c r="C2406" t="inlineStr">
        <is>
          <t>Frete de venda (para clientes)</t>
        </is>
      </c>
      <c r="D2406" t="inlineStr">
        <is>
          <t>CT-e</t>
        </is>
      </c>
      <c r="E2406" t="inlineStr">
        <is>
          <t>000006374</t>
        </is>
      </c>
      <c r="F2406" t="inlineStr">
        <is>
          <t>R&amp;R TRANSPORTE E LOGISTICA</t>
        </is>
      </c>
      <c r="G2406" s="27" t="n">
        <v>46067</v>
      </c>
      <c r="H2406" s="14" t="n">
        <v>36.55</v>
      </c>
      <c r="I2406" s="14" t="n">
        <v>0</v>
      </c>
      <c r="J2406" s="14" t="n">
        <v>0</v>
      </c>
      <c r="K2406" s="14" t="n">
        <v>0</v>
      </c>
      <c r="L2406" s="14" t="n">
        <v>0</v>
      </c>
      <c r="M2406" s="14">
        <f>IF(B2406="Frete de venda",0,(1-ISNUMBER(SEARCH("556",P2406)))*(I2406*VLOOKUP($B2406,Premissas!$A$4:$E$7,2,0)+J2406*VLOOKUP($B2406,Premissas!$A$4:$E$7,3,0))+K2406*VLOOKUP($B2406,Premissas!$A$4:$E$7,4,0)+L2406*VLOOKUP($B2406,Premissas!$A$4:$E$7,5,0))</f>
        <v/>
      </c>
      <c r="N2406" s="14">
        <f>H2406-M2406</f>
        <v/>
      </c>
      <c r="O2406" t="inlineStr">
        <is>
          <t>Não</t>
        </is>
      </c>
      <c r="P2406" t="inlineStr">
        <is>
          <t>1.350</t>
        </is>
      </c>
    </row>
    <row r="2407">
      <c r="A2407" s="24" t="n">
        <v>46054</v>
      </c>
      <c r="B2407" t="inlineStr">
        <is>
          <t>Frete de venda</t>
        </is>
      </c>
      <c r="C2407" t="inlineStr">
        <is>
          <t>Frete de venda (para clientes)</t>
        </is>
      </c>
      <c r="D2407" t="inlineStr">
        <is>
          <t>CT-e</t>
        </is>
      </c>
      <c r="E2407" t="inlineStr">
        <is>
          <t>000006338</t>
        </is>
      </c>
      <c r="F2407" t="inlineStr">
        <is>
          <t>R&amp;R TRANSPORTE E LOGISTICA</t>
        </is>
      </c>
      <c r="G2407" s="27" t="n">
        <v>46064</v>
      </c>
      <c r="H2407" s="14" t="n">
        <v>1000</v>
      </c>
      <c r="I2407" s="14" t="n">
        <v>0</v>
      </c>
      <c r="J2407" s="14" t="n">
        <v>0</v>
      </c>
      <c r="K2407" s="14" t="n">
        <v>0</v>
      </c>
      <c r="L2407" s="14" t="n">
        <v>0</v>
      </c>
      <c r="M2407" s="14">
        <f>IF(B2407="Frete de venda",0,(1-ISNUMBER(SEARCH("556",P2407)))*(I2407*VLOOKUP($B2407,Premissas!$A$4:$E$7,2,0)+J2407*VLOOKUP($B2407,Premissas!$A$4:$E$7,3,0))+K2407*VLOOKUP($B2407,Premissas!$A$4:$E$7,4,0)+L2407*VLOOKUP($B2407,Premissas!$A$4:$E$7,5,0))</f>
        <v/>
      </c>
      <c r="N2407" s="14">
        <f>H2407-M2407</f>
        <v/>
      </c>
      <c r="O2407" t="inlineStr">
        <is>
          <t>Sim</t>
        </is>
      </c>
      <c r="P2407" t="inlineStr">
        <is>
          <t>1.350</t>
        </is>
      </c>
    </row>
    <row r="2408">
      <c r="A2408" s="24" t="n">
        <v>46054</v>
      </c>
      <c r="B2408" t="inlineStr">
        <is>
          <t>Frete de venda</t>
        </is>
      </c>
      <c r="C2408" t="inlineStr">
        <is>
          <t>Frete de venda (para clientes)</t>
        </is>
      </c>
      <c r="D2408" t="inlineStr">
        <is>
          <t>CT-e</t>
        </is>
      </c>
      <c r="E2408" t="inlineStr">
        <is>
          <t>000006362</t>
        </is>
      </c>
      <c r="F2408" t="inlineStr">
        <is>
          <t>R&amp;R TRANSPORTE E LOGISTICA</t>
        </is>
      </c>
      <c r="G2408" s="27" t="n">
        <v>46066</v>
      </c>
      <c r="H2408" s="14" t="n">
        <v>13.85</v>
      </c>
      <c r="I2408" s="14" t="n">
        <v>0</v>
      </c>
      <c r="J2408" s="14" t="n">
        <v>0</v>
      </c>
      <c r="K2408" s="14" t="n">
        <v>0</v>
      </c>
      <c r="L2408" s="14" t="n">
        <v>0</v>
      </c>
      <c r="M2408" s="14">
        <f>IF(B2408="Frete de venda",0,(1-ISNUMBER(SEARCH("556",P2408)))*(I2408*VLOOKUP($B2408,Premissas!$A$4:$E$7,2,0)+J2408*VLOOKUP($B2408,Premissas!$A$4:$E$7,3,0))+K2408*VLOOKUP($B2408,Premissas!$A$4:$E$7,4,0)+L2408*VLOOKUP($B2408,Premissas!$A$4:$E$7,5,0))</f>
        <v/>
      </c>
      <c r="N2408" s="14">
        <f>H2408-M2408</f>
        <v/>
      </c>
      <c r="O2408" t="inlineStr">
        <is>
          <t>Não</t>
        </is>
      </c>
      <c r="P2408" t="inlineStr">
        <is>
          <t>1.350</t>
        </is>
      </c>
    </row>
    <row r="2409">
      <c r="A2409" s="24" t="n">
        <v>46054</v>
      </c>
      <c r="B2409" t="inlineStr">
        <is>
          <t>Frete de venda</t>
        </is>
      </c>
      <c r="C2409" t="inlineStr">
        <is>
          <t>Frete de venda (para clientes)</t>
        </is>
      </c>
      <c r="D2409" t="inlineStr">
        <is>
          <t>CT-e</t>
        </is>
      </c>
      <c r="E2409" t="inlineStr">
        <is>
          <t>000006354</t>
        </is>
      </c>
      <c r="F2409" t="inlineStr">
        <is>
          <t>R&amp;R TRANSPORTE E LOGISTICA</t>
        </is>
      </c>
      <c r="G2409" s="27" t="n">
        <v>46066</v>
      </c>
      <c r="H2409" s="14" t="n">
        <v>24.43</v>
      </c>
      <c r="I2409" s="14" t="n">
        <v>0</v>
      </c>
      <c r="J2409" s="14" t="n">
        <v>0</v>
      </c>
      <c r="K2409" s="14" t="n">
        <v>0</v>
      </c>
      <c r="L2409" s="14" t="n">
        <v>0</v>
      </c>
      <c r="M2409" s="14">
        <f>IF(B2409="Frete de venda",0,(1-ISNUMBER(SEARCH("556",P2409)))*(I2409*VLOOKUP($B2409,Premissas!$A$4:$E$7,2,0)+J2409*VLOOKUP($B2409,Premissas!$A$4:$E$7,3,0))+K2409*VLOOKUP($B2409,Premissas!$A$4:$E$7,4,0)+L2409*VLOOKUP($B2409,Premissas!$A$4:$E$7,5,0))</f>
        <v/>
      </c>
      <c r="N2409" s="14">
        <f>H2409-M2409</f>
        <v/>
      </c>
      <c r="O2409" t="inlineStr">
        <is>
          <t>Não</t>
        </is>
      </c>
      <c r="P2409" t="inlineStr">
        <is>
          <t>1.350</t>
        </is>
      </c>
    </row>
    <row r="2410">
      <c r="A2410" s="24" t="n">
        <v>46054</v>
      </c>
      <c r="B2410" t="inlineStr">
        <is>
          <t>Frete de venda</t>
        </is>
      </c>
      <c r="C2410" t="inlineStr">
        <is>
          <t>Frete de venda (para clientes)</t>
        </is>
      </c>
      <c r="D2410" t="inlineStr">
        <is>
          <t>CT-e</t>
        </is>
      </c>
      <c r="E2410" t="inlineStr">
        <is>
          <t>000006313</t>
        </is>
      </c>
      <c r="F2410" t="inlineStr">
        <is>
          <t>R&amp;R TRANSPORTE E LOGISTICA</t>
        </is>
      </c>
      <c r="G2410" s="27" t="n">
        <v>46058</v>
      </c>
      <c r="H2410" s="14" t="n">
        <v>159.01</v>
      </c>
      <c r="I2410" s="14" t="n">
        <v>0</v>
      </c>
      <c r="J2410" s="14" t="n">
        <v>0</v>
      </c>
      <c r="K2410" s="14" t="n">
        <v>0</v>
      </c>
      <c r="L2410" s="14" t="n">
        <v>0</v>
      </c>
      <c r="M2410" s="14">
        <f>IF(B2410="Frete de venda",0,(1-ISNUMBER(SEARCH("556",P2410)))*(I2410*VLOOKUP($B2410,Premissas!$A$4:$E$7,2,0)+J2410*VLOOKUP($B2410,Premissas!$A$4:$E$7,3,0))+K2410*VLOOKUP($B2410,Premissas!$A$4:$E$7,4,0)+L2410*VLOOKUP($B2410,Premissas!$A$4:$E$7,5,0))</f>
        <v/>
      </c>
      <c r="N2410" s="14">
        <f>H2410-M2410</f>
        <v/>
      </c>
      <c r="O2410" t="inlineStr">
        <is>
          <t>Não</t>
        </is>
      </c>
      <c r="P2410" t="inlineStr">
        <is>
          <t>1.350</t>
        </is>
      </c>
    </row>
    <row r="2411">
      <c r="A2411" s="24" t="n">
        <v>46054</v>
      </c>
      <c r="B2411" t="inlineStr">
        <is>
          <t>Frete de venda</t>
        </is>
      </c>
      <c r="C2411" t="inlineStr">
        <is>
          <t>Frete de venda (para clientes)</t>
        </is>
      </c>
      <c r="D2411" t="inlineStr">
        <is>
          <t>CT-e</t>
        </is>
      </c>
      <c r="E2411" t="inlineStr">
        <is>
          <t>000006413</t>
        </is>
      </c>
      <c r="F2411" t="inlineStr">
        <is>
          <t>R&amp;R TRANSPORTE E LOGISTICA</t>
        </is>
      </c>
      <c r="G2411" s="27" t="n">
        <v>46074</v>
      </c>
      <c r="H2411" s="14" t="n">
        <v>13.29</v>
      </c>
      <c r="I2411" s="14" t="n">
        <v>0</v>
      </c>
      <c r="J2411" s="14" t="n">
        <v>0</v>
      </c>
      <c r="K2411" s="14" t="n">
        <v>0</v>
      </c>
      <c r="L2411" s="14" t="n">
        <v>0</v>
      </c>
      <c r="M2411" s="14">
        <f>IF(B2411="Frete de venda",0,(1-ISNUMBER(SEARCH("556",P2411)))*(I2411*VLOOKUP($B2411,Premissas!$A$4:$E$7,2,0)+J2411*VLOOKUP($B2411,Premissas!$A$4:$E$7,3,0))+K2411*VLOOKUP($B2411,Premissas!$A$4:$E$7,4,0)+L2411*VLOOKUP($B2411,Premissas!$A$4:$E$7,5,0))</f>
        <v/>
      </c>
      <c r="N2411" s="14">
        <f>H2411-M2411</f>
        <v/>
      </c>
      <c r="O2411" t="inlineStr">
        <is>
          <t>Não</t>
        </is>
      </c>
      <c r="P2411" t="inlineStr">
        <is>
          <t>1.350</t>
        </is>
      </c>
    </row>
    <row r="2412">
      <c r="A2412" s="24" t="n">
        <v>46054</v>
      </c>
      <c r="B2412" t="inlineStr">
        <is>
          <t>Frete de venda</t>
        </is>
      </c>
      <c r="C2412" t="inlineStr">
        <is>
          <t>Frete de venda (para clientes)</t>
        </is>
      </c>
      <c r="D2412" t="inlineStr">
        <is>
          <t>CT-e</t>
        </is>
      </c>
      <c r="E2412" t="inlineStr">
        <is>
          <t>000006436</t>
        </is>
      </c>
      <c r="F2412" t="inlineStr">
        <is>
          <t>R&amp;R TRANSPORTE E LOGISTICA</t>
        </is>
      </c>
      <c r="G2412" s="27" t="n">
        <v>46078</v>
      </c>
      <c r="H2412" s="14" t="n">
        <v>65.34999999999999</v>
      </c>
      <c r="I2412" s="14" t="n">
        <v>0</v>
      </c>
      <c r="J2412" s="14" t="n">
        <v>0</v>
      </c>
      <c r="K2412" s="14" t="n">
        <v>0</v>
      </c>
      <c r="L2412" s="14" t="n">
        <v>0</v>
      </c>
      <c r="M2412" s="14">
        <f>IF(B2412="Frete de venda",0,(1-ISNUMBER(SEARCH("556",P2412)))*(I2412*VLOOKUP($B2412,Premissas!$A$4:$E$7,2,0)+J2412*VLOOKUP($B2412,Premissas!$A$4:$E$7,3,0))+K2412*VLOOKUP($B2412,Premissas!$A$4:$E$7,4,0)+L2412*VLOOKUP($B2412,Premissas!$A$4:$E$7,5,0))</f>
        <v/>
      </c>
      <c r="N2412" s="14">
        <f>H2412-M2412</f>
        <v/>
      </c>
      <c r="O2412" t="inlineStr">
        <is>
          <t>Não</t>
        </is>
      </c>
      <c r="P2412" t="inlineStr">
        <is>
          <t>1.350</t>
        </is>
      </c>
    </row>
    <row r="2413">
      <c r="A2413" s="24" t="n">
        <v>46054</v>
      </c>
      <c r="B2413" t="inlineStr">
        <is>
          <t>Frete de venda</t>
        </is>
      </c>
      <c r="C2413" t="inlineStr">
        <is>
          <t>Frete de venda (para clientes)</t>
        </is>
      </c>
      <c r="D2413" t="inlineStr">
        <is>
          <t>CT-e</t>
        </is>
      </c>
      <c r="E2413" t="inlineStr">
        <is>
          <t>000023994</t>
        </is>
      </c>
      <c r="F2413" t="inlineStr">
        <is>
          <t>TRANSPORTE OLIVEIRA E MELLOI - IDEALIZA TRANSPORTES</t>
        </is>
      </c>
      <c r="G2413" s="27" t="n">
        <v>46080</v>
      </c>
      <c r="H2413" s="14" t="n">
        <v>973.55</v>
      </c>
      <c r="I2413" s="14" t="n">
        <v>0</v>
      </c>
      <c r="J2413" s="14" t="n">
        <v>116.83</v>
      </c>
      <c r="K2413" s="14" t="n">
        <v>0</v>
      </c>
      <c r="L2413" s="14" t="n">
        <v>0</v>
      </c>
      <c r="M2413" s="14">
        <f>IF(B2413="Frete de venda",0,(1-ISNUMBER(SEARCH("556",P2413)))*(I2413*VLOOKUP($B2413,Premissas!$A$4:$E$7,2,0)+J2413*VLOOKUP($B2413,Premissas!$A$4:$E$7,3,0))+K2413*VLOOKUP($B2413,Premissas!$A$4:$E$7,4,0)+L2413*VLOOKUP($B2413,Premissas!$A$4:$E$7,5,0))</f>
        <v/>
      </c>
      <c r="N2413" s="14">
        <f>H2413-M2413</f>
        <v/>
      </c>
      <c r="O2413" t="inlineStr">
        <is>
          <t>Sim</t>
        </is>
      </c>
      <c r="P2413" t="inlineStr">
        <is>
          <t>1.350</t>
        </is>
      </c>
    </row>
    <row r="2414">
      <c r="A2414" s="24" t="n">
        <v>46054</v>
      </c>
      <c r="B2414" t="inlineStr">
        <is>
          <t>Frete de venda</t>
        </is>
      </c>
      <c r="C2414" t="inlineStr">
        <is>
          <t>Frete de venda (para clientes)</t>
        </is>
      </c>
      <c r="D2414" t="inlineStr">
        <is>
          <t>CT-e</t>
        </is>
      </c>
      <c r="E2414" t="inlineStr">
        <is>
          <t>000006370</t>
        </is>
      </c>
      <c r="F2414" t="inlineStr">
        <is>
          <t>R&amp;R TRANSPORTE E LOGISTICA</t>
        </is>
      </c>
      <c r="G2414" s="27" t="n">
        <v>46067</v>
      </c>
      <c r="H2414" s="14" t="n">
        <v>30.3</v>
      </c>
      <c r="I2414" s="14" t="n">
        <v>0</v>
      </c>
      <c r="J2414" s="14" t="n">
        <v>0</v>
      </c>
      <c r="K2414" s="14" t="n">
        <v>0</v>
      </c>
      <c r="L2414" s="14" t="n">
        <v>0</v>
      </c>
      <c r="M2414" s="14">
        <f>IF(B2414="Frete de venda",0,(1-ISNUMBER(SEARCH("556",P2414)))*(I2414*VLOOKUP($B2414,Premissas!$A$4:$E$7,2,0)+J2414*VLOOKUP($B2414,Premissas!$A$4:$E$7,3,0))+K2414*VLOOKUP($B2414,Premissas!$A$4:$E$7,4,0)+L2414*VLOOKUP($B2414,Premissas!$A$4:$E$7,5,0))</f>
        <v/>
      </c>
      <c r="N2414" s="14">
        <f>H2414-M2414</f>
        <v/>
      </c>
      <c r="O2414" t="inlineStr">
        <is>
          <t>Não</t>
        </is>
      </c>
      <c r="P2414" t="inlineStr">
        <is>
          <t>1.350</t>
        </is>
      </c>
    </row>
    <row r="2415">
      <c r="A2415" s="24" t="n">
        <v>46054</v>
      </c>
      <c r="B2415" t="inlineStr">
        <is>
          <t>Frete de venda</t>
        </is>
      </c>
      <c r="C2415" t="inlineStr">
        <is>
          <t>Frete de venda (para clientes)</t>
        </is>
      </c>
      <c r="D2415" t="inlineStr">
        <is>
          <t>CT-e</t>
        </is>
      </c>
      <c r="E2415" t="inlineStr">
        <is>
          <t>000023995</t>
        </is>
      </c>
      <c r="F2415" t="inlineStr">
        <is>
          <t>TRANSPORTE OLIVEIRA E MELLOI - IDEALIZA TRANSPORTES</t>
        </is>
      </c>
      <c r="G2415" s="27" t="n">
        <v>46080</v>
      </c>
      <c r="H2415" s="14" t="n">
        <v>363.93</v>
      </c>
      <c r="I2415" s="14" t="n">
        <v>0</v>
      </c>
      <c r="J2415" s="14" t="n">
        <v>43.67</v>
      </c>
      <c r="K2415" s="14" t="n">
        <v>0</v>
      </c>
      <c r="L2415" s="14" t="n">
        <v>0</v>
      </c>
      <c r="M2415" s="14">
        <f>IF(B2415="Frete de venda",0,(1-ISNUMBER(SEARCH("556",P2415)))*(I2415*VLOOKUP($B2415,Premissas!$A$4:$E$7,2,0)+J2415*VLOOKUP($B2415,Premissas!$A$4:$E$7,3,0))+K2415*VLOOKUP($B2415,Premissas!$A$4:$E$7,4,0)+L2415*VLOOKUP($B2415,Premissas!$A$4:$E$7,5,0))</f>
        <v/>
      </c>
      <c r="N2415" s="14">
        <f>H2415-M2415</f>
        <v/>
      </c>
      <c r="O2415" t="inlineStr">
        <is>
          <t>Sim</t>
        </is>
      </c>
      <c r="P2415" t="inlineStr">
        <is>
          <t>1.350</t>
        </is>
      </c>
    </row>
    <row r="2416">
      <c r="A2416" s="24" t="n">
        <v>46054</v>
      </c>
      <c r="B2416" t="inlineStr">
        <is>
          <t>Frete de venda</t>
        </is>
      </c>
      <c r="C2416" t="inlineStr">
        <is>
          <t>Frete de venda (para clientes)</t>
        </is>
      </c>
      <c r="D2416" t="inlineStr">
        <is>
          <t>CT-e</t>
        </is>
      </c>
      <c r="E2416" t="inlineStr">
        <is>
          <t>000006404</t>
        </is>
      </c>
      <c r="F2416" t="inlineStr">
        <is>
          <t>R&amp;R TRANSPORTE E LOGISTICA</t>
        </is>
      </c>
      <c r="G2416" s="27" t="n">
        <v>46072</v>
      </c>
      <c r="H2416" s="14" t="n">
        <v>425.52</v>
      </c>
      <c r="I2416" s="14" t="n">
        <v>0</v>
      </c>
      <c r="J2416" s="14" t="n">
        <v>0</v>
      </c>
      <c r="K2416" s="14" t="n">
        <v>0</v>
      </c>
      <c r="L2416" s="14" t="n">
        <v>0</v>
      </c>
      <c r="M2416" s="14">
        <f>IF(B2416="Frete de venda",0,(1-ISNUMBER(SEARCH("556",P2416)))*(I2416*VLOOKUP($B2416,Premissas!$A$4:$E$7,2,0)+J2416*VLOOKUP($B2416,Premissas!$A$4:$E$7,3,0))+K2416*VLOOKUP($B2416,Premissas!$A$4:$E$7,4,0)+L2416*VLOOKUP($B2416,Premissas!$A$4:$E$7,5,0))</f>
        <v/>
      </c>
      <c r="N2416" s="14">
        <f>H2416-M2416</f>
        <v/>
      </c>
      <c r="O2416" t="inlineStr">
        <is>
          <t>Não</t>
        </is>
      </c>
      <c r="P2416" t="inlineStr">
        <is>
          <t>1.350</t>
        </is>
      </c>
    </row>
    <row r="2417">
      <c r="A2417" s="24" t="n">
        <v>46054</v>
      </c>
      <c r="B2417" t="inlineStr">
        <is>
          <t>Frete de venda</t>
        </is>
      </c>
      <c r="C2417" t="inlineStr">
        <is>
          <t>Frete de venda (para clientes)</t>
        </is>
      </c>
      <c r="D2417" t="inlineStr">
        <is>
          <t>CT-e</t>
        </is>
      </c>
      <c r="E2417" t="inlineStr">
        <is>
          <t>000006432</t>
        </is>
      </c>
      <c r="F2417" t="inlineStr">
        <is>
          <t>R&amp;R TRANSPORTE E LOGISTICA</t>
        </is>
      </c>
      <c r="G2417" s="27" t="n">
        <v>46077</v>
      </c>
      <c r="H2417" s="14" t="n">
        <v>257.07</v>
      </c>
      <c r="I2417" s="14" t="n">
        <v>0</v>
      </c>
      <c r="J2417" s="14" t="n">
        <v>0</v>
      </c>
      <c r="K2417" s="14" t="n">
        <v>0</v>
      </c>
      <c r="L2417" s="14" t="n">
        <v>0</v>
      </c>
      <c r="M2417" s="14">
        <f>IF(B2417="Frete de venda",0,(1-ISNUMBER(SEARCH("556",P2417)))*(I2417*VLOOKUP($B2417,Premissas!$A$4:$E$7,2,0)+J2417*VLOOKUP($B2417,Premissas!$A$4:$E$7,3,0))+K2417*VLOOKUP($B2417,Premissas!$A$4:$E$7,4,0)+L2417*VLOOKUP($B2417,Premissas!$A$4:$E$7,5,0))</f>
        <v/>
      </c>
      <c r="N2417" s="14">
        <f>H2417-M2417</f>
        <v/>
      </c>
      <c r="O2417" t="inlineStr">
        <is>
          <t>Não</t>
        </is>
      </c>
      <c r="P2417" t="inlineStr">
        <is>
          <t>1.350</t>
        </is>
      </c>
    </row>
    <row r="2418">
      <c r="A2418" s="24" t="n">
        <v>46054</v>
      </c>
      <c r="B2418" t="inlineStr">
        <is>
          <t>Frete de venda</t>
        </is>
      </c>
      <c r="C2418" t="inlineStr">
        <is>
          <t>Frete de venda (para clientes)</t>
        </is>
      </c>
      <c r="D2418" t="inlineStr">
        <is>
          <t>CT-e</t>
        </is>
      </c>
      <c r="E2418" t="inlineStr">
        <is>
          <t>000006379</t>
        </is>
      </c>
      <c r="F2418" t="inlineStr">
        <is>
          <t>R&amp;R TRANSPORTE E LOGISTICA</t>
        </is>
      </c>
      <c r="G2418" s="27" t="n">
        <v>46067</v>
      </c>
      <c r="H2418" s="14" t="n">
        <v>57.81</v>
      </c>
      <c r="I2418" s="14" t="n">
        <v>0</v>
      </c>
      <c r="J2418" s="14" t="n">
        <v>0</v>
      </c>
      <c r="K2418" s="14" t="n">
        <v>0</v>
      </c>
      <c r="L2418" s="14" t="n">
        <v>0</v>
      </c>
      <c r="M2418" s="14">
        <f>IF(B2418="Frete de venda",0,(1-ISNUMBER(SEARCH("556",P2418)))*(I2418*VLOOKUP($B2418,Premissas!$A$4:$E$7,2,0)+J2418*VLOOKUP($B2418,Premissas!$A$4:$E$7,3,0))+K2418*VLOOKUP($B2418,Premissas!$A$4:$E$7,4,0)+L2418*VLOOKUP($B2418,Premissas!$A$4:$E$7,5,0))</f>
        <v/>
      </c>
      <c r="N2418" s="14">
        <f>H2418-M2418</f>
        <v/>
      </c>
      <c r="O2418" t="inlineStr">
        <is>
          <t>Não</t>
        </is>
      </c>
      <c r="P2418" t="inlineStr">
        <is>
          <t>1.350</t>
        </is>
      </c>
    </row>
    <row r="2419">
      <c r="A2419" s="24" t="n">
        <v>46054</v>
      </c>
      <c r="B2419" t="inlineStr">
        <is>
          <t>Frete de venda</t>
        </is>
      </c>
      <c r="C2419" t="inlineStr">
        <is>
          <t>Frete de venda (para clientes)</t>
        </is>
      </c>
      <c r="D2419" t="inlineStr">
        <is>
          <t>CT-e</t>
        </is>
      </c>
      <c r="E2419" t="inlineStr">
        <is>
          <t>000006326</t>
        </is>
      </c>
      <c r="F2419" t="inlineStr">
        <is>
          <t>R&amp;R TRANSPORTE E LOGISTICA</t>
        </is>
      </c>
      <c r="G2419" s="27" t="n">
        <v>46060</v>
      </c>
      <c r="H2419" s="14" t="n">
        <v>69.05</v>
      </c>
      <c r="I2419" s="14" t="n">
        <v>0</v>
      </c>
      <c r="J2419" s="14" t="n">
        <v>0</v>
      </c>
      <c r="K2419" s="14" t="n">
        <v>0</v>
      </c>
      <c r="L2419" s="14" t="n">
        <v>0</v>
      </c>
      <c r="M2419" s="14">
        <f>IF(B2419="Frete de venda",0,(1-ISNUMBER(SEARCH("556",P2419)))*(I2419*VLOOKUP($B2419,Premissas!$A$4:$E$7,2,0)+J2419*VLOOKUP($B2419,Premissas!$A$4:$E$7,3,0))+K2419*VLOOKUP($B2419,Premissas!$A$4:$E$7,4,0)+L2419*VLOOKUP($B2419,Premissas!$A$4:$E$7,5,0))</f>
        <v/>
      </c>
      <c r="N2419" s="14">
        <f>H2419-M2419</f>
        <v/>
      </c>
      <c r="O2419" t="inlineStr">
        <is>
          <t>Não</t>
        </is>
      </c>
      <c r="P2419" t="inlineStr">
        <is>
          <t>1.350</t>
        </is>
      </c>
    </row>
    <row r="2420">
      <c r="A2420" s="24" t="n">
        <v>46054</v>
      </c>
      <c r="B2420" t="inlineStr">
        <is>
          <t>Frete de venda</t>
        </is>
      </c>
      <c r="C2420" t="inlineStr">
        <is>
          <t>Frete de venda (para clientes)</t>
        </is>
      </c>
      <c r="D2420" t="inlineStr">
        <is>
          <t>CT-e</t>
        </is>
      </c>
      <c r="E2420" t="inlineStr">
        <is>
          <t>000006453</t>
        </is>
      </c>
      <c r="F2420" t="inlineStr">
        <is>
          <t>R&amp;R TRANSPORTE E LOGISTICA</t>
        </is>
      </c>
      <c r="G2420" s="27" t="n">
        <v>46080</v>
      </c>
      <c r="H2420" s="14" t="n">
        <v>78.81</v>
      </c>
      <c r="I2420" s="14" t="n">
        <v>0</v>
      </c>
      <c r="J2420" s="14" t="n">
        <v>0</v>
      </c>
      <c r="K2420" s="14" t="n">
        <v>0</v>
      </c>
      <c r="L2420" s="14" t="n">
        <v>0</v>
      </c>
      <c r="M2420" s="14">
        <f>IF(B2420="Frete de venda",0,(1-ISNUMBER(SEARCH("556",P2420)))*(I2420*VLOOKUP($B2420,Premissas!$A$4:$E$7,2,0)+J2420*VLOOKUP($B2420,Premissas!$A$4:$E$7,3,0))+K2420*VLOOKUP($B2420,Premissas!$A$4:$E$7,4,0)+L2420*VLOOKUP($B2420,Premissas!$A$4:$E$7,5,0))</f>
        <v/>
      </c>
      <c r="N2420" s="14">
        <f>H2420-M2420</f>
        <v/>
      </c>
      <c r="O2420" t="inlineStr">
        <is>
          <t>Não</t>
        </is>
      </c>
      <c r="P2420" t="inlineStr">
        <is>
          <t>1.350</t>
        </is>
      </c>
    </row>
    <row r="2421">
      <c r="A2421" s="24" t="n">
        <v>46054</v>
      </c>
      <c r="B2421" t="inlineStr">
        <is>
          <t>Frete de venda</t>
        </is>
      </c>
      <c r="C2421" t="inlineStr">
        <is>
          <t>Frete de venda (para clientes)</t>
        </is>
      </c>
      <c r="D2421" t="inlineStr">
        <is>
          <t>CT-e</t>
        </is>
      </c>
      <c r="E2421" t="inlineStr">
        <is>
          <t>000006414</t>
        </is>
      </c>
      <c r="F2421" t="inlineStr">
        <is>
          <t>R&amp;R TRANSPORTE E LOGISTICA</t>
        </is>
      </c>
      <c r="G2421" s="27" t="n">
        <v>46074</v>
      </c>
      <c r="H2421" s="14" t="n">
        <v>71.87</v>
      </c>
      <c r="I2421" s="14" t="n">
        <v>0</v>
      </c>
      <c r="J2421" s="14" t="n">
        <v>0</v>
      </c>
      <c r="K2421" s="14" t="n">
        <v>0</v>
      </c>
      <c r="L2421" s="14" t="n">
        <v>0</v>
      </c>
      <c r="M2421" s="14">
        <f>IF(B2421="Frete de venda",0,(1-ISNUMBER(SEARCH("556",P2421)))*(I2421*VLOOKUP($B2421,Premissas!$A$4:$E$7,2,0)+J2421*VLOOKUP($B2421,Premissas!$A$4:$E$7,3,0))+K2421*VLOOKUP($B2421,Premissas!$A$4:$E$7,4,0)+L2421*VLOOKUP($B2421,Premissas!$A$4:$E$7,5,0))</f>
        <v/>
      </c>
      <c r="N2421" s="14">
        <f>H2421-M2421</f>
        <v/>
      </c>
      <c r="O2421" t="inlineStr">
        <is>
          <t>Não</t>
        </is>
      </c>
      <c r="P2421" t="inlineStr">
        <is>
          <t>1.350</t>
        </is>
      </c>
    </row>
    <row r="2422">
      <c r="A2422" s="24" t="n">
        <v>46054</v>
      </c>
      <c r="B2422" t="inlineStr">
        <is>
          <t>Frete de venda</t>
        </is>
      </c>
      <c r="C2422" t="inlineStr">
        <is>
          <t>Frete de venda (para clientes)</t>
        </is>
      </c>
      <c r="D2422" t="inlineStr">
        <is>
          <t>CT-e</t>
        </is>
      </c>
      <c r="E2422" t="inlineStr">
        <is>
          <t>000006350</t>
        </is>
      </c>
      <c r="F2422" t="inlineStr">
        <is>
          <t>R&amp;R TRANSPORTE E LOGISTICA</t>
        </is>
      </c>
      <c r="G2422" s="27" t="n">
        <v>46066</v>
      </c>
      <c r="H2422" s="14" t="n">
        <v>19.93</v>
      </c>
      <c r="I2422" s="14" t="n">
        <v>0</v>
      </c>
      <c r="J2422" s="14" t="n">
        <v>0</v>
      </c>
      <c r="K2422" s="14" t="n">
        <v>0</v>
      </c>
      <c r="L2422" s="14" t="n">
        <v>0</v>
      </c>
      <c r="M2422" s="14">
        <f>IF(B2422="Frete de venda",0,(1-ISNUMBER(SEARCH("556",P2422)))*(I2422*VLOOKUP($B2422,Premissas!$A$4:$E$7,2,0)+J2422*VLOOKUP($B2422,Premissas!$A$4:$E$7,3,0))+K2422*VLOOKUP($B2422,Premissas!$A$4:$E$7,4,0)+L2422*VLOOKUP($B2422,Premissas!$A$4:$E$7,5,0))</f>
        <v/>
      </c>
      <c r="N2422" s="14">
        <f>H2422-M2422</f>
        <v/>
      </c>
      <c r="O2422" t="inlineStr">
        <is>
          <t>Não</t>
        </is>
      </c>
      <c r="P2422" t="inlineStr">
        <is>
          <t>1.350</t>
        </is>
      </c>
    </row>
    <row r="2423">
      <c r="A2423" s="24" t="n">
        <v>46054</v>
      </c>
      <c r="B2423" t="inlineStr">
        <is>
          <t>Frete de venda</t>
        </is>
      </c>
      <c r="C2423" t="inlineStr">
        <is>
          <t>Frete de venda (para clientes)</t>
        </is>
      </c>
      <c r="D2423" t="inlineStr">
        <is>
          <t>CT-e</t>
        </is>
      </c>
      <c r="E2423" t="inlineStr">
        <is>
          <t>000006360</t>
        </is>
      </c>
      <c r="F2423" t="inlineStr">
        <is>
          <t>R&amp;R TRANSPORTE E LOGISTICA</t>
        </is>
      </c>
      <c r="G2423" s="27" t="n">
        <v>46066</v>
      </c>
      <c r="H2423" s="14" t="n">
        <v>29.5</v>
      </c>
      <c r="I2423" s="14" t="n">
        <v>0</v>
      </c>
      <c r="J2423" s="14" t="n">
        <v>0</v>
      </c>
      <c r="K2423" s="14" t="n">
        <v>0</v>
      </c>
      <c r="L2423" s="14" t="n">
        <v>0</v>
      </c>
      <c r="M2423" s="14">
        <f>IF(B2423="Frete de venda",0,(1-ISNUMBER(SEARCH("556",P2423)))*(I2423*VLOOKUP($B2423,Premissas!$A$4:$E$7,2,0)+J2423*VLOOKUP($B2423,Premissas!$A$4:$E$7,3,0))+K2423*VLOOKUP($B2423,Premissas!$A$4:$E$7,4,0)+L2423*VLOOKUP($B2423,Premissas!$A$4:$E$7,5,0))</f>
        <v/>
      </c>
      <c r="N2423" s="14">
        <f>H2423-M2423</f>
        <v/>
      </c>
      <c r="O2423" t="inlineStr">
        <is>
          <t>Não</t>
        </is>
      </c>
      <c r="P2423" t="inlineStr">
        <is>
          <t>1.350</t>
        </is>
      </c>
    </row>
    <row r="2424">
      <c r="A2424" s="24" t="n">
        <v>46054</v>
      </c>
      <c r="B2424" t="inlineStr">
        <is>
          <t>Frete de venda</t>
        </is>
      </c>
      <c r="C2424" t="inlineStr">
        <is>
          <t>Frete de venda (para clientes)</t>
        </is>
      </c>
      <c r="D2424" t="inlineStr">
        <is>
          <t>CT-e</t>
        </is>
      </c>
      <c r="E2424" t="inlineStr">
        <is>
          <t>000006412</t>
        </is>
      </c>
      <c r="F2424" t="inlineStr">
        <is>
          <t>R&amp;R TRANSPORTE E LOGISTICA</t>
        </is>
      </c>
      <c r="G2424" s="27" t="n">
        <v>46074</v>
      </c>
      <c r="H2424" s="14" t="n">
        <v>26.86</v>
      </c>
      <c r="I2424" s="14" t="n">
        <v>0</v>
      </c>
      <c r="J2424" s="14" t="n">
        <v>0</v>
      </c>
      <c r="K2424" s="14" t="n">
        <v>0</v>
      </c>
      <c r="L2424" s="14" t="n">
        <v>0</v>
      </c>
      <c r="M2424" s="14">
        <f>IF(B2424="Frete de venda",0,(1-ISNUMBER(SEARCH("556",P2424)))*(I2424*VLOOKUP($B2424,Premissas!$A$4:$E$7,2,0)+J2424*VLOOKUP($B2424,Premissas!$A$4:$E$7,3,0))+K2424*VLOOKUP($B2424,Premissas!$A$4:$E$7,4,0)+L2424*VLOOKUP($B2424,Premissas!$A$4:$E$7,5,0))</f>
        <v/>
      </c>
      <c r="N2424" s="14">
        <f>H2424-M2424</f>
        <v/>
      </c>
      <c r="O2424" t="inlineStr">
        <is>
          <t>Não</t>
        </is>
      </c>
      <c r="P2424" t="inlineStr">
        <is>
          <t>1.350</t>
        </is>
      </c>
    </row>
    <row r="2425">
      <c r="A2425" s="24" t="n">
        <v>46054</v>
      </c>
      <c r="B2425" t="inlineStr">
        <is>
          <t>Frete de venda</t>
        </is>
      </c>
      <c r="C2425" t="inlineStr">
        <is>
          <t>Frete de venda (para clientes)</t>
        </is>
      </c>
      <c r="D2425" t="inlineStr">
        <is>
          <t>CT-e</t>
        </is>
      </c>
      <c r="E2425" t="inlineStr">
        <is>
          <t>000006324</t>
        </is>
      </c>
      <c r="F2425" t="inlineStr">
        <is>
          <t>R&amp;R TRANSPORTE E LOGISTICA</t>
        </is>
      </c>
      <c r="G2425" s="27" t="n">
        <v>46060</v>
      </c>
      <c r="H2425" s="14" t="n">
        <v>69.05</v>
      </c>
      <c r="I2425" s="14" t="n">
        <v>0</v>
      </c>
      <c r="J2425" s="14" t="n">
        <v>0</v>
      </c>
      <c r="K2425" s="14" t="n">
        <v>0</v>
      </c>
      <c r="L2425" s="14" t="n">
        <v>0</v>
      </c>
      <c r="M2425" s="14">
        <f>IF(B2425="Frete de venda",0,(1-ISNUMBER(SEARCH("556",P2425)))*(I2425*VLOOKUP($B2425,Premissas!$A$4:$E$7,2,0)+J2425*VLOOKUP($B2425,Premissas!$A$4:$E$7,3,0))+K2425*VLOOKUP($B2425,Premissas!$A$4:$E$7,4,0)+L2425*VLOOKUP($B2425,Premissas!$A$4:$E$7,5,0))</f>
        <v/>
      </c>
      <c r="N2425" s="14">
        <f>H2425-M2425</f>
        <v/>
      </c>
      <c r="O2425" t="inlineStr">
        <is>
          <t>Não</t>
        </is>
      </c>
      <c r="P2425" t="inlineStr">
        <is>
          <t>1.350</t>
        </is>
      </c>
    </row>
    <row r="2426">
      <c r="A2426" s="24" t="n">
        <v>46054</v>
      </c>
      <c r="B2426" t="inlineStr">
        <is>
          <t>Frete de venda</t>
        </is>
      </c>
      <c r="C2426" t="inlineStr">
        <is>
          <t>Frete de venda (para clientes)</t>
        </is>
      </c>
      <c r="D2426" t="inlineStr">
        <is>
          <t>CT-e</t>
        </is>
      </c>
      <c r="E2426" t="inlineStr">
        <is>
          <t>000006318</t>
        </is>
      </c>
      <c r="F2426" t="inlineStr">
        <is>
          <t>R&amp;R TRANSPORTE E LOGISTICA</t>
        </is>
      </c>
      <c r="G2426" s="27" t="n">
        <v>46060</v>
      </c>
      <c r="H2426" s="14" t="n">
        <v>69.05</v>
      </c>
      <c r="I2426" s="14" t="n">
        <v>0</v>
      </c>
      <c r="J2426" s="14" t="n">
        <v>0</v>
      </c>
      <c r="K2426" s="14" t="n">
        <v>0</v>
      </c>
      <c r="L2426" s="14" t="n">
        <v>0</v>
      </c>
      <c r="M2426" s="14">
        <f>IF(B2426="Frete de venda",0,(1-ISNUMBER(SEARCH("556",P2426)))*(I2426*VLOOKUP($B2426,Premissas!$A$4:$E$7,2,0)+J2426*VLOOKUP($B2426,Premissas!$A$4:$E$7,3,0))+K2426*VLOOKUP($B2426,Premissas!$A$4:$E$7,4,0)+L2426*VLOOKUP($B2426,Premissas!$A$4:$E$7,5,0))</f>
        <v/>
      </c>
      <c r="N2426" s="14">
        <f>H2426-M2426</f>
        <v/>
      </c>
      <c r="O2426" t="inlineStr">
        <is>
          <t>Não</t>
        </is>
      </c>
      <c r="P2426" t="inlineStr">
        <is>
          <t>1.350</t>
        </is>
      </c>
    </row>
    <row r="2427">
      <c r="A2427" s="24" t="n">
        <v>46054</v>
      </c>
      <c r="B2427" t="inlineStr">
        <is>
          <t>Frete de venda</t>
        </is>
      </c>
      <c r="C2427" t="inlineStr">
        <is>
          <t>Frete de venda (para clientes)</t>
        </is>
      </c>
      <c r="D2427" t="inlineStr">
        <is>
          <t>CT-e</t>
        </is>
      </c>
      <c r="E2427" t="inlineStr">
        <is>
          <t>000006450</t>
        </is>
      </c>
      <c r="F2427" t="inlineStr">
        <is>
          <t>R&amp;R TRANSPORTE E LOGISTICA</t>
        </is>
      </c>
      <c r="G2427" s="27" t="n">
        <v>46080</v>
      </c>
      <c r="H2427" s="14" t="n">
        <v>56.2</v>
      </c>
      <c r="I2427" s="14" t="n">
        <v>0</v>
      </c>
      <c r="J2427" s="14" t="n">
        <v>0</v>
      </c>
      <c r="K2427" s="14" t="n">
        <v>0</v>
      </c>
      <c r="L2427" s="14" t="n">
        <v>0</v>
      </c>
      <c r="M2427" s="14">
        <f>IF(B2427="Frete de venda",0,(1-ISNUMBER(SEARCH("556",P2427)))*(I2427*VLOOKUP($B2427,Premissas!$A$4:$E$7,2,0)+J2427*VLOOKUP($B2427,Premissas!$A$4:$E$7,3,0))+K2427*VLOOKUP($B2427,Premissas!$A$4:$E$7,4,0)+L2427*VLOOKUP($B2427,Premissas!$A$4:$E$7,5,0))</f>
        <v/>
      </c>
      <c r="N2427" s="14">
        <f>H2427-M2427</f>
        <v/>
      </c>
      <c r="O2427" t="inlineStr">
        <is>
          <t>Não</t>
        </is>
      </c>
      <c r="P2427" t="inlineStr">
        <is>
          <t>1.350</t>
        </is>
      </c>
    </row>
    <row r="2428">
      <c r="A2428" s="24" t="n">
        <v>46054</v>
      </c>
      <c r="B2428" t="inlineStr">
        <is>
          <t>Frete de venda</t>
        </is>
      </c>
      <c r="C2428" t="inlineStr">
        <is>
          <t>Frete de venda (para clientes)</t>
        </is>
      </c>
      <c r="D2428" t="inlineStr">
        <is>
          <t>CT-e</t>
        </is>
      </c>
      <c r="E2428" t="inlineStr">
        <is>
          <t>000006346</t>
        </is>
      </c>
      <c r="F2428" t="inlineStr">
        <is>
          <t>R&amp;R TRANSPORTE E LOGISTICA</t>
        </is>
      </c>
      <c r="G2428" s="27" t="n">
        <v>46066</v>
      </c>
      <c r="H2428" s="14" t="n">
        <v>64.73</v>
      </c>
      <c r="I2428" s="14" t="n">
        <v>0</v>
      </c>
      <c r="J2428" s="14" t="n">
        <v>0</v>
      </c>
      <c r="K2428" s="14" t="n">
        <v>0</v>
      </c>
      <c r="L2428" s="14" t="n">
        <v>0</v>
      </c>
      <c r="M2428" s="14">
        <f>IF(B2428="Frete de venda",0,(1-ISNUMBER(SEARCH("556",P2428)))*(I2428*VLOOKUP($B2428,Premissas!$A$4:$E$7,2,0)+J2428*VLOOKUP($B2428,Premissas!$A$4:$E$7,3,0))+K2428*VLOOKUP($B2428,Premissas!$A$4:$E$7,4,0)+L2428*VLOOKUP($B2428,Premissas!$A$4:$E$7,5,0))</f>
        <v/>
      </c>
      <c r="N2428" s="14">
        <f>H2428-M2428</f>
        <v/>
      </c>
      <c r="O2428" t="inlineStr">
        <is>
          <t>Não</t>
        </is>
      </c>
      <c r="P2428" t="inlineStr">
        <is>
          <t>1.350</t>
        </is>
      </c>
    </row>
    <row r="2429">
      <c r="A2429" s="24" t="n">
        <v>46054</v>
      </c>
      <c r="B2429" t="inlineStr">
        <is>
          <t>Frete de venda</t>
        </is>
      </c>
      <c r="C2429" t="inlineStr">
        <is>
          <t>Frete de venda (para clientes)</t>
        </is>
      </c>
      <c r="D2429" t="inlineStr">
        <is>
          <t>CT-e</t>
        </is>
      </c>
      <c r="E2429" t="inlineStr">
        <is>
          <t>000006317</t>
        </is>
      </c>
      <c r="F2429" t="inlineStr">
        <is>
          <t>R&amp;R TRANSPORTE E LOGISTICA</t>
        </is>
      </c>
      <c r="G2429" s="27" t="n">
        <v>46060</v>
      </c>
      <c r="H2429" s="14" t="n">
        <v>69.05</v>
      </c>
      <c r="I2429" s="14" t="n">
        <v>0</v>
      </c>
      <c r="J2429" s="14" t="n">
        <v>0</v>
      </c>
      <c r="K2429" s="14" t="n">
        <v>0</v>
      </c>
      <c r="L2429" s="14" t="n">
        <v>0</v>
      </c>
      <c r="M2429" s="14">
        <f>IF(B2429="Frete de venda",0,(1-ISNUMBER(SEARCH("556",P2429)))*(I2429*VLOOKUP($B2429,Premissas!$A$4:$E$7,2,0)+J2429*VLOOKUP($B2429,Premissas!$A$4:$E$7,3,0))+K2429*VLOOKUP($B2429,Premissas!$A$4:$E$7,4,0)+L2429*VLOOKUP($B2429,Premissas!$A$4:$E$7,5,0))</f>
        <v/>
      </c>
      <c r="N2429" s="14">
        <f>H2429-M2429</f>
        <v/>
      </c>
      <c r="O2429" t="inlineStr">
        <is>
          <t>Não</t>
        </is>
      </c>
      <c r="P2429" t="inlineStr">
        <is>
          <t>1.350</t>
        </is>
      </c>
    </row>
    <row r="2430">
      <c r="A2430" s="24" t="n">
        <v>46054</v>
      </c>
      <c r="B2430" t="inlineStr">
        <is>
          <t>Frete de venda</t>
        </is>
      </c>
      <c r="C2430" t="inlineStr">
        <is>
          <t>Frete de venda (para clientes)</t>
        </is>
      </c>
      <c r="D2430" t="inlineStr">
        <is>
          <t>CT-e</t>
        </is>
      </c>
      <c r="E2430" t="inlineStr">
        <is>
          <t>000006353</t>
        </is>
      </c>
      <c r="F2430" t="inlineStr">
        <is>
          <t>R&amp;R TRANSPORTE E LOGISTICA</t>
        </is>
      </c>
      <c r="G2430" s="27" t="n">
        <v>46066</v>
      </c>
      <c r="H2430" s="14" t="n">
        <v>13.52</v>
      </c>
      <c r="I2430" s="14" t="n">
        <v>0</v>
      </c>
      <c r="J2430" s="14" t="n">
        <v>0</v>
      </c>
      <c r="K2430" s="14" t="n">
        <v>0</v>
      </c>
      <c r="L2430" s="14" t="n">
        <v>0</v>
      </c>
      <c r="M2430" s="14">
        <f>IF(B2430="Frete de venda",0,(1-ISNUMBER(SEARCH("556",P2430)))*(I2430*VLOOKUP($B2430,Premissas!$A$4:$E$7,2,0)+J2430*VLOOKUP($B2430,Premissas!$A$4:$E$7,3,0))+K2430*VLOOKUP($B2430,Premissas!$A$4:$E$7,4,0)+L2430*VLOOKUP($B2430,Premissas!$A$4:$E$7,5,0))</f>
        <v/>
      </c>
      <c r="N2430" s="14">
        <f>H2430-M2430</f>
        <v/>
      </c>
      <c r="O2430" t="inlineStr">
        <is>
          <t>Não</t>
        </is>
      </c>
      <c r="P2430" t="inlineStr">
        <is>
          <t>1.350</t>
        </is>
      </c>
    </row>
    <row r="2431">
      <c r="A2431" s="24" t="n">
        <v>46054</v>
      </c>
      <c r="B2431" t="inlineStr">
        <is>
          <t>Frete de venda</t>
        </is>
      </c>
      <c r="C2431" t="inlineStr">
        <is>
          <t>Frete de venda (para clientes)</t>
        </is>
      </c>
      <c r="D2431" t="inlineStr">
        <is>
          <t>CT-e</t>
        </is>
      </c>
      <c r="E2431" t="inlineStr">
        <is>
          <t>000006312</t>
        </is>
      </c>
      <c r="F2431" t="inlineStr">
        <is>
          <t>R&amp;R TRANSPORTE E LOGISTICA</t>
        </is>
      </c>
      <c r="G2431" s="27" t="n">
        <v>46058</v>
      </c>
      <c r="H2431" s="14" t="n">
        <v>98.72</v>
      </c>
      <c r="I2431" s="14" t="n">
        <v>0</v>
      </c>
      <c r="J2431" s="14" t="n">
        <v>0</v>
      </c>
      <c r="K2431" s="14" t="n">
        <v>0</v>
      </c>
      <c r="L2431" s="14" t="n">
        <v>0</v>
      </c>
      <c r="M2431" s="14">
        <f>IF(B2431="Frete de venda",0,(1-ISNUMBER(SEARCH("556",P2431)))*(I2431*VLOOKUP($B2431,Premissas!$A$4:$E$7,2,0)+J2431*VLOOKUP($B2431,Premissas!$A$4:$E$7,3,0))+K2431*VLOOKUP($B2431,Premissas!$A$4:$E$7,4,0)+L2431*VLOOKUP($B2431,Premissas!$A$4:$E$7,5,0))</f>
        <v/>
      </c>
      <c r="N2431" s="14">
        <f>H2431-M2431</f>
        <v/>
      </c>
      <c r="O2431" t="inlineStr">
        <is>
          <t>Não</t>
        </is>
      </c>
      <c r="P2431" t="inlineStr">
        <is>
          <t>1.350</t>
        </is>
      </c>
    </row>
    <row r="2432">
      <c r="A2432" s="24" t="n">
        <v>46054</v>
      </c>
      <c r="B2432" t="inlineStr">
        <is>
          <t>Frete de venda</t>
        </is>
      </c>
      <c r="C2432" t="inlineStr">
        <is>
          <t>Frete de venda (para clientes)</t>
        </is>
      </c>
      <c r="D2432" t="inlineStr">
        <is>
          <t>CT-e</t>
        </is>
      </c>
      <c r="E2432" t="inlineStr">
        <is>
          <t>000006365</t>
        </is>
      </c>
      <c r="F2432" t="inlineStr">
        <is>
          <t>R&amp;R TRANSPORTE E LOGISTICA</t>
        </is>
      </c>
      <c r="G2432" s="27" t="n">
        <v>46066</v>
      </c>
      <c r="H2432" s="14" t="n">
        <v>202.49</v>
      </c>
      <c r="I2432" s="14" t="n">
        <v>0</v>
      </c>
      <c r="J2432" s="14" t="n">
        <v>0</v>
      </c>
      <c r="K2432" s="14" t="n">
        <v>0</v>
      </c>
      <c r="L2432" s="14" t="n">
        <v>0</v>
      </c>
      <c r="M2432" s="14">
        <f>IF(B2432="Frete de venda",0,(1-ISNUMBER(SEARCH("556",P2432)))*(I2432*VLOOKUP($B2432,Premissas!$A$4:$E$7,2,0)+J2432*VLOOKUP($B2432,Premissas!$A$4:$E$7,3,0))+K2432*VLOOKUP($B2432,Premissas!$A$4:$E$7,4,0)+L2432*VLOOKUP($B2432,Premissas!$A$4:$E$7,5,0))</f>
        <v/>
      </c>
      <c r="N2432" s="14">
        <f>H2432-M2432</f>
        <v/>
      </c>
      <c r="O2432" t="inlineStr">
        <is>
          <t>Não</t>
        </is>
      </c>
      <c r="P2432" t="inlineStr">
        <is>
          <t>1.350</t>
        </is>
      </c>
    </row>
    <row r="2433">
      <c r="A2433" s="24" t="n">
        <v>46054</v>
      </c>
      <c r="B2433" t="inlineStr">
        <is>
          <t>Frete de venda</t>
        </is>
      </c>
      <c r="C2433" t="inlineStr">
        <is>
          <t>Frete de venda (para clientes)</t>
        </is>
      </c>
      <c r="D2433" t="inlineStr">
        <is>
          <t>CT-e</t>
        </is>
      </c>
      <c r="E2433" t="inlineStr">
        <is>
          <t>000006397</t>
        </is>
      </c>
      <c r="F2433" t="inlineStr">
        <is>
          <t>R&amp;R TRANSPORTE E LOGISTICA</t>
        </is>
      </c>
      <c r="G2433" s="27" t="n">
        <v>46072</v>
      </c>
      <c r="H2433" s="14" t="n">
        <v>42.67</v>
      </c>
      <c r="I2433" s="14" t="n">
        <v>0</v>
      </c>
      <c r="J2433" s="14" t="n">
        <v>0</v>
      </c>
      <c r="K2433" s="14" t="n">
        <v>0</v>
      </c>
      <c r="L2433" s="14" t="n">
        <v>0</v>
      </c>
      <c r="M2433" s="14">
        <f>IF(B2433="Frete de venda",0,(1-ISNUMBER(SEARCH("556",P2433)))*(I2433*VLOOKUP($B2433,Premissas!$A$4:$E$7,2,0)+J2433*VLOOKUP($B2433,Premissas!$A$4:$E$7,3,0))+K2433*VLOOKUP($B2433,Premissas!$A$4:$E$7,4,0)+L2433*VLOOKUP($B2433,Premissas!$A$4:$E$7,5,0))</f>
        <v/>
      </c>
      <c r="N2433" s="14">
        <f>H2433-M2433</f>
        <v/>
      </c>
      <c r="O2433" t="inlineStr">
        <is>
          <t>Não</t>
        </is>
      </c>
      <c r="P2433" t="inlineStr">
        <is>
          <t>1.350</t>
        </is>
      </c>
    </row>
    <row r="2434">
      <c r="A2434" s="24" t="n">
        <v>46054</v>
      </c>
      <c r="B2434" t="inlineStr">
        <is>
          <t>Frete de venda</t>
        </is>
      </c>
      <c r="C2434" t="inlineStr">
        <is>
          <t>Frete de venda (para clientes)</t>
        </is>
      </c>
      <c r="D2434" t="inlineStr">
        <is>
          <t>CT-e</t>
        </is>
      </c>
      <c r="E2434" t="inlineStr">
        <is>
          <t>000006378</t>
        </is>
      </c>
      <c r="F2434" t="inlineStr">
        <is>
          <t>R&amp;R TRANSPORTE E LOGISTICA</t>
        </is>
      </c>
      <c r="G2434" s="27" t="n">
        <v>46067</v>
      </c>
      <c r="H2434" s="14" t="n">
        <v>31</v>
      </c>
      <c r="I2434" s="14" t="n">
        <v>0</v>
      </c>
      <c r="J2434" s="14" t="n">
        <v>0</v>
      </c>
      <c r="K2434" s="14" t="n">
        <v>0</v>
      </c>
      <c r="L2434" s="14" t="n">
        <v>0</v>
      </c>
      <c r="M2434" s="14">
        <f>IF(B2434="Frete de venda",0,(1-ISNUMBER(SEARCH("556",P2434)))*(I2434*VLOOKUP($B2434,Premissas!$A$4:$E$7,2,0)+J2434*VLOOKUP($B2434,Premissas!$A$4:$E$7,3,0))+K2434*VLOOKUP($B2434,Premissas!$A$4:$E$7,4,0)+L2434*VLOOKUP($B2434,Premissas!$A$4:$E$7,5,0))</f>
        <v/>
      </c>
      <c r="N2434" s="14">
        <f>H2434-M2434</f>
        <v/>
      </c>
      <c r="O2434" t="inlineStr">
        <is>
          <t>Não</t>
        </is>
      </c>
      <c r="P2434" t="inlineStr">
        <is>
          <t>1.350</t>
        </is>
      </c>
    </row>
    <row r="2435">
      <c r="A2435" s="24" t="n">
        <v>46054</v>
      </c>
      <c r="B2435" t="inlineStr">
        <is>
          <t>Frete de venda</t>
        </is>
      </c>
      <c r="C2435" t="inlineStr">
        <is>
          <t>Frete de venda (para clientes)</t>
        </is>
      </c>
      <c r="D2435" t="inlineStr">
        <is>
          <t>CT-e</t>
        </is>
      </c>
      <c r="E2435" t="inlineStr">
        <is>
          <t>000000623</t>
        </is>
      </c>
      <c r="F2435" t="inlineStr">
        <is>
          <t>REIMAG - REINALDO DOMINGUES BARROS DA SILVA</t>
        </is>
      </c>
      <c r="G2435" s="27" t="n">
        <v>46080</v>
      </c>
      <c r="H2435" s="14" t="n">
        <v>375</v>
      </c>
      <c r="I2435" s="14" t="n">
        <v>0</v>
      </c>
      <c r="J2435" s="14" t="n">
        <v>0</v>
      </c>
      <c r="K2435" s="14" t="n">
        <v>0</v>
      </c>
      <c r="L2435" s="14" t="n">
        <v>0</v>
      </c>
      <c r="M2435" s="14">
        <f>IF(B2435="Frete de venda",0,(1-ISNUMBER(SEARCH("556",P2435)))*(I2435*VLOOKUP($B2435,Premissas!$A$4:$E$7,2,0)+J2435*VLOOKUP($B2435,Premissas!$A$4:$E$7,3,0))+K2435*VLOOKUP($B2435,Premissas!$A$4:$E$7,4,0)+L2435*VLOOKUP($B2435,Premissas!$A$4:$E$7,5,0))</f>
        <v/>
      </c>
      <c r="N2435" s="14">
        <f>H2435-M2435</f>
        <v/>
      </c>
      <c r="O2435" t="inlineStr">
        <is>
          <t>Sim</t>
        </is>
      </c>
      <c r="P2435" t="inlineStr">
        <is>
          <t>1.350</t>
        </is>
      </c>
    </row>
    <row r="2436">
      <c r="A2436" s="24" t="n">
        <v>46054</v>
      </c>
      <c r="B2436" t="inlineStr">
        <is>
          <t>Frete de venda</t>
        </is>
      </c>
      <c r="C2436" t="inlineStr">
        <is>
          <t>Frete de venda (para clientes)</t>
        </is>
      </c>
      <c r="D2436" t="inlineStr">
        <is>
          <t>CT-e</t>
        </is>
      </c>
      <c r="E2436" t="inlineStr">
        <is>
          <t>000006427</t>
        </is>
      </c>
      <c r="F2436" t="inlineStr">
        <is>
          <t>R&amp;R TRANSPORTE E LOGISTICA</t>
        </is>
      </c>
      <c r="G2436" s="27" t="n">
        <v>46074</v>
      </c>
      <c r="H2436" s="14" t="n">
        <v>984.83</v>
      </c>
      <c r="I2436" s="14" t="n">
        <v>0</v>
      </c>
      <c r="J2436" s="14" t="n">
        <v>0</v>
      </c>
      <c r="K2436" s="14" t="n">
        <v>0</v>
      </c>
      <c r="L2436" s="14" t="n">
        <v>0</v>
      </c>
      <c r="M2436" s="14">
        <f>IF(B2436="Frete de venda",0,(1-ISNUMBER(SEARCH("556",P2436)))*(I2436*VLOOKUP($B2436,Premissas!$A$4:$E$7,2,0)+J2436*VLOOKUP($B2436,Premissas!$A$4:$E$7,3,0))+K2436*VLOOKUP($B2436,Premissas!$A$4:$E$7,4,0)+L2436*VLOOKUP($B2436,Premissas!$A$4:$E$7,5,0))</f>
        <v/>
      </c>
      <c r="N2436" s="14">
        <f>H2436-M2436</f>
        <v/>
      </c>
      <c r="O2436" t="inlineStr">
        <is>
          <t>Não</t>
        </is>
      </c>
      <c r="P2436" t="inlineStr">
        <is>
          <t>1.350</t>
        </is>
      </c>
    </row>
    <row r="2437">
      <c r="A2437" s="24" t="n">
        <v>46054</v>
      </c>
      <c r="B2437" t="inlineStr">
        <is>
          <t>Frete de venda</t>
        </is>
      </c>
      <c r="C2437" t="inlineStr">
        <is>
          <t>Frete de venda (para clientes)</t>
        </is>
      </c>
      <c r="D2437" t="inlineStr">
        <is>
          <t>CT-e</t>
        </is>
      </c>
      <c r="E2437" t="inlineStr">
        <is>
          <t>000006417</t>
        </is>
      </c>
      <c r="F2437" t="inlineStr">
        <is>
          <t>R&amp;R TRANSPORTE E LOGISTICA</t>
        </is>
      </c>
      <c r="G2437" s="27" t="n">
        <v>46074</v>
      </c>
      <c r="H2437" s="14" t="n">
        <v>14.02</v>
      </c>
      <c r="I2437" s="14" t="n">
        <v>0</v>
      </c>
      <c r="J2437" s="14" t="n">
        <v>0</v>
      </c>
      <c r="K2437" s="14" t="n">
        <v>0</v>
      </c>
      <c r="L2437" s="14" t="n">
        <v>0</v>
      </c>
      <c r="M2437" s="14">
        <f>IF(B2437="Frete de venda",0,(1-ISNUMBER(SEARCH("556",P2437)))*(I2437*VLOOKUP($B2437,Premissas!$A$4:$E$7,2,0)+J2437*VLOOKUP($B2437,Premissas!$A$4:$E$7,3,0))+K2437*VLOOKUP($B2437,Premissas!$A$4:$E$7,4,0)+L2437*VLOOKUP($B2437,Premissas!$A$4:$E$7,5,0))</f>
        <v/>
      </c>
      <c r="N2437" s="14">
        <f>H2437-M2437</f>
        <v/>
      </c>
      <c r="O2437" t="inlineStr">
        <is>
          <t>Não</t>
        </is>
      </c>
      <c r="P2437" t="inlineStr">
        <is>
          <t>1.350</t>
        </is>
      </c>
    </row>
    <row r="2438">
      <c r="A2438" s="24" t="n">
        <v>46054</v>
      </c>
      <c r="B2438" t="inlineStr">
        <is>
          <t>Frete de venda</t>
        </is>
      </c>
      <c r="C2438" t="inlineStr">
        <is>
          <t>Frete de venda (para clientes)</t>
        </is>
      </c>
      <c r="D2438" t="inlineStr">
        <is>
          <t>CT-e</t>
        </is>
      </c>
      <c r="E2438" t="inlineStr">
        <is>
          <t>000006402</t>
        </is>
      </c>
      <c r="F2438" t="inlineStr">
        <is>
          <t>R&amp;R TRANSPORTE E LOGISTICA</t>
        </is>
      </c>
      <c r="G2438" s="27" t="n">
        <v>46072</v>
      </c>
      <c r="H2438" s="14" t="n">
        <v>44.9</v>
      </c>
      <c r="I2438" s="14" t="n">
        <v>0</v>
      </c>
      <c r="J2438" s="14" t="n">
        <v>0</v>
      </c>
      <c r="K2438" s="14" t="n">
        <v>0</v>
      </c>
      <c r="L2438" s="14" t="n">
        <v>0</v>
      </c>
      <c r="M2438" s="14">
        <f>IF(B2438="Frete de venda",0,(1-ISNUMBER(SEARCH("556",P2438)))*(I2438*VLOOKUP($B2438,Premissas!$A$4:$E$7,2,0)+J2438*VLOOKUP($B2438,Premissas!$A$4:$E$7,3,0))+K2438*VLOOKUP($B2438,Premissas!$A$4:$E$7,4,0)+L2438*VLOOKUP($B2438,Premissas!$A$4:$E$7,5,0))</f>
        <v/>
      </c>
      <c r="N2438" s="14">
        <f>H2438-M2438</f>
        <v/>
      </c>
      <c r="O2438" t="inlineStr">
        <is>
          <t>Não</t>
        </is>
      </c>
      <c r="P2438" t="inlineStr">
        <is>
          <t>1.350</t>
        </is>
      </c>
    </row>
    <row r="2439">
      <c r="A2439" s="24" t="n">
        <v>46054</v>
      </c>
      <c r="B2439" t="inlineStr">
        <is>
          <t>Frete de venda</t>
        </is>
      </c>
      <c r="C2439" t="inlineStr">
        <is>
          <t>Frete de venda (para clientes)</t>
        </is>
      </c>
      <c r="D2439" t="inlineStr">
        <is>
          <t>CT-e</t>
        </is>
      </c>
      <c r="E2439" t="inlineStr">
        <is>
          <t>000000615</t>
        </is>
      </c>
      <c r="F2439" t="inlineStr">
        <is>
          <t>REIMAG - REINALDO DOMINGUES BARROS DA SILVA</t>
        </is>
      </c>
      <c r="G2439" s="27" t="n">
        <v>46069</v>
      </c>
      <c r="H2439" s="14" t="n">
        <v>750</v>
      </c>
      <c r="I2439" s="14" t="n">
        <v>0</v>
      </c>
      <c r="J2439" s="14" t="n">
        <v>0</v>
      </c>
      <c r="K2439" s="14" t="n">
        <v>0</v>
      </c>
      <c r="L2439" s="14" t="n">
        <v>0</v>
      </c>
      <c r="M2439" s="14">
        <f>IF(B2439="Frete de venda",0,(1-ISNUMBER(SEARCH("556",P2439)))*(I2439*VLOOKUP($B2439,Premissas!$A$4:$E$7,2,0)+J2439*VLOOKUP($B2439,Premissas!$A$4:$E$7,3,0))+K2439*VLOOKUP($B2439,Premissas!$A$4:$E$7,4,0)+L2439*VLOOKUP($B2439,Premissas!$A$4:$E$7,5,0))</f>
        <v/>
      </c>
      <c r="N2439" s="14">
        <f>H2439-M2439</f>
        <v/>
      </c>
      <c r="O2439" t="inlineStr">
        <is>
          <t>Sim</t>
        </is>
      </c>
      <c r="P2439" t="inlineStr">
        <is>
          <t>1.350</t>
        </is>
      </c>
    </row>
    <row r="2440">
      <c r="A2440" s="24" t="n">
        <v>46054</v>
      </c>
      <c r="B2440" t="inlineStr">
        <is>
          <t>Insumos e papel</t>
        </is>
      </c>
      <c r="C2440" t="inlineStr">
        <is>
          <t>2.01.03 Compra de Matéria Prima (Papel)</t>
        </is>
      </c>
      <c r="D2440" t="inlineStr">
        <is>
          <t>NF-e</t>
        </is>
      </c>
      <c r="E2440" t="inlineStr">
        <is>
          <t>000012342</t>
        </is>
      </c>
      <c r="F2440" t="inlineStr">
        <is>
          <t>CMPC Iguacu Embalagens Ltda</t>
        </is>
      </c>
      <c r="G2440" s="27" t="n">
        <v>46077</v>
      </c>
      <c r="H2440" s="14" t="n">
        <v>143043.04</v>
      </c>
      <c r="I2440" s="14" t="n">
        <v>4502.57</v>
      </c>
      <c r="J2440" s="14" t="n">
        <v>9697.83</v>
      </c>
      <c r="K2440" s="14" t="n">
        <v>2125.9</v>
      </c>
      <c r="L2440" s="14" t="n">
        <v>9792.040000000001</v>
      </c>
      <c r="M2440" s="14">
        <f>IF(B2440="Frete de venda",0,(1-ISNUMBER(SEARCH("556",P2440)))*(I2440*VLOOKUP($B2440,Premissas!$A$4:$E$7,2,0)+J2440*VLOOKUP($B2440,Premissas!$A$4:$E$7,3,0))+K2440*VLOOKUP($B2440,Premissas!$A$4:$E$7,4,0)+L2440*VLOOKUP($B2440,Premissas!$A$4:$E$7,5,0))</f>
        <v/>
      </c>
      <c r="N2440" s="14">
        <f>H2440-M2440</f>
        <v/>
      </c>
      <c r="O2440" t="inlineStr">
        <is>
          <t>Sim</t>
        </is>
      </c>
      <c r="P2440" t="inlineStr">
        <is>
          <t>1.556</t>
        </is>
      </c>
    </row>
    <row r="2441">
      <c r="A2441" s="24" t="n">
        <v>46054</v>
      </c>
      <c r="B2441" t="inlineStr">
        <is>
          <t>Insumos e papel</t>
        </is>
      </c>
      <c r="C2441" t="inlineStr">
        <is>
          <t>2.01.03 Compra de Matéria Prima (Papel)</t>
        </is>
      </c>
      <c r="D2441" t="inlineStr">
        <is>
          <t>NF-e</t>
        </is>
      </c>
      <c r="E2441" t="inlineStr">
        <is>
          <t>000012348</t>
        </is>
      </c>
      <c r="F2441" t="inlineStr">
        <is>
          <t>CMPC Iguacu Embalagens Ltda</t>
        </is>
      </c>
      <c r="G2441" s="27" t="n">
        <v>46077</v>
      </c>
      <c r="H2441" s="14" t="n">
        <v>143107.09</v>
      </c>
      <c r="I2441" s="14" t="n">
        <v>4504.58</v>
      </c>
      <c r="J2441" s="14" t="n">
        <v>9702.18</v>
      </c>
      <c r="K2441" s="14" t="n">
        <v>2126.85</v>
      </c>
      <c r="L2441" s="14" t="n">
        <v>9796.42</v>
      </c>
      <c r="M2441" s="14">
        <f>IF(B2441="Frete de venda",0,(1-ISNUMBER(SEARCH("556",P2441)))*(I2441*VLOOKUP($B2441,Premissas!$A$4:$E$7,2,0)+J2441*VLOOKUP($B2441,Premissas!$A$4:$E$7,3,0))+K2441*VLOOKUP($B2441,Premissas!$A$4:$E$7,4,0)+L2441*VLOOKUP($B2441,Premissas!$A$4:$E$7,5,0))</f>
        <v/>
      </c>
      <c r="N2441" s="14">
        <f>H2441-M2441</f>
        <v/>
      </c>
      <c r="O2441" t="inlineStr">
        <is>
          <t>Sim</t>
        </is>
      </c>
      <c r="P2441" t="inlineStr">
        <is>
          <t>1.556</t>
        </is>
      </c>
    </row>
    <row r="2442">
      <c r="A2442" s="24" t="n">
        <v>46054</v>
      </c>
      <c r="B2442" t="inlineStr">
        <is>
          <t>Insumos e papel</t>
        </is>
      </c>
      <c r="C2442" t="inlineStr">
        <is>
          <t>2.01.03 Compra de Matéria Prima (Papel)</t>
        </is>
      </c>
      <c r="D2442" t="inlineStr">
        <is>
          <t>NF-e</t>
        </is>
      </c>
      <c r="E2442" t="inlineStr">
        <is>
          <t>000012351</t>
        </is>
      </c>
      <c r="F2442" t="inlineStr">
        <is>
          <t>CMPC Iguacu Embalagens Ltda</t>
        </is>
      </c>
      <c r="G2442" s="27" t="n">
        <v>46077</v>
      </c>
      <c r="H2442" s="14" t="n">
        <v>141825.97</v>
      </c>
      <c r="I2442" s="14" t="n">
        <v>4464.26</v>
      </c>
      <c r="J2442" s="14" t="n">
        <v>9615.32</v>
      </c>
      <c r="K2442" s="14" t="n">
        <v>2107.82</v>
      </c>
      <c r="L2442" s="14" t="n">
        <v>9708.73</v>
      </c>
      <c r="M2442" s="14">
        <f>IF(B2442="Frete de venda",0,(1-ISNUMBER(SEARCH("556",P2442)))*(I2442*VLOOKUP($B2442,Premissas!$A$4:$E$7,2,0)+J2442*VLOOKUP($B2442,Premissas!$A$4:$E$7,3,0))+K2442*VLOOKUP($B2442,Premissas!$A$4:$E$7,4,0)+L2442*VLOOKUP($B2442,Premissas!$A$4:$E$7,5,0))</f>
        <v/>
      </c>
      <c r="N2442" s="14">
        <f>H2442-M2442</f>
        <v/>
      </c>
      <c r="O2442" t="inlineStr">
        <is>
          <t>Sim</t>
        </is>
      </c>
      <c r="P2442" t="inlineStr">
        <is>
          <t>1.556</t>
        </is>
      </c>
    </row>
    <row r="2443">
      <c r="A2443" s="24" t="n">
        <v>46054</v>
      </c>
      <c r="B2443" t="inlineStr">
        <is>
          <t>Insumos e papel</t>
        </is>
      </c>
      <c r="C2443" t="inlineStr">
        <is>
          <t>2.01.03 Compra de Matéria Prima (Papel)</t>
        </is>
      </c>
      <c r="D2443" t="inlineStr">
        <is>
          <t>NF-e</t>
        </is>
      </c>
      <c r="E2443" t="inlineStr">
        <is>
          <t>000012358</t>
        </is>
      </c>
      <c r="F2443" t="inlineStr">
        <is>
          <t>CMPC Iguacu Embalagens Ltda</t>
        </is>
      </c>
      <c r="G2443" s="27" t="n">
        <v>46077</v>
      </c>
      <c r="H2443" s="14" t="n">
        <v>143651.56</v>
      </c>
      <c r="I2443" s="14" t="n">
        <v>4521.72</v>
      </c>
      <c r="J2443" s="14" t="n">
        <v>9739.09</v>
      </c>
      <c r="K2443" s="14" t="n">
        <v>2134.95</v>
      </c>
      <c r="L2443" s="14" t="n">
        <v>9833.700000000001</v>
      </c>
      <c r="M2443" s="14">
        <f>IF(B2443="Frete de venda",0,(1-ISNUMBER(SEARCH("556",P2443)))*(I2443*VLOOKUP($B2443,Premissas!$A$4:$E$7,2,0)+J2443*VLOOKUP($B2443,Premissas!$A$4:$E$7,3,0))+K2443*VLOOKUP($B2443,Premissas!$A$4:$E$7,4,0)+L2443*VLOOKUP($B2443,Premissas!$A$4:$E$7,5,0))</f>
        <v/>
      </c>
      <c r="N2443" s="14">
        <f>H2443-M2443</f>
        <v/>
      </c>
      <c r="O2443" t="inlineStr">
        <is>
          <t>Sim</t>
        </is>
      </c>
      <c r="P2443" t="inlineStr">
        <is>
          <t>1.556</t>
        </is>
      </c>
    </row>
    <row r="2444">
      <c r="A2444" s="24" t="n">
        <v>46054</v>
      </c>
      <c r="B2444" t="inlineStr">
        <is>
          <t>Insumos e papel</t>
        </is>
      </c>
      <c r="C2444" t="inlineStr">
        <is>
          <t>2.01.03 Compra de Matéria Prima (Papel)</t>
        </is>
      </c>
      <c r="D2444" t="inlineStr">
        <is>
          <t>NF-e</t>
        </is>
      </c>
      <c r="E2444" t="inlineStr">
        <is>
          <t>000012365</t>
        </is>
      </c>
      <c r="F2444" t="inlineStr">
        <is>
          <t>CMPC Iguacu Embalagens Ltda</t>
        </is>
      </c>
      <c r="G2444" s="27" t="n">
        <v>46078</v>
      </c>
      <c r="H2444" s="14" t="n">
        <v>143790.34</v>
      </c>
      <c r="I2444" s="14" t="n">
        <v>4526.09</v>
      </c>
      <c r="J2444" s="14" t="n">
        <v>9748.49</v>
      </c>
      <c r="K2444" s="14" t="n">
        <v>2137</v>
      </c>
      <c r="L2444" s="14" t="n">
        <v>9843.200000000001</v>
      </c>
      <c r="M2444" s="14">
        <f>IF(B2444="Frete de venda",0,(1-ISNUMBER(SEARCH("556",P2444)))*(I2444*VLOOKUP($B2444,Premissas!$A$4:$E$7,2,0)+J2444*VLOOKUP($B2444,Premissas!$A$4:$E$7,3,0))+K2444*VLOOKUP($B2444,Premissas!$A$4:$E$7,4,0)+L2444*VLOOKUP($B2444,Premissas!$A$4:$E$7,5,0))</f>
        <v/>
      </c>
      <c r="N2444" s="14">
        <f>H2444-M2444</f>
        <v/>
      </c>
      <c r="O2444" t="inlineStr">
        <is>
          <t>Sim</t>
        </is>
      </c>
      <c r="P2444" t="inlineStr">
        <is>
          <t>1.556</t>
        </is>
      </c>
    </row>
    <row r="2445">
      <c r="A2445" s="24" t="n">
        <v>46054</v>
      </c>
      <c r="B2445" t="inlineStr">
        <is>
          <t>Insumos e papel</t>
        </is>
      </c>
      <c r="C2445" t="inlineStr">
        <is>
          <t>2.01.03 Compra de Matéria Prima (Papel)</t>
        </is>
      </c>
      <c r="D2445" t="inlineStr">
        <is>
          <t>NF-e</t>
        </is>
      </c>
      <c r="E2445" t="inlineStr">
        <is>
          <t>000012367</t>
        </is>
      </c>
      <c r="F2445" t="inlineStr">
        <is>
          <t>CMPC Iguacu Embalagens Ltda</t>
        </is>
      </c>
      <c r="G2445" s="27" t="n">
        <v>46078</v>
      </c>
      <c r="H2445" s="14" t="n">
        <v>144083.95</v>
      </c>
      <c r="I2445" s="14" t="n">
        <v>4535.33</v>
      </c>
      <c r="J2445" s="14" t="n">
        <v>9768.41</v>
      </c>
      <c r="K2445" s="14" t="n">
        <v>2141.37</v>
      </c>
      <c r="L2445" s="14" t="n">
        <v>9863.299999999999</v>
      </c>
      <c r="M2445" s="14">
        <f>IF(B2445="Frete de venda",0,(1-ISNUMBER(SEARCH("556",P2445)))*(I2445*VLOOKUP($B2445,Premissas!$A$4:$E$7,2,0)+J2445*VLOOKUP($B2445,Premissas!$A$4:$E$7,3,0))+K2445*VLOOKUP($B2445,Premissas!$A$4:$E$7,4,0)+L2445*VLOOKUP($B2445,Premissas!$A$4:$E$7,5,0))</f>
        <v/>
      </c>
      <c r="N2445" s="14">
        <f>H2445-M2445</f>
        <v/>
      </c>
      <c r="O2445" t="inlineStr">
        <is>
          <t>Sim</t>
        </is>
      </c>
      <c r="P2445" t="inlineStr">
        <is>
          <t>1.556</t>
        </is>
      </c>
    </row>
    <row r="2446">
      <c r="A2446" s="24" t="n">
        <v>46054</v>
      </c>
      <c r="B2446" t="inlineStr">
        <is>
          <t>Insumos e papel</t>
        </is>
      </c>
      <c r="C2446" t="inlineStr">
        <is>
          <t>2.01.03 Compra de Matéria Prima (Papel)</t>
        </is>
      </c>
      <c r="D2446" t="inlineStr">
        <is>
          <t>NF-e</t>
        </is>
      </c>
      <c r="E2446" t="inlineStr">
        <is>
          <t>000012376</t>
        </is>
      </c>
      <c r="F2446" t="inlineStr">
        <is>
          <t>CMPC Iguacu Embalagens Ltda</t>
        </is>
      </c>
      <c r="G2446" s="27" t="n">
        <v>46078</v>
      </c>
      <c r="H2446" s="14" t="n">
        <v>140582.21</v>
      </c>
      <c r="I2446" s="14" t="n">
        <v>4425.11</v>
      </c>
      <c r="J2446" s="14" t="n">
        <v>9531</v>
      </c>
      <c r="K2446" s="14" t="n">
        <v>2089.32</v>
      </c>
      <c r="L2446" s="14" t="n">
        <v>9623.58</v>
      </c>
      <c r="M2446" s="14">
        <f>IF(B2446="Frete de venda",0,(1-ISNUMBER(SEARCH("556",P2446)))*(I2446*VLOOKUP($B2446,Premissas!$A$4:$E$7,2,0)+J2446*VLOOKUP($B2446,Premissas!$A$4:$E$7,3,0))+K2446*VLOOKUP($B2446,Premissas!$A$4:$E$7,4,0)+L2446*VLOOKUP($B2446,Premissas!$A$4:$E$7,5,0))</f>
        <v/>
      </c>
      <c r="N2446" s="14">
        <f>H2446-M2446</f>
        <v/>
      </c>
      <c r="O2446" t="inlineStr">
        <is>
          <t>Sim</t>
        </is>
      </c>
      <c r="P2446" t="inlineStr">
        <is>
          <t>1.556</t>
        </is>
      </c>
    </row>
    <row r="2447">
      <c r="A2447" s="24" t="n">
        <v>46054</v>
      </c>
      <c r="B2447" t="inlineStr">
        <is>
          <t>Insumos e papel</t>
        </is>
      </c>
      <c r="C2447" t="inlineStr">
        <is>
          <t>2.01.03 Compra de Matéria Prima (Papel)</t>
        </is>
      </c>
      <c r="D2447" t="inlineStr">
        <is>
          <t>NF-e</t>
        </is>
      </c>
      <c r="E2447" t="inlineStr">
        <is>
          <t>000012381</t>
        </is>
      </c>
      <c r="F2447" t="inlineStr">
        <is>
          <t>CMPC Iguacu Embalagens Ltda</t>
        </is>
      </c>
      <c r="G2447" s="27" t="n">
        <v>46079</v>
      </c>
      <c r="H2447" s="14" t="n">
        <v>143630.22</v>
      </c>
      <c r="I2447" s="14" t="n">
        <v>4521.05</v>
      </c>
      <c r="J2447" s="14" t="n">
        <v>9737.639999999999</v>
      </c>
      <c r="K2447" s="14" t="n">
        <v>2134.63</v>
      </c>
      <c r="L2447" s="14" t="n">
        <v>9832.219999999999</v>
      </c>
      <c r="M2447" s="14">
        <f>IF(B2447="Frete de venda",0,(1-ISNUMBER(SEARCH("556",P2447)))*(I2447*VLOOKUP($B2447,Premissas!$A$4:$E$7,2,0)+J2447*VLOOKUP($B2447,Premissas!$A$4:$E$7,3,0))+K2447*VLOOKUP($B2447,Premissas!$A$4:$E$7,4,0)+L2447*VLOOKUP($B2447,Premissas!$A$4:$E$7,5,0))</f>
        <v/>
      </c>
      <c r="N2447" s="14">
        <f>H2447-M2447</f>
        <v/>
      </c>
      <c r="O2447" t="inlineStr">
        <is>
          <t>Sim</t>
        </is>
      </c>
      <c r="P2447" t="inlineStr">
        <is>
          <t>1.556</t>
        </is>
      </c>
    </row>
    <row r="2448">
      <c r="A2448" s="24" t="n">
        <v>46054</v>
      </c>
      <c r="B2448" t="inlineStr">
        <is>
          <t>Insumos e papel</t>
        </is>
      </c>
      <c r="C2448" t="inlineStr">
        <is>
          <t>2.01.03 Compra de Matéria Prima (Papel)</t>
        </is>
      </c>
      <c r="D2448" t="inlineStr">
        <is>
          <t>NF-e</t>
        </is>
      </c>
      <c r="E2448" t="inlineStr">
        <is>
          <t>000012389</t>
        </is>
      </c>
      <c r="F2448" t="inlineStr">
        <is>
          <t>CMPC Iguacu Embalagens Ltda</t>
        </is>
      </c>
      <c r="G2448" s="27" t="n">
        <v>46079</v>
      </c>
      <c r="H2448" s="14" t="n">
        <v>144724.51</v>
      </c>
      <c r="I2448" s="14" t="n">
        <v>4555.49</v>
      </c>
      <c r="J2448" s="14" t="n">
        <v>9811.83</v>
      </c>
      <c r="K2448" s="14" t="n">
        <v>2150.89</v>
      </c>
      <c r="L2448" s="14" t="n">
        <v>9907.15</v>
      </c>
      <c r="M2448" s="14">
        <f>IF(B2448="Frete de venda",0,(1-ISNUMBER(SEARCH("556",P2448)))*(I2448*VLOOKUP($B2448,Premissas!$A$4:$E$7,2,0)+J2448*VLOOKUP($B2448,Premissas!$A$4:$E$7,3,0))+K2448*VLOOKUP($B2448,Premissas!$A$4:$E$7,4,0)+L2448*VLOOKUP($B2448,Premissas!$A$4:$E$7,5,0))</f>
        <v/>
      </c>
      <c r="N2448" s="14">
        <f>H2448-M2448</f>
        <v/>
      </c>
      <c r="O2448" t="inlineStr">
        <is>
          <t>Sim</t>
        </is>
      </c>
      <c r="P2448" t="inlineStr">
        <is>
          <t>1.556</t>
        </is>
      </c>
    </row>
    <row r="2449">
      <c r="A2449" s="24" t="n">
        <v>46054</v>
      </c>
      <c r="B2449" t="inlineStr">
        <is>
          <t>Insumos e papel</t>
        </is>
      </c>
      <c r="C2449" t="inlineStr">
        <is>
          <t>2.01.03 Compra de Matéria Prima (Papel)</t>
        </is>
      </c>
      <c r="D2449" t="inlineStr">
        <is>
          <t>NF-e</t>
        </is>
      </c>
      <c r="E2449" t="inlineStr">
        <is>
          <t>000012395</t>
        </is>
      </c>
      <c r="F2449" t="inlineStr">
        <is>
          <t>CMPC Iguacu Embalagens Ltda</t>
        </is>
      </c>
      <c r="G2449" s="27" t="n">
        <v>46079</v>
      </c>
      <c r="H2449" s="14" t="n">
        <v>143128.43</v>
      </c>
      <c r="I2449" s="14" t="n">
        <v>4505.25</v>
      </c>
      <c r="J2449" s="14" t="n">
        <v>9703.620000000001</v>
      </c>
      <c r="K2449" s="14" t="n">
        <v>2127.17</v>
      </c>
      <c r="L2449" s="14" t="n">
        <v>9797.889999999999</v>
      </c>
      <c r="M2449" s="14">
        <f>IF(B2449="Frete de venda",0,(1-ISNUMBER(SEARCH("556",P2449)))*(I2449*VLOOKUP($B2449,Premissas!$A$4:$E$7,2,0)+J2449*VLOOKUP($B2449,Premissas!$A$4:$E$7,3,0))+K2449*VLOOKUP($B2449,Premissas!$A$4:$E$7,4,0)+L2449*VLOOKUP($B2449,Premissas!$A$4:$E$7,5,0))</f>
        <v/>
      </c>
      <c r="N2449" s="14">
        <f>H2449-M2449</f>
        <v/>
      </c>
      <c r="O2449" t="inlineStr">
        <is>
          <t>Sim</t>
        </is>
      </c>
      <c r="P2449" t="inlineStr">
        <is>
          <t>1.101</t>
        </is>
      </c>
    </row>
    <row r="2450">
      <c r="A2450" s="24" t="n">
        <v>46054</v>
      </c>
      <c r="B2450" t="inlineStr">
        <is>
          <t>Insumos e papel</t>
        </is>
      </c>
      <c r="C2450" t="inlineStr">
        <is>
          <t>2.01.03 Compra de Matéria Prima (Papel)</t>
        </is>
      </c>
      <c r="D2450" t="inlineStr">
        <is>
          <t>NF-e</t>
        </is>
      </c>
      <c r="E2450" t="inlineStr">
        <is>
          <t>000012408</t>
        </is>
      </c>
      <c r="F2450" t="inlineStr">
        <is>
          <t>CMPC Iguacu Embalagens Ltda</t>
        </is>
      </c>
      <c r="G2450" s="27" t="n">
        <v>46080</v>
      </c>
      <c r="H2450" s="14" t="n">
        <v>144366.86</v>
      </c>
      <c r="I2450" s="14" t="n">
        <v>4544.23</v>
      </c>
      <c r="J2450" s="14" t="n">
        <v>9787.59</v>
      </c>
      <c r="K2450" s="14" t="n">
        <v>2145.57</v>
      </c>
      <c r="L2450" s="14" t="n">
        <v>9882.66</v>
      </c>
      <c r="M2450" s="14">
        <f>IF(B2450="Frete de venda",0,(1-ISNUMBER(SEARCH("556",P2450)))*(I2450*VLOOKUP($B2450,Premissas!$A$4:$E$7,2,0)+J2450*VLOOKUP($B2450,Premissas!$A$4:$E$7,3,0))+K2450*VLOOKUP($B2450,Premissas!$A$4:$E$7,4,0)+L2450*VLOOKUP($B2450,Premissas!$A$4:$E$7,5,0))</f>
        <v/>
      </c>
      <c r="N2450" s="14">
        <f>H2450-M2450</f>
        <v/>
      </c>
      <c r="O2450" t="inlineStr">
        <is>
          <t>Sim</t>
        </is>
      </c>
      <c r="P2450" t="inlineStr">
        <is>
          <t>1.556</t>
        </is>
      </c>
    </row>
    <row r="2451">
      <c r="A2451" s="24" t="n">
        <v>46054</v>
      </c>
      <c r="B2451" t="inlineStr">
        <is>
          <t>Uso e consumo</t>
        </is>
      </c>
      <c r="C2451" t="inlineStr">
        <is>
          <t>2.01.85 Compra de Uso e Consumo</t>
        </is>
      </c>
      <c r="D2451" t="inlineStr">
        <is>
          <t>NF-e</t>
        </is>
      </c>
      <c r="E2451" t="inlineStr">
        <is>
          <t>000005852</t>
        </is>
      </c>
      <c r="F2451" t="inlineStr">
        <is>
          <t>GDM INDUSTRIA E COMERCIO DE PLASTICOS LTDA.</t>
        </is>
      </c>
      <c r="G2451" s="27" t="n">
        <v>46076</v>
      </c>
      <c r="H2451" s="14" t="n">
        <v>6214.03</v>
      </c>
      <c r="I2451" s="14" t="n">
        <v>810.53</v>
      </c>
      <c r="J2451" s="14" t="n">
        <v>648.42</v>
      </c>
      <c r="K2451" s="14" t="n">
        <v>78.45999999999999</v>
      </c>
      <c r="L2451" s="14" t="n">
        <v>361.39</v>
      </c>
      <c r="M2451" s="14">
        <f>IF(B2451="Frete de venda",0,(1-ISNUMBER(SEARCH("556",P2451)))*(I2451*VLOOKUP($B2451,Premissas!$A$4:$E$7,2,0)+J2451*VLOOKUP($B2451,Premissas!$A$4:$E$7,3,0))+K2451*VLOOKUP($B2451,Premissas!$A$4:$E$7,4,0)+L2451*VLOOKUP($B2451,Premissas!$A$4:$E$7,5,0))</f>
        <v/>
      </c>
      <c r="N2451" s="14">
        <f>H2451-M2451</f>
        <v/>
      </c>
      <c r="O2451" t="inlineStr">
        <is>
          <t>Sim</t>
        </is>
      </c>
      <c r="P2451" t="inlineStr">
        <is>
          <t>2.102</t>
        </is>
      </c>
    </row>
    <row r="2452">
      <c r="A2452" s="24" t="n">
        <v>46054</v>
      </c>
      <c r="B2452" t="inlineStr">
        <is>
          <t>Uso e consumo</t>
        </is>
      </c>
      <c r="C2452" t="inlineStr">
        <is>
          <t>2.01.85 Compra de Uso e Consumo</t>
        </is>
      </c>
      <c r="D2452" t="inlineStr">
        <is>
          <t>NF-e</t>
        </is>
      </c>
      <c r="E2452" t="inlineStr">
        <is>
          <t>000083035</t>
        </is>
      </c>
      <c r="F2452" t="inlineStr">
        <is>
          <t>KALUNGA SA</t>
        </is>
      </c>
      <c r="G2452" s="27" t="n">
        <v>46079</v>
      </c>
      <c r="H2452" s="14" t="n">
        <v>33.3</v>
      </c>
      <c r="I2452" s="14" t="n">
        <v>0</v>
      </c>
      <c r="J2452" s="14" t="n">
        <v>46.56</v>
      </c>
      <c r="K2452" s="14" t="n">
        <v>3.07</v>
      </c>
      <c r="L2452" s="14" t="n">
        <v>14.16</v>
      </c>
      <c r="M2452" s="14">
        <f>IF(B2452="Frete de venda",0,(1-ISNUMBER(SEARCH("556",P2452)))*(I2452*VLOOKUP($B2452,Premissas!$A$4:$E$7,2,0)+J2452*VLOOKUP($B2452,Premissas!$A$4:$E$7,3,0))+K2452*VLOOKUP($B2452,Premissas!$A$4:$E$7,4,0)+L2452*VLOOKUP($B2452,Premissas!$A$4:$E$7,5,0))</f>
        <v/>
      </c>
      <c r="N2452" s="14">
        <f>H2452-M2452</f>
        <v/>
      </c>
      <c r="O2452" t="inlineStr">
        <is>
          <t>Sim</t>
        </is>
      </c>
      <c r="P2452" t="inlineStr">
        <is>
          <t>1.102, 1.556</t>
        </is>
      </c>
    </row>
    <row r="2453">
      <c r="A2453" s="24" t="n">
        <v>46054</v>
      </c>
      <c r="B2453" t="inlineStr">
        <is>
          <t>Uso e consumo</t>
        </is>
      </c>
      <c r="C2453" t="inlineStr">
        <is>
          <t>2.01.85 Compra de Uso e Consumo</t>
        </is>
      </c>
      <c r="D2453" t="inlineStr">
        <is>
          <t>NF-e</t>
        </is>
      </c>
      <c r="E2453" t="inlineStr">
        <is>
          <t>000010153</t>
        </is>
      </c>
      <c r="F2453" t="inlineStr">
        <is>
          <t>L M ARAUJO</t>
        </is>
      </c>
      <c r="G2453" s="27" t="n">
        <v>46080</v>
      </c>
      <c r="H2453" s="14" t="n">
        <v>1950</v>
      </c>
      <c r="I2453" s="14" t="n">
        <v>0</v>
      </c>
      <c r="J2453" s="14" t="n">
        <v>0</v>
      </c>
      <c r="K2453" s="14" t="n">
        <v>0</v>
      </c>
      <c r="L2453" s="14" t="n">
        <v>0</v>
      </c>
      <c r="M2453" s="14">
        <f>IF(B2453="Frete de venda",0,(1-ISNUMBER(SEARCH("556",P2453)))*(I2453*VLOOKUP($B2453,Premissas!$A$4:$E$7,2,0)+J2453*VLOOKUP($B2453,Premissas!$A$4:$E$7,3,0))+K2453*VLOOKUP($B2453,Premissas!$A$4:$E$7,4,0)+L2453*VLOOKUP($B2453,Premissas!$A$4:$E$7,5,0))</f>
        <v/>
      </c>
      <c r="N2453" s="14">
        <f>H2453-M2453</f>
        <v/>
      </c>
      <c r="O2453" t="inlineStr">
        <is>
          <t>Sim</t>
        </is>
      </c>
      <c r="P2453" t="inlineStr">
        <is>
          <t>1.102</t>
        </is>
      </c>
    </row>
    <row r="2454">
      <c r="A2454" s="24" t="n">
        <v>46054</v>
      </c>
      <c r="B2454" t="inlineStr">
        <is>
          <t>Uso e consumo</t>
        </is>
      </c>
      <c r="C2454" t="inlineStr">
        <is>
          <t>2.01.85 Compra de Uso e Consumo</t>
        </is>
      </c>
      <c r="D2454" t="inlineStr">
        <is>
          <t>NF-e</t>
        </is>
      </c>
      <c r="E2454" t="inlineStr">
        <is>
          <t>000006826</t>
        </is>
      </c>
      <c r="F2454" t="inlineStr">
        <is>
          <t>SUPERGASBRAS ENERGIA LTDA</t>
        </is>
      </c>
      <c r="G2454" s="27" t="n">
        <v>46055</v>
      </c>
      <c r="H2454" s="14" t="n">
        <v>615.5599999999999</v>
      </c>
      <c r="I2454" s="14" t="n">
        <v>0</v>
      </c>
      <c r="J2454" s="14" t="n">
        <v>0</v>
      </c>
      <c r="K2454" s="14" t="n">
        <v>0</v>
      </c>
      <c r="L2454" s="14" t="n">
        <v>0</v>
      </c>
      <c r="M2454" s="14">
        <f>IF(B2454="Frete de venda",0,(1-ISNUMBER(SEARCH("556",P2454)))*(I2454*VLOOKUP($B2454,Premissas!$A$4:$E$7,2,0)+J2454*VLOOKUP($B2454,Premissas!$A$4:$E$7,3,0))+K2454*VLOOKUP($B2454,Premissas!$A$4:$E$7,4,0)+L2454*VLOOKUP($B2454,Premissas!$A$4:$E$7,5,0))</f>
        <v/>
      </c>
      <c r="N2454" s="14">
        <f>H2454-M2454</f>
        <v/>
      </c>
      <c r="O2454" t="inlineStr">
        <is>
          <t>Sim</t>
        </is>
      </c>
      <c r="P2454" t="inlineStr">
        <is>
          <t>1.653</t>
        </is>
      </c>
    </row>
    <row r="2455">
      <c r="A2455" s="24" t="n">
        <v>46054</v>
      </c>
      <c r="B2455" t="inlineStr">
        <is>
          <t>Uso e consumo</t>
        </is>
      </c>
      <c r="C2455" t="inlineStr">
        <is>
          <t>2.01.85 Compra de Uso e Consumo</t>
        </is>
      </c>
      <c r="D2455" t="inlineStr">
        <is>
          <t>NF-e</t>
        </is>
      </c>
      <c r="E2455" t="inlineStr">
        <is>
          <t>000006894</t>
        </is>
      </c>
      <c r="F2455" t="inlineStr">
        <is>
          <t>SUPERGASBRAS ENERGIA LTDA</t>
        </is>
      </c>
      <c r="G2455" s="27" t="n">
        <v>46062</v>
      </c>
      <c r="H2455" s="14" t="n">
        <v>461.67</v>
      </c>
      <c r="I2455" s="14" t="n">
        <v>0</v>
      </c>
      <c r="J2455" s="14" t="n">
        <v>0</v>
      </c>
      <c r="K2455" s="14" t="n">
        <v>0</v>
      </c>
      <c r="L2455" s="14" t="n">
        <v>0</v>
      </c>
      <c r="M2455" s="14">
        <f>IF(B2455="Frete de venda",0,(1-ISNUMBER(SEARCH("556",P2455)))*(I2455*VLOOKUP($B2455,Premissas!$A$4:$E$7,2,0)+J2455*VLOOKUP($B2455,Premissas!$A$4:$E$7,3,0))+K2455*VLOOKUP($B2455,Premissas!$A$4:$E$7,4,0)+L2455*VLOOKUP($B2455,Premissas!$A$4:$E$7,5,0))</f>
        <v/>
      </c>
      <c r="N2455" s="14">
        <f>H2455-M2455</f>
        <v/>
      </c>
      <c r="O2455" t="inlineStr">
        <is>
          <t>Sim</t>
        </is>
      </c>
      <c r="P2455" t="inlineStr">
        <is>
          <t>1.653</t>
        </is>
      </c>
    </row>
    <row r="2456">
      <c r="A2456" s="24" t="n">
        <v>46054</v>
      </c>
      <c r="B2456" t="inlineStr">
        <is>
          <t>Uso e consumo</t>
        </is>
      </c>
      <c r="C2456" t="inlineStr">
        <is>
          <t>2.01.85 Compra de Uso e Consumo</t>
        </is>
      </c>
      <c r="D2456" t="inlineStr">
        <is>
          <t>NF-e</t>
        </is>
      </c>
      <c r="E2456" t="inlineStr">
        <is>
          <t>000006971</t>
        </is>
      </c>
      <c r="F2456" t="inlineStr">
        <is>
          <t>SUPERGASBRAS ENERGIA LTDA</t>
        </is>
      </c>
      <c r="G2456" s="27" t="n">
        <v>46069</v>
      </c>
      <c r="H2456" s="14" t="n">
        <v>461.67</v>
      </c>
      <c r="I2456" s="14" t="n">
        <v>0</v>
      </c>
      <c r="J2456" s="14" t="n">
        <v>0</v>
      </c>
      <c r="K2456" s="14" t="n">
        <v>0</v>
      </c>
      <c r="L2456" s="14" t="n">
        <v>0</v>
      </c>
      <c r="M2456" s="14">
        <f>IF(B2456="Frete de venda",0,(1-ISNUMBER(SEARCH("556",P2456)))*(I2456*VLOOKUP($B2456,Premissas!$A$4:$E$7,2,0)+J2456*VLOOKUP($B2456,Premissas!$A$4:$E$7,3,0))+K2456*VLOOKUP($B2456,Premissas!$A$4:$E$7,4,0)+L2456*VLOOKUP($B2456,Premissas!$A$4:$E$7,5,0))</f>
        <v/>
      </c>
      <c r="N2456" s="14">
        <f>H2456-M2456</f>
        <v/>
      </c>
      <c r="O2456" t="inlineStr">
        <is>
          <t>Sim</t>
        </is>
      </c>
      <c r="P2456" t="inlineStr">
        <is>
          <t>1.653</t>
        </is>
      </c>
    </row>
    <row r="2457">
      <c r="A2457" s="24" t="n">
        <v>46054</v>
      </c>
      <c r="B2457" t="inlineStr">
        <is>
          <t>Uso e consumo</t>
        </is>
      </c>
      <c r="C2457" t="inlineStr">
        <is>
          <t>2.01.85 Compra de Uso e Consumo</t>
        </is>
      </c>
      <c r="D2457" t="inlineStr">
        <is>
          <t>NF-e</t>
        </is>
      </c>
      <c r="E2457" t="inlineStr">
        <is>
          <t>000007023</t>
        </is>
      </c>
      <c r="F2457" t="inlineStr">
        <is>
          <t>SUPERGASBRAS ENERGIA LTDA</t>
        </is>
      </c>
      <c r="G2457" s="27" t="n">
        <v>46076</v>
      </c>
      <c r="H2457" s="14" t="n">
        <v>461.67</v>
      </c>
      <c r="I2457" s="14" t="n">
        <v>0</v>
      </c>
      <c r="J2457" s="14" t="n">
        <v>0</v>
      </c>
      <c r="K2457" s="14" t="n">
        <v>0</v>
      </c>
      <c r="L2457" s="14" t="n">
        <v>0</v>
      </c>
      <c r="M2457" s="14">
        <f>IF(B2457="Frete de venda",0,(1-ISNUMBER(SEARCH("556",P2457)))*(I2457*VLOOKUP($B2457,Premissas!$A$4:$E$7,2,0)+J2457*VLOOKUP($B2457,Premissas!$A$4:$E$7,3,0))+K2457*VLOOKUP($B2457,Premissas!$A$4:$E$7,4,0)+L2457*VLOOKUP($B2457,Premissas!$A$4:$E$7,5,0))</f>
        <v/>
      </c>
      <c r="N2457" s="14">
        <f>H2457-M2457</f>
        <v/>
      </c>
      <c r="O2457" t="inlineStr">
        <is>
          <t>Sim</t>
        </is>
      </c>
      <c r="P2457" t="inlineStr">
        <is>
          <t>1.653</t>
        </is>
      </c>
    </row>
    <row r="2458">
      <c r="A2458" s="24" t="n">
        <v>46054</v>
      </c>
      <c r="B2458" t="inlineStr">
        <is>
          <t>Uso e consumo</t>
        </is>
      </c>
      <c r="C2458" t="inlineStr">
        <is>
          <t>2.01.85 Compra de Uso e Consumo</t>
        </is>
      </c>
      <c r="D2458" t="inlineStr">
        <is>
          <t>NF-e</t>
        </is>
      </c>
      <c r="E2458" t="inlineStr">
        <is>
          <t>000007086</t>
        </is>
      </c>
      <c r="F2458" t="inlineStr">
        <is>
          <t>SUPERGASBRAS ENERGIA LTDA</t>
        </is>
      </c>
      <c r="G2458" s="27" t="n">
        <v>46080</v>
      </c>
      <c r="H2458" s="14" t="n">
        <v>307.78</v>
      </c>
      <c r="I2458" s="14" t="n">
        <v>0</v>
      </c>
      <c r="J2458" s="14" t="n">
        <v>0</v>
      </c>
      <c r="K2458" s="14" t="n">
        <v>0</v>
      </c>
      <c r="L2458" s="14" t="n">
        <v>0</v>
      </c>
      <c r="M2458" s="14">
        <f>IF(B2458="Frete de venda",0,(1-ISNUMBER(SEARCH("556",P2458)))*(I2458*VLOOKUP($B2458,Premissas!$A$4:$E$7,2,0)+J2458*VLOOKUP($B2458,Premissas!$A$4:$E$7,3,0))+K2458*VLOOKUP($B2458,Premissas!$A$4:$E$7,4,0)+L2458*VLOOKUP($B2458,Premissas!$A$4:$E$7,5,0))</f>
        <v/>
      </c>
      <c r="N2458" s="14">
        <f>H2458-M2458</f>
        <v/>
      </c>
      <c r="O2458" t="inlineStr">
        <is>
          <t>Sim</t>
        </is>
      </c>
      <c r="P2458" t="inlineStr">
        <is>
          <t>1.653</t>
        </is>
      </c>
    </row>
    <row r="2459">
      <c r="A2459" s="24" t="n">
        <v>46054</v>
      </c>
      <c r="B2459" t="inlineStr">
        <is>
          <t>Uso e consumo</t>
        </is>
      </c>
      <c r="C2459" t="inlineStr">
        <is>
          <t>2.01.87 Compra de Peças de Máquinas</t>
        </is>
      </c>
      <c r="D2459" t="inlineStr">
        <is>
          <t>NF-e</t>
        </is>
      </c>
      <c r="E2459" t="inlineStr">
        <is>
          <t>000019128</t>
        </is>
      </c>
      <c r="F2459" t="inlineStr">
        <is>
          <t>B. B. A. INDUSTRIA E COMERCIO IMPORTACAO E EXPORTACAO LTDA</t>
        </is>
      </c>
      <c r="G2459" s="27" t="n">
        <v>46073</v>
      </c>
      <c r="H2459" s="14" t="n">
        <v>211</v>
      </c>
      <c r="I2459" s="14" t="n">
        <v>0</v>
      </c>
      <c r="J2459" s="14" t="n">
        <v>8.44</v>
      </c>
      <c r="K2459" s="14" t="n">
        <v>2.64</v>
      </c>
      <c r="L2459" s="14" t="n">
        <v>12.15</v>
      </c>
      <c r="M2459" s="14">
        <f>IF(B2459="Frete de venda",0,(1-ISNUMBER(SEARCH("556",P2459)))*(I2459*VLOOKUP($B2459,Premissas!$A$4:$E$7,2,0)+J2459*VLOOKUP($B2459,Premissas!$A$4:$E$7,3,0))+K2459*VLOOKUP($B2459,Premissas!$A$4:$E$7,4,0)+L2459*VLOOKUP($B2459,Premissas!$A$4:$E$7,5,0))</f>
        <v/>
      </c>
      <c r="N2459" s="14">
        <f>H2459-M2459</f>
        <v/>
      </c>
      <c r="O2459" t="inlineStr">
        <is>
          <t>Sim</t>
        </is>
      </c>
      <c r="P2459" t="inlineStr">
        <is>
          <t>2.102</t>
        </is>
      </c>
    </row>
    <row r="2460">
      <c r="A2460" s="24" t="n">
        <v>46054</v>
      </c>
      <c r="B2460" t="inlineStr">
        <is>
          <t>Uso e consumo</t>
        </is>
      </c>
      <c r="C2460" t="inlineStr">
        <is>
          <t>2.01.87 Compra de Peças de Máquinas</t>
        </is>
      </c>
      <c r="D2460" t="inlineStr">
        <is>
          <t>NF-e</t>
        </is>
      </c>
      <c r="E2460" t="inlineStr">
        <is>
          <t>000101385</t>
        </is>
      </c>
      <c r="F2460" t="inlineStr">
        <is>
          <t>FERGE COMERCIO DE PRODUTOS INDUSTRIAIS LTDA</t>
        </is>
      </c>
      <c r="G2460" s="27" t="n">
        <v>46055</v>
      </c>
      <c r="H2460" s="14" t="n">
        <v>590</v>
      </c>
      <c r="I2460" s="14" t="n">
        <v>0</v>
      </c>
      <c r="J2460" s="14" t="n">
        <v>118</v>
      </c>
      <c r="K2460" s="14" t="n">
        <v>0</v>
      </c>
      <c r="L2460" s="14" t="n">
        <v>0</v>
      </c>
      <c r="M2460" s="14">
        <f>IF(B2460="Frete de venda",0,(1-ISNUMBER(SEARCH("556",P2460)))*(I2460*VLOOKUP($B2460,Premissas!$A$4:$E$7,2,0)+J2460*VLOOKUP($B2460,Premissas!$A$4:$E$7,3,0))+K2460*VLOOKUP($B2460,Premissas!$A$4:$E$7,4,0)+L2460*VLOOKUP($B2460,Premissas!$A$4:$E$7,5,0))</f>
        <v/>
      </c>
      <c r="N2460" s="14">
        <f>H2460-M2460</f>
        <v/>
      </c>
      <c r="O2460" t="inlineStr">
        <is>
          <t>Sim</t>
        </is>
      </c>
      <c r="P2460" t="inlineStr">
        <is>
          <t>1.102</t>
        </is>
      </c>
    </row>
    <row r="2461">
      <c r="A2461" s="24" t="n">
        <v>46054</v>
      </c>
      <c r="B2461" t="inlineStr">
        <is>
          <t>Uso e consumo</t>
        </is>
      </c>
      <c r="C2461" t="inlineStr">
        <is>
          <t>2.01.87 Compra de Peças de Máquinas</t>
        </is>
      </c>
      <c r="D2461" t="inlineStr">
        <is>
          <t>NF-e</t>
        </is>
      </c>
      <c r="E2461" t="inlineStr">
        <is>
          <t>000071288</t>
        </is>
      </c>
      <c r="F2461" t="inlineStr">
        <is>
          <t>FURNAX COMERCIAL E IMPORTADORA EIRELI</t>
        </is>
      </c>
      <c r="G2461" s="27" t="n">
        <v>46077</v>
      </c>
      <c r="H2461" s="14" t="n">
        <v>15226.23</v>
      </c>
      <c r="I2461" s="14" t="n">
        <v>479.27</v>
      </c>
      <c r="J2461" s="14" t="n">
        <v>609.05</v>
      </c>
      <c r="K2461" s="14" t="n">
        <v>233.27</v>
      </c>
      <c r="L2461" s="14" t="n">
        <v>1074.49</v>
      </c>
      <c r="M2461" s="14">
        <f>IF(B2461="Frete de venda",0,(1-ISNUMBER(SEARCH("556",P2461)))*(I2461*VLOOKUP($B2461,Premissas!$A$4:$E$7,2,0)+J2461*VLOOKUP($B2461,Premissas!$A$4:$E$7,3,0))+K2461*VLOOKUP($B2461,Premissas!$A$4:$E$7,4,0)+L2461*VLOOKUP($B2461,Premissas!$A$4:$E$7,5,0))</f>
        <v/>
      </c>
      <c r="N2461" s="14">
        <f>H2461-M2461</f>
        <v/>
      </c>
      <c r="O2461" t="inlineStr">
        <is>
          <t>Sim</t>
        </is>
      </c>
      <c r="P2461" t="inlineStr">
        <is>
          <t>2.102</t>
        </is>
      </c>
    </row>
    <row r="2462">
      <c r="A2462" s="24" t="n">
        <v>46054</v>
      </c>
      <c r="B2462" t="inlineStr">
        <is>
          <t>Uso e consumo</t>
        </is>
      </c>
      <c r="C2462" t="inlineStr">
        <is>
          <t>2.01.87 Compra de Peças de Máquinas</t>
        </is>
      </c>
      <c r="D2462" t="inlineStr">
        <is>
          <t>NF-e</t>
        </is>
      </c>
      <c r="E2462" t="inlineStr">
        <is>
          <t>000003744</t>
        </is>
      </c>
      <c r="F2462" t="inlineStr">
        <is>
          <t>GLOBAL DISTRIBUICAO DE BENS DE CONS LTDA.</t>
        </is>
      </c>
      <c r="G2462" s="27" t="n">
        <v>46073</v>
      </c>
      <c r="H2462" s="14" t="n">
        <v>399</v>
      </c>
      <c r="I2462" s="14" t="n">
        <v>0</v>
      </c>
      <c r="J2462" s="14" t="n">
        <v>27.93</v>
      </c>
      <c r="K2462" s="14" t="n">
        <v>6.12</v>
      </c>
      <c r="L2462" s="14" t="n">
        <v>28.2</v>
      </c>
      <c r="M2462" s="14">
        <f>IF(B2462="Frete de venda",0,(1-ISNUMBER(SEARCH("556",P2462)))*(I2462*VLOOKUP($B2462,Premissas!$A$4:$E$7,2,0)+J2462*VLOOKUP($B2462,Premissas!$A$4:$E$7,3,0))+K2462*VLOOKUP($B2462,Premissas!$A$4:$E$7,4,0)+L2462*VLOOKUP($B2462,Premissas!$A$4:$E$7,5,0))</f>
        <v/>
      </c>
      <c r="N2462" s="14">
        <f>H2462-M2462</f>
        <v/>
      </c>
      <c r="O2462" t="inlineStr">
        <is>
          <t>Sim</t>
        </is>
      </c>
      <c r="P2462" t="inlineStr">
        <is>
          <t>1.102</t>
        </is>
      </c>
    </row>
    <row r="2463">
      <c r="A2463" s="24" t="n">
        <v>46054</v>
      </c>
      <c r="B2463" t="inlineStr">
        <is>
          <t>Uso e consumo</t>
        </is>
      </c>
      <c r="C2463" t="inlineStr">
        <is>
          <t>2.01.87 Compra de Peças de Máquinas</t>
        </is>
      </c>
      <c r="D2463" t="inlineStr">
        <is>
          <t>NF-e</t>
        </is>
      </c>
      <c r="E2463" t="inlineStr">
        <is>
          <t>000000074</t>
        </is>
      </c>
      <c r="F2463" t="inlineStr">
        <is>
          <t>INDUTECH EQUIPAMENTOS E SERVICOS LTDA</t>
        </is>
      </c>
      <c r="G2463" s="27" t="n">
        <v>46057</v>
      </c>
      <c r="H2463" s="14" t="n">
        <v>3573.1</v>
      </c>
      <c r="I2463" s="14" t="n">
        <v>0</v>
      </c>
      <c r="J2463" s="14" t="n">
        <v>0</v>
      </c>
      <c r="K2463" s="14" t="n">
        <v>0</v>
      </c>
      <c r="L2463" s="14" t="n">
        <v>0</v>
      </c>
      <c r="M2463" s="14">
        <f>IF(B2463="Frete de venda",0,(1-ISNUMBER(SEARCH("556",P2463)))*(I2463*VLOOKUP($B2463,Premissas!$A$4:$E$7,2,0)+J2463*VLOOKUP($B2463,Premissas!$A$4:$E$7,3,0))+K2463*VLOOKUP($B2463,Premissas!$A$4:$E$7,4,0)+L2463*VLOOKUP($B2463,Premissas!$A$4:$E$7,5,0))</f>
        <v/>
      </c>
      <c r="N2463" s="14">
        <f>H2463-M2463</f>
        <v/>
      </c>
      <c r="O2463" t="inlineStr">
        <is>
          <t>Sim</t>
        </is>
      </c>
      <c r="P2463" t="inlineStr">
        <is>
          <t>2.102, 2.403</t>
        </is>
      </c>
    </row>
    <row r="2464">
      <c r="A2464" s="24" t="n">
        <v>46054</v>
      </c>
      <c r="B2464" t="inlineStr">
        <is>
          <t>Insumos e papel</t>
        </is>
      </c>
      <c r="C2464" t="inlineStr">
        <is>
          <t>2.01.89 Compra de Pallet</t>
        </is>
      </c>
      <c r="D2464" t="inlineStr">
        <is>
          <t>NF-e</t>
        </is>
      </c>
      <c r="E2464" t="inlineStr">
        <is>
          <t>000004153</t>
        </is>
      </c>
      <c r="F2464" t="inlineStr">
        <is>
          <t>RECICLAGEM LIBERDADE LTDA</t>
        </is>
      </c>
      <c r="G2464" s="27" t="n">
        <v>46073</v>
      </c>
      <c r="H2464" s="14" t="n">
        <v>1500</v>
      </c>
      <c r="I2464" s="14" t="n">
        <v>0</v>
      </c>
      <c r="J2464" s="14" t="n">
        <v>0</v>
      </c>
      <c r="K2464" s="14" t="n">
        <v>0</v>
      </c>
      <c r="L2464" s="14" t="n">
        <v>0</v>
      </c>
      <c r="M2464" s="14">
        <f>IF(B2464="Frete de venda",0,(1-ISNUMBER(SEARCH("556",P2464)))*(I2464*VLOOKUP($B2464,Premissas!$A$4:$E$7,2,0)+J2464*VLOOKUP($B2464,Premissas!$A$4:$E$7,3,0))+K2464*VLOOKUP($B2464,Premissas!$A$4:$E$7,4,0)+L2464*VLOOKUP($B2464,Premissas!$A$4:$E$7,5,0))</f>
        <v/>
      </c>
      <c r="N2464" s="14">
        <f>H2464-M2464</f>
        <v/>
      </c>
      <c r="O2464" t="inlineStr">
        <is>
          <t>Sim</t>
        </is>
      </c>
      <c r="P2464" t="inlineStr">
        <is>
          <t>1.556</t>
        </is>
      </c>
    </row>
    <row r="2465">
      <c r="A2465" s="24" t="n">
        <v>46054</v>
      </c>
      <c r="B2465" t="inlineStr">
        <is>
          <t>Insumos e papel</t>
        </is>
      </c>
      <c r="C2465" t="inlineStr">
        <is>
          <t>2.01.92 Compra de Tinta</t>
        </is>
      </c>
      <c r="D2465" t="inlineStr">
        <is>
          <t>NF-e</t>
        </is>
      </c>
      <c r="E2465" t="inlineStr">
        <is>
          <t>000015720</t>
        </is>
      </c>
      <c r="F2465" t="inlineStr">
        <is>
          <t>FITTYCOR - INDUSTRIA E COMERCIO DE TINTAS ESPECIAIS LTDA</t>
        </is>
      </c>
      <c r="G2465" s="27" t="n">
        <v>46059</v>
      </c>
      <c r="H2465" s="14" t="n">
        <v>48894.6</v>
      </c>
      <c r="I2465" s="14" t="n">
        <v>0</v>
      </c>
      <c r="J2465" s="14" t="n">
        <v>3422.62</v>
      </c>
      <c r="K2465" s="14" t="n">
        <v>317.82</v>
      </c>
      <c r="L2465" s="14" t="n">
        <v>1466.83</v>
      </c>
      <c r="M2465" s="14">
        <f>IF(B2465="Frete de venda",0,(1-ISNUMBER(SEARCH("556",P2465)))*(I2465*VLOOKUP($B2465,Premissas!$A$4:$E$7,2,0)+J2465*VLOOKUP($B2465,Premissas!$A$4:$E$7,3,0))+K2465*VLOOKUP($B2465,Premissas!$A$4:$E$7,4,0)+L2465*VLOOKUP($B2465,Premissas!$A$4:$E$7,5,0))</f>
        <v/>
      </c>
      <c r="N2465" s="14">
        <f>H2465-M2465</f>
        <v/>
      </c>
      <c r="O2465" t="inlineStr">
        <is>
          <t>Sim</t>
        </is>
      </c>
      <c r="P2465" t="inlineStr">
        <is>
          <t>1.556</t>
        </is>
      </c>
    </row>
    <row r="2466">
      <c r="A2466" s="24" t="n">
        <v>46054</v>
      </c>
      <c r="B2466" t="inlineStr">
        <is>
          <t>Insumos e papel</t>
        </is>
      </c>
      <c r="C2466" t="inlineStr">
        <is>
          <t>2.01.92 Compra de Tinta</t>
        </is>
      </c>
      <c r="D2466" t="inlineStr">
        <is>
          <t>NF-e</t>
        </is>
      </c>
      <c r="E2466" t="inlineStr">
        <is>
          <t>000003102</t>
        </is>
      </c>
      <c r="F2466" t="inlineStr">
        <is>
          <t>PRODUTOS, SERVICOS E TINTAS LATINOAMERICANOS PROYSA LTDA</t>
        </is>
      </c>
      <c r="G2466" s="27" t="n">
        <v>46059</v>
      </c>
      <c r="H2466" s="14" t="n">
        <v>2080</v>
      </c>
      <c r="I2466" s="14" t="n">
        <v>0</v>
      </c>
      <c r="J2466" s="14" t="n">
        <v>83.2</v>
      </c>
      <c r="K2466" s="14" t="n">
        <v>32.95</v>
      </c>
      <c r="L2466" s="14" t="n">
        <v>151.75</v>
      </c>
      <c r="M2466" s="14">
        <f>IF(B2466="Frete de venda",0,(1-ISNUMBER(SEARCH("556",P2466)))*(I2466*VLOOKUP($B2466,Premissas!$A$4:$E$7,2,0)+J2466*VLOOKUP($B2466,Premissas!$A$4:$E$7,3,0))+K2466*VLOOKUP($B2466,Premissas!$A$4:$E$7,4,0)+L2466*VLOOKUP($B2466,Premissas!$A$4:$E$7,5,0))</f>
        <v/>
      </c>
      <c r="N2466" s="14">
        <f>H2466-M2466</f>
        <v/>
      </c>
      <c r="O2466" t="inlineStr">
        <is>
          <t>Sim</t>
        </is>
      </c>
      <c r="P2466" t="inlineStr">
        <is>
          <t>2.102</t>
        </is>
      </c>
    </row>
    <row r="2467">
      <c r="A2467" s="24" t="n">
        <v>46054</v>
      </c>
      <c r="B2467" t="inlineStr">
        <is>
          <t>Insumos e papel</t>
        </is>
      </c>
      <c r="C2467" t="inlineStr">
        <is>
          <t>2.01.93 Compra de Plástico Poliolefínico</t>
        </is>
      </c>
      <c r="D2467" t="inlineStr">
        <is>
          <t>NF-e</t>
        </is>
      </c>
      <c r="E2467" t="inlineStr">
        <is>
          <t>000008030</t>
        </is>
      </c>
      <c r="F2467" t="inlineStr">
        <is>
          <t>ALSTEK SOLUCOES EM EMBALAGENS LTDA</t>
        </is>
      </c>
      <c r="G2467" s="27" t="n">
        <v>46057</v>
      </c>
      <c r="H2467" s="14" t="n">
        <v>52599.91</v>
      </c>
      <c r="I2467" s="14" t="n">
        <v>6860.86</v>
      </c>
      <c r="J2467" s="14" t="n">
        <v>1829.56</v>
      </c>
      <c r="K2467" s="14" t="n">
        <v>285.41</v>
      </c>
      <c r="L2467" s="14" t="n">
        <v>1317.29</v>
      </c>
      <c r="M2467" s="14">
        <f>IF(B2467="Frete de venda",0,(1-ISNUMBER(SEARCH("556",P2467)))*(I2467*VLOOKUP($B2467,Premissas!$A$4:$E$7,2,0)+J2467*VLOOKUP($B2467,Premissas!$A$4:$E$7,3,0))+K2467*VLOOKUP($B2467,Premissas!$A$4:$E$7,4,0)+L2467*VLOOKUP($B2467,Premissas!$A$4:$E$7,5,0))</f>
        <v/>
      </c>
      <c r="N2467" s="14">
        <f>H2467-M2467</f>
        <v/>
      </c>
      <c r="O2467" t="inlineStr">
        <is>
          <t>Sim</t>
        </is>
      </c>
      <c r="P2467" t="inlineStr">
        <is>
          <t>2.102</t>
        </is>
      </c>
    </row>
    <row r="2468">
      <c r="A2468" s="24" t="n">
        <v>46054</v>
      </c>
      <c r="B2468" t="inlineStr">
        <is>
          <t>Insumos e papel</t>
        </is>
      </c>
      <c r="C2468" t="inlineStr">
        <is>
          <t>2.01.94 Compra de Fita Adesiva</t>
        </is>
      </c>
      <c r="D2468" t="inlineStr">
        <is>
          <t>NF-e</t>
        </is>
      </c>
      <c r="E2468" t="inlineStr">
        <is>
          <t>000000735</t>
        </is>
      </c>
      <c r="F2468" t="inlineStr">
        <is>
          <t>Limptech Paper Comercio Ltda</t>
        </is>
      </c>
      <c r="G2468" s="27" t="n">
        <v>46059</v>
      </c>
      <c r="H2468" s="14" t="n">
        <v>1157.85</v>
      </c>
      <c r="I2468" s="14" t="n">
        <v>0</v>
      </c>
      <c r="J2468" s="14" t="n">
        <v>0</v>
      </c>
      <c r="K2468" s="14" t="n">
        <v>0</v>
      </c>
      <c r="L2468" s="14" t="n">
        <v>0</v>
      </c>
      <c r="M2468" s="14">
        <f>IF(B2468="Frete de venda",0,(1-ISNUMBER(SEARCH("556",P2468)))*(I2468*VLOOKUP($B2468,Premissas!$A$4:$E$7,2,0)+J2468*VLOOKUP($B2468,Premissas!$A$4:$E$7,3,0))+K2468*VLOOKUP($B2468,Premissas!$A$4:$E$7,4,0)+L2468*VLOOKUP($B2468,Premissas!$A$4:$E$7,5,0))</f>
        <v/>
      </c>
      <c r="N2468" s="14">
        <f>H2468-M2468</f>
        <v/>
      </c>
      <c r="O2468" t="inlineStr">
        <is>
          <t>Sim</t>
        </is>
      </c>
      <c r="P2468" t="inlineStr">
        <is>
          <t>1.102</t>
        </is>
      </c>
    </row>
    <row r="2469">
      <c r="A2469" s="24" t="n">
        <v>46054</v>
      </c>
      <c r="B2469" t="inlineStr">
        <is>
          <t>Insumos e papel</t>
        </is>
      </c>
      <c r="C2469" t="inlineStr">
        <is>
          <t>2.01.94 Compra de Fita Adesiva</t>
        </is>
      </c>
      <c r="D2469" t="inlineStr">
        <is>
          <t>NF-e</t>
        </is>
      </c>
      <c r="E2469" t="inlineStr">
        <is>
          <t>000000761</t>
        </is>
      </c>
      <c r="F2469" t="inlineStr">
        <is>
          <t>Limptech Paper Comercio Ltda</t>
        </is>
      </c>
      <c r="G2469" s="27" t="n">
        <v>46071</v>
      </c>
      <c r="H2469" s="14" t="n">
        <v>378</v>
      </c>
      <c r="I2469" s="14" t="n">
        <v>0</v>
      </c>
      <c r="J2469" s="14" t="n">
        <v>0</v>
      </c>
      <c r="K2469" s="14" t="n">
        <v>0</v>
      </c>
      <c r="L2469" s="14" t="n">
        <v>0</v>
      </c>
      <c r="M2469" s="14">
        <f>IF(B2469="Frete de venda",0,(1-ISNUMBER(SEARCH("556",P2469)))*(I2469*VLOOKUP($B2469,Premissas!$A$4:$E$7,2,0)+J2469*VLOOKUP($B2469,Premissas!$A$4:$E$7,3,0))+K2469*VLOOKUP($B2469,Premissas!$A$4:$E$7,4,0)+L2469*VLOOKUP($B2469,Premissas!$A$4:$E$7,5,0))</f>
        <v/>
      </c>
      <c r="N2469" s="14">
        <f>H2469-M2469</f>
        <v/>
      </c>
      <c r="O2469" t="inlineStr">
        <is>
          <t>Sim</t>
        </is>
      </c>
      <c r="P2469" t="inlineStr">
        <is>
          <t>1.102</t>
        </is>
      </c>
    </row>
    <row r="2470">
      <c r="A2470" s="24" t="n">
        <v>46054</v>
      </c>
      <c r="B2470" t="inlineStr">
        <is>
          <t>Insumos e papel</t>
        </is>
      </c>
      <c r="C2470" t="inlineStr">
        <is>
          <t>2.01.95 Compra de Etiqueta</t>
        </is>
      </c>
      <c r="D2470" t="inlineStr">
        <is>
          <t>NF-e</t>
        </is>
      </c>
      <c r="E2470" t="inlineStr">
        <is>
          <t>000002537</t>
        </is>
      </c>
      <c r="F2470" t="inlineStr">
        <is>
          <t>FLEXOPEL LTDA</t>
        </is>
      </c>
      <c r="G2470" s="27" t="n">
        <v>46056</v>
      </c>
      <c r="H2470" s="14" t="n">
        <v>5162.4</v>
      </c>
      <c r="I2470" s="14" t="n">
        <v>0</v>
      </c>
      <c r="J2470" s="14" t="n">
        <v>1032.48</v>
      </c>
      <c r="K2470" s="14" t="n">
        <v>68.14</v>
      </c>
      <c r="L2470" s="14" t="n">
        <v>313.88</v>
      </c>
      <c r="M2470" s="14">
        <f>IF(B2470="Frete de venda",0,(1-ISNUMBER(SEARCH("556",P2470)))*(I2470*VLOOKUP($B2470,Premissas!$A$4:$E$7,2,0)+J2470*VLOOKUP($B2470,Premissas!$A$4:$E$7,3,0))+K2470*VLOOKUP($B2470,Premissas!$A$4:$E$7,4,0)+L2470*VLOOKUP($B2470,Premissas!$A$4:$E$7,5,0))</f>
        <v/>
      </c>
      <c r="N2470" s="14">
        <f>H2470-M2470</f>
        <v/>
      </c>
      <c r="O2470" t="inlineStr">
        <is>
          <t>Sim</t>
        </is>
      </c>
      <c r="P2470" t="inlineStr">
        <is>
          <t>1.102</t>
        </is>
      </c>
    </row>
    <row r="2471">
      <c r="A2471" s="24" t="n">
        <v>46054</v>
      </c>
      <c r="B2471" t="inlineStr">
        <is>
          <t>Insumos e papel</t>
        </is>
      </c>
      <c r="C2471" t="inlineStr">
        <is>
          <t>2.01.95 Compra de Etiqueta</t>
        </is>
      </c>
      <c r="D2471" t="inlineStr">
        <is>
          <t>NF-e</t>
        </is>
      </c>
      <c r="E2471" t="inlineStr">
        <is>
          <t>000002539</t>
        </is>
      </c>
      <c r="F2471" t="inlineStr">
        <is>
          <t>FLEXOPEL LTDA</t>
        </is>
      </c>
      <c r="G2471" s="27" t="n">
        <v>46057</v>
      </c>
      <c r="H2471" s="14" t="n">
        <v>1482</v>
      </c>
      <c r="I2471" s="14" t="n">
        <v>0</v>
      </c>
      <c r="J2471" s="14" t="n">
        <v>296.4</v>
      </c>
      <c r="K2471" s="14" t="n">
        <v>19.56</v>
      </c>
      <c r="L2471" s="14" t="n">
        <v>90.11</v>
      </c>
      <c r="M2471" s="14">
        <f>IF(B2471="Frete de venda",0,(1-ISNUMBER(SEARCH("556",P2471)))*(I2471*VLOOKUP($B2471,Premissas!$A$4:$E$7,2,0)+J2471*VLOOKUP($B2471,Premissas!$A$4:$E$7,3,0))+K2471*VLOOKUP($B2471,Premissas!$A$4:$E$7,4,0)+L2471*VLOOKUP($B2471,Premissas!$A$4:$E$7,5,0))</f>
        <v/>
      </c>
      <c r="N2471" s="14">
        <f>H2471-M2471</f>
        <v/>
      </c>
      <c r="O2471" t="inlineStr">
        <is>
          <t>Sim</t>
        </is>
      </c>
      <c r="P2471" t="inlineStr">
        <is>
          <t>1.102</t>
        </is>
      </c>
    </row>
    <row r="2472">
      <c r="A2472" s="24" t="n">
        <v>46054</v>
      </c>
      <c r="B2472" t="inlineStr">
        <is>
          <t>Insumos e papel</t>
        </is>
      </c>
      <c r="C2472" t="inlineStr">
        <is>
          <t>2.01.95 Compra de Etiqueta</t>
        </is>
      </c>
      <c r="D2472" t="inlineStr">
        <is>
          <t>NF-e</t>
        </is>
      </c>
      <c r="E2472" t="inlineStr">
        <is>
          <t>000002742</t>
        </is>
      </c>
      <c r="F2472" t="inlineStr">
        <is>
          <t>FLEXOPEL LTDA</t>
        </is>
      </c>
      <c r="G2472" s="27" t="n">
        <v>46071</v>
      </c>
      <c r="H2472" s="14" t="n">
        <v>2470</v>
      </c>
      <c r="I2472" s="14" t="n">
        <v>0</v>
      </c>
      <c r="J2472" s="14" t="n">
        <v>494</v>
      </c>
      <c r="K2472" s="14" t="n">
        <v>32.6</v>
      </c>
      <c r="L2472" s="14" t="n">
        <v>150.18</v>
      </c>
      <c r="M2472" s="14">
        <f>IF(B2472="Frete de venda",0,(1-ISNUMBER(SEARCH("556",P2472)))*(I2472*VLOOKUP($B2472,Premissas!$A$4:$E$7,2,0)+J2472*VLOOKUP($B2472,Premissas!$A$4:$E$7,3,0))+K2472*VLOOKUP($B2472,Premissas!$A$4:$E$7,4,0)+L2472*VLOOKUP($B2472,Premissas!$A$4:$E$7,5,0))</f>
        <v/>
      </c>
      <c r="N2472" s="14">
        <f>H2472-M2472</f>
        <v/>
      </c>
      <c r="O2472" t="inlineStr">
        <is>
          <t>Sim</t>
        </is>
      </c>
      <c r="P2472" t="inlineStr">
        <is>
          <t>1.102</t>
        </is>
      </c>
    </row>
    <row r="2473">
      <c r="A2473" s="24" t="n">
        <v>46054</v>
      </c>
      <c r="B2473" t="inlineStr">
        <is>
          <t>Insumos e papel</t>
        </is>
      </c>
      <c r="C2473" t="inlineStr">
        <is>
          <t>2.01.95 Compra de Etiqueta</t>
        </is>
      </c>
      <c r="D2473" t="inlineStr">
        <is>
          <t>NF-e</t>
        </is>
      </c>
      <c r="E2473" t="inlineStr">
        <is>
          <t>000002930</t>
        </is>
      </c>
      <c r="F2473" t="inlineStr">
        <is>
          <t>FLEXOPEL LTDA</t>
        </is>
      </c>
      <c r="G2473" s="27" t="n">
        <v>46080</v>
      </c>
      <c r="H2473" s="14" t="n">
        <v>6323.2</v>
      </c>
      <c r="I2473" s="14" t="n">
        <v>0</v>
      </c>
      <c r="J2473" s="14" t="n">
        <v>1264.64</v>
      </c>
      <c r="K2473" s="14" t="n">
        <v>83.47</v>
      </c>
      <c r="L2473" s="14" t="n">
        <v>384.45</v>
      </c>
      <c r="M2473" s="14">
        <f>IF(B2473="Frete de venda",0,(1-ISNUMBER(SEARCH("556",P2473)))*(I2473*VLOOKUP($B2473,Premissas!$A$4:$E$7,2,0)+J2473*VLOOKUP($B2473,Premissas!$A$4:$E$7,3,0))+K2473*VLOOKUP($B2473,Premissas!$A$4:$E$7,4,0)+L2473*VLOOKUP($B2473,Premissas!$A$4:$E$7,5,0))</f>
        <v/>
      </c>
      <c r="N2473" s="14">
        <f>H2473-M2473</f>
        <v/>
      </c>
      <c r="O2473" t="inlineStr">
        <is>
          <t>Sim</t>
        </is>
      </c>
      <c r="P2473" t="inlineStr">
        <is>
          <t>1.102</t>
        </is>
      </c>
    </row>
    <row r="2474">
      <c r="A2474" s="24" t="n">
        <v>46054</v>
      </c>
      <c r="B2474" t="inlineStr">
        <is>
          <t>Insumos e papel</t>
        </is>
      </c>
      <c r="C2474" t="inlineStr">
        <is>
          <t>2.01.96 Compra de Cola</t>
        </is>
      </c>
      <c r="D2474" t="inlineStr">
        <is>
          <t>NF-e</t>
        </is>
      </c>
      <c r="E2474" t="inlineStr">
        <is>
          <t>000036731</t>
        </is>
      </c>
      <c r="F2474" t="inlineStr">
        <is>
          <t>COLAMID</t>
        </is>
      </c>
      <c r="G2474" s="27" t="n">
        <v>46059</v>
      </c>
      <c r="H2474" s="14" t="n">
        <v>66640</v>
      </c>
      <c r="I2474" s="14" t="n">
        <v>0</v>
      </c>
      <c r="J2474" s="14" t="n">
        <v>7996.8</v>
      </c>
      <c r="K2474" s="14" t="n">
        <v>0</v>
      </c>
      <c r="L2474" s="14" t="n">
        <v>0</v>
      </c>
      <c r="M2474" s="14">
        <f>IF(B2474="Frete de venda",0,(1-ISNUMBER(SEARCH("556",P2474)))*(I2474*VLOOKUP($B2474,Premissas!$A$4:$E$7,2,0)+J2474*VLOOKUP($B2474,Premissas!$A$4:$E$7,3,0))+K2474*VLOOKUP($B2474,Premissas!$A$4:$E$7,4,0)+L2474*VLOOKUP($B2474,Premissas!$A$4:$E$7,5,0))</f>
        <v/>
      </c>
      <c r="N2474" s="14">
        <f>H2474-M2474</f>
        <v/>
      </c>
      <c r="O2474" t="inlineStr">
        <is>
          <t>Sim</t>
        </is>
      </c>
      <c r="P2474" t="inlineStr">
        <is>
          <t>1.556</t>
        </is>
      </c>
    </row>
    <row r="2475">
      <c r="A2475" s="24" t="n">
        <v>46054</v>
      </c>
      <c r="B2475" t="inlineStr">
        <is>
          <t>Insumos e papel</t>
        </is>
      </c>
      <c r="C2475" t="inlineStr">
        <is>
          <t>2.01.96 Compra de Cola</t>
        </is>
      </c>
      <c r="D2475" t="inlineStr">
        <is>
          <t>NF-e</t>
        </is>
      </c>
      <c r="E2475" t="inlineStr">
        <is>
          <t>000021138</t>
        </is>
      </c>
      <c r="F2475" t="inlineStr">
        <is>
          <t>REQUIM PRODUTOS QUIMICOS LTDA</t>
        </is>
      </c>
      <c r="G2475" s="27" t="n">
        <v>46056</v>
      </c>
      <c r="H2475" s="14" t="n">
        <v>12600</v>
      </c>
      <c r="I2475" s="14" t="n">
        <v>0</v>
      </c>
      <c r="J2475" s="14" t="n">
        <v>504</v>
      </c>
      <c r="K2475" s="14" t="n">
        <v>78.62</v>
      </c>
      <c r="L2475" s="14" t="n">
        <v>362.88</v>
      </c>
      <c r="M2475" s="14">
        <f>IF(B2475="Frete de venda",0,(1-ISNUMBER(SEARCH("556",P2475)))*(I2475*VLOOKUP($B2475,Premissas!$A$4:$E$7,2,0)+J2475*VLOOKUP($B2475,Premissas!$A$4:$E$7,3,0))+K2475*VLOOKUP($B2475,Premissas!$A$4:$E$7,4,0)+L2475*VLOOKUP($B2475,Premissas!$A$4:$E$7,5,0))</f>
        <v/>
      </c>
      <c r="N2475" s="14">
        <f>H2475-M2475</f>
        <v/>
      </c>
      <c r="O2475" t="inlineStr">
        <is>
          <t>Sim</t>
        </is>
      </c>
      <c r="P2475" t="inlineStr">
        <is>
          <t>2.102</t>
        </is>
      </c>
    </row>
    <row r="2476">
      <c r="A2476" s="24" t="n">
        <v>46054</v>
      </c>
      <c r="B2476" t="inlineStr">
        <is>
          <t>Insumos e papel</t>
        </is>
      </c>
      <c r="C2476" t="inlineStr">
        <is>
          <t>2.01.96 Compra de Cola</t>
        </is>
      </c>
      <c r="D2476" t="inlineStr">
        <is>
          <t>NF-e</t>
        </is>
      </c>
      <c r="E2476" t="inlineStr">
        <is>
          <t>000021229</t>
        </is>
      </c>
      <c r="F2476" t="inlineStr">
        <is>
          <t>REQUIM PRODUTOS QUIMICOS LTDA</t>
        </is>
      </c>
      <c r="G2476" s="27" t="n">
        <v>46066</v>
      </c>
      <c r="H2476" s="14" t="n">
        <v>21600</v>
      </c>
      <c r="I2476" s="14" t="n">
        <v>0</v>
      </c>
      <c r="J2476" s="14" t="n">
        <v>864</v>
      </c>
      <c r="K2476" s="14" t="n">
        <v>134.78</v>
      </c>
      <c r="L2476" s="14" t="n">
        <v>622.08</v>
      </c>
      <c r="M2476" s="14">
        <f>IF(B2476="Frete de venda",0,(1-ISNUMBER(SEARCH("556",P2476)))*(I2476*VLOOKUP($B2476,Premissas!$A$4:$E$7,2,0)+J2476*VLOOKUP($B2476,Premissas!$A$4:$E$7,3,0))+K2476*VLOOKUP($B2476,Premissas!$A$4:$E$7,4,0)+L2476*VLOOKUP($B2476,Premissas!$A$4:$E$7,5,0))</f>
        <v/>
      </c>
      <c r="N2476" s="14">
        <f>H2476-M2476</f>
        <v/>
      </c>
      <c r="O2476" t="inlineStr">
        <is>
          <t>Sim</t>
        </is>
      </c>
      <c r="P2476" t="inlineStr">
        <is>
          <t>2.102</t>
        </is>
      </c>
    </row>
    <row r="2477">
      <c r="A2477" s="24" t="n">
        <v>46054</v>
      </c>
      <c r="B2477" t="inlineStr">
        <is>
          <t>Insumos e papel</t>
        </is>
      </c>
      <c r="C2477" t="inlineStr">
        <is>
          <t>2.01.96 Compra de Cola</t>
        </is>
      </c>
      <c r="D2477" t="inlineStr">
        <is>
          <t>NF-e</t>
        </is>
      </c>
      <c r="E2477" t="inlineStr">
        <is>
          <t>000021244</t>
        </is>
      </c>
      <c r="F2477" t="inlineStr">
        <is>
          <t>REQUIM PRODUTOS QUIMICOS LTDA</t>
        </is>
      </c>
      <c r="G2477" s="27" t="n">
        <v>46072</v>
      </c>
      <c r="H2477" s="14" t="n">
        <v>18000</v>
      </c>
      <c r="I2477" s="14" t="n">
        <v>0</v>
      </c>
      <c r="J2477" s="14" t="n">
        <v>720</v>
      </c>
      <c r="K2477" s="14" t="n">
        <v>112.32</v>
      </c>
      <c r="L2477" s="14" t="n">
        <v>518.4</v>
      </c>
      <c r="M2477" s="14">
        <f>IF(B2477="Frete de venda",0,(1-ISNUMBER(SEARCH("556",P2477)))*(I2477*VLOOKUP($B2477,Premissas!$A$4:$E$7,2,0)+J2477*VLOOKUP($B2477,Premissas!$A$4:$E$7,3,0))+K2477*VLOOKUP($B2477,Premissas!$A$4:$E$7,4,0)+L2477*VLOOKUP($B2477,Premissas!$A$4:$E$7,5,0))</f>
        <v/>
      </c>
      <c r="N2477" s="14">
        <f>H2477-M2477</f>
        <v/>
      </c>
      <c r="O2477" t="inlineStr">
        <is>
          <t>Sim</t>
        </is>
      </c>
      <c r="P2477" t="inlineStr">
        <is>
          <t>2.102</t>
        </is>
      </c>
    </row>
    <row r="2478">
      <c r="A2478" s="24" t="n">
        <v>46054</v>
      </c>
      <c r="B2478" t="inlineStr">
        <is>
          <t>Insumos e papel</t>
        </is>
      </c>
      <c r="C2478" t="inlineStr">
        <is>
          <t>2.01.97 Compra de Clichê</t>
        </is>
      </c>
      <c r="D2478" t="inlineStr">
        <is>
          <t>NF-e</t>
        </is>
      </c>
      <c r="E2478" t="inlineStr">
        <is>
          <t>000037058</t>
        </is>
      </c>
      <c r="F2478" t="inlineStr">
        <is>
          <t>DELINEAR BAHIA CLICHERIA LTDA</t>
        </is>
      </c>
      <c r="G2478" s="27" t="n">
        <v>46057</v>
      </c>
      <c r="H2478" s="14" t="n">
        <v>1977.57</v>
      </c>
      <c r="I2478" s="14" t="n">
        <v>0</v>
      </c>
      <c r="J2478" s="14" t="n">
        <v>0</v>
      </c>
      <c r="K2478" s="14" t="n">
        <v>0</v>
      </c>
      <c r="L2478" s="14" t="n">
        <v>0</v>
      </c>
      <c r="M2478" s="14">
        <f>IF(B2478="Frete de venda",0,(1-ISNUMBER(SEARCH("556",P2478)))*(I2478*VLOOKUP($B2478,Premissas!$A$4:$E$7,2,0)+J2478*VLOOKUP($B2478,Premissas!$A$4:$E$7,3,0))+K2478*VLOOKUP($B2478,Premissas!$A$4:$E$7,4,0)+L2478*VLOOKUP($B2478,Premissas!$A$4:$E$7,5,0))</f>
        <v/>
      </c>
      <c r="N2478" s="14">
        <f>H2478-M2478</f>
        <v/>
      </c>
      <c r="O2478" t="inlineStr">
        <is>
          <t>Sim</t>
        </is>
      </c>
      <c r="P2478" t="inlineStr">
        <is>
          <t>2.102</t>
        </is>
      </c>
    </row>
    <row r="2479">
      <c r="A2479" s="24" t="n">
        <v>46054</v>
      </c>
      <c r="B2479" t="inlineStr">
        <is>
          <t>Insumos e papel</t>
        </is>
      </c>
      <c r="C2479" t="inlineStr">
        <is>
          <t>2.01.97 Compra de Clichê</t>
        </is>
      </c>
      <c r="D2479" t="inlineStr">
        <is>
          <t>NF-e</t>
        </is>
      </c>
      <c r="E2479" t="inlineStr">
        <is>
          <t>000037101</t>
        </is>
      </c>
      <c r="F2479" t="inlineStr">
        <is>
          <t>DELINEAR BAHIA CLICHERIA LTDA</t>
        </is>
      </c>
      <c r="G2479" s="27" t="n">
        <v>46062</v>
      </c>
      <c r="H2479" s="14" t="n">
        <v>1204.6</v>
      </c>
      <c r="I2479" s="14" t="n">
        <v>0</v>
      </c>
      <c r="J2479" s="14" t="n">
        <v>0</v>
      </c>
      <c r="K2479" s="14" t="n">
        <v>0</v>
      </c>
      <c r="L2479" s="14" t="n">
        <v>0</v>
      </c>
      <c r="M2479" s="14">
        <f>IF(B2479="Frete de venda",0,(1-ISNUMBER(SEARCH("556",P2479)))*(I2479*VLOOKUP($B2479,Premissas!$A$4:$E$7,2,0)+J2479*VLOOKUP($B2479,Premissas!$A$4:$E$7,3,0))+K2479*VLOOKUP($B2479,Premissas!$A$4:$E$7,4,0)+L2479*VLOOKUP($B2479,Premissas!$A$4:$E$7,5,0))</f>
        <v/>
      </c>
      <c r="N2479" s="14">
        <f>H2479-M2479</f>
        <v/>
      </c>
      <c r="O2479" t="inlineStr">
        <is>
          <t>Sim</t>
        </is>
      </c>
      <c r="P2479" t="inlineStr">
        <is>
          <t>2.102</t>
        </is>
      </c>
    </row>
    <row r="2480">
      <c r="A2480" s="24" t="n">
        <v>46054</v>
      </c>
      <c r="B2480" t="inlineStr">
        <is>
          <t>Insumos e papel</t>
        </is>
      </c>
      <c r="C2480" t="inlineStr">
        <is>
          <t>2.01.99 Compra de Caixas</t>
        </is>
      </c>
      <c r="D2480" t="inlineStr">
        <is>
          <t>NF-e</t>
        </is>
      </c>
      <c r="E2480" t="inlineStr">
        <is>
          <t>000013185</t>
        </is>
      </c>
      <c r="F2480" t="inlineStr">
        <is>
          <t>NOVA CONPEL COMPANHIA NORDESTINA DE PAPEL LTDA</t>
        </is>
      </c>
      <c r="G2480" s="27" t="n">
        <v>46080</v>
      </c>
      <c r="H2480" s="14" t="n">
        <v>15363.6</v>
      </c>
      <c r="I2480" s="14" t="n">
        <v>483.6</v>
      </c>
      <c r="J2480" s="14" t="n">
        <v>2976</v>
      </c>
      <c r="K2480" s="14" t="n">
        <v>196.42</v>
      </c>
      <c r="L2480" s="14" t="n">
        <v>904.7</v>
      </c>
      <c r="M2480" s="14">
        <f>IF(B2480="Frete de venda",0,(1-ISNUMBER(SEARCH("556",P2480)))*(I2480*VLOOKUP($B2480,Premissas!$A$4:$E$7,2,0)+J2480*VLOOKUP($B2480,Premissas!$A$4:$E$7,3,0))+K2480*VLOOKUP($B2480,Premissas!$A$4:$E$7,4,0)+L2480*VLOOKUP($B2480,Premissas!$A$4:$E$7,5,0))</f>
        <v/>
      </c>
      <c r="N2480" s="14">
        <f>H2480-M2480</f>
        <v/>
      </c>
      <c r="O2480" t="inlineStr">
        <is>
          <t>Sim</t>
        </is>
      </c>
      <c r="P2480" t="inlineStr">
        <is>
          <t>1.102</t>
        </is>
      </c>
    </row>
    <row r="2481">
      <c r="A2481" s="24" t="n">
        <v>46054</v>
      </c>
      <c r="B2481" t="inlineStr">
        <is>
          <t>Uso e consumo</t>
        </is>
      </c>
      <c r="C2481" t="inlineStr">
        <is>
          <t>2.03.88 Compra de Fardamento</t>
        </is>
      </c>
      <c r="D2481" t="inlineStr">
        <is>
          <t>NF-e</t>
        </is>
      </c>
      <c r="E2481" t="inlineStr">
        <is>
          <t>000003068</t>
        </is>
      </c>
      <c r="F2481" t="inlineStr">
        <is>
          <t>R M FARDAMENTOS LTDA</t>
        </is>
      </c>
      <c r="G2481" s="27" t="n">
        <v>46078</v>
      </c>
      <c r="H2481" s="14" t="n">
        <v>8358.700000000001</v>
      </c>
      <c r="I2481" s="14" t="n">
        <v>0</v>
      </c>
      <c r="J2481" s="14" t="n">
        <v>0</v>
      </c>
      <c r="K2481" s="14" t="n">
        <v>0</v>
      </c>
      <c r="L2481" s="14" t="n">
        <v>0</v>
      </c>
      <c r="M2481" s="14">
        <f>IF(B2481="Frete de venda",0,(1-ISNUMBER(SEARCH("556",P2481)))*(I2481*VLOOKUP($B2481,Premissas!$A$4:$E$7,2,0)+J2481*VLOOKUP($B2481,Premissas!$A$4:$E$7,3,0))+K2481*VLOOKUP($B2481,Premissas!$A$4:$E$7,4,0)+L2481*VLOOKUP($B2481,Premissas!$A$4:$E$7,5,0))</f>
        <v/>
      </c>
      <c r="N2481" s="14">
        <f>H2481-M2481</f>
        <v/>
      </c>
      <c r="O2481" t="inlineStr">
        <is>
          <t>Sim</t>
        </is>
      </c>
      <c r="P2481" t="inlineStr">
        <is>
          <t>1.102</t>
        </is>
      </c>
    </row>
    <row r="2482">
      <c r="A2482" s="24" t="n">
        <v>46054</v>
      </c>
      <c r="B2482" t="inlineStr">
        <is>
          <t>Uso e consumo</t>
        </is>
      </c>
      <c r="C2482" t="inlineStr">
        <is>
          <t>2.03.90 Compra de EPI</t>
        </is>
      </c>
      <c r="D2482" t="inlineStr">
        <is>
          <t>NF-e</t>
        </is>
      </c>
      <c r="E2482" t="inlineStr">
        <is>
          <t>000070490</t>
        </is>
      </c>
      <c r="F2482" t="inlineStr">
        <is>
          <t>INDUSTRIA E COMERCIO DE BOLAS E CHUTEIRAS CARREIRO LTDA</t>
        </is>
      </c>
      <c r="G2482" s="27" t="n">
        <v>46059</v>
      </c>
      <c r="H2482" s="14" t="n">
        <v>1413.6</v>
      </c>
      <c r="I2482" s="14" t="n">
        <v>0</v>
      </c>
      <c r="J2482" s="14" t="n">
        <v>282.72</v>
      </c>
      <c r="K2482" s="14" t="n">
        <v>9.19</v>
      </c>
      <c r="L2482" s="14" t="n">
        <v>42.41</v>
      </c>
      <c r="M2482" s="14">
        <f>IF(B2482="Frete de venda",0,(1-ISNUMBER(SEARCH("556",P2482)))*(I2482*VLOOKUP($B2482,Premissas!$A$4:$E$7,2,0)+J2482*VLOOKUP($B2482,Premissas!$A$4:$E$7,3,0))+K2482*VLOOKUP($B2482,Premissas!$A$4:$E$7,4,0)+L2482*VLOOKUP($B2482,Premissas!$A$4:$E$7,5,0))</f>
        <v/>
      </c>
      <c r="N2482" s="14">
        <f>H2482-M2482</f>
        <v/>
      </c>
      <c r="O2482" t="inlineStr">
        <is>
          <t>Sim</t>
        </is>
      </c>
      <c r="P2482" t="inlineStr">
        <is>
          <t>1.102</t>
        </is>
      </c>
    </row>
    <row r="2483">
      <c r="A2483" s="24" t="n">
        <v>46054</v>
      </c>
      <c r="B2483" t="inlineStr">
        <is>
          <t>Uso e consumo</t>
        </is>
      </c>
      <c r="C2483" t="inlineStr">
        <is>
          <t>2.03.90 Compra de EPI</t>
        </is>
      </c>
      <c r="D2483" t="inlineStr">
        <is>
          <t>NF-e</t>
        </is>
      </c>
      <c r="E2483" t="inlineStr">
        <is>
          <t>000094447</t>
        </is>
      </c>
      <c r="F2483" t="inlineStr">
        <is>
          <t>PERNAMBUCO DISTRIBUIDORA ATAC EPIS, INS IND e MRO LTDA</t>
        </is>
      </c>
      <c r="G2483" s="27" t="n">
        <v>46062</v>
      </c>
      <c r="H2483" s="14" t="n">
        <v>761.8</v>
      </c>
      <c r="I2483" s="14" t="n">
        <v>0</v>
      </c>
      <c r="J2483" s="14" t="n">
        <v>152.36</v>
      </c>
      <c r="K2483" s="14" t="n">
        <v>10.03</v>
      </c>
      <c r="L2483" s="14" t="n">
        <v>46.29</v>
      </c>
      <c r="M2483" s="14">
        <f>IF(B2483="Frete de venda",0,(1-ISNUMBER(SEARCH("556",P2483)))*(I2483*VLOOKUP($B2483,Premissas!$A$4:$E$7,2,0)+J2483*VLOOKUP($B2483,Premissas!$A$4:$E$7,3,0))+K2483*VLOOKUP($B2483,Premissas!$A$4:$E$7,4,0)+L2483*VLOOKUP($B2483,Premissas!$A$4:$E$7,5,0))</f>
        <v/>
      </c>
      <c r="N2483" s="14">
        <f>H2483-M2483</f>
        <v/>
      </c>
      <c r="O2483" t="inlineStr">
        <is>
          <t>Sim</t>
        </is>
      </c>
      <c r="P2483" t="inlineStr">
        <is>
          <t>1.102</t>
        </is>
      </c>
    </row>
    <row r="2484">
      <c r="A2484" s="24" t="n">
        <v>46054</v>
      </c>
      <c r="B2484" t="inlineStr">
        <is>
          <t>Uso e consumo</t>
        </is>
      </c>
      <c r="C2484" t="inlineStr">
        <is>
          <t>2.04.91 Compra de Material de Limpeza</t>
        </is>
      </c>
      <c r="D2484" t="inlineStr">
        <is>
          <t>NF-e</t>
        </is>
      </c>
      <c r="E2484" t="inlineStr">
        <is>
          <t>000000707</t>
        </is>
      </c>
      <c r="F2484" t="inlineStr">
        <is>
          <t>Limptech Paper Comercio Ltda</t>
        </is>
      </c>
      <c r="G2484" s="27" t="n">
        <v>46055</v>
      </c>
      <c r="H2484" s="14" t="n">
        <v>657.3</v>
      </c>
      <c r="I2484" s="14" t="n">
        <v>0</v>
      </c>
      <c r="J2484" s="14" t="n">
        <v>0</v>
      </c>
      <c r="K2484" s="14" t="n">
        <v>0</v>
      </c>
      <c r="L2484" s="14" t="n">
        <v>0</v>
      </c>
      <c r="M2484" s="14">
        <f>IF(B2484="Frete de venda",0,(1-ISNUMBER(SEARCH("556",P2484)))*(I2484*VLOOKUP($B2484,Premissas!$A$4:$E$7,2,0)+J2484*VLOOKUP($B2484,Premissas!$A$4:$E$7,3,0))+K2484*VLOOKUP($B2484,Premissas!$A$4:$E$7,4,0)+L2484*VLOOKUP($B2484,Premissas!$A$4:$E$7,5,0))</f>
        <v/>
      </c>
      <c r="N2484" s="14">
        <f>H2484-M2484</f>
        <v/>
      </c>
      <c r="O2484" t="inlineStr">
        <is>
          <t>Sim</t>
        </is>
      </c>
      <c r="P2484" t="inlineStr">
        <is>
          <t>1.102</t>
        </is>
      </c>
    </row>
    <row r="2485">
      <c r="A2485" s="24" t="n">
        <v>46054</v>
      </c>
      <c r="B2485" t="inlineStr">
        <is>
          <t>Uso e consumo</t>
        </is>
      </c>
      <c r="C2485" t="inlineStr">
        <is>
          <t>2.04.91 Compra de Material de Limpeza</t>
        </is>
      </c>
      <c r="D2485" t="inlineStr">
        <is>
          <t>NF-e</t>
        </is>
      </c>
      <c r="E2485" t="inlineStr">
        <is>
          <t>000000706</t>
        </is>
      </c>
      <c r="F2485" t="inlineStr">
        <is>
          <t>Limptech Paper Comercio Ltda</t>
        </is>
      </c>
      <c r="G2485" s="27" t="n">
        <v>46055</v>
      </c>
      <c r="H2485" s="14" t="n">
        <v>983.9</v>
      </c>
      <c r="I2485" s="14" t="n">
        <v>0</v>
      </c>
      <c r="J2485" s="14" t="n">
        <v>0</v>
      </c>
      <c r="K2485" s="14" t="n">
        <v>0</v>
      </c>
      <c r="L2485" s="14" t="n">
        <v>0</v>
      </c>
      <c r="M2485" s="14">
        <f>IF(B2485="Frete de venda",0,(1-ISNUMBER(SEARCH("556",P2485)))*(I2485*VLOOKUP($B2485,Premissas!$A$4:$E$7,2,0)+J2485*VLOOKUP($B2485,Premissas!$A$4:$E$7,3,0))+K2485*VLOOKUP($B2485,Premissas!$A$4:$E$7,4,0)+L2485*VLOOKUP($B2485,Premissas!$A$4:$E$7,5,0))</f>
        <v/>
      </c>
      <c r="N2485" s="14">
        <f>H2485-M2485</f>
        <v/>
      </c>
      <c r="O2485" t="inlineStr">
        <is>
          <t>Sim</t>
        </is>
      </c>
      <c r="P2485" t="inlineStr">
        <is>
          <t>1.102</t>
        </is>
      </c>
    </row>
    <row r="2486">
      <c r="A2486" s="24" t="n">
        <v>46054</v>
      </c>
      <c r="B2486" t="inlineStr">
        <is>
          <t>Uso e consumo</t>
        </is>
      </c>
      <c r="C2486" t="inlineStr">
        <is>
          <t>2.04.95 Copa e Cozinha</t>
        </is>
      </c>
      <c r="D2486" t="inlineStr">
        <is>
          <t>NF-e</t>
        </is>
      </c>
      <c r="E2486" t="inlineStr">
        <is>
          <t>000083035</t>
        </is>
      </c>
      <c r="F2486" t="inlineStr">
        <is>
          <t>KALUNGA SA</t>
        </is>
      </c>
      <c r="G2486" s="27" t="n">
        <v>46079</v>
      </c>
      <c r="H2486" s="14" t="n">
        <v>199.5</v>
      </c>
      <c r="I2486" s="14" t="n">
        <v>0</v>
      </c>
      <c r="J2486" s="14" t="n">
        <v>0</v>
      </c>
      <c r="K2486" s="14" t="n">
        <v>0</v>
      </c>
      <c r="L2486" s="14" t="n">
        <v>0</v>
      </c>
      <c r="M2486" s="14">
        <f>IF(B2486="Frete de venda",0,(1-ISNUMBER(SEARCH("556",P2486)))*(I2486*VLOOKUP($B2486,Premissas!$A$4:$E$7,2,0)+J2486*VLOOKUP($B2486,Premissas!$A$4:$E$7,3,0))+K2486*VLOOKUP($B2486,Premissas!$A$4:$E$7,4,0)+L2486*VLOOKUP($B2486,Premissas!$A$4:$E$7,5,0))</f>
        <v/>
      </c>
      <c r="N2486" s="14">
        <f>H2486-M2486</f>
        <v/>
      </c>
      <c r="O2486" t="inlineStr">
        <is>
          <t>Sim</t>
        </is>
      </c>
      <c r="P2486" t="inlineStr">
        <is>
          <t>1.102, 1.556</t>
        </is>
      </c>
    </row>
    <row r="2487">
      <c r="A2487" s="24" t="n">
        <v>46082</v>
      </c>
      <c r="B2487" t="inlineStr">
        <is>
          <t>Frete de venda</t>
        </is>
      </c>
      <c r="C2487" t="inlineStr">
        <is>
          <t>Frete de venda (para clientes)</t>
        </is>
      </c>
      <c r="D2487" t="inlineStr">
        <is>
          <t>CT-e</t>
        </is>
      </c>
      <c r="E2487" t="inlineStr">
        <is>
          <t>000085168</t>
        </is>
      </c>
      <c r="F2487" t="inlineStr">
        <is>
          <t>JAGUARE TRANSPORTES E ARMAZENAGENS LTDA</t>
        </is>
      </c>
      <c r="G2487" s="27" t="n">
        <v>46108</v>
      </c>
      <c r="H2487" s="14" t="n">
        <v>450</v>
      </c>
      <c r="I2487" s="14" t="n">
        <v>0</v>
      </c>
      <c r="J2487" s="14" t="n">
        <v>0</v>
      </c>
      <c r="K2487" s="14" t="n">
        <v>0</v>
      </c>
      <c r="L2487" s="14" t="n">
        <v>0</v>
      </c>
      <c r="M2487" s="14">
        <f>IF(B2487="Frete de venda",0,(1-ISNUMBER(SEARCH("556",P2487)))*(I2487*VLOOKUP($B2487,Premissas!$A$4:$E$7,2,0)+J2487*VLOOKUP($B2487,Premissas!$A$4:$E$7,3,0))+K2487*VLOOKUP($B2487,Premissas!$A$4:$E$7,4,0)+L2487*VLOOKUP($B2487,Premissas!$A$4:$E$7,5,0))</f>
        <v/>
      </c>
      <c r="N2487" s="14">
        <f>H2487-M2487</f>
        <v/>
      </c>
      <c r="O2487" t="inlineStr">
        <is>
          <t>Sim</t>
        </is>
      </c>
      <c r="P2487" t="inlineStr">
        <is>
          <t>1.350</t>
        </is>
      </c>
    </row>
    <row r="2488">
      <c r="A2488" s="24" t="n">
        <v>46082</v>
      </c>
      <c r="B2488" t="inlineStr">
        <is>
          <t>Frete de compra</t>
        </is>
      </c>
      <c r="C2488" t="inlineStr">
        <is>
          <t>Frete de compra</t>
        </is>
      </c>
      <c r="D2488" t="inlineStr">
        <is>
          <t>CT-e</t>
        </is>
      </c>
      <c r="E2488" t="inlineStr">
        <is>
          <t>000078477</t>
        </is>
      </c>
      <c r="F2488" t="inlineStr">
        <is>
          <t>GOL LINHAS AEREAS S.A.</t>
        </is>
      </c>
      <c r="G2488" s="27" t="n">
        <v>46099</v>
      </c>
      <c r="H2488" s="14" t="n">
        <v>190</v>
      </c>
      <c r="I2488" s="14" t="n">
        <v>0</v>
      </c>
      <c r="J2488" s="14" t="n">
        <v>7.6</v>
      </c>
      <c r="K2488" s="14" t="n">
        <v>0</v>
      </c>
      <c r="L2488" s="14" t="n">
        <v>0</v>
      </c>
      <c r="M2488" s="14">
        <f>IF(B2488="Frete de venda",0,(1-ISNUMBER(SEARCH("556",P2488)))*(I2488*VLOOKUP($B2488,Premissas!$A$4:$E$7,2,0)+J2488*VLOOKUP($B2488,Premissas!$A$4:$E$7,3,0))+K2488*VLOOKUP($B2488,Premissas!$A$4:$E$7,4,0)+L2488*VLOOKUP($B2488,Premissas!$A$4:$E$7,5,0))</f>
        <v/>
      </c>
      <c r="N2488" s="14">
        <f>H2488-M2488</f>
        <v/>
      </c>
      <c r="O2488" t="inlineStr">
        <is>
          <t>Sim</t>
        </is>
      </c>
      <c r="P2488" t="inlineStr">
        <is>
          <t>1.350</t>
        </is>
      </c>
    </row>
    <row r="2489">
      <c r="A2489" s="24" t="n">
        <v>46082</v>
      </c>
      <c r="B2489" t="inlineStr">
        <is>
          <t>Frete de compra</t>
        </is>
      </c>
      <c r="C2489" t="inlineStr">
        <is>
          <t>Frete de compra</t>
        </is>
      </c>
      <c r="D2489" t="inlineStr">
        <is>
          <t>CT-e</t>
        </is>
      </c>
      <c r="E2489" t="inlineStr">
        <is>
          <t>000190886</t>
        </is>
      </c>
      <c r="F2489" t="inlineStr">
        <is>
          <t>ALIANCA NAVEGACAO E LOGISTICA LTDA</t>
        </is>
      </c>
      <c r="G2489" s="27" t="n">
        <v>46084</v>
      </c>
      <c r="H2489" s="14" t="n">
        <v>17192.52</v>
      </c>
      <c r="I2489" s="14" t="n">
        <v>0</v>
      </c>
      <c r="J2489" s="14" t="n">
        <v>1203.48</v>
      </c>
      <c r="K2489" s="14" t="n">
        <v>0</v>
      </c>
      <c r="L2489" s="14" t="n">
        <v>0</v>
      </c>
      <c r="M2489" s="14">
        <f>IF(B2489="Frete de venda",0,(1-ISNUMBER(SEARCH("556",P2489)))*(I2489*VLOOKUP($B2489,Premissas!$A$4:$E$7,2,0)+J2489*VLOOKUP($B2489,Premissas!$A$4:$E$7,3,0))+K2489*VLOOKUP($B2489,Premissas!$A$4:$E$7,4,0)+L2489*VLOOKUP($B2489,Premissas!$A$4:$E$7,5,0))</f>
        <v/>
      </c>
      <c r="N2489" s="14">
        <f>H2489-M2489</f>
        <v/>
      </c>
      <c r="O2489" t="inlineStr">
        <is>
          <t>Sim</t>
        </is>
      </c>
      <c r="P2489" t="inlineStr">
        <is>
          <t>1.350</t>
        </is>
      </c>
    </row>
    <row r="2490">
      <c r="A2490" s="24" t="n">
        <v>46082</v>
      </c>
      <c r="B2490" t="inlineStr">
        <is>
          <t>Frete de compra</t>
        </is>
      </c>
      <c r="C2490" t="inlineStr">
        <is>
          <t>Frete de compra</t>
        </is>
      </c>
      <c r="D2490" t="inlineStr">
        <is>
          <t>CT-e</t>
        </is>
      </c>
      <c r="E2490" t="inlineStr">
        <is>
          <t>000191510</t>
        </is>
      </c>
      <c r="F2490" t="inlineStr">
        <is>
          <t>ALIANCA NAVEGACAO E LOGISTICA LTDA</t>
        </is>
      </c>
      <c r="G2490" s="27" t="n">
        <v>46092</v>
      </c>
      <c r="H2490" s="14" t="n">
        <v>17191.56</v>
      </c>
      <c r="I2490" s="14" t="n">
        <v>0</v>
      </c>
      <c r="J2490" s="14" t="n">
        <v>1203.41</v>
      </c>
      <c r="K2490" s="14" t="n">
        <v>0</v>
      </c>
      <c r="L2490" s="14" t="n">
        <v>0</v>
      </c>
      <c r="M2490" s="14">
        <f>IF(B2490="Frete de venda",0,(1-ISNUMBER(SEARCH("556",P2490)))*(I2490*VLOOKUP($B2490,Premissas!$A$4:$E$7,2,0)+J2490*VLOOKUP($B2490,Premissas!$A$4:$E$7,3,0))+K2490*VLOOKUP($B2490,Premissas!$A$4:$E$7,4,0)+L2490*VLOOKUP($B2490,Premissas!$A$4:$E$7,5,0))</f>
        <v/>
      </c>
      <c r="N2490" s="14">
        <f>H2490-M2490</f>
        <v/>
      </c>
      <c r="O2490" t="inlineStr">
        <is>
          <t>Sim</t>
        </is>
      </c>
      <c r="P2490" t="inlineStr">
        <is>
          <t>1.350</t>
        </is>
      </c>
    </row>
    <row r="2491">
      <c r="A2491" s="24" t="n">
        <v>46082</v>
      </c>
      <c r="B2491" t="inlineStr">
        <is>
          <t>Frete de compra</t>
        </is>
      </c>
      <c r="C2491" t="inlineStr">
        <is>
          <t>Frete de compra</t>
        </is>
      </c>
      <c r="D2491" t="inlineStr">
        <is>
          <t>CT-e</t>
        </is>
      </c>
      <c r="E2491" t="inlineStr">
        <is>
          <t>000191511</t>
        </is>
      </c>
      <c r="F2491" t="inlineStr">
        <is>
          <t>ALIANCA NAVEGACAO E LOGISTICA LTDA</t>
        </is>
      </c>
      <c r="G2491" s="27" t="n">
        <v>46092</v>
      </c>
      <c r="H2491" s="14" t="n">
        <v>17190.57</v>
      </c>
      <c r="I2491" s="14" t="n">
        <v>0</v>
      </c>
      <c r="J2491" s="14" t="n">
        <v>1203.34</v>
      </c>
      <c r="K2491" s="14" t="n">
        <v>0</v>
      </c>
      <c r="L2491" s="14" t="n">
        <v>0</v>
      </c>
      <c r="M2491" s="14">
        <f>IF(B2491="Frete de venda",0,(1-ISNUMBER(SEARCH("556",P2491)))*(I2491*VLOOKUP($B2491,Premissas!$A$4:$E$7,2,0)+J2491*VLOOKUP($B2491,Premissas!$A$4:$E$7,3,0))+K2491*VLOOKUP($B2491,Premissas!$A$4:$E$7,4,0)+L2491*VLOOKUP($B2491,Premissas!$A$4:$E$7,5,0))</f>
        <v/>
      </c>
      <c r="N2491" s="14">
        <f>H2491-M2491</f>
        <v/>
      </c>
      <c r="O2491" t="inlineStr">
        <is>
          <t>Sim</t>
        </is>
      </c>
      <c r="P2491" t="inlineStr">
        <is>
          <t>1.350</t>
        </is>
      </c>
    </row>
    <row r="2492">
      <c r="A2492" s="24" t="n">
        <v>46082</v>
      </c>
      <c r="B2492" t="inlineStr">
        <is>
          <t>Frete de compra</t>
        </is>
      </c>
      <c r="C2492" t="inlineStr">
        <is>
          <t>Frete de compra</t>
        </is>
      </c>
      <c r="D2492" t="inlineStr">
        <is>
          <t>CT-e</t>
        </is>
      </c>
      <c r="E2492" t="inlineStr">
        <is>
          <t>000191512</t>
        </is>
      </c>
      <c r="F2492" t="inlineStr">
        <is>
          <t>ALIANCA NAVEGACAO E LOGISTICA LTDA</t>
        </is>
      </c>
      <c r="G2492" s="27" t="n">
        <v>46092</v>
      </c>
      <c r="H2492" s="14" t="n">
        <v>17191.09</v>
      </c>
      <c r="I2492" s="14" t="n">
        <v>0</v>
      </c>
      <c r="J2492" s="14" t="n">
        <v>1203.38</v>
      </c>
      <c r="K2492" s="14" t="n">
        <v>0</v>
      </c>
      <c r="L2492" s="14" t="n">
        <v>0</v>
      </c>
      <c r="M2492" s="14">
        <f>IF(B2492="Frete de venda",0,(1-ISNUMBER(SEARCH("556",P2492)))*(I2492*VLOOKUP($B2492,Premissas!$A$4:$E$7,2,0)+J2492*VLOOKUP($B2492,Premissas!$A$4:$E$7,3,0))+K2492*VLOOKUP($B2492,Premissas!$A$4:$E$7,4,0)+L2492*VLOOKUP($B2492,Premissas!$A$4:$E$7,5,0))</f>
        <v/>
      </c>
      <c r="N2492" s="14">
        <f>H2492-M2492</f>
        <v/>
      </c>
      <c r="O2492" t="inlineStr">
        <is>
          <t>Sim</t>
        </is>
      </c>
      <c r="P2492" t="inlineStr">
        <is>
          <t>1.350</t>
        </is>
      </c>
    </row>
    <row r="2493">
      <c r="A2493" s="24" t="n">
        <v>46082</v>
      </c>
      <c r="B2493" t="inlineStr">
        <is>
          <t>Frete de compra</t>
        </is>
      </c>
      <c r="C2493" t="inlineStr">
        <is>
          <t>Frete de compra</t>
        </is>
      </c>
      <c r="D2493" t="inlineStr">
        <is>
          <t>CT-e</t>
        </is>
      </c>
      <c r="E2493" t="inlineStr">
        <is>
          <t>000192804</t>
        </is>
      </c>
      <c r="F2493" t="inlineStr">
        <is>
          <t>ALIANCA NAVEGACAO E LOGISTICA LTDA</t>
        </is>
      </c>
      <c r="G2493" s="27" t="n">
        <v>46108</v>
      </c>
      <c r="H2493" s="14" t="n">
        <v>18046.14</v>
      </c>
      <c r="I2493" s="14" t="n">
        <v>0</v>
      </c>
      <c r="J2493" s="14" t="n">
        <v>1263.23</v>
      </c>
      <c r="K2493" s="14" t="n">
        <v>0</v>
      </c>
      <c r="L2493" s="14" t="n">
        <v>0</v>
      </c>
      <c r="M2493" s="14">
        <f>IF(B2493="Frete de venda",0,(1-ISNUMBER(SEARCH("556",P2493)))*(I2493*VLOOKUP($B2493,Premissas!$A$4:$E$7,2,0)+J2493*VLOOKUP($B2493,Premissas!$A$4:$E$7,3,0))+K2493*VLOOKUP($B2493,Premissas!$A$4:$E$7,4,0)+L2493*VLOOKUP($B2493,Premissas!$A$4:$E$7,5,0))</f>
        <v/>
      </c>
      <c r="N2493" s="14">
        <f>H2493-M2493</f>
        <v/>
      </c>
      <c r="O2493" t="inlineStr">
        <is>
          <t>Sim</t>
        </is>
      </c>
      <c r="P2493" t="inlineStr">
        <is>
          <t>1.350</t>
        </is>
      </c>
    </row>
    <row r="2494">
      <c r="A2494" s="24" t="n">
        <v>46082</v>
      </c>
      <c r="B2494" t="inlineStr">
        <is>
          <t>Frete de compra</t>
        </is>
      </c>
      <c r="C2494" t="inlineStr">
        <is>
          <t>Frete de compra</t>
        </is>
      </c>
      <c r="D2494" t="inlineStr">
        <is>
          <t>CT-e</t>
        </is>
      </c>
      <c r="E2494" t="inlineStr">
        <is>
          <t>000192822</t>
        </is>
      </c>
      <c r="F2494" t="inlineStr">
        <is>
          <t>ALIANCA NAVEGACAO E LOGISTICA LTDA</t>
        </is>
      </c>
      <c r="G2494" s="27" t="n">
        <v>46108</v>
      </c>
      <c r="H2494" s="14" t="n">
        <v>17990.66</v>
      </c>
      <c r="I2494" s="14" t="n">
        <v>0</v>
      </c>
      <c r="J2494" s="14" t="n">
        <v>1259.35</v>
      </c>
      <c r="K2494" s="14" t="n">
        <v>0</v>
      </c>
      <c r="L2494" s="14" t="n">
        <v>0</v>
      </c>
      <c r="M2494" s="14">
        <f>IF(B2494="Frete de venda",0,(1-ISNUMBER(SEARCH("556",P2494)))*(I2494*VLOOKUP($B2494,Premissas!$A$4:$E$7,2,0)+J2494*VLOOKUP($B2494,Premissas!$A$4:$E$7,3,0))+K2494*VLOOKUP($B2494,Premissas!$A$4:$E$7,4,0)+L2494*VLOOKUP($B2494,Premissas!$A$4:$E$7,5,0))</f>
        <v/>
      </c>
      <c r="N2494" s="14">
        <f>H2494-M2494</f>
        <v/>
      </c>
      <c r="O2494" t="inlineStr">
        <is>
          <t>Sim</t>
        </is>
      </c>
      <c r="P2494" t="inlineStr">
        <is>
          <t>1.350</t>
        </is>
      </c>
    </row>
    <row r="2495">
      <c r="A2495" s="24" t="n">
        <v>46082</v>
      </c>
      <c r="B2495" t="inlineStr">
        <is>
          <t>Frete de venda</t>
        </is>
      </c>
      <c r="C2495" t="inlineStr">
        <is>
          <t>Frete de venda (para clientes)</t>
        </is>
      </c>
      <c r="D2495" t="inlineStr">
        <is>
          <t>CT-e</t>
        </is>
      </c>
      <c r="E2495" t="inlineStr">
        <is>
          <t>000006480</t>
        </is>
      </c>
      <c r="F2495" t="inlineStr">
        <is>
          <t>R&amp;R TRANSPORTE E LOGISTICA</t>
        </is>
      </c>
      <c r="G2495" s="27" t="n">
        <v>46083</v>
      </c>
      <c r="H2495" s="14" t="n">
        <v>33.72</v>
      </c>
      <c r="I2495" s="14" t="n">
        <v>0</v>
      </c>
      <c r="J2495" s="14" t="n">
        <v>0</v>
      </c>
      <c r="K2495" s="14" t="n">
        <v>0</v>
      </c>
      <c r="L2495" s="14" t="n">
        <v>0</v>
      </c>
      <c r="M2495" s="14">
        <f>IF(B2495="Frete de venda",0,(1-ISNUMBER(SEARCH("556",P2495)))*(I2495*VLOOKUP($B2495,Premissas!$A$4:$E$7,2,0)+J2495*VLOOKUP($B2495,Premissas!$A$4:$E$7,3,0))+K2495*VLOOKUP($B2495,Premissas!$A$4:$E$7,4,0)+L2495*VLOOKUP($B2495,Premissas!$A$4:$E$7,5,0))</f>
        <v/>
      </c>
      <c r="N2495" s="14">
        <f>H2495-M2495</f>
        <v/>
      </c>
      <c r="O2495" t="inlineStr">
        <is>
          <t>Não</t>
        </is>
      </c>
      <c r="P2495" t="inlineStr">
        <is>
          <t>1.350</t>
        </is>
      </c>
    </row>
    <row r="2496">
      <c r="A2496" s="24" t="n">
        <v>46082</v>
      </c>
      <c r="B2496" t="inlineStr">
        <is>
          <t>Frete de venda</t>
        </is>
      </c>
      <c r="C2496" t="inlineStr">
        <is>
          <t>Frete de venda (para clientes)</t>
        </is>
      </c>
      <c r="D2496" t="inlineStr">
        <is>
          <t>CT-e</t>
        </is>
      </c>
      <c r="E2496" t="inlineStr">
        <is>
          <t>000003846</t>
        </is>
      </c>
      <c r="F2496" t="inlineStr">
        <is>
          <t>UNIVERSAL CARGAS EXPRESS</t>
        </is>
      </c>
      <c r="G2496" s="27" t="n">
        <v>46092</v>
      </c>
      <c r="H2496" s="14" t="n">
        <v>800</v>
      </c>
      <c r="I2496" s="14" t="n">
        <v>0</v>
      </c>
      <c r="J2496" s="14" t="n">
        <v>0</v>
      </c>
      <c r="K2496" s="14" t="n">
        <v>0</v>
      </c>
      <c r="L2496" s="14" t="n">
        <v>0</v>
      </c>
      <c r="M2496" s="14">
        <f>IF(B2496="Frete de venda",0,(1-ISNUMBER(SEARCH("556",P2496)))*(I2496*VLOOKUP($B2496,Premissas!$A$4:$E$7,2,0)+J2496*VLOOKUP($B2496,Premissas!$A$4:$E$7,3,0))+K2496*VLOOKUP($B2496,Premissas!$A$4:$E$7,4,0)+L2496*VLOOKUP($B2496,Premissas!$A$4:$E$7,5,0))</f>
        <v/>
      </c>
      <c r="N2496" s="14">
        <f>H2496-M2496</f>
        <v/>
      </c>
      <c r="O2496" t="inlineStr">
        <is>
          <t>Sim</t>
        </is>
      </c>
      <c r="P2496" t="inlineStr">
        <is>
          <t>1.350</t>
        </is>
      </c>
    </row>
    <row r="2497">
      <c r="A2497" s="24" t="n">
        <v>46082</v>
      </c>
      <c r="B2497" t="inlineStr">
        <is>
          <t>Frete de venda</t>
        </is>
      </c>
      <c r="C2497" t="inlineStr">
        <is>
          <t>Frete de venda (para clientes)</t>
        </is>
      </c>
      <c r="D2497" t="inlineStr">
        <is>
          <t>CT-e</t>
        </is>
      </c>
      <c r="E2497" t="inlineStr">
        <is>
          <t>000006586</t>
        </is>
      </c>
      <c r="F2497" t="inlineStr">
        <is>
          <t>R&amp;R TRANSPORTE E LOGISTICA</t>
        </is>
      </c>
      <c r="G2497" s="27" t="n">
        <v>46097</v>
      </c>
      <c r="H2497" s="14" t="n">
        <v>18.1</v>
      </c>
      <c r="I2497" s="14" t="n">
        <v>0</v>
      </c>
      <c r="J2497" s="14" t="n">
        <v>0</v>
      </c>
      <c r="K2497" s="14" t="n">
        <v>0</v>
      </c>
      <c r="L2497" s="14" t="n">
        <v>0</v>
      </c>
      <c r="M2497" s="14">
        <f>IF(B2497="Frete de venda",0,(1-ISNUMBER(SEARCH("556",P2497)))*(I2497*VLOOKUP($B2497,Premissas!$A$4:$E$7,2,0)+J2497*VLOOKUP($B2497,Premissas!$A$4:$E$7,3,0))+K2497*VLOOKUP($B2497,Premissas!$A$4:$E$7,4,0)+L2497*VLOOKUP($B2497,Premissas!$A$4:$E$7,5,0))</f>
        <v/>
      </c>
      <c r="N2497" s="14">
        <f>H2497-M2497</f>
        <v/>
      </c>
      <c r="O2497" t="inlineStr">
        <is>
          <t>Não</t>
        </is>
      </c>
      <c r="P2497" t="inlineStr">
        <is>
          <t>1.350</t>
        </is>
      </c>
    </row>
    <row r="2498">
      <c r="A2498" s="24" t="n">
        <v>46082</v>
      </c>
      <c r="B2498" t="inlineStr">
        <is>
          <t>Frete de venda</t>
        </is>
      </c>
      <c r="C2498" t="inlineStr">
        <is>
          <t>Frete de venda (para clientes)</t>
        </is>
      </c>
      <c r="D2498" t="inlineStr">
        <is>
          <t>CT-e</t>
        </is>
      </c>
      <c r="E2498" t="inlineStr">
        <is>
          <t>001421733</t>
        </is>
      </c>
      <c r="F2498" t="inlineStr">
        <is>
          <t>PICCOLI TRANSPORTES LTDA</t>
        </is>
      </c>
      <c r="G2498" s="27" t="n">
        <v>46107</v>
      </c>
      <c r="H2498" s="14" t="n">
        <v>0.1</v>
      </c>
      <c r="I2498" s="14" t="n">
        <v>0</v>
      </c>
      <c r="J2498" s="14" t="n">
        <v>0.01</v>
      </c>
      <c r="K2498" s="14" t="n">
        <v>0</v>
      </c>
      <c r="L2498" s="14" t="n">
        <v>0</v>
      </c>
      <c r="M2498" s="14">
        <f>IF(B2498="Frete de venda",0,(1-ISNUMBER(SEARCH("556",P2498)))*(I2498*VLOOKUP($B2498,Premissas!$A$4:$E$7,2,0)+J2498*VLOOKUP($B2498,Premissas!$A$4:$E$7,3,0))+K2498*VLOOKUP($B2498,Premissas!$A$4:$E$7,4,0)+L2498*VLOOKUP($B2498,Premissas!$A$4:$E$7,5,0))</f>
        <v/>
      </c>
      <c r="N2498" s="14">
        <f>H2498-M2498</f>
        <v/>
      </c>
      <c r="O2498" t="inlineStr">
        <is>
          <t>Não</t>
        </is>
      </c>
      <c r="P2498" t="inlineStr">
        <is>
          <t>2.350</t>
        </is>
      </c>
    </row>
    <row r="2499">
      <c r="A2499" s="24" t="n">
        <v>46082</v>
      </c>
      <c r="B2499" t="inlineStr">
        <is>
          <t>Frete de venda</t>
        </is>
      </c>
      <c r="C2499" t="inlineStr">
        <is>
          <t>Frete de venda (para clientes)</t>
        </is>
      </c>
      <c r="D2499" t="inlineStr">
        <is>
          <t>CT-e</t>
        </is>
      </c>
      <c r="E2499" t="inlineStr">
        <is>
          <t>001421983</t>
        </is>
      </c>
      <c r="F2499" t="inlineStr">
        <is>
          <t>PICCOLI TRANSPORTES LTDA</t>
        </is>
      </c>
      <c r="G2499" s="27" t="n">
        <v>46108</v>
      </c>
      <c r="H2499" s="14" t="n">
        <v>430.56</v>
      </c>
      <c r="I2499" s="14" t="n">
        <v>0</v>
      </c>
      <c r="J2499" s="14" t="n">
        <v>30.14</v>
      </c>
      <c r="K2499" s="14" t="n">
        <v>0</v>
      </c>
      <c r="L2499" s="14" t="n">
        <v>0</v>
      </c>
      <c r="M2499" s="14">
        <f>IF(B2499="Frete de venda",0,(1-ISNUMBER(SEARCH("556",P2499)))*(I2499*VLOOKUP($B2499,Premissas!$A$4:$E$7,2,0)+J2499*VLOOKUP($B2499,Premissas!$A$4:$E$7,3,0))+K2499*VLOOKUP($B2499,Premissas!$A$4:$E$7,4,0)+L2499*VLOOKUP($B2499,Premissas!$A$4:$E$7,5,0))</f>
        <v/>
      </c>
      <c r="N2499" s="14">
        <f>H2499-M2499</f>
        <v/>
      </c>
      <c r="O2499" t="inlineStr">
        <is>
          <t>Sim</t>
        </is>
      </c>
      <c r="P2499" t="inlineStr">
        <is>
          <t>1.350</t>
        </is>
      </c>
    </row>
    <row r="2500">
      <c r="A2500" s="24" t="n">
        <v>46082</v>
      </c>
      <c r="B2500" t="inlineStr">
        <is>
          <t>Frete de venda</t>
        </is>
      </c>
      <c r="C2500" t="inlineStr">
        <is>
          <t>Frete de venda (para clientes)</t>
        </is>
      </c>
      <c r="D2500" t="inlineStr">
        <is>
          <t>CT-e</t>
        </is>
      </c>
      <c r="E2500" t="inlineStr">
        <is>
          <t>000006485</t>
        </is>
      </c>
      <c r="F2500" t="inlineStr">
        <is>
          <t>R&amp;R TRANSPORTE E LOGISTICA</t>
        </is>
      </c>
      <c r="G2500" s="27" t="n">
        <v>46084</v>
      </c>
      <c r="H2500" s="14" t="n">
        <v>25.66</v>
      </c>
      <c r="I2500" s="14" t="n">
        <v>0</v>
      </c>
      <c r="J2500" s="14" t="n">
        <v>0</v>
      </c>
      <c r="K2500" s="14" t="n">
        <v>0</v>
      </c>
      <c r="L2500" s="14" t="n">
        <v>0</v>
      </c>
      <c r="M2500" s="14">
        <f>IF(B2500="Frete de venda",0,(1-ISNUMBER(SEARCH("556",P2500)))*(I2500*VLOOKUP($B2500,Premissas!$A$4:$E$7,2,0)+J2500*VLOOKUP($B2500,Premissas!$A$4:$E$7,3,0))+K2500*VLOOKUP($B2500,Premissas!$A$4:$E$7,4,0)+L2500*VLOOKUP($B2500,Premissas!$A$4:$E$7,5,0))</f>
        <v/>
      </c>
      <c r="N2500" s="14">
        <f>H2500-M2500</f>
        <v/>
      </c>
      <c r="O2500" t="inlineStr">
        <is>
          <t>Não</t>
        </is>
      </c>
      <c r="P2500" t="inlineStr">
        <is>
          <t>1.350</t>
        </is>
      </c>
    </row>
    <row r="2501">
      <c r="A2501" s="24" t="n">
        <v>46082</v>
      </c>
      <c r="B2501" t="inlineStr">
        <is>
          <t>Frete de venda</t>
        </is>
      </c>
      <c r="C2501" t="inlineStr">
        <is>
          <t>Frete de venda (para clientes)</t>
        </is>
      </c>
      <c r="D2501" t="inlineStr">
        <is>
          <t>CT-e</t>
        </is>
      </c>
      <c r="E2501" t="inlineStr">
        <is>
          <t>000006468</t>
        </is>
      </c>
      <c r="F2501" t="inlineStr">
        <is>
          <t>R&amp;R TRANSPORTE E LOGISTICA</t>
        </is>
      </c>
      <c r="G2501" s="27" t="n">
        <v>46083</v>
      </c>
      <c r="H2501" s="14" t="n">
        <v>41.94</v>
      </c>
      <c r="I2501" s="14" t="n">
        <v>0</v>
      </c>
      <c r="J2501" s="14" t="n">
        <v>0</v>
      </c>
      <c r="K2501" s="14" t="n">
        <v>0</v>
      </c>
      <c r="L2501" s="14" t="n">
        <v>0</v>
      </c>
      <c r="M2501" s="14">
        <f>IF(B2501="Frete de venda",0,(1-ISNUMBER(SEARCH("556",P2501)))*(I2501*VLOOKUP($B2501,Premissas!$A$4:$E$7,2,0)+J2501*VLOOKUP($B2501,Premissas!$A$4:$E$7,3,0))+K2501*VLOOKUP($B2501,Premissas!$A$4:$E$7,4,0)+L2501*VLOOKUP($B2501,Premissas!$A$4:$E$7,5,0))</f>
        <v/>
      </c>
      <c r="N2501" s="14">
        <f>H2501-M2501</f>
        <v/>
      </c>
      <c r="O2501" t="inlineStr">
        <is>
          <t>Não</t>
        </is>
      </c>
      <c r="P2501" t="inlineStr">
        <is>
          <t>1.350</t>
        </is>
      </c>
    </row>
    <row r="2502">
      <c r="A2502" s="24" t="n">
        <v>46082</v>
      </c>
      <c r="B2502" t="inlineStr">
        <is>
          <t>Frete de venda</t>
        </is>
      </c>
      <c r="C2502" t="inlineStr">
        <is>
          <t>Frete de venda (para clientes)</t>
        </is>
      </c>
      <c r="D2502" t="inlineStr">
        <is>
          <t>CT-e</t>
        </is>
      </c>
      <c r="E2502" t="inlineStr">
        <is>
          <t>000000630</t>
        </is>
      </c>
      <c r="F2502" t="inlineStr">
        <is>
          <t>REIMAG - REINALDO DOMINGUES BARROS DA SILVA</t>
        </is>
      </c>
      <c r="G2502" s="27" t="n">
        <v>46090</v>
      </c>
      <c r="H2502" s="14" t="n">
        <v>250</v>
      </c>
      <c r="I2502" s="14" t="n">
        <v>0</v>
      </c>
      <c r="J2502" s="14" t="n">
        <v>0</v>
      </c>
      <c r="K2502" s="14" t="n">
        <v>0</v>
      </c>
      <c r="L2502" s="14" t="n">
        <v>0</v>
      </c>
      <c r="M2502" s="14">
        <f>IF(B2502="Frete de venda",0,(1-ISNUMBER(SEARCH("556",P2502)))*(I2502*VLOOKUP($B2502,Premissas!$A$4:$E$7,2,0)+J2502*VLOOKUP($B2502,Premissas!$A$4:$E$7,3,0))+K2502*VLOOKUP($B2502,Premissas!$A$4:$E$7,4,0)+L2502*VLOOKUP($B2502,Premissas!$A$4:$E$7,5,0))</f>
        <v/>
      </c>
      <c r="N2502" s="14">
        <f>H2502-M2502</f>
        <v/>
      </c>
      <c r="O2502" t="inlineStr">
        <is>
          <t>Sim</t>
        </is>
      </c>
      <c r="P2502" t="inlineStr">
        <is>
          <t>1.350</t>
        </is>
      </c>
    </row>
    <row r="2503">
      <c r="A2503" s="24" t="n">
        <v>46082</v>
      </c>
      <c r="B2503" t="inlineStr">
        <is>
          <t>Frete de venda</t>
        </is>
      </c>
      <c r="C2503" t="inlineStr">
        <is>
          <t>Frete de venda (para clientes)</t>
        </is>
      </c>
      <c r="D2503" t="inlineStr">
        <is>
          <t>CT-e</t>
        </is>
      </c>
      <c r="E2503" t="inlineStr">
        <is>
          <t>000006670</t>
        </is>
      </c>
      <c r="F2503" t="inlineStr">
        <is>
          <t>R&amp;R TRANSPORTE E LOGISTICA</t>
        </is>
      </c>
      <c r="G2503" s="27" t="n">
        <v>46105</v>
      </c>
      <c r="H2503" s="14" t="n">
        <v>27.73</v>
      </c>
      <c r="I2503" s="14" t="n">
        <v>0</v>
      </c>
      <c r="J2503" s="14" t="n">
        <v>0</v>
      </c>
      <c r="K2503" s="14" t="n">
        <v>0</v>
      </c>
      <c r="L2503" s="14" t="n">
        <v>0</v>
      </c>
      <c r="M2503" s="14">
        <f>IF(B2503="Frete de venda",0,(1-ISNUMBER(SEARCH("556",P2503)))*(I2503*VLOOKUP($B2503,Premissas!$A$4:$E$7,2,0)+J2503*VLOOKUP($B2503,Premissas!$A$4:$E$7,3,0))+K2503*VLOOKUP($B2503,Premissas!$A$4:$E$7,4,0)+L2503*VLOOKUP($B2503,Premissas!$A$4:$E$7,5,0))</f>
        <v/>
      </c>
      <c r="N2503" s="14">
        <f>H2503-M2503</f>
        <v/>
      </c>
      <c r="O2503" t="inlineStr">
        <is>
          <t>Não</t>
        </is>
      </c>
      <c r="P2503" t="inlineStr">
        <is>
          <t>1.350</t>
        </is>
      </c>
    </row>
    <row r="2504">
      <c r="A2504" s="24" t="n">
        <v>46082</v>
      </c>
      <c r="B2504" t="inlineStr">
        <is>
          <t>Frete de venda</t>
        </is>
      </c>
      <c r="C2504" t="inlineStr">
        <is>
          <t>Frete de venda (para clientes)</t>
        </is>
      </c>
      <c r="D2504" t="inlineStr">
        <is>
          <t>CT-e</t>
        </is>
      </c>
      <c r="E2504" t="inlineStr">
        <is>
          <t>000003316</t>
        </is>
      </c>
      <c r="F2504" t="inlineStr">
        <is>
          <t>RAPIDO XAPURI TRANSPORTES E LOGISTICA LTDA</t>
        </is>
      </c>
      <c r="G2504" s="27" t="n">
        <v>46109</v>
      </c>
      <c r="H2504" s="14" t="n">
        <v>1210.09</v>
      </c>
      <c r="I2504" s="14" t="n">
        <v>0</v>
      </c>
      <c r="J2504" s="14" t="n">
        <v>145.21</v>
      </c>
      <c r="K2504" s="14" t="n">
        <v>0</v>
      </c>
      <c r="L2504" s="14" t="n">
        <v>0</v>
      </c>
      <c r="M2504" s="14">
        <f>IF(B2504="Frete de venda",0,(1-ISNUMBER(SEARCH("556",P2504)))*(I2504*VLOOKUP($B2504,Premissas!$A$4:$E$7,2,0)+J2504*VLOOKUP($B2504,Premissas!$A$4:$E$7,3,0))+K2504*VLOOKUP($B2504,Premissas!$A$4:$E$7,4,0)+L2504*VLOOKUP($B2504,Premissas!$A$4:$E$7,5,0))</f>
        <v/>
      </c>
      <c r="N2504" s="14">
        <f>H2504-M2504</f>
        <v/>
      </c>
      <c r="O2504" t="inlineStr">
        <is>
          <t>Sim</t>
        </is>
      </c>
      <c r="P2504" t="inlineStr">
        <is>
          <t>1.350</t>
        </is>
      </c>
    </row>
    <row r="2505">
      <c r="A2505" s="24" t="n">
        <v>46082</v>
      </c>
      <c r="B2505" t="inlineStr">
        <is>
          <t>Frete de venda</t>
        </is>
      </c>
      <c r="C2505" t="inlineStr">
        <is>
          <t>Frete de venda (para clientes)</t>
        </is>
      </c>
      <c r="D2505" t="inlineStr">
        <is>
          <t>CT-e</t>
        </is>
      </c>
      <c r="E2505" t="inlineStr">
        <is>
          <t>000006658</t>
        </is>
      </c>
      <c r="F2505" t="inlineStr">
        <is>
          <t>R&amp;R TRANSPORTE E LOGISTICA</t>
        </is>
      </c>
      <c r="G2505" s="27" t="n">
        <v>46105</v>
      </c>
      <c r="H2505" s="14" t="n">
        <v>80.86</v>
      </c>
      <c r="I2505" s="14" t="n">
        <v>0</v>
      </c>
      <c r="J2505" s="14" t="n">
        <v>0</v>
      </c>
      <c r="K2505" s="14" t="n">
        <v>0</v>
      </c>
      <c r="L2505" s="14" t="n">
        <v>0</v>
      </c>
      <c r="M2505" s="14">
        <f>IF(B2505="Frete de venda",0,(1-ISNUMBER(SEARCH("556",P2505)))*(I2505*VLOOKUP($B2505,Premissas!$A$4:$E$7,2,0)+J2505*VLOOKUP($B2505,Premissas!$A$4:$E$7,3,0))+K2505*VLOOKUP($B2505,Premissas!$A$4:$E$7,4,0)+L2505*VLOOKUP($B2505,Premissas!$A$4:$E$7,5,0))</f>
        <v/>
      </c>
      <c r="N2505" s="14">
        <f>H2505-M2505</f>
        <v/>
      </c>
      <c r="O2505" t="inlineStr">
        <is>
          <t>Não</t>
        </is>
      </c>
      <c r="P2505" t="inlineStr">
        <is>
          <t>1.350</t>
        </is>
      </c>
    </row>
    <row r="2506">
      <c r="A2506" s="24" t="n">
        <v>46082</v>
      </c>
      <c r="B2506" t="inlineStr">
        <is>
          <t>Frete de venda</t>
        </is>
      </c>
      <c r="C2506" t="inlineStr">
        <is>
          <t>Frete de venda (para clientes)</t>
        </is>
      </c>
      <c r="D2506" t="inlineStr">
        <is>
          <t>CT-e</t>
        </is>
      </c>
      <c r="E2506" t="inlineStr">
        <is>
          <t>000006677</t>
        </is>
      </c>
      <c r="F2506" t="inlineStr">
        <is>
          <t>R&amp;R TRANSPORTE E LOGISTICA</t>
        </is>
      </c>
      <c r="G2506" s="27" t="n">
        <v>46107</v>
      </c>
      <c r="H2506" s="14" t="n">
        <v>1900</v>
      </c>
      <c r="I2506" s="14" t="n">
        <v>0</v>
      </c>
      <c r="J2506" s="14" t="n">
        <v>0</v>
      </c>
      <c r="K2506" s="14" t="n">
        <v>0</v>
      </c>
      <c r="L2506" s="14" t="n">
        <v>0</v>
      </c>
      <c r="M2506" s="14">
        <f>IF(B2506="Frete de venda",0,(1-ISNUMBER(SEARCH("556",P2506)))*(I2506*VLOOKUP($B2506,Premissas!$A$4:$E$7,2,0)+J2506*VLOOKUP($B2506,Premissas!$A$4:$E$7,3,0))+K2506*VLOOKUP($B2506,Premissas!$A$4:$E$7,4,0)+L2506*VLOOKUP($B2506,Premissas!$A$4:$E$7,5,0))</f>
        <v/>
      </c>
      <c r="N2506" s="14">
        <f>H2506-M2506</f>
        <v/>
      </c>
      <c r="O2506" t="inlineStr">
        <is>
          <t>Sim</t>
        </is>
      </c>
      <c r="P2506" t="inlineStr">
        <is>
          <t>1.350</t>
        </is>
      </c>
    </row>
    <row r="2507">
      <c r="A2507" s="24" t="n">
        <v>46082</v>
      </c>
      <c r="B2507" t="inlineStr">
        <is>
          <t>Frete de venda</t>
        </is>
      </c>
      <c r="C2507" t="inlineStr">
        <is>
          <t>Frete de venda (para clientes)</t>
        </is>
      </c>
      <c r="D2507" t="inlineStr">
        <is>
          <t>CT-e</t>
        </is>
      </c>
      <c r="E2507" t="inlineStr">
        <is>
          <t>000006495</t>
        </is>
      </c>
      <c r="F2507" t="inlineStr">
        <is>
          <t>R&amp;R TRANSPORTE E LOGISTICA</t>
        </is>
      </c>
      <c r="G2507" s="27" t="n">
        <v>46084</v>
      </c>
      <c r="H2507" s="14" t="n">
        <v>44.23</v>
      </c>
      <c r="I2507" s="14" t="n">
        <v>0</v>
      </c>
      <c r="J2507" s="14" t="n">
        <v>0</v>
      </c>
      <c r="K2507" s="14" t="n">
        <v>0</v>
      </c>
      <c r="L2507" s="14" t="n">
        <v>0</v>
      </c>
      <c r="M2507" s="14">
        <f>IF(B2507="Frete de venda",0,(1-ISNUMBER(SEARCH("556",P2507)))*(I2507*VLOOKUP($B2507,Premissas!$A$4:$E$7,2,0)+J2507*VLOOKUP($B2507,Premissas!$A$4:$E$7,3,0))+K2507*VLOOKUP($B2507,Premissas!$A$4:$E$7,4,0)+L2507*VLOOKUP($B2507,Premissas!$A$4:$E$7,5,0))</f>
        <v/>
      </c>
      <c r="N2507" s="14">
        <f>H2507-M2507</f>
        <v/>
      </c>
      <c r="O2507" t="inlineStr">
        <is>
          <t>Não</t>
        </is>
      </c>
      <c r="P2507" t="inlineStr">
        <is>
          <t>1.350</t>
        </is>
      </c>
    </row>
    <row r="2508">
      <c r="A2508" s="24" t="n">
        <v>46082</v>
      </c>
      <c r="B2508" t="inlineStr">
        <is>
          <t>Frete de venda</t>
        </is>
      </c>
      <c r="C2508" t="inlineStr">
        <is>
          <t>Frete de venda (para clientes)</t>
        </is>
      </c>
      <c r="D2508" t="inlineStr">
        <is>
          <t>CT-e</t>
        </is>
      </c>
      <c r="E2508" t="inlineStr">
        <is>
          <t>000006506</t>
        </is>
      </c>
      <c r="F2508" t="inlineStr">
        <is>
          <t>R&amp;R TRANSPORTE E LOGISTICA</t>
        </is>
      </c>
      <c r="G2508" s="27" t="n">
        <v>46085</v>
      </c>
      <c r="H2508" s="14" t="n">
        <v>12.71</v>
      </c>
      <c r="I2508" s="14" t="n">
        <v>0</v>
      </c>
      <c r="J2508" s="14" t="n">
        <v>0</v>
      </c>
      <c r="K2508" s="14" t="n">
        <v>0</v>
      </c>
      <c r="L2508" s="14" t="n">
        <v>0</v>
      </c>
      <c r="M2508" s="14">
        <f>IF(B2508="Frete de venda",0,(1-ISNUMBER(SEARCH("556",P2508)))*(I2508*VLOOKUP($B2508,Premissas!$A$4:$E$7,2,0)+J2508*VLOOKUP($B2508,Premissas!$A$4:$E$7,3,0))+K2508*VLOOKUP($B2508,Premissas!$A$4:$E$7,4,0)+L2508*VLOOKUP($B2508,Premissas!$A$4:$E$7,5,0))</f>
        <v/>
      </c>
      <c r="N2508" s="14">
        <f>H2508-M2508</f>
        <v/>
      </c>
      <c r="O2508" t="inlineStr">
        <is>
          <t>Não</t>
        </is>
      </c>
      <c r="P2508" t="inlineStr">
        <is>
          <t>1.350</t>
        </is>
      </c>
    </row>
    <row r="2509">
      <c r="A2509" s="24" t="n">
        <v>46082</v>
      </c>
      <c r="B2509" t="inlineStr">
        <is>
          <t>Frete de venda</t>
        </is>
      </c>
      <c r="C2509" t="inlineStr">
        <is>
          <t>Frete de venda (para clientes)</t>
        </is>
      </c>
      <c r="D2509" t="inlineStr">
        <is>
          <t>CT-e</t>
        </is>
      </c>
      <c r="E2509" t="inlineStr">
        <is>
          <t>000006505</t>
        </is>
      </c>
      <c r="F2509" t="inlineStr">
        <is>
          <t>R&amp;R TRANSPORTE E LOGISTICA</t>
        </is>
      </c>
      <c r="G2509" s="27" t="n">
        <v>46085</v>
      </c>
      <c r="H2509" s="14" t="n">
        <v>18.15</v>
      </c>
      <c r="I2509" s="14" t="n">
        <v>0</v>
      </c>
      <c r="J2509" s="14" t="n">
        <v>0</v>
      </c>
      <c r="K2509" s="14" t="n">
        <v>0</v>
      </c>
      <c r="L2509" s="14" t="n">
        <v>0</v>
      </c>
      <c r="M2509" s="14">
        <f>IF(B2509="Frete de venda",0,(1-ISNUMBER(SEARCH("556",P2509)))*(I2509*VLOOKUP($B2509,Premissas!$A$4:$E$7,2,0)+J2509*VLOOKUP($B2509,Premissas!$A$4:$E$7,3,0))+K2509*VLOOKUP($B2509,Premissas!$A$4:$E$7,4,0)+L2509*VLOOKUP($B2509,Premissas!$A$4:$E$7,5,0))</f>
        <v/>
      </c>
      <c r="N2509" s="14">
        <f>H2509-M2509</f>
        <v/>
      </c>
      <c r="O2509" t="inlineStr">
        <is>
          <t>Não</t>
        </is>
      </c>
      <c r="P2509" t="inlineStr">
        <is>
          <t>1.350</t>
        </is>
      </c>
    </row>
    <row r="2510">
      <c r="A2510" s="24" t="n">
        <v>46082</v>
      </c>
      <c r="B2510" t="inlineStr">
        <is>
          <t>Frete de venda</t>
        </is>
      </c>
      <c r="C2510" t="inlineStr">
        <is>
          <t>Frete de venda (para clientes)</t>
        </is>
      </c>
      <c r="D2510" t="inlineStr">
        <is>
          <t>CT-e</t>
        </is>
      </c>
      <c r="E2510" t="inlineStr">
        <is>
          <t>000006688</t>
        </is>
      </c>
      <c r="F2510" t="inlineStr">
        <is>
          <t>R&amp;R TRANSPORTE E LOGISTICA</t>
        </is>
      </c>
      <c r="G2510" s="27" t="n">
        <v>46109</v>
      </c>
      <c r="H2510" s="14" t="n">
        <v>61.68</v>
      </c>
      <c r="I2510" s="14" t="n">
        <v>0</v>
      </c>
      <c r="J2510" s="14" t="n">
        <v>0</v>
      </c>
      <c r="K2510" s="14" t="n">
        <v>0</v>
      </c>
      <c r="L2510" s="14" t="n">
        <v>0</v>
      </c>
      <c r="M2510" s="14">
        <f>IF(B2510="Frete de venda",0,(1-ISNUMBER(SEARCH("556",P2510)))*(I2510*VLOOKUP($B2510,Premissas!$A$4:$E$7,2,0)+J2510*VLOOKUP($B2510,Premissas!$A$4:$E$7,3,0))+K2510*VLOOKUP($B2510,Premissas!$A$4:$E$7,4,0)+L2510*VLOOKUP($B2510,Premissas!$A$4:$E$7,5,0))</f>
        <v/>
      </c>
      <c r="N2510" s="14">
        <f>H2510-M2510</f>
        <v/>
      </c>
      <c r="O2510" t="inlineStr">
        <is>
          <t>Não</t>
        </is>
      </c>
      <c r="P2510" t="inlineStr">
        <is>
          <t>1.350</t>
        </is>
      </c>
    </row>
    <row r="2511">
      <c r="A2511" s="24" t="n">
        <v>46082</v>
      </c>
      <c r="B2511" t="inlineStr">
        <is>
          <t>Frete de venda</t>
        </is>
      </c>
      <c r="C2511" t="inlineStr">
        <is>
          <t>Frete de venda (para clientes)</t>
        </is>
      </c>
      <c r="D2511" t="inlineStr">
        <is>
          <t>CT-e</t>
        </is>
      </c>
      <c r="E2511" t="inlineStr">
        <is>
          <t>000006590</t>
        </is>
      </c>
      <c r="F2511" t="inlineStr">
        <is>
          <t>R&amp;R TRANSPORTE E LOGISTICA</t>
        </is>
      </c>
      <c r="G2511" s="27" t="n">
        <v>46097</v>
      </c>
      <c r="H2511" s="14" t="n">
        <v>35</v>
      </c>
      <c r="I2511" s="14" t="n">
        <v>0</v>
      </c>
      <c r="J2511" s="14" t="n">
        <v>0</v>
      </c>
      <c r="K2511" s="14" t="n">
        <v>0</v>
      </c>
      <c r="L2511" s="14" t="n">
        <v>0</v>
      </c>
      <c r="M2511" s="14">
        <f>IF(B2511="Frete de venda",0,(1-ISNUMBER(SEARCH("556",P2511)))*(I2511*VLOOKUP($B2511,Premissas!$A$4:$E$7,2,0)+J2511*VLOOKUP($B2511,Premissas!$A$4:$E$7,3,0))+K2511*VLOOKUP($B2511,Premissas!$A$4:$E$7,4,0)+L2511*VLOOKUP($B2511,Premissas!$A$4:$E$7,5,0))</f>
        <v/>
      </c>
      <c r="N2511" s="14">
        <f>H2511-M2511</f>
        <v/>
      </c>
      <c r="O2511" t="inlineStr">
        <is>
          <t>Não</t>
        </is>
      </c>
      <c r="P2511" t="inlineStr">
        <is>
          <t>1.350</t>
        </is>
      </c>
    </row>
    <row r="2512">
      <c r="A2512" s="24" t="n">
        <v>46082</v>
      </c>
      <c r="B2512" t="inlineStr">
        <is>
          <t>Frete de venda</t>
        </is>
      </c>
      <c r="C2512" t="inlineStr">
        <is>
          <t>Frete de venda (para clientes)</t>
        </is>
      </c>
      <c r="D2512" t="inlineStr">
        <is>
          <t>CT-e</t>
        </is>
      </c>
      <c r="E2512" t="inlineStr">
        <is>
          <t>000006602</t>
        </is>
      </c>
      <c r="F2512" t="inlineStr">
        <is>
          <t>R&amp;R TRANSPORTE E LOGISTICA</t>
        </is>
      </c>
      <c r="G2512" s="27" t="n">
        <v>46097</v>
      </c>
      <c r="H2512" s="14" t="n">
        <v>19.55</v>
      </c>
      <c r="I2512" s="14" t="n">
        <v>0</v>
      </c>
      <c r="J2512" s="14" t="n">
        <v>0</v>
      </c>
      <c r="K2512" s="14" t="n">
        <v>0</v>
      </c>
      <c r="L2512" s="14" t="n">
        <v>0</v>
      </c>
      <c r="M2512" s="14">
        <f>IF(B2512="Frete de venda",0,(1-ISNUMBER(SEARCH("556",P2512)))*(I2512*VLOOKUP($B2512,Premissas!$A$4:$E$7,2,0)+J2512*VLOOKUP($B2512,Premissas!$A$4:$E$7,3,0))+K2512*VLOOKUP($B2512,Premissas!$A$4:$E$7,4,0)+L2512*VLOOKUP($B2512,Premissas!$A$4:$E$7,5,0))</f>
        <v/>
      </c>
      <c r="N2512" s="14">
        <f>H2512-M2512</f>
        <v/>
      </c>
      <c r="O2512" t="inlineStr">
        <is>
          <t>Não</t>
        </is>
      </c>
      <c r="P2512" t="inlineStr">
        <is>
          <t>1.350</t>
        </is>
      </c>
    </row>
    <row r="2513">
      <c r="A2513" s="24" t="n">
        <v>46082</v>
      </c>
      <c r="B2513" t="inlineStr">
        <is>
          <t>Frete de venda</t>
        </is>
      </c>
      <c r="C2513" t="inlineStr">
        <is>
          <t>Frete de venda (para clientes)</t>
        </is>
      </c>
      <c r="D2513" t="inlineStr">
        <is>
          <t>CT-e</t>
        </is>
      </c>
      <c r="E2513" t="inlineStr">
        <is>
          <t>000006628</t>
        </is>
      </c>
      <c r="F2513" t="inlineStr">
        <is>
          <t>R&amp;R TRANSPORTE E LOGISTICA</t>
        </is>
      </c>
      <c r="G2513" s="27" t="n">
        <v>46100</v>
      </c>
      <c r="H2513" s="14" t="n">
        <v>18.2</v>
      </c>
      <c r="I2513" s="14" t="n">
        <v>0</v>
      </c>
      <c r="J2513" s="14" t="n">
        <v>0</v>
      </c>
      <c r="K2513" s="14" t="n">
        <v>0</v>
      </c>
      <c r="L2513" s="14" t="n">
        <v>0</v>
      </c>
      <c r="M2513" s="14">
        <f>IF(B2513="Frete de venda",0,(1-ISNUMBER(SEARCH("556",P2513)))*(I2513*VLOOKUP($B2513,Premissas!$A$4:$E$7,2,0)+J2513*VLOOKUP($B2513,Premissas!$A$4:$E$7,3,0))+K2513*VLOOKUP($B2513,Premissas!$A$4:$E$7,4,0)+L2513*VLOOKUP($B2513,Premissas!$A$4:$E$7,5,0))</f>
        <v/>
      </c>
      <c r="N2513" s="14">
        <f>H2513-M2513</f>
        <v/>
      </c>
      <c r="O2513" t="inlineStr">
        <is>
          <t>Não</t>
        </is>
      </c>
      <c r="P2513" t="inlineStr">
        <is>
          <t>1.350</t>
        </is>
      </c>
    </row>
    <row r="2514">
      <c r="A2514" s="24" t="n">
        <v>46082</v>
      </c>
      <c r="B2514" t="inlineStr">
        <is>
          <t>Frete de venda</t>
        </is>
      </c>
      <c r="C2514" t="inlineStr">
        <is>
          <t>Frete de venda (para clientes)</t>
        </is>
      </c>
      <c r="D2514" t="inlineStr">
        <is>
          <t>CT-e</t>
        </is>
      </c>
      <c r="E2514" t="inlineStr">
        <is>
          <t>000006508</t>
        </is>
      </c>
      <c r="F2514" t="inlineStr">
        <is>
          <t>R&amp;R TRANSPORTE E LOGISTICA</t>
        </is>
      </c>
      <c r="G2514" s="27" t="n">
        <v>46085</v>
      </c>
      <c r="H2514" s="14" t="n">
        <v>13.89</v>
      </c>
      <c r="I2514" s="14" t="n">
        <v>0</v>
      </c>
      <c r="J2514" s="14" t="n">
        <v>0</v>
      </c>
      <c r="K2514" s="14" t="n">
        <v>0</v>
      </c>
      <c r="L2514" s="14" t="n">
        <v>0</v>
      </c>
      <c r="M2514" s="14">
        <f>IF(B2514="Frete de venda",0,(1-ISNUMBER(SEARCH("556",P2514)))*(I2514*VLOOKUP($B2514,Premissas!$A$4:$E$7,2,0)+J2514*VLOOKUP($B2514,Premissas!$A$4:$E$7,3,0))+K2514*VLOOKUP($B2514,Premissas!$A$4:$E$7,4,0)+L2514*VLOOKUP($B2514,Premissas!$A$4:$E$7,5,0))</f>
        <v/>
      </c>
      <c r="N2514" s="14">
        <f>H2514-M2514</f>
        <v/>
      </c>
      <c r="O2514" t="inlineStr">
        <is>
          <t>Não</t>
        </is>
      </c>
      <c r="P2514" t="inlineStr">
        <is>
          <t>1.350</t>
        </is>
      </c>
    </row>
    <row r="2515">
      <c r="A2515" s="24" t="n">
        <v>46082</v>
      </c>
      <c r="B2515" t="inlineStr">
        <is>
          <t>Frete de venda</t>
        </is>
      </c>
      <c r="C2515" t="inlineStr">
        <is>
          <t>Frete de venda (para clientes)</t>
        </is>
      </c>
      <c r="D2515" t="inlineStr">
        <is>
          <t>CT-e</t>
        </is>
      </c>
      <c r="E2515" t="inlineStr">
        <is>
          <t>000006665</t>
        </is>
      </c>
      <c r="F2515" t="inlineStr">
        <is>
          <t>R&amp;R TRANSPORTE E LOGISTICA</t>
        </is>
      </c>
      <c r="G2515" s="27" t="n">
        <v>46105</v>
      </c>
      <c r="H2515" s="14" t="n">
        <v>35.1</v>
      </c>
      <c r="I2515" s="14" t="n">
        <v>0</v>
      </c>
      <c r="J2515" s="14" t="n">
        <v>0</v>
      </c>
      <c r="K2515" s="14" t="n">
        <v>0</v>
      </c>
      <c r="L2515" s="14" t="n">
        <v>0</v>
      </c>
      <c r="M2515" s="14">
        <f>IF(B2515="Frete de venda",0,(1-ISNUMBER(SEARCH("556",P2515)))*(I2515*VLOOKUP($B2515,Premissas!$A$4:$E$7,2,0)+J2515*VLOOKUP($B2515,Premissas!$A$4:$E$7,3,0))+K2515*VLOOKUP($B2515,Premissas!$A$4:$E$7,4,0)+L2515*VLOOKUP($B2515,Premissas!$A$4:$E$7,5,0))</f>
        <v/>
      </c>
      <c r="N2515" s="14">
        <f>H2515-M2515</f>
        <v/>
      </c>
      <c r="O2515" t="inlineStr">
        <is>
          <t>Não</t>
        </is>
      </c>
      <c r="P2515" t="inlineStr">
        <is>
          <t>1.350</t>
        </is>
      </c>
    </row>
    <row r="2516">
      <c r="A2516" s="24" t="n">
        <v>46082</v>
      </c>
      <c r="B2516" t="inlineStr">
        <is>
          <t>Frete de venda</t>
        </is>
      </c>
      <c r="C2516" t="inlineStr">
        <is>
          <t>Frete de venda (para clientes)</t>
        </is>
      </c>
      <c r="D2516" t="inlineStr">
        <is>
          <t>CT-e</t>
        </is>
      </c>
      <c r="E2516" t="inlineStr">
        <is>
          <t>000006607</t>
        </is>
      </c>
      <c r="F2516" t="inlineStr">
        <is>
          <t>R&amp;R TRANSPORTE E LOGISTICA</t>
        </is>
      </c>
      <c r="G2516" s="27" t="n">
        <v>46097</v>
      </c>
      <c r="H2516" s="14" t="n">
        <v>21.5</v>
      </c>
      <c r="I2516" s="14" t="n">
        <v>0</v>
      </c>
      <c r="J2516" s="14" t="n">
        <v>0</v>
      </c>
      <c r="K2516" s="14" t="n">
        <v>0</v>
      </c>
      <c r="L2516" s="14" t="n">
        <v>0</v>
      </c>
      <c r="M2516" s="14">
        <f>IF(B2516="Frete de venda",0,(1-ISNUMBER(SEARCH("556",P2516)))*(I2516*VLOOKUP($B2516,Premissas!$A$4:$E$7,2,0)+J2516*VLOOKUP($B2516,Premissas!$A$4:$E$7,3,0))+K2516*VLOOKUP($B2516,Premissas!$A$4:$E$7,4,0)+L2516*VLOOKUP($B2516,Premissas!$A$4:$E$7,5,0))</f>
        <v/>
      </c>
      <c r="N2516" s="14">
        <f>H2516-M2516</f>
        <v/>
      </c>
      <c r="O2516" t="inlineStr">
        <is>
          <t>Não</t>
        </is>
      </c>
      <c r="P2516" t="inlineStr">
        <is>
          <t>1.350</t>
        </is>
      </c>
    </row>
    <row r="2517">
      <c r="A2517" s="24" t="n">
        <v>46082</v>
      </c>
      <c r="B2517" t="inlineStr">
        <is>
          <t>Frete de venda</t>
        </is>
      </c>
      <c r="C2517" t="inlineStr">
        <is>
          <t>Frete de venda (para clientes)</t>
        </is>
      </c>
      <c r="D2517" t="inlineStr">
        <is>
          <t>CT-e</t>
        </is>
      </c>
      <c r="E2517" t="inlineStr">
        <is>
          <t>000006601</t>
        </is>
      </c>
      <c r="F2517" t="inlineStr">
        <is>
          <t>R&amp;R TRANSPORTE E LOGISTICA</t>
        </is>
      </c>
      <c r="G2517" s="27" t="n">
        <v>46097</v>
      </c>
      <c r="H2517" s="14" t="n">
        <v>36</v>
      </c>
      <c r="I2517" s="14" t="n">
        <v>0</v>
      </c>
      <c r="J2517" s="14" t="n">
        <v>0</v>
      </c>
      <c r="K2517" s="14" t="n">
        <v>0</v>
      </c>
      <c r="L2517" s="14" t="n">
        <v>0</v>
      </c>
      <c r="M2517" s="14">
        <f>IF(B2517="Frete de venda",0,(1-ISNUMBER(SEARCH("556",P2517)))*(I2517*VLOOKUP($B2517,Premissas!$A$4:$E$7,2,0)+J2517*VLOOKUP($B2517,Premissas!$A$4:$E$7,3,0))+K2517*VLOOKUP($B2517,Premissas!$A$4:$E$7,4,0)+L2517*VLOOKUP($B2517,Premissas!$A$4:$E$7,5,0))</f>
        <v/>
      </c>
      <c r="N2517" s="14">
        <f>H2517-M2517</f>
        <v/>
      </c>
      <c r="O2517" t="inlineStr">
        <is>
          <t>Não</t>
        </is>
      </c>
      <c r="P2517" t="inlineStr">
        <is>
          <t>1.350</t>
        </is>
      </c>
    </row>
    <row r="2518">
      <c r="A2518" s="24" t="n">
        <v>46082</v>
      </c>
      <c r="B2518" t="inlineStr">
        <is>
          <t>Frete de venda</t>
        </is>
      </c>
      <c r="C2518" t="inlineStr">
        <is>
          <t>Frete de venda (para clientes)</t>
        </is>
      </c>
      <c r="D2518" t="inlineStr">
        <is>
          <t>CT-e</t>
        </is>
      </c>
      <c r="E2518" t="inlineStr">
        <is>
          <t>000000642</t>
        </is>
      </c>
      <c r="F2518" t="inlineStr">
        <is>
          <t>REIMAG - REINALDO DOMINGUES BARROS DA SILVA</t>
        </is>
      </c>
      <c r="G2518" s="27" t="n">
        <v>46105</v>
      </c>
      <c r="H2518" s="14" t="n">
        <v>400</v>
      </c>
      <c r="I2518" s="14" t="n">
        <v>0</v>
      </c>
      <c r="J2518" s="14" t="n">
        <v>0</v>
      </c>
      <c r="K2518" s="14" t="n">
        <v>0</v>
      </c>
      <c r="L2518" s="14" t="n">
        <v>0</v>
      </c>
      <c r="M2518" s="14">
        <f>IF(B2518="Frete de venda",0,(1-ISNUMBER(SEARCH("556",P2518)))*(I2518*VLOOKUP($B2518,Premissas!$A$4:$E$7,2,0)+J2518*VLOOKUP($B2518,Premissas!$A$4:$E$7,3,0))+K2518*VLOOKUP($B2518,Premissas!$A$4:$E$7,4,0)+L2518*VLOOKUP($B2518,Premissas!$A$4:$E$7,5,0))</f>
        <v/>
      </c>
      <c r="N2518" s="14">
        <f>H2518-M2518</f>
        <v/>
      </c>
      <c r="O2518" t="inlineStr">
        <is>
          <t>Sim</t>
        </is>
      </c>
      <c r="P2518" t="inlineStr">
        <is>
          <t>1.350</t>
        </is>
      </c>
    </row>
    <row r="2519">
      <c r="A2519" s="24" t="n">
        <v>46082</v>
      </c>
      <c r="B2519" t="inlineStr">
        <is>
          <t>Frete de venda</t>
        </is>
      </c>
      <c r="C2519" t="inlineStr">
        <is>
          <t>Frete de venda (para clientes)</t>
        </is>
      </c>
      <c r="D2519" t="inlineStr">
        <is>
          <t>CT-e</t>
        </is>
      </c>
      <c r="E2519" t="inlineStr">
        <is>
          <t>000006490</t>
        </is>
      </c>
      <c r="F2519" t="inlineStr">
        <is>
          <t>R&amp;R TRANSPORTE E LOGISTICA</t>
        </is>
      </c>
      <c r="G2519" s="27" t="n">
        <v>46084</v>
      </c>
      <c r="H2519" s="14" t="n">
        <v>27.67</v>
      </c>
      <c r="I2519" s="14" t="n">
        <v>0</v>
      </c>
      <c r="J2519" s="14" t="n">
        <v>0</v>
      </c>
      <c r="K2519" s="14" t="n">
        <v>0</v>
      </c>
      <c r="L2519" s="14" t="n">
        <v>0</v>
      </c>
      <c r="M2519" s="14">
        <f>IF(B2519="Frete de venda",0,(1-ISNUMBER(SEARCH("556",P2519)))*(I2519*VLOOKUP($B2519,Premissas!$A$4:$E$7,2,0)+J2519*VLOOKUP($B2519,Premissas!$A$4:$E$7,3,0))+K2519*VLOOKUP($B2519,Premissas!$A$4:$E$7,4,0)+L2519*VLOOKUP($B2519,Premissas!$A$4:$E$7,5,0))</f>
        <v/>
      </c>
      <c r="N2519" s="14">
        <f>H2519-M2519</f>
        <v/>
      </c>
      <c r="O2519" t="inlineStr">
        <is>
          <t>Não</t>
        </is>
      </c>
      <c r="P2519" t="inlineStr">
        <is>
          <t>1.350</t>
        </is>
      </c>
    </row>
    <row r="2520">
      <c r="A2520" s="24" t="n">
        <v>46082</v>
      </c>
      <c r="B2520" t="inlineStr">
        <is>
          <t>Frete de venda</t>
        </is>
      </c>
      <c r="C2520" t="inlineStr">
        <is>
          <t>Frete de venda (para clientes)</t>
        </is>
      </c>
      <c r="D2520" t="inlineStr">
        <is>
          <t>CT-e</t>
        </is>
      </c>
      <c r="E2520" t="inlineStr">
        <is>
          <t>000006649</t>
        </is>
      </c>
      <c r="F2520" t="inlineStr">
        <is>
          <t>R&amp;R TRANSPORTE E LOGISTICA</t>
        </is>
      </c>
      <c r="G2520" s="27" t="n">
        <v>46102</v>
      </c>
      <c r="H2520" s="14" t="n">
        <v>1031.79</v>
      </c>
      <c r="I2520" s="14" t="n">
        <v>0</v>
      </c>
      <c r="J2520" s="14" t="n">
        <v>0</v>
      </c>
      <c r="K2520" s="14" t="n">
        <v>0</v>
      </c>
      <c r="L2520" s="14" t="n">
        <v>0</v>
      </c>
      <c r="M2520" s="14">
        <f>IF(B2520="Frete de venda",0,(1-ISNUMBER(SEARCH("556",P2520)))*(I2520*VLOOKUP($B2520,Premissas!$A$4:$E$7,2,0)+J2520*VLOOKUP($B2520,Premissas!$A$4:$E$7,3,0))+K2520*VLOOKUP($B2520,Premissas!$A$4:$E$7,4,0)+L2520*VLOOKUP($B2520,Premissas!$A$4:$E$7,5,0))</f>
        <v/>
      </c>
      <c r="N2520" s="14">
        <f>H2520-M2520</f>
        <v/>
      </c>
      <c r="O2520" t="inlineStr">
        <is>
          <t>Não</t>
        </is>
      </c>
      <c r="P2520" t="inlineStr">
        <is>
          <t>1.350</t>
        </is>
      </c>
    </row>
    <row r="2521">
      <c r="A2521" s="24" t="n">
        <v>46082</v>
      </c>
      <c r="B2521" t="inlineStr">
        <is>
          <t>Frete de venda</t>
        </is>
      </c>
      <c r="C2521" t="inlineStr">
        <is>
          <t>Frete de venda (para clientes)</t>
        </is>
      </c>
      <c r="D2521" t="inlineStr">
        <is>
          <t>CT-e</t>
        </is>
      </c>
      <c r="E2521" t="inlineStr">
        <is>
          <t>000006531</t>
        </is>
      </c>
      <c r="F2521" t="inlineStr">
        <is>
          <t>R&amp;R TRANSPORTE E LOGISTICA</t>
        </is>
      </c>
      <c r="G2521" s="27" t="n">
        <v>46087</v>
      </c>
      <c r="H2521" s="14" t="n">
        <v>191.94</v>
      </c>
      <c r="I2521" s="14" t="n">
        <v>0</v>
      </c>
      <c r="J2521" s="14" t="n">
        <v>0</v>
      </c>
      <c r="K2521" s="14" t="n">
        <v>0</v>
      </c>
      <c r="L2521" s="14" t="n">
        <v>0</v>
      </c>
      <c r="M2521" s="14">
        <f>IF(B2521="Frete de venda",0,(1-ISNUMBER(SEARCH("556",P2521)))*(I2521*VLOOKUP($B2521,Premissas!$A$4:$E$7,2,0)+J2521*VLOOKUP($B2521,Premissas!$A$4:$E$7,3,0))+K2521*VLOOKUP($B2521,Premissas!$A$4:$E$7,4,0)+L2521*VLOOKUP($B2521,Premissas!$A$4:$E$7,5,0))</f>
        <v/>
      </c>
      <c r="N2521" s="14">
        <f>H2521-M2521</f>
        <v/>
      </c>
      <c r="O2521" t="inlineStr">
        <is>
          <t>Não</t>
        </is>
      </c>
      <c r="P2521" t="inlineStr">
        <is>
          <t>1.350</t>
        </is>
      </c>
    </row>
    <row r="2522">
      <c r="A2522" s="24" t="n">
        <v>46082</v>
      </c>
      <c r="B2522" t="inlineStr">
        <is>
          <t>Frete de venda</t>
        </is>
      </c>
      <c r="C2522" t="inlineStr">
        <is>
          <t>Frete de venda (para clientes)</t>
        </is>
      </c>
      <c r="D2522" t="inlineStr">
        <is>
          <t>CT-e</t>
        </is>
      </c>
      <c r="E2522" t="inlineStr">
        <is>
          <t>000006619</t>
        </is>
      </c>
      <c r="F2522" t="inlineStr">
        <is>
          <t>R&amp;R TRANSPORTE E LOGISTICA</t>
        </is>
      </c>
      <c r="G2522" s="27" t="n">
        <v>46099</v>
      </c>
      <c r="H2522" s="14" t="n">
        <v>43.8</v>
      </c>
      <c r="I2522" s="14" t="n">
        <v>0</v>
      </c>
      <c r="J2522" s="14" t="n">
        <v>0</v>
      </c>
      <c r="K2522" s="14" t="n">
        <v>0</v>
      </c>
      <c r="L2522" s="14" t="n">
        <v>0</v>
      </c>
      <c r="M2522" s="14">
        <f>IF(B2522="Frete de venda",0,(1-ISNUMBER(SEARCH("556",P2522)))*(I2522*VLOOKUP($B2522,Premissas!$A$4:$E$7,2,0)+J2522*VLOOKUP($B2522,Premissas!$A$4:$E$7,3,0))+K2522*VLOOKUP($B2522,Premissas!$A$4:$E$7,4,0)+L2522*VLOOKUP($B2522,Premissas!$A$4:$E$7,5,0))</f>
        <v/>
      </c>
      <c r="N2522" s="14">
        <f>H2522-M2522</f>
        <v/>
      </c>
      <c r="O2522" t="inlineStr">
        <is>
          <t>Não</t>
        </is>
      </c>
      <c r="P2522" t="inlineStr">
        <is>
          <t>1.350</t>
        </is>
      </c>
    </row>
    <row r="2523">
      <c r="A2523" s="24" t="n">
        <v>46082</v>
      </c>
      <c r="B2523" t="inlineStr">
        <is>
          <t>Frete de venda</t>
        </is>
      </c>
      <c r="C2523" t="inlineStr">
        <is>
          <t>Frete de venda (para clientes)</t>
        </is>
      </c>
      <c r="D2523" t="inlineStr">
        <is>
          <t>CT-e</t>
        </is>
      </c>
      <c r="E2523" t="inlineStr">
        <is>
          <t>000006546</t>
        </is>
      </c>
      <c r="F2523" t="inlineStr">
        <is>
          <t>R&amp;R TRANSPORTE E LOGISTICA</t>
        </is>
      </c>
      <c r="G2523" s="27" t="n">
        <v>46091</v>
      </c>
      <c r="H2523" s="14" t="n">
        <v>750</v>
      </c>
      <c r="I2523" s="14" t="n">
        <v>0</v>
      </c>
      <c r="J2523" s="14" t="n">
        <v>0</v>
      </c>
      <c r="K2523" s="14" t="n">
        <v>0</v>
      </c>
      <c r="L2523" s="14" t="n">
        <v>0</v>
      </c>
      <c r="M2523" s="14">
        <f>IF(B2523="Frete de venda",0,(1-ISNUMBER(SEARCH("556",P2523)))*(I2523*VLOOKUP($B2523,Premissas!$A$4:$E$7,2,0)+J2523*VLOOKUP($B2523,Premissas!$A$4:$E$7,3,0))+K2523*VLOOKUP($B2523,Premissas!$A$4:$E$7,4,0)+L2523*VLOOKUP($B2523,Premissas!$A$4:$E$7,5,0))</f>
        <v/>
      </c>
      <c r="N2523" s="14">
        <f>H2523-M2523</f>
        <v/>
      </c>
      <c r="O2523" t="inlineStr">
        <is>
          <t>Sim</t>
        </is>
      </c>
      <c r="P2523" t="inlineStr">
        <is>
          <t>1.350</t>
        </is>
      </c>
    </row>
    <row r="2524">
      <c r="A2524" s="24" t="n">
        <v>46082</v>
      </c>
      <c r="B2524" t="inlineStr">
        <is>
          <t>Frete de venda</t>
        </is>
      </c>
      <c r="C2524" t="inlineStr">
        <is>
          <t>Frete de venda (para clientes)</t>
        </is>
      </c>
      <c r="D2524" t="inlineStr">
        <is>
          <t>CT-e</t>
        </is>
      </c>
      <c r="E2524" t="inlineStr">
        <is>
          <t>000006588</t>
        </is>
      </c>
      <c r="F2524" t="inlineStr">
        <is>
          <t>R&amp;R TRANSPORTE E LOGISTICA</t>
        </is>
      </c>
      <c r="G2524" s="27" t="n">
        <v>46097</v>
      </c>
      <c r="H2524" s="14" t="n">
        <v>37.14</v>
      </c>
      <c r="I2524" s="14" t="n">
        <v>0</v>
      </c>
      <c r="J2524" s="14" t="n">
        <v>0</v>
      </c>
      <c r="K2524" s="14" t="n">
        <v>0</v>
      </c>
      <c r="L2524" s="14" t="n">
        <v>0</v>
      </c>
      <c r="M2524" s="14">
        <f>IF(B2524="Frete de venda",0,(1-ISNUMBER(SEARCH("556",P2524)))*(I2524*VLOOKUP($B2524,Premissas!$A$4:$E$7,2,0)+J2524*VLOOKUP($B2524,Premissas!$A$4:$E$7,3,0))+K2524*VLOOKUP($B2524,Premissas!$A$4:$E$7,4,0)+L2524*VLOOKUP($B2524,Premissas!$A$4:$E$7,5,0))</f>
        <v/>
      </c>
      <c r="N2524" s="14">
        <f>H2524-M2524</f>
        <v/>
      </c>
      <c r="O2524" t="inlineStr">
        <is>
          <t>Não</t>
        </is>
      </c>
      <c r="P2524" t="inlineStr">
        <is>
          <t>1.350</t>
        </is>
      </c>
    </row>
    <row r="2525">
      <c r="A2525" s="24" t="n">
        <v>46082</v>
      </c>
      <c r="B2525" t="inlineStr">
        <is>
          <t>Frete de venda</t>
        </is>
      </c>
      <c r="C2525" t="inlineStr">
        <is>
          <t>Frete de venda (para clientes)</t>
        </is>
      </c>
      <c r="D2525" t="inlineStr">
        <is>
          <t>CT-e</t>
        </is>
      </c>
      <c r="E2525" t="inlineStr">
        <is>
          <t>001421780</t>
        </is>
      </c>
      <c r="F2525" t="inlineStr">
        <is>
          <t>PICCOLI TRANSPORTES LTDA</t>
        </is>
      </c>
      <c r="G2525" s="27" t="n">
        <v>46108</v>
      </c>
      <c r="H2525" s="14" t="n">
        <v>858.8</v>
      </c>
      <c r="I2525" s="14" t="n">
        <v>0</v>
      </c>
      <c r="J2525" s="14" t="n">
        <v>60.12</v>
      </c>
      <c r="K2525" s="14" t="n">
        <v>0</v>
      </c>
      <c r="L2525" s="14" t="n">
        <v>0</v>
      </c>
      <c r="M2525" s="14">
        <f>IF(B2525="Frete de venda",0,(1-ISNUMBER(SEARCH("556",P2525)))*(I2525*VLOOKUP($B2525,Premissas!$A$4:$E$7,2,0)+J2525*VLOOKUP($B2525,Premissas!$A$4:$E$7,3,0))+K2525*VLOOKUP($B2525,Premissas!$A$4:$E$7,4,0)+L2525*VLOOKUP($B2525,Premissas!$A$4:$E$7,5,0))</f>
        <v/>
      </c>
      <c r="N2525" s="14">
        <f>H2525-M2525</f>
        <v/>
      </c>
      <c r="O2525" t="inlineStr">
        <is>
          <t>Sim</t>
        </is>
      </c>
      <c r="P2525" t="inlineStr">
        <is>
          <t>1.350</t>
        </is>
      </c>
    </row>
    <row r="2526">
      <c r="A2526" s="24" t="n">
        <v>46082</v>
      </c>
      <c r="B2526" t="inlineStr">
        <is>
          <t>Frete de venda</t>
        </is>
      </c>
      <c r="C2526" t="inlineStr">
        <is>
          <t>Frete de venda (para clientes)</t>
        </is>
      </c>
      <c r="D2526" t="inlineStr">
        <is>
          <t>CT-e</t>
        </is>
      </c>
      <c r="E2526" t="inlineStr">
        <is>
          <t>000006690</t>
        </is>
      </c>
      <c r="F2526" t="inlineStr">
        <is>
          <t>R&amp;R TRANSPORTE E LOGISTICA</t>
        </is>
      </c>
      <c r="G2526" s="27" t="n">
        <v>46109</v>
      </c>
      <c r="H2526" s="14" t="n">
        <v>69.53</v>
      </c>
      <c r="I2526" s="14" t="n">
        <v>0</v>
      </c>
      <c r="J2526" s="14" t="n">
        <v>0</v>
      </c>
      <c r="K2526" s="14" t="n">
        <v>0</v>
      </c>
      <c r="L2526" s="14" t="n">
        <v>0</v>
      </c>
      <c r="M2526" s="14">
        <f>IF(B2526="Frete de venda",0,(1-ISNUMBER(SEARCH("556",P2526)))*(I2526*VLOOKUP($B2526,Premissas!$A$4:$E$7,2,0)+J2526*VLOOKUP($B2526,Premissas!$A$4:$E$7,3,0))+K2526*VLOOKUP($B2526,Premissas!$A$4:$E$7,4,0)+L2526*VLOOKUP($B2526,Premissas!$A$4:$E$7,5,0))</f>
        <v/>
      </c>
      <c r="N2526" s="14">
        <f>H2526-M2526</f>
        <v/>
      </c>
      <c r="O2526" t="inlineStr">
        <is>
          <t>Não</t>
        </is>
      </c>
      <c r="P2526" t="inlineStr">
        <is>
          <t>1.350</t>
        </is>
      </c>
    </row>
    <row r="2527">
      <c r="A2527" s="24" t="n">
        <v>46082</v>
      </c>
      <c r="B2527" t="inlineStr">
        <is>
          <t>Frete de venda</t>
        </is>
      </c>
      <c r="C2527" t="inlineStr">
        <is>
          <t>Frete de venda (para clientes)</t>
        </is>
      </c>
      <c r="D2527" t="inlineStr">
        <is>
          <t>CT-e</t>
        </is>
      </c>
      <c r="E2527" t="inlineStr">
        <is>
          <t>000006503</t>
        </is>
      </c>
      <c r="F2527" t="inlineStr">
        <is>
          <t>R&amp;R TRANSPORTE E LOGISTICA</t>
        </is>
      </c>
      <c r="G2527" s="27" t="n">
        <v>46085</v>
      </c>
      <c r="H2527" s="14" t="n">
        <v>19.87</v>
      </c>
      <c r="I2527" s="14" t="n">
        <v>0</v>
      </c>
      <c r="J2527" s="14" t="n">
        <v>0</v>
      </c>
      <c r="K2527" s="14" t="n">
        <v>0</v>
      </c>
      <c r="L2527" s="14" t="n">
        <v>0</v>
      </c>
      <c r="M2527" s="14">
        <f>IF(B2527="Frete de venda",0,(1-ISNUMBER(SEARCH("556",P2527)))*(I2527*VLOOKUP($B2527,Premissas!$A$4:$E$7,2,0)+J2527*VLOOKUP($B2527,Premissas!$A$4:$E$7,3,0))+K2527*VLOOKUP($B2527,Premissas!$A$4:$E$7,4,0)+L2527*VLOOKUP($B2527,Premissas!$A$4:$E$7,5,0))</f>
        <v/>
      </c>
      <c r="N2527" s="14">
        <f>H2527-M2527</f>
        <v/>
      </c>
      <c r="O2527" t="inlineStr">
        <is>
          <t>Não</t>
        </is>
      </c>
      <c r="P2527" t="inlineStr">
        <is>
          <t>1.350</t>
        </is>
      </c>
    </row>
    <row r="2528">
      <c r="A2528" s="24" t="n">
        <v>46082</v>
      </c>
      <c r="B2528" t="inlineStr">
        <is>
          <t>Frete de venda</t>
        </is>
      </c>
      <c r="C2528" t="inlineStr">
        <is>
          <t>Frete de venda (para clientes)</t>
        </is>
      </c>
      <c r="D2528" t="inlineStr">
        <is>
          <t>CT-e</t>
        </is>
      </c>
      <c r="E2528" t="inlineStr">
        <is>
          <t>000006481</t>
        </is>
      </c>
      <c r="F2528" t="inlineStr">
        <is>
          <t>R&amp;R TRANSPORTE E LOGISTICA</t>
        </is>
      </c>
      <c r="G2528" s="27" t="n">
        <v>46083</v>
      </c>
      <c r="H2528" s="14" t="n">
        <v>20.48</v>
      </c>
      <c r="I2528" s="14" t="n">
        <v>0</v>
      </c>
      <c r="J2528" s="14" t="n">
        <v>0</v>
      </c>
      <c r="K2528" s="14" t="n">
        <v>0</v>
      </c>
      <c r="L2528" s="14" t="n">
        <v>0</v>
      </c>
      <c r="M2528" s="14">
        <f>IF(B2528="Frete de venda",0,(1-ISNUMBER(SEARCH("556",P2528)))*(I2528*VLOOKUP($B2528,Premissas!$A$4:$E$7,2,0)+J2528*VLOOKUP($B2528,Premissas!$A$4:$E$7,3,0))+K2528*VLOOKUP($B2528,Premissas!$A$4:$E$7,4,0)+L2528*VLOOKUP($B2528,Premissas!$A$4:$E$7,5,0))</f>
        <v/>
      </c>
      <c r="N2528" s="14">
        <f>H2528-M2528</f>
        <v/>
      </c>
      <c r="O2528" t="inlineStr">
        <is>
          <t>Não</t>
        </is>
      </c>
      <c r="P2528" t="inlineStr">
        <is>
          <t>1.350</t>
        </is>
      </c>
    </row>
    <row r="2529">
      <c r="A2529" s="24" t="n">
        <v>46082</v>
      </c>
      <c r="B2529" t="inlineStr">
        <is>
          <t>Frete de venda</t>
        </is>
      </c>
      <c r="C2529" t="inlineStr">
        <is>
          <t>Frete de venda (para clientes)</t>
        </is>
      </c>
      <c r="D2529" t="inlineStr">
        <is>
          <t>CT-e</t>
        </is>
      </c>
      <c r="E2529" t="inlineStr">
        <is>
          <t>000003847</t>
        </is>
      </c>
      <c r="F2529" t="inlineStr">
        <is>
          <t>UNIVERSAL CARGAS EXPRESS</t>
        </is>
      </c>
      <c r="G2529" s="27" t="n">
        <v>46092</v>
      </c>
      <c r="H2529" s="14" t="n">
        <v>350</v>
      </c>
      <c r="I2529" s="14" t="n">
        <v>0</v>
      </c>
      <c r="J2529" s="14" t="n">
        <v>0</v>
      </c>
      <c r="K2529" s="14" t="n">
        <v>0</v>
      </c>
      <c r="L2529" s="14" t="n">
        <v>0</v>
      </c>
      <c r="M2529" s="14">
        <f>IF(B2529="Frete de venda",0,(1-ISNUMBER(SEARCH("556",P2529)))*(I2529*VLOOKUP($B2529,Premissas!$A$4:$E$7,2,0)+J2529*VLOOKUP($B2529,Premissas!$A$4:$E$7,3,0))+K2529*VLOOKUP($B2529,Premissas!$A$4:$E$7,4,0)+L2529*VLOOKUP($B2529,Premissas!$A$4:$E$7,5,0))</f>
        <v/>
      </c>
      <c r="N2529" s="14">
        <f>H2529-M2529</f>
        <v/>
      </c>
      <c r="O2529" t="inlineStr">
        <is>
          <t>Sim</t>
        </is>
      </c>
      <c r="P2529" t="inlineStr">
        <is>
          <t>1.350</t>
        </is>
      </c>
    </row>
    <row r="2530">
      <c r="A2530" s="24" t="n">
        <v>46082</v>
      </c>
      <c r="B2530" t="inlineStr">
        <is>
          <t>Frete de venda</t>
        </is>
      </c>
      <c r="C2530" t="inlineStr">
        <is>
          <t>Frete de venda (para clientes)</t>
        </is>
      </c>
      <c r="D2530" t="inlineStr">
        <is>
          <t>CT-e</t>
        </is>
      </c>
      <c r="E2530" t="inlineStr">
        <is>
          <t>000006528</t>
        </is>
      </c>
      <c r="F2530" t="inlineStr">
        <is>
          <t>R&amp;R TRANSPORTE E LOGISTICA</t>
        </is>
      </c>
      <c r="G2530" s="27" t="n">
        <v>46087</v>
      </c>
      <c r="H2530" s="14" t="n">
        <v>54.17</v>
      </c>
      <c r="I2530" s="14" t="n">
        <v>0</v>
      </c>
      <c r="J2530" s="14" t="n">
        <v>0</v>
      </c>
      <c r="K2530" s="14" t="n">
        <v>0</v>
      </c>
      <c r="L2530" s="14" t="n">
        <v>0</v>
      </c>
      <c r="M2530" s="14">
        <f>IF(B2530="Frete de venda",0,(1-ISNUMBER(SEARCH("556",P2530)))*(I2530*VLOOKUP($B2530,Premissas!$A$4:$E$7,2,0)+J2530*VLOOKUP($B2530,Premissas!$A$4:$E$7,3,0))+K2530*VLOOKUP($B2530,Premissas!$A$4:$E$7,4,0)+L2530*VLOOKUP($B2530,Premissas!$A$4:$E$7,5,0))</f>
        <v/>
      </c>
      <c r="N2530" s="14">
        <f>H2530-M2530</f>
        <v/>
      </c>
      <c r="O2530" t="inlineStr">
        <is>
          <t>Não</t>
        </is>
      </c>
      <c r="P2530" t="inlineStr">
        <is>
          <t>1.350</t>
        </is>
      </c>
    </row>
    <row r="2531">
      <c r="A2531" s="24" t="n">
        <v>46082</v>
      </c>
      <c r="B2531" t="inlineStr">
        <is>
          <t>Frete de venda</t>
        </is>
      </c>
      <c r="C2531" t="inlineStr">
        <is>
          <t>Frete de venda (para clientes)</t>
        </is>
      </c>
      <c r="D2531" t="inlineStr">
        <is>
          <t>CT-e</t>
        </is>
      </c>
      <c r="E2531" t="inlineStr">
        <is>
          <t>000006660</t>
        </is>
      </c>
      <c r="F2531" t="inlineStr">
        <is>
          <t>R&amp;R TRANSPORTE E LOGISTICA</t>
        </is>
      </c>
      <c r="G2531" s="27" t="n">
        <v>46105</v>
      </c>
      <c r="H2531" s="14" t="n">
        <v>124.19</v>
      </c>
      <c r="I2531" s="14" t="n">
        <v>0</v>
      </c>
      <c r="J2531" s="14" t="n">
        <v>0</v>
      </c>
      <c r="K2531" s="14" t="n">
        <v>0</v>
      </c>
      <c r="L2531" s="14" t="n">
        <v>0</v>
      </c>
      <c r="M2531" s="14">
        <f>IF(B2531="Frete de venda",0,(1-ISNUMBER(SEARCH("556",P2531)))*(I2531*VLOOKUP($B2531,Premissas!$A$4:$E$7,2,0)+J2531*VLOOKUP($B2531,Premissas!$A$4:$E$7,3,0))+K2531*VLOOKUP($B2531,Premissas!$A$4:$E$7,4,0)+L2531*VLOOKUP($B2531,Premissas!$A$4:$E$7,5,0))</f>
        <v/>
      </c>
      <c r="N2531" s="14">
        <f>H2531-M2531</f>
        <v/>
      </c>
      <c r="O2531" t="inlineStr">
        <is>
          <t>Não</t>
        </is>
      </c>
      <c r="P2531" t="inlineStr">
        <is>
          <t>1.350</t>
        </is>
      </c>
    </row>
    <row r="2532">
      <c r="A2532" s="24" t="n">
        <v>46082</v>
      </c>
      <c r="B2532" t="inlineStr">
        <is>
          <t>Frete de venda</t>
        </is>
      </c>
      <c r="C2532" t="inlineStr">
        <is>
          <t>Frete de venda (para clientes)</t>
        </is>
      </c>
      <c r="D2532" t="inlineStr">
        <is>
          <t>CT-e</t>
        </is>
      </c>
      <c r="E2532" t="inlineStr">
        <is>
          <t>000006515</t>
        </is>
      </c>
      <c r="F2532" t="inlineStr">
        <is>
          <t>R&amp;R TRANSPORTE E LOGISTICA</t>
        </is>
      </c>
      <c r="G2532" s="27" t="n">
        <v>46085</v>
      </c>
      <c r="H2532" s="14" t="n">
        <v>12.94</v>
      </c>
      <c r="I2532" s="14" t="n">
        <v>0</v>
      </c>
      <c r="J2532" s="14" t="n">
        <v>0</v>
      </c>
      <c r="K2532" s="14" t="n">
        <v>0</v>
      </c>
      <c r="L2532" s="14" t="n">
        <v>0</v>
      </c>
      <c r="M2532" s="14">
        <f>IF(B2532="Frete de venda",0,(1-ISNUMBER(SEARCH("556",P2532)))*(I2532*VLOOKUP($B2532,Premissas!$A$4:$E$7,2,0)+J2532*VLOOKUP($B2532,Premissas!$A$4:$E$7,3,0))+K2532*VLOOKUP($B2532,Premissas!$A$4:$E$7,4,0)+L2532*VLOOKUP($B2532,Premissas!$A$4:$E$7,5,0))</f>
        <v/>
      </c>
      <c r="N2532" s="14">
        <f>H2532-M2532</f>
        <v/>
      </c>
      <c r="O2532" t="inlineStr">
        <is>
          <t>Não</t>
        </is>
      </c>
      <c r="P2532" t="inlineStr">
        <is>
          <t>1.350</t>
        </is>
      </c>
    </row>
    <row r="2533">
      <c r="A2533" s="24" t="n">
        <v>46082</v>
      </c>
      <c r="B2533" t="inlineStr">
        <is>
          <t>Frete de venda</t>
        </is>
      </c>
      <c r="C2533" t="inlineStr">
        <is>
          <t>Frete de venda (para clientes)</t>
        </is>
      </c>
      <c r="D2533" t="inlineStr">
        <is>
          <t>CT-e</t>
        </is>
      </c>
      <c r="E2533" t="inlineStr">
        <is>
          <t>000006517</t>
        </is>
      </c>
      <c r="F2533" t="inlineStr">
        <is>
          <t>R&amp;R TRANSPORTE E LOGISTICA</t>
        </is>
      </c>
      <c r="G2533" s="27" t="n">
        <v>46085</v>
      </c>
      <c r="H2533" s="14" t="n">
        <v>12.86</v>
      </c>
      <c r="I2533" s="14" t="n">
        <v>0</v>
      </c>
      <c r="J2533" s="14" t="n">
        <v>0</v>
      </c>
      <c r="K2533" s="14" t="n">
        <v>0</v>
      </c>
      <c r="L2533" s="14" t="n">
        <v>0</v>
      </c>
      <c r="M2533" s="14">
        <f>IF(B2533="Frete de venda",0,(1-ISNUMBER(SEARCH("556",P2533)))*(I2533*VLOOKUP($B2533,Premissas!$A$4:$E$7,2,0)+J2533*VLOOKUP($B2533,Premissas!$A$4:$E$7,3,0))+K2533*VLOOKUP($B2533,Premissas!$A$4:$E$7,4,0)+L2533*VLOOKUP($B2533,Premissas!$A$4:$E$7,5,0))</f>
        <v/>
      </c>
      <c r="N2533" s="14">
        <f>H2533-M2533</f>
        <v/>
      </c>
      <c r="O2533" t="inlineStr">
        <is>
          <t>Não</t>
        </is>
      </c>
      <c r="P2533" t="inlineStr">
        <is>
          <t>1.350</t>
        </is>
      </c>
    </row>
    <row r="2534">
      <c r="A2534" s="24" t="n">
        <v>46082</v>
      </c>
      <c r="B2534" t="inlineStr">
        <is>
          <t>Frete de venda</t>
        </is>
      </c>
      <c r="C2534" t="inlineStr">
        <is>
          <t>Frete de venda (para clientes)</t>
        </is>
      </c>
      <c r="D2534" t="inlineStr">
        <is>
          <t>CT-e</t>
        </is>
      </c>
      <c r="E2534" t="inlineStr">
        <is>
          <t>000006620</t>
        </is>
      </c>
      <c r="F2534" t="inlineStr">
        <is>
          <t>R&amp;R TRANSPORTE E LOGISTICA</t>
        </is>
      </c>
      <c r="G2534" s="27" t="n">
        <v>46099</v>
      </c>
      <c r="H2534" s="14" t="n">
        <v>37.5</v>
      </c>
      <c r="I2534" s="14" t="n">
        <v>0</v>
      </c>
      <c r="J2534" s="14" t="n">
        <v>0</v>
      </c>
      <c r="K2534" s="14" t="n">
        <v>0</v>
      </c>
      <c r="L2534" s="14" t="n">
        <v>0</v>
      </c>
      <c r="M2534" s="14">
        <f>IF(B2534="Frete de venda",0,(1-ISNUMBER(SEARCH("556",P2534)))*(I2534*VLOOKUP($B2534,Premissas!$A$4:$E$7,2,0)+J2534*VLOOKUP($B2534,Premissas!$A$4:$E$7,3,0))+K2534*VLOOKUP($B2534,Premissas!$A$4:$E$7,4,0)+L2534*VLOOKUP($B2534,Premissas!$A$4:$E$7,5,0))</f>
        <v/>
      </c>
      <c r="N2534" s="14">
        <f>H2534-M2534</f>
        <v/>
      </c>
      <c r="O2534" t="inlineStr">
        <is>
          <t>Não</t>
        </is>
      </c>
      <c r="P2534" t="inlineStr">
        <is>
          <t>1.350</t>
        </is>
      </c>
    </row>
    <row r="2535">
      <c r="A2535" s="24" t="n">
        <v>46082</v>
      </c>
      <c r="B2535" t="inlineStr">
        <is>
          <t>Frete de venda</t>
        </is>
      </c>
      <c r="C2535" t="inlineStr">
        <is>
          <t>Frete de venda (para clientes)</t>
        </is>
      </c>
      <c r="D2535" t="inlineStr">
        <is>
          <t>CT-e</t>
        </is>
      </c>
      <c r="E2535" t="inlineStr">
        <is>
          <t>000006532</t>
        </is>
      </c>
      <c r="F2535" t="inlineStr">
        <is>
          <t>R&amp;R TRANSPORTE E LOGISTICA</t>
        </is>
      </c>
      <c r="G2535" s="27" t="n">
        <v>46087</v>
      </c>
      <c r="H2535" s="14" t="n">
        <v>840</v>
      </c>
      <c r="I2535" s="14" t="n">
        <v>0</v>
      </c>
      <c r="J2535" s="14" t="n">
        <v>0</v>
      </c>
      <c r="K2535" s="14" t="n">
        <v>0</v>
      </c>
      <c r="L2535" s="14" t="n">
        <v>0</v>
      </c>
      <c r="M2535" s="14">
        <f>IF(B2535="Frete de venda",0,(1-ISNUMBER(SEARCH("556",P2535)))*(I2535*VLOOKUP($B2535,Premissas!$A$4:$E$7,2,0)+J2535*VLOOKUP($B2535,Premissas!$A$4:$E$7,3,0))+K2535*VLOOKUP($B2535,Premissas!$A$4:$E$7,4,0)+L2535*VLOOKUP($B2535,Premissas!$A$4:$E$7,5,0))</f>
        <v/>
      </c>
      <c r="N2535" s="14">
        <f>H2535-M2535</f>
        <v/>
      </c>
      <c r="O2535" t="inlineStr">
        <is>
          <t>Sim</t>
        </is>
      </c>
      <c r="P2535" t="inlineStr">
        <is>
          <t>1.350</t>
        </is>
      </c>
    </row>
    <row r="2536">
      <c r="A2536" s="24" t="n">
        <v>46082</v>
      </c>
      <c r="B2536" t="inlineStr">
        <is>
          <t>Frete de venda</t>
        </is>
      </c>
      <c r="C2536" t="inlineStr">
        <is>
          <t>Frete de venda (para clientes)</t>
        </is>
      </c>
      <c r="D2536" t="inlineStr">
        <is>
          <t>CT-e</t>
        </is>
      </c>
      <c r="E2536" t="inlineStr">
        <is>
          <t>000006543</t>
        </is>
      </c>
      <c r="F2536" t="inlineStr">
        <is>
          <t>R&amp;R TRANSPORTE E LOGISTICA</t>
        </is>
      </c>
      <c r="G2536" s="27" t="n">
        <v>46091</v>
      </c>
      <c r="H2536" s="14" t="n">
        <v>1650</v>
      </c>
      <c r="I2536" s="14" t="n">
        <v>0</v>
      </c>
      <c r="J2536" s="14" t="n">
        <v>0</v>
      </c>
      <c r="K2536" s="14" t="n">
        <v>0</v>
      </c>
      <c r="L2536" s="14" t="n">
        <v>0</v>
      </c>
      <c r="M2536" s="14">
        <f>IF(B2536="Frete de venda",0,(1-ISNUMBER(SEARCH("556",P2536)))*(I2536*VLOOKUP($B2536,Premissas!$A$4:$E$7,2,0)+J2536*VLOOKUP($B2536,Premissas!$A$4:$E$7,3,0))+K2536*VLOOKUP($B2536,Premissas!$A$4:$E$7,4,0)+L2536*VLOOKUP($B2536,Premissas!$A$4:$E$7,5,0))</f>
        <v/>
      </c>
      <c r="N2536" s="14">
        <f>H2536-M2536</f>
        <v/>
      </c>
      <c r="O2536" t="inlineStr">
        <is>
          <t>Sim</t>
        </is>
      </c>
      <c r="P2536" t="inlineStr">
        <is>
          <t>1.350</t>
        </is>
      </c>
    </row>
    <row r="2537">
      <c r="A2537" s="24" t="n">
        <v>46082</v>
      </c>
      <c r="B2537" t="inlineStr">
        <is>
          <t>Frete de venda</t>
        </is>
      </c>
      <c r="C2537" t="inlineStr">
        <is>
          <t>Frete de venda (para clientes)</t>
        </is>
      </c>
      <c r="D2537" t="inlineStr">
        <is>
          <t>CT-e</t>
        </is>
      </c>
      <c r="E2537" t="inlineStr">
        <is>
          <t>000006527</t>
        </is>
      </c>
      <c r="F2537" t="inlineStr">
        <is>
          <t>R&amp;R TRANSPORTE E LOGISTICA</t>
        </is>
      </c>
      <c r="G2537" s="27" t="n">
        <v>46087</v>
      </c>
      <c r="H2537" s="14" t="n">
        <v>33.35</v>
      </c>
      <c r="I2537" s="14" t="n">
        <v>0</v>
      </c>
      <c r="J2537" s="14" t="n">
        <v>0</v>
      </c>
      <c r="K2537" s="14" t="n">
        <v>0</v>
      </c>
      <c r="L2537" s="14" t="n">
        <v>0</v>
      </c>
      <c r="M2537" s="14">
        <f>IF(B2537="Frete de venda",0,(1-ISNUMBER(SEARCH("556",P2537)))*(I2537*VLOOKUP($B2537,Premissas!$A$4:$E$7,2,0)+J2537*VLOOKUP($B2537,Premissas!$A$4:$E$7,3,0))+K2537*VLOOKUP($B2537,Premissas!$A$4:$E$7,4,0)+L2537*VLOOKUP($B2537,Premissas!$A$4:$E$7,5,0))</f>
        <v/>
      </c>
      <c r="N2537" s="14">
        <f>H2537-M2537</f>
        <v/>
      </c>
      <c r="O2537" t="inlineStr">
        <is>
          <t>Não</t>
        </is>
      </c>
      <c r="P2537" t="inlineStr">
        <is>
          <t>1.350</t>
        </is>
      </c>
    </row>
    <row r="2538">
      <c r="A2538" s="24" t="n">
        <v>46082</v>
      </c>
      <c r="B2538" t="inlineStr">
        <is>
          <t>Frete de venda</t>
        </is>
      </c>
      <c r="C2538" t="inlineStr">
        <is>
          <t>Frete de venda (para clientes)</t>
        </is>
      </c>
      <c r="D2538" t="inlineStr">
        <is>
          <t>CT-e</t>
        </is>
      </c>
      <c r="E2538" t="inlineStr">
        <is>
          <t>000006582</t>
        </is>
      </c>
      <c r="F2538" t="inlineStr">
        <is>
          <t>R&amp;R TRANSPORTE E LOGISTICA</t>
        </is>
      </c>
      <c r="G2538" s="27" t="n">
        <v>46097</v>
      </c>
      <c r="H2538" s="14" t="n">
        <v>41.55</v>
      </c>
      <c r="I2538" s="14" t="n">
        <v>0</v>
      </c>
      <c r="J2538" s="14" t="n">
        <v>0</v>
      </c>
      <c r="K2538" s="14" t="n">
        <v>0</v>
      </c>
      <c r="L2538" s="14" t="n">
        <v>0</v>
      </c>
      <c r="M2538" s="14">
        <f>IF(B2538="Frete de venda",0,(1-ISNUMBER(SEARCH("556",P2538)))*(I2538*VLOOKUP($B2538,Premissas!$A$4:$E$7,2,0)+J2538*VLOOKUP($B2538,Premissas!$A$4:$E$7,3,0))+K2538*VLOOKUP($B2538,Premissas!$A$4:$E$7,4,0)+L2538*VLOOKUP($B2538,Premissas!$A$4:$E$7,5,0))</f>
        <v/>
      </c>
      <c r="N2538" s="14">
        <f>H2538-M2538</f>
        <v/>
      </c>
      <c r="O2538" t="inlineStr">
        <is>
          <t>Não</t>
        </is>
      </c>
      <c r="P2538" t="inlineStr">
        <is>
          <t>1.350</t>
        </is>
      </c>
    </row>
    <row r="2539">
      <c r="A2539" s="24" t="n">
        <v>46082</v>
      </c>
      <c r="B2539" t="inlineStr">
        <is>
          <t>Frete de venda</t>
        </is>
      </c>
      <c r="C2539" t="inlineStr">
        <is>
          <t>Frete de venda (para clientes)</t>
        </is>
      </c>
      <c r="D2539" t="inlineStr">
        <is>
          <t>CT-e</t>
        </is>
      </c>
      <c r="E2539" t="inlineStr">
        <is>
          <t>000006507</t>
        </is>
      </c>
      <c r="F2539" t="inlineStr">
        <is>
          <t>R&amp;R TRANSPORTE E LOGISTICA</t>
        </is>
      </c>
      <c r="G2539" s="27" t="n">
        <v>46085</v>
      </c>
      <c r="H2539" s="14" t="n">
        <v>20.2</v>
      </c>
      <c r="I2539" s="14" t="n">
        <v>0</v>
      </c>
      <c r="J2539" s="14" t="n">
        <v>0</v>
      </c>
      <c r="K2539" s="14" t="n">
        <v>0</v>
      </c>
      <c r="L2539" s="14" t="n">
        <v>0</v>
      </c>
      <c r="M2539" s="14">
        <f>IF(B2539="Frete de venda",0,(1-ISNUMBER(SEARCH("556",P2539)))*(I2539*VLOOKUP($B2539,Premissas!$A$4:$E$7,2,0)+J2539*VLOOKUP($B2539,Premissas!$A$4:$E$7,3,0))+K2539*VLOOKUP($B2539,Premissas!$A$4:$E$7,4,0)+L2539*VLOOKUP($B2539,Premissas!$A$4:$E$7,5,0))</f>
        <v/>
      </c>
      <c r="N2539" s="14">
        <f>H2539-M2539</f>
        <v/>
      </c>
      <c r="O2539" t="inlineStr">
        <is>
          <t>Não</t>
        </is>
      </c>
      <c r="P2539" t="inlineStr">
        <is>
          <t>1.350</t>
        </is>
      </c>
    </row>
    <row r="2540">
      <c r="A2540" s="24" t="n">
        <v>46082</v>
      </c>
      <c r="B2540" t="inlineStr">
        <is>
          <t>Frete de venda</t>
        </is>
      </c>
      <c r="C2540" t="inlineStr">
        <is>
          <t>Frete de venda (para clientes)</t>
        </is>
      </c>
      <c r="D2540" t="inlineStr">
        <is>
          <t>CT-e</t>
        </is>
      </c>
      <c r="E2540" t="inlineStr">
        <is>
          <t>000006662</t>
        </is>
      </c>
      <c r="F2540" t="inlineStr">
        <is>
          <t>R&amp;R TRANSPORTE E LOGISTICA</t>
        </is>
      </c>
      <c r="G2540" s="27" t="n">
        <v>46105</v>
      </c>
      <c r="H2540" s="14" t="n">
        <v>32.08</v>
      </c>
      <c r="I2540" s="14" t="n">
        <v>0</v>
      </c>
      <c r="J2540" s="14" t="n">
        <v>0</v>
      </c>
      <c r="K2540" s="14" t="n">
        <v>0</v>
      </c>
      <c r="L2540" s="14" t="n">
        <v>0</v>
      </c>
      <c r="M2540" s="14">
        <f>IF(B2540="Frete de venda",0,(1-ISNUMBER(SEARCH("556",P2540)))*(I2540*VLOOKUP($B2540,Premissas!$A$4:$E$7,2,0)+J2540*VLOOKUP($B2540,Premissas!$A$4:$E$7,3,0))+K2540*VLOOKUP($B2540,Premissas!$A$4:$E$7,4,0)+L2540*VLOOKUP($B2540,Premissas!$A$4:$E$7,5,0))</f>
        <v/>
      </c>
      <c r="N2540" s="14">
        <f>H2540-M2540</f>
        <v/>
      </c>
      <c r="O2540" t="inlineStr">
        <is>
          <t>Não</t>
        </is>
      </c>
      <c r="P2540" t="inlineStr">
        <is>
          <t>1.350</t>
        </is>
      </c>
    </row>
    <row r="2541">
      <c r="A2541" s="24" t="n">
        <v>46082</v>
      </c>
      <c r="B2541" t="inlineStr">
        <is>
          <t>Frete de venda</t>
        </is>
      </c>
      <c r="C2541" t="inlineStr">
        <is>
          <t>Frete de venda (para clientes)</t>
        </is>
      </c>
      <c r="D2541" t="inlineStr">
        <is>
          <t>CT-e</t>
        </is>
      </c>
      <c r="E2541" t="inlineStr">
        <is>
          <t>000006472</t>
        </is>
      </c>
      <c r="F2541" t="inlineStr">
        <is>
          <t>R&amp;R TRANSPORTE E LOGISTICA</t>
        </is>
      </c>
      <c r="G2541" s="27" t="n">
        <v>46083</v>
      </c>
      <c r="H2541" s="14" t="n">
        <v>47.69</v>
      </c>
      <c r="I2541" s="14" t="n">
        <v>0</v>
      </c>
      <c r="J2541" s="14" t="n">
        <v>0</v>
      </c>
      <c r="K2541" s="14" t="n">
        <v>0</v>
      </c>
      <c r="L2541" s="14" t="n">
        <v>0</v>
      </c>
      <c r="M2541" s="14">
        <f>IF(B2541="Frete de venda",0,(1-ISNUMBER(SEARCH("556",P2541)))*(I2541*VLOOKUP($B2541,Premissas!$A$4:$E$7,2,0)+J2541*VLOOKUP($B2541,Premissas!$A$4:$E$7,3,0))+K2541*VLOOKUP($B2541,Premissas!$A$4:$E$7,4,0)+L2541*VLOOKUP($B2541,Premissas!$A$4:$E$7,5,0))</f>
        <v/>
      </c>
      <c r="N2541" s="14">
        <f>H2541-M2541</f>
        <v/>
      </c>
      <c r="O2541" t="inlineStr">
        <is>
          <t>Não</t>
        </is>
      </c>
      <c r="P2541" t="inlineStr">
        <is>
          <t>1.350</t>
        </is>
      </c>
    </row>
    <row r="2542">
      <c r="A2542" s="24" t="n">
        <v>46082</v>
      </c>
      <c r="B2542" t="inlineStr">
        <is>
          <t>Frete de venda</t>
        </is>
      </c>
      <c r="C2542" t="inlineStr">
        <is>
          <t>Frete de venda (para clientes)</t>
        </is>
      </c>
      <c r="D2542" t="inlineStr">
        <is>
          <t>CT-e</t>
        </is>
      </c>
      <c r="E2542" t="inlineStr">
        <is>
          <t>000006538</t>
        </is>
      </c>
      <c r="F2542" t="inlineStr">
        <is>
          <t>R&amp;R TRANSPORTE E LOGISTICA</t>
        </is>
      </c>
      <c r="G2542" s="27" t="n">
        <v>46088</v>
      </c>
      <c r="H2542" s="14" t="n">
        <v>700</v>
      </c>
      <c r="I2542" s="14" t="n">
        <v>0</v>
      </c>
      <c r="J2542" s="14" t="n">
        <v>0</v>
      </c>
      <c r="K2542" s="14" t="n">
        <v>0</v>
      </c>
      <c r="L2542" s="14" t="n">
        <v>0</v>
      </c>
      <c r="M2542" s="14">
        <f>IF(B2542="Frete de venda",0,(1-ISNUMBER(SEARCH("556",P2542)))*(I2542*VLOOKUP($B2542,Premissas!$A$4:$E$7,2,0)+J2542*VLOOKUP($B2542,Premissas!$A$4:$E$7,3,0))+K2542*VLOOKUP($B2542,Premissas!$A$4:$E$7,4,0)+L2542*VLOOKUP($B2542,Premissas!$A$4:$E$7,5,0))</f>
        <v/>
      </c>
      <c r="N2542" s="14">
        <f>H2542-M2542</f>
        <v/>
      </c>
      <c r="O2542" t="inlineStr">
        <is>
          <t>Sim</t>
        </is>
      </c>
      <c r="P2542" t="inlineStr">
        <is>
          <t>1.350</t>
        </is>
      </c>
    </row>
    <row r="2543">
      <c r="A2543" s="24" t="n">
        <v>46082</v>
      </c>
      <c r="B2543" t="inlineStr">
        <is>
          <t>Frete de venda</t>
        </is>
      </c>
      <c r="C2543" t="inlineStr">
        <is>
          <t>Frete de venda (para clientes)</t>
        </is>
      </c>
      <c r="D2543" t="inlineStr">
        <is>
          <t>CT-e</t>
        </is>
      </c>
      <c r="E2543" t="inlineStr">
        <is>
          <t>000006484</t>
        </is>
      </c>
      <c r="F2543" t="inlineStr">
        <is>
          <t>R&amp;R TRANSPORTE E LOGISTICA</t>
        </is>
      </c>
      <c r="G2543" s="27" t="n">
        <v>46084</v>
      </c>
      <c r="H2543" s="14" t="n">
        <v>62.08</v>
      </c>
      <c r="I2543" s="14" t="n">
        <v>0</v>
      </c>
      <c r="J2543" s="14" t="n">
        <v>0</v>
      </c>
      <c r="K2543" s="14" t="n">
        <v>0</v>
      </c>
      <c r="L2543" s="14" t="n">
        <v>0</v>
      </c>
      <c r="M2543" s="14">
        <f>IF(B2543="Frete de venda",0,(1-ISNUMBER(SEARCH("556",P2543)))*(I2543*VLOOKUP($B2543,Premissas!$A$4:$E$7,2,0)+J2543*VLOOKUP($B2543,Premissas!$A$4:$E$7,3,0))+K2543*VLOOKUP($B2543,Premissas!$A$4:$E$7,4,0)+L2543*VLOOKUP($B2543,Premissas!$A$4:$E$7,5,0))</f>
        <v/>
      </c>
      <c r="N2543" s="14">
        <f>H2543-M2543</f>
        <v/>
      </c>
      <c r="O2543" t="inlineStr">
        <is>
          <t>Não</t>
        </is>
      </c>
      <c r="P2543" t="inlineStr">
        <is>
          <t>1.350</t>
        </is>
      </c>
    </row>
    <row r="2544">
      <c r="A2544" s="24" t="n">
        <v>46082</v>
      </c>
      <c r="B2544" t="inlineStr">
        <is>
          <t>Frete de venda</t>
        </is>
      </c>
      <c r="C2544" t="inlineStr">
        <is>
          <t>Frete de venda (para clientes)</t>
        </is>
      </c>
      <c r="D2544" t="inlineStr">
        <is>
          <t>CT-e</t>
        </is>
      </c>
      <c r="E2544" t="inlineStr">
        <is>
          <t>000003069</t>
        </is>
      </c>
      <c r="F2544" t="inlineStr">
        <is>
          <t>RAPIDO XAPURI TRANSPORTES E LOGISTICA LTDA</t>
        </is>
      </c>
      <c r="G2544" s="27" t="n">
        <v>46093</v>
      </c>
      <c r="H2544" s="14" t="n">
        <v>1796.73</v>
      </c>
      <c r="I2544" s="14" t="n">
        <v>0</v>
      </c>
      <c r="J2544" s="14" t="n">
        <v>125.77</v>
      </c>
      <c r="K2544" s="14" t="n">
        <v>0</v>
      </c>
      <c r="L2544" s="14" t="n">
        <v>0</v>
      </c>
      <c r="M2544" s="14">
        <f>IF(B2544="Frete de venda",0,(1-ISNUMBER(SEARCH("556",P2544)))*(I2544*VLOOKUP($B2544,Premissas!$A$4:$E$7,2,0)+J2544*VLOOKUP($B2544,Premissas!$A$4:$E$7,3,0))+K2544*VLOOKUP($B2544,Premissas!$A$4:$E$7,4,0)+L2544*VLOOKUP($B2544,Premissas!$A$4:$E$7,5,0))</f>
        <v/>
      </c>
      <c r="N2544" s="14">
        <f>H2544-M2544</f>
        <v/>
      </c>
      <c r="O2544" t="inlineStr">
        <is>
          <t>Sim</t>
        </is>
      </c>
      <c r="P2544" t="inlineStr">
        <is>
          <t>1.350</t>
        </is>
      </c>
    </row>
    <row r="2545">
      <c r="A2545" s="24" t="n">
        <v>46082</v>
      </c>
      <c r="B2545" t="inlineStr">
        <is>
          <t>Frete de venda</t>
        </is>
      </c>
      <c r="C2545" t="inlineStr">
        <is>
          <t>Frete de venda (para clientes)</t>
        </is>
      </c>
      <c r="D2545" t="inlineStr">
        <is>
          <t>CT-e</t>
        </is>
      </c>
      <c r="E2545" t="inlineStr">
        <is>
          <t>000006578</t>
        </is>
      </c>
      <c r="F2545" t="inlineStr">
        <is>
          <t>R&amp;R TRANSPORTE E LOGISTICA</t>
        </is>
      </c>
      <c r="G2545" s="27" t="n">
        <v>46097</v>
      </c>
      <c r="H2545" s="14" t="n">
        <v>36.33</v>
      </c>
      <c r="I2545" s="14" t="n">
        <v>0</v>
      </c>
      <c r="J2545" s="14" t="n">
        <v>0</v>
      </c>
      <c r="K2545" s="14" t="n">
        <v>0</v>
      </c>
      <c r="L2545" s="14" t="n">
        <v>0</v>
      </c>
      <c r="M2545" s="14">
        <f>IF(B2545="Frete de venda",0,(1-ISNUMBER(SEARCH("556",P2545)))*(I2545*VLOOKUP($B2545,Premissas!$A$4:$E$7,2,0)+J2545*VLOOKUP($B2545,Premissas!$A$4:$E$7,3,0))+K2545*VLOOKUP($B2545,Premissas!$A$4:$E$7,4,0)+L2545*VLOOKUP($B2545,Premissas!$A$4:$E$7,5,0))</f>
        <v/>
      </c>
      <c r="N2545" s="14">
        <f>H2545-M2545</f>
        <v/>
      </c>
      <c r="O2545" t="inlineStr">
        <is>
          <t>Não</t>
        </is>
      </c>
      <c r="P2545" t="inlineStr">
        <is>
          <t>1.350</t>
        </is>
      </c>
    </row>
    <row r="2546">
      <c r="A2546" s="24" t="n">
        <v>46082</v>
      </c>
      <c r="B2546" t="inlineStr">
        <is>
          <t>Frete de venda</t>
        </is>
      </c>
      <c r="C2546" t="inlineStr">
        <is>
          <t>Frete de venda (para clientes)</t>
        </is>
      </c>
      <c r="D2546" t="inlineStr">
        <is>
          <t>CT-e</t>
        </is>
      </c>
      <c r="E2546" t="inlineStr">
        <is>
          <t>000006663</t>
        </is>
      </c>
      <c r="F2546" t="inlineStr">
        <is>
          <t>R&amp;R TRANSPORTE E LOGISTICA</t>
        </is>
      </c>
      <c r="G2546" s="27" t="n">
        <v>46105</v>
      </c>
      <c r="H2546" s="14" t="n">
        <v>17.8</v>
      </c>
      <c r="I2546" s="14" t="n">
        <v>0</v>
      </c>
      <c r="J2546" s="14" t="n">
        <v>0</v>
      </c>
      <c r="K2546" s="14" t="n">
        <v>0</v>
      </c>
      <c r="L2546" s="14" t="n">
        <v>0</v>
      </c>
      <c r="M2546" s="14">
        <f>IF(B2546="Frete de venda",0,(1-ISNUMBER(SEARCH("556",P2546)))*(I2546*VLOOKUP($B2546,Premissas!$A$4:$E$7,2,0)+J2546*VLOOKUP($B2546,Premissas!$A$4:$E$7,3,0))+K2546*VLOOKUP($B2546,Premissas!$A$4:$E$7,4,0)+L2546*VLOOKUP($B2546,Premissas!$A$4:$E$7,5,0))</f>
        <v/>
      </c>
      <c r="N2546" s="14">
        <f>H2546-M2546</f>
        <v/>
      </c>
      <c r="O2546" t="inlineStr">
        <is>
          <t>Não</t>
        </is>
      </c>
      <c r="P2546" t="inlineStr">
        <is>
          <t>1.350</t>
        </is>
      </c>
    </row>
    <row r="2547">
      <c r="A2547" s="24" t="n">
        <v>46082</v>
      </c>
      <c r="B2547" t="inlineStr">
        <is>
          <t>Frete de venda</t>
        </is>
      </c>
      <c r="C2547" t="inlineStr">
        <is>
          <t>Frete de venda (para clientes)</t>
        </is>
      </c>
      <c r="D2547" t="inlineStr">
        <is>
          <t>CT-e</t>
        </is>
      </c>
      <c r="E2547" t="inlineStr">
        <is>
          <t>000006516</t>
        </is>
      </c>
      <c r="F2547" t="inlineStr">
        <is>
          <t>R&amp;R TRANSPORTE E LOGISTICA</t>
        </is>
      </c>
      <c r="G2547" s="27" t="n">
        <v>46085</v>
      </c>
      <c r="H2547" s="14" t="n">
        <v>16.2</v>
      </c>
      <c r="I2547" s="14" t="n">
        <v>0</v>
      </c>
      <c r="J2547" s="14" t="n">
        <v>0</v>
      </c>
      <c r="K2547" s="14" t="n">
        <v>0</v>
      </c>
      <c r="L2547" s="14" t="n">
        <v>0</v>
      </c>
      <c r="M2547" s="14">
        <f>IF(B2547="Frete de venda",0,(1-ISNUMBER(SEARCH("556",P2547)))*(I2547*VLOOKUP($B2547,Premissas!$A$4:$E$7,2,0)+J2547*VLOOKUP($B2547,Premissas!$A$4:$E$7,3,0))+K2547*VLOOKUP($B2547,Premissas!$A$4:$E$7,4,0)+L2547*VLOOKUP($B2547,Premissas!$A$4:$E$7,5,0))</f>
        <v/>
      </c>
      <c r="N2547" s="14">
        <f>H2547-M2547</f>
        <v/>
      </c>
      <c r="O2547" t="inlineStr">
        <is>
          <t>Não</t>
        </is>
      </c>
      <c r="P2547" t="inlineStr">
        <is>
          <t>1.350</t>
        </is>
      </c>
    </row>
    <row r="2548">
      <c r="A2548" s="24" t="n">
        <v>46082</v>
      </c>
      <c r="B2548" t="inlineStr">
        <is>
          <t>Frete de venda</t>
        </is>
      </c>
      <c r="C2548" t="inlineStr">
        <is>
          <t>Frete de venda (para clientes)</t>
        </is>
      </c>
      <c r="D2548" t="inlineStr">
        <is>
          <t>CT-e</t>
        </is>
      </c>
      <c r="E2548" t="inlineStr">
        <is>
          <t>000006595</t>
        </is>
      </c>
      <c r="F2548" t="inlineStr">
        <is>
          <t>R&amp;R TRANSPORTE E LOGISTICA</t>
        </is>
      </c>
      <c r="G2548" s="27" t="n">
        <v>46097</v>
      </c>
      <c r="H2548" s="14" t="n">
        <v>16.23</v>
      </c>
      <c r="I2548" s="14" t="n">
        <v>0</v>
      </c>
      <c r="J2548" s="14" t="n">
        <v>0</v>
      </c>
      <c r="K2548" s="14" t="n">
        <v>0</v>
      </c>
      <c r="L2548" s="14" t="n">
        <v>0</v>
      </c>
      <c r="M2548" s="14">
        <f>IF(B2548="Frete de venda",0,(1-ISNUMBER(SEARCH("556",P2548)))*(I2548*VLOOKUP($B2548,Premissas!$A$4:$E$7,2,0)+J2548*VLOOKUP($B2548,Premissas!$A$4:$E$7,3,0))+K2548*VLOOKUP($B2548,Premissas!$A$4:$E$7,4,0)+L2548*VLOOKUP($B2548,Premissas!$A$4:$E$7,5,0))</f>
        <v/>
      </c>
      <c r="N2548" s="14">
        <f>H2548-M2548</f>
        <v/>
      </c>
      <c r="O2548" t="inlineStr">
        <is>
          <t>Não</t>
        </is>
      </c>
      <c r="P2548" t="inlineStr">
        <is>
          <t>1.350</t>
        </is>
      </c>
    </row>
    <row r="2549">
      <c r="A2549" s="24" t="n">
        <v>46082</v>
      </c>
      <c r="B2549" t="inlineStr">
        <is>
          <t>Frete de venda</t>
        </is>
      </c>
      <c r="C2549" t="inlineStr">
        <is>
          <t>Frete de venda (para clientes)</t>
        </is>
      </c>
      <c r="D2549" t="inlineStr">
        <is>
          <t>CT-e</t>
        </is>
      </c>
      <c r="E2549" t="inlineStr">
        <is>
          <t>000006494</t>
        </is>
      </c>
      <c r="F2549" t="inlineStr">
        <is>
          <t>R&amp;R TRANSPORTE E LOGISTICA</t>
        </is>
      </c>
      <c r="G2549" s="27" t="n">
        <v>46084</v>
      </c>
      <c r="H2549" s="14" t="n">
        <v>77.69</v>
      </c>
      <c r="I2549" s="14" t="n">
        <v>0</v>
      </c>
      <c r="J2549" s="14" t="n">
        <v>0</v>
      </c>
      <c r="K2549" s="14" t="n">
        <v>0</v>
      </c>
      <c r="L2549" s="14" t="n">
        <v>0</v>
      </c>
      <c r="M2549" s="14">
        <f>IF(B2549="Frete de venda",0,(1-ISNUMBER(SEARCH("556",P2549)))*(I2549*VLOOKUP($B2549,Premissas!$A$4:$E$7,2,0)+J2549*VLOOKUP($B2549,Premissas!$A$4:$E$7,3,0))+K2549*VLOOKUP($B2549,Premissas!$A$4:$E$7,4,0)+L2549*VLOOKUP($B2549,Premissas!$A$4:$E$7,5,0))</f>
        <v/>
      </c>
      <c r="N2549" s="14">
        <f>H2549-M2549</f>
        <v/>
      </c>
      <c r="O2549" t="inlineStr">
        <is>
          <t>Não</t>
        </is>
      </c>
      <c r="P2549" t="inlineStr">
        <is>
          <t>1.350</t>
        </is>
      </c>
    </row>
    <row r="2550">
      <c r="A2550" s="24" t="n">
        <v>46082</v>
      </c>
      <c r="B2550" t="inlineStr">
        <is>
          <t>Frete de venda</t>
        </is>
      </c>
      <c r="C2550" t="inlineStr">
        <is>
          <t>Frete de venda (para clientes)</t>
        </is>
      </c>
      <c r="D2550" t="inlineStr">
        <is>
          <t>CT-e</t>
        </is>
      </c>
      <c r="E2550" t="inlineStr">
        <is>
          <t>000006512</t>
        </is>
      </c>
      <c r="F2550" t="inlineStr">
        <is>
          <t>R&amp;R TRANSPORTE E LOGISTICA</t>
        </is>
      </c>
      <c r="G2550" s="27" t="n">
        <v>46085</v>
      </c>
      <c r="H2550" s="14" t="n">
        <v>24.51</v>
      </c>
      <c r="I2550" s="14" t="n">
        <v>0</v>
      </c>
      <c r="J2550" s="14" t="n">
        <v>0</v>
      </c>
      <c r="K2550" s="14" t="n">
        <v>0</v>
      </c>
      <c r="L2550" s="14" t="n">
        <v>0</v>
      </c>
      <c r="M2550" s="14">
        <f>IF(B2550="Frete de venda",0,(1-ISNUMBER(SEARCH("556",P2550)))*(I2550*VLOOKUP($B2550,Premissas!$A$4:$E$7,2,0)+J2550*VLOOKUP($B2550,Premissas!$A$4:$E$7,3,0))+K2550*VLOOKUP($B2550,Premissas!$A$4:$E$7,4,0)+L2550*VLOOKUP($B2550,Premissas!$A$4:$E$7,5,0))</f>
        <v/>
      </c>
      <c r="N2550" s="14">
        <f>H2550-M2550</f>
        <v/>
      </c>
      <c r="O2550" t="inlineStr">
        <is>
          <t>Não</t>
        </is>
      </c>
      <c r="P2550" t="inlineStr">
        <is>
          <t>1.350</t>
        </is>
      </c>
    </row>
    <row r="2551">
      <c r="A2551" s="24" t="n">
        <v>46082</v>
      </c>
      <c r="B2551" t="inlineStr">
        <is>
          <t>Frete de venda</t>
        </is>
      </c>
      <c r="C2551" t="inlineStr">
        <is>
          <t>Frete de venda (para clientes)</t>
        </is>
      </c>
      <c r="D2551" t="inlineStr">
        <is>
          <t>CT-e</t>
        </is>
      </c>
      <c r="E2551" t="inlineStr">
        <is>
          <t>000006675</t>
        </is>
      </c>
      <c r="F2551" t="inlineStr">
        <is>
          <t>R&amp;R TRANSPORTE E LOGISTICA</t>
        </is>
      </c>
      <c r="G2551" s="27" t="n">
        <v>46107</v>
      </c>
      <c r="H2551" s="14" t="n">
        <v>87.37</v>
      </c>
      <c r="I2551" s="14" t="n">
        <v>0</v>
      </c>
      <c r="J2551" s="14" t="n">
        <v>0</v>
      </c>
      <c r="K2551" s="14" t="n">
        <v>0</v>
      </c>
      <c r="L2551" s="14" t="n">
        <v>0</v>
      </c>
      <c r="M2551" s="14">
        <f>IF(B2551="Frete de venda",0,(1-ISNUMBER(SEARCH("556",P2551)))*(I2551*VLOOKUP($B2551,Premissas!$A$4:$E$7,2,0)+J2551*VLOOKUP($B2551,Premissas!$A$4:$E$7,3,0))+K2551*VLOOKUP($B2551,Premissas!$A$4:$E$7,4,0)+L2551*VLOOKUP($B2551,Premissas!$A$4:$E$7,5,0))</f>
        <v/>
      </c>
      <c r="N2551" s="14">
        <f>H2551-M2551</f>
        <v/>
      </c>
      <c r="O2551" t="inlineStr">
        <is>
          <t>Não</t>
        </is>
      </c>
      <c r="P2551" t="inlineStr">
        <is>
          <t>1.350</t>
        </is>
      </c>
    </row>
    <row r="2552">
      <c r="A2552" s="24" t="n">
        <v>46082</v>
      </c>
      <c r="B2552" t="inlineStr">
        <is>
          <t>Frete de venda</t>
        </is>
      </c>
      <c r="C2552" t="inlineStr">
        <is>
          <t>Frete de venda (para clientes)</t>
        </is>
      </c>
      <c r="D2552" t="inlineStr">
        <is>
          <t>CT-e</t>
        </is>
      </c>
      <c r="E2552" t="inlineStr">
        <is>
          <t>000006624</t>
        </is>
      </c>
      <c r="F2552" t="inlineStr">
        <is>
          <t>R&amp;R TRANSPORTE E LOGISTICA</t>
        </is>
      </c>
      <c r="G2552" s="27" t="n">
        <v>46100</v>
      </c>
      <c r="H2552" s="14" t="n">
        <v>28.33</v>
      </c>
      <c r="I2552" s="14" t="n">
        <v>0</v>
      </c>
      <c r="J2552" s="14" t="n">
        <v>0</v>
      </c>
      <c r="K2552" s="14" t="n">
        <v>0</v>
      </c>
      <c r="L2552" s="14" t="n">
        <v>0</v>
      </c>
      <c r="M2552" s="14">
        <f>IF(B2552="Frete de venda",0,(1-ISNUMBER(SEARCH("556",P2552)))*(I2552*VLOOKUP($B2552,Premissas!$A$4:$E$7,2,0)+J2552*VLOOKUP($B2552,Premissas!$A$4:$E$7,3,0))+K2552*VLOOKUP($B2552,Premissas!$A$4:$E$7,4,0)+L2552*VLOOKUP($B2552,Premissas!$A$4:$E$7,5,0))</f>
        <v/>
      </c>
      <c r="N2552" s="14">
        <f>H2552-M2552</f>
        <v/>
      </c>
      <c r="O2552" t="inlineStr">
        <is>
          <t>Não</t>
        </is>
      </c>
      <c r="P2552" t="inlineStr">
        <is>
          <t>1.350</t>
        </is>
      </c>
    </row>
    <row r="2553">
      <c r="A2553" s="24" t="n">
        <v>46082</v>
      </c>
      <c r="B2553" t="inlineStr">
        <is>
          <t>Frete de venda</t>
        </is>
      </c>
      <c r="C2553" t="inlineStr">
        <is>
          <t>Frete de venda (para clientes)</t>
        </is>
      </c>
      <c r="D2553" t="inlineStr">
        <is>
          <t>CT-e</t>
        </is>
      </c>
      <c r="E2553" t="inlineStr">
        <is>
          <t>000006558</t>
        </is>
      </c>
      <c r="F2553" t="inlineStr">
        <is>
          <t>R&amp;R TRANSPORTE E LOGISTICA</t>
        </is>
      </c>
      <c r="G2553" s="27" t="n">
        <v>46093</v>
      </c>
      <c r="H2553" s="14" t="n">
        <v>70.56</v>
      </c>
      <c r="I2553" s="14" t="n">
        <v>0</v>
      </c>
      <c r="J2553" s="14" t="n">
        <v>0</v>
      </c>
      <c r="K2553" s="14" t="n">
        <v>0</v>
      </c>
      <c r="L2553" s="14" t="n">
        <v>0</v>
      </c>
      <c r="M2553" s="14">
        <f>IF(B2553="Frete de venda",0,(1-ISNUMBER(SEARCH("556",P2553)))*(I2553*VLOOKUP($B2553,Premissas!$A$4:$E$7,2,0)+J2553*VLOOKUP($B2553,Premissas!$A$4:$E$7,3,0))+K2553*VLOOKUP($B2553,Premissas!$A$4:$E$7,4,0)+L2553*VLOOKUP($B2553,Premissas!$A$4:$E$7,5,0))</f>
        <v/>
      </c>
      <c r="N2553" s="14">
        <f>H2553-M2553</f>
        <v/>
      </c>
      <c r="O2553" t="inlineStr">
        <is>
          <t>Não</t>
        </is>
      </c>
      <c r="P2553" t="inlineStr">
        <is>
          <t>1.350</t>
        </is>
      </c>
    </row>
    <row r="2554">
      <c r="A2554" s="24" t="n">
        <v>46082</v>
      </c>
      <c r="B2554" t="inlineStr">
        <is>
          <t>Frete de venda</t>
        </is>
      </c>
      <c r="C2554" t="inlineStr">
        <is>
          <t>Frete de venda (para clientes)</t>
        </is>
      </c>
      <c r="D2554" t="inlineStr">
        <is>
          <t>CT-e</t>
        </is>
      </c>
      <c r="E2554" t="inlineStr">
        <is>
          <t>000006667</t>
        </is>
      </c>
      <c r="F2554" t="inlineStr">
        <is>
          <t>R&amp;R TRANSPORTE E LOGISTICA</t>
        </is>
      </c>
      <c r="G2554" s="27" t="n">
        <v>46105</v>
      </c>
      <c r="H2554" s="14" t="n">
        <v>41.27</v>
      </c>
      <c r="I2554" s="14" t="n">
        <v>0</v>
      </c>
      <c r="J2554" s="14" t="n">
        <v>0</v>
      </c>
      <c r="K2554" s="14" t="n">
        <v>0</v>
      </c>
      <c r="L2554" s="14" t="n">
        <v>0</v>
      </c>
      <c r="M2554" s="14">
        <f>IF(B2554="Frete de venda",0,(1-ISNUMBER(SEARCH("556",P2554)))*(I2554*VLOOKUP($B2554,Premissas!$A$4:$E$7,2,0)+J2554*VLOOKUP($B2554,Premissas!$A$4:$E$7,3,0))+K2554*VLOOKUP($B2554,Premissas!$A$4:$E$7,4,0)+L2554*VLOOKUP($B2554,Premissas!$A$4:$E$7,5,0))</f>
        <v/>
      </c>
      <c r="N2554" s="14">
        <f>H2554-M2554</f>
        <v/>
      </c>
      <c r="O2554" t="inlineStr">
        <is>
          <t>Não</t>
        </is>
      </c>
      <c r="P2554" t="inlineStr">
        <is>
          <t>1.350</t>
        </is>
      </c>
    </row>
    <row r="2555">
      <c r="A2555" s="24" t="n">
        <v>46082</v>
      </c>
      <c r="B2555" t="inlineStr">
        <is>
          <t>Frete de venda</t>
        </is>
      </c>
      <c r="C2555" t="inlineStr">
        <is>
          <t>Frete de venda (para clientes)</t>
        </is>
      </c>
      <c r="D2555" t="inlineStr">
        <is>
          <t>CT-e</t>
        </is>
      </c>
      <c r="E2555" t="inlineStr">
        <is>
          <t>000006569</t>
        </is>
      </c>
      <c r="F2555" t="inlineStr">
        <is>
          <t>R&amp;R TRANSPORTE E LOGISTICA</t>
        </is>
      </c>
      <c r="G2555" s="27" t="n">
        <v>46094</v>
      </c>
      <c r="H2555" s="14" t="n">
        <v>642.6</v>
      </c>
      <c r="I2555" s="14" t="n">
        <v>0</v>
      </c>
      <c r="J2555" s="14" t="n">
        <v>0</v>
      </c>
      <c r="K2555" s="14" t="n">
        <v>0</v>
      </c>
      <c r="L2555" s="14" t="n">
        <v>0</v>
      </c>
      <c r="M2555" s="14">
        <f>IF(B2555="Frete de venda",0,(1-ISNUMBER(SEARCH("556",P2555)))*(I2555*VLOOKUP($B2555,Premissas!$A$4:$E$7,2,0)+J2555*VLOOKUP($B2555,Premissas!$A$4:$E$7,3,0))+K2555*VLOOKUP($B2555,Premissas!$A$4:$E$7,4,0)+L2555*VLOOKUP($B2555,Premissas!$A$4:$E$7,5,0))</f>
        <v/>
      </c>
      <c r="N2555" s="14">
        <f>H2555-M2555</f>
        <v/>
      </c>
      <c r="O2555" t="inlineStr">
        <is>
          <t>Não</t>
        </is>
      </c>
      <c r="P2555" t="inlineStr">
        <is>
          <t>1.350</t>
        </is>
      </c>
    </row>
    <row r="2556">
      <c r="A2556" s="24" t="n">
        <v>46082</v>
      </c>
      <c r="B2556" t="inlineStr">
        <is>
          <t>Frete de venda</t>
        </is>
      </c>
      <c r="C2556" t="inlineStr">
        <is>
          <t>Frete de venda (para clientes)</t>
        </is>
      </c>
      <c r="D2556" t="inlineStr">
        <is>
          <t>CT-e</t>
        </is>
      </c>
      <c r="E2556" t="inlineStr">
        <is>
          <t>000006683</t>
        </is>
      </c>
      <c r="F2556" t="inlineStr">
        <is>
          <t>R&amp;R TRANSPORTE E LOGISTICA</t>
        </is>
      </c>
      <c r="G2556" s="27" t="n">
        <v>46108</v>
      </c>
      <c r="H2556" s="14" t="n">
        <v>11638.48</v>
      </c>
      <c r="I2556" s="14" t="n">
        <v>0</v>
      </c>
      <c r="J2556" s="14" t="n">
        <v>0</v>
      </c>
      <c r="K2556" s="14" t="n">
        <v>0</v>
      </c>
      <c r="L2556" s="14" t="n">
        <v>0</v>
      </c>
      <c r="M2556" s="14">
        <f>IF(B2556="Frete de venda",0,(1-ISNUMBER(SEARCH("556",P2556)))*(I2556*VLOOKUP($B2556,Premissas!$A$4:$E$7,2,0)+J2556*VLOOKUP($B2556,Premissas!$A$4:$E$7,3,0))+K2556*VLOOKUP($B2556,Premissas!$A$4:$E$7,4,0)+L2556*VLOOKUP($B2556,Premissas!$A$4:$E$7,5,0))</f>
        <v/>
      </c>
      <c r="N2556" s="14">
        <f>H2556-M2556</f>
        <v/>
      </c>
      <c r="O2556" t="inlineStr">
        <is>
          <t>Não</t>
        </is>
      </c>
      <c r="P2556" t="inlineStr">
        <is>
          <t>1.350</t>
        </is>
      </c>
    </row>
    <row r="2557">
      <c r="A2557" s="24" t="n">
        <v>46082</v>
      </c>
      <c r="B2557" t="inlineStr">
        <is>
          <t>Frete de venda</t>
        </is>
      </c>
      <c r="C2557" t="inlineStr">
        <is>
          <t>Frete de venda (para clientes)</t>
        </is>
      </c>
      <c r="D2557" t="inlineStr">
        <is>
          <t>CT-e</t>
        </is>
      </c>
      <c r="E2557" t="inlineStr">
        <is>
          <t>000006525</t>
        </is>
      </c>
      <c r="F2557" t="inlineStr">
        <is>
          <t>R&amp;R TRANSPORTE E LOGISTICA</t>
        </is>
      </c>
      <c r="G2557" s="27" t="n">
        <v>46087</v>
      </c>
      <c r="H2557" s="14" t="n">
        <v>33.16</v>
      </c>
      <c r="I2557" s="14" t="n">
        <v>0</v>
      </c>
      <c r="J2557" s="14" t="n">
        <v>0</v>
      </c>
      <c r="K2557" s="14" t="n">
        <v>0</v>
      </c>
      <c r="L2557" s="14" t="n">
        <v>0</v>
      </c>
      <c r="M2557" s="14">
        <f>IF(B2557="Frete de venda",0,(1-ISNUMBER(SEARCH("556",P2557)))*(I2557*VLOOKUP($B2557,Premissas!$A$4:$E$7,2,0)+J2557*VLOOKUP($B2557,Premissas!$A$4:$E$7,3,0))+K2557*VLOOKUP($B2557,Premissas!$A$4:$E$7,4,0)+L2557*VLOOKUP($B2557,Premissas!$A$4:$E$7,5,0))</f>
        <v/>
      </c>
      <c r="N2557" s="14">
        <f>H2557-M2557</f>
        <v/>
      </c>
      <c r="O2557" t="inlineStr">
        <is>
          <t>Não</t>
        </is>
      </c>
      <c r="P2557" t="inlineStr">
        <is>
          <t>1.350</t>
        </is>
      </c>
    </row>
    <row r="2558">
      <c r="A2558" s="24" t="n">
        <v>46082</v>
      </c>
      <c r="B2558" t="inlineStr">
        <is>
          <t>Frete de venda</t>
        </is>
      </c>
      <c r="C2558" t="inlineStr">
        <is>
          <t>Frete de venda (para clientes)</t>
        </is>
      </c>
      <c r="D2558" t="inlineStr">
        <is>
          <t>CT-e</t>
        </is>
      </c>
      <c r="E2558" t="inlineStr">
        <is>
          <t>000006589</t>
        </is>
      </c>
      <c r="F2558" t="inlineStr">
        <is>
          <t>R&amp;R TRANSPORTE E LOGISTICA</t>
        </is>
      </c>
      <c r="G2558" s="27" t="n">
        <v>46097</v>
      </c>
      <c r="H2558" s="14" t="n">
        <v>15.35</v>
      </c>
      <c r="I2558" s="14" t="n">
        <v>0</v>
      </c>
      <c r="J2558" s="14" t="n">
        <v>0</v>
      </c>
      <c r="K2558" s="14" t="n">
        <v>0</v>
      </c>
      <c r="L2558" s="14" t="n">
        <v>0</v>
      </c>
      <c r="M2558" s="14">
        <f>IF(B2558="Frete de venda",0,(1-ISNUMBER(SEARCH("556",P2558)))*(I2558*VLOOKUP($B2558,Premissas!$A$4:$E$7,2,0)+J2558*VLOOKUP($B2558,Premissas!$A$4:$E$7,3,0))+K2558*VLOOKUP($B2558,Premissas!$A$4:$E$7,4,0)+L2558*VLOOKUP($B2558,Premissas!$A$4:$E$7,5,0))</f>
        <v/>
      </c>
      <c r="N2558" s="14">
        <f>H2558-M2558</f>
        <v/>
      </c>
      <c r="O2558" t="inlineStr">
        <is>
          <t>Não</t>
        </is>
      </c>
      <c r="P2558" t="inlineStr">
        <is>
          <t>1.350</t>
        </is>
      </c>
    </row>
    <row r="2559">
      <c r="A2559" s="24" t="n">
        <v>46082</v>
      </c>
      <c r="B2559" t="inlineStr">
        <is>
          <t>Frete de venda</t>
        </is>
      </c>
      <c r="C2559" t="inlineStr">
        <is>
          <t>Frete de venda (para clientes)</t>
        </is>
      </c>
      <c r="D2559" t="inlineStr">
        <is>
          <t>CT-e</t>
        </is>
      </c>
      <c r="E2559" t="inlineStr">
        <is>
          <t>000006524</t>
        </is>
      </c>
      <c r="F2559" t="inlineStr">
        <is>
          <t>R&amp;R TRANSPORTE E LOGISTICA</t>
        </is>
      </c>
      <c r="G2559" s="27" t="n">
        <v>46087</v>
      </c>
      <c r="H2559" s="14" t="n">
        <v>32.61</v>
      </c>
      <c r="I2559" s="14" t="n">
        <v>0</v>
      </c>
      <c r="J2559" s="14" t="n">
        <v>0</v>
      </c>
      <c r="K2559" s="14" t="n">
        <v>0</v>
      </c>
      <c r="L2559" s="14" t="n">
        <v>0</v>
      </c>
      <c r="M2559" s="14">
        <f>IF(B2559="Frete de venda",0,(1-ISNUMBER(SEARCH("556",P2559)))*(I2559*VLOOKUP($B2559,Premissas!$A$4:$E$7,2,0)+J2559*VLOOKUP($B2559,Premissas!$A$4:$E$7,3,0))+K2559*VLOOKUP($B2559,Premissas!$A$4:$E$7,4,0)+L2559*VLOOKUP($B2559,Premissas!$A$4:$E$7,5,0))</f>
        <v/>
      </c>
      <c r="N2559" s="14">
        <f>H2559-M2559</f>
        <v/>
      </c>
      <c r="O2559" t="inlineStr">
        <is>
          <t>Não</t>
        </is>
      </c>
      <c r="P2559" t="inlineStr">
        <is>
          <t>1.350</t>
        </is>
      </c>
    </row>
    <row r="2560">
      <c r="A2560" s="24" t="n">
        <v>46082</v>
      </c>
      <c r="B2560" t="inlineStr">
        <is>
          <t>Frete de venda</t>
        </is>
      </c>
      <c r="C2560" t="inlineStr">
        <is>
          <t>Frete de venda (para clientes)</t>
        </is>
      </c>
      <c r="D2560" t="inlineStr">
        <is>
          <t>CT-e</t>
        </is>
      </c>
      <c r="E2560" t="inlineStr">
        <is>
          <t>000006579</t>
        </is>
      </c>
      <c r="F2560" t="inlineStr">
        <is>
          <t>R&amp;R TRANSPORTE E LOGISTICA</t>
        </is>
      </c>
      <c r="G2560" s="27" t="n">
        <v>46097</v>
      </c>
      <c r="H2560" s="14" t="n">
        <v>28.51</v>
      </c>
      <c r="I2560" s="14" t="n">
        <v>0</v>
      </c>
      <c r="J2560" s="14" t="n">
        <v>0</v>
      </c>
      <c r="K2560" s="14" t="n">
        <v>0</v>
      </c>
      <c r="L2560" s="14" t="n">
        <v>0</v>
      </c>
      <c r="M2560" s="14">
        <f>IF(B2560="Frete de venda",0,(1-ISNUMBER(SEARCH("556",P2560)))*(I2560*VLOOKUP($B2560,Premissas!$A$4:$E$7,2,0)+J2560*VLOOKUP($B2560,Premissas!$A$4:$E$7,3,0))+K2560*VLOOKUP($B2560,Premissas!$A$4:$E$7,4,0)+L2560*VLOOKUP($B2560,Premissas!$A$4:$E$7,5,0))</f>
        <v/>
      </c>
      <c r="N2560" s="14">
        <f>H2560-M2560</f>
        <v/>
      </c>
      <c r="O2560" t="inlineStr">
        <is>
          <t>Não</t>
        </is>
      </c>
      <c r="P2560" t="inlineStr">
        <is>
          <t>1.350</t>
        </is>
      </c>
    </row>
    <row r="2561">
      <c r="A2561" s="24" t="n">
        <v>46082</v>
      </c>
      <c r="B2561" t="inlineStr">
        <is>
          <t>Frete de venda</t>
        </is>
      </c>
      <c r="C2561" t="inlineStr">
        <is>
          <t>Frete de venda (para clientes)</t>
        </is>
      </c>
      <c r="D2561" t="inlineStr">
        <is>
          <t>CT-e</t>
        </is>
      </c>
      <c r="E2561" t="inlineStr">
        <is>
          <t>000006623</t>
        </is>
      </c>
      <c r="F2561" t="inlineStr">
        <is>
          <t>R&amp;R TRANSPORTE E LOGISTICA</t>
        </is>
      </c>
      <c r="G2561" s="27" t="n">
        <v>46099</v>
      </c>
      <c r="H2561" s="14" t="n">
        <v>56.35</v>
      </c>
      <c r="I2561" s="14" t="n">
        <v>0</v>
      </c>
      <c r="J2561" s="14" t="n">
        <v>0</v>
      </c>
      <c r="K2561" s="14" t="n">
        <v>0</v>
      </c>
      <c r="L2561" s="14" t="n">
        <v>0</v>
      </c>
      <c r="M2561" s="14">
        <f>IF(B2561="Frete de venda",0,(1-ISNUMBER(SEARCH("556",P2561)))*(I2561*VLOOKUP($B2561,Premissas!$A$4:$E$7,2,0)+J2561*VLOOKUP($B2561,Premissas!$A$4:$E$7,3,0))+K2561*VLOOKUP($B2561,Premissas!$A$4:$E$7,4,0)+L2561*VLOOKUP($B2561,Premissas!$A$4:$E$7,5,0))</f>
        <v/>
      </c>
      <c r="N2561" s="14">
        <f>H2561-M2561</f>
        <v/>
      </c>
      <c r="O2561" t="inlineStr">
        <is>
          <t>Não</t>
        </is>
      </c>
      <c r="P2561" t="inlineStr">
        <is>
          <t>1.350</t>
        </is>
      </c>
    </row>
    <row r="2562">
      <c r="A2562" s="24" t="n">
        <v>46082</v>
      </c>
      <c r="B2562" t="inlineStr">
        <is>
          <t>Frete de venda</t>
        </is>
      </c>
      <c r="C2562" t="inlineStr">
        <is>
          <t>Frete de venda (para clientes)</t>
        </is>
      </c>
      <c r="D2562" t="inlineStr">
        <is>
          <t>CT-e</t>
        </is>
      </c>
      <c r="E2562" t="inlineStr">
        <is>
          <t>000006664</t>
        </is>
      </c>
      <c r="F2562" t="inlineStr">
        <is>
          <t>R&amp;R TRANSPORTE E LOGISTICA</t>
        </is>
      </c>
      <c r="G2562" s="27" t="n">
        <v>46105</v>
      </c>
      <c r="H2562" s="14" t="n">
        <v>24.79</v>
      </c>
      <c r="I2562" s="14" t="n">
        <v>0</v>
      </c>
      <c r="J2562" s="14" t="n">
        <v>0</v>
      </c>
      <c r="K2562" s="14" t="n">
        <v>0</v>
      </c>
      <c r="L2562" s="14" t="n">
        <v>0</v>
      </c>
      <c r="M2562" s="14">
        <f>IF(B2562="Frete de venda",0,(1-ISNUMBER(SEARCH("556",P2562)))*(I2562*VLOOKUP($B2562,Premissas!$A$4:$E$7,2,0)+J2562*VLOOKUP($B2562,Premissas!$A$4:$E$7,3,0))+K2562*VLOOKUP($B2562,Premissas!$A$4:$E$7,4,0)+L2562*VLOOKUP($B2562,Premissas!$A$4:$E$7,5,0))</f>
        <v/>
      </c>
      <c r="N2562" s="14">
        <f>H2562-M2562</f>
        <v/>
      </c>
      <c r="O2562" t="inlineStr">
        <is>
          <t>Não</t>
        </is>
      </c>
      <c r="P2562" t="inlineStr">
        <is>
          <t>1.350</t>
        </is>
      </c>
    </row>
    <row r="2563">
      <c r="A2563" s="24" t="n">
        <v>46082</v>
      </c>
      <c r="B2563" t="inlineStr">
        <is>
          <t>Frete de venda</t>
        </is>
      </c>
      <c r="C2563" t="inlineStr">
        <is>
          <t>Frete de venda (para clientes)</t>
        </is>
      </c>
      <c r="D2563" t="inlineStr">
        <is>
          <t>CT-e</t>
        </is>
      </c>
      <c r="E2563" t="inlineStr">
        <is>
          <t>000006587</t>
        </is>
      </c>
      <c r="F2563" t="inlineStr">
        <is>
          <t>R&amp;R TRANSPORTE E LOGISTICA</t>
        </is>
      </c>
      <c r="G2563" s="27" t="n">
        <v>46097</v>
      </c>
      <c r="H2563" s="14" t="n">
        <v>24.44</v>
      </c>
      <c r="I2563" s="14" t="n">
        <v>0</v>
      </c>
      <c r="J2563" s="14" t="n">
        <v>0</v>
      </c>
      <c r="K2563" s="14" t="n">
        <v>0</v>
      </c>
      <c r="L2563" s="14" t="n">
        <v>0</v>
      </c>
      <c r="M2563" s="14">
        <f>IF(B2563="Frete de venda",0,(1-ISNUMBER(SEARCH("556",P2563)))*(I2563*VLOOKUP($B2563,Premissas!$A$4:$E$7,2,0)+J2563*VLOOKUP($B2563,Premissas!$A$4:$E$7,3,0))+K2563*VLOOKUP($B2563,Premissas!$A$4:$E$7,4,0)+L2563*VLOOKUP($B2563,Premissas!$A$4:$E$7,5,0))</f>
        <v/>
      </c>
      <c r="N2563" s="14">
        <f>H2563-M2563</f>
        <v/>
      </c>
      <c r="O2563" t="inlineStr">
        <is>
          <t>Não</t>
        </is>
      </c>
      <c r="P2563" t="inlineStr">
        <is>
          <t>1.350</t>
        </is>
      </c>
    </row>
    <row r="2564">
      <c r="A2564" s="24" t="n">
        <v>46082</v>
      </c>
      <c r="B2564" t="inlineStr">
        <is>
          <t>Frete de venda</t>
        </is>
      </c>
      <c r="C2564" t="inlineStr">
        <is>
          <t>Frete de venda (para clientes)</t>
        </is>
      </c>
      <c r="D2564" t="inlineStr">
        <is>
          <t>CT-e</t>
        </is>
      </c>
      <c r="E2564" t="inlineStr">
        <is>
          <t>001421779</t>
        </is>
      </c>
      <c r="F2564" t="inlineStr">
        <is>
          <t>PICCOLI TRANSPORTES LTDA</t>
        </is>
      </c>
      <c r="G2564" s="27" t="n">
        <v>46108</v>
      </c>
      <c r="H2564" s="14" t="n">
        <v>740.84</v>
      </c>
      <c r="I2564" s="14" t="n">
        <v>0</v>
      </c>
      <c r="J2564" s="14" t="n">
        <v>51.86</v>
      </c>
      <c r="K2564" s="14" t="n">
        <v>0</v>
      </c>
      <c r="L2564" s="14" t="n">
        <v>0</v>
      </c>
      <c r="M2564" s="14">
        <f>IF(B2564="Frete de venda",0,(1-ISNUMBER(SEARCH("556",P2564)))*(I2564*VLOOKUP($B2564,Premissas!$A$4:$E$7,2,0)+J2564*VLOOKUP($B2564,Premissas!$A$4:$E$7,3,0))+K2564*VLOOKUP($B2564,Premissas!$A$4:$E$7,4,0)+L2564*VLOOKUP($B2564,Premissas!$A$4:$E$7,5,0))</f>
        <v/>
      </c>
      <c r="N2564" s="14">
        <f>H2564-M2564</f>
        <v/>
      </c>
      <c r="O2564" t="inlineStr">
        <is>
          <t>Sim</t>
        </is>
      </c>
      <c r="P2564" t="inlineStr">
        <is>
          <t>1.350</t>
        </is>
      </c>
    </row>
    <row r="2565">
      <c r="A2565" s="24" t="n">
        <v>46082</v>
      </c>
      <c r="B2565" t="inlineStr">
        <is>
          <t>Frete de venda</t>
        </is>
      </c>
      <c r="C2565" t="inlineStr">
        <is>
          <t>Frete de venda (para clientes)</t>
        </is>
      </c>
      <c r="D2565" t="inlineStr">
        <is>
          <t>CT-e</t>
        </is>
      </c>
      <c r="E2565" t="inlineStr">
        <is>
          <t>000006622</t>
        </is>
      </c>
      <c r="F2565" t="inlineStr">
        <is>
          <t>R&amp;R TRANSPORTE E LOGISTICA</t>
        </is>
      </c>
      <c r="G2565" s="27" t="n">
        <v>46099</v>
      </c>
      <c r="H2565" s="14" t="n">
        <v>39.56</v>
      </c>
      <c r="I2565" s="14" t="n">
        <v>0</v>
      </c>
      <c r="J2565" s="14" t="n">
        <v>0</v>
      </c>
      <c r="K2565" s="14" t="n">
        <v>0</v>
      </c>
      <c r="L2565" s="14" t="n">
        <v>0</v>
      </c>
      <c r="M2565" s="14">
        <f>IF(B2565="Frete de venda",0,(1-ISNUMBER(SEARCH("556",P2565)))*(I2565*VLOOKUP($B2565,Premissas!$A$4:$E$7,2,0)+J2565*VLOOKUP($B2565,Premissas!$A$4:$E$7,3,0))+K2565*VLOOKUP($B2565,Premissas!$A$4:$E$7,4,0)+L2565*VLOOKUP($B2565,Premissas!$A$4:$E$7,5,0))</f>
        <v/>
      </c>
      <c r="N2565" s="14">
        <f>H2565-M2565</f>
        <v/>
      </c>
      <c r="O2565" t="inlineStr">
        <is>
          <t>Não</t>
        </is>
      </c>
      <c r="P2565" t="inlineStr">
        <is>
          <t>1.350</t>
        </is>
      </c>
    </row>
    <row r="2566">
      <c r="A2566" s="24" t="n">
        <v>46082</v>
      </c>
      <c r="B2566" t="inlineStr">
        <is>
          <t>Frete de venda</t>
        </is>
      </c>
      <c r="C2566" t="inlineStr">
        <is>
          <t>Frete de venda (para clientes)</t>
        </is>
      </c>
      <c r="D2566" t="inlineStr">
        <is>
          <t>CT-e</t>
        </is>
      </c>
      <c r="E2566" t="inlineStr">
        <is>
          <t>000006676</t>
        </is>
      </c>
      <c r="F2566" t="inlineStr">
        <is>
          <t>R&amp;R TRANSPORTE E LOGISTICA</t>
        </is>
      </c>
      <c r="G2566" s="27" t="n">
        <v>46107</v>
      </c>
      <c r="H2566" s="14" t="n">
        <v>64.09999999999999</v>
      </c>
      <c r="I2566" s="14" t="n">
        <v>0</v>
      </c>
      <c r="J2566" s="14" t="n">
        <v>0</v>
      </c>
      <c r="K2566" s="14" t="n">
        <v>0</v>
      </c>
      <c r="L2566" s="14" t="n">
        <v>0</v>
      </c>
      <c r="M2566" s="14">
        <f>IF(B2566="Frete de venda",0,(1-ISNUMBER(SEARCH("556",P2566)))*(I2566*VLOOKUP($B2566,Premissas!$A$4:$E$7,2,0)+J2566*VLOOKUP($B2566,Premissas!$A$4:$E$7,3,0))+K2566*VLOOKUP($B2566,Premissas!$A$4:$E$7,4,0)+L2566*VLOOKUP($B2566,Premissas!$A$4:$E$7,5,0))</f>
        <v/>
      </c>
      <c r="N2566" s="14">
        <f>H2566-M2566</f>
        <v/>
      </c>
      <c r="O2566" t="inlineStr">
        <is>
          <t>Não</t>
        </is>
      </c>
      <c r="P2566" t="inlineStr">
        <is>
          <t>1.350</t>
        </is>
      </c>
    </row>
    <row r="2567">
      <c r="A2567" s="24" t="n">
        <v>46082</v>
      </c>
      <c r="B2567" t="inlineStr">
        <is>
          <t>Frete de venda</t>
        </is>
      </c>
      <c r="C2567" t="inlineStr">
        <is>
          <t>Frete de venda (para clientes)</t>
        </is>
      </c>
      <c r="D2567" t="inlineStr">
        <is>
          <t>CT-e</t>
        </is>
      </c>
      <c r="E2567" t="inlineStr">
        <is>
          <t>000006691</t>
        </is>
      </c>
      <c r="F2567" t="inlineStr">
        <is>
          <t>R&amp;R TRANSPORTE E LOGISTICA</t>
        </is>
      </c>
      <c r="G2567" s="27" t="n">
        <v>46109</v>
      </c>
      <c r="H2567" s="14" t="n">
        <v>106.54</v>
      </c>
      <c r="I2567" s="14" t="n">
        <v>0</v>
      </c>
      <c r="J2567" s="14" t="n">
        <v>0</v>
      </c>
      <c r="K2567" s="14" t="n">
        <v>0</v>
      </c>
      <c r="L2567" s="14" t="n">
        <v>0</v>
      </c>
      <c r="M2567" s="14">
        <f>IF(B2567="Frete de venda",0,(1-ISNUMBER(SEARCH("556",P2567)))*(I2567*VLOOKUP($B2567,Premissas!$A$4:$E$7,2,0)+J2567*VLOOKUP($B2567,Premissas!$A$4:$E$7,3,0))+K2567*VLOOKUP($B2567,Premissas!$A$4:$E$7,4,0)+L2567*VLOOKUP($B2567,Premissas!$A$4:$E$7,5,0))</f>
        <v/>
      </c>
      <c r="N2567" s="14">
        <f>H2567-M2567</f>
        <v/>
      </c>
      <c r="O2567" t="inlineStr">
        <is>
          <t>Não</t>
        </is>
      </c>
      <c r="P2567" t="inlineStr">
        <is>
          <t>1.350</t>
        </is>
      </c>
    </row>
    <row r="2568">
      <c r="A2568" s="24" t="n">
        <v>46082</v>
      </c>
      <c r="B2568" t="inlineStr">
        <is>
          <t>Frete de venda</t>
        </is>
      </c>
      <c r="C2568" t="inlineStr">
        <is>
          <t>Frete de venda (para clientes)</t>
        </is>
      </c>
      <c r="D2568" t="inlineStr">
        <is>
          <t>CT-e</t>
        </is>
      </c>
      <c r="E2568" t="inlineStr">
        <is>
          <t>000006685</t>
        </is>
      </c>
      <c r="F2568" t="inlineStr">
        <is>
          <t>R&amp;R TRANSPORTE E LOGISTICA</t>
        </is>
      </c>
      <c r="G2568" s="27" t="n">
        <v>46108</v>
      </c>
      <c r="H2568" s="14" t="n">
        <v>136.34</v>
      </c>
      <c r="I2568" s="14" t="n">
        <v>0</v>
      </c>
      <c r="J2568" s="14" t="n">
        <v>0</v>
      </c>
      <c r="K2568" s="14" t="n">
        <v>0</v>
      </c>
      <c r="L2568" s="14" t="n">
        <v>0</v>
      </c>
      <c r="M2568" s="14">
        <f>IF(B2568="Frete de venda",0,(1-ISNUMBER(SEARCH("556",P2568)))*(I2568*VLOOKUP($B2568,Premissas!$A$4:$E$7,2,0)+J2568*VLOOKUP($B2568,Premissas!$A$4:$E$7,3,0))+K2568*VLOOKUP($B2568,Premissas!$A$4:$E$7,4,0)+L2568*VLOOKUP($B2568,Premissas!$A$4:$E$7,5,0))</f>
        <v/>
      </c>
      <c r="N2568" s="14">
        <f>H2568-M2568</f>
        <v/>
      </c>
      <c r="O2568" t="inlineStr">
        <is>
          <t>Não</t>
        </is>
      </c>
      <c r="P2568" t="inlineStr">
        <is>
          <t>1.350</t>
        </is>
      </c>
    </row>
    <row r="2569">
      <c r="A2569" s="24" t="n">
        <v>46082</v>
      </c>
      <c r="B2569" t="inlineStr">
        <is>
          <t>Frete de venda</t>
        </is>
      </c>
      <c r="C2569" t="inlineStr">
        <is>
          <t>Frete de venda (para clientes)</t>
        </is>
      </c>
      <c r="D2569" t="inlineStr">
        <is>
          <t>CT-e</t>
        </is>
      </c>
      <c r="E2569" t="inlineStr">
        <is>
          <t>000006661</t>
        </is>
      </c>
      <c r="F2569" t="inlineStr">
        <is>
          <t>R&amp;R TRANSPORTE E LOGISTICA</t>
        </is>
      </c>
      <c r="G2569" s="27" t="n">
        <v>46105</v>
      </c>
      <c r="H2569" s="14" t="n">
        <v>185.48</v>
      </c>
      <c r="I2569" s="14" t="n">
        <v>0</v>
      </c>
      <c r="J2569" s="14" t="n">
        <v>0</v>
      </c>
      <c r="K2569" s="14" t="n">
        <v>0</v>
      </c>
      <c r="L2569" s="14" t="n">
        <v>0</v>
      </c>
      <c r="M2569" s="14">
        <f>IF(B2569="Frete de venda",0,(1-ISNUMBER(SEARCH("556",P2569)))*(I2569*VLOOKUP($B2569,Premissas!$A$4:$E$7,2,0)+J2569*VLOOKUP($B2569,Premissas!$A$4:$E$7,3,0))+K2569*VLOOKUP($B2569,Premissas!$A$4:$E$7,4,0)+L2569*VLOOKUP($B2569,Premissas!$A$4:$E$7,5,0))</f>
        <v/>
      </c>
      <c r="N2569" s="14">
        <f>H2569-M2569</f>
        <v/>
      </c>
      <c r="O2569" t="inlineStr">
        <is>
          <t>Não</t>
        </is>
      </c>
      <c r="P2569" t="inlineStr">
        <is>
          <t>1.350</t>
        </is>
      </c>
    </row>
    <row r="2570">
      <c r="A2570" s="24" t="n">
        <v>46082</v>
      </c>
      <c r="B2570" t="inlineStr">
        <is>
          <t>Frete de venda</t>
        </is>
      </c>
      <c r="C2570" t="inlineStr">
        <is>
          <t>Frete de venda (para clientes)</t>
        </is>
      </c>
      <c r="D2570" t="inlineStr">
        <is>
          <t>CT-e</t>
        </is>
      </c>
      <c r="E2570" t="inlineStr">
        <is>
          <t>000006599</t>
        </is>
      </c>
      <c r="F2570" t="inlineStr">
        <is>
          <t>R&amp;R TRANSPORTE E LOGISTICA</t>
        </is>
      </c>
      <c r="G2570" s="27" t="n">
        <v>46097</v>
      </c>
      <c r="H2570" s="14" t="n">
        <v>17.43</v>
      </c>
      <c r="I2570" s="14" t="n">
        <v>0</v>
      </c>
      <c r="J2570" s="14" t="n">
        <v>0</v>
      </c>
      <c r="K2570" s="14" t="n">
        <v>0</v>
      </c>
      <c r="L2570" s="14" t="n">
        <v>0</v>
      </c>
      <c r="M2570" s="14">
        <f>IF(B2570="Frete de venda",0,(1-ISNUMBER(SEARCH("556",P2570)))*(I2570*VLOOKUP($B2570,Premissas!$A$4:$E$7,2,0)+J2570*VLOOKUP($B2570,Premissas!$A$4:$E$7,3,0))+K2570*VLOOKUP($B2570,Premissas!$A$4:$E$7,4,0)+L2570*VLOOKUP($B2570,Premissas!$A$4:$E$7,5,0))</f>
        <v/>
      </c>
      <c r="N2570" s="14">
        <f>H2570-M2570</f>
        <v/>
      </c>
      <c r="O2570" t="inlineStr">
        <is>
          <t>Não</t>
        </is>
      </c>
      <c r="P2570" t="inlineStr">
        <is>
          <t>1.350</t>
        </is>
      </c>
    </row>
    <row r="2571">
      <c r="A2571" s="24" t="n">
        <v>46082</v>
      </c>
      <c r="B2571" t="inlineStr">
        <is>
          <t>Frete de venda</t>
        </is>
      </c>
      <c r="C2571" t="inlineStr">
        <is>
          <t>Frete de venda (para clientes)</t>
        </is>
      </c>
      <c r="D2571" t="inlineStr">
        <is>
          <t>CT-e</t>
        </is>
      </c>
      <c r="E2571" t="inlineStr">
        <is>
          <t>000006591</t>
        </is>
      </c>
      <c r="F2571" t="inlineStr">
        <is>
          <t>R&amp;R TRANSPORTE E LOGISTICA</t>
        </is>
      </c>
      <c r="G2571" s="27" t="n">
        <v>46097</v>
      </c>
      <c r="H2571" s="14" t="n">
        <v>14.64</v>
      </c>
      <c r="I2571" s="14" t="n">
        <v>0</v>
      </c>
      <c r="J2571" s="14" t="n">
        <v>0</v>
      </c>
      <c r="K2571" s="14" t="n">
        <v>0</v>
      </c>
      <c r="L2571" s="14" t="n">
        <v>0</v>
      </c>
      <c r="M2571" s="14">
        <f>IF(B2571="Frete de venda",0,(1-ISNUMBER(SEARCH("556",P2571)))*(I2571*VLOOKUP($B2571,Premissas!$A$4:$E$7,2,0)+J2571*VLOOKUP($B2571,Premissas!$A$4:$E$7,3,0))+K2571*VLOOKUP($B2571,Premissas!$A$4:$E$7,4,0)+L2571*VLOOKUP($B2571,Premissas!$A$4:$E$7,5,0))</f>
        <v/>
      </c>
      <c r="N2571" s="14">
        <f>H2571-M2571</f>
        <v/>
      </c>
      <c r="O2571" t="inlineStr">
        <is>
          <t>Não</t>
        </is>
      </c>
      <c r="P2571" t="inlineStr">
        <is>
          <t>1.350</t>
        </is>
      </c>
    </row>
    <row r="2572">
      <c r="A2572" s="24" t="n">
        <v>46082</v>
      </c>
      <c r="B2572" t="inlineStr">
        <is>
          <t>Frete de venda</t>
        </is>
      </c>
      <c r="C2572" t="inlineStr">
        <is>
          <t>Frete de venda (para clientes)</t>
        </is>
      </c>
      <c r="D2572" t="inlineStr">
        <is>
          <t>CT-e</t>
        </is>
      </c>
      <c r="E2572" t="inlineStr">
        <is>
          <t>000006608</t>
        </is>
      </c>
      <c r="F2572" t="inlineStr">
        <is>
          <t>R&amp;R TRANSPORTE E LOGISTICA</t>
        </is>
      </c>
      <c r="G2572" s="27" t="n">
        <v>46097</v>
      </c>
      <c r="H2572" s="14" t="n">
        <v>26.16</v>
      </c>
      <c r="I2572" s="14" t="n">
        <v>0</v>
      </c>
      <c r="J2572" s="14" t="n">
        <v>0</v>
      </c>
      <c r="K2572" s="14" t="n">
        <v>0</v>
      </c>
      <c r="L2572" s="14" t="n">
        <v>0</v>
      </c>
      <c r="M2572" s="14">
        <f>IF(B2572="Frete de venda",0,(1-ISNUMBER(SEARCH("556",P2572)))*(I2572*VLOOKUP($B2572,Premissas!$A$4:$E$7,2,0)+J2572*VLOOKUP($B2572,Premissas!$A$4:$E$7,3,0))+K2572*VLOOKUP($B2572,Premissas!$A$4:$E$7,4,0)+L2572*VLOOKUP($B2572,Premissas!$A$4:$E$7,5,0))</f>
        <v/>
      </c>
      <c r="N2572" s="14">
        <f>H2572-M2572</f>
        <v/>
      </c>
      <c r="O2572" t="inlineStr">
        <is>
          <t>Não</t>
        </is>
      </c>
      <c r="P2572" t="inlineStr">
        <is>
          <t>1.350</t>
        </is>
      </c>
    </row>
    <row r="2573">
      <c r="A2573" s="24" t="n">
        <v>46082</v>
      </c>
      <c r="B2573" t="inlineStr">
        <is>
          <t>Frete de venda</t>
        </is>
      </c>
      <c r="C2573" t="inlineStr">
        <is>
          <t>Frete de venda (para clientes)</t>
        </is>
      </c>
      <c r="D2573" t="inlineStr">
        <is>
          <t>CT-e</t>
        </is>
      </c>
      <c r="E2573" t="inlineStr">
        <is>
          <t>000006706</t>
        </is>
      </c>
      <c r="F2573" t="inlineStr">
        <is>
          <t>R&amp;R TRANSPORTE E LOGISTICA</t>
        </is>
      </c>
      <c r="G2573" s="27" t="n">
        <v>46111</v>
      </c>
      <c r="H2573" s="14" t="n">
        <v>34.19</v>
      </c>
      <c r="I2573" s="14" t="n">
        <v>0</v>
      </c>
      <c r="J2573" s="14" t="n">
        <v>0</v>
      </c>
      <c r="K2573" s="14" t="n">
        <v>0</v>
      </c>
      <c r="L2573" s="14" t="n">
        <v>0</v>
      </c>
      <c r="M2573" s="14">
        <f>IF(B2573="Frete de venda",0,(1-ISNUMBER(SEARCH("556",P2573)))*(I2573*VLOOKUP($B2573,Premissas!$A$4:$E$7,2,0)+J2573*VLOOKUP($B2573,Premissas!$A$4:$E$7,3,0))+K2573*VLOOKUP($B2573,Premissas!$A$4:$E$7,4,0)+L2573*VLOOKUP($B2573,Premissas!$A$4:$E$7,5,0))</f>
        <v/>
      </c>
      <c r="N2573" s="14">
        <f>H2573-M2573</f>
        <v/>
      </c>
      <c r="O2573" t="inlineStr">
        <is>
          <t>Não</t>
        </is>
      </c>
      <c r="P2573" t="inlineStr">
        <is>
          <t>1.350</t>
        </is>
      </c>
    </row>
    <row r="2574">
      <c r="A2574" s="24" t="n">
        <v>46082</v>
      </c>
      <c r="B2574" t="inlineStr">
        <is>
          <t>Frete de venda</t>
        </is>
      </c>
      <c r="C2574" t="inlineStr">
        <is>
          <t>Frete de venda (para clientes)</t>
        </is>
      </c>
      <c r="D2574" t="inlineStr">
        <is>
          <t>CT-e</t>
        </is>
      </c>
      <c r="E2574" t="inlineStr">
        <is>
          <t>000006526</t>
        </is>
      </c>
      <c r="F2574" t="inlineStr">
        <is>
          <t>R&amp;R TRANSPORTE E LOGISTICA</t>
        </is>
      </c>
      <c r="G2574" s="27" t="n">
        <v>46087</v>
      </c>
      <c r="H2574" s="14" t="n">
        <v>58.54</v>
      </c>
      <c r="I2574" s="14" t="n">
        <v>0</v>
      </c>
      <c r="J2574" s="14" t="n">
        <v>0</v>
      </c>
      <c r="K2574" s="14" t="n">
        <v>0</v>
      </c>
      <c r="L2574" s="14" t="n">
        <v>0</v>
      </c>
      <c r="M2574" s="14">
        <f>IF(B2574="Frete de venda",0,(1-ISNUMBER(SEARCH("556",P2574)))*(I2574*VLOOKUP($B2574,Premissas!$A$4:$E$7,2,0)+J2574*VLOOKUP($B2574,Premissas!$A$4:$E$7,3,0))+K2574*VLOOKUP($B2574,Premissas!$A$4:$E$7,4,0)+L2574*VLOOKUP($B2574,Premissas!$A$4:$E$7,5,0))</f>
        <v/>
      </c>
      <c r="N2574" s="14">
        <f>H2574-M2574</f>
        <v/>
      </c>
      <c r="O2574" t="inlineStr">
        <is>
          <t>Não</t>
        </is>
      </c>
      <c r="P2574" t="inlineStr">
        <is>
          <t>1.350</t>
        </is>
      </c>
    </row>
    <row r="2575">
      <c r="A2575" s="24" t="n">
        <v>46082</v>
      </c>
      <c r="B2575" t="inlineStr">
        <is>
          <t>Frete de venda</t>
        </is>
      </c>
      <c r="C2575" t="inlineStr">
        <is>
          <t>Frete de venda (para clientes)</t>
        </is>
      </c>
      <c r="D2575" t="inlineStr">
        <is>
          <t>CT-e</t>
        </is>
      </c>
      <c r="E2575" t="inlineStr">
        <is>
          <t>000006693</t>
        </is>
      </c>
      <c r="F2575" t="inlineStr">
        <is>
          <t>R&amp;R TRANSPORTE E LOGISTICA</t>
        </is>
      </c>
      <c r="G2575" s="27" t="n">
        <v>46109</v>
      </c>
      <c r="H2575" s="14" t="n">
        <v>100.42</v>
      </c>
      <c r="I2575" s="14" t="n">
        <v>0</v>
      </c>
      <c r="J2575" s="14" t="n">
        <v>0</v>
      </c>
      <c r="K2575" s="14" t="n">
        <v>0</v>
      </c>
      <c r="L2575" s="14" t="n">
        <v>0</v>
      </c>
      <c r="M2575" s="14">
        <f>IF(B2575="Frete de venda",0,(1-ISNUMBER(SEARCH("556",P2575)))*(I2575*VLOOKUP($B2575,Premissas!$A$4:$E$7,2,0)+J2575*VLOOKUP($B2575,Premissas!$A$4:$E$7,3,0))+K2575*VLOOKUP($B2575,Premissas!$A$4:$E$7,4,0)+L2575*VLOOKUP($B2575,Premissas!$A$4:$E$7,5,0))</f>
        <v/>
      </c>
      <c r="N2575" s="14">
        <f>H2575-M2575</f>
        <v/>
      </c>
      <c r="O2575" t="inlineStr">
        <is>
          <t>Não</t>
        </is>
      </c>
      <c r="P2575" t="inlineStr">
        <is>
          <t>1.350</t>
        </is>
      </c>
    </row>
    <row r="2576">
      <c r="A2576" s="24" t="n">
        <v>46082</v>
      </c>
      <c r="B2576" t="inlineStr">
        <is>
          <t>Frete de venda</t>
        </is>
      </c>
      <c r="C2576" t="inlineStr">
        <is>
          <t>Frete de venda (para clientes)</t>
        </is>
      </c>
      <c r="D2576" t="inlineStr">
        <is>
          <t>CT-e</t>
        </is>
      </c>
      <c r="E2576" t="inlineStr">
        <is>
          <t>000006483</t>
        </is>
      </c>
      <c r="F2576" t="inlineStr">
        <is>
          <t>R&amp;R TRANSPORTE E LOGISTICA</t>
        </is>
      </c>
      <c r="G2576" s="27" t="n">
        <v>46084</v>
      </c>
      <c r="H2576" s="14" t="n">
        <v>73.95</v>
      </c>
      <c r="I2576" s="14" t="n">
        <v>0</v>
      </c>
      <c r="J2576" s="14" t="n">
        <v>0</v>
      </c>
      <c r="K2576" s="14" t="n">
        <v>0</v>
      </c>
      <c r="L2576" s="14" t="n">
        <v>0</v>
      </c>
      <c r="M2576" s="14">
        <f>IF(B2576="Frete de venda",0,(1-ISNUMBER(SEARCH("556",P2576)))*(I2576*VLOOKUP($B2576,Premissas!$A$4:$E$7,2,0)+J2576*VLOOKUP($B2576,Premissas!$A$4:$E$7,3,0))+K2576*VLOOKUP($B2576,Premissas!$A$4:$E$7,4,0)+L2576*VLOOKUP($B2576,Premissas!$A$4:$E$7,5,0))</f>
        <v/>
      </c>
      <c r="N2576" s="14">
        <f>H2576-M2576</f>
        <v/>
      </c>
      <c r="O2576" t="inlineStr">
        <is>
          <t>Não</t>
        </is>
      </c>
      <c r="P2576" t="inlineStr">
        <is>
          <t>1.350</t>
        </is>
      </c>
    </row>
    <row r="2577">
      <c r="A2577" s="24" t="n">
        <v>46082</v>
      </c>
      <c r="B2577" t="inlineStr">
        <is>
          <t>Frete de venda</t>
        </is>
      </c>
      <c r="C2577" t="inlineStr">
        <is>
          <t>Frete de venda (para clientes)</t>
        </is>
      </c>
      <c r="D2577" t="inlineStr">
        <is>
          <t>CT-e</t>
        </is>
      </c>
      <c r="E2577" t="inlineStr">
        <is>
          <t>000006609</t>
        </is>
      </c>
      <c r="F2577" t="inlineStr">
        <is>
          <t>R&amp;R TRANSPORTE E LOGISTICA</t>
        </is>
      </c>
      <c r="G2577" s="27" t="n">
        <v>46097</v>
      </c>
      <c r="H2577" s="14" t="n">
        <v>23.67</v>
      </c>
      <c r="I2577" s="14" t="n">
        <v>0</v>
      </c>
      <c r="J2577" s="14" t="n">
        <v>0</v>
      </c>
      <c r="K2577" s="14" t="n">
        <v>0</v>
      </c>
      <c r="L2577" s="14" t="n">
        <v>0</v>
      </c>
      <c r="M2577" s="14">
        <f>IF(B2577="Frete de venda",0,(1-ISNUMBER(SEARCH("556",P2577)))*(I2577*VLOOKUP($B2577,Premissas!$A$4:$E$7,2,0)+J2577*VLOOKUP($B2577,Premissas!$A$4:$E$7,3,0))+K2577*VLOOKUP($B2577,Premissas!$A$4:$E$7,4,0)+L2577*VLOOKUP($B2577,Premissas!$A$4:$E$7,5,0))</f>
        <v/>
      </c>
      <c r="N2577" s="14">
        <f>H2577-M2577</f>
        <v/>
      </c>
      <c r="O2577" t="inlineStr">
        <is>
          <t>Não</t>
        </is>
      </c>
      <c r="P2577" t="inlineStr">
        <is>
          <t>1.350</t>
        </is>
      </c>
    </row>
    <row r="2578">
      <c r="A2578" s="24" t="n">
        <v>46082</v>
      </c>
      <c r="B2578" t="inlineStr">
        <is>
          <t>Frete de venda</t>
        </is>
      </c>
      <c r="C2578" t="inlineStr">
        <is>
          <t>Frete de venda (para clientes)</t>
        </is>
      </c>
      <c r="D2578" t="inlineStr">
        <is>
          <t>CT-e</t>
        </is>
      </c>
      <c r="E2578" t="inlineStr">
        <is>
          <t>000006563</t>
        </is>
      </c>
      <c r="F2578" t="inlineStr">
        <is>
          <t>R&amp;R TRANSPORTE E LOGISTICA</t>
        </is>
      </c>
      <c r="G2578" s="27" t="n">
        <v>46093</v>
      </c>
      <c r="H2578" s="14" t="n">
        <v>66.94</v>
      </c>
      <c r="I2578" s="14" t="n">
        <v>0</v>
      </c>
      <c r="J2578" s="14" t="n">
        <v>0</v>
      </c>
      <c r="K2578" s="14" t="n">
        <v>0</v>
      </c>
      <c r="L2578" s="14" t="n">
        <v>0</v>
      </c>
      <c r="M2578" s="14">
        <f>IF(B2578="Frete de venda",0,(1-ISNUMBER(SEARCH("556",P2578)))*(I2578*VLOOKUP($B2578,Premissas!$A$4:$E$7,2,0)+J2578*VLOOKUP($B2578,Premissas!$A$4:$E$7,3,0))+K2578*VLOOKUP($B2578,Premissas!$A$4:$E$7,4,0)+L2578*VLOOKUP($B2578,Premissas!$A$4:$E$7,5,0))</f>
        <v/>
      </c>
      <c r="N2578" s="14">
        <f>H2578-M2578</f>
        <v/>
      </c>
      <c r="O2578" t="inlineStr">
        <is>
          <t>Não</t>
        </is>
      </c>
      <c r="P2578" t="inlineStr">
        <is>
          <t>1.350</t>
        </is>
      </c>
    </row>
    <row r="2579">
      <c r="A2579" s="24" t="n">
        <v>46082</v>
      </c>
      <c r="B2579" t="inlineStr">
        <is>
          <t>Frete de venda</t>
        </is>
      </c>
      <c r="C2579" t="inlineStr">
        <is>
          <t>Frete de venda (para clientes)</t>
        </is>
      </c>
      <c r="D2579" t="inlineStr">
        <is>
          <t>CT-e</t>
        </is>
      </c>
      <c r="E2579" t="inlineStr">
        <is>
          <t>000006668</t>
        </is>
      </c>
      <c r="F2579" t="inlineStr">
        <is>
          <t>R&amp;R TRANSPORTE E LOGISTICA</t>
        </is>
      </c>
      <c r="G2579" s="27" t="n">
        <v>46105</v>
      </c>
      <c r="H2579" s="14" t="n">
        <v>26.83</v>
      </c>
      <c r="I2579" s="14" t="n">
        <v>0</v>
      </c>
      <c r="J2579" s="14" t="n">
        <v>0</v>
      </c>
      <c r="K2579" s="14" t="n">
        <v>0</v>
      </c>
      <c r="L2579" s="14" t="n">
        <v>0</v>
      </c>
      <c r="M2579" s="14">
        <f>IF(B2579="Frete de venda",0,(1-ISNUMBER(SEARCH("556",P2579)))*(I2579*VLOOKUP($B2579,Premissas!$A$4:$E$7,2,0)+J2579*VLOOKUP($B2579,Premissas!$A$4:$E$7,3,0))+K2579*VLOOKUP($B2579,Premissas!$A$4:$E$7,4,0)+L2579*VLOOKUP($B2579,Premissas!$A$4:$E$7,5,0))</f>
        <v/>
      </c>
      <c r="N2579" s="14">
        <f>H2579-M2579</f>
        <v/>
      </c>
      <c r="O2579" t="inlineStr">
        <is>
          <t>Não</t>
        </is>
      </c>
      <c r="P2579" t="inlineStr">
        <is>
          <t>1.350</t>
        </is>
      </c>
    </row>
    <row r="2580">
      <c r="A2580" s="24" t="n">
        <v>46082</v>
      </c>
      <c r="B2580" t="inlineStr">
        <is>
          <t>Frete de venda</t>
        </is>
      </c>
      <c r="C2580" t="inlineStr">
        <is>
          <t>Frete de venda (para clientes)</t>
        </is>
      </c>
      <c r="D2580" t="inlineStr">
        <is>
          <t>CT-e</t>
        </is>
      </c>
      <c r="E2580" t="inlineStr">
        <is>
          <t>000003314</t>
        </is>
      </c>
      <c r="F2580" t="inlineStr">
        <is>
          <t>RAPIDO XAPURI TRANSPORTES E LOGISTICA LTDA</t>
        </is>
      </c>
      <c r="G2580" s="27" t="n">
        <v>46109</v>
      </c>
      <c r="H2580" s="14" t="n">
        <v>724.8200000000001</v>
      </c>
      <c r="I2580" s="14" t="n">
        <v>0</v>
      </c>
      <c r="J2580" s="14" t="n">
        <v>86.98</v>
      </c>
      <c r="K2580" s="14" t="n">
        <v>0</v>
      </c>
      <c r="L2580" s="14" t="n">
        <v>0</v>
      </c>
      <c r="M2580" s="14">
        <f>IF(B2580="Frete de venda",0,(1-ISNUMBER(SEARCH("556",P2580)))*(I2580*VLOOKUP($B2580,Premissas!$A$4:$E$7,2,0)+J2580*VLOOKUP($B2580,Premissas!$A$4:$E$7,3,0))+K2580*VLOOKUP($B2580,Premissas!$A$4:$E$7,4,0)+L2580*VLOOKUP($B2580,Premissas!$A$4:$E$7,5,0))</f>
        <v/>
      </c>
      <c r="N2580" s="14">
        <f>H2580-M2580</f>
        <v/>
      </c>
      <c r="O2580" t="inlineStr">
        <is>
          <t>Sim</t>
        </is>
      </c>
      <c r="P2580" t="inlineStr">
        <is>
          <t>1.350</t>
        </is>
      </c>
    </row>
    <row r="2581">
      <c r="A2581" s="24" t="n">
        <v>46082</v>
      </c>
      <c r="B2581" t="inlineStr">
        <is>
          <t>Frete de venda</t>
        </is>
      </c>
      <c r="C2581" t="inlineStr">
        <is>
          <t>Frete de venda (para clientes)</t>
        </is>
      </c>
      <c r="D2581" t="inlineStr">
        <is>
          <t>CT-e</t>
        </is>
      </c>
      <c r="E2581" t="inlineStr">
        <is>
          <t>000006580</t>
        </is>
      </c>
      <c r="F2581" t="inlineStr">
        <is>
          <t>R&amp;R TRANSPORTE E LOGISTICA</t>
        </is>
      </c>
      <c r="G2581" s="27" t="n">
        <v>46097</v>
      </c>
      <c r="H2581" s="14" t="n">
        <v>20.65</v>
      </c>
      <c r="I2581" s="14" t="n">
        <v>0</v>
      </c>
      <c r="J2581" s="14" t="n">
        <v>0</v>
      </c>
      <c r="K2581" s="14" t="n">
        <v>0</v>
      </c>
      <c r="L2581" s="14" t="n">
        <v>0</v>
      </c>
      <c r="M2581" s="14">
        <f>IF(B2581="Frete de venda",0,(1-ISNUMBER(SEARCH("556",P2581)))*(I2581*VLOOKUP($B2581,Premissas!$A$4:$E$7,2,0)+J2581*VLOOKUP($B2581,Premissas!$A$4:$E$7,3,0))+K2581*VLOOKUP($B2581,Premissas!$A$4:$E$7,4,0)+L2581*VLOOKUP($B2581,Premissas!$A$4:$E$7,5,0))</f>
        <v/>
      </c>
      <c r="N2581" s="14">
        <f>H2581-M2581</f>
        <v/>
      </c>
      <c r="O2581" t="inlineStr">
        <is>
          <t>Não</t>
        </is>
      </c>
      <c r="P2581" t="inlineStr">
        <is>
          <t>1.350</t>
        </is>
      </c>
    </row>
    <row r="2582">
      <c r="A2582" s="24" t="n">
        <v>46082</v>
      </c>
      <c r="B2582" t="inlineStr">
        <is>
          <t>Frete de venda</t>
        </is>
      </c>
      <c r="C2582" t="inlineStr">
        <is>
          <t>Frete de venda (para clientes)</t>
        </is>
      </c>
      <c r="D2582" t="inlineStr">
        <is>
          <t>CT-e</t>
        </is>
      </c>
      <c r="E2582" t="inlineStr">
        <is>
          <t>001421778</t>
        </is>
      </c>
      <c r="F2582" t="inlineStr">
        <is>
          <t>PICCOLI TRANSPORTES LTDA</t>
        </is>
      </c>
      <c r="G2582" s="27" t="n">
        <v>46108</v>
      </c>
      <c r="H2582" s="14" t="n">
        <v>461.74</v>
      </c>
      <c r="I2582" s="14" t="n">
        <v>0</v>
      </c>
      <c r="J2582" s="14" t="n">
        <v>32.32</v>
      </c>
      <c r="K2582" s="14" t="n">
        <v>0</v>
      </c>
      <c r="L2582" s="14" t="n">
        <v>0</v>
      </c>
      <c r="M2582" s="14">
        <f>IF(B2582="Frete de venda",0,(1-ISNUMBER(SEARCH("556",P2582)))*(I2582*VLOOKUP($B2582,Premissas!$A$4:$E$7,2,0)+J2582*VLOOKUP($B2582,Premissas!$A$4:$E$7,3,0))+K2582*VLOOKUP($B2582,Premissas!$A$4:$E$7,4,0)+L2582*VLOOKUP($B2582,Premissas!$A$4:$E$7,5,0))</f>
        <v/>
      </c>
      <c r="N2582" s="14">
        <f>H2582-M2582</f>
        <v/>
      </c>
      <c r="O2582" t="inlineStr">
        <is>
          <t>Sim</t>
        </is>
      </c>
      <c r="P2582" t="inlineStr">
        <is>
          <t>1.350</t>
        </is>
      </c>
    </row>
    <row r="2583">
      <c r="A2583" s="24" t="n">
        <v>46082</v>
      </c>
      <c r="B2583" t="inlineStr">
        <is>
          <t>Frete de venda</t>
        </is>
      </c>
      <c r="C2583" t="inlineStr">
        <is>
          <t>Frete de venda (para clientes)</t>
        </is>
      </c>
      <c r="D2583" t="inlineStr">
        <is>
          <t>CT-e</t>
        </is>
      </c>
      <c r="E2583" t="inlineStr">
        <is>
          <t>000006522</t>
        </is>
      </c>
      <c r="F2583" t="inlineStr">
        <is>
          <t>R&amp;R TRANSPORTE E LOGISTICA</t>
        </is>
      </c>
      <c r="G2583" s="27" t="n">
        <v>46087</v>
      </c>
      <c r="H2583" s="14" t="n">
        <v>32.97</v>
      </c>
      <c r="I2583" s="14" t="n">
        <v>0</v>
      </c>
      <c r="J2583" s="14" t="n">
        <v>0</v>
      </c>
      <c r="K2583" s="14" t="n">
        <v>0</v>
      </c>
      <c r="L2583" s="14" t="n">
        <v>0</v>
      </c>
      <c r="M2583" s="14">
        <f>IF(B2583="Frete de venda",0,(1-ISNUMBER(SEARCH("556",P2583)))*(I2583*VLOOKUP($B2583,Premissas!$A$4:$E$7,2,0)+J2583*VLOOKUP($B2583,Premissas!$A$4:$E$7,3,0))+K2583*VLOOKUP($B2583,Premissas!$A$4:$E$7,4,0)+L2583*VLOOKUP($B2583,Premissas!$A$4:$E$7,5,0))</f>
        <v/>
      </c>
      <c r="N2583" s="14">
        <f>H2583-M2583</f>
        <v/>
      </c>
      <c r="O2583" t="inlineStr">
        <is>
          <t>Não</t>
        </is>
      </c>
      <c r="P2583" t="inlineStr">
        <is>
          <t>1.350</t>
        </is>
      </c>
    </row>
    <row r="2584">
      <c r="A2584" s="24" t="n">
        <v>46082</v>
      </c>
      <c r="B2584" t="inlineStr">
        <is>
          <t>Frete de venda</t>
        </is>
      </c>
      <c r="C2584" t="inlineStr">
        <is>
          <t>Frete de venda (para clientes)</t>
        </is>
      </c>
      <c r="D2584" t="inlineStr">
        <is>
          <t>CT-e</t>
        </is>
      </c>
      <c r="E2584" t="inlineStr">
        <is>
          <t>000006640</t>
        </is>
      </c>
      <c r="F2584" t="inlineStr">
        <is>
          <t>R&amp;R TRANSPORTE E LOGISTICA</t>
        </is>
      </c>
      <c r="G2584" s="27" t="n">
        <v>46101</v>
      </c>
      <c r="H2584" s="14" t="n">
        <v>94.48</v>
      </c>
      <c r="I2584" s="14" t="n">
        <v>0</v>
      </c>
      <c r="J2584" s="14" t="n">
        <v>0</v>
      </c>
      <c r="K2584" s="14" t="n">
        <v>0</v>
      </c>
      <c r="L2584" s="14" t="n">
        <v>0</v>
      </c>
      <c r="M2584" s="14">
        <f>IF(B2584="Frete de venda",0,(1-ISNUMBER(SEARCH("556",P2584)))*(I2584*VLOOKUP($B2584,Premissas!$A$4:$E$7,2,0)+J2584*VLOOKUP($B2584,Premissas!$A$4:$E$7,3,0))+K2584*VLOOKUP($B2584,Premissas!$A$4:$E$7,4,0)+L2584*VLOOKUP($B2584,Premissas!$A$4:$E$7,5,0))</f>
        <v/>
      </c>
      <c r="N2584" s="14">
        <f>H2584-M2584</f>
        <v/>
      </c>
      <c r="O2584" t="inlineStr">
        <is>
          <t>Não</t>
        </is>
      </c>
      <c r="P2584" t="inlineStr">
        <is>
          <t>1.350</t>
        </is>
      </c>
    </row>
    <row r="2585">
      <c r="A2585" s="24" t="n">
        <v>46082</v>
      </c>
      <c r="B2585" t="inlineStr">
        <is>
          <t>Frete de venda</t>
        </is>
      </c>
      <c r="C2585" t="inlineStr">
        <is>
          <t>Frete de venda (para clientes)</t>
        </is>
      </c>
      <c r="D2585" t="inlineStr">
        <is>
          <t>CT-e</t>
        </is>
      </c>
      <c r="E2585" t="inlineStr">
        <is>
          <t>000006561</t>
        </is>
      </c>
      <c r="F2585" t="inlineStr">
        <is>
          <t>R&amp;R TRANSPORTE E LOGISTICA</t>
        </is>
      </c>
      <c r="G2585" s="27" t="n">
        <v>46093</v>
      </c>
      <c r="H2585" s="14" t="n">
        <v>47.6</v>
      </c>
      <c r="I2585" s="14" t="n">
        <v>0</v>
      </c>
      <c r="J2585" s="14" t="n">
        <v>0</v>
      </c>
      <c r="K2585" s="14" t="n">
        <v>0</v>
      </c>
      <c r="L2585" s="14" t="n">
        <v>0</v>
      </c>
      <c r="M2585" s="14">
        <f>IF(B2585="Frete de venda",0,(1-ISNUMBER(SEARCH("556",P2585)))*(I2585*VLOOKUP($B2585,Premissas!$A$4:$E$7,2,0)+J2585*VLOOKUP($B2585,Premissas!$A$4:$E$7,3,0))+K2585*VLOOKUP($B2585,Premissas!$A$4:$E$7,4,0)+L2585*VLOOKUP($B2585,Premissas!$A$4:$E$7,5,0))</f>
        <v/>
      </c>
      <c r="N2585" s="14">
        <f>H2585-M2585</f>
        <v/>
      </c>
      <c r="O2585" t="inlineStr">
        <is>
          <t>Não</t>
        </is>
      </c>
      <c r="P2585" t="inlineStr">
        <is>
          <t>1.350</t>
        </is>
      </c>
    </row>
    <row r="2586">
      <c r="A2586" s="24" t="n">
        <v>46082</v>
      </c>
      <c r="B2586" t="inlineStr">
        <is>
          <t>Frete de venda</t>
        </is>
      </c>
      <c r="C2586" t="inlineStr">
        <is>
          <t>Frete de venda (para clientes)</t>
        </is>
      </c>
      <c r="D2586" t="inlineStr">
        <is>
          <t>CT-e</t>
        </is>
      </c>
      <c r="E2586" t="inlineStr">
        <is>
          <t>000006625</t>
        </is>
      </c>
      <c r="F2586" t="inlineStr">
        <is>
          <t>R&amp;R TRANSPORTE E LOGISTICA</t>
        </is>
      </c>
      <c r="G2586" s="27" t="n">
        <v>46100</v>
      </c>
      <c r="H2586" s="14" t="n">
        <v>18.72</v>
      </c>
      <c r="I2586" s="14" t="n">
        <v>0</v>
      </c>
      <c r="J2586" s="14" t="n">
        <v>0</v>
      </c>
      <c r="K2586" s="14" t="n">
        <v>0</v>
      </c>
      <c r="L2586" s="14" t="n">
        <v>0</v>
      </c>
      <c r="M2586" s="14">
        <f>IF(B2586="Frete de venda",0,(1-ISNUMBER(SEARCH("556",P2586)))*(I2586*VLOOKUP($B2586,Premissas!$A$4:$E$7,2,0)+J2586*VLOOKUP($B2586,Premissas!$A$4:$E$7,3,0))+K2586*VLOOKUP($B2586,Premissas!$A$4:$E$7,4,0)+L2586*VLOOKUP($B2586,Premissas!$A$4:$E$7,5,0))</f>
        <v/>
      </c>
      <c r="N2586" s="14">
        <f>H2586-M2586</f>
        <v/>
      </c>
      <c r="O2586" t="inlineStr">
        <is>
          <t>Não</t>
        </is>
      </c>
      <c r="P2586" t="inlineStr">
        <is>
          <t>1.350</t>
        </is>
      </c>
    </row>
    <row r="2587">
      <c r="A2587" s="24" t="n">
        <v>46082</v>
      </c>
      <c r="B2587" t="inlineStr">
        <is>
          <t>Frete de venda</t>
        </is>
      </c>
      <c r="C2587" t="inlineStr">
        <is>
          <t>Frete de venda (para clientes)</t>
        </is>
      </c>
      <c r="D2587" t="inlineStr">
        <is>
          <t>CT-e</t>
        </is>
      </c>
      <c r="E2587" t="inlineStr">
        <is>
          <t>000006466</t>
        </is>
      </c>
      <c r="F2587" t="inlineStr">
        <is>
          <t>R&amp;R TRANSPORTE E LOGISTICA</t>
        </is>
      </c>
      <c r="G2587" s="27" t="n">
        <v>46083</v>
      </c>
      <c r="H2587" s="14" t="n">
        <v>127.34</v>
      </c>
      <c r="I2587" s="14" t="n">
        <v>0</v>
      </c>
      <c r="J2587" s="14" t="n">
        <v>0</v>
      </c>
      <c r="K2587" s="14" t="n">
        <v>0</v>
      </c>
      <c r="L2587" s="14" t="n">
        <v>0</v>
      </c>
      <c r="M2587" s="14">
        <f>IF(B2587="Frete de venda",0,(1-ISNUMBER(SEARCH("556",P2587)))*(I2587*VLOOKUP($B2587,Premissas!$A$4:$E$7,2,0)+J2587*VLOOKUP($B2587,Premissas!$A$4:$E$7,3,0))+K2587*VLOOKUP($B2587,Premissas!$A$4:$E$7,4,0)+L2587*VLOOKUP($B2587,Premissas!$A$4:$E$7,5,0))</f>
        <v/>
      </c>
      <c r="N2587" s="14">
        <f>H2587-M2587</f>
        <v/>
      </c>
      <c r="O2587" t="inlineStr">
        <is>
          <t>Não</t>
        </is>
      </c>
      <c r="P2587" t="inlineStr">
        <is>
          <t>1.350</t>
        </is>
      </c>
    </row>
    <row r="2588">
      <c r="A2588" s="24" t="n">
        <v>46082</v>
      </c>
      <c r="B2588" t="inlineStr">
        <is>
          <t>Frete de venda</t>
        </is>
      </c>
      <c r="C2588" t="inlineStr">
        <is>
          <t>Frete de venda (para clientes)</t>
        </is>
      </c>
      <c r="D2588" t="inlineStr">
        <is>
          <t>CT-e</t>
        </is>
      </c>
      <c r="E2588" t="inlineStr">
        <is>
          <t>000003845</t>
        </is>
      </c>
      <c r="F2588" t="inlineStr">
        <is>
          <t>UNIVERSAL CARGAS EXPRESS</t>
        </is>
      </c>
      <c r="G2588" s="27" t="n">
        <v>46092</v>
      </c>
      <c r="H2588" s="14" t="n">
        <v>500</v>
      </c>
      <c r="I2588" s="14" t="n">
        <v>0</v>
      </c>
      <c r="J2588" s="14" t="n">
        <v>0</v>
      </c>
      <c r="K2588" s="14" t="n">
        <v>0</v>
      </c>
      <c r="L2588" s="14" t="n">
        <v>0</v>
      </c>
      <c r="M2588" s="14">
        <f>IF(B2588="Frete de venda",0,(1-ISNUMBER(SEARCH("556",P2588)))*(I2588*VLOOKUP($B2588,Premissas!$A$4:$E$7,2,0)+J2588*VLOOKUP($B2588,Premissas!$A$4:$E$7,3,0))+K2588*VLOOKUP($B2588,Premissas!$A$4:$E$7,4,0)+L2588*VLOOKUP($B2588,Premissas!$A$4:$E$7,5,0))</f>
        <v/>
      </c>
      <c r="N2588" s="14">
        <f>H2588-M2588</f>
        <v/>
      </c>
      <c r="O2588" t="inlineStr">
        <is>
          <t>Sim</t>
        </is>
      </c>
      <c r="P2588" t="inlineStr">
        <is>
          <t>1.350</t>
        </is>
      </c>
    </row>
    <row r="2589">
      <c r="A2589" s="24" t="n">
        <v>46082</v>
      </c>
      <c r="B2589" t="inlineStr">
        <is>
          <t>Frete de venda</t>
        </is>
      </c>
      <c r="C2589" t="inlineStr">
        <is>
          <t>Frete de venda (para clientes)</t>
        </is>
      </c>
      <c r="D2589" t="inlineStr">
        <is>
          <t>CT-e</t>
        </is>
      </c>
      <c r="E2589" t="inlineStr">
        <is>
          <t>000003848</t>
        </is>
      </c>
      <c r="F2589" t="inlineStr">
        <is>
          <t>UNIVERSAL CARGAS EXPRESS</t>
        </is>
      </c>
      <c r="G2589" s="27" t="n">
        <v>46092</v>
      </c>
      <c r="H2589" s="14" t="n">
        <v>2800</v>
      </c>
      <c r="I2589" s="14" t="n">
        <v>0</v>
      </c>
      <c r="J2589" s="14" t="n">
        <v>0</v>
      </c>
      <c r="K2589" s="14" t="n">
        <v>0</v>
      </c>
      <c r="L2589" s="14" t="n">
        <v>0</v>
      </c>
      <c r="M2589" s="14">
        <f>IF(B2589="Frete de venda",0,(1-ISNUMBER(SEARCH("556",P2589)))*(I2589*VLOOKUP($B2589,Premissas!$A$4:$E$7,2,0)+J2589*VLOOKUP($B2589,Premissas!$A$4:$E$7,3,0))+K2589*VLOOKUP($B2589,Premissas!$A$4:$E$7,4,0)+L2589*VLOOKUP($B2589,Premissas!$A$4:$E$7,5,0))</f>
        <v/>
      </c>
      <c r="N2589" s="14">
        <f>H2589-M2589</f>
        <v/>
      </c>
      <c r="O2589" t="inlineStr">
        <is>
          <t>Sim</t>
        </is>
      </c>
      <c r="P2589" t="inlineStr">
        <is>
          <t>1.350</t>
        </is>
      </c>
    </row>
    <row r="2590">
      <c r="A2590" s="24" t="n">
        <v>46082</v>
      </c>
      <c r="B2590" t="inlineStr">
        <is>
          <t>Frete de venda</t>
        </is>
      </c>
      <c r="C2590" t="inlineStr">
        <is>
          <t>Frete de venda (para clientes)</t>
        </is>
      </c>
      <c r="D2590" t="inlineStr">
        <is>
          <t>CT-e</t>
        </is>
      </c>
      <c r="E2590" t="inlineStr">
        <is>
          <t>000006581</t>
        </is>
      </c>
      <c r="F2590" t="inlineStr">
        <is>
          <t>R&amp;R TRANSPORTE E LOGISTICA</t>
        </is>
      </c>
      <c r="G2590" s="27" t="n">
        <v>46097</v>
      </c>
      <c r="H2590" s="14" t="n">
        <v>147.63</v>
      </c>
      <c r="I2590" s="14" t="n">
        <v>0</v>
      </c>
      <c r="J2590" s="14" t="n">
        <v>0</v>
      </c>
      <c r="K2590" s="14" t="n">
        <v>0</v>
      </c>
      <c r="L2590" s="14" t="n">
        <v>0</v>
      </c>
      <c r="M2590" s="14">
        <f>IF(B2590="Frete de venda",0,(1-ISNUMBER(SEARCH("556",P2590)))*(I2590*VLOOKUP($B2590,Premissas!$A$4:$E$7,2,0)+J2590*VLOOKUP($B2590,Premissas!$A$4:$E$7,3,0))+K2590*VLOOKUP($B2590,Premissas!$A$4:$E$7,4,0)+L2590*VLOOKUP($B2590,Premissas!$A$4:$E$7,5,0))</f>
        <v/>
      </c>
      <c r="N2590" s="14">
        <f>H2590-M2590</f>
        <v/>
      </c>
      <c r="O2590" t="inlineStr">
        <is>
          <t>Não</t>
        </is>
      </c>
      <c r="P2590" t="inlineStr">
        <is>
          <t>1.350</t>
        </is>
      </c>
    </row>
    <row r="2591">
      <c r="A2591" s="24" t="n">
        <v>46082</v>
      </c>
      <c r="B2591" t="inlineStr">
        <is>
          <t>Frete de venda</t>
        </is>
      </c>
      <c r="C2591" t="inlineStr">
        <is>
          <t>Frete de venda (para clientes)</t>
        </is>
      </c>
      <c r="D2591" t="inlineStr">
        <is>
          <t>CT-e</t>
        </is>
      </c>
      <c r="E2591" t="inlineStr">
        <is>
          <t>001419971</t>
        </is>
      </c>
      <c r="F2591" t="inlineStr">
        <is>
          <t>PICCOLI TRANSPORTES LTDA</t>
        </is>
      </c>
      <c r="G2591" s="27" t="n">
        <v>46101</v>
      </c>
      <c r="H2591" s="14" t="n">
        <v>0.1</v>
      </c>
      <c r="I2591" s="14" t="n">
        <v>0</v>
      </c>
      <c r="J2591" s="14" t="n">
        <v>0.01</v>
      </c>
      <c r="K2591" s="14" t="n">
        <v>0</v>
      </c>
      <c r="L2591" s="14" t="n">
        <v>0</v>
      </c>
      <c r="M2591" s="14">
        <f>IF(B2591="Frete de venda",0,(1-ISNUMBER(SEARCH("556",P2591)))*(I2591*VLOOKUP($B2591,Premissas!$A$4:$E$7,2,0)+J2591*VLOOKUP($B2591,Premissas!$A$4:$E$7,3,0))+K2591*VLOOKUP($B2591,Premissas!$A$4:$E$7,4,0)+L2591*VLOOKUP($B2591,Premissas!$A$4:$E$7,5,0))</f>
        <v/>
      </c>
      <c r="N2591" s="14">
        <f>H2591-M2591</f>
        <v/>
      </c>
      <c r="O2591" t="inlineStr">
        <is>
          <t>Não</t>
        </is>
      </c>
      <c r="P2591" t="inlineStr">
        <is>
          <t>2.350</t>
        </is>
      </c>
    </row>
    <row r="2592">
      <c r="A2592" s="24" t="n">
        <v>46082</v>
      </c>
      <c r="B2592" t="inlineStr">
        <is>
          <t>Frete de venda</t>
        </is>
      </c>
      <c r="C2592" t="inlineStr">
        <is>
          <t>Frete de venda (para clientes)</t>
        </is>
      </c>
      <c r="D2592" t="inlineStr">
        <is>
          <t>CT-e</t>
        </is>
      </c>
      <c r="E2592" t="inlineStr">
        <is>
          <t>001420414</t>
        </is>
      </c>
      <c r="F2592" t="inlineStr">
        <is>
          <t>PICCOLI TRANSPORTES LTDA</t>
        </is>
      </c>
      <c r="G2592" s="27" t="n">
        <v>46105</v>
      </c>
      <c r="H2592" s="14" t="n">
        <v>5462.65</v>
      </c>
      <c r="I2592" s="14" t="n">
        <v>0</v>
      </c>
      <c r="J2592" s="14" t="n">
        <v>382.39</v>
      </c>
      <c r="K2592" s="14" t="n">
        <v>0</v>
      </c>
      <c r="L2592" s="14" t="n">
        <v>0</v>
      </c>
      <c r="M2592" s="14">
        <f>IF(B2592="Frete de venda",0,(1-ISNUMBER(SEARCH("556",P2592)))*(I2592*VLOOKUP($B2592,Premissas!$A$4:$E$7,2,0)+J2592*VLOOKUP($B2592,Premissas!$A$4:$E$7,3,0))+K2592*VLOOKUP($B2592,Premissas!$A$4:$E$7,4,0)+L2592*VLOOKUP($B2592,Premissas!$A$4:$E$7,5,0))</f>
        <v/>
      </c>
      <c r="N2592" s="14">
        <f>H2592-M2592</f>
        <v/>
      </c>
      <c r="O2592" t="inlineStr">
        <is>
          <t>Sim</t>
        </is>
      </c>
      <c r="P2592" t="inlineStr">
        <is>
          <t>1.350</t>
        </is>
      </c>
    </row>
    <row r="2593">
      <c r="A2593" s="24" t="n">
        <v>46082</v>
      </c>
      <c r="B2593" t="inlineStr">
        <is>
          <t>Frete de venda</t>
        </is>
      </c>
      <c r="C2593" t="inlineStr">
        <is>
          <t>Frete de venda (para clientes)</t>
        </is>
      </c>
      <c r="D2593" t="inlineStr">
        <is>
          <t>CT-e</t>
        </is>
      </c>
      <c r="E2593" t="inlineStr">
        <is>
          <t>000006514</t>
        </is>
      </c>
      <c r="F2593" t="inlineStr">
        <is>
          <t>R&amp;R TRANSPORTE E LOGISTICA</t>
        </is>
      </c>
      <c r="G2593" s="27" t="n">
        <v>46085</v>
      </c>
      <c r="H2593" s="14" t="n">
        <v>20</v>
      </c>
      <c r="I2593" s="14" t="n">
        <v>0</v>
      </c>
      <c r="J2593" s="14" t="n">
        <v>0</v>
      </c>
      <c r="K2593" s="14" t="n">
        <v>0</v>
      </c>
      <c r="L2593" s="14" t="n">
        <v>0</v>
      </c>
      <c r="M2593" s="14">
        <f>IF(B2593="Frete de venda",0,(1-ISNUMBER(SEARCH("556",P2593)))*(I2593*VLOOKUP($B2593,Premissas!$A$4:$E$7,2,0)+J2593*VLOOKUP($B2593,Premissas!$A$4:$E$7,3,0))+K2593*VLOOKUP($B2593,Premissas!$A$4:$E$7,4,0)+L2593*VLOOKUP($B2593,Premissas!$A$4:$E$7,5,0))</f>
        <v/>
      </c>
      <c r="N2593" s="14">
        <f>H2593-M2593</f>
        <v/>
      </c>
      <c r="O2593" t="inlineStr">
        <is>
          <t>Não</t>
        </is>
      </c>
      <c r="P2593" t="inlineStr">
        <is>
          <t>1.350</t>
        </is>
      </c>
    </row>
    <row r="2594">
      <c r="A2594" s="24" t="n">
        <v>46082</v>
      </c>
      <c r="B2594" t="inlineStr">
        <is>
          <t>Frete de venda</t>
        </is>
      </c>
      <c r="C2594" t="inlineStr">
        <is>
          <t>Frete de venda (para clientes)</t>
        </is>
      </c>
      <c r="D2594" t="inlineStr">
        <is>
          <t>CT-e</t>
        </is>
      </c>
      <c r="E2594" t="inlineStr">
        <is>
          <t>000000637</t>
        </is>
      </c>
      <c r="F2594" t="inlineStr">
        <is>
          <t>REIMAG - REINALDO DOMINGUES BARROS DA SILVA</t>
        </is>
      </c>
      <c r="G2594" s="27" t="n">
        <v>46097</v>
      </c>
      <c r="H2594" s="14" t="n">
        <v>733.33</v>
      </c>
      <c r="I2594" s="14" t="n">
        <v>0</v>
      </c>
      <c r="J2594" s="14" t="n">
        <v>0</v>
      </c>
      <c r="K2594" s="14" t="n">
        <v>0</v>
      </c>
      <c r="L2594" s="14" t="n">
        <v>0</v>
      </c>
      <c r="M2594" s="14">
        <f>IF(B2594="Frete de venda",0,(1-ISNUMBER(SEARCH("556",P2594)))*(I2594*VLOOKUP($B2594,Premissas!$A$4:$E$7,2,0)+J2594*VLOOKUP($B2594,Premissas!$A$4:$E$7,3,0))+K2594*VLOOKUP($B2594,Premissas!$A$4:$E$7,4,0)+L2594*VLOOKUP($B2594,Premissas!$A$4:$E$7,5,0))</f>
        <v/>
      </c>
      <c r="N2594" s="14">
        <f>H2594-M2594</f>
        <v/>
      </c>
      <c r="O2594" t="inlineStr">
        <is>
          <t>Sim</t>
        </is>
      </c>
      <c r="P2594" t="inlineStr">
        <is>
          <t>1.350</t>
        </is>
      </c>
    </row>
    <row r="2595">
      <c r="A2595" s="24" t="n">
        <v>46082</v>
      </c>
      <c r="B2595" t="inlineStr">
        <is>
          <t>Frete de venda</t>
        </is>
      </c>
      <c r="C2595" t="inlineStr">
        <is>
          <t>Frete de venda (para clientes)</t>
        </is>
      </c>
      <c r="D2595" t="inlineStr">
        <is>
          <t>CT-e</t>
        </is>
      </c>
      <c r="E2595" t="inlineStr">
        <is>
          <t>000006572</t>
        </is>
      </c>
      <c r="F2595" t="inlineStr">
        <is>
          <t>R&amp;R TRANSPORTE E LOGISTICA</t>
        </is>
      </c>
      <c r="G2595" s="27" t="n">
        <v>46095</v>
      </c>
      <c r="H2595" s="14" t="n">
        <v>127.26</v>
      </c>
      <c r="I2595" s="14" t="n">
        <v>0</v>
      </c>
      <c r="J2595" s="14" t="n">
        <v>0</v>
      </c>
      <c r="K2595" s="14" t="n">
        <v>0</v>
      </c>
      <c r="L2595" s="14" t="n">
        <v>0</v>
      </c>
      <c r="M2595" s="14">
        <f>IF(B2595="Frete de venda",0,(1-ISNUMBER(SEARCH("556",P2595)))*(I2595*VLOOKUP($B2595,Premissas!$A$4:$E$7,2,0)+J2595*VLOOKUP($B2595,Premissas!$A$4:$E$7,3,0))+K2595*VLOOKUP($B2595,Premissas!$A$4:$E$7,4,0)+L2595*VLOOKUP($B2595,Premissas!$A$4:$E$7,5,0))</f>
        <v/>
      </c>
      <c r="N2595" s="14">
        <f>H2595-M2595</f>
        <v/>
      </c>
      <c r="O2595" t="inlineStr">
        <is>
          <t>Não</t>
        </is>
      </c>
      <c r="P2595" t="inlineStr">
        <is>
          <t>1.350</t>
        </is>
      </c>
    </row>
    <row r="2596">
      <c r="A2596" s="24" t="n">
        <v>46082</v>
      </c>
      <c r="B2596" t="inlineStr">
        <is>
          <t>Frete de venda</t>
        </is>
      </c>
      <c r="C2596" t="inlineStr">
        <is>
          <t>Frete de venda (para clientes)</t>
        </is>
      </c>
      <c r="D2596" t="inlineStr">
        <is>
          <t>CT-e</t>
        </is>
      </c>
      <c r="E2596" t="inlineStr">
        <is>
          <t>000006584</t>
        </is>
      </c>
      <c r="F2596" t="inlineStr">
        <is>
          <t>R&amp;R TRANSPORTE E LOGISTICA</t>
        </is>
      </c>
      <c r="G2596" s="27" t="n">
        <v>46097</v>
      </c>
      <c r="H2596" s="14" t="n">
        <v>109.19</v>
      </c>
      <c r="I2596" s="14" t="n">
        <v>0</v>
      </c>
      <c r="J2596" s="14" t="n">
        <v>0</v>
      </c>
      <c r="K2596" s="14" t="n">
        <v>0</v>
      </c>
      <c r="L2596" s="14" t="n">
        <v>0</v>
      </c>
      <c r="M2596" s="14">
        <f>IF(B2596="Frete de venda",0,(1-ISNUMBER(SEARCH("556",P2596)))*(I2596*VLOOKUP($B2596,Premissas!$A$4:$E$7,2,0)+J2596*VLOOKUP($B2596,Premissas!$A$4:$E$7,3,0))+K2596*VLOOKUP($B2596,Premissas!$A$4:$E$7,4,0)+L2596*VLOOKUP($B2596,Premissas!$A$4:$E$7,5,0))</f>
        <v/>
      </c>
      <c r="N2596" s="14">
        <f>H2596-M2596</f>
        <v/>
      </c>
      <c r="O2596" t="inlineStr">
        <is>
          <t>Não</t>
        </is>
      </c>
      <c r="P2596" t="inlineStr">
        <is>
          <t>1.350</t>
        </is>
      </c>
    </row>
    <row r="2597">
      <c r="A2597" s="24" t="n">
        <v>46082</v>
      </c>
      <c r="B2597" t="inlineStr">
        <is>
          <t>Frete de venda</t>
        </is>
      </c>
      <c r="C2597" t="inlineStr">
        <is>
          <t>Frete de venda (para clientes)</t>
        </is>
      </c>
      <c r="D2597" t="inlineStr">
        <is>
          <t>CT-e</t>
        </is>
      </c>
      <c r="E2597" t="inlineStr">
        <is>
          <t>001421633</t>
        </is>
      </c>
      <c r="F2597" t="inlineStr">
        <is>
          <t>PICCOLI TRANSPORTES LTDA</t>
        </is>
      </c>
      <c r="G2597" s="27" t="n">
        <v>46107</v>
      </c>
      <c r="H2597" s="14" t="n">
        <v>3181.81</v>
      </c>
      <c r="I2597" s="14" t="n">
        <v>0</v>
      </c>
      <c r="J2597" s="14" t="n">
        <v>222.73</v>
      </c>
      <c r="K2597" s="14" t="n">
        <v>0</v>
      </c>
      <c r="L2597" s="14" t="n">
        <v>0</v>
      </c>
      <c r="M2597" s="14">
        <f>IF(B2597="Frete de venda",0,(1-ISNUMBER(SEARCH("556",P2597)))*(I2597*VLOOKUP($B2597,Premissas!$A$4:$E$7,2,0)+J2597*VLOOKUP($B2597,Premissas!$A$4:$E$7,3,0))+K2597*VLOOKUP($B2597,Premissas!$A$4:$E$7,4,0)+L2597*VLOOKUP($B2597,Premissas!$A$4:$E$7,5,0))</f>
        <v/>
      </c>
      <c r="N2597" s="14">
        <f>H2597-M2597</f>
        <v/>
      </c>
      <c r="O2597" t="inlineStr">
        <is>
          <t>Sim</t>
        </is>
      </c>
      <c r="P2597" t="inlineStr">
        <is>
          <t>1.350</t>
        </is>
      </c>
    </row>
    <row r="2598">
      <c r="A2598" s="24" t="n">
        <v>46082</v>
      </c>
      <c r="B2598" t="inlineStr">
        <is>
          <t>Frete de venda</t>
        </is>
      </c>
      <c r="C2598" t="inlineStr">
        <is>
          <t>Frete de venda (para clientes)</t>
        </is>
      </c>
      <c r="D2598" t="inlineStr">
        <is>
          <t>CT-e</t>
        </is>
      </c>
      <c r="E2598" t="inlineStr">
        <is>
          <t>000006487</t>
        </is>
      </c>
      <c r="F2598" t="inlineStr">
        <is>
          <t>R&amp;R TRANSPORTE E LOGISTICA</t>
        </is>
      </c>
      <c r="G2598" s="27" t="n">
        <v>46084</v>
      </c>
      <c r="H2598" s="14" t="n">
        <v>24.9</v>
      </c>
      <c r="I2598" s="14" t="n">
        <v>0</v>
      </c>
      <c r="J2598" s="14" t="n">
        <v>0</v>
      </c>
      <c r="K2598" s="14" t="n">
        <v>0</v>
      </c>
      <c r="L2598" s="14" t="n">
        <v>0</v>
      </c>
      <c r="M2598" s="14">
        <f>IF(B2598="Frete de venda",0,(1-ISNUMBER(SEARCH("556",P2598)))*(I2598*VLOOKUP($B2598,Premissas!$A$4:$E$7,2,0)+J2598*VLOOKUP($B2598,Premissas!$A$4:$E$7,3,0))+K2598*VLOOKUP($B2598,Premissas!$A$4:$E$7,4,0)+L2598*VLOOKUP($B2598,Premissas!$A$4:$E$7,5,0))</f>
        <v/>
      </c>
      <c r="N2598" s="14">
        <f>H2598-M2598</f>
        <v/>
      </c>
      <c r="O2598" t="inlineStr">
        <is>
          <t>Não</t>
        </is>
      </c>
      <c r="P2598" t="inlineStr">
        <is>
          <t>1.350</t>
        </is>
      </c>
    </row>
    <row r="2599">
      <c r="A2599" s="24" t="n">
        <v>46082</v>
      </c>
      <c r="B2599" t="inlineStr">
        <is>
          <t>Frete de venda</t>
        </is>
      </c>
      <c r="C2599" t="inlineStr">
        <is>
          <t>Frete de venda (para clientes)</t>
        </is>
      </c>
      <c r="D2599" t="inlineStr">
        <is>
          <t>CT-e</t>
        </is>
      </c>
      <c r="E2599" t="inlineStr">
        <is>
          <t>000006470</t>
        </is>
      </c>
      <c r="F2599" t="inlineStr">
        <is>
          <t>R&amp;R TRANSPORTE E LOGISTICA</t>
        </is>
      </c>
      <c r="G2599" s="27" t="n">
        <v>46083</v>
      </c>
      <c r="H2599" s="14" t="n">
        <v>35.86</v>
      </c>
      <c r="I2599" s="14" t="n">
        <v>0</v>
      </c>
      <c r="J2599" s="14" t="n">
        <v>0</v>
      </c>
      <c r="K2599" s="14" t="n">
        <v>0</v>
      </c>
      <c r="L2599" s="14" t="n">
        <v>0</v>
      </c>
      <c r="M2599" s="14">
        <f>IF(B2599="Frete de venda",0,(1-ISNUMBER(SEARCH("556",P2599)))*(I2599*VLOOKUP($B2599,Premissas!$A$4:$E$7,2,0)+J2599*VLOOKUP($B2599,Premissas!$A$4:$E$7,3,0))+K2599*VLOOKUP($B2599,Premissas!$A$4:$E$7,4,0)+L2599*VLOOKUP($B2599,Premissas!$A$4:$E$7,5,0))</f>
        <v/>
      </c>
      <c r="N2599" s="14">
        <f>H2599-M2599</f>
        <v/>
      </c>
      <c r="O2599" t="inlineStr">
        <is>
          <t>Não</t>
        </is>
      </c>
      <c r="P2599" t="inlineStr">
        <is>
          <t>1.350</t>
        </is>
      </c>
    </row>
    <row r="2600">
      <c r="A2600" s="24" t="n">
        <v>46082</v>
      </c>
      <c r="B2600" t="inlineStr">
        <is>
          <t>Frete de venda</t>
        </is>
      </c>
      <c r="C2600" t="inlineStr">
        <is>
          <t>Frete de venda (para clientes)</t>
        </is>
      </c>
      <c r="D2600" t="inlineStr">
        <is>
          <t>CT-e</t>
        </is>
      </c>
      <c r="E2600" t="inlineStr">
        <is>
          <t>000006469</t>
        </is>
      </c>
      <c r="F2600" t="inlineStr">
        <is>
          <t>R&amp;R TRANSPORTE E LOGISTICA</t>
        </is>
      </c>
      <c r="G2600" s="27" t="n">
        <v>46083</v>
      </c>
      <c r="H2600" s="14" t="n">
        <v>73.88</v>
      </c>
      <c r="I2600" s="14" t="n">
        <v>0</v>
      </c>
      <c r="J2600" s="14" t="n">
        <v>0</v>
      </c>
      <c r="K2600" s="14" t="n">
        <v>0</v>
      </c>
      <c r="L2600" s="14" t="n">
        <v>0</v>
      </c>
      <c r="M2600" s="14">
        <f>IF(B2600="Frete de venda",0,(1-ISNUMBER(SEARCH("556",P2600)))*(I2600*VLOOKUP($B2600,Premissas!$A$4:$E$7,2,0)+J2600*VLOOKUP($B2600,Premissas!$A$4:$E$7,3,0))+K2600*VLOOKUP($B2600,Premissas!$A$4:$E$7,4,0)+L2600*VLOOKUP($B2600,Premissas!$A$4:$E$7,5,0))</f>
        <v/>
      </c>
      <c r="N2600" s="14">
        <f>H2600-M2600</f>
        <v/>
      </c>
      <c r="O2600" t="inlineStr">
        <is>
          <t>Não</t>
        </is>
      </c>
      <c r="P2600" t="inlineStr">
        <is>
          <t>1.350</t>
        </is>
      </c>
    </row>
    <row r="2601">
      <c r="A2601" s="24" t="n">
        <v>46082</v>
      </c>
      <c r="B2601" t="inlineStr">
        <is>
          <t>Frete de venda</t>
        </is>
      </c>
      <c r="C2601" t="inlineStr">
        <is>
          <t>Frete de venda (para clientes)</t>
        </is>
      </c>
      <c r="D2601" t="inlineStr">
        <is>
          <t>CT-e</t>
        </is>
      </c>
      <c r="E2601" t="inlineStr">
        <is>
          <t>000006479</t>
        </is>
      </c>
      <c r="F2601" t="inlineStr">
        <is>
          <t>R&amp;R TRANSPORTE E LOGISTICA</t>
        </is>
      </c>
      <c r="G2601" s="27" t="n">
        <v>46083</v>
      </c>
      <c r="H2601" s="14" t="n">
        <v>56.28</v>
      </c>
      <c r="I2601" s="14" t="n">
        <v>0</v>
      </c>
      <c r="J2601" s="14" t="n">
        <v>0</v>
      </c>
      <c r="K2601" s="14" t="n">
        <v>0</v>
      </c>
      <c r="L2601" s="14" t="n">
        <v>0</v>
      </c>
      <c r="M2601" s="14">
        <f>IF(B2601="Frete de venda",0,(1-ISNUMBER(SEARCH("556",P2601)))*(I2601*VLOOKUP($B2601,Premissas!$A$4:$E$7,2,0)+J2601*VLOOKUP($B2601,Premissas!$A$4:$E$7,3,0))+K2601*VLOOKUP($B2601,Premissas!$A$4:$E$7,4,0)+L2601*VLOOKUP($B2601,Premissas!$A$4:$E$7,5,0))</f>
        <v/>
      </c>
      <c r="N2601" s="14">
        <f>H2601-M2601</f>
        <v/>
      </c>
      <c r="O2601" t="inlineStr">
        <is>
          <t>Não</t>
        </is>
      </c>
      <c r="P2601" t="inlineStr">
        <is>
          <t>1.350</t>
        </is>
      </c>
    </row>
    <row r="2602">
      <c r="A2602" s="24" t="n">
        <v>46082</v>
      </c>
      <c r="B2602" t="inlineStr">
        <is>
          <t>Frete de venda</t>
        </is>
      </c>
      <c r="C2602" t="inlineStr">
        <is>
          <t>Frete de venda (para clientes)</t>
        </is>
      </c>
      <c r="D2602" t="inlineStr">
        <is>
          <t>CT-e</t>
        </is>
      </c>
      <c r="E2602" t="inlineStr">
        <is>
          <t>000006478</t>
        </is>
      </c>
      <c r="F2602" t="inlineStr">
        <is>
          <t>R&amp;R TRANSPORTE E LOGISTICA</t>
        </is>
      </c>
      <c r="G2602" s="27" t="n">
        <v>46083</v>
      </c>
      <c r="H2602" s="14" t="n">
        <v>39.1</v>
      </c>
      <c r="I2602" s="14" t="n">
        <v>0</v>
      </c>
      <c r="J2602" s="14" t="n">
        <v>0</v>
      </c>
      <c r="K2602" s="14" t="n">
        <v>0</v>
      </c>
      <c r="L2602" s="14" t="n">
        <v>0</v>
      </c>
      <c r="M2602" s="14">
        <f>IF(B2602="Frete de venda",0,(1-ISNUMBER(SEARCH("556",P2602)))*(I2602*VLOOKUP($B2602,Premissas!$A$4:$E$7,2,0)+J2602*VLOOKUP($B2602,Premissas!$A$4:$E$7,3,0))+K2602*VLOOKUP($B2602,Premissas!$A$4:$E$7,4,0)+L2602*VLOOKUP($B2602,Premissas!$A$4:$E$7,5,0))</f>
        <v/>
      </c>
      <c r="N2602" s="14">
        <f>H2602-M2602</f>
        <v/>
      </c>
      <c r="O2602" t="inlineStr">
        <is>
          <t>Não</t>
        </is>
      </c>
      <c r="P2602" t="inlineStr">
        <is>
          <t>1.350</t>
        </is>
      </c>
    </row>
    <row r="2603">
      <c r="A2603" s="24" t="n">
        <v>46082</v>
      </c>
      <c r="B2603" t="inlineStr">
        <is>
          <t>Frete de venda</t>
        </is>
      </c>
      <c r="C2603" t="inlineStr">
        <is>
          <t>Frete de venda (para clientes)</t>
        </is>
      </c>
      <c r="D2603" t="inlineStr">
        <is>
          <t>CT-e</t>
        </is>
      </c>
      <c r="E2603" t="inlineStr">
        <is>
          <t>000006529</t>
        </is>
      </c>
      <c r="F2603" t="inlineStr">
        <is>
          <t>R&amp;R TRANSPORTE E LOGISTICA</t>
        </is>
      </c>
      <c r="G2603" s="27" t="n">
        <v>46087</v>
      </c>
      <c r="H2603" s="14" t="n">
        <v>53.91</v>
      </c>
      <c r="I2603" s="14" t="n">
        <v>0</v>
      </c>
      <c r="J2603" s="14" t="n">
        <v>0</v>
      </c>
      <c r="K2603" s="14" t="n">
        <v>0</v>
      </c>
      <c r="L2603" s="14" t="n">
        <v>0</v>
      </c>
      <c r="M2603" s="14">
        <f>IF(B2603="Frete de venda",0,(1-ISNUMBER(SEARCH("556",P2603)))*(I2603*VLOOKUP($B2603,Premissas!$A$4:$E$7,2,0)+J2603*VLOOKUP($B2603,Premissas!$A$4:$E$7,3,0))+K2603*VLOOKUP($B2603,Premissas!$A$4:$E$7,4,0)+L2603*VLOOKUP($B2603,Premissas!$A$4:$E$7,5,0))</f>
        <v/>
      </c>
      <c r="N2603" s="14">
        <f>H2603-M2603</f>
        <v/>
      </c>
      <c r="O2603" t="inlineStr">
        <is>
          <t>Não</t>
        </is>
      </c>
      <c r="P2603" t="inlineStr">
        <is>
          <t>1.350</t>
        </is>
      </c>
    </row>
    <row r="2604">
      <c r="A2604" s="24" t="n">
        <v>46082</v>
      </c>
      <c r="B2604" t="inlineStr">
        <is>
          <t>Frete de venda</t>
        </is>
      </c>
      <c r="C2604" t="inlineStr">
        <is>
          <t>Frete de venda (para clientes)</t>
        </is>
      </c>
      <c r="D2604" t="inlineStr">
        <is>
          <t>CT-e</t>
        </is>
      </c>
      <c r="E2604" t="inlineStr">
        <is>
          <t>000006523</t>
        </is>
      </c>
      <c r="F2604" t="inlineStr">
        <is>
          <t>R&amp;R TRANSPORTE E LOGISTICA</t>
        </is>
      </c>
      <c r="G2604" s="27" t="n">
        <v>46087</v>
      </c>
      <c r="H2604" s="14" t="n">
        <v>35.93</v>
      </c>
      <c r="I2604" s="14" t="n">
        <v>0</v>
      </c>
      <c r="J2604" s="14" t="n">
        <v>0</v>
      </c>
      <c r="K2604" s="14" t="n">
        <v>0</v>
      </c>
      <c r="L2604" s="14" t="n">
        <v>0</v>
      </c>
      <c r="M2604" s="14">
        <f>IF(B2604="Frete de venda",0,(1-ISNUMBER(SEARCH("556",P2604)))*(I2604*VLOOKUP($B2604,Premissas!$A$4:$E$7,2,0)+J2604*VLOOKUP($B2604,Premissas!$A$4:$E$7,3,0))+K2604*VLOOKUP($B2604,Premissas!$A$4:$E$7,4,0)+L2604*VLOOKUP($B2604,Premissas!$A$4:$E$7,5,0))</f>
        <v/>
      </c>
      <c r="N2604" s="14">
        <f>H2604-M2604</f>
        <v/>
      </c>
      <c r="O2604" t="inlineStr">
        <is>
          <t>Não</t>
        </is>
      </c>
      <c r="P2604" t="inlineStr">
        <is>
          <t>1.350</t>
        </is>
      </c>
    </row>
    <row r="2605">
      <c r="A2605" s="24" t="n">
        <v>46082</v>
      </c>
      <c r="B2605" t="inlineStr">
        <is>
          <t>Frete de venda</t>
        </is>
      </c>
      <c r="C2605" t="inlineStr">
        <is>
          <t>Frete de venda (para clientes)</t>
        </is>
      </c>
      <c r="D2605" t="inlineStr">
        <is>
          <t>CT-e</t>
        </is>
      </c>
      <c r="E2605" t="inlineStr">
        <is>
          <t>000006694</t>
        </is>
      </c>
      <c r="F2605" t="inlineStr">
        <is>
          <t>R&amp;R TRANSPORTE E LOGISTICA</t>
        </is>
      </c>
      <c r="G2605" s="27" t="n">
        <v>46109</v>
      </c>
      <c r="H2605" s="14" t="n">
        <v>75.19</v>
      </c>
      <c r="I2605" s="14" t="n">
        <v>0</v>
      </c>
      <c r="J2605" s="14" t="n">
        <v>0</v>
      </c>
      <c r="K2605" s="14" t="n">
        <v>0</v>
      </c>
      <c r="L2605" s="14" t="n">
        <v>0</v>
      </c>
      <c r="M2605" s="14">
        <f>IF(B2605="Frete de venda",0,(1-ISNUMBER(SEARCH("556",P2605)))*(I2605*VLOOKUP($B2605,Premissas!$A$4:$E$7,2,0)+J2605*VLOOKUP($B2605,Premissas!$A$4:$E$7,3,0))+K2605*VLOOKUP($B2605,Premissas!$A$4:$E$7,4,0)+L2605*VLOOKUP($B2605,Premissas!$A$4:$E$7,5,0))</f>
        <v/>
      </c>
      <c r="N2605" s="14">
        <f>H2605-M2605</f>
        <v/>
      </c>
      <c r="O2605" t="inlineStr">
        <is>
          <t>Não</t>
        </is>
      </c>
      <c r="P2605" t="inlineStr">
        <is>
          <t>1.350</t>
        </is>
      </c>
    </row>
    <row r="2606">
      <c r="A2606" s="24" t="n">
        <v>46082</v>
      </c>
      <c r="B2606" t="inlineStr">
        <is>
          <t>Frete de venda</t>
        </is>
      </c>
      <c r="C2606" t="inlineStr">
        <is>
          <t>Frete de venda (para clientes)</t>
        </is>
      </c>
      <c r="D2606" t="inlineStr">
        <is>
          <t>CT-e</t>
        </is>
      </c>
      <c r="E2606" t="inlineStr">
        <is>
          <t>000006629</t>
        </is>
      </c>
      <c r="F2606" t="inlineStr">
        <is>
          <t>R&amp;R TRANSPORTE E LOGISTICA</t>
        </is>
      </c>
      <c r="G2606" s="27" t="n">
        <v>46100</v>
      </c>
      <c r="H2606" s="14" t="n">
        <v>20.9</v>
      </c>
      <c r="I2606" s="14" t="n">
        <v>0</v>
      </c>
      <c r="J2606" s="14" t="n">
        <v>0</v>
      </c>
      <c r="K2606" s="14" t="n">
        <v>0</v>
      </c>
      <c r="L2606" s="14" t="n">
        <v>0</v>
      </c>
      <c r="M2606" s="14">
        <f>IF(B2606="Frete de venda",0,(1-ISNUMBER(SEARCH("556",P2606)))*(I2606*VLOOKUP($B2606,Premissas!$A$4:$E$7,2,0)+J2606*VLOOKUP($B2606,Premissas!$A$4:$E$7,3,0))+K2606*VLOOKUP($B2606,Premissas!$A$4:$E$7,4,0)+L2606*VLOOKUP($B2606,Premissas!$A$4:$E$7,5,0))</f>
        <v/>
      </c>
      <c r="N2606" s="14">
        <f>H2606-M2606</f>
        <v/>
      </c>
      <c r="O2606" t="inlineStr">
        <is>
          <t>Não</t>
        </is>
      </c>
      <c r="P2606" t="inlineStr">
        <is>
          <t>1.350</t>
        </is>
      </c>
    </row>
    <row r="2607">
      <c r="A2607" s="24" t="n">
        <v>46082</v>
      </c>
      <c r="B2607" t="inlineStr">
        <is>
          <t>Frete de venda</t>
        </is>
      </c>
      <c r="C2607" t="inlineStr">
        <is>
          <t>Frete de venda (para clientes)</t>
        </is>
      </c>
      <c r="D2607" t="inlineStr">
        <is>
          <t>CT-e</t>
        </is>
      </c>
      <c r="E2607" t="inlineStr">
        <is>
          <t>000006592</t>
        </is>
      </c>
      <c r="F2607" t="inlineStr">
        <is>
          <t>R&amp;R TRANSPORTE E LOGISTICA</t>
        </is>
      </c>
      <c r="G2607" s="27" t="n">
        <v>46097</v>
      </c>
      <c r="H2607" s="14" t="n">
        <v>22.55</v>
      </c>
      <c r="I2607" s="14" t="n">
        <v>0</v>
      </c>
      <c r="J2607" s="14" t="n">
        <v>0</v>
      </c>
      <c r="K2607" s="14" t="n">
        <v>0</v>
      </c>
      <c r="L2607" s="14" t="n">
        <v>0</v>
      </c>
      <c r="M2607" s="14">
        <f>IF(B2607="Frete de venda",0,(1-ISNUMBER(SEARCH("556",P2607)))*(I2607*VLOOKUP($B2607,Premissas!$A$4:$E$7,2,0)+J2607*VLOOKUP($B2607,Premissas!$A$4:$E$7,3,0))+K2607*VLOOKUP($B2607,Premissas!$A$4:$E$7,4,0)+L2607*VLOOKUP($B2607,Premissas!$A$4:$E$7,5,0))</f>
        <v/>
      </c>
      <c r="N2607" s="14">
        <f>H2607-M2607</f>
        <v/>
      </c>
      <c r="O2607" t="inlineStr">
        <is>
          <t>Não</t>
        </is>
      </c>
      <c r="P2607" t="inlineStr">
        <is>
          <t>1.350</t>
        </is>
      </c>
    </row>
    <row r="2608">
      <c r="A2608" s="24" t="n">
        <v>46082</v>
      </c>
      <c r="B2608" t="inlineStr">
        <is>
          <t>Frete de venda</t>
        </is>
      </c>
      <c r="C2608" t="inlineStr">
        <is>
          <t>Frete de venda (para clientes)</t>
        </is>
      </c>
      <c r="D2608" t="inlineStr">
        <is>
          <t>CT-e</t>
        </is>
      </c>
      <c r="E2608" t="inlineStr">
        <is>
          <t>000006666</t>
        </is>
      </c>
      <c r="F2608" t="inlineStr">
        <is>
          <t>R&amp;R TRANSPORTE E LOGISTICA</t>
        </is>
      </c>
      <c r="G2608" s="27" t="n">
        <v>46105</v>
      </c>
      <c r="H2608" s="14" t="n">
        <v>30.43</v>
      </c>
      <c r="I2608" s="14" t="n">
        <v>0</v>
      </c>
      <c r="J2608" s="14" t="n">
        <v>0</v>
      </c>
      <c r="K2608" s="14" t="n">
        <v>0</v>
      </c>
      <c r="L2608" s="14" t="n">
        <v>0</v>
      </c>
      <c r="M2608" s="14">
        <f>IF(B2608="Frete de venda",0,(1-ISNUMBER(SEARCH("556",P2608)))*(I2608*VLOOKUP($B2608,Premissas!$A$4:$E$7,2,0)+J2608*VLOOKUP($B2608,Premissas!$A$4:$E$7,3,0))+K2608*VLOOKUP($B2608,Premissas!$A$4:$E$7,4,0)+L2608*VLOOKUP($B2608,Premissas!$A$4:$E$7,5,0))</f>
        <v/>
      </c>
      <c r="N2608" s="14">
        <f>H2608-M2608</f>
        <v/>
      </c>
      <c r="O2608" t="inlineStr">
        <is>
          <t>Não</t>
        </is>
      </c>
      <c r="P2608" t="inlineStr">
        <is>
          <t>1.350</t>
        </is>
      </c>
    </row>
    <row r="2609">
      <c r="A2609" s="24" t="n">
        <v>46082</v>
      </c>
      <c r="B2609" t="inlineStr">
        <is>
          <t>Frete de venda</t>
        </is>
      </c>
      <c r="C2609" t="inlineStr">
        <is>
          <t>Frete de venda (para clientes)</t>
        </is>
      </c>
      <c r="D2609" t="inlineStr">
        <is>
          <t>CT-e</t>
        </is>
      </c>
      <c r="E2609" t="inlineStr">
        <is>
          <t>000000631</t>
        </is>
      </c>
      <c r="F2609" t="inlineStr">
        <is>
          <t>REIMAG - REINALDO DOMINGUES BARROS DA SILVA</t>
        </is>
      </c>
      <c r="G2609" s="27" t="n">
        <v>46090</v>
      </c>
      <c r="H2609" s="14" t="n">
        <v>250</v>
      </c>
      <c r="I2609" s="14" t="n">
        <v>0</v>
      </c>
      <c r="J2609" s="14" t="n">
        <v>0</v>
      </c>
      <c r="K2609" s="14" t="n">
        <v>0</v>
      </c>
      <c r="L2609" s="14" t="n">
        <v>0</v>
      </c>
      <c r="M2609" s="14">
        <f>IF(B2609="Frete de venda",0,(1-ISNUMBER(SEARCH("556",P2609)))*(I2609*VLOOKUP($B2609,Premissas!$A$4:$E$7,2,0)+J2609*VLOOKUP($B2609,Premissas!$A$4:$E$7,3,0))+K2609*VLOOKUP($B2609,Premissas!$A$4:$E$7,4,0)+L2609*VLOOKUP($B2609,Premissas!$A$4:$E$7,5,0))</f>
        <v/>
      </c>
      <c r="N2609" s="14">
        <f>H2609-M2609</f>
        <v/>
      </c>
      <c r="O2609" t="inlineStr">
        <is>
          <t>Sim</t>
        </is>
      </c>
      <c r="P2609" t="inlineStr">
        <is>
          <t>1.350</t>
        </is>
      </c>
    </row>
    <row r="2610">
      <c r="A2610" s="24" t="n">
        <v>46082</v>
      </c>
      <c r="B2610" t="inlineStr">
        <is>
          <t>Frete de venda</t>
        </is>
      </c>
      <c r="C2610" t="inlineStr">
        <is>
          <t>Frete de venda (para clientes)</t>
        </is>
      </c>
      <c r="D2610" t="inlineStr">
        <is>
          <t>CT-e</t>
        </is>
      </c>
      <c r="E2610" t="inlineStr">
        <is>
          <t>000006603</t>
        </is>
      </c>
      <c r="F2610" t="inlineStr">
        <is>
          <t>R&amp;R TRANSPORTE E LOGISTICA</t>
        </is>
      </c>
      <c r="G2610" s="27" t="n">
        <v>46097</v>
      </c>
      <c r="H2610" s="14" t="n">
        <v>12.27</v>
      </c>
      <c r="I2610" s="14" t="n">
        <v>0</v>
      </c>
      <c r="J2610" s="14" t="n">
        <v>0</v>
      </c>
      <c r="K2610" s="14" t="n">
        <v>0</v>
      </c>
      <c r="L2610" s="14" t="n">
        <v>0</v>
      </c>
      <c r="M2610" s="14">
        <f>IF(B2610="Frete de venda",0,(1-ISNUMBER(SEARCH("556",P2610)))*(I2610*VLOOKUP($B2610,Premissas!$A$4:$E$7,2,0)+J2610*VLOOKUP($B2610,Premissas!$A$4:$E$7,3,0))+K2610*VLOOKUP($B2610,Premissas!$A$4:$E$7,4,0)+L2610*VLOOKUP($B2610,Premissas!$A$4:$E$7,5,0))</f>
        <v/>
      </c>
      <c r="N2610" s="14">
        <f>H2610-M2610</f>
        <v/>
      </c>
      <c r="O2610" t="inlineStr">
        <is>
          <t>Não</t>
        </is>
      </c>
      <c r="P2610" t="inlineStr">
        <is>
          <t>1.350</t>
        </is>
      </c>
    </row>
    <row r="2611">
      <c r="A2611" s="24" t="n">
        <v>46082</v>
      </c>
      <c r="B2611" t="inlineStr">
        <is>
          <t>Frete de venda</t>
        </is>
      </c>
      <c r="C2611" t="inlineStr">
        <is>
          <t>Frete de venda (para clientes)</t>
        </is>
      </c>
      <c r="D2611" t="inlineStr">
        <is>
          <t>CT-e</t>
        </is>
      </c>
      <c r="E2611" t="inlineStr">
        <is>
          <t>000006477</t>
        </is>
      </c>
      <c r="F2611" t="inlineStr">
        <is>
          <t>R&amp;R TRANSPORTE E LOGISTICA</t>
        </is>
      </c>
      <c r="G2611" s="27" t="n">
        <v>46083</v>
      </c>
      <c r="H2611" s="14" t="n">
        <v>30.44</v>
      </c>
      <c r="I2611" s="14" t="n">
        <v>0</v>
      </c>
      <c r="J2611" s="14" t="n">
        <v>0</v>
      </c>
      <c r="K2611" s="14" t="n">
        <v>0</v>
      </c>
      <c r="L2611" s="14" t="n">
        <v>0</v>
      </c>
      <c r="M2611" s="14">
        <f>IF(B2611="Frete de venda",0,(1-ISNUMBER(SEARCH("556",P2611)))*(I2611*VLOOKUP($B2611,Premissas!$A$4:$E$7,2,0)+J2611*VLOOKUP($B2611,Premissas!$A$4:$E$7,3,0))+K2611*VLOOKUP($B2611,Premissas!$A$4:$E$7,4,0)+L2611*VLOOKUP($B2611,Premissas!$A$4:$E$7,5,0))</f>
        <v/>
      </c>
      <c r="N2611" s="14">
        <f>H2611-M2611</f>
        <v/>
      </c>
      <c r="O2611" t="inlineStr">
        <is>
          <t>Não</t>
        </is>
      </c>
      <c r="P2611" t="inlineStr">
        <is>
          <t>1.350</t>
        </is>
      </c>
    </row>
    <row r="2612">
      <c r="A2612" s="24" t="n">
        <v>46082</v>
      </c>
      <c r="B2612" t="inlineStr">
        <is>
          <t>Frete de venda</t>
        </is>
      </c>
      <c r="C2612" t="inlineStr">
        <is>
          <t>Frete de venda (para clientes)</t>
        </is>
      </c>
      <c r="D2612" t="inlineStr">
        <is>
          <t>CT-e</t>
        </is>
      </c>
      <c r="E2612" t="inlineStr">
        <is>
          <t>000024134</t>
        </is>
      </c>
      <c r="F2612" t="inlineStr">
        <is>
          <t>TRANSPORTE OLIVEIRA E MELLOI - IDEALIZA TRANSPORTES</t>
        </is>
      </c>
      <c r="G2612" s="27" t="n">
        <v>46094</v>
      </c>
      <c r="H2612" s="14" t="n">
        <v>1000.7</v>
      </c>
      <c r="I2612" s="14" t="n">
        <v>0</v>
      </c>
      <c r="J2612" s="14" t="n">
        <v>120.08</v>
      </c>
      <c r="K2612" s="14" t="n">
        <v>0</v>
      </c>
      <c r="L2612" s="14" t="n">
        <v>0</v>
      </c>
      <c r="M2612" s="14">
        <f>IF(B2612="Frete de venda",0,(1-ISNUMBER(SEARCH("556",P2612)))*(I2612*VLOOKUP($B2612,Premissas!$A$4:$E$7,2,0)+J2612*VLOOKUP($B2612,Premissas!$A$4:$E$7,3,0))+K2612*VLOOKUP($B2612,Premissas!$A$4:$E$7,4,0)+L2612*VLOOKUP($B2612,Premissas!$A$4:$E$7,5,0))</f>
        <v/>
      </c>
      <c r="N2612" s="14">
        <f>H2612-M2612</f>
        <v/>
      </c>
      <c r="O2612" t="inlineStr">
        <is>
          <t>Sim</t>
        </is>
      </c>
      <c r="P2612" t="inlineStr">
        <is>
          <t>1.350</t>
        </is>
      </c>
    </row>
    <row r="2613">
      <c r="A2613" s="24" t="n">
        <v>46082</v>
      </c>
      <c r="B2613" t="inlineStr">
        <is>
          <t>Frete de venda</t>
        </is>
      </c>
      <c r="C2613" t="inlineStr">
        <is>
          <t>Frete de venda (para clientes)</t>
        </is>
      </c>
      <c r="D2613" t="inlineStr">
        <is>
          <t>CT-e</t>
        </is>
      </c>
      <c r="E2613" t="inlineStr">
        <is>
          <t>000006502</t>
        </is>
      </c>
      <c r="F2613" t="inlineStr">
        <is>
          <t>R&amp;R TRANSPORTE E LOGISTICA</t>
        </is>
      </c>
      <c r="G2613" s="27" t="n">
        <v>46085</v>
      </c>
      <c r="H2613" s="14" t="n">
        <v>13.9</v>
      </c>
      <c r="I2613" s="14" t="n">
        <v>0</v>
      </c>
      <c r="J2613" s="14" t="n">
        <v>0</v>
      </c>
      <c r="K2613" s="14" t="n">
        <v>0</v>
      </c>
      <c r="L2613" s="14" t="n">
        <v>0</v>
      </c>
      <c r="M2613" s="14">
        <f>IF(B2613="Frete de venda",0,(1-ISNUMBER(SEARCH("556",P2613)))*(I2613*VLOOKUP($B2613,Premissas!$A$4:$E$7,2,0)+J2613*VLOOKUP($B2613,Premissas!$A$4:$E$7,3,0))+K2613*VLOOKUP($B2613,Premissas!$A$4:$E$7,4,0)+L2613*VLOOKUP($B2613,Premissas!$A$4:$E$7,5,0))</f>
        <v/>
      </c>
      <c r="N2613" s="14">
        <f>H2613-M2613</f>
        <v/>
      </c>
      <c r="O2613" t="inlineStr">
        <is>
          <t>Não</t>
        </is>
      </c>
      <c r="P2613" t="inlineStr">
        <is>
          <t>1.350</t>
        </is>
      </c>
    </row>
    <row r="2614">
      <c r="A2614" s="24" t="n">
        <v>46082</v>
      </c>
      <c r="B2614" t="inlineStr">
        <is>
          <t>Frete de venda</t>
        </is>
      </c>
      <c r="C2614" t="inlineStr">
        <is>
          <t>Frete de venda (para clientes)</t>
        </is>
      </c>
      <c r="D2614" t="inlineStr">
        <is>
          <t>CT-e</t>
        </is>
      </c>
      <c r="E2614" t="inlineStr">
        <is>
          <t>000006489</t>
        </is>
      </c>
      <c r="F2614" t="inlineStr">
        <is>
          <t>R&amp;R TRANSPORTE E LOGISTICA</t>
        </is>
      </c>
      <c r="G2614" s="27" t="n">
        <v>46084</v>
      </c>
      <c r="H2614" s="14" t="n">
        <v>50.52</v>
      </c>
      <c r="I2614" s="14" t="n">
        <v>0</v>
      </c>
      <c r="J2614" s="14" t="n">
        <v>0</v>
      </c>
      <c r="K2614" s="14" t="n">
        <v>0</v>
      </c>
      <c r="L2614" s="14" t="n">
        <v>0</v>
      </c>
      <c r="M2614" s="14">
        <f>IF(B2614="Frete de venda",0,(1-ISNUMBER(SEARCH("556",P2614)))*(I2614*VLOOKUP($B2614,Premissas!$A$4:$E$7,2,0)+J2614*VLOOKUP($B2614,Premissas!$A$4:$E$7,3,0))+K2614*VLOOKUP($B2614,Premissas!$A$4:$E$7,4,0)+L2614*VLOOKUP($B2614,Premissas!$A$4:$E$7,5,0))</f>
        <v/>
      </c>
      <c r="N2614" s="14">
        <f>H2614-M2614</f>
        <v/>
      </c>
      <c r="O2614" t="inlineStr">
        <is>
          <t>Não</t>
        </is>
      </c>
      <c r="P2614" t="inlineStr">
        <is>
          <t>1.350</t>
        </is>
      </c>
    </row>
    <row r="2615">
      <c r="A2615" s="24" t="n">
        <v>46082</v>
      </c>
      <c r="B2615" t="inlineStr">
        <is>
          <t>Frete de venda</t>
        </is>
      </c>
      <c r="C2615" t="inlineStr">
        <is>
          <t>Frete de venda (para clientes)</t>
        </is>
      </c>
      <c r="D2615" t="inlineStr">
        <is>
          <t>CT-e</t>
        </is>
      </c>
      <c r="E2615" t="inlineStr">
        <is>
          <t>000006473</t>
        </is>
      </c>
      <c r="F2615" t="inlineStr">
        <is>
          <t>R&amp;R TRANSPORTE E LOGISTICA</t>
        </is>
      </c>
      <c r="G2615" s="27" t="n">
        <v>46083</v>
      </c>
      <c r="H2615" s="14" t="n">
        <v>88.38</v>
      </c>
      <c r="I2615" s="14" t="n">
        <v>0</v>
      </c>
      <c r="J2615" s="14" t="n">
        <v>0</v>
      </c>
      <c r="K2615" s="14" t="n">
        <v>0</v>
      </c>
      <c r="L2615" s="14" t="n">
        <v>0</v>
      </c>
      <c r="M2615" s="14">
        <f>IF(B2615="Frete de venda",0,(1-ISNUMBER(SEARCH("556",P2615)))*(I2615*VLOOKUP($B2615,Premissas!$A$4:$E$7,2,0)+J2615*VLOOKUP($B2615,Premissas!$A$4:$E$7,3,0))+K2615*VLOOKUP($B2615,Premissas!$A$4:$E$7,4,0)+L2615*VLOOKUP($B2615,Premissas!$A$4:$E$7,5,0))</f>
        <v/>
      </c>
      <c r="N2615" s="14">
        <f>H2615-M2615</f>
        <v/>
      </c>
      <c r="O2615" t="inlineStr">
        <is>
          <t>Não</t>
        </is>
      </c>
      <c r="P2615" t="inlineStr">
        <is>
          <t>1.350</t>
        </is>
      </c>
    </row>
    <row r="2616">
      <c r="A2616" s="24" t="n">
        <v>46082</v>
      </c>
      <c r="B2616" t="inlineStr">
        <is>
          <t>Frete de venda</t>
        </is>
      </c>
      <c r="C2616" t="inlineStr">
        <is>
          <t>Frete de venda (para clientes)</t>
        </is>
      </c>
      <c r="D2616" t="inlineStr">
        <is>
          <t>CT-e</t>
        </is>
      </c>
      <c r="E2616" t="inlineStr">
        <is>
          <t>000024132</t>
        </is>
      </c>
      <c r="F2616" t="inlineStr">
        <is>
          <t>TRANSPORTE OLIVEIRA E MELLOI - IDEALIZA TRANSPORTES</t>
        </is>
      </c>
      <c r="G2616" s="27" t="n">
        <v>46094</v>
      </c>
      <c r="H2616" s="14" t="n">
        <v>2441.52</v>
      </c>
      <c r="I2616" s="14" t="n">
        <v>0</v>
      </c>
      <c r="J2616" s="14" t="n">
        <v>292.98</v>
      </c>
      <c r="K2616" s="14" t="n">
        <v>0</v>
      </c>
      <c r="L2616" s="14" t="n">
        <v>0</v>
      </c>
      <c r="M2616" s="14">
        <f>IF(B2616="Frete de venda",0,(1-ISNUMBER(SEARCH("556",P2616)))*(I2616*VLOOKUP($B2616,Premissas!$A$4:$E$7,2,0)+J2616*VLOOKUP($B2616,Premissas!$A$4:$E$7,3,0))+K2616*VLOOKUP($B2616,Premissas!$A$4:$E$7,4,0)+L2616*VLOOKUP($B2616,Premissas!$A$4:$E$7,5,0))</f>
        <v/>
      </c>
      <c r="N2616" s="14">
        <f>H2616-M2616</f>
        <v/>
      </c>
      <c r="O2616" t="inlineStr">
        <is>
          <t>Sim</t>
        </is>
      </c>
      <c r="P2616" t="inlineStr">
        <is>
          <t>1.350</t>
        </is>
      </c>
    </row>
    <row r="2617">
      <c r="A2617" s="24" t="n">
        <v>46082</v>
      </c>
      <c r="B2617" t="inlineStr">
        <is>
          <t>Frete de venda</t>
        </is>
      </c>
      <c r="C2617" t="inlineStr">
        <is>
          <t>Frete de venda (para clientes)</t>
        </is>
      </c>
      <c r="D2617" t="inlineStr">
        <is>
          <t>CT-e</t>
        </is>
      </c>
      <c r="E2617" t="inlineStr">
        <is>
          <t>000006632</t>
        </is>
      </c>
      <c r="F2617" t="inlineStr">
        <is>
          <t>R&amp;R TRANSPORTE E LOGISTICA</t>
        </is>
      </c>
      <c r="G2617" s="27" t="n">
        <v>46100</v>
      </c>
      <c r="H2617" s="14" t="n">
        <v>46.59</v>
      </c>
      <c r="I2617" s="14" t="n">
        <v>0</v>
      </c>
      <c r="J2617" s="14" t="n">
        <v>0</v>
      </c>
      <c r="K2617" s="14" t="n">
        <v>0</v>
      </c>
      <c r="L2617" s="14" t="n">
        <v>0</v>
      </c>
      <c r="M2617" s="14">
        <f>IF(B2617="Frete de venda",0,(1-ISNUMBER(SEARCH("556",P2617)))*(I2617*VLOOKUP($B2617,Premissas!$A$4:$E$7,2,0)+J2617*VLOOKUP($B2617,Premissas!$A$4:$E$7,3,0))+K2617*VLOOKUP($B2617,Premissas!$A$4:$E$7,4,0)+L2617*VLOOKUP($B2617,Premissas!$A$4:$E$7,5,0))</f>
        <v/>
      </c>
      <c r="N2617" s="14">
        <f>H2617-M2617</f>
        <v/>
      </c>
      <c r="O2617" t="inlineStr">
        <is>
          <t>Não</t>
        </is>
      </c>
      <c r="P2617" t="inlineStr">
        <is>
          <t>1.350</t>
        </is>
      </c>
    </row>
    <row r="2618">
      <c r="A2618" s="24" t="n">
        <v>46082</v>
      </c>
      <c r="B2618" t="inlineStr">
        <is>
          <t>Frete de venda</t>
        </is>
      </c>
      <c r="C2618" t="inlineStr">
        <is>
          <t>Frete de venda (para clientes)</t>
        </is>
      </c>
      <c r="D2618" t="inlineStr">
        <is>
          <t>CT-e</t>
        </is>
      </c>
      <c r="E2618" t="inlineStr">
        <is>
          <t>000006626</t>
        </is>
      </c>
      <c r="F2618" t="inlineStr">
        <is>
          <t>R&amp;R TRANSPORTE E LOGISTICA</t>
        </is>
      </c>
      <c r="G2618" s="27" t="n">
        <v>46100</v>
      </c>
      <c r="H2618" s="14" t="n">
        <v>23.65</v>
      </c>
      <c r="I2618" s="14" t="n">
        <v>0</v>
      </c>
      <c r="J2618" s="14" t="n">
        <v>0</v>
      </c>
      <c r="K2618" s="14" t="n">
        <v>0</v>
      </c>
      <c r="L2618" s="14" t="n">
        <v>0</v>
      </c>
      <c r="M2618" s="14">
        <f>IF(B2618="Frete de venda",0,(1-ISNUMBER(SEARCH("556",P2618)))*(I2618*VLOOKUP($B2618,Premissas!$A$4:$E$7,2,0)+J2618*VLOOKUP($B2618,Premissas!$A$4:$E$7,3,0))+K2618*VLOOKUP($B2618,Premissas!$A$4:$E$7,4,0)+L2618*VLOOKUP($B2618,Premissas!$A$4:$E$7,5,0))</f>
        <v/>
      </c>
      <c r="N2618" s="14">
        <f>H2618-M2618</f>
        <v/>
      </c>
      <c r="O2618" t="inlineStr">
        <is>
          <t>Não</t>
        </is>
      </c>
      <c r="P2618" t="inlineStr">
        <is>
          <t>1.350</t>
        </is>
      </c>
    </row>
    <row r="2619">
      <c r="A2619" s="24" t="n">
        <v>46082</v>
      </c>
      <c r="B2619" t="inlineStr">
        <is>
          <t>Frete de venda</t>
        </is>
      </c>
      <c r="C2619" t="inlineStr">
        <is>
          <t>Frete de venda (para clientes)</t>
        </is>
      </c>
      <c r="D2619" t="inlineStr">
        <is>
          <t>CT-e</t>
        </is>
      </c>
      <c r="E2619" t="inlineStr">
        <is>
          <t>000006704</t>
        </is>
      </c>
      <c r="F2619" t="inlineStr">
        <is>
          <t>R&amp;R TRANSPORTE E LOGISTICA</t>
        </is>
      </c>
      <c r="G2619" s="27" t="n">
        <v>46111</v>
      </c>
      <c r="H2619" s="14" t="n">
        <v>36.41</v>
      </c>
      <c r="I2619" s="14" t="n">
        <v>0</v>
      </c>
      <c r="J2619" s="14" t="n">
        <v>0</v>
      </c>
      <c r="K2619" s="14" t="n">
        <v>0</v>
      </c>
      <c r="L2619" s="14" t="n">
        <v>0</v>
      </c>
      <c r="M2619" s="14">
        <f>IF(B2619="Frete de venda",0,(1-ISNUMBER(SEARCH("556",P2619)))*(I2619*VLOOKUP($B2619,Premissas!$A$4:$E$7,2,0)+J2619*VLOOKUP($B2619,Premissas!$A$4:$E$7,3,0))+K2619*VLOOKUP($B2619,Premissas!$A$4:$E$7,4,0)+L2619*VLOOKUP($B2619,Premissas!$A$4:$E$7,5,0))</f>
        <v/>
      </c>
      <c r="N2619" s="14">
        <f>H2619-M2619</f>
        <v/>
      </c>
      <c r="O2619" t="inlineStr">
        <is>
          <t>Não</t>
        </is>
      </c>
      <c r="P2619" t="inlineStr">
        <is>
          <t>1.350</t>
        </is>
      </c>
    </row>
    <row r="2620">
      <c r="A2620" s="24" t="n">
        <v>46082</v>
      </c>
      <c r="B2620" t="inlineStr">
        <is>
          <t>Frete de venda</t>
        </is>
      </c>
      <c r="C2620" t="inlineStr">
        <is>
          <t>Frete de venda (para clientes)</t>
        </is>
      </c>
      <c r="D2620" t="inlineStr">
        <is>
          <t>CT-e</t>
        </is>
      </c>
      <c r="E2620" t="inlineStr">
        <is>
          <t>000006705</t>
        </is>
      </c>
      <c r="F2620" t="inlineStr">
        <is>
          <t>R&amp;R TRANSPORTE E LOGISTICA</t>
        </is>
      </c>
      <c r="G2620" s="27" t="n">
        <v>46111</v>
      </c>
      <c r="H2620" s="14" t="n">
        <v>53.42</v>
      </c>
      <c r="I2620" s="14" t="n">
        <v>0</v>
      </c>
      <c r="J2620" s="14" t="n">
        <v>0</v>
      </c>
      <c r="K2620" s="14" t="n">
        <v>0</v>
      </c>
      <c r="L2620" s="14" t="n">
        <v>0</v>
      </c>
      <c r="M2620" s="14">
        <f>IF(B2620="Frete de venda",0,(1-ISNUMBER(SEARCH("556",P2620)))*(I2620*VLOOKUP($B2620,Premissas!$A$4:$E$7,2,0)+J2620*VLOOKUP($B2620,Premissas!$A$4:$E$7,3,0))+K2620*VLOOKUP($B2620,Premissas!$A$4:$E$7,4,0)+L2620*VLOOKUP($B2620,Premissas!$A$4:$E$7,5,0))</f>
        <v/>
      </c>
      <c r="N2620" s="14">
        <f>H2620-M2620</f>
        <v/>
      </c>
      <c r="O2620" t="inlineStr">
        <is>
          <t>Não</t>
        </is>
      </c>
      <c r="P2620" t="inlineStr">
        <is>
          <t>1.350</t>
        </is>
      </c>
    </row>
    <row r="2621">
      <c r="A2621" s="24" t="n">
        <v>46082</v>
      </c>
      <c r="B2621" t="inlineStr">
        <is>
          <t>Frete de venda</t>
        </is>
      </c>
      <c r="C2621" t="inlineStr">
        <is>
          <t>Frete de venda (para clientes)</t>
        </is>
      </c>
      <c r="D2621" t="inlineStr">
        <is>
          <t>CT-e</t>
        </is>
      </c>
      <c r="E2621" t="inlineStr">
        <is>
          <t>000006497</t>
        </is>
      </c>
      <c r="F2621" t="inlineStr">
        <is>
          <t>R&amp;R TRANSPORTE E LOGISTICA</t>
        </is>
      </c>
      <c r="G2621" s="27" t="n">
        <v>46084</v>
      </c>
      <c r="H2621" s="14" t="n">
        <v>38.45</v>
      </c>
      <c r="I2621" s="14" t="n">
        <v>0</v>
      </c>
      <c r="J2621" s="14" t="n">
        <v>0</v>
      </c>
      <c r="K2621" s="14" t="n">
        <v>0</v>
      </c>
      <c r="L2621" s="14" t="n">
        <v>0</v>
      </c>
      <c r="M2621" s="14">
        <f>IF(B2621="Frete de venda",0,(1-ISNUMBER(SEARCH("556",P2621)))*(I2621*VLOOKUP($B2621,Premissas!$A$4:$E$7,2,0)+J2621*VLOOKUP($B2621,Premissas!$A$4:$E$7,3,0))+K2621*VLOOKUP($B2621,Premissas!$A$4:$E$7,4,0)+L2621*VLOOKUP($B2621,Premissas!$A$4:$E$7,5,0))</f>
        <v/>
      </c>
      <c r="N2621" s="14">
        <f>H2621-M2621</f>
        <v/>
      </c>
      <c r="O2621" t="inlineStr">
        <is>
          <t>Não</t>
        </is>
      </c>
      <c r="P2621" t="inlineStr">
        <is>
          <t>1.350</t>
        </is>
      </c>
    </row>
    <row r="2622">
      <c r="A2622" s="24" t="n">
        <v>46082</v>
      </c>
      <c r="B2622" t="inlineStr">
        <is>
          <t>Frete de venda</t>
        </is>
      </c>
      <c r="C2622" t="inlineStr">
        <is>
          <t>Frete de venda (para clientes)</t>
        </is>
      </c>
      <c r="D2622" t="inlineStr">
        <is>
          <t>CT-e</t>
        </is>
      </c>
      <c r="E2622" t="inlineStr">
        <is>
          <t>000006639</t>
        </is>
      </c>
      <c r="F2622" t="inlineStr">
        <is>
          <t>R&amp;R TRANSPORTE E LOGISTICA</t>
        </is>
      </c>
      <c r="G2622" s="27" t="n">
        <v>46101</v>
      </c>
      <c r="H2622" s="14" t="n">
        <v>98.52</v>
      </c>
      <c r="I2622" s="14" t="n">
        <v>0</v>
      </c>
      <c r="J2622" s="14" t="n">
        <v>0</v>
      </c>
      <c r="K2622" s="14" t="n">
        <v>0</v>
      </c>
      <c r="L2622" s="14" t="n">
        <v>0</v>
      </c>
      <c r="M2622" s="14">
        <f>IF(B2622="Frete de venda",0,(1-ISNUMBER(SEARCH("556",P2622)))*(I2622*VLOOKUP($B2622,Premissas!$A$4:$E$7,2,0)+J2622*VLOOKUP($B2622,Premissas!$A$4:$E$7,3,0))+K2622*VLOOKUP($B2622,Premissas!$A$4:$E$7,4,0)+L2622*VLOOKUP($B2622,Premissas!$A$4:$E$7,5,0))</f>
        <v/>
      </c>
      <c r="N2622" s="14">
        <f>H2622-M2622</f>
        <v/>
      </c>
      <c r="O2622" t="inlineStr">
        <is>
          <t>Não</t>
        </is>
      </c>
      <c r="P2622" t="inlineStr">
        <is>
          <t>1.350</t>
        </is>
      </c>
    </row>
    <row r="2623">
      <c r="A2623" s="24" t="n">
        <v>46082</v>
      </c>
      <c r="B2623" t="inlineStr">
        <is>
          <t>Frete de venda</t>
        </is>
      </c>
      <c r="C2623" t="inlineStr">
        <is>
          <t>Frete de venda (para clientes)</t>
        </is>
      </c>
      <c r="D2623" t="inlineStr">
        <is>
          <t>CT-e</t>
        </is>
      </c>
      <c r="E2623" t="inlineStr">
        <is>
          <t>000000644</t>
        </is>
      </c>
      <c r="F2623" t="inlineStr">
        <is>
          <t>REIMAG - REINALDO DOMINGUES BARROS DA SILVA</t>
        </is>
      </c>
      <c r="G2623" s="27" t="n">
        <v>46107</v>
      </c>
      <c r="H2623" s="14" t="n">
        <v>800</v>
      </c>
      <c r="I2623" s="14" t="n">
        <v>0</v>
      </c>
      <c r="J2623" s="14" t="n">
        <v>0</v>
      </c>
      <c r="K2623" s="14" t="n">
        <v>0</v>
      </c>
      <c r="L2623" s="14" t="n">
        <v>0</v>
      </c>
      <c r="M2623" s="14">
        <f>IF(B2623="Frete de venda",0,(1-ISNUMBER(SEARCH("556",P2623)))*(I2623*VLOOKUP($B2623,Premissas!$A$4:$E$7,2,0)+J2623*VLOOKUP($B2623,Premissas!$A$4:$E$7,3,0))+K2623*VLOOKUP($B2623,Premissas!$A$4:$E$7,4,0)+L2623*VLOOKUP($B2623,Premissas!$A$4:$E$7,5,0))</f>
        <v/>
      </c>
      <c r="N2623" s="14">
        <f>H2623-M2623</f>
        <v/>
      </c>
      <c r="O2623" t="inlineStr">
        <is>
          <t>Sim</t>
        </is>
      </c>
      <c r="P2623" t="inlineStr">
        <is>
          <t>1.350</t>
        </is>
      </c>
    </row>
    <row r="2624">
      <c r="A2624" s="24" t="n">
        <v>46082</v>
      </c>
      <c r="B2624" t="inlineStr">
        <is>
          <t>Frete de venda</t>
        </is>
      </c>
      <c r="C2624" t="inlineStr">
        <is>
          <t>Frete de venda (para clientes)</t>
        </is>
      </c>
      <c r="D2624" t="inlineStr">
        <is>
          <t>CT-e</t>
        </is>
      </c>
      <c r="E2624" t="inlineStr">
        <is>
          <t>000006467</t>
        </is>
      </c>
      <c r="F2624" t="inlineStr">
        <is>
          <t>R&amp;R TRANSPORTE E LOGISTICA</t>
        </is>
      </c>
      <c r="G2624" s="27" t="n">
        <v>46083</v>
      </c>
      <c r="H2624" s="14" t="n">
        <v>22.46</v>
      </c>
      <c r="I2624" s="14" t="n">
        <v>0</v>
      </c>
      <c r="J2624" s="14" t="n">
        <v>0</v>
      </c>
      <c r="K2624" s="14" t="n">
        <v>0</v>
      </c>
      <c r="L2624" s="14" t="n">
        <v>0</v>
      </c>
      <c r="M2624" s="14">
        <f>IF(B2624="Frete de venda",0,(1-ISNUMBER(SEARCH("556",P2624)))*(I2624*VLOOKUP($B2624,Premissas!$A$4:$E$7,2,0)+J2624*VLOOKUP($B2624,Premissas!$A$4:$E$7,3,0))+K2624*VLOOKUP($B2624,Premissas!$A$4:$E$7,4,0)+L2624*VLOOKUP($B2624,Premissas!$A$4:$E$7,5,0))</f>
        <v/>
      </c>
      <c r="N2624" s="14">
        <f>H2624-M2624</f>
        <v/>
      </c>
      <c r="O2624" t="inlineStr">
        <is>
          <t>Não</t>
        </is>
      </c>
      <c r="P2624" t="inlineStr">
        <is>
          <t>1.350</t>
        </is>
      </c>
    </row>
    <row r="2625">
      <c r="A2625" s="24" t="n">
        <v>46082</v>
      </c>
      <c r="B2625" t="inlineStr">
        <is>
          <t>Frete de venda</t>
        </is>
      </c>
      <c r="C2625" t="inlineStr">
        <is>
          <t>Frete de venda (para clientes)</t>
        </is>
      </c>
      <c r="D2625" t="inlineStr">
        <is>
          <t>CT-e</t>
        </is>
      </c>
      <c r="E2625" t="inlineStr">
        <is>
          <t>000006583</t>
        </is>
      </c>
      <c r="F2625" t="inlineStr">
        <is>
          <t>R&amp;R TRANSPORTE E LOGISTICA</t>
        </is>
      </c>
      <c r="G2625" s="27" t="n">
        <v>46097</v>
      </c>
      <c r="H2625" s="14" t="n">
        <v>11.95</v>
      </c>
      <c r="I2625" s="14" t="n">
        <v>0</v>
      </c>
      <c r="J2625" s="14" t="n">
        <v>0</v>
      </c>
      <c r="K2625" s="14" t="n">
        <v>0</v>
      </c>
      <c r="L2625" s="14" t="n">
        <v>0</v>
      </c>
      <c r="M2625" s="14">
        <f>IF(B2625="Frete de venda",0,(1-ISNUMBER(SEARCH("556",P2625)))*(I2625*VLOOKUP($B2625,Premissas!$A$4:$E$7,2,0)+J2625*VLOOKUP($B2625,Premissas!$A$4:$E$7,3,0))+K2625*VLOOKUP($B2625,Premissas!$A$4:$E$7,4,0)+L2625*VLOOKUP($B2625,Premissas!$A$4:$E$7,5,0))</f>
        <v/>
      </c>
      <c r="N2625" s="14">
        <f>H2625-M2625</f>
        <v/>
      </c>
      <c r="O2625" t="inlineStr">
        <is>
          <t>Não</t>
        </is>
      </c>
      <c r="P2625" t="inlineStr">
        <is>
          <t>1.350</t>
        </is>
      </c>
    </row>
    <row r="2626">
      <c r="A2626" s="24" t="n">
        <v>46082</v>
      </c>
      <c r="B2626" t="inlineStr">
        <is>
          <t>Frete de venda</t>
        </is>
      </c>
      <c r="C2626" t="inlineStr">
        <is>
          <t>Frete de venda (para clientes)</t>
        </is>
      </c>
      <c r="D2626" t="inlineStr">
        <is>
          <t>CT-e</t>
        </is>
      </c>
      <c r="E2626" t="inlineStr">
        <is>
          <t>001421732</t>
        </is>
      </c>
      <c r="F2626" t="inlineStr">
        <is>
          <t>PICCOLI TRANSPORTES LTDA</t>
        </is>
      </c>
      <c r="G2626" s="27" t="n">
        <v>46107</v>
      </c>
      <c r="H2626" s="14" t="n">
        <v>0.1</v>
      </c>
      <c r="I2626" s="14" t="n">
        <v>0</v>
      </c>
      <c r="J2626" s="14" t="n">
        <v>0.01</v>
      </c>
      <c r="K2626" s="14" t="n">
        <v>0</v>
      </c>
      <c r="L2626" s="14" t="n">
        <v>0</v>
      </c>
      <c r="M2626" s="14">
        <f>IF(B2626="Frete de venda",0,(1-ISNUMBER(SEARCH("556",P2626)))*(I2626*VLOOKUP($B2626,Premissas!$A$4:$E$7,2,0)+J2626*VLOOKUP($B2626,Premissas!$A$4:$E$7,3,0))+K2626*VLOOKUP($B2626,Premissas!$A$4:$E$7,4,0)+L2626*VLOOKUP($B2626,Premissas!$A$4:$E$7,5,0))</f>
        <v/>
      </c>
      <c r="N2626" s="14">
        <f>H2626-M2626</f>
        <v/>
      </c>
      <c r="O2626" t="inlineStr">
        <is>
          <t>Não</t>
        </is>
      </c>
      <c r="P2626" t="inlineStr">
        <is>
          <t>2.350</t>
        </is>
      </c>
    </row>
    <row r="2627">
      <c r="A2627" s="24" t="n">
        <v>46082</v>
      </c>
      <c r="B2627" t="inlineStr">
        <is>
          <t>Frete de venda</t>
        </is>
      </c>
      <c r="C2627" t="inlineStr">
        <is>
          <t>Frete de venda (para clientes)</t>
        </is>
      </c>
      <c r="D2627" t="inlineStr">
        <is>
          <t>CT-e</t>
        </is>
      </c>
      <c r="E2627" t="inlineStr">
        <is>
          <t>001421984</t>
        </is>
      </c>
      <c r="F2627" t="inlineStr">
        <is>
          <t>PICCOLI TRANSPORTES LTDA</t>
        </is>
      </c>
      <c r="G2627" s="27" t="n">
        <v>46108</v>
      </c>
      <c r="H2627" s="14" t="n">
        <v>154.85</v>
      </c>
      <c r="I2627" s="14" t="n">
        <v>0</v>
      </c>
      <c r="J2627" s="14" t="n">
        <v>10.84</v>
      </c>
      <c r="K2627" s="14" t="n">
        <v>0</v>
      </c>
      <c r="L2627" s="14" t="n">
        <v>0</v>
      </c>
      <c r="M2627" s="14">
        <f>IF(B2627="Frete de venda",0,(1-ISNUMBER(SEARCH("556",P2627)))*(I2627*VLOOKUP($B2627,Premissas!$A$4:$E$7,2,0)+J2627*VLOOKUP($B2627,Premissas!$A$4:$E$7,3,0))+K2627*VLOOKUP($B2627,Premissas!$A$4:$E$7,4,0)+L2627*VLOOKUP($B2627,Premissas!$A$4:$E$7,5,0))</f>
        <v/>
      </c>
      <c r="N2627" s="14">
        <f>H2627-M2627</f>
        <v/>
      </c>
      <c r="O2627" t="inlineStr">
        <is>
          <t>Sim</t>
        </is>
      </c>
      <c r="P2627" t="inlineStr">
        <is>
          <t>1.350</t>
        </is>
      </c>
    </row>
    <row r="2628">
      <c r="A2628" s="24" t="n">
        <v>46082</v>
      </c>
      <c r="B2628" t="inlineStr">
        <is>
          <t>Frete de venda</t>
        </is>
      </c>
      <c r="C2628" t="inlineStr">
        <is>
          <t>Frete de venda (para clientes)</t>
        </is>
      </c>
      <c r="D2628" t="inlineStr">
        <is>
          <t>CT-e</t>
        </is>
      </c>
      <c r="E2628" t="inlineStr">
        <is>
          <t>000006692</t>
        </is>
      </c>
      <c r="F2628" t="inlineStr">
        <is>
          <t>R&amp;R TRANSPORTE E LOGISTICA</t>
        </is>
      </c>
      <c r="G2628" s="27" t="n">
        <v>46109</v>
      </c>
      <c r="H2628" s="14" t="n">
        <v>72.03</v>
      </c>
      <c r="I2628" s="14" t="n">
        <v>0</v>
      </c>
      <c r="J2628" s="14" t="n">
        <v>0</v>
      </c>
      <c r="K2628" s="14" t="n">
        <v>0</v>
      </c>
      <c r="L2628" s="14" t="n">
        <v>0</v>
      </c>
      <c r="M2628" s="14">
        <f>IF(B2628="Frete de venda",0,(1-ISNUMBER(SEARCH("556",P2628)))*(I2628*VLOOKUP($B2628,Premissas!$A$4:$E$7,2,0)+J2628*VLOOKUP($B2628,Premissas!$A$4:$E$7,3,0))+K2628*VLOOKUP($B2628,Premissas!$A$4:$E$7,4,0)+L2628*VLOOKUP($B2628,Premissas!$A$4:$E$7,5,0))</f>
        <v/>
      </c>
      <c r="N2628" s="14">
        <f>H2628-M2628</f>
        <v/>
      </c>
      <c r="O2628" t="inlineStr">
        <is>
          <t>Não</t>
        </is>
      </c>
      <c r="P2628" t="inlineStr">
        <is>
          <t>1.350</t>
        </is>
      </c>
    </row>
    <row r="2629">
      <c r="A2629" s="24" t="n">
        <v>46082</v>
      </c>
      <c r="B2629" t="inlineStr">
        <is>
          <t>Frete de venda</t>
        </is>
      </c>
      <c r="C2629" t="inlineStr">
        <is>
          <t>Frete de venda (para clientes)</t>
        </is>
      </c>
      <c r="D2629" t="inlineStr">
        <is>
          <t>CT-e</t>
        </is>
      </c>
      <c r="E2629" t="inlineStr">
        <is>
          <t>000006577</t>
        </is>
      </c>
      <c r="F2629" t="inlineStr">
        <is>
          <t>R&amp;R TRANSPORTE E LOGISTICA</t>
        </is>
      </c>
      <c r="G2629" s="27" t="n">
        <v>46097</v>
      </c>
      <c r="H2629" s="14" t="n">
        <v>25.32</v>
      </c>
      <c r="I2629" s="14" t="n">
        <v>0</v>
      </c>
      <c r="J2629" s="14" t="n">
        <v>0</v>
      </c>
      <c r="K2629" s="14" t="n">
        <v>0</v>
      </c>
      <c r="L2629" s="14" t="n">
        <v>0</v>
      </c>
      <c r="M2629" s="14">
        <f>IF(B2629="Frete de venda",0,(1-ISNUMBER(SEARCH("556",P2629)))*(I2629*VLOOKUP($B2629,Premissas!$A$4:$E$7,2,0)+J2629*VLOOKUP($B2629,Premissas!$A$4:$E$7,3,0))+K2629*VLOOKUP($B2629,Premissas!$A$4:$E$7,4,0)+L2629*VLOOKUP($B2629,Premissas!$A$4:$E$7,5,0))</f>
        <v/>
      </c>
      <c r="N2629" s="14">
        <f>H2629-M2629</f>
        <v/>
      </c>
      <c r="O2629" t="inlineStr">
        <is>
          <t>Não</t>
        </is>
      </c>
      <c r="P2629" t="inlineStr">
        <is>
          <t>1.350</t>
        </is>
      </c>
    </row>
    <row r="2630">
      <c r="A2630" s="24" t="n">
        <v>46082</v>
      </c>
      <c r="B2630" t="inlineStr">
        <is>
          <t>Frete de venda</t>
        </is>
      </c>
      <c r="C2630" t="inlineStr">
        <is>
          <t>Frete de venda (para clientes)</t>
        </is>
      </c>
      <c r="D2630" t="inlineStr">
        <is>
          <t>CT-e</t>
        </is>
      </c>
      <c r="E2630" t="inlineStr">
        <is>
          <t>000006669</t>
        </is>
      </c>
      <c r="F2630" t="inlineStr">
        <is>
          <t>R&amp;R TRANSPORTE E LOGISTICA</t>
        </is>
      </c>
      <c r="G2630" s="27" t="n">
        <v>46105</v>
      </c>
      <c r="H2630" s="14" t="n">
        <v>34.4</v>
      </c>
      <c r="I2630" s="14" t="n">
        <v>0</v>
      </c>
      <c r="J2630" s="14" t="n">
        <v>0</v>
      </c>
      <c r="K2630" s="14" t="n">
        <v>0</v>
      </c>
      <c r="L2630" s="14" t="n">
        <v>0</v>
      </c>
      <c r="M2630" s="14">
        <f>IF(B2630="Frete de venda",0,(1-ISNUMBER(SEARCH("556",P2630)))*(I2630*VLOOKUP($B2630,Premissas!$A$4:$E$7,2,0)+J2630*VLOOKUP($B2630,Premissas!$A$4:$E$7,3,0))+K2630*VLOOKUP($B2630,Premissas!$A$4:$E$7,4,0)+L2630*VLOOKUP($B2630,Premissas!$A$4:$E$7,5,0))</f>
        <v/>
      </c>
      <c r="N2630" s="14">
        <f>H2630-M2630</f>
        <v/>
      </c>
      <c r="O2630" t="inlineStr">
        <is>
          <t>Não</t>
        </is>
      </c>
      <c r="P2630" t="inlineStr">
        <is>
          <t>1.350</t>
        </is>
      </c>
    </row>
    <row r="2631">
      <c r="A2631" s="24" t="n">
        <v>46082</v>
      </c>
      <c r="B2631" t="inlineStr">
        <is>
          <t>Frete de venda</t>
        </is>
      </c>
      <c r="C2631" t="inlineStr">
        <is>
          <t>Frete de venda (para clientes)</t>
        </is>
      </c>
      <c r="D2631" t="inlineStr">
        <is>
          <t>CT-e</t>
        </is>
      </c>
      <c r="E2631" t="inlineStr">
        <is>
          <t>000003315</t>
        </is>
      </c>
      <c r="F2631" t="inlineStr">
        <is>
          <t>RAPIDO XAPURI TRANSPORTES E LOGISTICA LTDA</t>
        </is>
      </c>
      <c r="G2631" s="27" t="n">
        <v>46109</v>
      </c>
      <c r="H2631" s="14" t="n">
        <v>1625</v>
      </c>
      <c r="I2631" s="14" t="n">
        <v>0</v>
      </c>
      <c r="J2631" s="14" t="n">
        <v>195</v>
      </c>
      <c r="K2631" s="14" t="n">
        <v>0</v>
      </c>
      <c r="L2631" s="14" t="n">
        <v>0</v>
      </c>
      <c r="M2631" s="14">
        <f>IF(B2631="Frete de venda",0,(1-ISNUMBER(SEARCH("556",P2631)))*(I2631*VLOOKUP($B2631,Premissas!$A$4:$E$7,2,0)+J2631*VLOOKUP($B2631,Premissas!$A$4:$E$7,3,0))+K2631*VLOOKUP($B2631,Premissas!$A$4:$E$7,4,0)+L2631*VLOOKUP($B2631,Premissas!$A$4:$E$7,5,0))</f>
        <v/>
      </c>
      <c r="N2631" s="14">
        <f>H2631-M2631</f>
        <v/>
      </c>
      <c r="O2631" t="inlineStr">
        <is>
          <t>Sim</t>
        </is>
      </c>
      <c r="P2631" t="inlineStr">
        <is>
          <t>1.350</t>
        </is>
      </c>
    </row>
    <row r="2632">
      <c r="A2632" s="24" t="n">
        <v>46082</v>
      </c>
      <c r="B2632" t="inlineStr">
        <is>
          <t>Frete de venda</t>
        </is>
      </c>
      <c r="C2632" t="inlineStr">
        <is>
          <t>Frete de venda (para clientes)</t>
        </is>
      </c>
      <c r="D2632" t="inlineStr">
        <is>
          <t>CT-e</t>
        </is>
      </c>
      <c r="E2632" t="inlineStr">
        <is>
          <t>000006611</t>
        </is>
      </c>
      <c r="F2632" t="inlineStr">
        <is>
          <t>R&amp;R TRANSPORTE E LOGISTICA</t>
        </is>
      </c>
      <c r="G2632" s="27" t="n">
        <v>46097</v>
      </c>
      <c r="H2632" s="14" t="n">
        <v>23.82</v>
      </c>
      <c r="I2632" s="14" t="n">
        <v>0</v>
      </c>
      <c r="J2632" s="14" t="n">
        <v>0</v>
      </c>
      <c r="K2632" s="14" t="n">
        <v>0</v>
      </c>
      <c r="L2632" s="14" t="n">
        <v>0</v>
      </c>
      <c r="M2632" s="14">
        <f>IF(B2632="Frete de venda",0,(1-ISNUMBER(SEARCH("556",P2632)))*(I2632*VLOOKUP($B2632,Premissas!$A$4:$E$7,2,0)+J2632*VLOOKUP($B2632,Premissas!$A$4:$E$7,3,0))+K2632*VLOOKUP($B2632,Premissas!$A$4:$E$7,4,0)+L2632*VLOOKUP($B2632,Premissas!$A$4:$E$7,5,0))</f>
        <v/>
      </c>
      <c r="N2632" s="14">
        <f>H2632-M2632</f>
        <v/>
      </c>
      <c r="O2632" t="inlineStr">
        <is>
          <t>Não</t>
        </is>
      </c>
      <c r="P2632" t="inlineStr">
        <is>
          <t>1.350</t>
        </is>
      </c>
    </row>
    <row r="2633">
      <c r="A2633" s="24" t="n">
        <v>46082</v>
      </c>
      <c r="B2633" t="inlineStr">
        <is>
          <t>Frete de venda</t>
        </is>
      </c>
      <c r="C2633" t="inlineStr">
        <is>
          <t>Frete de venda (para clientes)</t>
        </is>
      </c>
      <c r="D2633" t="inlineStr">
        <is>
          <t>CT-e</t>
        </is>
      </c>
      <c r="E2633" t="inlineStr">
        <is>
          <t>000006627</t>
        </is>
      </c>
      <c r="F2633" t="inlineStr">
        <is>
          <t>R&amp;R TRANSPORTE E LOGISTICA</t>
        </is>
      </c>
      <c r="G2633" s="27" t="n">
        <v>46100</v>
      </c>
      <c r="H2633" s="14" t="n">
        <v>22.56</v>
      </c>
      <c r="I2633" s="14" t="n">
        <v>0</v>
      </c>
      <c r="J2633" s="14" t="n">
        <v>0</v>
      </c>
      <c r="K2633" s="14" t="n">
        <v>0</v>
      </c>
      <c r="L2633" s="14" t="n">
        <v>0</v>
      </c>
      <c r="M2633" s="14">
        <f>IF(B2633="Frete de venda",0,(1-ISNUMBER(SEARCH("556",P2633)))*(I2633*VLOOKUP($B2633,Premissas!$A$4:$E$7,2,0)+J2633*VLOOKUP($B2633,Premissas!$A$4:$E$7,3,0))+K2633*VLOOKUP($B2633,Premissas!$A$4:$E$7,4,0)+L2633*VLOOKUP($B2633,Premissas!$A$4:$E$7,5,0))</f>
        <v/>
      </c>
      <c r="N2633" s="14">
        <f>H2633-M2633</f>
        <v/>
      </c>
      <c r="O2633" t="inlineStr">
        <is>
          <t>Não</t>
        </is>
      </c>
      <c r="P2633" t="inlineStr">
        <is>
          <t>1.350</t>
        </is>
      </c>
    </row>
    <row r="2634">
      <c r="A2634" s="24" t="n">
        <v>46082</v>
      </c>
      <c r="B2634" t="inlineStr">
        <is>
          <t>Frete de venda</t>
        </is>
      </c>
      <c r="C2634" t="inlineStr">
        <is>
          <t>Frete de venda (para clientes)</t>
        </is>
      </c>
      <c r="D2634" t="inlineStr">
        <is>
          <t>CT-e</t>
        </is>
      </c>
      <c r="E2634" t="inlineStr">
        <is>
          <t>000006513</t>
        </is>
      </c>
      <c r="F2634" t="inlineStr">
        <is>
          <t>R&amp;R TRANSPORTE E LOGISTICA</t>
        </is>
      </c>
      <c r="G2634" s="27" t="n">
        <v>46085</v>
      </c>
      <c r="H2634" s="14" t="n">
        <v>14.37</v>
      </c>
      <c r="I2634" s="14" t="n">
        <v>0</v>
      </c>
      <c r="J2634" s="14" t="n">
        <v>0</v>
      </c>
      <c r="K2634" s="14" t="n">
        <v>0</v>
      </c>
      <c r="L2634" s="14" t="n">
        <v>0</v>
      </c>
      <c r="M2634" s="14">
        <f>IF(B2634="Frete de venda",0,(1-ISNUMBER(SEARCH("556",P2634)))*(I2634*VLOOKUP($B2634,Premissas!$A$4:$E$7,2,0)+J2634*VLOOKUP($B2634,Premissas!$A$4:$E$7,3,0))+K2634*VLOOKUP($B2634,Premissas!$A$4:$E$7,4,0)+L2634*VLOOKUP($B2634,Premissas!$A$4:$E$7,5,0))</f>
        <v/>
      </c>
      <c r="N2634" s="14">
        <f>H2634-M2634</f>
        <v/>
      </c>
      <c r="O2634" t="inlineStr">
        <is>
          <t>Não</t>
        </is>
      </c>
      <c r="P2634" t="inlineStr">
        <is>
          <t>1.350</t>
        </is>
      </c>
    </row>
    <row r="2635">
      <c r="A2635" s="24" t="n">
        <v>46082</v>
      </c>
      <c r="B2635" t="inlineStr">
        <is>
          <t>Frete de venda</t>
        </is>
      </c>
      <c r="C2635" t="inlineStr">
        <is>
          <t>Frete de venda (para clientes)</t>
        </is>
      </c>
      <c r="D2635" t="inlineStr">
        <is>
          <t>CT-e</t>
        </is>
      </c>
      <c r="E2635" t="inlineStr">
        <is>
          <t>000000639</t>
        </is>
      </c>
      <c r="F2635" t="inlineStr">
        <is>
          <t>REIMAG - REINALDO DOMINGUES BARROS DA SILVA</t>
        </is>
      </c>
      <c r="G2635" s="27" t="n">
        <v>46100</v>
      </c>
      <c r="H2635" s="14" t="n">
        <v>900</v>
      </c>
      <c r="I2635" s="14" t="n">
        <v>0</v>
      </c>
      <c r="J2635" s="14" t="n">
        <v>0</v>
      </c>
      <c r="K2635" s="14" t="n">
        <v>0</v>
      </c>
      <c r="L2635" s="14" t="n">
        <v>0</v>
      </c>
      <c r="M2635" s="14">
        <f>IF(B2635="Frete de venda",0,(1-ISNUMBER(SEARCH("556",P2635)))*(I2635*VLOOKUP($B2635,Premissas!$A$4:$E$7,2,0)+J2635*VLOOKUP($B2635,Premissas!$A$4:$E$7,3,0))+K2635*VLOOKUP($B2635,Premissas!$A$4:$E$7,4,0)+L2635*VLOOKUP($B2635,Premissas!$A$4:$E$7,5,0))</f>
        <v/>
      </c>
      <c r="N2635" s="14">
        <f>H2635-M2635</f>
        <v/>
      </c>
      <c r="O2635" t="inlineStr">
        <is>
          <t>Sim</t>
        </is>
      </c>
      <c r="P2635" t="inlineStr">
        <is>
          <t>1.350</t>
        </is>
      </c>
    </row>
    <row r="2636">
      <c r="A2636" s="24" t="n">
        <v>46082</v>
      </c>
      <c r="B2636" t="inlineStr">
        <is>
          <t>Frete de venda</t>
        </is>
      </c>
      <c r="C2636" t="inlineStr">
        <is>
          <t>Frete de venda (para clientes)</t>
        </is>
      </c>
      <c r="D2636" t="inlineStr">
        <is>
          <t>CT-e</t>
        </is>
      </c>
      <c r="E2636" t="inlineStr">
        <is>
          <t>000006610</t>
        </is>
      </c>
      <c r="F2636" t="inlineStr">
        <is>
          <t>R&amp;R TRANSPORTE E LOGISTICA</t>
        </is>
      </c>
      <c r="G2636" s="27" t="n">
        <v>46097</v>
      </c>
      <c r="H2636" s="14" t="n">
        <v>53.66</v>
      </c>
      <c r="I2636" s="14" t="n">
        <v>0</v>
      </c>
      <c r="J2636" s="14" t="n">
        <v>0</v>
      </c>
      <c r="K2636" s="14" t="n">
        <v>0</v>
      </c>
      <c r="L2636" s="14" t="n">
        <v>0</v>
      </c>
      <c r="M2636" s="14">
        <f>IF(B2636="Frete de venda",0,(1-ISNUMBER(SEARCH("556",P2636)))*(I2636*VLOOKUP($B2636,Premissas!$A$4:$E$7,2,0)+J2636*VLOOKUP($B2636,Premissas!$A$4:$E$7,3,0))+K2636*VLOOKUP($B2636,Premissas!$A$4:$E$7,4,0)+L2636*VLOOKUP($B2636,Premissas!$A$4:$E$7,5,0))</f>
        <v/>
      </c>
      <c r="N2636" s="14">
        <f>H2636-M2636</f>
        <v/>
      </c>
      <c r="O2636" t="inlineStr">
        <is>
          <t>Não</t>
        </is>
      </c>
      <c r="P2636" t="inlineStr">
        <is>
          <t>1.350</t>
        </is>
      </c>
    </row>
    <row r="2637">
      <c r="A2637" s="24" t="n">
        <v>46082</v>
      </c>
      <c r="B2637" t="inlineStr">
        <is>
          <t>Frete de venda</t>
        </is>
      </c>
      <c r="C2637" t="inlineStr">
        <is>
          <t>Frete de venda (para clientes)</t>
        </is>
      </c>
      <c r="D2637" t="inlineStr">
        <is>
          <t>CT-e</t>
        </is>
      </c>
      <c r="E2637" t="inlineStr">
        <is>
          <t>000006585</t>
        </is>
      </c>
      <c r="F2637" t="inlineStr">
        <is>
          <t>R&amp;R TRANSPORTE E LOGISTICA</t>
        </is>
      </c>
      <c r="G2637" s="27" t="n">
        <v>46097</v>
      </c>
      <c r="H2637" s="14" t="n">
        <v>22.89</v>
      </c>
      <c r="I2637" s="14" t="n">
        <v>0</v>
      </c>
      <c r="J2637" s="14" t="n">
        <v>0</v>
      </c>
      <c r="K2637" s="14" t="n">
        <v>0</v>
      </c>
      <c r="L2637" s="14" t="n">
        <v>0</v>
      </c>
      <c r="M2637" s="14">
        <f>IF(B2637="Frete de venda",0,(1-ISNUMBER(SEARCH("556",P2637)))*(I2637*VLOOKUP($B2637,Premissas!$A$4:$E$7,2,0)+J2637*VLOOKUP($B2637,Premissas!$A$4:$E$7,3,0))+K2637*VLOOKUP($B2637,Premissas!$A$4:$E$7,4,0)+L2637*VLOOKUP($B2637,Premissas!$A$4:$E$7,5,0))</f>
        <v/>
      </c>
      <c r="N2637" s="14">
        <f>H2637-M2637</f>
        <v/>
      </c>
      <c r="O2637" t="inlineStr">
        <is>
          <t>Não</t>
        </is>
      </c>
      <c r="P2637" t="inlineStr">
        <is>
          <t>1.350</t>
        </is>
      </c>
    </row>
    <row r="2638">
      <c r="A2638" s="24" t="n">
        <v>46082</v>
      </c>
      <c r="B2638" t="inlineStr">
        <is>
          <t>Frete de venda</t>
        </is>
      </c>
      <c r="C2638" t="inlineStr">
        <is>
          <t>Frete de venda (para clientes)</t>
        </is>
      </c>
      <c r="D2638" t="inlineStr">
        <is>
          <t>CT-e</t>
        </is>
      </c>
      <c r="E2638" t="inlineStr">
        <is>
          <t>001421731</t>
        </is>
      </c>
      <c r="F2638" t="inlineStr">
        <is>
          <t>PICCOLI TRANSPORTES LTDA</t>
        </is>
      </c>
      <c r="G2638" s="27" t="n">
        <v>46107</v>
      </c>
      <c r="H2638" s="14" t="n">
        <v>0.1</v>
      </c>
      <c r="I2638" s="14" t="n">
        <v>0</v>
      </c>
      <c r="J2638" s="14" t="n">
        <v>0.01</v>
      </c>
      <c r="K2638" s="14" t="n">
        <v>0</v>
      </c>
      <c r="L2638" s="14" t="n">
        <v>0</v>
      </c>
      <c r="M2638" s="14">
        <f>IF(B2638="Frete de venda",0,(1-ISNUMBER(SEARCH("556",P2638)))*(I2638*VLOOKUP($B2638,Premissas!$A$4:$E$7,2,0)+J2638*VLOOKUP($B2638,Premissas!$A$4:$E$7,3,0))+K2638*VLOOKUP($B2638,Premissas!$A$4:$E$7,4,0)+L2638*VLOOKUP($B2638,Premissas!$A$4:$E$7,5,0))</f>
        <v/>
      </c>
      <c r="N2638" s="14">
        <f>H2638-M2638</f>
        <v/>
      </c>
      <c r="O2638" t="inlineStr">
        <is>
          <t>Não</t>
        </is>
      </c>
      <c r="P2638" t="inlineStr">
        <is>
          <t>2.350</t>
        </is>
      </c>
    </row>
    <row r="2639">
      <c r="A2639" s="24" t="n">
        <v>46082</v>
      </c>
      <c r="B2639" t="inlineStr">
        <is>
          <t>Frete de venda</t>
        </is>
      </c>
      <c r="C2639" t="inlineStr">
        <is>
          <t>Frete de venda (para clientes)</t>
        </is>
      </c>
      <c r="D2639" t="inlineStr">
        <is>
          <t>CT-e</t>
        </is>
      </c>
      <c r="E2639" t="inlineStr">
        <is>
          <t>001421985</t>
        </is>
      </c>
      <c r="F2639" t="inlineStr">
        <is>
          <t>PICCOLI TRANSPORTES LTDA</t>
        </is>
      </c>
      <c r="G2639" s="27" t="n">
        <v>46108</v>
      </c>
      <c r="H2639" s="14" t="n">
        <v>666.5700000000001</v>
      </c>
      <c r="I2639" s="14" t="n">
        <v>0</v>
      </c>
      <c r="J2639" s="14" t="n">
        <v>46.66</v>
      </c>
      <c r="K2639" s="14" t="n">
        <v>0</v>
      </c>
      <c r="L2639" s="14" t="n">
        <v>0</v>
      </c>
      <c r="M2639" s="14">
        <f>IF(B2639="Frete de venda",0,(1-ISNUMBER(SEARCH("556",P2639)))*(I2639*VLOOKUP($B2639,Premissas!$A$4:$E$7,2,0)+J2639*VLOOKUP($B2639,Premissas!$A$4:$E$7,3,0))+K2639*VLOOKUP($B2639,Premissas!$A$4:$E$7,4,0)+L2639*VLOOKUP($B2639,Premissas!$A$4:$E$7,5,0))</f>
        <v/>
      </c>
      <c r="N2639" s="14">
        <f>H2639-M2639</f>
        <v/>
      </c>
      <c r="O2639" t="inlineStr">
        <is>
          <t>Sim</t>
        </is>
      </c>
      <c r="P2639" t="inlineStr">
        <is>
          <t>1.350</t>
        </is>
      </c>
    </row>
    <row r="2640">
      <c r="A2640" s="24" t="n">
        <v>46082</v>
      </c>
      <c r="B2640" t="inlineStr">
        <is>
          <t>Frete de venda</t>
        </is>
      </c>
      <c r="C2640" t="inlineStr">
        <is>
          <t>Frete de venda (para clientes)</t>
        </is>
      </c>
      <c r="D2640" t="inlineStr">
        <is>
          <t>CT-e</t>
        </is>
      </c>
      <c r="E2640" t="inlineStr">
        <is>
          <t>000006606</t>
        </is>
      </c>
      <c r="F2640" t="inlineStr">
        <is>
          <t>R&amp;R TRANSPORTE E LOGISTICA</t>
        </is>
      </c>
      <c r="G2640" s="27" t="n">
        <v>46097</v>
      </c>
      <c r="H2640" s="14" t="n">
        <v>26.96</v>
      </c>
      <c r="I2640" s="14" t="n">
        <v>0</v>
      </c>
      <c r="J2640" s="14" t="n">
        <v>0</v>
      </c>
      <c r="K2640" s="14" t="n">
        <v>0</v>
      </c>
      <c r="L2640" s="14" t="n">
        <v>0</v>
      </c>
      <c r="M2640" s="14">
        <f>IF(B2640="Frete de venda",0,(1-ISNUMBER(SEARCH("556",P2640)))*(I2640*VLOOKUP($B2640,Premissas!$A$4:$E$7,2,0)+J2640*VLOOKUP($B2640,Premissas!$A$4:$E$7,3,0))+K2640*VLOOKUP($B2640,Premissas!$A$4:$E$7,4,0)+L2640*VLOOKUP($B2640,Premissas!$A$4:$E$7,5,0))</f>
        <v/>
      </c>
      <c r="N2640" s="14">
        <f>H2640-M2640</f>
        <v/>
      </c>
      <c r="O2640" t="inlineStr">
        <is>
          <t>Não</t>
        </is>
      </c>
      <c r="P2640" t="inlineStr">
        <is>
          <t>1.350</t>
        </is>
      </c>
    </row>
    <row r="2641">
      <c r="A2641" s="24" t="n">
        <v>46082</v>
      </c>
      <c r="B2641" t="inlineStr">
        <is>
          <t>Frete de venda</t>
        </is>
      </c>
      <c r="C2641" t="inlineStr">
        <is>
          <t>Frete de venda (para clientes)</t>
        </is>
      </c>
      <c r="D2641" t="inlineStr">
        <is>
          <t>CT-e</t>
        </is>
      </c>
      <c r="E2641" t="inlineStr">
        <is>
          <t>000006605</t>
        </is>
      </c>
      <c r="F2641" t="inlineStr">
        <is>
          <t>R&amp;R TRANSPORTE E LOGISTICA</t>
        </is>
      </c>
      <c r="G2641" s="27" t="n">
        <v>46097</v>
      </c>
      <c r="H2641" s="14" t="n">
        <v>12.42</v>
      </c>
      <c r="I2641" s="14" t="n">
        <v>0</v>
      </c>
      <c r="J2641" s="14" t="n">
        <v>0</v>
      </c>
      <c r="K2641" s="14" t="n">
        <v>0</v>
      </c>
      <c r="L2641" s="14" t="n">
        <v>0</v>
      </c>
      <c r="M2641" s="14">
        <f>IF(B2641="Frete de venda",0,(1-ISNUMBER(SEARCH("556",P2641)))*(I2641*VLOOKUP($B2641,Premissas!$A$4:$E$7,2,0)+J2641*VLOOKUP($B2641,Premissas!$A$4:$E$7,3,0))+K2641*VLOOKUP($B2641,Premissas!$A$4:$E$7,4,0)+L2641*VLOOKUP($B2641,Premissas!$A$4:$E$7,5,0))</f>
        <v/>
      </c>
      <c r="N2641" s="14">
        <f>H2641-M2641</f>
        <v/>
      </c>
      <c r="O2641" t="inlineStr">
        <is>
          <t>Não</t>
        </is>
      </c>
      <c r="P2641" t="inlineStr">
        <is>
          <t>1.350</t>
        </is>
      </c>
    </row>
    <row r="2642">
      <c r="A2642" s="24" t="n">
        <v>46082</v>
      </c>
      <c r="B2642" t="inlineStr">
        <is>
          <t>Frete de venda</t>
        </is>
      </c>
      <c r="C2642" t="inlineStr">
        <is>
          <t>Frete de venda (para clientes)</t>
        </is>
      </c>
      <c r="D2642" t="inlineStr">
        <is>
          <t>CT-e</t>
        </is>
      </c>
      <c r="E2642" t="inlineStr">
        <is>
          <t>000000640</t>
        </is>
      </c>
      <c r="F2642" t="inlineStr">
        <is>
          <t>REIMAG - REINALDO DOMINGUES BARROS DA SILVA</t>
        </is>
      </c>
      <c r="G2642" s="27" t="n">
        <v>46100</v>
      </c>
      <c r="H2642" s="14" t="n">
        <v>900</v>
      </c>
      <c r="I2642" s="14" t="n">
        <v>0</v>
      </c>
      <c r="J2642" s="14" t="n">
        <v>0</v>
      </c>
      <c r="K2642" s="14" t="n">
        <v>0</v>
      </c>
      <c r="L2642" s="14" t="n">
        <v>0</v>
      </c>
      <c r="M2642" s="14">
        <f>IF(B2642="Frete de venda",0,(1-ISNUMBER(SEARCH("556",P2642)))*(I2642*VLOOKUP($B2642,Premissas!$A$4:$E$7,2,0)+J2642*VLOOKUP($B2642,Premissas!$A$4:$E$7,3,0))+K2642*VLOOKUP($B2642,Premissas!$A$4:$E$7,4,0)+L2642*VLOOKUP($B2642,Premissas!$A$4:$E$7,5,0))</f>
        <v/>
      </c>
      <c r="N2642" s="14">
        <f>H2642-M2642</f>
        <v/>
      </c>
      <c r="O2642" t="inlineStr">
        <is>
          <t>Sim</t>
        </is>
      </c>
      <c r="P2642" t="inlineStr">
        <is>
          <t>1.350</t>
        </is>
      </c>
    </row>
    <row r="2643">
      <c r="A2643" s="24" t="n">
        <v>46082</v>
      </c>
      <c r="B2643" t="inlineStr">
        <is>
          <t>Frete de venda</t>
        </is>
      </c>
      <c r="C2643" t="inlineStr">
        <is>
          <t>Frete de venda (para clientes)</t>
        </is>
      </c>
      <c r="D2643" t="inlineStr">
        <is>
          <t>CT-e</t>
        </is>
      </c>
      <c r="E2643" t="inlineStr">
        <is>
          <t>000006604</t>
        </is>
      </c>
      <c r="F2643" t="inlineStr">
        <is>
          <t>R&amp;R TRANSPORTE E LOGISTICA</t>
        </is>
      </c>
      <c r="G2643" s="27" t="n">
        <v>46097</v>
      </c>
      <c r="H2643" s="14" t="n">
        <v>16.94</v>
      </c>
      <c r="I2643" s="14" t="n">
        <v>0</v>
      </c>
      <c r="J2643" s="14" t="n">
        <v>0</v>
      </c>
      <c r="K2643" s="14" t="n">
        <v>0</v>
      </c>
      <c r="L2643" s="14" t="n">
        <v>0</v>
      </c>
      <c r="M2643" s="14">
        <f>IF(B2643="Frete de venda",0,(1-ISNUMBER(SEARCH("556",P2643)))*(I2643*VLOOKUP($B2643,Premissas!$A$4:$E$7,2,0)+J2643*VLOOKUP($B2643,Premissas!$A$4:$E$7,3,0))+K2643*VLOOKUP($B2643,Premissas!$A$4:$E$7,4,0)+L2643*VLOOKUP($B2643,Premissas!$A$4:$E$7,5,0))</f>
        <v/>
      </c>
      <c r="N2643" s="14">
        <f>H2643-M2643</f>
        <v/>
      </c>
      <c r="O2643" t="inlineStr">
        <is>
          <t>Não</t>
        </is>
      </c>
      <c r="P2643" t="inlineStr">
        <is>
          <t>1.350</t>
        </is>
      </c>
    </row>
    <row r="2644">
      <c r="A2644" s="24" t="n">
        <v>46082</v>
      </c>
      <c r="B2644" t="inlineStr">
        <is>
          <t>Frete de venda</t>
        </is>
      </c>
      <c r="C2644" t="inlineStr">
        <is>
          <t>Frete de venda (para clientes)</t>
        </is>
      </c>
      <c r="D2644" t="inlineStr">
        <is>
          <t>CT-e</t>
        </is>
      </c>
      <c r="E2644" t="inlineStr">
        <is>
          <t>000006509</t>
        </is>
      </c>
      <c r="F2644" t="inlineStr">
        <is>
          <t>R&amp;R TRANSPORTE E LOGISTICA</t>
        </is>
      </c>
      <c r="G2644" s="27" t="n">
        <v>46085</v>
      </c>
      <c r="H2644" s="14" t="n">
        <v>12.9</v>
      </c>
      <c r="I2644" s="14" t="n">
        <v>0</v>
      </c>
      <c r="J2644" s="14" t="n">
        <v>0</v>
      </c>
      <c r="K2644" s="14" t="n">
        <v>0</v>
      </c>
      <c r="L2644" s="14" t="n">
        <v>0</v>
      </c>
      <c r="M2644" s="14">
        <f>IF(B2644="Frete de venda",0,(1-ISNUMBER(SEARCH("556",P2644)))*(I2644*VLOOKUP($B2644,Premissas!$A$4:$E$7,2,0)+J2644*VLOOKUP($B2644,Premissas!$A$4:$E$7,3,0))+K2644*VLOOKUP($B2644,Premissas!$A$4:$E$7,4,0)+L2644*VLOOKUP($B2644,Premissas!$A$4:$E$7,5,0))</f>
        <v/>
      </c>
      <c r="N2644" s="14">
        <f>H2644-M2644</f>
        <v/>
      </c>
      <c r="O2644" t="inlineStr">
        <is>
          <t>Não</t>
        </is>
      </c>
      <c r="P2644" t="inlineStr">
        <is>
          <t>1.350</t>
        </is>
      </c>
    </row>
    <row r="2645">
      <c r="A2645" s="24" t="n">
        <v>46082</v>
      </c>
      <c r="B2645" t="inlineStr">
        <is>
          <t>Frete de venda</t>
        </is>
      </c>
      <c r="C2645" t="inlineStr">
        <is>
          <t>Frete de venda (para clientes)</t>
        </is>
      </c>
      <c r="D2645" t="inlineStr">
        <is>
          <t>CT-e</t>
        </is>
      </c>
      <c r="E2645" t="inlineStr">
        <is>
          <t>000006474</t>
        </is>
      </c>
      <c r="F2645" t="inlineStr">
        <is>
          <t>R&amp;R TRANSPORTE E LOGISTICA</t>
        </is>
      </c>
      <c r="G2645" s="27" t="n">
        <v>46083</v>
      </c>
      <c r="H2645" s="14" t="n">
        <v>14.02</v>
      </c>
      <c r="I2645" s="14" t="n">
        <v>0</v>
      </c>
      <c r="J2645" s="14" t="n">
        <v>0</v>
      </c>
      <c r="K2645" s="14" t="n">
        <v>0</v>
      </c>
      <c r="L2645" s="14" t="n">
        <v>0</v>
      </c>
      <c r="M2645" s="14">
        <f>IF(B2645="Frete de venda",0,(1-ISNUMBER(SEARCH("556",P2645)))*(I2645*VLOOKUP($B2645,Premissas!$A$4:$E$7,2,0)+J2645*VLOOKUP($B2645,Premissas!$A$4:$E$7,3,0))+K2645*VLOOKUP($B2645,Premissas!$A$4:$E$7,4,0)+L2645*VLOOKUP($B2645,Premissas!$A$4:$E$7,5,0))</f>
        <v/>
      </c>
      <c r="N2645" s="14">
        <f>H2645-M2645</f>
        <v/>
      </c>
      <c r="O2645" t="inlineStr">
        <is>
          <t>Não</t>
        </is>
      </c>
      <c r="P2645" t="inlineStr">
        <is>
          <t>1.350</t>
        </is>
      </c>
    </row>
    <row r="2646">
      <c r="A2646" s="24" t="n">
        <v>46082</v>
      </c>
      <c r="B2646" t="inlineStr">
        <is>
          <t>Frete de venda</t>
        </is>
      </c>
      <c r="C2646" t="inlineStr">
        <is>
          <t>Frete de venda (para clientes)</t>
        </is>
      </c>
      <c r="D2646" t="inlineStr">
        <is>
          <t>CT-e</t>
        </is>
      </c>
      <c r="E2646" t="inlineStr">
        <is>
          <t>000006562</t>
        </is>
      </c>
      <c r="F2646" t="inlineStr">
        <is>
          <t>R&amp;R TRANSPORTE E LOGISTICA</t>
        </is>
      </c>
      <c r="G2646" s="27" t="n">
        <v>46093</v>
      </c>
      <c r="H2646" s="14" t="n">
        <v>43.82</v>
      </c>
      <c r="I2646" s="14" t="n">
        <v>0</v>
      </c>
      <c r="J2646" s="14" t="n">
        <v>0</v>
      </c>
      <c r="K2646" s="14" t="n">
        <v>0</v>
      </c>
      <c r="L2646" s="14" t="n">
        <v>0</v>
      </c>
      <c r="M2646" s="14">
        <f>IF(B2646="Frete de venda",0,(1-ISNUMBER(SEARCH("556",P2646)))*(I2646*VLOOKUP($B2646,Premissas!$A$4:$E$7,2,0)+J2646*VLOOKUP($B2646,Premissas!$A$4:$E$7,3,0))+K2646*VLOOKUP($B2646,Premissas!$A$4:$E$7,4,0)+L2646*VLOOKUP($B2646,Premissas!$A$4:$E$7,5,0))</f>
        <v/>
      </c>
      <c r="N2646" s="14">
        <f>H2646-M2646</f>
        <v/>
      </c>
      <c r="O2646" t="inlineStr">
        <is>
          <t>Não</t>
        </is>
      </c>
      <c r="P2646" t="inlineStr">
        <is>
          <t>1.350</t>
        </is>
      </c>
    </row>
    <row r="2647">
      <c r="A2647" s="24" t="n">
        <v>46082</v>
      </c>
      <c r="B2647" t="inlineStr">
        <is>
          <t>Frete de venda</t>
        </is>
      </c>
      <c r="C2647" t="inlineStr">
        <is>
          <t>Frete de venda (para clientes)</t>
        </is>
      </c>
      <c r="D2647" t="inlineStr">
        <is>
          <t>CT-e</t>
        </is>
      </c>
      <c r="E2647" t="inlineStr">
        <is>
          <t>000006570</t>
        </is>
      </c>
      <c r="F2647" t="inlineStr">
        <is>
          <t>R&amp;R TRANSPORTE E LOGISTICA</t>
        </is>
      </c>
      <c r="G2647" s="27" t="n">
        <v>46095</v>
      </c>
      <c r="H2647" s="14" t="n">
        <v>106.64</v>
      </c>
      <c r="I2647" s="14" t="n">
        <v>0</v>
      </c>
      <c r="J2647" s="14" t="n">
        <v>0</v>
      </c>
      <c r="K2647" s="14" t="n">
        <v>0</v>
      </c>
      <c r="L2647" s="14" t="n">
        <v>0</v>
      </c>
      <c r="M2647" s="14">
        <f>IF(B2647="Frete de venda",0,(1-ISNUMBER(SEARCH("556",P2647)))*(I2647*VLOOKUP($B2647,Premissas!$A$4:$E$7,2,0)+J2647*VLOOKUP($B2647,Premissas!$A$4:$E$7,3,0))+K2647*VLOOKUP($B2647,Premissas!$A$4:$E$7,4,0)+L2647*VLOOKUP($B2647,Premissas!$A$4:$E$7,5,0))</f>
        <v/>
      </c>
      <c r="N2647" s="14">
        <f>H2647-M2647</f>
        <v/>
      </c>
      <c r="O2647" t="inlineStr">
        <is>
          <t>Não</t>
        </is>
      </c>
      <c r="P2647" t="inlineStr">
        <is>
          <t>1.350</t>
        </is>
      </c>
    </row>
    <row r="2648">
      <c r="A2648" s="24" t="n">
        <v>46082</v>
      </c>
      <c r="B2648" t="inlineStr">
        <is>
          <t>Frete de venda</t>
        </is>
      </c>
      <c r="C2648" t="inlineStr">
        <is>
          <t>Frete de venda (para clientes)</t>
        </is>
      </c>
      <c r="D2648" t="inlineStr">
        <is>
          <t>CT-e</t>
        </is>
      </c>
      <c r="E2648" t="inlineStr">
        <is>
          <t>000006571</t>
        </is>
      </c>
      <c r="F2648" t="inlineStr">
        <is>
          <t>R&amp;R TRANSPORTE E LOGISTICA</t>
        </is>
      </c>
      <c r="G2648" s="27" t="n">
        <v>46095</v>
      </c>
      <c r="H2648" s="14" t="n">
        <v>131.38</v>
      </c>
      <c r="I2648" s="14" t="n">
        <v>0</v>
      </c>
      <c r="J2648" s="14" t="n">
        <v>0</v>
      </c>
      <c r="K2648" s="14" t="n">
        <v>0</v>
      </c>
      <c r="L2648" s="14" t="n">
        <v>0</v>
      </c>
      <c r="M2648" s="14">
        <f>IF(B2648="Frete de venda",0,(1-ISNUMBER(SEARCH("556",P2648)))*(I2648*VLOOKUP($B2648,Premissas!$A$4:$E$7,2,0)+J2648*VLOOKUP($B2648,Premissas!$A$4:$E$7,3,0))+K2648*VLOOKUP($B2648,Premissas!$A$4:$E$7,4,0)+L2648*VLOOKUP($B2648,Premissas!$A$4:$E$7,5,0))</f>
        <v/>
      </c>
      <c r="N2648" s="14">
        <f>H2648-M2648</f>
        <v/>
      </c>
      <c r="O2648" t="inlineStr">
        <is>
          <t>Não</t>
        </is>
      </c>
      <c r="P2648" t="inlineStr">
        <is>
          <t>1.350</t>
        </is>
      </c>
    </row>
    <row r="2649">
      <c r="A2649" s="24" t="n">
        <v>46082</v>
      </c>
      <c r="B2649" t="inlineStr">
        <is>
          <t>Frete de venda</t>
        </is>
      </c>
      <c r="C2649" t="inlineStr">
        <is>
          <t>Frete de venda (para clientes)</t>
        </is>
      </c>
      <c r="D2649" t="inlineStr">
        <is>
          <t>CT-e</t>
        </is>
      </c>
      <c r="E2649" t="inlineStr">
        <is>
          <t>000006593</t>
        </is>
      </c>
      <c r="F2649" t="inlineStr">
        <is>
          <t>R&amp;R TRANSPORTE E LOGISTICA</t>
        </is>
      </c>
      <c r="G2649" s="27" t="n">
        <v>46097</v>
      </c>
      <c r="H2649" s="14" t="n">
        <v>11.95</v>
      </c>
      <c r="I2649" s="14" t="n">
        <v>0</v>
      </c>
      <c r="J2649" s="14" t="n">
        <v>0</v>
      </c>
      <c r="K2649" s="14" t="n">
        <v>0</v>
      </c>
      <c r="L2649" s="14" t="n">
        <v>0</v>
      </c>
      <c r="M2649" s="14">
        <f>IF(B2649="Frete de venda",0,(1-ISNUMBER(SEARCH("556",P2649)))*(I2649*VLOOKUP($B2649,Premissas!$A$4:$E$7,2,0)+J2649*VLOOKUP($B2649,Premissas!$A$4:$E$7,3,0))+K2649*VLOOKUP($B2649,Premissas!$A$4:$E$7,4,0)+L2649*VLOOKUP($B2649,Premissas!$A$4:$E$7,5,0))</f>
        <v/>
      </c>
      <c r="N2649" s="14">
        <f>H2649-M2649</f>
        <v/>
      </c>
      <c r="O2649" t="inlineStr">
        <is>
          <t>Não</t>
        </is>
      </c>
      <c r="P2649" t="inlineStr">
        <is>
          <t>1.350</t>
        </is>
      </c>
    </row>
    <row r="2650">
      <c r="A2650" s="24" t="n">
        <v>46082</v>
      </c>
      <c r="B2650" t="inlineStr">
        <is>
          <t>Frete de venda</t>
        </is>
      </c>
      <c r="C2650" t="inlineStr">
        <is>
          <t>Frete de venda (para clientes)</t>
        </is>
      </c>
      <c r="D2650" t="inlineStr">
        <is>
          <t>CT-e</t>
        </is>
      </c>
      <c r="E2650" t="inlineStr">
        <is>
          <t>000006560</t>
        </is>
      </c>
      <c r="F2650" t="inlineStr">
        <is>
          <t>R&amp;R TRANSPORTE E LOGISTICA</t>
        </is>
      </c>
      <c r="G2650" s="27" t="n">
        <v>46093</v>
      </c>
      <c r="H2650" s="14" t="n">
        <v>40.45</v>
      </c>
      <c r="I2650" s="14" t="n">
        <v>0</v>
      </c>
      <c r="J2650" s="14" t="n">
        <v>0</v>
      </c>
      <c r="K2650" s="14" t="n">
        <v>0</v>
      </c>
      <c r="L2650" s="14" t="n">
        <v>0</v>
      </c>
      <c r="M2650" s="14">
        <f>IF(B2650="Frete de venda",0,(1-ISNUMBER(SEARCH("556",P2650)))*(I2650*VLOOKUP($B2650,Premissas!$A$4:$E$7,2,0)+J2650*VLOOKUP($B2650,Premissas!$A$4:$E$7,3,0))+K2650*VLOOKUP($B2650,Premissas!$A$4:$E$7,4,0)+L2650*VLOOKUP($B2650,Premissas!$A$4:$E$7,5,0))</f>
        <v/>
      </c>
      <c r="N2650" s="14">
        <f>H2650-M2650</f>
        <v/>
      </c>
      <c r="O2650" t="inlineStr">
        <is>
          <t>Não</t>
        </is>
      </c>
      <c r="P2650" t="inlineStr">
        <is>
          <t>1.350</t>
        </is>
      </c>
    </row>
    <row r="2651">
      <c r="A2651" s="24" t="n">
        <v>46082</v>
      </c>
      <c r="B2651" t="inlineStr">
        <is>
          <t>Frete de venda</t>
        </is>
      </c>
      <c r="C2651" t="inlineStr">
        <is>
          <t>Frete de venda (para clientes)</t>
        </is>
      </c>
      <c r="D2651" t="inlineStr">
        <is>
          <t>CT-e</t>
        </is>
      </c>
      <c r="E2651" t="inlineStr">
        <is>
          <t>000006598</t>
        </is>
      </c>
      <c r="F2651" t="inlineStr">
        <is>
          <t>R&amp;R TRANSPORTE E LOGISTICA</t>
        </is>
      </c>
      <c r="G2651" s="27" t="n">
        <v>46097</v>
      </c>
      <c r="H2651" s="14" t="n">
        <v>24.98</v>
      </c>
      <c r="I2651" s="14" t="n">
        <v>0</v>
      </c>
      <c r="J2651" s="14" t="n">
        <v>0</v>
      </c>
      <c r="K2651" s="14" t="n">
        <v>0</v>
      </c>
      <c r="L2651" s="14" t="n">
        <v>0</v>
      </c>
      <c r="M2651" s="14">
        <f>IF(B2651="Frete de venda",0,(1-ISNUMBER(SEARCH("556",P2651)))*(I2651*VLOOKUP($B2651,Premissas!$A$4:$E$7,2,0)+J2651*VLOOKUP($B2651,Premissas!$A$4:$E$7,3,0))+K2651*VLOOKUP($B2651,Premissas!$A$4:$E$7,4,0)+L2651*VLOOKUP($B2651,Premissas!$A$4:$E$7,5,0))</f>
        <v/>
      </c>
      <c r="N2651" s="14">
        <f>H2651-M2651</f>
        <v/>
      </c>
      <c r="O2651" t="inlineStr">
        <is>
          <t>Não</t>
        </is>
      </c>
      <c r="P2651" t="inlineStr">
        <is>
          <t>1.350</t>
        </is>
      </c>
    </row>
    <row r="2652">
      <c r="A2652" s="24" t="n">
        <v>46082</v>
      </c>
      <c r="B2652" t="inlineStr">
        <is>
          <t>Frete de venda</t>
        </is>
      </c>
      <c r="C2652" t="inlineStr">
        <is>
          <t>Frete de venda (para clientes)</t>
        </is>
      </c>
      <c r="D2652" t="inlineStr">
        <is>
          <t>CT-e</t>
        </is>
      </c>
      <c r="E2652" t="inlineStr">
        <is>
          <t>000006612</t>
        </is>
      </c>
      <c r="F2652" t="inlineStr">
        <is>
          <t>R&amp;R TRANSPORTE E LOGISTICA</t>
        </is>
      </c>
      <c r="G2652" s="27" t="n">
        <v>46097</v>
      </c>
      <c r="H2652" s="14" t="n">
        <v>14.65</v>
      </c>
      <c r="I2652" s="14" t="n">
        <v>0</v>
      </c>
      <c r="J2652" s="14" t="n">
        <v>0</v>
      </c>
      <c r="K2652" s="14" t="n">
        <v>0</v>
      </c>
      <c r="L2652" s="14" t="n">
        <v>0</v>
      </c>
      <c r="M2652" s="14">
        <f>IF(B2652="Frete de venda",0,(1-ISNUMBER(SEARCH("556",P2652)))*(I2652*VLOOKUP($B2652,Premissas!$A$4:$E$7,2,0)+J2652*VLOOKUP($B2652,Premissas!$A$4:$E$7,3,0))+K2652*VLOOKUP($B2652,Premissas!$A$4:$E$7,4,0)+L2652*VLOOKUP($B2652,Premissas!$A$4:$E$7,5,0))</f>
        <v/>
      </c>
      <c r="N2652" s="14">
        <f>H2652-M2652</f>
        <v/>
      </c>
      <c r="O2652" t="inlineStr">
        <is>
          <t>Não</t>
        </is>
      </c>
      <c r="P2652" t="inlineStr">
        <is>
          <t>1.350</t>
        </is>
      </c>
    </row>
    <row r="2653">
      <c r="A2653" s="24" t="n">
        <v>46082</v>
      </c>
      <c r="B2653" t="inlineStr">
        <is>
          <t>Frete de venda</t>
        </is>
      </c>
      <c r="C2653" t="inlineStr">
        <is>
          <t>Frete de venda (para clientes)</t>
        </is>
      </c>
      <c r="D2653" t="inlineStr">
        <is>
          <t>CT-e</t>
        </is>
      </c>
      <c r="E2653" t="inlineStr">
        <is>
          <t>000006559</t>
        </is>
      </c>
      <c r="F2653" t="inlineStr">
        <is>
          <t>R&amp;R TRANSPORTE E LOGISTICA</t>
        </is>
      </c>
      <c r="G2653" s="27" t="n">
        <v>46093</v>
      </c>
      <c r="H2653" s="14" t="n">
        <v>78.98</v>
      </c>
      <c r="I2653" s="14" t="n">
        <v>0</v>
      </c>
      <c r="J2653" s="14" t="n">
        <v>0</v>
      </c>
      <c r="K2653" s="14" t="n">
        <v>0</v>
      </c>
      <c r="L2653" s="14" t="n">
        <v>0</v>
      </c>
      <c r="M2653" s="14">
        <f>IF(B2653="Frete de venda",0,(1-ISNUMBER(SEARCH("556",P2653)))*(I2653*VLOOKUP($B2653,Premissas!$A$4:$E$7,2,0)+J2653*VLOOKUP($B2653,Premissas!$A$4:$E$7,3,0))+K2653*VLOOKUP($B2653,Premissas!$A$4:$E$7,4,0)+L2653*VLOOKUP($B2653,Premissas!$A$4:$E$7,5,0))</f>
        <v/>
      </c>
      <c r="N2653" s="14">
        <f>H2653-M2653</f>
        <v/>
      </c>
      <c r="O2653" t="inlineStr">
        <is>
          <t>Não</t>
        </is>
      </c>
      <c r="P2653" t="inlineStr">
        <is>
          <t>1.350</t>
        </is>
      </c>
    </row>
    <row r="2654">
      <c r="A2654" s="24" t="n">
        <v>46082</v>
      </c>
      <c r="B2654" t="inlineStr">
        <is>
          <t>Frete de venda</t>
        </is>
      </c>
      <c r="C2654" t="inlineStr">
        <is>
          <t>Frete de venda (para clientes)</t>
        </is>
      </c>
      <c r="D2654" t="inlineStr">
        <is>
          <t>CT-e</t>
        </is>
      </c>
      <c r="E2654" t="inlineStr">
        <is>
          <t>000006476</t>
        </is>
      </c>
      <c r="F2654" t="inlineStr">
        <is>
          <t>R&amp;R TRANSPORTE E LOGISTICA</t>
        </is>
      </c>
      <c r="G2654" s="27" t="n">
        <v>46083</v>
      </c>
      <c r="H2654" s="14" t="n">
        <v>43.5</v>
      </c>
      <c r="I2654" s="14" t="n">
        <v>0</v>
      </c>
      <c r="J2654" s="14" t="n">
        <v>0</v>
      </c>
      <c r="K2654" s="14" t="n">
        <v>0</v>
      </c>
      <c r="L2654" s="14" t="n">
        <v>0</v>
      </c>
      <c r="M2654" s="14">
        <f>IF(B2654="Frete de venda",0,(1-ISNUMBER(SEARCH("556",P2654)))*(I2654*VLOOKUP($B2654,Premissas!$A$4:$E$7,2,0)+J2654*VLOOKUP($B2654,Premissas!$A$4:$E$7,3,0))+K2654*VLOOKUP($B2654,Premissas!$A$4:$E$7,4,0)+L2654*VLOOKUP($B2654,Premissas!$A$4:$E$7,5,0))</f>
        <v/>
      </c>
      <c r="N2654" s="14">
        <f>H2654-M2654</f>
        <v/>
      </c>
      <c r="O2654" t="inlineStr">
        <is>
          <t>Não</t>
        </is>
      </c>
      <c r="P2654" t="inlineStr">
        <is>
          <t>1.350</t>
        </is>
      </c>
    </row>
    <row r="2655">
      <c r="A2655" s="24" t="n">
        <v>46082</v>
      </c>
      <c r="B2655" t="inlineStr">
        <is>
          <t>Frete de venda</t>
        </is>
      </c>
      <c r="C2655" t="inlineStr">
        <is>
          <t>Frete de venda (para clientes)</t>
        </is>
      </c>
      <c r="D2655" t="inlineStr">
        <is>
          <t>CT-e</t>
        </is>
      </c>
      <c r="E2655" t="inlineStr">
        <is>
          <t>000024135</t>
        </is>
      </c>
      <c r="F2655" t="inlineStr">
        <is>
          <t>TRANSPORTE OLIVEIRA E MELLOI - IDEALIZA TRANSPORTES</t>
        </is>
      </c>
      <c r="G2655" s="27" t="n">
        <v>46094</v>
      </c>
      <c r="H2655" s="14" t="n">
        <v>982.74</v>
      </c>
      <c r="I2655" s="14" t="n">
        <v>0</v>
      </c>
      <c r="J2655" s="14" t="n">
        <v>117.93</v>
      </c>
      <c r="K2655" s="14" t="n">
        <v>0</v>
      </c>
      <c r="L2655" s="14" t="n">
        <v>0</v>
      </c>
      <c r="M2655" s="14">
        <f>IF(B2655="Frete de venda",0,(1-ISNUMBER(SEARCH("556",P2655)))*(I2655*VLOOKUP($B2655,Premissas!$A$4:$E$7,2,0)+J2655*VLOOKUP($B2655,Premissas!$A$4:$E$7,3,0))+K2655*VLOOKUP($B2655,Premissas!$A$4:$E$7,4,0)+L2655*VLOOKUP($B2655,Premissas!$A$4:$E$7,5,0))</f>
        <v/>
      </c>
      <c r="N2655" s="14">
        <f>H2655-M2655</f>
        <v/>
      </c>
      <c r="O2655" t="inlineStr">
        <is>
          <t>Sim</t>
        </is>
      </c>
      <c r="P2655" t="inlineStr">
        <is>
          <t>1.350</t>
        </is>
      </c>
    </row>
    <row r="2656">
      <c r="A2656" s="24" t="n">
        <v>46082</v>
      </c>
      <c r="B2656" t="inlineStr">
        <is>
          <t>Frete de venda</t>
        </is>
      </c>
      <c r="C2656" t="inlineStr">
        <is>
          <t>Frete de venda (para clientes)</t>
        </is>
      </c>
      <c r="D2656" t="inlineStr">
        <is>
          <t>CT-e</t>
        </is>
      </c>
      <c r="E2656" t="inlineStr">
        <is>
          <t>000006530</t>
        </is>
      </c>
      <c r="F2656" t="inlineStr">
        <is>
          <t>R&amp;R TRANSPORTE E LOGISTICA</t>
        </is>
      </c>
      <c r="G2656" s="27" t="n">
        <v>46087</v>
      </c>
      <c r="H2656" s="14" t="n">
        <v>57.72</v>
      </c>
      <c r="I2656" s="14" t="n">
        <v>0</v>
      </c>
      <c r="J2656" s="14" t="n">
        <v>0</v>
      </c>
      <c r="K2656" s="14" t="n">
        <v>0</v>
      </c>
      <c r="L2656" s="14" t="n">
        <v>0</v>
      </c>
      <c r="M2656" s="14">
        <f>IF(B2656="Frete de venda",0,(1-ISNUMBER(SEARCH("556",P2656)))*(I2656*VLOOKUP($B2656,Premissas!$A$4:$E$7,2,0)+J2656*VLOOKUP($B2656,Premissas!$A$4:$E$7,3,0))+K2656*VLOOKUP($B2656,Premissas!$A$4:$E$7,4,0)+L2656*VLOOKUP($B2656,Premissas!$A$4:$E$7,5,0))</f>
        <v/>
      </c>
      <c r="N2656" s="14">
        <f>H2656-M2656</f>
        <v/>
      </c>
      <c r="O2656" t="inlineStr">
        <is>
          <t>Não</t>
        </is>
      </c>
      <c r="P2656" t="inlineStr">
        <is>
          <t>1.350</t>
        </is>
      </c>
    </row>
    <row r="2657">
      <c r="A2657" s="24" t="n">
        <v>46082</v>
      </c>
      <c r="B2657" t="inlineStr">
        <is>
          <t>Frete de venda</t>
        </is>
      </c>
      <c r="C2657" t="inlineStr">
        <is>
          <t>Frete de venda (para clientes)</t>
        </is>
      </c>
      <c r="D2657" t="inlineStr">
        <is>
          <t>CT-e</t>
        </is>
      </c>
      <c r="E2657" t="inlineStr">
        <is>
          <t>000006499</t>
        </is>
      </c>
      <c r="F2657" t="inlineStr">
        <is>
          <t>R&amp;R TRANSPORTE E LOGISTICA</t>
        </is>
      </c>
      <c r="G2657" s="27" t="n">
        <v>46084</v>
      </c>
      <c r="H2657" s="14" t="n">
        <v>1400</v>
      </c>
      <c r="I2657" s="14" t="n">
        <v>0</v>
      </c>
      <c r="J2657" s="14" t="n">
        <v>0</v>
      </c>
      <c r="K2657" s="14" t="n">
        <v>0</v>
      </c>
      <c r="L2657" s="14" t="n">
        <v>0</v>
      </c>
      <c r="M2657" s="14">
        <f>IF(B2657="Frete de venda",0,(1-ISNUMBER(SEARCH("556",P2657)))*(I2657*VLOOKUP($B2657,Premissas!$A$4:$E$7,2,0)+J2657*VLOOKUP($B2657,Premissas!$A$4:$E$7,3,0))+K2657*VLOOKUP($B2657,Premissas!$A$4:$E$7,4,0)+L2657*VLOOKUP($B2657,Premissas!$A$4:$E$7,5,0))</f>
        <v/>
      </c>
      <c r="N2657" s="14">
        <f>H2657-M2657</f>
        <v/>
      </c>
      <c r="O2657" t="inlineStr">
        <is>
          <t>Sim</t>
        </is>
      </c>
      <c r="P2657" t="inlineStr">
        <is>
          <t>1.350</t>
        </is>
      </c>
    </row>
    <row r="2658">
      <c r="A2658" s="24" t="n">
        <v>46082</v>
      </c>
      <c r="B2658" t="inlineStr">
        <is>
          <t>Frete de venda</t>
        </is>
      </c>
      <c r="C2658" t="inlineStr">
        <is>
          <t>Frete de venda (para clientes)</t>
        </is>
      </c>
      <c r="D2658" t="inlineStr">
        <is>
          <t>CT-e</t>
        </is>
      </c>
      <c r="E2658" t="inlineStr">
        <is>
          <t>000000641</t>
        </is>
      </c>
      <c r="F2658" t="inlineStr">
        <is>
          <t>REIMAG - REINALDO DOMINGUES BARROS DA SILVA</t>
        </is>
      </c>
      <c r="G2658" s="27" t="n">
        <v>46105</v>
      </c>
      <c r="H2658" s="14" t="n">
        <v>400</v>
      </c>
      <c r="I2658" s="14" t="n">
        <v>0</v>
      </c>
      <c r="J2658" s="14" t="n">
        <v>0</v>
      </c>
      <c r="K2658" s="14" t="n">
        <v>0</v>
      </c>
      <c r="L2658" s="14" t="n">
        <v>0</v>
      </c>
      <c r="M2658" s="14">
        <f>IF(B2658="Frete de venda",0,(1-ISNUMBER(SEARCH("556",P2658)))*(I2658*VLOOKUP($B2658,Premissas!$A$4:$E$7,2,0)+J2658*VLOOKUP($B2658,Premissas!$A$4:$E$7,3,0))+K2658*VLOOKUP($B2658,Premissas!$A$4:$E$7,4,0)+L2658*VLOOKUP($B2658,Premissas!$A$4:$E$7,5,0))</f>
        <v/>
      </c>
      <c r="N2658" s="14">
        <f>H2658-M2658</f>
        <v/>
      </c>
      <c r="O2658" t="inlineStr">
        <is>
          <t>Sim</t>
        </is>
      </c>
      <c r="P2658" t="inlineStr">
        <is>
          <t>1.350</t>
        </is>
      </c>
    </row>
    <row r="2659">
      <c r="A2659" s="24" t="n">
        <v>46082</v>
      </c>
      <c r="B2659" t="inlineStr">
        <is>
          <t>Frete de venda</t>
        </is>
      </c>
      <c r="C2659" t="inlineStr">
        <is>
          <t>Frete de venda (para clientes)</t>
        </is>
      </c>
      <c r="D2659" t="inlineStr">
        <is>
          <t>CT-e</t>
        </is>
      </c>
      <c r="E2659" t="inlineStr">
        <is>
          <t>000006539</t>
        </is>
      </c>
      <c r="F2659" t="inlineStr">
        <is>
          <t>R&amp;R TRANSPORTE E LOGISTICA</t>
        </is>
      </c>
      <c r="G2659" s="27" t="n">
        <v>46088</v>
      </c>
      <c r="H2659" s="14" t="n">
        <v>700</v>
      </c>
      <c r="I2659" s="14" t="n">
        <v>0</v>
      </c>
      <c r="J2659" s="14" t="n">
        <v>0</v>
      </c>
      <c r="K2659" s="14" t="n">
        <v>0</v>
      </c>
      <c r="L2659" s="14" t="n">
        <v>0</v>
      </c>
      <c r="M2659" s="14">
        <f>IF(B2659="Frete de venda",0,(1-ISNUMBER(SEARCH("556",P2659)))*(I2659*VLOOKUP($B2659,Premissas!$A$4:$E$7,2,0)+J2659*VLOOKUP($B2659,Premissas!$A$4:$E$7,3,0))+K2659*VLOOKUP($B2659,Premissas!$A$4:$E$7,4,0)+L2659*VLOOKUP($B2659,Premissas!$A$4:$E$7,5,0))</f>
        <v/>
      </c>
      <c r="N2659" s="14">
        <f>H2659-M2659</f>
        <v/>
      </c>
      <c r="O2659" t="inlineStr">
        <is>
          <t>Sim</t>
        </is>
      </c>
      <c r="P2659" t="inlineStr">
        <is>
          <t>1.350</t>
        </is>
      </c>
    </row>
    <row r="2660">
      <c r="A2660" s="24" t="n">
        <v>46082</v>
      </c>
      <c r="B2660" t="inlineStr">
        <is>
          <t>Frete de venda</t>
        </is>
      </c>
      <c r="C2660" t="inlineStr">
        <is>
          <t>Frete de venda (para clientes)</t>
        </is>
      </c>
      <c r="D2660" t="inlineStr">
        <is>
          <t>CT-e</t>
        </is>
      </c>
      <c r="E2660" t="inlineStr">
        <is>
          <t>000006547</t>
        </is>
      </c>
      <c r="F2660" t="inlineStr">
        <is>
          <t>R&amp;R TRANSPORTE E LOGISTICA</t>
        </is>
      </c>
      <c r="G2660" s="27" t="n">
        <v>46091</v>
      </c>
      <c r="H2660" s="14" t="n">
        <v>750</v>
      </c>
      <c r="I2660" s="14" t="n">
        <v>0</v>
      </c>
      <c r="J2660" s="14" t="n">
        <v>0</v>
      </c>
      <c r="K2660" s="14" t="n">
        <v>0</v>
      </c>
      <c r="L2660" s="14" t="n">
        <v>0</v>
      </c>
      <c r="M2660" s="14">
        <f>IF(B2660="Frete de venda",0,(1-ISNUMBER(SEARCH("556",P2660)))*(I2660*VLOOKUP($B2660,Premissas!$A$4:$E$7,2,0)+J2660*VLOOKUP($B2660,Premissas!$A$4:$E$7,3,0))+K2660*VLOOKUP($B2660,Premissas!$A$4:$E$7,4,0)+L2660*VLOOKUP($B2660,Premissas!$A$4:$E$7,5,0))</f>
        <v/>
      </c>
      <c r="N2660" s="14">
        <f>H2660-M2660</f>
        <v/>
      </c>
      <c r="O2660" t="inlineStr">
        <is>
          <t>Sim</t>
        </is>
      </c>
      <c r="P2660" t="inlineStr">
        <is>
          <t>1.350</t>
        </is>
      </c>
    </row>
    <row r="2661">
      <c r="A2661" s="24" t="n">
        <v>46082</v>
      </c>
      <c r="B2661" t="inlineStr">
        <is>
          <t>Frete de venda</t>
        </is>
      </c>
      <c r="C2661" t="inlineStr">
        <is>
          <t>Frete de venda (para clientes)</t>
        </is>
      </c>
      <c r="D2661" t="inlineStr">
        <is>
          <t>CT-e</t>
        </is>
      </c>
      <c r="E2661" t="inlineStr">
        <is>
          <t>000006656</t>
        </is>
      </c>
      <c r="F2661" t="inlineStr">
        <is>
          <t>R&amp;R TRANSPORTE E LOGISTICA</t>
        </is>
      </c>
      <c r="G2661" s="27" t="n">
        <v>46104</v>
      </c>
      <c r="H2661" s="14" t="n">
        <v>792</v>
      </c>
      <c r="I2661" s="14" t="n">
        <v>0</v>
      </c>
      <c r="J2661" s="14" t="n">
        <v>0</v>
      </c>
      <c r="K2661" s="14" t="n">
        <v>0</v>
      </c>
      <c r="L2661" s="14" t="n">
        <v>0</v>
      </c>
      <c r="M2661" s="14">
        <f>IF(B2661="Frete de venda",0,(1-ISNUMBER(SEARCH("556",P2661)))*(I2661*VLOOKUP($B2661,Premissas!$A$4:$E$7,2,0)+J2661*VLOOKUP($B2661,Premissas!$A$4:$E$7,3,0))+K2661*VLOOKUP($B2661,Premissas!$A$4:$E$7,4,0)+L2661*VLOOKUP($B2661,Premissas!$A$4:$E$7,5,0))</f>
        <v/>
      </c>
      <c r="N2661" s="14">
        <f>H2661-M2661</f>
        <v/>
      </c>
      <c r="O2661" t="inlineStr">
        <is>
          <t>Sim</t>
        </is>
      </c>
      <c r="P2661" t="inlineStr">
        <is>
          <t>1.350</t>
        </is>
      </c>
    </row>
    <row r="2662">
      <c r="A2662" s="24" t="n">
        <v>46082</v>
      </c>
      <c r="B2662" t="inlineStr">
        <is>
          <t>Frete de venda</t>
        </is>
      </c>
      <c r="C2662" t="inlineStr">
        <is>
          <t>Frete de venda (para clientes)</t>
        </is>
      </c>
      <c r="D2662" t="inlineStr">
        <is>
          <t>CT-e</t>
        </is>
      </c>
      <c r="E2662" t="inlineStr">
        <is>
          <t>000006702</t>
        </is>
      </c>
      <c r="F2662" t="inlineStr">
        <is>
          <t>R&amp;R TRANSPORTE E LOGISTICA</t>
        </is>
      </c>
      <c r="G2662" s="27" t="n">
        <v>46111</v>
      </c>
      <c r="H2662" s="14" t="n">
        <v>27.75</v>
      </c>
      <c r="I2662" s="14" t="n">
        <v>0</v>
      </c>
      <c r="J2662" s="14" t="n">
        <v>0</v>
      </c>
      <c r="K2662" s="14" t="n">
        <v>0</v>
      </c>
      <c r="L2662" s="14" t="n">
        <v>0</v>
      </c>
      <c r="M2662" s="14">
        <f>IF(B2662="Frete de venda",0,(1-ISNUMBER(SEARCH("556",P2662)))*(I2662*VLOOKUP($B2662,Premissas!$A$4:$E$7,2,0)+J2662*VLOOKUP($B2662,Premissas!$A$4:$E$7,3,0))+K2662*VLOOKUP($B2662,Premissas!$A$4:$E$7,4,0)+L2662*VLOOKUP($B2662,Premissas!$A$4:$E$7,5,0))</f>
        <v/>
      </c>
      <c r="N2662" s="14">
        <f>H2662-M2662</f>
        <v/>
      </c>
      <c r="O2662" t="inlineStr">
        <is>
          <t>Não</t>
        </is>
      </c>
      <c r="P2662" t="inlineStr">
        <is>
          <t>1.350</t>
        </is>
      </c>
    </row>
    <row r="2663">
      <c r="A2663" s="24" t="n">
        <v>46082</v>
      </c>
      <c r="B2663" t="inlineStr">
        <is>
          <t>Frete de venda</t>
        </is>
      </c>
      <c r="C2663" t="inlineStr">
        <is>
          <t>Frete de venda (para clientes)</t>
        </is>
      </c>
      <c r="D2663" t="inlineStr">
        <is>
          <t>CT-e</t>
        </is>
      </c>
      <c r="E2663" t="inlineStr">
        <is>
          <t>000006471</t>
        </is>
      </c>
      <c r="F2663" t="inlineStr">
        <is>
          <t>R&amp;R TRANSPORTE E LOGISTICA</t>
        </is>
      </c>
      <c r="G2663" s="27" t="n">
        <v>46083</v>
      </c>
      <c r="H2663" s="14" t="n">
        <v>57.67</v>
      </c>
      <c r="I2663" s="14" t="n">
        <v>0</v>
      </c>
      <c r="J2663" s="14" t="n">
        <v>0</v>
      </c>
      <c r="K2663" s="14" t="n">
        <v>0</v>
      </c>
      <c r="L2663" s="14" t="n">
        <v>0</v>
      </c>
      <c r="M2663" s="14">
        <f>IF(B2663="Frete de venda",0,(1-ISNUMBER(SEARCH("556",P2663)))*(I2663*VLOOKUP($B2663,Premissas!$A$4:$E$7,2,0)+J2663*VLOOKUP($B2663,Premissas!$A$4:$E$7,3,0))+K2663*VLOOKUP($B2663,Premissas!$A$4:$E$7,4,0)+L2663*VLOOKUP($B2663,Premissas!$A$4:$E$7,5,0))</f>
        <v/>
      </c>
      <c r="N2663" s="14">
        <f>H2663-M2663</f>
        <v/>
      </c>
      <c r="O2663" t="inlineStr">
        <is>
          <t>Não</t>
        </is>
      </c>
      <c r="P2663" t="inlineStr">
        <is>
          <t>1.350</t>
        </is>
      </c>
    </row>
    <row r="2664">
      <c r="A2664" s="24" t="n">
        <v>46082</v>
      </c>
      <c r="B2664" t="inlineStr">
        <is>
          <t>Frete de venda</t>
        </is>
      </c>
      <c r="C2664" t="inlineStr">
        <is>
          <t>Frete de venda (para clientes)</t>
        </is>
      </c>
      <c r="D2664" t="inlineStr">
        <is>
          <t>CT-e</t>
        </is>
      </c>
      <c r="E2664" t="inlineStr">
        <is>
          <t>000006475</t>
        </is>
      </c>
      <c r="F2664" t="inlineStr">
        <is>
          <t>R&amp;R TRANSPORTE E LOGISTICA</t>
        </is>
      </c>
      <c r="G2664" s="27" t="n">
        <v>46083</v>
      </c>
      <c r="H2664" s="14" t="n">
        <v>20.38</v>
      </c>
      <c r="I2664" s="14" t="n">
        <v>0</v>
      </c>
      <c r="J2664" s="14" t="n">
        <v>0</v>
      </c>
      <c r="K2664" s="14" t="n">
        <v>0</v>
      </c>
      <c r="L2664" s="14" t="n">
        <v>0</v>
      </c>
      <c r="M2664" s="14">
        <f>IF(B2664="Frete de venda",0,(1-ISNUMBER(SEARCH("556",P2664)))*(I2664*VLOOKUP($B2664,Premissas!$A$4:$E$7,2,0)+J2664*VLOOKUP($B2664,Premissas!$A$4:$E$7,3,0))+K2664*VLOOKUP($B2664,Premissas!$A$4:$E$7,4,0)+L2664*VLOOKUP($B2664,Premissas!$A$4:$E$7,5,0))</f>
        <v/>
      </c>
      <c r="N2664" s="14">
        <f>H2664-M2664</f>
        <v/>
      </c>
      <c r="O2664" t="inlineStr">
        <is>
          <t>Não</t>
        </is>
      </c>
      <c r="P2664" t="inlineStr">
        <is>
          <t>1.350</t>
        </is>
      </c>
    </row>
    <row r="2665">
      <c r="A2665" s="24" t="n">
        <v>46082</v>
      </c>
      <c r="B2665" t="inlineStr">
        <is>
          <t>Frete de venda</t>
        </is>
      </c>
      <c r="C2665" t="inlineStr">
        <is>
          <t>Frete de venda (para clientes)</t>
        </is>
      </c>
      <c r="D2665" t="inlineStr">
        <is>
          <t>CT-e</t>
        </is>
      </c>
      <c r="E2665" t="inlineStr">
        <is>
          <t>000024133</t>
        </is>
      </c>
      <c r="F2665" t="inlineStr">
        <is>
          <t>TRANSPORTE OLIVEIRA E MELLOI - IDEALIZA TRANSPORTES</t>
        </is>
      </c>
      <c r="G2665" s="27" t="n">
        <v>46094</v>
      </c>
      <c r="H2665" s="14" t="n">
        <v>257.7</v>
      </c>
      <c r="I2665" s="14" t="n">
        <v>0</v>
      </c>
      <c r="J2665" s="14" t="n">
        <v>30.92</v>
      </c>
      <c r="K2665" s="14" t="n">
        <v>0</v>
      </c>
      <c r="L2665" s="14" t="n">
        <v>0</v>
      </c>
      <c r="M2665" s="14">
        <f>IF(B2665="Frete de venda",0,(1-ISNUMBER(SEARCH("556",P2665)))*(I2665*VLOOKUP($B2665,Premissas!$A$4:$E$7,2,0)+J2665*VLOOKUP($B2665,Premissas!$A$4:$E$7,3,0))+K2665*VLOOKUP($B2665,Premissas!$A$4:$E$7,4,0)+L2665*VLOOKUP($B2665,Premissas!$A$4:$E$7,5,0))</f>
        <v/>
      </c>
      <c r="N2665" s="14">
        <f>H2665-M2665</f>
        <v/>
      </c>
      <c r="O2665" t="inlineStr">
        <is>
          <t>Sim</t>
        </is>
      </c>
      <c r="P2665" t="inlineStr">
        <is>
          <t>1.350</t>
        </is>
      </c>
    </row>
    <row r="2666">
      <c r="A2666" s="24" t="n">
        <v>46082</v>
      </c>
      <c r="B2666" t="inlineStr">
        <is>
          <t>Frete de venda</t>
        </is>
      </c>
      <c r="C2666" t="inlineStr">
        <is>
          <t>Frete de venda (para clientes)</t>
        </is>
      </c>
      <c r="D2666" t="inlineStr">
        <is>
          <t>CT-e</t>
        </is>
      </c>
      <c r="E2666" t="inlineStr">
        <is>
          <t>000006671</t>
        </is>
      </c>
      <c r="F2666" t="inlineStr">
        <is>
          <t>R&amp;R TRANSPORTE E LOGISTICA</t>
        </is>
      </c>
      <c r="G2666" s="27" t="n">
        <v>46105</v>
      </c>
      <c r="H2666" s="14" t="n">
        <v>23.48</v>
      </c>
      <c r="I2666" s="14" t="n">
        <v>0</v>
      </c>
      <c r="J2666" s="14" t="n">
        <v>0</v>
      </c>
      <c r="K2666" s="14" t="n">
        <v>0</v>
      </c>
      <c r="L2666" s="14" t="n">
        <v>0</v>
      </c>
      <c r="M2666" s="14">
        <f>IF(B2666="Frete de venda",0,(1-ISNUMBER(SEARCH("556",P2666)))*(I2666*VLOOKUP($B2666,Premissas!$A$4:$E$7,2,0)+J2666*VLOOKUP($B2666,Premissas!$A$4:$E$7,3,0))+K2666*VLOOKUP($B2666,Premissas!$A$4:$E$7,4,0)+L2666*VLOOKUP($B2666,Premissas!$A$4:$E$7,5,0))</f>
        <v/>
      </c>
      <c r="N2666" s="14">
        <f>H2666-M2666</f>
        <v/>
      </c>
      <c r="O2666" t="inlineStr">
        <is>
          <t>Não</t>
        </is>
      </c>
      <c r="P2666" t="inlineStr">
        <is>
          <t>1.350</t>
        </is>
      </c>
    </row>
    <row r="2667">
      <c r="A2667" s="24" t="n">
        <v>46082</v>
      </c>
      <c r="B2667" t="inlineStr">
        <is>
          <t>Frete de venda</t>
        </is>
      </c>
      <c r="C2667" t="inlineStr">
        <is>
          <t>Frete de venda (para clientes)</t>
        </is>
      </c>
      <c r="D2667" t="inlineStr">
        <is>
          <t>CT-e</t>
        </is>
      </c>
      <c r="E2667" t="inlineStr">
        <is>
          <t>000003317</t>
        </is>
      </c>
      <c r="F2667" t="inlineStr">
        <is>
          <t>RAPIDO XAPURI TRANSPORTES E LOGISTICA LTDA</t>
        </is>
      </c>
      <c r="G2667" s="27" t="n">
        <v>46109</v>
      </c>
      <c r="H2667" s="14" t="n">
        <v>657.42</v>
      </c>
      <c r="I2667" s="14" t="n">
        <v>0</v>
      </c>
      <c r="J2667" s="14" t="n">
        <v>78.89</v>
      </c>
      <c r="K2667" s="14" t="n">
        <v>0</v>
      </c>
      <c r="L2667" s="14" t="n">
        <v>0</v>
      </c>
      <c r="M2667" s="14">
        <f>IF(B2667="Frete de venda",0,(1-ISNUMBER(SEARCH("556",P2667)))*(I2667*VLOOKUP($B2667,Premissas!$A$4:$E$7,2,0)+J2667*VLOOKUP($B2667,Premissas!$A$4:$E$7,3,0))+K2667*VLOOKUP($B2667,Premissas!$A$4:$E$7,4,0)+L2667*VLOOKUP($B2667,Premissas!$A$4:$E$7,5,0))</f>
        <v/>
      </c>
      <c r="N2667" s="14">
        <f>H2667-M2667</f>
        <v/>
      </c>
      <c r="O2667" t="inlineStr">
        <is>
          <t>Sim</t>
        </is>
      </c>
      <c r="P2667" t="inlineStr">
        <is>
          <t>1.350</t>
        </is>
      </c>
    </row>
    <row r="2668">
      <c r="A2668" s="24" t="n">
        <v>46082</v>
      </c>
      <c r="B2668" t="inlineStr">
        <is>
          <t>Frete de venda</t>
        </is>
      </c>
      <c r="C2668" t="inlineStr">
        <is>
          <t>Frete de venda (para clientes)</t>
        </is>
      </c>
      <c r="D2668" t="inlineStr">
        <is>
          <t>CT-e</t>
        </is>
      </c>
      <c r="E2668" t="inlineStr">
        <is>
          <t>000006511</t>
        </is>
      </c>
      <c r="F2668" t="inlineStr">
        <is>
          <t>R&amp;R TRANSPORTE E LOGISTICA</t>
        </is>
      </c>
      <c r="G2668" s="27" t="n">
        <v>46085</v>
      </c>
      <c r="H2668" s="14" t="n">
        <v>12.9</v>
      </c>
      <c r="I2668" s="14" t="n">
        <v>0</v>
      </c>
      <c r="J2668" s="14" t="n">
        <v>0</v>
      </c>
      <c r="K2668" s="14" t="n">
        <v>0</v>
      </c>
      <c r="L2668" s="14" t="n">
        <v>0</v>
      </c>
      <c r="M2668" s="14">
        <f>IF(B2668="Frete de venda",0,(1-ISNUMBER(SEARCH("556",P2668)))*(I2668*VLOOKUP($B2668,Premissas!$A$4:$E$7,2,0)+J2668*VLOOKUP($B2668,Premissas!$A$4:$E$7,3,0))+K2668*VLOOKUP($B2668,Premissas!$A$4:$E$7,4,0)+L2668*VLOOKUP($B2668,Premissas!$A$4:$E$7,5,0))</f>
        <v/>
      </c>
      <c r="N2668" s="14">
        <f>H2668-M2668</f>
        <v/>
      </c>
      <c r="O2668" t="inlineStr">
        <is>
          <t>Não</t>
        </is>
      </c>
      <c r="P2668" t="inlineStr">
        <is>
          <t>1.350</t>
        </is>
      </c>
    </row>
    <row r="2669">
      <c r="A2669" s="24" t="n">
        <v>46082</v>
      </c>
      <c r="B2669" t="inlineStr">
        <is>
          <t>Frete de venda</t>
        </is>
      </c>
      <c r="C2669" t="inlineStr">
        <is>
          <t>Frete de venda (para clientes)</t>
        </is>
      </c>
      <c r="D2669" t="inlineStr">
        <is>
          <t>CT-e</t>
        </is>
      </c>
      <c r="E2669" t="inlineStr">
        <is>
          <t>000006630</t>
        </is>
      </c>
      <c r="F2669" t="inlineStr">
        <is>
          <t>R&amp;R TRANSPORTE E LOGISTICA</t>
        </is>
      </c>
      <c r="G2669" s="27" t="n">
        <v>46100</v>
      </c>
      <c r="H2669" s="14" t="n">
        <v>17.95</v>
      </c>
      <c r="I2669" s="14" t="n">
        <v>0</v>
      </c>
      <c r="J2669" s="14" t="n">
        <v>0</v>
      </c>
      <c r="K2669" s="14" t="n">
        <v>0</v>
      </c>
      <c r="L2669" s="14" t="n">
        <v>0</v>
      </c>
      <c r="M2669" s="14">
        <f>IF(B2669="Frete de venda",0,(1-ISNUMBER(SEARCH("556",P2669)))*(I2669*VLOOKUP($B2669,Premissas!$A$4:$E$7,2,0)+J2669*VLOOKUP($B2669,Premissas!$A$4:$E$7,3,0))+K2669*VLOOKUP($B2669,Premissas!$A$4:$E$7,4,0)+L2669*VLOOKUP($B2669,Premissas!$A$4:$E$7,5,0))</f>
        <v/>
      </c>
      <c r="N2669" s="14">
        <f>H2669-M2669</f>
        <v/>
      </c>
      <c r="O2669" t="inlineStr">
        <is>
          <t>Não</t>
        </is>
      </c>
      <c r="P2669" t="inlineStr">
        <is>
          <t>1.350</t>
        </is>
      </c>
    </row>
    <row r="2670">
      <c r="A2670" s="24" t="n">
        <v>46082</v>
      </c>
      <c r="B2670" t="inlineStr">
        <is>
          <t>Frete de venda</t>
        </is>
      </c>
      <c r="C2670" t="inlineStr">
        <is>
          <t>Frete de venda (para clientes)</t>
        </is>
      </c>
      <c r="D2670" t="inlineStr">
        <is>
          <t>CT-e</t>
        </is>
      </c>
      <c r="E2670" t="inlineStr">
        <is>
          <t>000006504</t>
        </is>
      </c>
      <c r="F2670" t="inlineStr">
        <is>
          <t>R&amp;R TRANSPORTE E LOGISTICA</t>
        </is>
      </c>
      <c r="G2670" s="27" t="n">
        <v>46085</v>
      </c>
      <c r="H2670" s="14" t="n">
        <v>35.01</v>
      </c>
      <c r="I2670" s="14" t="n">
        <v>0</v>
      </c>
      <c r="J2670" s="14" t="n">
        <v>0</v>
      </c>
      <c r="K2670" s="14" t="n">
        <v>0</v>
      </c>
      <c r="L2670" s="14" t="n">
        <v>0</v>
      </c>
      <c r="M2670" s="14">
        <f>IF(B2670="Frete de venda",0,(1-ISNUMBER(SEARCH("556",P2670)))*(I2670*VLOOKUP($B2670,Premissas!$A$4:$E$7,2,0)+J2670*VLOOKUP($B2670,Premissas!$A$4:$E$7,3,0))+K2670*VLOOKUP($B2670,Premissas!$A$4:$E$7,4,0)+L2670*VLOOKUP($B2670,Premissas!$A$4:$E$7,5,0))</f>
        <v/>
      </c>
      <c r="N2670" s="14">
        <f>H2670-M2670</f>
        <v/>
      </c>
      <c r="O2670" t="inlineStr">
        <is>
          <t>Não</t>
        </is>
      </c>
      <c r="P2670" t="inlineStr">
        <is>
          <t>1.350</t>
        </is>
      </c>
    </row>
    <row r="2671">
      <c r="A2671" s="24" t="n">
        <v>46082</v>
      </c>
      <c r="B2671" t="inlineStr">
        <is>
          <t>Frete de venda</t>
        </is>
      </c>
      <c r="C2671" t="inlineStr">
        <is>
          <t>Frete de venda (para clientes)</t>
        </is>
      </c>
      <c r="D2671" t="inlineStr">
        <is>
          <t>CT-e</t>
        </is>
      </c>
      <c r="E2671" t="inlineStr">
        <is>
          <t>000006557</t>
        </is>
      </c>
      <c r="F2671" t="inlineStr">
        <is>
          <t>R&amp;R TRANSPORTE E LOGISTICA</t>
        </is>
      </c>
      <c r="G2671" s="27" t="n">
        <v>46093</v>
      </c>
      <c r="H2671" s="14" t="n">
        <v>443.67</v>
      </c>
      <c r="I2671" s="14" t="n">
        <v>0</v>
      </c>
      <c r="J2671" s="14" t="n">
        <v>0</v>
      </c>
      <c r="K2671" s="14" t="n">
        <v>0</v>
      </c>
      <c r="L2671" s="14" t="n">
        <v>0</v>
      </c>
      <c r="M2671" s="14">
        <f>IF(B2671="Frete de venda",0,(1-ISNUMBER(SEARCH("556",P2671)))*(I2671*VLOOKUP($B2671,Premissas!$A$4:$E$7,2,0)+J2671*VLOOKUP($B2671,Premissas!$A$4:$E$7,3,0))+K2671*VLOOKUP($B2671,Premissas!$A$4:$E$7,4,0)+L2671*VLOOKUP($B2671,Premissas!$A$4:$E$7,5,0))</f>
        <v/>
      </c>
      <c r="N2671" s="14">
        <f>H2671-M2671</f>
        <v/>
      </c>
      <c r="O2671" t="inlineStr">
        <is>
          <t>Não</t>
        </is>
      </c>
      <c r="P2671" t="inlineStr">
        <is>
          <t>1.350</t>
        </is>
      </c>
    </row>
    <row r="2672">
      <c r="A2672" s="24" t="n">
        <v>46082</v>
      </c>
      <c r="B2672" t="inlineStr">
        <is>
          <t>Frete de venda</t>
        </is>
      </c>
      <c r="C2672" t="inlineStr">
        <is>
          <t>Frete de venda (para clientes)</t>
        </is>
      </c>
      <c r="D2672" t="inlineStr">
        <is>
          <t>CT-e</t>
        </is>
      </c>
      <c r="E2672" t="inlineStr">
        <is>
          <t>000006492</t>
        </is>
      </c>
      <c r="F2672" t="inlineStr">
        <is>
          <t>R&amp;R TRANSPORTE E LOGISTICA</t>
        </is>
      </c>
      <c r="G2672" s="27" t="n">
        <v>46084</v>
      </c>
      <c r="H2672" s="14" t="n">
        <v>16.29</v>
      </c>
      <c r="I2672" s="14" t="n">
        <v>0</v>
      </c>
      <c r="J2672" s="14" t="n">
        <v>0</v>
      </c>
      <c r="K2672" s="14" t="n">
        <v>0</v>
      </c>
      <c r="L2672" s="14" t="n">
        <v>0</v>
      </c>
      <c r="M2672" s="14">
        <f>IF(B2672="Frete de venda",0,(1-ISNUMBER(SEARCH("556",P2672)))*(I2672*VLOOKUP($B2672,Premissas!$A$4:$E$7,2,0)+J2672*VLOOKUP($B2672,Premissas!$A$4:$E$7,3,0))+K2672*VLOOKUP($B2672,Premissas!$A$4:$E$7,4,0)+L2672*VLOOKUP($B2672,Premissas!$A$4:$E$7,5,0))</f>
        <v/>
      </c>
      <c r="N2672" s="14">
        <f>H2672-M2672</f>
        <v/>
      </c>
      <c r="O2672" t="inlineStr">
        <is>
          <t>Não</t>
        </is>
      </c>
      <c r="P2672" t="inlineStr">
        <is>
          <t>1.350</t>
        </is>
      </c>
    </row>
    <row r="2673">
      <c r="A2673" s="24" t="n">
        <v>46082</v>
      </c>
      <c r="B2673" t="inlineStr">
        <is>
          <t>Frete de venda</t>
        </is>
      </c>
      <c r="C2673" t="inlineStr">
        <is>
          <t>Frete de venda (para clientes)</t>
        </is>
      </c>
      <c r="D2673" t="inlineStr">
        <is>
          <t>CT-e</t>
        </is>
      </c>
      <c r="E2673" t="inlineStr">
        <is>
          <t>000006600</t>
        </is>
      </c>
      <c r="F2673" t="inlineStr">
        <is>
          <t>R&amp;R TRANSPORTE E LOGISTICA</t>
        </is>
      </c>
      <c r="G2673" s="27" t="n">
        <v>46097</v>
      </c>
      <c r="H2673" s="14" t="n">
        <v>23.16</v>
      </c>
      <c r="I2673" s="14" t="n">
        <v>0</v>
      </c>
      <c r="J2673" s="14" t="n">
        <v>0</v>
      </c>
      <c r="K2673" s="14" t="n">
        <v>0</v>
      </c>
      <c r="L2673" s="14" t="n">
        <v>0</v>
      </c>
      <c r="M2673" s="14">
        <f>IF(B2673="Frete de venda",0,(1-ISNUMBER(SEARCH("556",P2673)))*(I2673*VLOOKUP($B2673,Premissas!$A$4:$E$7,2,0)+J2673*VLOOKUP($B2673,Premissas!$A$4:$E$7,3,0))+K2673*VLOOKUP($B2673,Premissas!$A$4:$E$7,4,0)+L2673*VLOOKUP($B2673,Premissas!$A$4:$E$7,5,0))</f>
        <v/>
      </c>
      <c r="N2673" s="14">
        <f>H2673-M2673</f>
        <v/>
      </c>
      <c r="O2673" t="inlineStr">
        <is>
          <t>Não</t>
        </is>
      </c>
      <c r="P2673" t="inlineStr">
        <is>
          <t>1.350</t>
        </is>
      </c>
    </row>
    <row r="2674">
      <c r="A2674" s="24" t="n">
        <v>46082</v>
      </c>
      <c r="B2674" t="inlineStr">
        <is>
          <t>Frete de venda</t>
        </is>
      </c>
      <c r="C2674" t="inlineStr">
        <is>
          <t>Frete de venda (para clientes)</t>
        </is>
      </c>
      <c r="D2674" t="inlineStr">
        <is>
          <t>CT-e</t>
        </is>
      </c>
      <c r="E2674" t="inlineStr">
        <is>
          <t>000006634</t>
        </is>
      </c>
      <c r="F2674" t="inlineStr">
        <is>
          <t>R&amp;R TRANSPORTE E LOGISTICA</t>
        </is>
      </c>
      <c r="G2674" s="27" t="n">
        <v>46100</v>
      </c>
      <c r="H2674" s="14" t="n">
        <v>175.51</v>
      </c>
      <c r="I2674" s="14" t="n">
        <v>0</v>
      </c>
      <c r="J2674" s="14" t="n">
        <v>0</v>
      </c>
      <c r="K2674" s="14" t="n">
        <v>0</v>
      </c>
      <c r="L2674" s="14" t="n">
        <v>0</v>
      </c>
      <c r="M2674" s="14">
        <f>IF(B2674="Frete de venda",0,(1-ISNUMBER(SEARCH("556",P2674)))*(I2674*VLOOKUP($B2674,Premissas!$A$4:$E$7,2,0)+J2674*VLOOKUP($B2674,Premissas!$A$4:$E$7,3,0))+K2674*VLOOKUP($B2674,Premissas!$A$4:$E$7,4,0)+L2674*VLOOKUP($B2674,Premissas!$A$4:$E$7,5,0))</f>
        <v/>
      </c>
      <c r="N2674" s="14">
        <f>H2674-M2674</f>
        <v/>
      </c>
      <c r="O2674" t="inlineStr">
        <is>
          <t>Não</t>
        </is>
      </c>
      <c r="P2674" t="inlineStr">
        <is>
          <t>1.350</t>
        </is>
      </c>
    </row>
    <row r="2675">
      <c r="A2675" s="24" t="n">
        <v>46082</v>
      </c>
      <c r="B2675" t="inlineStr">
        <is>
          <t>Frete de venda</t>
        </is>
      </c>
      <c r="C2675" t="inlineStr">
        <is>
          <t>Frete de venda (para clientes)</t>
        </is>
      </c>
      <c r="D2675" t="inlineStr">
        <is>
          <t>CT-e</t>
        </is>
      </c>
      <c r="E2675" t="inlineStr">
        <is>
          <t>000006659</t>
        </is>
      </c>
      <c r="F2675" t="inlineStr">
        <is>
          <t>R&amp;R TRANSPORTE E LOGISTICA</t>
        </is>
      </c>
      <c r="G2675" s="27" t="n">
        <v>46105</v>
      </c>
      <c r="H2675" s="14" t="n">
        <v>21.55</v>
      </c>
      <c r="I2675" s="14" t="n">
        <v>0</v>
      </c>
      <c r="J2675" s="14" t="n">
        <v>0</v>
      </c>
      <c r="K2675" s="14" t="n">
        <v>0</v>
      </c>
      <c r="L2675" s="14" t="n">
        <v>0</v>
      </c>
      <c r="M2675" s="14">
        <f>IF(B2675="Frete de venda",0,(1-ISNUMBER(SEARCH("556",P2675)))*(I2675*VLOOKUP($B2675,Premissas!$A$4:$E$7,2,0)+J2675*VLOOKUP($B2675,Premissas!$A$4:$E$7,3,0))+K2675*VLOOKUP($B2675,Premissas!$A$4:$E$7,4,0)+L2675*VLOOKUP($B2675,Premissas!$A$4:$E$7,5,0))</f>
        <v/>
      </c>
      <c r="N2675" s="14">
        <f>H2675-M2675</f>
        <v/>
      </c>
      <c r="O2675" t="inlineStr">
        <is>
          <t>Não</t>
        </is>
      </c>
      <c r="P2675" t="inlineStr">
        <is>
          <t>1.350</t>
        </is>
      </c>
    </row>
    <row r="2676">
      <c r="A2676" s="24" t="n">
        <v>46082</v>
      </c>
      <c r="B2676" t="inlineStr">
        <is>
          <t>Frete de venda</t>
        </is>
      </c>
      <c r="C2676" t="inlineStr">
        <is>
          <t>Frete de venda (para clientes)</t>
        </is>
      </c>
      <c r="D2676" t="inlineStr">
        <is>
          <t>CT-e</t>
        </is>
      </c>
      <c r="E2676" t="inlineStr">
        <is>
          <t>000006597</t>
        </is>
      </c>
      <c r="F2676" t="inlineStr">
        <is>
          <t>R&amp;R TRANSPORTE E LOGISTICA</t>
        </is>
      </c>
      <c r="G2676" s="27" t="n">
        <v>46097</v>
      </c>
      <c r="H2676" s="14" t="n">
        <v>16.13</v>
      </c>
      <c r="I2676" s="14" t="n">
        <v>0</v>
      </c>
      <c r="J2676" s="14" t="n">
        <v>0</v>
      </c>
      <c r="K2676" s="14" t="n">
        <v>0</v>
      </c>
      <c r="L2676" s="14" t="n">
        <v>0</v>
      </c>
      <c r="M2676" s="14">
        <f>IF(B2676="Frete de venda",0,(1-ISNUMBER(SEARCH("556",P2676)))*(I2676*VLOOKUP($B2676,Premissas!$A$4:$E$7,2,0)+J2676*VLOOKUP($B2676,Premissas!$A$4:$E$7,3,0))+K2676*VLOOKUP($B2676,Premissas!$A$4:$E$7,4,0)+L2676*VLOOKUP($B2676,Premissas!$A$4:$E$7,5,0))</f>
        <v/>
      </c>
      <c r="N2676" s="14">
        <f>H2676-M2676</f>
        <v/>
      </c>
      <c r="O2676" t="inlineStr">
        <is>
          <t>Não</t>
        </is>
      </c>
      <c r="P2676" t="inlineStr">
        <is>
          <t>1.350</t>
        </is>
      </c>
    </row>
    <row r="2677">
      <c r="A2677" s="24" t="n">
        <v>46082</v>
      </c>
      <c r="B2677" t="inlineStr">
        <is>
          <t>Frete de venda</t>
        </is>
      </c>
      <c r="C2677" t="inlineStr">
        <is>
          <t>Frete de venda (para clientes)</t>
        </is>
      </c>
      <c r="D2677" t="inlineStr">
        <is>
          <t>CT-e</t>
        </is>
      </c>
      <c r="E2677" t="inlineStr">
        <is>
          <t>000000638</t>
        </is>
      </c>
      <c r="F2677" t="inlineStr">
        <is>
          <t>REIMAG - REINALDO DOMINGUES BARROS DA SILVA</t>
        </is>
      </c>
      <c r="G2677" s="27" t="n">
        <v>46097</v>
      </c>
      <c r="H2677" s="14" t="n">
        <v>733.34</v>
      </c>
      <c r="I2677" s="14" t="n">
        <v>0</v>
      </c>
      <c r="J2677" s="14" t="n">
        <v>0</v>
      </c>
      <c r="K2677" s="14" t="n">
        <v>0</v>
      </c>
      <c r="L2677" s="14" t="n">
        <v>0</v>
      </c>
      <c r="M2677" s="14">
        <f>IF(B2677="Frete de venda",0,(1-ISNUMBER(SEARCH("556",P2677)))*(I2677*VLOOKUP($B2677,Premissas!$A$4:$E$7,2,0)+J2677*VLOOKUP($B2677,Premissas!$A$4:$E$7,3,0))+K2677*VLOOKUP($B2677,Premissas!$A$4:$E$7,4,0)+L2677*VLOOKUP($B2677,Premissas!$A$4:$E$7,5,0))</f>
        <v/>
      </c>
      <c r="N2677" s="14">
        <f>H2677-M2677</f>
        <v/>
      </c>
      <c r="O2677" t="inlineStr">
        <is>
          <t>Sim</t>
        </is>
      </c>
      <c r="P2677" t="inlineStr">
        <is>
          <t>1.350</t>
        </is>
      </c>
    </row>
    <row r="2678">
      <c r="A2678" s="24" t="n">
        <v>46082</v>
      </c>
      <c r="B2678" t="inlineStr">
        <is>
          <t>Frete de venda</t>
        </is>
      </c>
      <c r="C2678" t="inlineStr">
        <is>
          <t>Frete de venda (para clientes)</t>
        </is>
      </c>
      <c r="D2678" t="inlineStr">
        <is>
          <t>CT-e</t>
        </is>
      </c>
      <c r="E2678" t="inlineStr">
        <is>
          <t>000006493</t>
        </is>
      </c>
      <c r="F2678" t="inlineStr">
        <is>
          <t>R&amp;R TRANSPORTE E LOGISTICA</t>
        </is>
      </c>
      <c r="G2678" s="27" t="n">
        <v>46084</v>
      </c>
      <c r="H2678" s="14" t="n">
        <v>20.78</v>
      </c>
      <c r="I2678" s="14" t="n">
        <v>0</v>
      </c>
      <c r="J2678" s="14" t="n">
        <v>0</v>
      </c>
      <c r="K2678" s="14" t="n">
        <v>0</v>
      </c>
      <c r="L2678" s="14" t="n">
        <v>0</v>
      </c>
      <c r="M2678" s="14">
        <f>IF(B2678="Frete de venda",0,(1-ISNUMBER(SEARCH("556",P2678)))*(I2678*VLOOKUP($B2678,Premissas!$A$4:$E$7,2,0)+J2678*VLOOKUP($B2678,Premissas!$A$4:$E$7,3,0))+K2678*VLOOKUP($B2678,Premissas!$A$4:$E$7,4,0)+L2678*VLOOKUP($B2678,Premissas!$A$4:$E$7,5,0))</f>
        <v/>
      </c>
      <c r="N2678" s="14">
        <f>H2678-M2678</f>
        <v/>
      </c>
      <c r="O2678" t="inlineStr">
        <is>
          <t>Não</t>
        </is>
      </c>
      <c r="P2678" t="inlineStr">
        <is>
          <t>1.350</t>
        </is>
      </c>
    </row>
    <row r="2679">
      <c r="A2679" s="24" t="n">
        <v>46082</v>
      </c>
      <c r="B2679" t="inlineStr">
        <is>
          <t>Frete de venda</t>
        </is>
      </c>
      <c r="C2679" t="inlineStr">
        <is>
          <t>Frete de venda (para clientes)</t>
        </is>
      </c>
      <c r="D2679" t="inlineStr">
        <is>
          <t>CT-e</t>
        </is>
      </c>
      <c r="E2679" t="inlineStr">
        <is>
          <t>000006594</t>
        </is>
      </c>
      <c r="F2679" t="inlineStr">
        <is>
          <t>R&amp;R TRANSPORTE E LOGISTICA</t>
        </is>
      </c>
      <c r="G2679" s="27" t="n">
        <v>46097</v>
      </c>
      <c r="H2679" s="14" t="n">
        <v>21.79</v>
      </c>
      <c r="I2679" s="14" t="n">
        <v>0</v>
      </c>
      <c r="J2679" s="14" t="n">
        <v>0</v>
      </c>
      <c r="K2679" s="14" t="n">
        <v>0</v>
      </c>
      <c r="L2679" s="14" t="n">
        <v>0</v>
      </c>
      <c r="M2679" s="14">
        <f>IF(B2679="Frete de venda",0,(1-ISNUMBER(SEARCH("556",P2679)))*(I2679*VLOOKUP($B2679,Premissas!$A$4:$E$7,2,0)+J2679*VLOOKUP($B2679,Premissas!$A$4:$E$7,3,0))+K2679*VLOOKUP($B2679,Premissas!$A$4:$E$7,4,0)+L2679*VLOOKUP($B2679,Premissas!$A$4:$E$7,5,0))</f>
        <v/>
      </c>
      <c r="N2679" s="14">
        <f>H2679-M2679</f>
        <v/>
      </c>
      <c r="O2679" t="inlineStr">
        <is>
          <t>Não</t>
        </is>
      </c>
      <c r="P2679" t="inlineStr">
        <is>
          <t>1.350</t>
        </is>
      </c>
    </row>
    <row r="2680">
      <c r="A2680" s="24" t="n">
        <v>46082</v>
      </c>
      <c r="B2680" t="inlineStr">
        <is>
          <t>Frete de venda</t>
        </is>
      </c>
      <c r="C2680" t="inlineStr">
        <is>
          <t>Frete de venda (para clientes)</t>
        </is>
      </c>
      <c r="D2680" t="inlineStr">
        <is>
          <t>CT-e</t>
        </is>
      </c>
      <c r="E2680" t="inlineStr">
        <is>
          <t>000006633</t>
        </is>
      </c>
      <c r="F2680" t="inlineStr">
        <is>
          <t>R&amp;R TRANSPORTE E LOGISTICA</t>
        </is>
      </c>
      <c r="G2680" s="27" t="n">
        <v>46100</v>
      </c>
      <c r="H2680" s="14" t="n">
        <v>59.95</v>
      </c>
      <c r="I2680" s="14" t="n">
        <v>0</v>
      </c>
      <c r="J2680" s="14" t="n">
        <v>0</v>
      </c>
      <c r="K2680" s="14" t="n">
        <v>0</v>
      </c>
      <c r="L2680" s="14" t="n">
        <v>0</v>
      </c>
      <c r="M2680" s="14">
        <f>IF(B2680="Frete de venda",0,(1-ISNUMBER(SEARCH("556",P2680)))*(I2680*VLOOKUP($B2680,Premissas!$A$4:$E$7,2,0)+J2680*VLOOKUP($B2680,Premissas!$A$4:$E$7,3,0))+K2680*VLOOKUP($B2680,Premissas!$A$4:$E$7,4,0)+L2680*VLOOKUP($B2680,Premissas!$A$4:$E$7,5,0))</f>
        <v/>
      </c>
      <c r="N2680" s="14">
        <f>H2680-M2680</f>
        <v/>
      </c>
      <c r="O2680" t="inlineStr">
        <is>
          <t>Não</t>
        </is>
      </c>
      <c r="P2680" t="inlineStr">
        <is>
          <t>1.350</t>
        </is>
      </c>
    </row>
    <row r="2681">
      <c r="A2681" s="24" t="n">
        <v>46082</v>
      </c>
      <c r="B2681" t="inlineStr">
        <is>
          <t>Frete de venda</t>
        </is>
      </c>
      <c r="C2681" t="inlineStr">
        <is>
          <t>Frete de venda (para clientes)</t>
        </is>
      </c>
      <c r="D2681" t="inlineStr">
        <is>
          <t>CT-e</t>
        </is>
      </c>
      <c r="E2681" t="inlineStr">
        <is>
          <t>000006674</t>
        </is>
      </c>
      <c r="F2681" t="inlineStr">
        <is>
          <t>R&amp;R TRANSPORTE E LOGISTICA</t>
        </is>
      </c>
      <c r="G2681" s="27" t="n">
        <v>46107</v>
      </c>
      <c r="H2681" s="14" t="n">
        <v>176.12</v>
      </c>
      <c r="I2681" s="14" t="n">
        <v>0</v>
      </c>
      <c r="J2681" s="14" t="n">
        <v>0</v>
      </c>
      <c r="K2681" s="14" t="n">
        <v>0</v>
      </c>
      <c r="L2681" s="14" t="n">
        <v>0</v>
      </c>
      <c r="M2681" s="14">
        <f>IF(B2681="Frete de venda",0,(1-ISNUMBER(SEARCH("556",P2681)))*(I2681*VLOOKUP($B2681,Premissas!$A$4:$E$7,2,0)+J2681*VLOOKUP($B2681,Premissas!$A$4:$E$7,3,0))+K2681*VLOOKUP($B2681,Premissas!$A$4:$E$7,4,0)+L2681*VLOOKUP($B2681,Premissas!$A$4:$E$7,5,0))</f>
        <v/>
      </c>
      <c r="N2681" s="14">
        <f>H2681-M2681</f>
        <v/>
      </c>
      <c r="O2681" t="inlineStr">
        <is>
          <t>Não</t>
        </is>
      </c>
      <c r="P2681" t="inlineStr">
        <is>
          <t>1.350</t>
        </is>
      </c>
    </row>
    <row r="2682">
      <c r="A2682" s="24" t="n">
        <v>46082</v>
      </c>
      <c r="B2682" t="inlineStr">
        <is>
          <t>Frete de venda</t>
        </is>
      </c>
      <c r="C2682" t="inlineStr">
        <is>
          <t>Frete de venda (para clientes)</t>
        </is>
      </c>
      <c r="D2682" t="inlineStr">
        <is>
          <t>CT-e</t>
        </is>
      </c>
      <c r="E2682" t="inlineStr">
        <is>
          <t>000006689</t>
        </is>
      </c>
      <c r="F2682" t="inlineStr">
        <is>
          <t>R&amp;R TRANSPORTE E LOGISTICA</t>
        </is>
      </c>
      <c r="G2682" s="27" t="n">
        <v>46109</v>
      </c>
      <c r="H2682" s="14" t="n">
        <v>126.23</v>
      </c>
      <c r="I2682" s="14" t="n">
        <v>0</v>
      </c>
      <c r="J2682" s="14" t="n">
        <v>0</v>
      </c>
      <c r="K2682" s="14" t="n">
        <v>0</v>
      </c>
      <c r="L2682" s="14" t="n">
        <v>0</v>
      </c>
      <c r="M2682" s="14">
        <f>IF(B2682="Frete de venda",0,(1-ISNUMBER(SEARCH("556",P2682)))*(I2682*VLOOKUP($B2682,Premissas!$A$4:$E$7,2,0)+J2682*VLOOKUP($B2682,Premissas!$A$4:$E$7,3,0))+K2682*VLOOKUP($B2682,Premissas!$A$4:$E$7,4,0)+L2682*VLOOKUP($B2682,Premissas!$A$4:$E$7,5,0))</f>
        <v/>
      </c>
      <c r="N2682" s="14">
        <f>H2682-M2682</f>
        <v/>
      </c>
      <c r="O2682" t="inlineStr">
        <is>
          <t>Não</t>
        </is>
      </c>
      <c r="P2682" t="inlineStr">
        <is>
          <t>1.350</t>
        </is>
      </c>
    </row>
    <row r="2683">
      <c r="A2683" s="24" t="n">
        <v>46082</v>
      </c>
      <c r="B2683" t="inlineStr">
        <is>
          <t>Frete de venda</t>
        </is>
      </c>
      <c r="C2683" t="inlineStr">
        <is>
          <t>Frete de venda (para clientes)</t>
        </is>
      </c>
      <c r="D2683" t="inlineStr">
        <is>
          <t>CT-e</t>
        </is>
      </c>
      <c r="E2683" t="inlineStr">
        <is>
          <t>000006482</t>
        </is>
      </c>
      <c r="F2683" t="inlineStr">
        <is>
          <t>R&amp;R TRANSPORTE E LOGISTICA</t>
        </is>
      </c>
      <c r="G2683" s="27" t="n">
        <v>46084</v>
      </c>
      <c r="H2683" s="14" t="n">
        <v>72.22</v>
      </c>
      <c r="I2683" s="14" t="n">
        <v>0</v>
      </c>
      <c r="J2683" s="14" t="n">
        <v>0</v>
      </c>
      <c r="K2683" s="14" t="n">
        <v>0</v>
      </c>
      <c r="L2683" s="14" t="n">
        <v>0</v>
      </c>
      <c r="M2683" s="14">
        <f>IF(B2683="Frete de venda",0,(1-ISNUMBER(SEARCH("556",P2683)))*(I2683*VLOOKUP($B2683,Premissas!$A$4:$E$7,2,0)+J2683*VLOOKUP($B2683,Premissas!$A$4:$E$7,3,0))+K2683*VLOOKUP($B2683,Premissas!$A$4:$E$7,4,0)+L2683*VLOOKUP($B2683,Premissas!$A$4:$E$7,5,0))</f>
        <v/>
      </c>
      <c r="N2683" s="14">
        <f>H2683-M2683</f>
        <v/>
      </c>
      <c r="O2683" t="inlineStr">
        <is>
          <t>Não</t>
        </is>
      </c>
      <c r="P2683" t="inlineStr">
        <is>
          <t>1.350</t>
        </is>
      </c>
    </row>
    <row r="2684">
      <c r="A2684" s="24" t="n">
        <v>46082</v>
      </c>
      <c r="B2684" t="inlineStr">
        <is>
          <t>Frete de venda</t>
        </is>
      </c>
      <c r="C2684" t="inlineStr">
        <is>
          <t>Frete de venda (para clientes)</t>
        </is>
      </c>
      <c r="D2684" t="inlineStr">
        <is>
          <t>CT-e</t>
        </is>
      </c>
      <c r="E2684" t="inlineStr">
        <is>
          <t>000006486</t>
        </is>
      </c>
      <c r="F2684" t="inlineStr">
        <is>
          <t>R&amp;R TRANSPORTE E LOGISTICA</t>
        </is>
      </c>
      <c r="G2684" s="27" t="n">
        <v>46084</v>
      </c>
      <c r="H2684" s="14" t="n">
        <v>30.59</v>
      </c>
      <c r="I2684" s="14" t="n">
        <v>0</v>
      </c>
      <c r="J2684" s="14" t="n">
        <v>0</v>
      </c>
      <c r="K2684" s="14" t="n">
        <v>0</v>
      </c>
      <c r="L2684" s="14" t="n">
        <v>0</v>
      </c>
      <c r="M2684" s="14">
        <f>IF(B2684="Frete de venda",0,(1-ISNUMBER(SEARCH("556",P2684)))*(I2684*VLOOKUP($B2684,Premissas!$A$4:$E$7,2,0)+J2684*VLOOKUP($B2684,Premissas!$A$4:$E$7,3,0))+K2684*VLOOKUP($B2684,Premissas!$A$4:$E$7,4,0)+L2684*VLOOKUP($B2684,Premissas!$A$4:$E$7,5,0))</f>
        <v/>
      </c>
      <c r="N2684" s="14">
        <f>H2684-M2684</f>
        <v/>
      </c>
      <c r="O2684" t="inlineStr">
        <is>
          <t>Não</t>
        </is>
      </c>
      <c r="P2684" t="inlineStr">
        <is>
          <t>1.350</t>
        </is>
      </c>
    </row>
    <row r="2685">
      <c r="A2685" s="24" t="n">
        <v>46082</v>
      </c>
      <c r="B2685" t="inlineStr">
        <is>
          <t>Frete de venda</t>
        </is>
      </c>
      <c r="C2685" t="inlineStr">
        <is>
          <t>Frete de venda (para clientes)</t>
        </is>
      </c>
      <c r="D2685" t="inlineStr">
        <is>
          <t>CT-e</t>
        </is>
      </c>
      <c r="E2685" t="inlineStr">
        <is>
          <t>000006701</t>
        </is>
      </c>
      <c r="F2685" t="inlineStr">
        <is>
          <t>R&amp;R TRANSPORTE E LOGISTICA</t>
        </is>
      </c>
      <c r="G2685" s="27" t="n">
        <v>46111</v>
      </c>
      <c r="H2685" s="14" t="n">
        <v>161.47</v>
      </c>
      <c r="I2685" s="14" t="n">
        <v>0</v>
      </c>
      <c r="J2685" s="14" t="n">
        <v>0</v>
      </c>
      <c r="K2685" s="14" t="n">
        <v>0</v>
      </c>
      <c r="L2685" s="14" t="n">
        <v>0</v>
      </c>
      <c r="M2685" s="14">
        <f>IF(B2685="Frete de venda",0,(1-ISNUMBER(SEARCH("556",P2685)))*(I2685*VLOOKUP($B2685,Premissas!$A$4:$E$7,2,0)+J2685*VLOOKUP($B2685,Premissas!$A$4:$E$7,3,0))+K2685*VLOOKUP($B2685,Premissas!$A$4:$E$7,4,0)+L2685*VLOOKUP($B2685,Premissas!$A$4:$E$7,5,0))</f>
        <v/>
      </c>
      <c r="N2685" s="14">
        <f>H2685-M2685</f>
        <v/>
      </c>
      <c r="O2685" t="inlineStr">
        <is>
          <t>Não</t>
        </is>
      </c>
      <c r="P2685" t="inlineStr">
        <is>
          <t>1.350</t>
        </is>
      </c>
    </row>
    <row r="2686">
      <c r="A2686" s="24" t="n">
        <v>46082</v>
      </c>
      <c r="B2686" t="inlineStr">
        <is>
          <t>Frete de venda</t>
        </is>
      </c>
      <c r="C2686" t="inlineStr">
        <is>
          <t>Frete de venda (para clientes)</t>
        </is>
      </c>
      <c r="D2686" t="inlineStr">
        <is>
          <t>CT-e</t>
        </is>
      </c>
      <c r="E2686" t="inlineStr">
        <is>
          <t>000006496</t>
        </is>
      </c>
      <c r="F2686" t="inlineStr">
        <is>
          <t>R&amp;R TRANSPORTE E LOGISTICA</t>
        </is>
      </c>
      <c r="G2686" s="27" t="n">
        <v>46084</v>
      </c>
      <c r="H2686" s="14" t="n">
        <v>14.89</v>
      </c>
      <c r="I2686" s="14" t="n">
        <v>0</v>
      </c>
      <c r="J2686" s="14" t="n">
        <v>0</v>
      </c>
      <c r="K2686" s="14" t="n">
        <v>0</v>
      </c>
      <c r="L2686" s="14" t="n">
        <v>0</v>
      </c>
      <c r="M2686" s="14">
        <f>IF(B2686="Frete de venda",0,(1-ISNUMBER(SEARCH("556",P2686)))*(I2686*VLOOKUP($B2686,Premissas!$A$4:$E$7,2,0)+J2686*VLOOKUP($B2686,Premissas!$A$4:$E$7,3,0))+K2686*VLOOKUP($B2686,Premissas!$A$4:$E$7,4,0)+L2686*VLOOKUP($B2686,Premissas!$A$4:$E$7,5,0))</f>
        <v/>
      </c>
      <c r="N2686" s="14">
        <f>H2686-M2686</f>
        <v/>
      </c>
      <c r="O2686" t="inlineStr">
        <is>
          <t>Não</t>
        </is>
      </c>
      <c r="P2686" t="inlineStr">
        <is>
          <t>1.350</t>
        </is>
      </c>
    </row>
    <row r="2687">
      <c r="A2687" s="24" t="n">
        <v>46082</v>
      </c>
      <c r="B2687" t="inlineStr">
        <is>
          <t>Frete de venda</t>
        </is>
      </c>
      <c r="C2687" t="inlineStr">
        <is>
          <t>Frete de venda (para clientes)</t>
        </is>
      </c>
      <c r="D2687" t="inlineStr">
        <is>
          <t>CT-e</t>
        </is>
      </c>
      <c r="E2687" t="inlineStr">
        <is>
          <t>000006596</t>
        </is>
      </c>
      <c r="F2687" t="inlineStr">
        <is>
          <t>R&amp;R TRANSPORTE E LOGISTICA</t>
        </is>
      </c>
      <c r="G2687" s="27" t="n">
        <v>46097</v>
      </c>
      <c r="H2687" s="14" t="n">
        <v>15.52</v>
      </c>
      <c r="I2687" s="14" t="n">
        <v>0</v>
      </c>
      <c r="J2687" s="14" t="n">
        <v>0</v>
      </c>
      <c r="K2687" s="14" t="n">
        <v>0</v>
      </c>
      <c r="L2687" s="14" t="n">
        <v>0</v>
      </c>
      <c r="M2687" s="14">
        <f>IF(B2687="Frete de venda",0,(1-ISNUMBER(SEARCH("556",P2687)))*(I2687*VLOOKUP($B2687,Premissas!$A$4:$E$7,2,0)+J2687*VLOOKUP($B2687,Premissas!$A$4:$E$7,3,0))+K2687*VLOOKUP($B2687,Premissas!$A$4:$E$7,4,0)+L2687*VLOOKUP($B2687,Premissas!$A$4:$E$7,5,0))</f>
        <v/>
      </c>
      <c r="N2687" s="14">
        <f>H2687-M2687</f>
        <v/>
      </c>
      <c r="O2687" t="inlineStr">
        <is>
          <t>Não</t>
        </is>
      </c>
      <c r="P2687" t="inlineStr">
        <is>
          <t>1.350</t>
        </is>
      </c>
    </row>
    <row r="2688">
      <c r="A2688" s="24" t="n">
        <v>46082</v>
      </c>
      <c r="B2688" t="inlineStr">
        <is>
          <t>Frete de venda</t>
        </is>
      </c>
      <c r="C2688" t="inlineStr">
        <is>
          <t>Frete de venda (para clientes)</t>
        </is>
      </c>
      <c r="D2688" t="inlineStr">
        <is>
          <t>CT-e</t>
        </is>
      </c>
      <c r="E2688" t="inlineStr">
        <is>
          <t>000006510</t>
        </is>
      </c>
      <c r="F2688" t="inlineStr">
        <is>
          <t>R&amp;R TRANSPORTE E LOGISTICA</t>
        </is>
      </c>
      <c r="G2688" s="27" t="n">
        <v>46085</v>
      </c>
      <c r="H2688" s="14" t="n">
        <v>19.66</v>
      </c>
      <c r="I2688" s="14" t="n">
        <v>0</v>
      </c>
      <c r="J2688" s="14" t="n">
        <v>0</v>
      </c>
      <c r="K2688" s="14" t="n">
        <v>0</v>
      </c>
      <c r="L2688" s="14" t="n">
        <v>0</v>
      </c>
      <c r="M2688" s="14">
        <f>IF(B2688="Frete de venda",0,(1-ISNUMBER(SEARCH("556",P2688)))*(I2688*VLOOKUP($B2688,Premissas!$A$4:$E$7,2,0)+J2688*VLOOKUP($B2688,Premissas!$A$4:$E$7,3,0))+K2688*VLOOKUP($B2688,Premissas!$A$4:$E$7,4,0)+L2688*VLOOKUP($B2688,Premissas!$A$4:$E$7,5,0))</f>
        <v/>
      </c>
      <c r="N2688" s="14">
        <f>H2688-M2688</f>
        <v/>
      </c>
      <c r="O2688" t="inlineStr">
        <is>
          <t>Não</t>
        </is>
      </c>
      <c r="P2688" t="inlineStr">
        <is>
          <t>1.350</t>
        </is>
      </c>
    </row>
    <row r="2689">
      <c r="A2689" s="24" t="n">
        <v>46082</v>
      </c>
      <c r="B2689" t="inlineStr">
        <is>
          <t>Frete de venda</t>
        </is>
      </c>
      <c r="C2689" t="inlineStr">
        <is>
          <t>Frete de venda (para clientes)</t>
        </is>
      </c>
      <c r="D2689" t="inlineStr">
        <is>
          <t>CT-e</t>
        </is>
      </c>
      <c r="E2689" t="inlineStr">
        <is>
          <t>000006703</t>
        </is>
      </c>
      <c r="F2689" t="inlineStr">
        <is>
          <t>R&amp;R TRANSPORTE E LOGISTICA</t>
        </is>
      </c>
      <c r="G2689" s="27" t="n">
        <v>46111</v>
      </c>
      <c r="H2689" s="14" t="n">
        <v>34.04</v>
      </c>
      <c r="I2689" s="14" t="n">
        <v>0</v>
      </c>
      <c r="J2689" s="14" t="n">
        <v>0</v>
      </c>
      <c r="K2689" s="14" t="n">
        <v>0</v>
      </c>
      <c r="L2689" s="14" t="n">
        <v>0</v>
      </c>
      <c r="M2689" s="14">
        <f>IF(B2689="Frete de venda",0,(1-ISNUMBER(SEARCH("556",P2689)))*(I2689*VLOOKUP($B2689,Premissas!$A$4:$E$7,2,0)+J2689*VLOOKUP($B2689,Premissas!$A$4:$E$7,3,0))+K2689*VLOOKUP($B2689,Premissas!$A$4:$E$7,4,0)+L2689*VLOOKUP($B2689,Premissas!$A$4:$E$7,5,0))</f>
        <v/>
      </c>
      <c r="N2689" s="14">
        <f>H2689-M2689</f>
        <v/>
      </c>
      <c r="O2689" t="inlineStr">
        <is>
          <t>Não</t>
        </is>
      </c>
      <c r="P2689" t="inlineStr">
        <is>
          <t>1.350</t>
        </is>
      </c>
    </row>
    <row r="2690">
      <c r="A2690" s="24" t="n">
        <v>46082</v>
      </c>
      <c r="B2690" t="inlineStr">
        <is>
          <t>Frete de venda</t>
        </is>
      </c>
      <c r="C2690" t="inlineStr">
        <is>
          <t>Frete de venda (para clientes)</t>
        </is>
      </c>
      <c r="D2690" t="inlineStr">
        <is>
          <t>CT-e</t>
        </is>
      </c>
      <c r="E2690" t="inlineStr">
        <is>
          <t>000006491</t>
        </is>
      </c>
      <c r="F2690" t="inlineStr">
        <is>
          <t>R&amp;R TRANSPORTE E LOGISTICA</t>
        </is>
      </c>
      <c r="G2690" s="27" t="n">
        <v>46084</v>
      </c>
      <c r="H2690" s="14" t="n">
        <v>35.13</v>
      </c>
      <c r="I2690" s="14" t="n">
        <v>0</v>
      </c>
      <c r="J2690" s="14" t="n">
        <v>0</v>
      </c>
      <c r="K2690" s="14" t="n">
        <v>0</v>
      </c>
      <c r="L2690" s="14" t="n">
        <v>0</v>
      </c>
      <c r="M2690" s="14">
        <f>IF(B2690="Frete de venda",0,(1-ISNUMBER(SEARCH("556",P2690)))*(I2690*VLOOKUP($B2690,Premissas!$A$4:$E$7,2,0)+J2690*VLOOKUP($B2690,Premissas!$A$4:$E$7,3,0))+K2690*VLOOKUP($B2690,Premissas!$A$4:$E$7,4,0)+L2690*VLOOKUP($B2690,Premissas!$A$4:$E$7,5,0))</f>
        <v/>
      </c>
      <c r="N2690" s="14">
        <f>H2690-M2690</f>
        <v/>
      </c>
      <c r="O2690" t="inlineStr">
        <is>
          <t>Não</t>
        </is>
      </c>
      <c r="P2690" t="inlineStr">
        <is>
          <t>1.350</t>
        </is>
      </c>
    </row>
    <row r="2691">
      <c r="A2691" s="24" t="n">
        <v>46082</v>
      </c>
      <c r="B2691" t="inlineStr">
        <is>
          <t>Frete de venda</t>
        </is>
      </c>
      <c r="C2691" t="inlineStr">
        <is>
          <t>Frete de venda (para clientes)</t>
        </is>
      </c>
      <c r="D2691" t="inlineStr">
        <is>
          <t>CT-e</t>
        </is>
      </c>
      <c r="E2691" t="inlineStr">
        <is>
          <t>000006564</t>
        </is>
      </c>
      <c r="F2691" t="inlineStr">
        <is>
          <t>R&amp;R TRANSPORTE E LOGISTICA</t>
        </is>
      </c>
      <c r="G2691" s="27" t="n">
        <v>46093</v>
      </c>
      <c r="H2691" s="14" t="n">
        <v>43.54</v>
      </c>
      <c r="I2691" s="14" t="n">
        <v>0</v>
      </c>
      <c r="J2691" s="14" t="n">
        <v>0</v>
      </c>
      <c r="K2691" s="14" t="n">
        <v>0</v>
      </c>
      <c r="L2691" s="14" t="n">
        <v>0</v>
      </c>
      <c r="M2691" s="14">
        <f>IF(B2691="Frete de venda",0,(1-ISNUMBER(SEARCH("556",P2691)))*(I2691*VLOOKUP($B2691,Premissas!$A$4:$E$7,2,0)+J2691*VLOOKUP($B2691,Premissas!$A$4:$E$7,3,0))+K2691*VLOOKUP($B2691,Premissas!$A$4:$E$7,4,0)+L2691*VLOOKUP($B2691,Premissas!$A$4:$E$7,5,0))</f>
        <v/>
      </c>
      <c r="N2691" s="14">
        <f>H2691-M2691</f>
        <v/>
      </c>
      <c r="O2691" t="inlineStr">
        <is>
          <t>Não</t>
        </is>
      </c>
      <c r="P2691" t="inlineStr">
        <is>
          <t>1.350</t>
        </is>
      </c>
    </row>
    <row r="2692">
      <c r="A2692" s="24" t="n">
        <v>46082</v>
      </c>
      <c r="B2692" t="inlineStr">
        <is>
          <t>Frete de venda</t>
        </is>
      </c>
      <c r="C2692" t="inlineStr">
        <is>
          <t>Frete de venda (para clientes)</t>
        </is>
      </c>
      <c r="D2692" t="inlineStr">
        <is>
          <t>CT-e</t>
        </is>
      </c>
      <c r="E2692" t="inlineStr">
        <is>
          <t>000006488</t>
        </is>
      </c>
      <c r="F2692" t="inlineStr">
        <is>
          <t>R&amp;R TRANSPORTE E LOGISTICA</t>
        </is>
      </c>
      <c r="G2692" s="27" t="n">
        <v>46084</v>
      </c>
      <c r="H2692" s="14" t="n">
        <v>50.45</v>
      </c>
      <c r="I2692" s="14" t="n">
        <v>0</v>
      </c>
      <c r="J2692" s="14" t="n">
        <v>0</v>
      </c>
      <c r="K2692" s="14" t="n">
        <v>0</v>
      </c>
      <c r="L2692" s="14" t="n">
        <v>0</v>
      </c>
      <c r="M2692" s="14">
        <f>IF(B2692="Frete de venda",0,(1-ISNUMBER(SEARCH("556",P2692)))*(I2692*VLOOKUP($B2692,Premissas!$A$4:$E$7,2,0)+J2692*VLOOKUP($B2692,Premissas!$A$4:$E$7,3,0))+K2692*VLOOKUP($B2692,Premissas!$A$4:$E$7,4,0)+L2692*VLOOKUP($B2692,Premissas!$A$4:$E$7,5,0))</f>
        <v/>
      </c>
      <c r="N2692" s="14">
        <f>H2692-M2692</f>
        <v/>
      </c>
      <c r="O2692" t="inlineStr">
        <is>
          <t>Não</t>
        </is>
      </c>
      <c r="P2692" t="inlineStr">
        <is>
          <t>1.350</t>
        </is>
      </c>
    </row>
    <row r="2693">
      <c r="A2693" s="24" t="n">
        <v>46082</v>
      </c>
      <c r="B2693" t="inlineStr">
        <is>
          <t>Frete de venda</t>
        </is>
      </c>
      <c r="C2693" t="inlineStr">
        <is>
          <t>Frete de venda (para clientes)</t>
        </is>
      </c>
      <c r="D2693" t="inlineStr">
        <is>
          <t>CT-e</t>
        </is>
      </c>
      <c r="E2693" t="inlineStr">
        <is>
          <t>000006621</t>
        </is>
      </c>
      <c r="F2693" t="inlineStr">
        <is>
          <t>R&amp;R TRANSPORTE E LOGISTICA</t>
        </is>
      </c>
      <c r="G2693" s="27" t="n">
        <v>46099</v>
      </c>
      <c r="H2693" s="14" t="n">
        <v>38.49</v>
      </c>
      <c r="I2693" s="14" t="n">
        <v>0</v>
      </c>
      <c r="J2693" s="14" t="n">
        <v>0</v>
      </c>
      <c r="K2693" s="14" t="n">
        <v>0</v>
      </c>
      <c r="L2693" s="14" t="n">
        <v>0</v>
      </c>
      <c r="M2693" s="14">
        <f>IF(B2693="Frete de venda",0,(1-ISNUMBER(SEARCH("556",P2693)))*(I2693*VLOOKUP($B2693,Premissas!$A$4:$E$7,2,0)+J2693*VLOOKUP($B2693,Premissas!$A$4:$E$7,3,0))+K2693*VLOOKUP($B2693,Premissas!$A$4:$E$7,4,0)+L2693*VLOOKUP($B2693,Premissas!$A$4:$E$7,5,0))</f>
        <v/>
      </c>
      <c r="N2693" s="14">
        <f>H2693-M2693</f>
        <v/>
      </c>
      <c r="O2693" t="inlineStr">
        <is>
          <t>Não</t>
        </is>
      </c>
      <c r="P2693" t="inlineStr">
        <is>
          <t>1.350</t>
        </is>
      </c>
    </row>
    <row r="2694">
      <c r="A2694" s="24" t="n">
        <v>46082</v>
      </c>
      <c r="B2694" t="inlineStr">
        <is>
          <t>Frete de venda</t>
        </is>
      </c>
      <c r="C2694" t="inlineStr">
        <is>
          <t>Frete de venda (para clientes)</t>
        </is>
      </c>
      <c r="D2694" t="inlineStr">
        <is>
          <t>CT-e</t>
        </is>
      </c>
      <c r="E2694" t="inlineStr">
        <is>
          <t>000006678</t>
        </is>
      </c>
      <c r="F2694" t="inlineStr">
        <is>
          <t>R&amp;R TRANSPORTE E LOGISTICA</t>
        </is>
      </c>
      <c r="G2694" s="27" t="n">
        <v>46107</v>
      </c>
      <c r="H2694" s="14" t="n">
        <v>1900</v>
      </c>
      <c r="I2694" s="14" t="n">
        <v>0</v>
      </c>
      <c r="J2694" s="14" t="n">
        <v>0</v>
      </c>
      <c r="K2694" s="14" t="n">
        <v>0</v>
      </c>
      <c r="L2694" s="14" t="n">
        <v>0</v>
      </c>
      <c r="M2694" s="14">
        <f>IF(B2694="Frete de venda",0,(1-ISNUMBER(SEARCH("556",P2694)))*(I2694*VLOOKUP($B2694,Premissas!$A$4:$E$7,2,0)+J2694*VLOOKUP($B2694,Premissas!$A$4:$E$7,3,0))+K2694*VLOOKUP($B2694,Premissas!$A$4:$E$7,4,0)+L2694*VLOOKUP($B2694,Premissas!$A$4:$E$7,5,0))</f>
        <v/>
      </c>
      <c r="N2694" s="14">
        <f>H2694-M2694</f>
        <v/>
      </c>
      <c r="O2694" t="inlineStr">
        <is>
          <t>Sim</t>
        </is>
      </c>
      <c r="P2694" t="inlineStr">
        <is>
          <t>1.350</t>
        </is>
      </c>
    </row>
    <row r="2695">
      <c r="A2695" s="24" t="n">
        <v>46082</v>
      </c>
      <c r="B2695" t="inlineStr">
        <is>
          <t>Frete de venda</t>
        </is>
      </c>
      <c r="C2695" t="inlineStr">
        <is>
          <t>Frete de venda (para clientes)</t>
        </is>
      </c>
      <c r="D2695" t="inlineStr">
        <is>
          <t>CT-e</t>
        </is>
      </c>
      <c r="E2695" t="inlineStr">
        <is>
          <t>000006707</t>
        </is>
      </c>
      <c r="F2695" t="inlineStr">
        <is>
          <t>R&amp;R TRANSPORTE E LOGISTICA</t>
        </is>
      </c>
      <c r="G2695" s="27" t="n">
        <v>46111</v>
      </c>
      <c r="H2695" s="14" t="n">
        <v>593</v>
      </c>
      <c r="I2695" s="14" t="n">
        <v>0</v>
      </c>
      <c r="J2695" s="14" t="n">
        <v>0</v>
      </c>
      <c r="K2695" s="14" t="n">
        <v>0</v>
      </c>
      <c r="L2695" s="14" t="n">
        <v>0</v>
      </c>
      <c r="M2695" s="14">
        <f>IF(B2695="Frete de venda",0,(1-ISNUMBER(SEARCH("556",P2695)))*(I2695*VLOOKUP($B2695,Premissas!$A$4:$E$7,2,0)+J2695*VLOOKUP($B2695,Premissas!$A$4:$E$7,3,0))+K2695*VLOOKUP($B2695,Premissas!$A$4:$E$7,4,0)+L2695*VLOOKUP($B2695,Premissas!$A$4:$E$7,5,0))</f>
        <v/>
      </c>
      <c r="N2695" s="14">
        <f>H2695-M2695</f>
        <v/>
      </c>
      <c r="O2695" t="inlineStr">
        <is>
          <t>Sim</t>
        </is>
      </c>
      <c r="P2695" t="inlineStr">
        <is>
          <t>1.350</t>
        </is>
      </c>
    </row>
    <row r="2696">
      <c r="A2696" s="24" t="n">
        <v>46082</v>
      </c>
      <c r="B2696" t="inlineStr">
        <is>
          <t>Frete de venda</t>
        </is>
      </c>
      <c r="C2696" t="inlineStr">
        <is>
          <t>Frete de venda (para clientes)</t>
        </is>
      </c>
      <c r="D2696" t="inlineStr">
        <is>
          <t>CT-e</t>
        </is>
      </c>
      <c r="E2696" t="inlineStr">
        <is>
          <t>000006631</t>
        </is>
      </c>
      <c r="F2696" t="inlineStr">
        <is>
          <t>R&amp;R TRANSPORTE E LOGISTICA</t>
        </is>
      </c>
      <c r="G2696" s="27" t="n">
        <v>46100</v>
      </c>
      <c r="H2696" s="14" t="n">
        <v>19.28</v>
      </c>
      <c r="I2696" s="14" t="n">
        <v>0</v>
      </c>
      <c r="J2696" s="14" t="n">
        <v>0</v>
      </c>
      <c r="K2696" s="14" t="n">
        <v>0</v>
      </c>
      <c r="L2696" s="14" t="n">
        <v>0</v>
      </c>
      <c r="M2696" s="14">
        <f>IF(B2696="Frete de venda",0,(1-ISNUMBER(SEARCH("556",P2696)))*(I2696*VLOOKUP($B2696,Premissas!$A$4:$E$7,2,0)+J2696*VLOOKUP($B2696,Premissas!$A$4:$E$7,3,0))+K2696*VLOOKUP($B2696,Premissas!$A$4:$E$7,4,0)+L2696*VLOOKUP($B2696,Premissas!$A$4:$E$7,5,0))</f>
        <v/>
      </c>
      <c r="N2696" s="14">
        <f>H2696-M2696</f>
        <v/>
      </c>
      <c r="O2696" t="inlineStr">
        <is>
          <t>Não</t>
        </is>
      </c>
      <c r="P2696" t="inlineStr">
        <is>
          <t>1.350</t>
        </is>
      </c>
    </row>
    <row r="2697">
      <c r="A2697" s="24" t="n">
        <v>46082</v>
      </c>
      <c r="B2697" t="inlineStr">
        <is>
          <t>Frete de venda</t>
        </is>
      </c>
      <c r="C2697" t="inlineStr">
        <is>
          <t>Frete de venda (para clientes)</t>
        </is>
      </c>
      <c r="D2697" t="inlineStr">
        <is>
          <t>CT-e</t>
        </is>
      </c>
      <c r="E2697" t="inlineStr">
        <is>
          <t>000000636</t>
        </is>
      </c>
      <c r="F2697" t="inlineStr">
        <is>
          <t>REIMAG - REINALDO DOMINGUES BARROS DA SILVA</t>
        </is>
      </c>
      <c r="G2697" s="27" t="n">
        <v>46097</v>
      </c>
      <c r="H2697" s="14" t="n">
        <v>733.33</v>
      </c>
      <c r="I2697" s="14" t="n">
        <v>0</v>
      </c>
      <c r="J2697" s="14" t="n">
        <v>0</v>
      </c>
      <c r="K2697" s="14" t="n">
        <v>0</v>
      </c>
      <c r="L2697" s="14" t="n">
        <v>0</v>
      </c>
      <c r="M2697" s="14">
        <f>IF(B2697="Frete de venda",0,(1-ISNUMBER(SEARCH("556",P2697)))*(I2697*VLOOKUP($B2697,Premissas!$A$4:$E$7,2,0)+J2697*VLOOKUP($B2697,Premissas!$A$4:$E$7,3,0))+K2697*VLOOKUP($B2697,Premissas!$A$4:$E$7,4,0)+L2697*VLOOKUP($B2697,Premissas!$A$4:$E$7,5,0))</f>
        <v/>
      </c>
      <c r="N2697" s="14">
        <f>H2697-M2697</f>
        <v/>
      </c>
      <c r="O2697" t="inlineStr">
        <is>
          <t>Sim</t>
        </is>
      </c>
      <c r="P2697" t="inlineStr">
        <is>
          <t>1.350</t>
        </is>
      </c>
    </row>
    <row r="2698">
      <c r="A2698" s="24" t="n">
        <v>46082</v>
      </c>
      <c r="B2698" t="inlineStr">
        <is>
          <t>Frete de venda</t>
        </is>
      </c>
      <c r="C2698" t="inlineStr">
        <is>
          <t>Frete de venda (para clientes)</t>
        </is>
      </c>
      <c r="D2698" t="inlineStr">
        <is>
          <t>CT-e</t>
        </is>
      </c>
      <c r="E2698" t="inlineStr">
        <is>
          <t>000006700</t>
        </is>
      </c>
      <c r="F2698" t="inlineStr">
        <is>
          <t>R&amp;R TRANSPORTE E LOGISTICA</t>
        </is>
      </c>
      <c r="G2698" s="27" t="n">
        <v>46111</v>
      </c>
      <c r="H2698" s="14" t="n">
        <v>531.34</v>
      </c>
      <c r="I2698" s="14" t="n">
        <v>0</v>
      </c>
      <c r="J2698" s="14" t="n">
        <v>0</v>
      </c>
      <c r="K2698" s="14" t="n">
        <v>0</v>
      </c>
      <c r="L2698" s="14" t="n">
        <v>0</v>
      </c>
      <c r="M2698" s="14">
        <f>IF(B2698="Frete de venda",0,(1-ISNUMBER(SEARCH("556",P2698)))*(I2698*VLOOKUP($B2698,Premissas!$A$4:$E$7,2,0)+J2698*VLOOKUP($B2698,Premissas!$A$4:$E$7,3,0))+K2698*VLOOKUP($B2698,Premissas!$A$4:$E$7,4,0)+L2698*VLOOKUP($B2698,Premissas!$A$4:$E$7,5,0))</f>
        <v/>
      </c>
      <c r="N2698" s="14">
        <f>H2698-M2698</f>
        <v/>
      </c>
      <c r="O2698" t="inlineStr">
        <is>
          <t>Não</t>
        </is>
      </c>
      <c r="P2698" t="inlineStr">
        <is>
          <t>1.350</t>
        </is>
      </c>
    </row>
    <row r="2699">
      <c r="A2699" s="24" t="n">
        <v>46082</v>
      </c>
      <c r="B2699" t="inlineStr">
        <is>
          <t>Frete de venda</t>
        </is>
      </c>
      <c r="C2699" t="inlineStr">
        <is>
          <t>Frete de venda (para clientes)</t>
        </is>
      </c>
      <c r="D2699" t="inlineStr">
        <is>
          <t>CT-e</t>
        </is>
      </c>
      <c r="E2699" t="inlineStr">
        <is>
          <t>000006684</t>
        </is>
      </c>
      <c r="F2699" t="inlineStr">
        <is>
          <t>R&amp;R TRANSPORTE E LOGISTICA</t>
        </is>
      </c>
      <c r="G2699" s="27" t="n">
        <v>46108</v>
      </c>
      <c r="H2699" s="14" t="n">
        <v>97.08</v>
      </c>
      <c r="I2699" s="14" t="n">
        <v>0</v>
      </c>
      <c r="J2699" s="14" t="n">
        <v>0</v>
      </c>
      <c r="K2699" s="14" t="n">
        <v>0</v>
      </c>
      <c r="L2699" s="14" t="n">
        <v>0</v>
      </c>
      <c r="M2699" s="14">
        <f>IF(B2699="Frete de venda",0,(1-ISNUMBER(SEARCH("556",P2699)))*(I2699*VLOOKUP($B2699,Premissas!$A$4:$E$7,2,0)+J2699*VLOOKUP($B2699,Premissas!$A$4:$E$7,3,0))+K2699*VLOOKUP($B2699,Premissas!$A$4:$E$7,4,0)+L2699*VLOOKUP($B2699,Premissas!$A$4:$E$7,5,0))</f>
        <v/>
      </c>
      <c r="N2699" s="14">
        <f>H2699-M2699</f>
        <v/>
      </c>
      <c r="O2699" t="inlineStr">
        <is>
          <t>Não</t>
        </is>
      </c>
      <c r="P2699" t="inlineStr">
        <is>
          <t>1.350</t>
        </is>
      </c>
    </row>
    <row r="2700">
      <c r="A2700" s="24" t="n">
        <v>46082</v>
      </c>
      <c r="B2700" t="inlineStr">
        <is>
          <t>Frete de venda</t>
        </is>
      </c>
      <c r="C2700" t="inlineStr">
        <is>
          <t>Frete de venda (para clientes)</t>
        </is>
      </c>
      <c r="D2700" t="inlineStr">
        <is>
          <t>CT-e</t>
        </is>
      </c>
      <c r="E2700" t="inlineStr">
        <is>
          <t>000006565</t>
        </is>
      </c>
      <c r="F2700" t="inlineStr">
        <is>
          <t>R&amp;R TRANSPORTE E LOGISTICA</t>
        </is>
      </c>
      <c r="G2700" s="27" t="n">
        <v>46093</v>
      </c>
      <c r="H2700" s="14" t="n">
        <v>48.77</v>
      </c>
      <c r="I2700" s="14" t="n">
        <v>0</v>
      </c>
      <c r="J2700" s="14" t="n">
        <v>0</v>
      </c>
      <c r="K2700" s="14" t="n">
        <v>0</v>
      </c>
      <c r="L2700" s="14" t="n">
        <v>0</v>
      </c>
      <c r="M2700" s="14">
        <f>IF(B2700="Frete de venda",0,(1-ISNUMBER(SEARCH("556",P2700)))*(I2700*VLOOKUP($B2700,Premissas!$A$4:$E$7,2,0)+J2700*VLOOKUP($B2700,Premissas!$A$4:$E$7,3,0))+K2700*VLOOKUP($B2700,Premissas!$A$4:$E$7,4,0)+L2700*VLOOKUP($B2700,Premissas!$A$4:$E$7,5,0))</f>
        <v/>
      </c>
      <c r="N2700" s="14">
        <f>H2700-M2700</f>
        <v/>
      </c>
      <c r="O2700" t="inlineStr">
        <is>
          <t>Não</t>
        </is>
      </c>
      <c r="P2700" t="inlineStr">
        <is>
          <t>1.350</t>
        </is>
      </c>
    </row>
    <row r="2701">
      <c r="A2701" s="24" t="n">
        <v>46082</v>
      </c>
      <c r="B2701" t="inlineStr">
        <is>
          <t>Frete de venda</t>
        </is>
      </c>
      <c r="C2701" t="inlineStr">
        <is>
          <t>Frete de venda (para clientes)</t>
        </is>
      </c>
      <c r="D2701" t="inlineStr">
        <is>
          <t>CT-e</t>
        </is>
      </c>
      <c r="E2701" t="inlineStr">
        <is>
          <t>000000632</t>
        </is>
      </c>
      <c r="F2701" t="inlineStr">
        <is>
          <t>REIMAG - REINALDO DOMINGUES BARROS DA SILVA</t>
        </is>
      </c>
      <c r="G2701" s="27" t="n">
        <v>46090</v>
      </c>
      <c r="H2701" s="14" t="n">
        <v>250</v>
      </c>
      <c r="I2701" s="14" t="n">
        <v>0</v>
      </c>
      <c r="J2701" s="14" t="n">
        <v>0</v>
      </c>
      <c r="K2701" s="14" t="n">
        <v>0</v>
      </c>
      <c r="L2701" s="14" t="n">
        <v>0</v>
      </c>
      <c r="M2701" s="14">
        <f>IF(B2701="Frete de venda",0,(1-ISNUMBER(SEARCH("556",P2701)))*(I2701*VLOOKUP($B2701,Premissas!$A$4:$E$7,2,0)+J2701*VLOOKUP($B2701,Premissas!$A$4:$E$7,3,0))+K2701*VLOOKUP($B2701,Premissas!$A$4:$E$7,4,0)+L2701*VLOOKUP($B2701,Premissas!$A$4:$E$7,5,0))</f>
        <v/>
      </c>
      <c r="N2701" s="14">
        <f>H2701-M2701</f>
        <v/>
      </c>
      <c r="O2701" t="inlineStr">
        <is>
          <t>Sim</t>
        </is>
      </c>
      <c r="P2701" t="inlineStr">
        <is>
          <t>1.350</t>
        </is>
      </c>
    </row>
    <row r="2702">
      <c r="A2702" s="24" t="n">
        <v>46082</v>
      </c>
      <c r="B2702" t="inlineStr">
        <is>
          <t>Insumos e papel</t>
        </is>
      </c>
      <c r="C2702" t="inlineStr">
        <is>
          <t>2.01.03 Compra de Matéria Prima (Papel)</t>
        </is>
      </c>
      <c r="D2702" t="inlineStr">
        <is>
          <t>NF-e</t>
        </is>
      </c>
      <c r="E2702" t="inlineStr">
        <is>
          <t>000012701</t>
        </is>
      </c>
      <c r="F2702" t="inlineStr">
        <is>
          <t>CMPC Iguacu Embalagens Ltda</t>
        </is>
      </c>
      <c r="G2702" s="27" t="n">
        <v>46107</v>
      </c>
      <c r="H2702" s="14" t="n">
        <v>143454.06</v>
      </c>
      <c r="I2702" s="14" t="n">
        <v>4515.5</v>
      </c>
      <c r="J2702" s="14" t="n">
        <v>9725.700000000001</v>
      </c>
      <c r="K2702" s="14" t="n">
        <v>2132.02</v>
      </c>
      <c r="L2702" s="14" t="n">
        <v>9820.18</v>
      </c>
      <c r="M2702" s="14">
        <f>IF(B2702="Frete de venda",0,(1-ISNUMBER(SEARCH("556",P2702)))*(I2702*VLOOKUP($B2702,Premissas!$A$4:$E$7,2,0)+J2702*VLOOKUP($B2702,Premissas!$A$4:$E$7,3,0))+K2702*VLOOKUP($B2702,Premissas!$A$4:$E$7,4,0)+L2702*VLOOKUP($B2702,Premissas!$A$4:$E$7,5,0))</f>
        <v/>
      </c>
      <c r="N2702" s="14">
        <f>H2702-M2702</f>
        <v/>
      </c>
      <c r="O2702" t="inlineStr">
        <is>
          <t>Sim</t>
        </is>
      </c>
      <c r="P2702" t="inlineStr">
        <is>
          <t>2.101</t>
        </is>
      </c>
    </row>
    <row r="2703">
      <c r="A2703" s="24" t="n">
        <v>46082</v>
      </c>
      <c r="B2703" t="inlineStr">
        <is>
          <t>Insumos e papel</t>
        </is>
      </c>
      <c r="C2703" t="inlineStr">
        <is>
          <t>2.01.03 Compra de Matéria Prima (Papel)</t>
        </is>
      </c>
      <c r="D2703" t="inlineStr">
        <is>
          <t>NF-e</t>
        </is>
      </c>
      <c r="E2703" t="inlineStr">
        <is>
          <t>000012718</t>
        </is>
      </c>
      <c r="F2703" t="inlineStr">
        <is>
          <t>CMPC Iguacu Embalagens Ltda</t>
        </is>
      </c>
      <c r="G2703" s="27" t="n">
        <v>46108</v>
      </c>
      <c r="H2703" s="14" t="n">
        <v>140512.8</v>
      </c>
      <c r="I2703" s="14" t="n">
        <v>4422.92</v>
      </c>
      <c r="J2703" s="14" t="n">
        <v>9526.290000000001</v>
      </c>
      <c r="K2703" s="14" t="n">
        <v>2088.3</v>
      </c>
      <c r="L2703" s="14" t="n">
        <v>9618.83</v>
      </c>
      <c r="M2703" s="14">
        <f>IF(B2703="Frete de venda",0,(1-ISNUMBER(SEARCH("556",P2703)))*(I2703*VLOOKUP($B2703,Premissas!$A$4:$E$7,2,0)+J2703*VLOOKUP($B2703,Premissas!$A$4:$E$7,3,0))+K2703*VLOOKUP($B2703,Premissas!$A$4:$E$7,4,0)+L2703*VLOOKUP($B2703,Premissas!$A$4:$E$7,5,0))</f>
        <v/>
      </c>
      <c r="N2703" s="14">
        <f>H2703-M2703</f>
        <v/>
      </c>
      <c r="O2703" t="inlineStr">
        <is>
          <t>Sim</t>
        </is>
      </c>
      <c r="P2703" t="inlineStr">
        <is>
          <t>2.101</t>
        </is>
      </c>
    </row>
    <row r="2704">
      <c r="A2704" s="24" t="n">
        <v>46082</v>
      </c>
      <c r="B2704" t="inlineStr">
        <is>
          <t>Insumos e papel</t>
        </is>
      </c>
      <c r="C2704" t="inlineStr">
        <is>
          <t>2.01.03 Compra de Matéria Prima (Papel)</t>
        </is>
      </c>
      <c r="D2704" t="inlineStr">
        <is>
          <t>NF-e</t>
        </is>
      </c>
      <c r="E2704" t="inlineStr">
        <is>
          <t>000012720</t>
        </is>
      </c>
      <c r="F2704" t="inlineStr">
        <is>
          <t>CMPC Iguacu Embalagens Ltda</t>
        </is>
      </c>
      <c r="G2704" s="27" t="n">
        <v>46108</v>
      </c>
      <c r="H2704" s="14" t="n">
        <v>144260.09</v>
      </c>
      <c r="I2704" s="14" t="n">
        <v>4540.87</v>
      </c>
      <c r="J2704" s="14" t="n">
        <v>9780.35</v>
      </c>
      <c r="K2704" s="14" t="n">
        <v>2143.99</v>
      </c>
      <c r="L2704" s="14" t="n">
        <v>9875.35</v>
      </c>
      <c r="M2704" s="14">
        <f>IF(B2704="Frete de venda",0,(1-ISNUMBER(SEARCH("556",P2704)))*(I2704*VLOOKUP($B2704,Premissas!$A$4:$E$7,2,0)+J2704*VLOOKUP($B2704,Premissas!$A$4:$E$7,3,0))+K2704*VLOOKUP($B2704,Premissas!$A$4:$E$7,4,0)+L2704*VLOOKUP($B2704,Premissas!$A$4:$E$7,5,0))</f>
        <v/>
      </c>
      <c r="N2704" s="14">
        <f>H2704-M2704</f>
        <v/>
      </c>
      <c r="O2704" t="inlineStr">
        <is>
          <t>Sim</t>
        </is>
      </c>
      <c r="P2704" t="inlineStr">
        <is>
          <t>2.101</t>
        </is>
      </c>
    </row>
    <row r="2705">
      <c r="A2705" s="24" t="n">
        <v>46082</v>
      </c>
      <c r="B2705" t="inlineStr">
        <is>
          <t>Insumos e papel</t>
        </is>
      </c>
      <c r="C2705" t="inlineStr">
        <is>
          <t>2.01.03 Compra de Matéria Prima (Papel)</t>
        </is>
      </c>
      <c r="D2705" t="inlineStr">
        <is>
          <t>NF-e</t>
        </is>
      </c>
      <c r="E2705" t="inlineStr">
        <is>
          <t>000012738</t>
        </is>
      </c>
      <c r="F2705" t="inlineStr">
        <is>
          <t>CMPC Iguacu Embalagens Ltda</t>
        </is>
      </c>
      <c r="G2705" s="27" t="n">
        <v>46108</v>
      </c>
      <c r="H2705" s="14" t="n">
        <v>144452.28</v>
      </c>
      <c r="I2705" s="14" t="n">
        <v>4546.93</v>
      </c>
      <c r="J2705" s="14" t="n">
        <v>9793.379999999999</v>
      </c>
      <c r="K2705" s="14" t="n">
        <v>2146.84</v>
      </c>
      <c r="L2705" s="14" t="n">
        <v>9888.51</v>
      </c>
      <c r="M2705" s="14">
        <f>IF(B2705="Frete de venda",0,(1-ISNUMBER(SEARCH("556",P2705)))*(I2705*VLOOKUP($B2705,Premissas!$A$4:$E$7,2,0)+J2705*VLOOKUP($B2705,Premissas!$A$4:$E$7,3,0))+K2705*VLOOKUP($B2705,Premissas!$A$4:$E$7,4,0)+L2705*VLOOKUP($B2705,Premissas!$A$4:$E$7,5,0))</f>
        <v/>
      </c>
      <c r="N2705" s="14">
        <f>H2705-M2705</f>
        <v/>
      </c>
      <c r="O2705" t="inlineStr">
        <is>
          <t>Sim</t>
        </is>
      </c>
      <c r="P2705" t="inlineStr">
        <is>
          <t>2.101</t>
        </is>
      </c>
    </row>
    <row r="2706">
      <c r="A2706" s="24" t="n">
        <v>46082</v>
      </c>
      <c r="B2706" t="inlineStr">
        <is>
          <t>Insumos e papel</t>
        </is>
      </c>
      <c r="C2706" t="inlineStr">
        <is>
          <t>2.01.03 Compra de Matéria Prima (Papel)</t>
        </is>
      </c>
      <c r="D2706" t="inlineStr">
        <is>
          <t>NF-e</t>
        </is>
      </c>
      <c r="E2706" t="inlineStr">
        <is>
          <t>000012740</t>
        </is>
      </c>
      <c r="F2706" t="inlineStr">
        <is>
          <t>CMPC Iguacu Embalagens Ltda</t>
        </is>
      </c>
      <c r="G2706" s="27" t="n">
        <v>46111</v>
      </c>
      <c r="H2706" s="14" t="n">
        <v>145034.12</v>
      </c>
      <c r="I2706" s="14" t="n">
        <v>4565.24</v>
      </c>
      <c r="J2706" s="14" t="n">
        <v>9832.82</v>
      </c>
      <c r="K2706" s="14" t="n">
        <v>2155.49</v>
      </c>
      <c r="L2706" s="14" t="n">
        <v>9928.34</v>
      </c>
      <c r="M2706" s="14">
        <f>IF(B2706="Frete de venda",0,(1-ISNUMBER(SEARCH("556",P2706)))*(I2706*VLOOKUP($B2706,Premissas!$A$4:$E$7,2,0)+J2706*VLOOKUP($B2706,Premissas!$A$4:$E$7,3,0))+K2706*VLOOKUP($B2706,Premissas!$A$4:$E$7,4,0)+L2706*VLOOKUP($B2706,Premissas!$A$4:$E$7,5,0))</f>
        <v/>
      </c>
      <c r="N2706" s="14">
        <f>H2706-M2706</f>
        <v/>
      </c>
      <c r="O2706" t="inlineStr">
        <is>
          <t>Sim</t>
        </is>
      </c>
      <c r="P2706" t="inlineStr">
        <is>
          <t>2.101</t>
        </is>
      </c>
    </row>
    <row r="2707">
      <c r="A2707" s="24" t="n">
        <v>46082</v>
      </c>
      <c r="B2707" t="inlineStr">
        <is>
          <t>Insumos e papel</t>
        </is>
      </c>
      <c r="C2707" t="inlineStr">
        <is>
          <t>2.01.03 Compra de Matéria Prima (Papel)</t>
        </is>
      </c>
      <c r="D2707" t="inlineStr">
        <is>
          <t>NF-e</t>
        </is>
      </c>
      <c r="E2707" t="inlineStr">
        <is>
          <t>000012744</t>
        </is>
      </c>
      <c r="F2707" t="inlineStr">
        <is>
          <t>CMPC Iguacu Embalagens Ltda</t>
        </is>
      </c>
      <c r="G2707" s="27" t="n">
        <v>46111</v>
      </c>
      <c r="H2707" s="14" t="n">
        <v>142445.17</v>
      </c>
      <c r="I2707" s="14" t="n">
        <v>4483.75</v>
      </c>
      <c r="J2707" s="14" t="n">
        <v>9657.299999999999</v>
      </c>
      <c r="K2707" s="14" t="n">
        <v>2117.02</v>
      </c>
      <c r="L2707" s="14" t="n">
        <v>9751.110000000001</v>
      </c>
      <c r="M2707" s="14">
        <f>IF(B2707="Frete de venda",0,(1-ISNUMBER(SEARCH("556",P2707)))*(I2707*VLOOKUP($B2707,Premissas!$A$4:$E$7,2,0)+J2707*VLOOKUP($B2707,Premissas!$A$4:$E$7,3,0))+K2707*VLOOKUP($B2707,Premissas!$A$4:$E$7,4,0)+L2707*VLOOKUP($B2707,Premissas!$A$4:$E$7,5,0))</f>
        <v/>
      </c>
      <c r="N2707" s="14">
        <f>H2707-M2707</f>
        <v/>
      </c>
      <c r="O2707" t="inlineStr">
        <is>
          <t>Sim</t>
        </is>
      </c>
      <c r="P2707" t="inlineStr">
        <is>
          <t>2.101</t>
        </is>
      </c>
    </row>
    <row r="2708">
      <c r="A2708" s="24" t="n">
        <v>46082</v>
      </c>
      <c r="B2708" t="inlineStr">
        <is>
          <t>Insumos e papel</t>
        </is>
      </c>
      <c r="C2708" t="inlineStr">
        <is>
          <t>2.01.03 Compra de Matéria Prima (Papel)</t>
        </is>
      </c>
      <c r="D2708" t="inlineStr">
        <is>
          <t>NF-e</t>
        </is>
      </c>
      <c r="E2708" t="inlineStr">
        <is>
          <t>000012746</t>
        </is>
      </c>
      <c r="F2708" t="inlineStr">
        <is>
          <t>CMPC Iguacu Embalagens Ltda</t>
        </is>
      </c>
      <c r="G2708" s="27" t="n">
        <v>46111</v>
      </c>
      <c r="H2708" s="14" t="n">
        <v>144527</v>
      </c>
      <c r="I2708" s="14" t="n">
        <v>4549.27</v>
      </c>
      <c r="J2708" s="14" t="n">
        <v>9798.440000000001</v>
      </c>
      <c r="K2708" s="14" t="n">
        <v>2147.95</v>
      </c>
      <c r="L2708" s="14" t="n">
        <v>9893.620000000001</v>
      </c>
      <c r="M2708" s="14">
        <f>IF(B2708="Frete de venda",0,(1-ISNUMBER(SEARCH("556",P2708)))*(I2708*VLOOKUP($B2708,Premissas!$A$4:$E$7,2,0)+J2708*VLOOKUP($B2708,Premissas!$A$4:$E$7,3,0))+K2708*VLOOKUP($B2708,Premissas!$A$4:$E$7,4,0)+L2708*VLOOKUP($B2708,Premissas!$A$4:$E$7,5,0))</f>
        <v/>
      </c>
      <c r="N2708" s="14">
        <f>H2708-M2708</f>
        <v/>
      </c>
      <c r="O2708" t="inlineStr">
        <is>
          <t>Sim</t>
        </is>
      </c>
      <c r="P2708" t="inlineStr">
        <is>
          <t>2.101</t>
        </is>
      </c>
    </row>
    <row r="2709">
      <c r="A2709" s="24" t="n">
        <v>46082</v>
      </c>
      <c r="B2709" t="inlineStr">
        <is>
          <t>Insumos e papel</t>
        </is>
      </c>
      <c r="C2709" t="inlineStr">
        <is>
          <t>2.01.03 Compra de Matéria Prima (Papel)</t>
        </is>
      </c>
      <c r="D2709" t="inlineStr">
        <is>
          <t>NF-e</t>
        </is>
      </c>
      <c r="E2709" t="inlineStr">
        <is>
          <t>000012771</t>
        </is>
      </c>
      <c r="F2709" t="inlineStr">
        <is>
          <t>CMPC Iguacu Embalagens Ltda</t>
        </is>
      </c>
      <c r="G2709" s="27" t="n">
        <v>46112</v>
      </c>
      <c r="H2709" s="14" t="n">
        <v>141847.31</v>
      </c>
      <c r="I2709" s="14" t="n">
        <v>4464.93</v>
      </c>
      <c r="J2709" s="14" t="n">
        <v>9616.76</v>
      </c>
      <c r="K2709" s="14" t="n">
        <v>2108.13</v>
      </c>
      <c r="L2709" s="14" t="n">
        <v>9710.190000000001</v>
      </c>
      <c r="M2709" s="14">
        <f>IF(B2709="Frete de venda",0,(1-ISNUMBER(SEARCH("556",P2709)))*(I2709*VLOOKUP($B2709,Premissas!$A$4:$E$7,2,0)+J2709*VLOOKUP($B2709,Premissas!$A$4:$E$7,3,0))+K2709*VLOOKUP($B2709,Premissas!$A$4:$E$7,4,0)+L2709*VLOOKUP($B2709,Premissas!$A$4:$E$7,5,0))</f>
        <v/>
      </c>
      <c r="N2709" s="14">
        <f>H2709-M2709</f>
        <v/>
      </c>
      <c r="O2709" t="inlineStr">
        <is>
          <t>Sim</t>
        </is>
      </c>
      <c r="P2709" t="inlineStr">
        <is>
          <t>2.101</t>
        </is>
      </c>
    </row>
    <row r="2710">
      <c r="A2710" s="24" t="n">
        <v>46082</v>
      </c>
      <c r="B2710" t="inlineStr">
        <is>
          <t>Insumos e papel</t>
        </is>
      </c>
      <c r="C2710" t="inlineStr">
        <is>
          <t>2.01.03 Compra de Matéria Prima (Papel)</t>
        </is>
      </c>
      <c r="D2710" t="inlineStr">
        <is>
          <t>NF-e</t>
        </is>
      </c>
      <c r="E2710" t="inlineStr">
        <is>
          <t>000012777</t>
        </is>
      </c>
      <c r="F2710" t="inlineStr">
        <is>
          <t>CMPC Iguacu Embalagens Ltda</t>
        </is>
      </c>
      <c r="G2710" s="27" t="n">
        <v>46112</v>
      </c>
      <c r="H2710" s="14" t="n">
        <v>142327.74</v>
      </c>
      <c r="I2710" s="14" t="n">
        <v>4480.05</v>
      </c>
      <c r="J2710" s="14" t="n">
        <v>9649.34</v>
      </c>
      <c r="K2710" s="14" t="n">
        <v>2115.27</v>
      </c>
      <c r="L2710" s="14" t="n">
        <v>9743.07</v>
      </c>
      <c r="M2710" s="14">
        <f>IF(B2710="Frete de venda",0,(1-ISNUMBER(SEARCH("556",P2710)))*(I2710*VLOOKUP($B2710,Premissas!$A$4:$E$7,2,0)+J2710*VLOOKUP($B2710,Premissas!$A$4:$E$7,3,0))+K2710*VLOOKUP($B2710,Premissas!$A$4:$E$7,4,0)+L2710*VLOOKUP($B2710,Premissas!$A$4:$E$7,5,0))</f>
        <v/>
      </c>
      <c r="N2710" s="14">
        <f>H2710-M2710</f>
        <v/>
      </c>
      <c r="O2710" t="inlineStr">
        <is>
          <t>Sim</t>
        </is>
      </c>
      <c r="P2710" t="inlineStr">
        <is>
          <t>1.101</t>
        </is>
      </c>
    </row>
    <row r="2711">
      <c r="A2711" s="24" t="n">
        <v>46082</v>
      </c>
      <c r="B2711" t="inlineStr">
        <is>
          <t>Insumos e papel</t>
        </is>
      </c>
      <c r="C2711" t="inlineStr">
        <is>
          <t>2.01.03 Compra de Matéria Prima (Papel)</t>
        </is>
      </c>
      <c r="D2711" t="inlineStr">
        <is>
          <t>NF-e</t>
        </is>
      </c>
      <c r="E2711" t="inlineStr">
        <is>
          <t>000012780</t>
        </is>
      </c>
      <c r="F2711" t="inlineStr">
        <is>
          <t>CMPC Iguacu Embalagens Ltda</t>
        </is>
      </c>
      <c r="G2711" s="27" t="n">
        <v>46112</v>
      </c>
      <c r="H2711" s="14" t="n">
        <v>143117.76</v>
      </c>
      <c r="I2711" s="14" t="n">
        <v>4504.92</v>
      </c>
      <c r="J2711" s="14" t="n">
        <v>9702.9</v>
      </c>
      <c r="K2711" s="14" t="n">
        <v>2127.02</v>
      </c>
      <c r="L2711" s="14" t="n">
        <v>9797.16</v>
      </c>
      <c r="M2711" s="14">
        <f>IF(B2711="Frete de venda",0,(1-ISNUMBER(SEARCH("556",P2711)))*(I2711*VLOOKUP($B2711,Premissas!$A$4:$E$7,2,0)+J2711*VLOOKUP($B2711,Premissas!$A$4:$E$7,3,0))+K2711*VLOOKUP($B2711,Premissas!$A$4:$E$7,4,0)+L2711*VLOOKUP($B2711,Premissas!$A$4:$E$7,5,0))</f>
        <v/>
      </c>
      <c r="N2711" s="14">
        <f>H2711-M2711</f>
        <v/>
      </c>
      <c r="O2711" t="inlineStr">
        <is>
          <t>Sim</t>
        </is>
      </c>
      <c r="P2711" t="inlineStr">
        <is>
          <t>2.101</t>
        </is>
      </c>
    </row>
    <row r="2712">
      <c r="A2712" s="24" t="n">
        <v>46082</v>
      </c>
      <c r="B2712" t="inlineStr">
        <is>
          <t>Insumos e papel</t>
        </is>
      </c>
      <c r="C2712" t="inlineStr">
        <is>
          <t>2.01.03 Compra de Matéria Prima (Papel)</t>
        </is>
      </c>
      <c r="D2712" t="inlineStr">
        <is>
          <t>NF-e</t>
        </is>
      </c>
      <c r="E2712" t="inlineStr">
        <is>
          <t>000012784</t>
        </is>
      </c>
      <c r="F2712" t="inlineStr">
        <is>
          <t>CMPC Iguacu Embalagens Ltda</t>
        </is>
      </c>
      <c r="G2712" s="27" t="n">
        <v>46112</v>
      </c>
      <c r="H2712" s="14" t="n">
        <v>143475.42</v>
      </c>
      <c r="I2712" s="14" t="n">
        <v>4516.18</v>
      </c>
      <c r="J2712" s="14" t="n">
        <v>9727.15</v>
      </c>
      <c r="K2712" s="14" t="n">
        <v>2132.33</v>
      </c>
      <c r="L2712" s="14" t="n">
        <v>9821.629999999999</v>
      </c>
      <c r="M2712" s="14">
        <f>IF(B2712="Frete de venda",0,(1-ISNUMBER(SEARCH("556",P2712)))*(I2712*VLOOKUP($B2712,Premissas!$A$4:$E$7,2,0)+J2712*VLOOKUP($B2712,Premissas!$A$4:$E$7,3,0))+K2712*VLOOKUP($B2712,Premissas!$A$4:$E$7,4,0)+L2712*VLOOKUP($B2712,Premissas!$A$4:$E$7,5,0))</f>
        <v/>
      </c>
      <c r="N2712" s="14">
        <f>H2712-M2712</f>
        <v/>
      </c>
      <c r="O2712" t="inlineStr">
        <is>
          <t>Sim</t>
        </is>
      </c>
      <c r="P2712" t="inlineStr">
        <is>
          <t>2.101</t>
        </is>
      </c>
    </row>
    <row r="2713">
      <c r="A2713" s="24" t="n">
        <v>46082</v>
      </c>
      <c r="B2713" t="inlineStr">
        <is>
          <t>Insumos e papel</t>
        </is>
      </c>
      <c r="C2713" t="inlineStr">
        <is>
          <t>2.01.03 Compra de Matéria Prima (Papel)</t>
        </is>
      </c>
      <c r="D2713" t="inlineStr">
        <is>
          <t>NF-e</t>
        </is>
      </c>
      <c r="E2713" t="inlineStr">
        <is>
          <t>000013420</t>
        </is>
      </c>
      <c r="F2713" t="inlineStr">
        <is>
          <t>NOVA CONPEL COMPANHIA NORDESTINA DE PAPEL LTDA</t>
        </is>
      </c>
      <c r="G2713" s="27" t="n">
        <v>46091</v>
      </c>
      <c r="H2713" s="14" t="n">
        <v>7623.9</v>
      </c>
      <c r="I2713" s="14" t="n">
        <v>0</v>
      </c>
      <c r="J2713" s="14" t="n">
        <v>1524.78</v>
      </c>
      <c r="K2713" s="14" t="n">
        <v>100.64</v>
      </c>
      <c r="L2713" s="14" t="n">
        <v>463.53</v>
      </c>
      <c r="M2713" s="14">
        <f>IF(B2713="Frete de venda",0,(1-ISNUMBER(SEARCH("556",P2713)))*(I2713*VLOOKUP($B2713,Premissas!$A$4:$E$7,2,0)+J2713*VLOOKUP($B2713,Premissas!$A$4:$E$7,3,0))+K2713*VLOOKUP($B2713,Premissas!$A$4:$E$7,4,0)+L2713*VLOOKUP($B2713,Premissas!$A$4:$E$7,5,0))</f>
        <v/>
      </c>
      <c r="N2713" s="14">
        <f>H2713-M2713</f>
        <v/>
      </c>
      <c r="O2713" t="inlineStr">
        <is>
          <t>Sim</t>
        </is>
      </c>
      <c r="P2713" t="inlineStr">
        <is>
          <t>1.102</t>
        </is>
      </c>
    </row>
    <row r="2714">
      <c r="A2714" s="24" t="n">
        <v>46082</v>
      </c>
      <c r="B2714" t="inlineStr">
        <is>
          <t>Insumos e papel</t>
        </is>
      </c>
      <c r="C2714" t="inlineStr">
        <is>
          <t>2.01.03 Compra de Matéria Prima (Papel)</t>
        </is>
      </c>
      <c r="D2714" t="inlineStr">
        <is>
          <t>NF-e</t>
        </is>
      </c>
      <c r="E2714" t="inlineStr">
        <is>
          <t>000013524</t>
        </is>
      </c>
      <c r="F2714" t="inlineStr">
        <is>
          <t>NOVA CONPEL COMPANHIA NORDESTINA DE PAPEL LTDA</t>
        </is>
      </c>
      <c r="G2714" s="27" t="n">
        <v>46094</v>
      </c>
      <c r="H2714" s="14" t="n">
        <v>27159.13</v>
      </c>
      <c r="I2714" s="14" t="n">
        <v>0</v>
      </c>
      <c r="J2714" s="14" t="n">
        <v>5431.82</v>
      </c>
      <c r="K2714" s="14" t="n">
        <v>358.5</v>
      </c>
      <c r="L2714" s="14" t="n">
        <v>1651.28</v>
      </c>
      <c r="M2714" s="14">
        <f>IF(B2714="Frete de venda",0,(1-ISNUMBER(SEARCH("556",P2714)))*(I2714*VLOOKUP($B2714,Premissas!$A$4:$E$7,2,0)+J2714*VLOOKUP($B2714,Premissas!$A$4:$E$7,3,0))+K2714*VLOOKUP($B2714,Premissas!$A$4:$E$7,4,0)+L2714*VLOOKUP($B2714,Premissas!$A$4:$E$7,5,0))</f>
        <v/>
      </c>
      <c r="N2714" s="14">
        <f>H2714-M2714</f>
        <v/>
      </c>
      <c r="O2714" t="inlineStr">
        <is>
          <t>Sim</t>
        </is>
      </c>
      <c r="P2714" t="inlineStr">
        <is>
          <t>1.102</t>
        </is>
      </c>
    </row>
    <row r="2715">
      <c r="A2715" s="24" t="n">
        <v>46082</v>
      </c>
      <c r="B2715" t="inlineStr">
        <is>
          <t>Uso e consumo</t>
        </is>
      </c>
      <c r="C2715" t="inlineStr">
        <is>
          <t>2.01.85 Compra de Uso e Consumo</t>
        </is>
      </c>
      <c r="D2715" t="inlineStr">
        <is>
          <t>NF-e</t>
        </is>
      </c>
      <c r="E2715" t="inlineStr">
        <is>
          <t>000023941</t>
        </is>
      </c>
      <c r="F2715" t="inlineStr">
        <is>
          <t>COSTA GONDIM e CIA LTDA</t>
        </is>
      </c>
      <c r="G2715" s="27" t="n">
        <v>46094</v>
      </c>
      <c r="H2715" s="14" t="n">
        <v>117</v>
      </c>
      <c r="I2715" s="14" t="n">
        <v>0</v>
      </c>
      <c r="J2715" s="14" t="n">
        <v>0</v>
      </c>
      <c r="K2715" s="14" t="n">
        <v>0</v>
      </c>
      <c r="L2715" s="14" t="n">
        <v>0</v>
      </c>
      <c r="M2715" s="14">
        <f>IF(B2715="Frete de venda",0,(1-ISNUMBER(SEARCH("556",P2715)))*(I2715*VLOOKUP($B2715,Premissas!$A$4:$E$7,2,0)+J2715*VLOOKUP($B2715,Premissas!$A$4:$E$7,3,0))+K2715*VLOOKUP($B2715,Premissas!$A$4:$E$7,4,0)+L2715*VLOOKUP($B2715,Premissas!$A$4:$E$7,5,0))</f>
        <v/>
      </c>
      <c r="N2715" s="14">
        <f>H2715-M2715</f>
        <v/>
      </c>
      <c r="O2715" t="inlineStr">
        <is>
          <t>Sim</t>
        </is>
      </c>
      <c r="P2715" t="inlineStr">
        <is>
          <t>1.102</t>
        </is>
      </c>
    </row>
    <row r="2716">
      <c r="A2716" s="24" t="n">
        <v>46082</v>
      </c>
      <c r="B2716" t="inlineStr">
        <is>
          <t>Uso e consumo</t>
        </is>
      </c>
      <c r="C2716" t="inlineStr">
        <is>
          <t>2.01.85 Compra de Uso e Consumo</t>
        </is>
      </c>
      <c r="D2716" t="inlineStr">
        <is>
          <t>NF-e</t>
        </is>
      </c>
      <c r="E2716" t="inlineStr">
        <is>
          <t>000102927</t>
        </is>
      </c>
      <c r="F2716" t="inlineStr">
        <is>
          <t>FERGE COMERCIO DE PRODUTOS INDUSTRIAIS LTDA</t>
        </is>
      </c>
      <c r="G2716" s="27" t="n">
        <v>46107</v>
      </c>
      <c r="H2716" s="14" t="n">
        <v>120</v>
      </c>
      <c r="I2716" s="14" t="n">
        <v>0</v>
      </c>
      <c r="J2716" s="14" t="n">
        <v>24</v>
      </c>
      <c r="K2716" s="14" t="n">
        <v>0</v>
      </c>
      <c r="L2716" s="14" t="n">
        <v>0</v>
      </c>
      <c r="M2716" s="14">
        <f>IF(B2716="Frete de venda",0,(1-ISNUMBER(SEARCH("556",P2716)))*(I2716*VLOOKUP($B2716,Premissas!$A$4:$E$7,2,0)+J2716*VLOOKUP($B2716,Premissas!$A$4:$E$7,3,0))+K2716*VLOOKUP($B2716,Premissas!$A$4:$E$7,4,0)+L2716*VLOOKUP($B2716,Premissas!$A$4:$E$7,5,0))</f>
        <v/>
      </c>
      <c r="N2716" s="14">
        <f>H2716-M2716</f>
        <v/>
      </c>
      <c r="O2716" t="inlineStr">
        <is>
          <t>Sim</t>
        </is>
      </c>
      <c r="P2716" t="inlineStr">
        <is>
          <t>1.556</t>
        </is>
      </c>
    </row>
    <row r="2717">
      <c r="A2717" s="24" t="n">
        <v>46082</v>
      </c>
      <c r="B2717" t="inlineStr">
        <is>
          <t>Uso e consumo</t>
        </is>
      </c>
      <c r="C2717" t="inlineStr">
        <is>
          <t>2.01.85 Compra de Uso e Consumo</t>
        </is>
      </c>
      <c r="D2717" t="inlineStr">
        <is>
          <t>NF-e</t>
        </is>
      </c>
      <c r="E2717" t="inlineStr">
        <is>
          <t>000038031</t>
        </is>
      </c>
      <c r="F2717" t="inlineStr">
        <is>
          <t>PQVIRK IND E COM DE PROD QUIMICOS LTDA</t>
        </is>
      </c>
      <c r="G2717" s="27" t="n">
        <v>46090</v>
      </c>
      <c r="H2717" s="14" t="n">
        <v>185.85</v>
      </c>
      <c r="I2717" s="14" t="n">
        <v>5.85</v>
      </c>
      <c r="J2717" s="14" t="n">
        <v>21.6</v>
      </c>
      <c r="K2717" s="14" t="n">
        <v>1.03</v>
      </c>
      <c r="L2717" s="14" t="n">
        <v>4.75</v>
      </c>
      <c r="M2717" s="14">
        <f>IF(B2717="Frete de venda",0,(1-ISNUMBER(SEARCH("556",P2717)))*(I2717*VLOOKUP($B2717,Premissas!$A$4:$E$7,2,0)+J2717*VLOOKUP($B2717,Premissas!$A$4:$E$7,3,0))+K2717*VLOOKUP($B2717,Premissas!$A$4:$E$7,4,0)+L2717*VLOOKUP($B2717,Premissas!$A$4:$E$7,5,0))</f>
        <v/>
      </c>
      <c r="N2717" s="14">
        <f>H2717-M2717</f>
        <v/>
      </c>
      <c r="O2717" t="inlineStr">
        <is>
          <t>Sim</t>
        </is>
      </c>
      <c r="P2717" t="inlineStr">
        <is>
          <t>2.102</t>
        </is>
      </c>
    </row>
    <row r="2718">
      <c r="A2718" s="24" t="n">
        <v>46082</v>
      </c>
      <c r="B2718" t="inlineStr">
        <is>
          <t>Uso e consumo</t>
        </is>
      </c>
      <c r="C2718" t="inlineStr">
        <is>
          <t>2.01.85 Compra de Uso e Consumo</t>
        </is>
      </c>
      <c r="D2718" t="inlineStr">
        <is>
          <t>NF-e</t>
        </is>
      </c>
      <c r="E2718" t="inlineStr">
        <is>
          <t>000007165</t>
        </is>
      </c>
      <c r="F2718" t="inlineStr">
        <is>
          <t>SUPERGASBRAS ENERGIA LTDA</t>
        </is>
      </c>
      <c r="G2718" s="27" t="n">
        <v>46090</v>
      </c>
      <c r="H2718" s="14" t="n">
        <v>461.67</v>
      </c>
      <c r="I2718" s="14" t="n">
        <v>0</v>
      </c>
      <c r="J2718" s="14" t="n">
        <v>0</v>
      </c>
      <c r="K2718" s="14" t="n">
        <v>0</v>
      </c>
      <c r="L2718" s="14" t="n">
        <v>0</v>
      </c>
      <c r="M2718" s="14">
        <f>IF(B2718="Frete de venda",0,(1-ISNUMBER(SEARCH("556",P2718)))*(I2718*VLOOKUP($B2718,Premissas!$A$4:$E$7,2,0)+J2718*VLOOKUP($B2718,Premissas!$A$4:$E$7,3,0))+K2718*VLOOKUP($B2718,Premissas!$A$4:$E$7,4,0)+L2718*VLOOKUP($B2718,Premissas!$A$4:$E$7,5,0))</f>
        <v/>
      </c>
      <c r="N2718" s="14">
        <f>H2718-M2718</f>
        <v/>
      </c>
      <c r="O2718" t="inlineStr">
        <is>
          <t>Sim</t>
        </is>
      </c>
      <c r="P2718" t="inlineStr">
        <is>
          <t>1.653</t>
        </is>
      </c>
    </row>
    <row r="2719">
      <c r="A2719" s="24" t="n">
        <v>46082</v>
      </c>
      <c r="B2719" t="inlineStr">
        <is>
          <t>Uso e consumo</t>
        </is>
      </c>
      <c r="C2719" t="inlineStr">
        <is>
          <t>2.01.85 Compra de Uso e Consumo</t>
        </is>
      </c>
      <c r="D2719" t="inlineStr">
        <is>
          <t>NF-e</t>
        </is>
      </c>
      <c r="E2719" t="inlineStr">
        <is>
          <t>000007235</t>
        </is>
      </c>
      <c r="F2719" t="inlineStr">
        <is>
          <t>SUPERGASBRAS ENERGIA LTDA</t>
        </is>
      </c>
      <c r="G2719" s="27" t="n">
        <v>46097</v>
      </c>
      <c r="H2719" s="14" t="n">
        <v>615.5599999999999</v>
      </c>
      <c r="I2719" s="14" t="n">
        <v>0</v>
      </c>
      <c r="J2719" s="14" t="n">
        <v>0</v>
      </c>
      <c r="K2719" s="14" t="n">
        <v>0</v>
      </c>
      <c r="L2719" s="14" t="n">
        <v>0</v>
      </c>
      <c r="M2719" s="14">
        <f>IF(B2719="Frete de venda",0,(1-ISNUMBER(SEARCH("556",P2719)))*(I2719*VLOOKUP($B2719,Premissas!$A$4:$E$7,2,0)+J2719*VLOOKUP($B2719,Premissas!$A$4:$E$7,3,0))+K2719*VLOOKUP($B2719,Premissas!$A$4:$E$7,4,0)+L2719*VLOOKUP($B2719,Premissas!$A$4:$E$7,5,0))</f>
        <v/>
      </c>
      <c r="N2719" s="14">
        <f>H2719-M2719</f>
        <v/>
      </c>
      <c r="O2719" t="inlineStr">
        <is>
          <t>Sim</t>
        </is>
      </c>
      <c r="P2719" t="inlineStr">
        <is>
          <t>1.556</t>
        </is>
      </c>
    </row>
    <row r="2720">
      <c r="A2720" s="24" t="n">
        <v>46082</v>
      </c>
      <c r="B2720" t="inlineStr">
        <is>
          <t>Uso e consumo</t>
        </is>
      </c>
      <c r="C2720" t="inlineStr">
        <is>
          <t>2.01.85 Compra de Uso e Consumo</t>
        </is>
      </c>
      <c r="D2720" t="inlineStr">
        <is>
          <t>NF-e</t>
        </is>
      </c>
      <c r="E2720" t="inlineStr">
        <is>
          <t>000007314</t>
        </is>
      </c>
      <c r="F2720" t="inlineStr">
        <is>
          <t>SUPERGASBRAS ENERGIA LTDA</t>
        </is>
      </c>
      <c r="G2720" s="27" t="n">
        <v>46104</v>
      </c>
      <c r="H2720" s="14" t="n">
        <v>472.47</v>
      </c>
      <c r="I2720" s="14" t="n">
        <v>0</v>
      </c>
      <c r="J2720" s="14" t="n">
        <v>0</v>
      </c>
      <c r="K2720" s="14" t="n">
        <v>0</v>
      </c>
      <c r="L2720" s="14" t="n">
        <v>0</v>
      </c>
      <c r="M2720" s="14">
        <f>IF(B2720="Frete de venda",0,(1-ISNUMBER(SEARCH("556",P2720)))*(I2720*VLOOKUP($B2720,Premissas!$A$4:$E$7,2,0)+J2720*VLOOKUP($B2720,Premissas!$A$4:$E$7,3,0))+K2720*VLOOKUP($B2720,Premissas!$A$4:$E$7,4,0)+L2720*VLOOKUP($B2720,Premissas!$A$4:$E$7,5,0))</f>
        <v/>
      </c>
      <c r="N2720" s="14">
        <f>H2720-M2720</f>
        <v/>
      </c>
      <c r="O2720" t="inlineStr">
        <is>
          <t>Sim</t>
        </is>
      </c>
      <c r="P2720" t="inlineStr">
        <is>
          <t>1.653</t>
        </is>
      </c>
    </row>
    <row r="2721">
      <c r="A2721" s="24" t="n">
        <v>46082</v>
      </c>
      <c r="B2721" t="inlineStr">
        <is>
          <t>Uso e consumo</t>
        </is>
      </c>
      <c r="C2721" t="inlineStr">
        <is>
          <t>2.01.85 Compra de Uso e Consumo</t>
        </is>
      </c>
      <c r="D2721" t="inlineStr">
        <is>
          <t>NF-e</t>
        </is>
      </c>
      <c r="E2721" t="inlineStr">
        <is>
          <t>000007388</t>
        </is>
      </c>
      <c r="F2721" t="inlineStr">
        <is>
          <t>SUPERGASBRAS ENERGIA LTDA</t>
        </is>
      </c>
      <c r="G2721" s="27" t="n">
        <v>46111</v>
      </c>
      <c r="H2721" s="14" t="n">
        <v>629.96</v>
      </c>
      <c r="I2721" s="14" t="n">
        <v>0</v>
      </c>
      <c r="J2721" s="14" t="n">
        <v>0</v>
      </c>
      <c r="K2721" s="14" t="n">
        <v>0</v>
      </c>
      <c r="L2721" s="14" t="n">
        <v>0</v>
      </c>
      <c r="M2721" s="14">
        <f>IF(B2721="Frete de venda",0,(1-ISNUMBER(SEARCH("556",P2721)))*(I2721*VLOOKUP($B2721,Premissas!$A$4:$E$7,2,0)+J2721*VLOOKUP($B2721,Premissas!$A$4:$E$7,3,0))+K2721*VLOOKUP($B2721,Premissas!$A$4:$E$7,4,0)+L2721*VLOOKUP($B2721,Premissas!$A$4:$E$7,5,0))</f>
        <v/>
      </c>
      <c r="N2721" s="14">
        <f>H2721-M2721</f>
        <v/>
      </c>
      <c r="O2721" t="inlineStr">
        <is>
          <t>Sim</t>
        </is>
      </c>
      <c r="P2721" t="inlineStr">
        <is>
          <t>1.653</t>
        </is>
      </c>
    </row>
    <row r="2722">
      <c r="A2722" s="24" t="n">
        <v>46082</v>
      </c>
      <c r="B2722" t="inlineStr">
        <is>
          <t>Uso e consumo</t>
        </is>
      </c>
      <c r="C2722" t="inlineStr">
        <is>
          <t>2.01.87 Compra de Peças de Máquinas</t>
        </is>
      </c>
      <c r="D2722" t="inlineStr">
        <is>
          <t>NF-e</t>
        </is>
      </c>
      <c r="E2722" t="inlineStr">
        <is>
          <t>000013329</t>
        </is>
      </c>
      <c r="F2722" t="inlineStr">
        <is>
          <t>EDNA DE ARAUJO PACHECO LTDA</t>
        </is>
      </c>
      <c r="G2722" s="27" t="n">
        <v>46087</v>
      </c>
      <c r="H2722" s="14" t="n">
        <v>98</v>
      </c>
      <c r="I2722" s="14" t="n">
        <v>0</v>
      </c>
      <c r="J2722" s="14" t="n">
        <v>0</v>
      </c>
      <c r="K2722" s="14" t="n">
        <v>0</v>
      </c>
      <c r="L2722" s="14" t="n">
        <v>0</v>
      </c>
      <c r="M2722" s="14">
        <f>IF(B2722="Frete de venda",0,(1-ISNUMBER(SEARCH("556",P2722)))*(I2722*VLOOKUP($B2722,Premissas!$A$4:$E$7,2,0)+J2722*VLOOKUP($B2722,Premissas!$A$4:$E$7,3,0))+K2722*VLOOKUP($B2722,Premissas!$A$4:$E$7,4,0)+L2722*VLOOKUP($B2722,Premissas!$A$4:$E$7,5,0))</f>
        <v/>
      </c>
      <c r="N2722" s="14">
        <f>H2722-M2722</f>
        <v/>
      </c>
      <c r="O2722" t="inlineStr">
        <is>
          <t>Sim</t>
        </is>
      </c>
      <c r="P2722" t="inlineStr">
        <is>
          <t>1.102</t>
        </is>
      </c>
    </row>
    <row r="2723">
      <c r="A2723" s="24" t="n">
        <v>46082</v>
      </c>
      <c r="B2723" t="inlineStr">
        <is>
          <t>Uso e consumo</t>
        </is>
      </c>
      <c r="C2723" t="inlineStr">
        <is>
          <t>2.01.87 Compra de Peças de Máquinas</t>
        </is>
      </c>
      <c r="D2723" t="inlineStr">
        <is>
          <t>NF-e</t>
        </is>
      </c>
      <c r="E2723" t="inlineStr">
        <is>
          <t>000013470</t>
        </is>
      </c>
      <c r="F2723" t="inlineStr">
        <is>
          <t>EDNA DE ARAUJO PACHECO LTDA</t>
        </is>
      </c>
      <c r="G2723" s="27" t="n">
        <v>46105</v>
      </c>
      <c r="H2723" s="14" t="n">
        <v>161</v>
      </c>
      <c r="I2723" s="14" t="n">
        <v>0</v>
      </c>
      <c r="J2723" s="14" t="n">
        <v>0</v>
      </c>
      <c r="K2723" s="14" t="n">
        <v>0</v>
      </c>
      <c r="L2723" s="14" t="n">
        <v>0</v>
      </c>
      <c r="M2723" s="14">
        <f>IF(B2723="Frete de venda",0,(1-ISNUMBER(SEARCH("556",P2723)))*(I2723*VLOOKUP($B2723,Premissas!$A$4:$E$7,2,0)+J2723*VLOOKUP($B2723,Premissas!$A$4:$E$7,3,0))+K2723*VLOOKUP($B2723,Premissas!$A$4:$E$7,4,0)+L2723*VLOOKUP($B2723,Premissas!$A$4:$E$7,5,0))</f>
        <v/>
      </c>
      <c r="N2723" s="14">
        <f>H2723-M2723</f>
        <v/>
      </c>
      <c r="O2723" t="inlineStr">
        <is>
          <t>Sim</t>
        </is>
      </c>
      <c r="P2723" t="inlineStr">
        <is>
          <t>1.102</t>
        </is>
      </c>
    </row>
    <row r="2724">
      <c r="A2724" s="24" t="n">
        <v>46082</v>
      </c>
      <c r="B2724" t="inlineStr">
        <is>
          <t>Uso e consumo</t>
        </is>
      </c>
      <c r="C2724" t="inlineStr">
        <is>
          <t>2.01.87 Compra de Peças de Máquinas</t>
        </is>
      </c>
      <c r="D2724" t="inlineStr">
        <is>
          <t>NF-e</t>
        </is>
      </c>
      <c r="E2724" t="inlineStr">
        <is>
          <t>000102345</t>
        </is>
      </c>
      <c r="F2724" t="inlineStr">
        <is>
          <t>FERGE COMERCIO DE PRODUTOS INDUSTRIAIS LTDA</t>
        </is>
      </c>
      <c r="G2724" s="27" t="n">
        <v>46087</v>
      </c>
      <c r="H2724" s="14" t="n">
        <v>844</v>
      </c>
      <c r="I2724" s="14" t="n">
        <v>0</v>
      </c>
      <c r="J2724" s="14" t="n">
        <v>168.8</v>
      </c>
      <c r="K2724" s="14" t="n">
        <v>0</v>
      </c>
      <c r="L2724" s="14" t="n">
        <v>0</v>
      </c>
      <c r="M2724" s="14">
        <f>IF(B2724="Frete de venda",0,(1-ISNUMBER(SEARCH("556",P2724)))*(I2724*VLOOKUP($B2724,Premissas!$A$4:$E$7,2,0)+J2724*VLOOKUP($B2724,Premissas!$A$4:$E$7,3,0))+K2724*VLOOKUP($B2724,Premissas!$A$4:$E$7,4,0)+L2724*VLOOKUP($B2724,Premissas!$A$4:$E$7,5,0))</f>
        <v/>
      </c>
      <c r="N2724" s="14">
        <f>H2724-M2724</f>
        <v/>
      </c>
      <c r="O2724" t="inlineStr">
        <is>
          <t>Sim</t>
        </is>
      </c>
      <c r="P2724" t="inlineStr">
        <is>
          <t>1.102</t>
        </is>
      </c>
    </row>
    <row r="2725">
      <c r="A2725" s="24" t="n">
        <v>46082</v>
      </c>
      <c r="B2725" t="inlineStr">
        <is>
          <t>Uso e consumo</t>
        </is>
      </c>
      <c r="C2725" t="inlineStr">
        <is>
          <t>2.01.87 Compra de Peças de Máquinas</t>
        </is>
      </c>
      <c r="D2725" t="inlineStr">
        <is>
          <t>NF-e</t>
        </is>
      </c>
      <c r="E2725" t="inlineStr">
        <is>
          <t>000005872</t>
        </is>
      </c>
      <c r="F2725" t="inlineStr">
        <is>
          <t>GF COMERCIO DE PRODUTOS INDUSTRIAIS LTDA</t>
        </is>
      </c>
      <c r="G2725" s="27" t="n">
        <v>46086</v>
      </c>
      <c r="H2725" s="14" t="n">
        <v>117.96</v>
      </c>
      <c r="I2725" s="14" t="n">
        <v>0</v>
      </c>
      <c r="J2725" s="14" t="n">
        <v>0</v>
      </c>
      <c r="K2725" s="14" t="n">
        <v>0</v>
      </c>
      <c r="L2725" s="14" t="n">
        <v>0</v>
      </c>
      <c r="M2725" s="14">
        <f>IF(B2725="Frete de venda",0,(1-ISNUMBER(SEARCH("556",P2725)))*(I2725*VLOOKUP($B2725,Premissas!$A$4:$E$7,2,0)+J2725*VLOOKUP($B2725,Premissas!$A$4:$E$7,3,0))+K2725*VLOOKUP($B2725,Premissas!$A$4:$E$7,4,0)+L2725*VLOOKUP($B2725,Premissas!$A$4:$E$7,5,0))</f>
        <v/>
      </c>
      <c r="N2725" s="14">
        <f>H2725-M2725</f>
        <v/>
      </c>
      <c r="O2725" t="inlineStr">
        <is>
          <t>Sim</t>
        </is>
      </c>
      <c r="P2725" t="inlineStr">
        <is>
          <t>1.403</t>
        </is>
      </c>
    </row>
    <row r="2726">
      <c r="A2726" s="24" t="n">
        <v>46082</v>
      </c>
      <c r="B2726" t="inlineStr">
        <is>
          <t>Uso e consumo</t>
        </is>
      </c>
      <c r="C2726" t="inlineStr">
        <is>
          <t>2.01.87 Compra de Peças de Máquinas</t>
        </is>
      </c>
      <c r="D2726" t="inlineStr">
        <is>
          <t>NF-e</t>
        </is>
      </c>
      <c r="E2726" t="inlineStr">
        <is>
          <t>000005993</t>
        </is>
      </c>
      <c r="F2726" t="inlineStr">
        <is>
          <t>GF COMERCIO DE PRODUTOS INDUSTRIAIS LTDA</t>
        </is>
      </c>
      <c r="G2726" s="27" t="n">
        <v>46099</v>
      </c>
      <c r="H2726" s="14" t="n">
        <v>2250</v>
      </c>
      <c r="I2726" s="14" t="n">
        <v>0</v>
      </c>
      <c r="J2726" s="14" t="n">
        <v>0</v>
      </c>
      <c r="K2726" s="14" t="n">
        <v>0</v>
      </c>
      <c r="L2726" s="14" t="n">
        <v>0</v>
      </c>
      <c r="M2726" s="14">
        <f>IF(B2726="Frete de venda",0,(1-ISNUMBER(SEARCH("556",P2726)))*(I2726*VLOOKUP($B2726,Premissas!$A$4:$E$7,2,0)+J2726*VLOOKUP($B2726,Premissas!$A$4:$E$7,3,0))+K2726*VLOOKUP($B2726,Premissas!$A$4:$E$7,4,0)+L2726*VLOOKUP($B2726,Premissas!$A$4:$E$7,5,0))</f>
        <v/>
      </c>
      <c r="N2726" s="14">
        <f>H2726-M2726</f>
        <v/>
      </c>
      <c r="O2726" t="inlineStr">
        <is>
          <t>Sim</t>
        </is>
      </c>
      <c r="P2726" t="inlineStr">
        <is>
          <t>1.102</t>
        </is>
      </c>
    </row>
    <row r="2727">
      <c r="A2727" s="24" t="n">
        <v>46082</v>
      </c>
      <c r="B2727" t="inlineStr">
        <is>
          <t>Uso e consumo</t>
        </is>
      </c>
      <c r="C2727" t="inlineStr">
        <is>
          <t>2.01.87 Compra de Peças de Máquinas</t>
        </is>
      </c>
      <c r="D2727" t="inlineStr">
        <is>
          <t>NF-e</t>
        </is>
      </c>
      <c r="E2727" t="inlineStr">
        <is>
          <t>000006088</t>
        </is>
      </c>
      <c r="F2727" t="inlineStr">
        <is>
          <t>GF COMERCIO DE PRODUTOS INDUSTRIAIS LTDA</t>
        </is>
      </c>
      <c r="G2727" s="27" t="n">
        <v>46111</v>
      </c>
      <c r="H2727" s="14" t="n">
        <v>331.9</v>
      </c>
      <c r="I2727" s="14" t="n">
        <v>0</v>
      </c>
      <c r="J2727" s="14" t="n">
        <v>0</v>
      </c>
      <c r="K2727" s="14" t="n">
        <v>0</v>
      </c>
      <c r="L2727" s="14" t="n">
        <v>0</v>
      </c>
      <c r="M2727" s="14">
        <f>IF(B2727="Frete de venda",0,(1-ISNUMBER(SEARCH("556",P2727)))*(I2727*VLOOKUP($B2727,Premissas!$A$4:$E$7,2,0)+J2727*VLOOKUP($B2727,Premissas!$A$4:$E$7,3,0))+K2727*VLOOKUP($B2727,Premissas!$A$4:$E$7,4,0)+L2727*VLOOKUP($B2727,Premissas!$A$4:$E$7,5,0))</f>
        <v/>
      </c>
      <c r="N2727" s="14">
        <f>H2727-M2727</f>
        <v/>
      </c>
      <c r="O2727" t="inlineStr">
        <is>
          <t>Sim</t>
        </is>
      </c>
      <c r="P2727" t="inlineStr">
        <is>
          <t>1.102, 1.556</t>
        </is>
      </c>
    </row>
    <row r="2728">
      <c r="A2728" s="24" t="n">
        <v>46082</v>
      </c>
      <c r="B2728" t="inlineStr">
        <is>
          <t>Uso e consumo</t>
        </is>
      </c>
      <c r="C2728" t="inlineStr">
        <is>
          <t>2.01.87 Compra de Peças de Máquinas</t>
        </is>
      </c>
      <c r="D2728" t="inlineStr">
        <is>
          <t>NF-e</t>
        </is>
      </c>
      <c r="E2728" t="inlineStr">
        <is>
          <t>000000383</t>
        </is>
      </c>
      <c r="F2728" t="inlineStr">
        <is>
          <t>ODAFLEXO COMERCIO DE PRODUTOS FLEXOGRAFICOS LTDA</t>
        </is>
      </c>
      <c r="G2728" s="27" t="n">
        <v>46083</v>
      </c>
      <c r="H2728" s="14" t="n">
        <v>1599</v>
      </c>
      <c r="I2728" s="14" t="n">
        <v>0</v>
      </c>
      <c r="J2728" s="14" t="n">
        <v>0</v>
      </c>
      <c r="K2728" s="14" t="n">
        <v>0</v>
      </c>
      <c r="L2728" s="14" t="n">
        <v>0</v>
      </c>
      <c r="M2728" s="14">
        <f>IF(B2728="Frete de venda",0,(1-ISNUMBER(SEARCH("556",P2728)))*(I2728*VLOOKUP($B2728,Premissas!$A$4:$E$7,2,0)+J2728*VLOOKUP($B2728,Premissas!$A$4:$E$7,3,0))+K2728*VLOOKUP($B2728,Premissas!$A$4:$E$7,4,0)+L2728*VLOOKUP($B2728,Premissas!$A$4:$E$7,5,0))</f>
        <v/>
      </c>
      <c r="N2728" s="14">
        <f>H2728-M2728</f>
        <v/>
      </c>
      <c r="O2728" t="inlineStr">
        <is>
          <t>Sim</t>
        </is>
      </c>
      <c r="P2728" t="inlineStr">
        <is>
          <t>2.102</t>
        </is>
      </c>
    </row>
    <row r="2729">
      <c r="A2729" s="24" t="n">
        <v>46082</v>
      </c>
      <c r="B2729" t="inlineStr">
        <is>
          <t>Insumos e papel</t>
        </is>
      </c>
      <c r="C2729" t="inlineStr">
        <is>
          <t>2.01.89 Compra de Pallet</t>
        </is>
      </c>
      <c r="D2729" t="inlineStr">
        <is>
          <t>NF-e</t>
        </is>
      </c>
      <c r="E2729" t="inlineStr">
        <is>
          <t>000004194</t>
        </is>
      </c>
      <c r="F2729" t="inlineStr">
        <is>
          <t>RECICLAGEM LIBERDADE LTDA</t>
        </is>
      </c>
      <c r="G2729" s="27" t="n">
        <v>46104</v>
      </c>
      <c r="H2729" s="14" t="n">
        <v>1500</v>
      </c>
      <c r="I2729" s="14" t="n">
        <v>0</v>
      </c>
      <c r="J2729" s="14" t="n">
        <v>0</v>
      </c>
      <c r="K2729" s="14" t="n">
        <v>0</v>
      </c>
      <c r="L2729" s="14" t="n">
        <v>0</v>
      </c>
      <c r="M2729" s="14">
        <f>IF(B2729="Frete de venda",0,(1-ISNUMBER(SEARCH("556",P2729)))*(I2729*VLOOKUP($B2729,Premissas!$A$4:$E$7,2,0)+J2729*VLOOKUP($B2729,Premissas!$A$4:$E$7,3,0))+K2729*VLOOKUP($B2729,Premissas!$A$4:$E$7,4,0)+L2729*VLOOKUP($B2729,Premissas!$A$4:$E$7,5,0))</f>
        <v/>
      </c>
      <c r="N2729" s="14">
        <f>H2729-M2729</f>
        <v/>
      </c>
      <c r="O2729" t="inlineStr">
        <is>
          <t>Sim</t>
        </is>
      </c>
      <c r="P2729" t="inlineStr">
        <is>
          <t>1.556</t>
        </is>
      </c>
    </row>
    <row r="2730">
      <c r="A2730" s="24" t="n">
        <v>46082</v>
      </c>
      <c r="B2730" t="inlineStr">
        <is>
          <t>Insumos e papel</t>
        </is>
      </c>
      <c r="C2730" t="inlineStr">
        <is>
          <t>2.01.91 Compra de Filme Strech</t>
        </is>
      </c>
      <c r="D2730" t="inlineStr">
        <is>
          <t>NF-e</t>
        </is>
      </c>
      <c r="E2730" t="inlineStr">
        <is>
          <t>000006078</t>
        </is>
      </c>
      <c r="F2730" t="inlineStr">
        <is>
          <t>GDM INDUSTRIA E COMERCIO DE PLASTICOS LTDA.</t>
        </is>
      </c>
      <c r="G2730" s="27" t="n">
        <v>46108</v>
      </c>
      <c r="H2730" s="14" t="n">
        <v>8740</v>
      </c>
      <c r="I2730" s="14" t="n">
        <v>1140</v>
      </c>
      <c r="J2730" s="14" t="n">
        <v>912</v>
      </c>
      <c r="K2730" s="14" t="n">
        <v>110.35</v>
      </c>
      <c r="L2730" s="14" t="n">
        <v>508.29</v>
      </c>
      <c r="M2730" s="14">
        <f>IF(B2730="Frete de venda",0,(1-ISNUMBER(SEARCH("556",P2730)))*(I2730*VLOOKUP($B2730,Premissas!$A$4:$E$7,2,0)+J2730*VLOOKUP($B2730,Premissas!$A$4:$E$7,3,0))+K2730*VLOOKUP($B2730,Premissas!$A$4:$E$7,4,0)+L2730*VLOOKUP($B2730,Premissas!$A$4:$E$7,5,0))</f>
        <v/>
      </c>
      <c r="N2730" s="14">
        <f>H2730-M2730</f>
        <v/>
      </c>
      <c r="O2730" t="inlineStr">
        <is>
          <t>Sim</t>
        </is>
      </c>
      <c r="P2730" t="inlineStr">
        <is>
          <t>1.556</t>
        </is>
      </c>
    </row>
    <row r="2731">
      <c r="A2731" s="24" t="n">
        <v>46082</v>
      </c>
      <c r="B2731" t="inlineStr">
        <is>
          <t>Insumos e papel</t>
        </is>
      </c>
      <c r="C2731" t="inlineStr">
        <is>
          <t>2.01.92 Compra de Tinta</t>
        </is>
      </c>
      <c r="D2731" t="inlineStr">
        <is>
          <t>NF-e</t>
        </is>
      </c>
      <c r="E2731" t="inlineStr">
        <is>
          <t>000015838</t>
        </is>
      </c>
      <c r="F2731" t="inlineStr">
        <is>
          <t>FITTYCOR - INDUSTRIA E COMERCIO DE TINTAS ESPECIAIS LTDA</t>
        </is>
      </c>
      <c r="G2731" s="27" t="n">
        <v>46087</v>
      </c>
      <c r="H2731" s="14" t="n">
        <v>51768.6</v>
      </c>
      <c r="I2731" s="14" t="n">
        <v>0</v>
      </c>
      <c r="J2731" s="14" t="n">
        <v>3623.8</v>
      </c>
      <c r="K2731" s="14" t="n">
        <v>336.51</v>
      </c>
      <c r="L2731" s="14" t="n">
        <v>1553.05</v>
      </c>
      <c r="M2731" s="14">
        <f>IF(B2731="Frete de venda",0,(1-ISNUMBER(SEARCH("556",P2731)))*(I2731*VLOOKUP($B2731,Premissas!$A$4:$E$7,2,0)+J2731*VLOOKUP($B2731,Premissas!$A$4:$E$7,3,0))+K2731*VLOOKUP($B2731,Premissas!$A$4:$E$7,4,0)+L2731*VLOOKUP($B2731,Premissas!$A$4:$E$7,5,0))</f>
        <v/>
      </c>
      <c r="N2731" s="14">
        <f>H2731-M2731</f>
        <v/>
      </c>
      <c r="O2731" t="inlineStr">
        <is>
          <t>Sim</t>
        </is>
      </c>
      <c r="P2731" t="inlineStr">
        <is>
          <t>1.556</t>
        </is>
      </c>
    </row>
    <row r="2732">
      <c r="A2732" s="24" t="n">
        <v>46082</v>
      </c>
      <c r="B2732" t="inlineStr">
        <is>
          <t>Insumos e papel</t>
        </is>
      </c>
      <c r="C2732" t="inlineStr">
        <is>
          <t>2.01.93 Compra de Plástico Poliolefínico</t>
        </is>
      </c>
      <c r="D2732" t="inlineStr">
        <is>
          <t>NF-e</t>
        </is>
      </c>
      <c r="E2732" t="inlineStr">
        <is>
          <t>000008234</t>
        </is>
      </c>
      <c r="F2732" t="inlineStr">
        <is>
          <t>ALSTEK SOLUCOES EM EMBALAGENS LTDA</t>
        </is>
      </c>
      <c r="G2732" s="27" t="n">
        <v>46087</v>
      </c>
      <c r="H2732" s="14" t="n">
        <v>46508.87</v>
      </c>
      <c r="I2732" s="14" t="n">
        <v>6066.37</v>
      </c>
      <c r="J2732" s="14" t="n">
        <v>1617.7</v>
      </c>
      <c r="K2732" s="14" t="n">
        <v>252.36</v>
      </c>
      <c r="L2732" s="14" t="n">
        <v>1164.75</v>
      </c>
      <c r="M2732" s="14">
        <f>IF(B2732="Frete de venda",0,(1-ISNUMBER(SEARCH("556",P2732)))*(I2732*VLOOKUP($B2732,Premissas!$A$4:$E$7,2,0)+J2732*VLOOKUP($B2732,Premissas!$A$4:$E$7,3,0))+K2732*VLOOKUP($B2732,Premissas!$A$4:$E$7,4,0)+L2732*VLOOKUP($B2732,Premissas!$A$4:$E$7,5,0))</f>
        <v/>
      </c>
      <c r="N2732" s="14">
        <f>H2732-M2732</f>
        <v/>
      </c>
      <c r="O2732" t="inlineStr">
        <is>
          <t>Sim</t>
        </is>
      </c>
      <c r="P2732" t="inlineStr">
        <is>
          <t>2.102</t>
        </is>
      </c>
    </row>
    <row r="2733">
      <c r="A2733" s="24" t="n">
        <v>46082</v>
      </c>
      <c r="B2733" t="inlineStr">
        <is>
          <t>Insumos e papel</t>
        </is>
      </c>
      <c r="C2733" t="inlineStr">
        <is>
          <t>2.01.94 Compra de Fita Adesiva</t>
        </is>
      </c>
      <c r="D2733" t="inlineStr">
        <is>
          <t>NF-e</t>
        </is>
      </c>
      <c r="E2733" t="inlineStr">
        <is>
          <t>000000870</t>
        </is>
      </c>
      <c r="F2733" t="inlineStr">
        <is>
          <t>Limptech Paper Comercio Ltda</t>
        </is>
      </c>
      <c r="G2733" s="27" t="n">
        <v>46100</v>
      </c>
      <c r="H2733" s="14" t="n">
        <v>954</v>
      </c>
      <c r="I2733" s="14" t="n">
        <v>0</v>
      </c>
      <c r="J2733" s="14" t="n">
        <v>0</v>
      </c>
      <c r="K2733" s="14" t="n">
        <v>0</v>
      </c>
      <c r="L2733" s="14" t="n">
        <v>0</v>
      </c>
      <c r="M2733" s="14">
        <f>IF(B2733="Frete de venda",0,(1-ISNUMBER(SEARCH("556",P2733)))*(I2733*VLOOKUP($B2733,Premissas!$A$4:$E$7,2,0)+J2733*VLOOKUP($B2733,Premissas!$A$4:$E$7,3,0))+K2733*VLOOKUP($B2733,Premissas!$A$4:$E$7,4,0)+L2733*VLOOKUP($B2733,Premissas!$A$4:$E$7,5,0))</f>
        <v/>
      </c>
      <c r="N2733" s="14">
        <f>H2733-M2733</f>
        <v/>
      </c>
      <c r="O2733" t="inlineStr">
        <is>
          <t>Sim</t>
        </is>
      </c>
      <c r="P2733" t="inlineStr">
        <is>
          <t>1.102</t>
        </is>
      </c>
    </row>
    <row r="2734">
      <c r="A2734" s="24" t="n">
        <v>46082</v>
      </c>
      <c r="B2734" t="inlineStr">
        <is>
          <t>Insumos e papel</t>
        </is>
      </c>
      <c r="C2734" t="inlineStr">
        <is>
          <t>2.01.94 Compra de Fita Adesiva</t>
        </is>
      </c>
      <c r="D2734" t="inlineStr">
        <is>
          <t>NF-e</t>
        </is>
      </c>
      <c r="E2734" t="inlineStr">
        <is>
          <t>000000383</t>
        </is>
      </c>
      <c r="F2734" t="inlineStr">
        <is>
          <t>ODAFLEXO COMERCIO DE PRODUTOS FLEXOGRAFICOS LTDA</t>
        </is>
      </c>
      <c r="G2734" s="27" t="n">
        <v>46083</v>
      </c>
      <c r="H2734" s="14" t="n">
        <v>3900</v>
      </c>
      <c r="I2734" s="14" t="n">
        <v>0</v>
      </c>
      <c r="J2734" s="14" t="n">
        <v>0</v>
      </c>
      <c r="K2734" s="14" t="n">
        <v>0</v>
      </c>
      <c r="L2734" s="14" t="n">
        <v>0</v>
      </c>
      <c r="M2734" s="14">
        <f>IF(B2734="Frete de venda",0,(1-ISNUMBER(SEARCH("556",P2734)))*(I2734*VLOOKUP($B2734,Premissas!$A$4:$E$7,2,0)+J2734*VLOOKUP($B2734,Premissas!$A$4:$E$7,3,0))+K2734*VLOOKUP($B2734,Premissas!$A$4:$E$7,4,0)+L2734*VLOOKUP($B2734,Premissas!$A$4:$E$7,5,0))</f>
        <v/>
      </c>
      <c r="N2734" s="14">
        <f>H2734-M2734</f>
        <v/>
      </c>
      <c r="O2734" t="inlineStr">
        <is>
          <t>Sim</t>
        </is>
      </c>
      <c r="P2734" t="inlineStr">
        <is>
          <t>2.102</t>
        </is>
      </c>
    </row>
    <row r="2735">
      <c r="A2735" s="24" t="n">
        <v>46082</v>
      </c>
      <c r="B2735" t="inlineStr">
        <is>
          <t>Insumos e papel</t>
        </is>
      </c>
      <c r="C2735" t="inlineStr">
        <is>
          <t>2.01.95 Compra de Etiqueta</t>
        </is>
      </c>
      <c r="D2735" t="inlineStr">
        <is>
          <t>NF-e</t>
        </is>
      </c>
      <c r="E2735" t="inlineStr">
        <is>
          <t>000003100</t>
        </is>
      </c>
      <c r="F2735" t="inlineStr">
        <is>
          <t>FLEXOPEL LTDA</t>
        </is>
      </c>
      <c r="G2735" s="27" t="n">
        <v>46092</v>
      </c>
      <c r="H2735" s="14" t="n">
        <v>4284.89</v>
      </c>
      <c r="I2735" s="14" t="n">
        <v>0</v>
      </c>
      <c r="J2735" s="14" t="n">
        <v>856.98</v>
      </c>
      <c r="K2735" s="14" t="n">
        <v>56.57</v>
      </c>
      <c r="L2735" s="14" t="n">
        <v>260.54</v>
      </c>
      <c r="M2735" s="14">
        <f>IF(B2735="Frete de venda",0,(1-ISNUMBER(SEARCH("556",P2735)))*(I2735*VLOOKUP($B2735,Premissas!$A$4:$E$7,2,0)+J2735*VLOOKUP($B2735,Premissas!$A$4:$E$7,3,0))+K2735*VLOOKUP($B2735,Premissas!$A$4:$E$7,4,0)+L2735*VLOOKUP($B2735,Premissas!$A$4:$E$7,5,0))</f>
        <v/>
      </c>
      <c r="N2735" s="14">
        <f>H2735-M2735</f>
        <v/>
      </c>
      <c r="O2735" t="inlineStr">
        <is>
          <t>Sim</t>
        </is>
      </c>
      <c r="P2735" t="inlineStr">
        <is>
          <t>1.102</t>
        </is>
      </c>
    </row>
    <row r="2736">
      <c r="A2736" s="24" t="n">
        <v>46082</v>
      </c>
      <c r="B2736" t="inlineStr">
        <is>
          <t>Insumos e papel</t>
        </is>
      </c>
      <c r="C2736" t="inlineStr">
        <is>
          <t>2.01.96 Compra de Cola</t>
        </is>
      </c>
      <c r="D2736" t="inlineStr">
        <is>
          <t>NF-e</t>
        </is>
      </c>
      <c r="E2736" t="inlineStr">
        <is>
          <t>000036918</t>
        </is>
      </c>
      <c r="F2736" t="inlineStr">
        <is>
          <t>COLAMID</t>
        </is>
      </c>
      <c r="G2736" s="27" t="n">
        <v>46086</v>
      </c>
      <c r="H2736" s="14" t="n">
        <v>25525</v>
      </c>
      <c r="I2736" s="14" t="n">
        <v>0</v>
      </c>
      <c r="J2736" s="14" t="n">
        <v>3063</v>
      </c>
      <c r="K2736" s="14" t="n">
        <v>0</v>
      </c>
      <c r="L2736" s="14" t="n">
        <v>0</v>
      </c>
      <c r="M2736" s="14">
        <f>IF(B2736="Frete de venda",0,(1-ISNUMBER(SEARCH("556",P2736)))*(I2736*VLOOKUP($B2736,Premissas!$A$4:$E$7,2,0)+J2736*VLOOKUP($B2736,Premissas!$A$4:$E$7,3,0))+K2736*VLOOKUP($B2736,Premissas!$A$4:$E$7,4,0)+L2736*VLOOKUP($B2736,Premissas!$A$4:$E$7,5,0))</f>
        <v/>
      </c>
      <c r="N2736" s="14">
        <f>H2736-M2736</f>
        <v/>
      </c>
      <c r="O2736" t="inlineStr">
        <is>
          <t>Sim</t>
        </is>
      </c>
      <c r="P2736" t="inlineStr">
        <is>
          <t>1.556</t>
        </is>
      </c>
    </row>
    <row r="2737">
      <c r="A2737" s="24" t="n">
        <v>46082</v>
      </c>
      <c r="B2737" t="inlineStr">
        <is>
          <t>Insumos e papel</t>
        </is>
      </c>
      <c r="C2737" t="inlineStr">
        <is>
          <t>2.01.96 Compra de Cola</t>
        </is>
      </c>
      <c r="D2737" t="inlineStr">
        <is>
          <t>NF-e</t>
        </is>
      </c>
      <c r="E2737" t="inlineStr">
        <is>
          <t>000036926</t>
        </is>
      </c>
      <c r="F2737" t="inlineStr">
        <is>
          <t>COLAMID</t>
        </is>
      </c>
      <c r="G2737" s="27" t="n">
        <v>46090</v>
      </c>
      <c r="H2737" s="14" t="n">
        <v>50790</v>
      </c>
      <c r="I2737" s="14" t="n">
        <v>0</v>
      </c>
      <c r="J2737" s="14" t="n">
        <v>6094.8</v>
      </c>
      <c r="K2737" s="14" t="n">
        <v>0</v>
      </c>
      <c r="L2737" s="14" t="n">
        <v>0</v>
      </c>
      <c r="M2737" s="14">
        <f>IF(B2737="Frete de venda",0,(1-ISNUMBER(SEARCH("556",P2737)))*(I2737*VLOOKUP($B2737,Premissas!$A$4:$E$7,2,0)+J2737*VLOOKUP($B2737,Premissas!$A$4:$E$7,3,0))+K2737*VLOOKUP($B2737,Premissas!$A$4:$E$7,4,0)+L2737*VLOOKUP($B2737,Premissas!$A$4:$E$7,5,0))</f>
        <v/>
      </c>
      <c r="N2737" s="14">
        <f>H2737-M2737</f>
        <v/>
      </c>
      <c r="O2737" t="inlineStr">
        <is>
          <t>Sim</t>
        </is>
      </c>
      <c r="P2737" t="inlineStr">
        <is>
          <t>1.556</t>
        </is>
      </c>
    </row>
    <row r="2738">
      <c r="A2738" s="24" t="n">
        <v>46082</v>
      </c>
      <c r="B2738" t="inlineStr">
        <is>
          <t>Insumos e papel</t>
        </is>
      </c>
      <c r="C2738" t="inlineStr">
        <is>
          <t>2.01.96 Compra de Cola</t>
        </is>
      </c>
      <c r="D2738" t="inlineStr">
        <is>
          <t>NF-e</t>
        </is>
      </c>
      <c r="E2738" t="inlineStr">
        <is>
          <t>000021295</t>
        </is>
      </c>
      <c r="F2738" t="inlineStr">
        <is>
          <t>REQUIM PRODUTOS QUIMICOS LTDA</t>
        </is>
      </c>
      <c r="G2738" s="27" t="n">
        <v>46083</v>
      </c>
      <c r="H2738" s="14" t="n">
        <v>31500</v>
      </c>
      <c r="I2738" s="14" t="n">
        <v>0</v>
      </c>
      <c r="J2738" s="14" t="n">
        <v>1260</v>
      </c>
      <c r="K2738" s="14" t="n">
        <v>196.56</v>
      </c>
      <c r="L2738" s="14" t="n">
        <v>907.2</v>
      </c>
      <c r="M2738" s="14">
        <f>IF(B2738="Frete de venda",0,(1-ISNUMBER(SEARCH("556",P2738)))*(I2738*VLOOKUP($B2738,Premissas!$A$4:$E$7,2,0)+J2738*VLOOKUP($B2738,Premissas!$A$4:$E$7,3,0))+K2738*VLOOKUP($B2738,Premissas!$A$4:$E$7,4,0)+L2738*VLOOKUP($B2738,Premissas!$A$4:$E$7,5,0))</f>
        <v/>
      </c>
      <c r="N2738" s="14">
        <f>H2738-M2738</f>
        <v/>
      </c>
      <c r="O2738" t="inlineStr">
        <is>
          <t>Sim</t>
        </is>
      </c>
      <c r="P2738" t="inlineStr">
        <is>
          <t>2.102</t>
        </is>
      </c>
    </row>
    <row r="2739">
      <c r="A2739" s="24" t="n">
        <v>46082</v>
      </c>
      <c r="B2739" t="inlineStr">
        <is>
          <t>Insumos e papel</t>
        </is>
      </c>
      <c r="C2739" t="inlineStr">
        <is>
          <t>2.01.96 Compra de Cola</t>
        </is>
      </c>
      <c r="D2739" t="inlineStr">
        <is>
          <t>NF-e</t>
        </is>
      </c>
      <c r="E2739" t="inlineStr">
        <is>
          <t>000021339</t>
        </is>
      </c>
      <c r="F2739" t="inlineStr">
        <is>
          <t>REQUIM PRODUTOS QUIMICOS LTDA</t>
        </is>
      </c>
      <c r="G2739" s="27" t="n">
        <v>46092</v>
      </c>
      <c r="H2739" s="14" t="n">
        <v>22500</v>
      </c>
      <c r="I2739" s="14" t="n">
        <v>0</v>
      </c>
      <c r="J2739" s="14" t="n">
        <v>900</v>
      </c>
      <c r="K2739" s="14" t="n">
        <v>140.4</v>
      </c>
      <c r="L2739" s="14" t="n">
        <v>648</v>
      </c>
      <c r="M2739" s="14">
        <f>IF(B2739="Frete de venda",0,(1-ISNUMBER(SEARCH("556",P2739)))*(I2739*VLOOKUP($B2739,Premissas!$A$4:$E$7,2,0)+J2739*VLOOKUP($B2739,Premissas!$A$4:$E$7,3,0))+K2739*VLOOKUP($B2739,Premissas!$A$4:$E$7,4,0)+L2739*VLOOKUP($B2739,Premissas!$A$4:$E$7,5,0))</f>
        <v/>
      </c>
      <c r="N2739" s="14">
        <f>H2739-M2739</f>
        <v/>
      </c>
      <c r="O2739" t="inlineStr">
        <is>
          <t>Sim</t>
        </is>
      </c>
      <c r="P2739" t="inlineStr">
        <is>
          <t>2.102</t>
        </is>
      </c>
    </row>
    <row r="2740">
      <c r="A2740" s="24" t="n">
        <v>46082</v>
      </c>
      <c r="B2740" t="inlineStr">
        <is>
          <t>Insumos e papel</t>
        </is>
      </c>
      <c r="C2740" t="inlineStr">
        <is>
          <t>2.01.97 Compra de Clichê</t>
        </is>
      </c>
      <c r="D2740" t="inlineStr">
        <is>
          <t>NF-e</t>
        </is>
      </c>
      <c r="E2740" t="inlineStr">
        <is>
          <t>000037303</t>
        </is>
      </c>
      <c r="F2740" t="inlineStr">
        <is>
          <t>DELINEAR BAHIA CLICHERIA LTDA</t>
        </is>
      </c>
      <c r="G2740" s="27" t="n">
        <v>46086</v>
      </c>
      <c r="H2740" s="14" t="n">
        <v>5454.64</v>
      </c>
      <c r="I2740" s="14" t="n">
        <v>0</v>
      </c>
      <c r="J2740" s="14" t="n">
        <v>0</v>
      </c>
      <c r="K2740" s="14" t="n">
        <v>0</v>
      </c>
      <c r="L2740" s="14" t="n">
        <v>0</v>
      </c>
      <c r="M2740" s="14">
        <f>IF(B2740="Frete de venda",0,(1-ISNUMBER(SEARCH("556",P2740)))*(I2740*VLOOKUP($B2740,Premissas!$A$4:$E$7,2,0)+J2740*VLOOKUP($B2740,Premissas!$A$4:$E$7,3,0))+K2740*VLOOKUP($B2740,Premissas!$A$4:$E$7,4,0)+L2740*VLOOKUP($B2740,Premissas!$A$4:$E$7,5,0))</f>
        <v/>
      </c>
      <c r="N2740" s="14">
        <f>H2740-M2740</f>
        <v/>
      </c>
      <c r="O2740" t="inlineStr">
        <is>
          <t>Sim</t>
        </is>
      </c>
      <c r="P2740" t="inlineStr">
        <is>
          <t>2.102</t>
        </is>
      </c>
    </row>
    <row r="2741">
      <c r="A2741" s="24" t="n">
        <v>46082</v>
      </c>
      <c r="B2741" t="inlineStr">
        <is>
          <t>Insumos e papel</t>
        </is>
      </c>
      <c r="C2741" t="inlineStr">
        <is>
          <t>2.01.97 Compra de Clichê</t>
        </is>
      </c>
      <c r="D2741" t="inlineStr">
        <is>
          <t>NF-e</t>
        </is>
      </c>
      <c r="E2741" t="inlineStr">
        <is>
          <t>000037456</t>
        </is>
      </c>
      <c r="F2741" t="inlineStr">
        <is>
          <t>DELINEAR BAHIA CLICHERIA LTDA</t>
        </is>
      </c>
      <c r="G2741" s="27" t="n">
        <v>46106</v>
      </c>
      <c r="H2741" s="14" t="n">
        <v>465.49</v>
      </c>
      <c r="I2741" s="14" t="n">
        <v>0</v>
      </c>
      <c r="J2741" s="14" t="n">
        <v>0</v>
      </c>
      <c r="K2741" s="14" t="n">
        <v>0</v>
      </c>
      <c r="L2741" s="14" t="n">
        <v>0</v>
      </c>
      <c r="M2741" s="14">
        <f>IF(B2741="Frete de venda",0,(1-ISNUMBER(SEARCH("556",P2741)))*(I2741*VLOOKUP($B2741,Premissas!$A$4:$E$7,2,0)+J2741*VLOOKUP($B2741,Premissas!$A$4:$E$7,3,0))+K2741*VLOOKUP($B2741,Premissas!$A$4:$E$7,4,0)+L2741*VLOOKUP($B2741,Premissas!$A$4:$E$7,5,0))</f>
        <v/>
      </c>
      <c r="N2741" s="14">
        <f>H2741-M2741</f>
        <v/>
      </c>
      <c r="O2741" t="inlineStr">
        <is>
          <t>Sim</t>
        </is>
      </c>
      <c r="P2741" t="inlineStr">
        <is>
          <t>1.101</t>
        </is>
      </c>
    </row>
    <row r="2742">
      <c r="A2742" s="24" t="n">
        <v>46082</v>
      </c>
      <c r="B2742" t="inlineStr">
        <is>
          <t>Insumos e papel</t>
        </is>
      </c>
      <c r="C2742" t="inlineStr">
        <is>
          <t>2.01.97 Compra de Clichê</t>
        </is>
      </c>
      <c r="D2742" t="inlineStr">
        <is>
          <t>NF-e</t>
        </is>
      </c>
      <c r="E2742" t="inlineStr">
        <is>
          <t>000037463</t>
        </is>
      </c>
      <c r="F2742" t="inlineStr">
        <is>
          <t>DELINEAR BAHIA CLICHERIA LTDA</t>
        </is>
      </c>
      <c r="G2742" s="27" t="n">
        <v>46106</v>
      </c>
      <c r="H2742" s="14" t="n">
        <v>18060.35</v>
      </c>
      <c r="I2742" s="14" t="n">
        <v>0</v>
      </c>
      <c r="J2742" s="14" t="n">
        <v>0</v>
      </c>
      <c r="K2742" s="14" t="n">
        <v>0</v>
      </c>
      <c r="L2742" s="14" t="n">
        <v>0</v>
      </c>
      <c r="M2742" s="14">
        <f>IF(B2742="Frete de venda",0,(1-ISNUMBER(SEARCH("556",P2742)))*(I2742*VLOOKUP($B2742,Premissas!$A$4:$E$7,2,0)+J2742*VLOOKUP($B2742,Premissas!$A$4:$E$7,3,0))+K2742*VLOOKUP($B2742,Premissas!$A$4:$E$7,4,0)+L2742*VLOOKUP($B2742,Premissas!$A$4:$E$7,5,0))</f>
        <v/>
      </c>
      <c r="N2742" s="14">
        <f>H2742-M2742</f>
        <v/>
      </c>
      <c r="O2742" t="inlineStr">
        <is>
          <t>Sim</t>
        </is>
      </c>
      <c r="P2742" t="inlineStr">
        <is>
          <t>2.102</t>
        </is>
      </c>
    </row>
    <row r="2743">
      <c r="A2743" s="24" t="n">
        <v>46082</v>
      </c>
      <c r="B2743" t="inlineStr">
        <is>
          <t>Uso e consumo</t>
        </is>
      </c>
      <c r="C2743" t="inlineStr">
        <is>
          <t>2.03.88 Compra de Fardamento</t>
        </is>
      </c>
      <c r="D2743" t="inlineStr">
        <is>
          <t>NF-e</t>
        </is>
      </c>
      <c r="E2743" t="inlineStr">
        <is>
          <t>000003090</t>
        </is>
      </c>
      <c r="F2743" t="inlineStr">
        <is>
          <t>R M FARDAMENTOS LTDA</t>
        </is>
      </c>
      <c r="G2743" s="27" t="n">
        <v>46100</v>
      </c>
      <c r="H2743" s="14" t="n">
        <v>2400</v>
      </c>
      <c r="I2743" s="14" t="n">
        <v>0</v>
      </c>
      <c r="J2743" s="14" t="n">
        <v>0</v>
      </c>
      <c r="K2743" s="14" t="n">
        <v>0</v>
      </c>
      <c r="L2743" s="14" t="n">
        <v>0</v>
      </c>
      <c r="M2743" s="14">
        <f>IF(B2743="Frete de venda",0,(1-ISNUMBER(SEARCH("556",P2743)))*(I2743*VLOOKUP($B2743,Premissas!$A$4:$E$7,2,0)+J2743*VLOOKUP($B2743,Premissas!$A$4:$E$7,3,0))+K2743*VLOOKUP($B2743,Premissas!$A$4:$E$7,4,0)+L2743*VLOOKUP($B2743,Premissas!$A$4:$E$7,5,0))</f>
        <v/>
      </c>
      <c r="N2743" s="14">
        <f>H2743-M2743</f>
        <v/>
      </c>
      <c r="O2743" t="inlineStr">
        <is>
          <t>Sim</t>
        </is>
      </c>
      <c r="P2743" t="inlineStr">
        <is>
          <t>1.102</t>
        </is>
      </c>
    </row>
    <row r="2744">
      <c r="A2744" s="24" t="n">
        <v>46082</v>
      </c>
      <c r="B2744" t="inlineStr">
        <is>
          <t>Uso e consumo</t>
        </is>
      </c>
      <c r="C2744" t="inlineStr">
        <is>
          <t>2.03.90 Compra de EPI</t>
        </is>
      </c>
      <c r="D2744" t="inlineStr">
        <is>
          <t>NF-e</t>
        </is>
      </c>
      <c r="E2744" t="inlineStr">
        <is>
          <t>000009072</t>
        </is>
      </c>
      <c r="F2744" t="inlineStr">
        <is>
          <t>L ANTONIO DA SILVA</t>
        </is>
      </c>
      <c r="G2744" s="27" t="n">
        <v>46086</v>
      </c>
      <c r="H2744" s="14" t="n">
        <v>352.08</v>
      </c>
      <c r="I2744" s="14" t="n">
        <v>0</v>
      </c>
      <c r="J2744" s="14" t="n">
        <v>42.24</v>
      </c>
      <c r="K2744" s="14" t="n">
        <v>2.28</v>
      </c>
      <c r="L2744" s="14" t="n">
        <v>10.56</v>
      </c>
      <c r="M2744" s="14">
        <f>IF(B2744="Frete de venda",0,(1-ISNUMBER(SEARCH("556",P2744)))*(I2744*VLOOKUP($B2744,Premissas!$A$4:$E$7,2,0)+J2744*VLOOKUP($B2744,Premissas!$A$4:$E$7,3,0))+K2744*VLOOKUP($B2744,Premissas!$A$4:$E$7,4,0)+L2744*VLOOKUP($B2744,Premissas!$A$4:$E$7,5,0))</f>
        <v/>
      </c>
      <c r="N2744" s="14">
        <f>H2744-M2744</f>
        <v/>
      </c>
      <c r="O2744" t="inlineStr">
        <is>
          <t>Sim</t>
        </is>
      </c>
      <c r="P2744" t="inlineStr">
        <is>
          <t>2.102</t>
        </is>
      </c>
    </row>
    <row r="2745">
      <c r="A2745" s="24" t="n">
        <v>46082</v>
      </c>
      <c r="B2745" t="inlineStr">
        <is>
          <t>Uso e consumo</t>
        </is>
      </c>
      <c r="C2745" t="inlineStr">
        <is>
          <t>2.03.90 Compra de EPI</t>
        </is>
      </c>
      <c r="D2745" t="inlineStr">
        <is>
          <t>NF-e</t>
        </is>
      </c>
      <c r="E2745" t="inlineStr">
        <is>
          <t>000095974</t>
        </is>
      </c>
      <c r="F2745" t="inlineStr">
        <is>
          <t>PERNAMBUCO DISTRIBUIDORA ATAC EPIS, INS IND e MRO LTDA</t>
        </is>
      </c>
      <c r="G2745" s="27" t="n">
        <v>46091</v>
      </c>
      <c r="H2745" s="14" t="n">
        <v>660</v>
      </c>
      <c r="I2745" s="14" t="n">
        <v>0</v>
      </c>
      <c r="J2745" s="14" t="n">
        <v>132</v>
      </c>
      <c r="K2745" s="14" t="n">
        <v>8.67</v>
      </c>
      <c r="L2745" s="14" t="n">
        <v>40.1</v>
      </c>
      <c r="M2745" s="14">
        <f>IF(B2745="Frete de venda",0,(1-ISNUMBER(SEARCH("556",P2745)))*(I2745*VLOOKUP($B2745,Premissas!$A$4:$E$7,2,0)+J2745*VLOOKUP($B2745,Premissas!$A$4:$E$7,3,0))+K2745*VLOOKUP($B2745,Premissas!$A$4:$E$7,4,0)+L2745*VLOOKUP($B2745,Premissas!$A$4:$E$7,5,0))</f>
        <v/>
      </c>
      <c r="N2745" s="14">
        <f>H2745-M2745</f>
        <v/>
      </c>
      <c r="O2745" t="inlineStr">
        <is>
          <t>Sim</t>
        </is>
      </c>
      <c r="P2745" t="inlineStr">
        <is>
          <t>1.102</t>
        </is>
      </c>
    </row>
    <row r="2746">
      <c r="A2746" s="24" t="n">
        <v>46082</v>
      </c>
      <c r="B2746" t="inlineStr">
        <is>
          <t>Uso e consumo</t>
        </is>
      </c>
      <c r="C2746" t="inlineStr">
        <is>
          <t>2.04.06 Material de Escritório</t>
        </is>
      </c>
      <c r="D2746" t="inlineStr">
        <is>
          <t>NF-e</t>
        </is>
      </c>
      <c r="E2746" t="inlineStr">
        <is>
          <t>000024039</t>
        </is>
      </c>
      <c r="F2746" t="inlineStr">
        <is>
          <t>COSTA GONDIM e CIA LTDA</t>
        </is>
      </c>
      <c r="G2746" s="27" t="n">
        <v>46104</v>
      </c>
      <c r="H2746" s="14" t="n">
        <v>434.3</v>
      </c>
      <c r="I2746" s="14" t="n">
        <v>0</v>
      </c>
      <c r="J2746" s="14" t="n">
        <v>0</v>
      </c>
      <c r="K2746" s="14" t="n">
        <v>0</v>
      </c>
      <c r="L2746" s="14" t="n">
        <v>0</v>
      </c>
      <c r="M2746" s="14">
        <f>IF(B2746="Frete de venda",0,(1-ISNUMBER(SEARCH("556",P2746)))*(I2746*VLOOKUP($B2746,Premissas!$A$4:$E$7,2,0)+J2746*VLOOKUP($B2746,Premissas!$A$4:$E$7,3,0))+K2746*VLOOKUP($B2746,Premissas!$A$4:$E$7,4,0)+L2746*VLOOKUP($B2746,Premissas!$A$4:$E$7,5,0))</f>
        <v/>
      </c>
      <c r="N2746" s="14">
        <f>H2746-M2746</f>
        <v/>
      </c>
      <c r="O2746" t="inlineStr">
        <is>
          <t>Sim</t>
        </is>
      </c>
      <c r="P2746" t="inlineStr">
        <is>
          <t>1.102</t>
        </is>
      </c>
    </row>
    <row r="2747">
      <c r="A2747" s="24" t="n">
        <v>46082</v>
      </c>
      <c r="B2747" t="inlineStr">
        <is>
          <t>Uso e consumo</t>
        </is>
      </c>
      <c r="C2747" t="inlineStr">
        <is>
          <t>2.04.06 Material de Escritório</t>
        </is>
      </c>
      <c r="D2747" t="inlineStr">
        <is>
          <t>NF-e</t>
        </is>
      </c>
      <c r="E2747" t="inlineStr">
        <is>
          <t>000000793</t>
        </is>
      </c>
      <c r="F2747" t="inlineStr">
        <is>
          <t>Limptech Paper Comercio Ltda</t>
        </is>
      </c>
      <c r="G2747" s="27" t="n">
        <v>46083</v>
      </c>
      <c r="H2747" s="14" t="n">
        <v>1288.3</v>
      </c>
      <c r="I2747" s="14" t="n">
        <v>0</v>
      </c>
      <c r="J2747" s="14" t="n">
        <v>0</v>
      </c>
      <c r="K2747" s="14" t="n">
        <v>0</v>
      </c>
      <c r="L2747" s="14" t="n">
        <v>0</v>
      </c>
      <c r="M2747" s="14">
        <f>IF(B2747="Frete de venda",0,(1-ISNUMBER(SEARCH("556",P2747)))*(I2747*VLOOKUP($B2747,Premissas!$A$4:$E$7,2,0)+J2747*VLOOKUP($B2747,Premissas!$A$4:$E$7,3,0))+K2747*VLOOKUP($B2747,Premissas!$A$4:$E$7,4,0)+L2747*VLOOKUP($B2747,Premissas!$A$4:$E$7,5,0))</f>
        <v/>
      </c>
      <c r="N2747" s="14">
        <f>H2747-M2747</f>
        <v/>
      </c>
      <c r="O2747" t="inlineStr">
        <is>
          <t>Sim</t>
        </is>
      </c>
      <c r="P2747" t="inlineStr">
        <is>
          <t>1.102</t>
        </is>
      </c>
    </row>
    <row r="2748">
      <c r="A2748" s="24" t="n">
        <v>46082</v>
      </c>
      <c r="B2748" t="inlineStr">
        <is>
          <t>Uso e consumo</t>
        </is>
      </c>
      <c r="C2748" t="inlineStr">
        <is>
          <t>2.04.91 Compra de Material de Limpeza</t>
        </is>
      </c>
      <c r="D2748" t="inlineStr">
        <is>
          <t>NF-e</t>
        </is>
      </c>
      <c r="E2748" t="inlineStr">
        <is>
          <t>000000794</t>
        </is>
      </c>
      <c r="F2748" t="inlineStr">
        <is>
          <t>Limptech Paper Comercio Ltda</t>
        </is>
      </c>
      <c r="G2748" s="27" t="n">
        <v>46083</v>
      </c>
      <c r="H2748" s="14" t="n">
        <v>552.75</v>
      </c>
      <c r="I2748" s="14" t="n">
        <v>0</v>
      </c>
      <c r="J2748" s="14" t="n">
        <v>0</v>
      </c>
      <c r="K2748" s="14" t="n">
        <v>0</v>
      </c>
      <c r="L2748" s="14" t="n">
        <v>0</v>
      </c>
      <c r="M2748" s="14">
        <f>IF(B2748="Frete de venda",0,(1-ISNUMBER(SEARCH("556",P2748)))*(I2748*VLOOKUP($B2748,Premissas!$A$4:$E$7,2,0)+J2748*VLOOKUP($B2748,Premissas!$A$4:$E$7,3,0))+K2748*VLOOKUP($B2748,Premissas!$A$4:$E$7,4,0)+L2748*VLOOKUP($B2748,Premissas!$A$4:$E$7,5,0))</f>
        <v/>
      </c>
      <c r="N2748" s="14">
        <f>H2748-M2748</f>
        <v/>
      </c>
      <c r="O2748" t="inlineStr">
        <is>
          <t>Sim</t>
        </is>
      </c>
      <c r="P2748" t="inlineStr">
        <is>
          <t>1.102</t>
        </is>
      </c>
    </row>
    <row r="2749">
      <c r="A2749" s="24" t="n">
        <v>46082</v>
      </c>
      <c r="B2749" t="inlineStr">
        <is>
          <t>Uso e consumo</t>
        </is>
      </c>
      <c r="C2749" t="inlineStr">
        <is>
          <t>2.04.91 Compra de Material de Limpeza</t>
        </is>
      </c>
      <c r="D2749" t="inlineStr">
        <is>
          <t>NF-e</t>
        </is>
      </c>
      <c r="E2749" t="inlineStr">
        <is>
          <t>000000795</t>
        </is>
      </c>
      <c r="F2749" t="inlineStr">
        <is>
          <t>Limptech Paper Comercio Ltda</t>
        </is>
      </c>
      <c r="G2749" s="27" t="n">
        <v>46083</v>
      </c>
      <c r="H2749" s="14" t="n">
        <v>1519.1</v>
      </c>
      <c r="I2749" s="14" t="n">
        <v>0</v>
      </c>
      <c r="J2749" s="14" t="n">
        <v>0</v>
      </c>
      <c r="K2749" s="14" t="n">
        <v>0</v>
      </c>
      <c r="L2749" s="14" t="n">
        <v>0</v>
      </c>
      <c r="M2749" s="14">
        <f>IF(B2749="Frete de venda",0,(1-ISNUMBER(SEARCH("556",P2749)))*(I2749*VLOOKUP($B2749,Premissas!$A$4:$E$7,2,0)+J2749*VLOOKUP($B2749,Premissas!$A$4:$E$7,3,0))+K2749*VLOOKUP($B2749,Premissas!$A$4:$E$7,4,0)+L2749*VLOOKUP($B2749,Premissas!$A$4:$E$7,5,0))</f>
        <v/>
      </c>
      <c r="N2749" s="14">
        <f>H2749-M2749</f>
        <v/>
      </c>
      <c r="O2749" t="inlineStr">
        <is>
          <t>Sim</t>
        </is>
      </c>
      <c r="P2749" t="inlineStr">
        <is>
          <t>1.102</t>
        </is>
      </c>
    </row>
    <row r="2750">
      <c r="A2750" s="24" t="n">
        <v>46082</v>
      </c>
      <c r="B2750" t="inlineStr">
        <is>
          <t>Uso e consumo</t>
        </is>
      </c>
      <c r="C2750" t="inlineStr">
        <is>
          <t>2.04.91 Compra de Material de Limpeza</t>
        </is>
      </c>
      <c r="D2750" t="inlineStr">
        <is>
          <t>NF-e</t>
        </is>
      </c>
      <c r="E2750" t="inlineStr">
        <is>
          <t>000000842</t>
        </is>
      </c>
      <c r="F2750" t="inlineStr">
        <is>
          <t>Limptech Paper Comercio Ltda</t>
        </is>
      </c>
      <c r="G2750" s="27" t="n">
        <v>46094</v>
      </c>
      <c r="H2750" s="14" t="n">
        <v>318</v>
      </c>
      <c r="I2750" s="14" t="n">
        <v>0</v>
      </c>
      <c r="J2750" s="14" t="n">
        <v>0</v>
      </c>
      <c r="K2750" s="14" t="n">
        <v>0</v>
      </c>
      <c r="L2750" s="14" t="n">
        <v>0</v>
      </c>
      <c r="M2750" s="14">
        <f>IF(B2750="Frete de venda",0,(1-ISNUMBER(SEARCH("556",P2750)))*(I2750*VLOOKUP($B2750,Premissas!$A$4:$E$7,2,0)+J2750*VLOOKUP($B2750,Premissas!$A$4:$E$7,3,0))+K2750*VLOOKUP($B2750,Premissas!$A$4:$E$7,4,0)+L2750*VLOOKUP($B2750,Premissas!$A$4:$E$7,5,0))</f>
        <v/>
      </c>
      <c r="N2750" s="14">
        <f>H2750-M2750</f>
        <v/>
      </c>
      <c r="O2750" t="inlineStr">
        <is>
          <t>Sim</t>
        </is>
      </c>
      <c r="P2750" t="inlineStr">
        <is>
          <t>1.102</t>
        </is>
      </c>
    </row>
    <row r="2751">
      <c r="A2751" s="24" t="n">
        <v>46082</v>
      </c>
      <c r="B2751" t="inlineStr">
        <is>
          <t>Uso e consumo</t>
        </is>
      </c>
      <c r="C2751" t="inlineStr">
        <is>
          <t>2.04.91 Compra de Material de Limpeza</t>
        </is>
      </c>
      <c r="D2751" t="inlineStr">
        <is>
          <t>NF-e</t>
        </is>
      </c>
      <c r="E2751" t="inlineStr">
        <is>
          <t>000000625</t>
        </is>
      </c>
      <c r="F2751" t="inlineStr">
        <is>
          <t>SUZANNY SILVINO LEMOS</t>
        </is>
      </c>
      <c r="G2751" s="27" t="n">
        <v>46099</v>
      </c>
      <c r="H2751" s="14" t="n">
        <v>234</v>
      </c>
      <c r="I2751" s="14" t="n">
        <v>0</v>
      </c>
      <c r="J2751" s="14" t="n">
        <v>0</v>
      </c>
      <c r="K2751" s="14" t="n">
        <v>0</v>
      </c>
      <c r="L2751" s="14" t="n">
        <v>0</v>
      </c>
      <c r="M2751" s="14">
        <f>IF(B2751="Frete de venda",0,(1-ISNUMBER(SEARCH("556",P2751)))*(I2751*VLOOKUP($B2751,Premissas!$A$4:$E$7,2,0)+J2751*VLOOKUP($B2751,Premissas!$A$4:$E$7,3,0))+K2751*VLOOKUP($B2751,Premissas!$A$4:$E$7,4,0)+L2751*VLOOKUP($B2751,Premissas!$A$4:$E$7,5,0))</f>
        <v/>
      </c>
      <c r="N2751" s="14">
        <f>H2751-M2751</f>
        <v/>
      </c>
      <c r="O2751" t="inlineStr">
        <is>
          <t>Sim</t>
        </is>
      </c>
      <c r="P2751" t="inlineStr">
        <is>
          <t>1.102</t>
        </is>
      </c>
    </row>
    <row r="2752">
      <c r="A2752" s="24" t="n">
        <v>46082</v>
      </c>
      <c r="B2752" t="inlineStr">
        <is>
          <t>Uso e consumo</t>
        </is>
      </c>
      <c r="C2752" t="inlineStr">
        <is>
          <t>2.04.95 Copa e Cozinha</t>
        </is>
      </c>
      <c r="D2752" t="inlineStr">
        <is>
          <t>NF-e</t>
        </is>
      </c>
      <c r="E2752" t="inlineStr">
        <is>
          <t>002024948</t>
        </is>
      </c>
      <c r="F2752" t="inlineStr">
        <is>
          <t>COMPANHIA BRASILEIRA DE DISTRIBUICAO</t>
        </is>
      </c>
      <c r="G2752" s="27" t="n">
        <v>46092</v>
      </c>
      <c r="H2752" s="14" t="n">
        <v>352.16</v>
      </c>
      <c r="I2752" s="14" t="n">
        <v>0</v>
      </c>
      <c r="J2752" s="14" t="n">
        <v>14.09</v>
      </c>
      <c r="K2752" s="14" t="n">
        <v>0</v>
      </c>
      <c r="L2752" s="14" t="n">
        <v>0</v>
      </c>
      <c r="M2752" s="14">
        <f>IF(B2752="Frete de venda",0,(1-ISNUMBER(SEARCH("556",P2752)))*(I2752*VLOOKUP($B2752,Premissas!$A$4:$E$7,2,0)+J2752*VLOOKUP($B2752,Premissas!$A$4:$E$7,3,0))+K2752*VLOOKUP($B2752,Premissas!$A$4:$E$7,4,0)+L2752*VLOOKUP($B2752,Premissas!$A$4:$E$7,5,0))</f>
        <v/>
      </c>
      <c r="N2752" s="14">
        <f>H2752-M2752</f>
        <v/>
      </c>
      <c r="O2752" t="inlineStr">
        <is>
          <t>Sim</t>
        </is>
      </c>
      <c r="P2752" t="inlineStr">
        <is>
          <t>1.556</t>
        </is>
      </c>
    </row>
    <row r="2753">
      <c r="A2753" s="24" t="n">
        <v>46082</v>
      </c>
      <c r="B2753" t="inlineStr">
        <is>
          <t>Uso e consumo</t>
        </is>
      </c>
      <c r="C2753" t="inlineStr">
        <is>
          <t>2.04.96 Bens de Pequeno Valor</t>
        </is>
      </c>
      <c r="D2753" t="inlineStr">
        <is>
          <t>NF-e</t>
        </is>
      </c>
      <c r="E2753" t="inlineStr">
        <is>
          <t>000000363</t>
        </is>
      </c>
      <c r="F2753" t="inlineStr">
        <is>
          <t>SOTECA SOCIEDADE TECNICO CIENTIFICA LTDA</t>
        </is>
      </c>
      <c r="G2753" s="27" t="n">
        <v>46086</v>
      </c>
      <c r="H2753" s="14" t="n">
        <v>124.98</v>
      </c>
      <c r="I2753" s="14" t="n">
        <v>0</v>
      </c>
      <c r="J2753" s="14" t="n">
        <v>0</v>
      </c>
      <c r="K2753" s="14" t="n">
        <v>0</v>
      </c>
      <c r="L2753" s="14" t="n">
        <v>0</v>
      </c>
      <c r="M2753" s="14">
        <f>IF(B2753="Frete de venda",0,(1-ISNUMBER(SEARCH("556",P2753)))*(I2753*VLOOKUP($B2753,Premissas!$A$4:$E$7,2,0)+J2753*VLOOKUP($B2753,Premissas!$A$4:$E$7,3,0))+K2753*VLOOKUP($B2753,Premissas!$A$4:$E$7,4,0)+L2753*VLOOKUP($B2753,Premissas!$A$4:$E$7,5,0))</f>
        <v/>
      </c>
      <c r="N2753" s="14">
        <f>H2753-M2753</f>
        <v/>
      </c>
      <c r="O2753" t="inlineStr">
        <is>
          <t>Sim</t>
        </is>
      </c>
      <c r="P2753" t="inlineStr">
        <is>
          <t>1.102</t>
        </is>
      </c>
    </row>
    <row r="2754">
      <c r="A2754" s="24" t="n">
        <v>46113</v>
      </c>
      <c r="B2754" t="inlineStr">
        <is>
          <t>Frete de compra</t>
        </is>
      </c>
      <c r="C2754" t="inlineStr">
        <is>
          <t>Frete de compra</t>
        </is>
      </c>
      <c r="D2754" t="inlineStr">
        <is>
          <t>CT-e</t>
        </is>
      </c>
      <c r="E2754" t="inlineStr">
        <is>
          <t>000194430</t>
        </is>
      </c>
      <c r="F2754" t="inlineStr">
        <is>
          <t>ALIANCA NAVEGACAO E LOGISTICA LTDA</t>
        </is>
      </c>
      <c r="G2754" s="27" t="n">
        <v>46125</v>
      </c>
      <c r="H2754" s="14" t="n">
        <v>3612.9</v>
      </c>
      <c r="I2754" s="14" t="n">
        <v>0</v>
      </c>
      <c r="J2754" s="14" t="n">
        <v>252.9</v>
      </c>
      <c r="K2754" s="14" t="n">
        <v>0</v>
      </c>
      <c r="L2754" s="14" t="n">
        <v>0</v>
      </c>
      <c r="M2754" s="14">
        <f>IF(B2754="Frete de venda",0,(1-ISNUMBER(SEARCH("556",P2754)))*(I2754*VLOOKUP($B2754,Premissas!$A$4:$E$7,2,0)+J2754*VLOOKUP($B2754,Premissas!$A$4:$E$7,3,0))+K2754*VLOOKUP($B2754,Premissas!$A$4:$E$7,4,0)+L2754*VLOOKUP($B2754,Premissas!$A$4:$E$7,5,0))</f>
        <v/>
      </c>
      <c r="N2754" s="14">
        <f>H2754-M2754</f>
        <v/>
      </c>
      <c r="O2754" t="inlineStr">
        <is>
          <t>Sim</t>
        </is>
      </c>
      <c r="P2754" t="inlineStr">
        <is>
          <t>1.350</t>
        </is>
      </c>
    </row>
    <row r="2755">
      <c r="A2755" s="24" t="n">
        <v>46113</v>
      </c>
      <c r="B2755" t="inlineStr">
        <is>
          <t>Frete de compra</t>
        </is>
      </c>
      <c r="C2755" t="inlineStr">
        <is>
          <t>Frete de compra</t>
        </is>
      </c>
      <c r="D2755" t="inlineStr">
        <is>
          <t>CT-e</t>
        </is>
      </c>
      <c r="E2755" t="inlineStr">
        <is>
          <t>000194432</t>
        </is>
      </c>
      <c r="F2755" t="inlineStr">
        <is>
          <t>ALIANCA NAVEGACAO E LOGISTICA LTDA</t>
        </is>
      </c>
      <c r="G2755" s="27" t="n">
        <v>46125</v>
      </c>
      <c r="H2755" s="14" t="n">
        <v>6580.65</v>
      </c>
      <c r="I2755" s="14" t="n">
        <v>0</v>
      </c>
      <c r="J2755" s="14" t="n">
        <v>460.65</v>
      </c>
      <c r="K2755" s="14" t="n">
        <v>0</v>
      </c>
      <c r="L2755" s="14" t="n">
        <v>0</v>
      </c>
      <c r="M2755" s="14">
        <f>IF(B2755="Frete de venda",0,(1-ISNUMBER(SEARCH("556",P2755)))*(I2755*VLOOKUP($B2755,Premissas!$A$4:$E$7,2,0)+J2755*VLOOKUP($B2755,Premissas!$A$4:$E$7,3,0))+K2755*VLOOKUP($B2755,Premissas!$A$4:$E$7,4,0)+L2755*VLOOKUP($B2755,Premissas!$A$4:$E$7,5,0))</f>
        <v/>
      </c>
      <c r="N2755" s="14">
        <f>H2755-M2755</f>
        <v/>
      </c>
      <c r="O2755" t="inlineStr">
        <is>
          <t>Sim</t>
        </is>
      </c>
      <c r="P2755" t="inlineStr">
        <is>
          <t>1.350</t>
        </is>
      </c>
    </row>
    <row r="2756">
      <c r="A2756" s="24" t="n">
        <v>46113</v>
      </c>
      <c r="B2756" t="inlineStr">
        <is>
          <t>Frete de compra</t>
        </is>
      </c>
      <c r="C2756" t="inlineStr">
        <is>
          <t>Frete de compra</t>
        </is>
      </c>
      <c r="D2756" t="inlineStr">
        <is>
          <t>CT-e</t>
        </is>
      </c>
      <c r="E2756" t="inlineStr">
        <is>
          <t>000194470</t>
        </is>
      </c>
      <c r="F2756" t="inlineStr">
        <is>
          <t>ALIANCA NAVEGACAO E LOGISTICA LTDA</t>
        </is>
      </c>
      <c r="G2756" s="27" t="n">
        <v>46125</v>
      </c>
      <c r="H2756" s="14" t="n">
        <v>8516.129999999999</v>
      </c>
      <c r="I2756" s="14" t="n">
        <v>0</v>
      </c>
      <c r="J2756" s="14" t="n">
        <v>596.13</v>
      </c>
      <c r="K2756" s="14" t="n">
        <v>0</v>
      </c>
      <c r="L2756" s="14" t="n">
        <v>0</v>
      </c>
      <c r="M2756" s="14">
        <f>IF(B2756="Frete de venda",0,(1-ISNUMBER(SEARCH("556",P2756)))*(I2756*VLOOKUP($B2756,Premissas!$A$4:$E$7,2,0)+J2756*VLOOKUP($B2756,Premissas!$A$4:$E$7,3,0))+K2756*VLOOKUP($B2756,Premissas!$A$4:$E$7,4,0)+L2756*VLOOKUP($B2756,Premissas!$A$4:$E$7,5,0))</f>
        <v/>
      </c>
      <c r="N2756" s="14">
        <f>H2756-M2756</f>
        <v/>
      </c>
      <c r="O2756" t="inlineStr">
        <is>
          <t>Sim</t>
        </is>
      </c>
      <c r="P2756" t="inlineStr">
        <is>
          <t>1.350</t>
        </is>
      </c>
    </row>
    <row r="2757">
      <c r="A2757" s="24" t="n">
        <v>46113</v>
      </c>
      <c r="B2757" t="inlineStr">
        <is>
          <t>Frete de compra</t>
        </is>
      </c>
      <c r="C2757" t="inlineStr">
        <is>
          <t>Frete de compra</t>
        </is>
      </c>
      <c r="D2757" t="inlineStr">
        <is>
          <t>CT-e</t>
        </is>
      </c>
      <c r="E2757" t="inlineStr">
        <is>
          <t>000194517</t>
        </is>
      </c>
      <c r="F2757" t="inlineStr">
        <is>
          <t>ALIANCA NAVEGACAO E LOGISTICA LTDA</t>
        </is>
      </c>
      <c r="G2757" s="27" t="n">
        <v>46126</v>
      </c>
      <c r="H2757" s="14" t="n">
        <v>8387.1</v>
      </c>
      <c r="I2757" s="14" t="n">
        <v>0</v>
      </c>
      <c r="J2757" s="14" t="n">
        <v>587.1</v>
      </c>
      <c r="K2757" s="14" t="n">
        <v>0</v>
      </c>
      <c r="L2757" s="14" t="n">
        <v>0</v>
      </c>
      <c r="M2757" s="14">
        <f>IF(B2757="Frete de venda",0,(1-ISNUMBER(SEARCH("556",P2757)))*(I2757*VLOOKUP($B2757,Premissas!$A$4:$E$7,2,0)+J2757*VLOOKUP($B2757,Premissas!$A$4:$E$7,3,0))+K2757*VLOOKUP($B2757,Premissas!$A$4:$E$7,4,0)+L2757*VLOOKUP($B2757,Premissas!$A$4:$E$7,5,0))</f>
        <v/>
      </c>
      <c r="N2757" s="14">
        <f>H2757-M2757</f>
        <v/>
      </c>
      <c r="O2757" t="inlineStr">
        <is>
          <t>Sim</t>
        </is>
      </c>
      <c r="P2757" t="inlineStr">
        <is>
          <t>1.350</t>
        </is>
      </c>
    </row>
    <row r="2758">
      <c r="A2758" s="24" t="n">
        <v>46113</v>
      </c>
      <c r="B2758" t="inlineStr">
        <is>
          <t>Frete de compra</t>
        </is>
      </c>
      <c r="C2758" t="inlineStr">
        <is>
          <t>Frete de compra</t>
        </is>
      </c>
      <c r="D2758" t="inlineStr">
        <is>
          <t>CT-e</t>
        </is>
      </c>
      <c r="E2758" t="inlineStr">
        <is>
          <t>000194516</t>
        </is>
      </c>
      <c r="F2758" t="inlineStr">
        <is>
          <t>ALIANCA NAVEGACAO E LOGISTICA LTDA</t>
        </is>
      </c>
      <c r="G2758" s="27" t="n">
        <v>46126</v>
      </c>
      <c r="H2758" s="14" t="n">
        <v>6838.71</v>
      </c>
      <c r="I2758" s="14" t="n">
        <v>0</v>
      </c>
      <c r="J2758" s="14" t="n">
        <v>478.71</v>
      </c>
      <c r="K2758" s="14" t="n">
        <v>0</v>
      </c>
      <c r="L2758" s="14" t="n">
        <v>0</v>
      </c>
      <c r="M2758" s="14">
        <f>IF(B2758="Frete de venda",0,(1-ISNUMBER(SEARCH("556",P2758)))*(I2758*VLOOKUP($B2758,Premissas!$A$4:$E$7,2,0)+J2758*VLOOKUP($B2758,Premissas!$A$4:$E$7,3,0))+K2758*VLOOKUP($B2758,Premissas!$A$4:$E$7,4,0)+L2758*VLOOKUP($B2758,Premissas!$A$4:$E$7,5,0))</f>
        <v/>
      </c>
      <c r="N2758" s="14">
        <f>H2758-M2758</f>
        <v/>
      </c>
      <c r="O2758" t="inlineStr">
        <is>
          <t>Sim</t>
        </is>
      </c>
      <c r="P2758" t="inlineStr">
        <is>
          <t>1.350</t>
        </is>
      </c>
    </row>
    <row r="2759">
      <c r="A2759" s="24" t="n">
        <v>46113</v>
      </c>
      <c r="B2759" t="inlineStr">
        <is>
          <t>Frete de compra</t>
        </is>
      </c>
      <c r="C2759" t="inlineStr">
        <is>
          <t>Frete de compra</t>
        </is>
      </c>
      <c r="D2759" t="inlineStr">
        <is>
          <t>CT-e</t>
        </is>
      </c>
      <c r="E2759" t="inlineStr">
        <is>
          <t>000194511</t>
        </is>
      </c>
      <c r="F2759" t="inlineStr">
        <is>
          <t>ALIANCA NAVEGACAO E LOGISTICA LTDA</t>
        </is>
      </c>
      <c r="G2759" s="27" t="n">
        <v>46126</v>
      </c>
      <c r="H2759" s="14" t="n">
        <v>2193.55</v>
      </c>
      <c r="I2759" s="14" t="n">
        <v>0</v>
      </c>
      <c r="J2759" s="14" t="n">
        <v>153.55</v>
      </c>
      <c r="K2759" s="14" t="n">
        <v>0</v>
      </c>
      <c r="L2759" s="14" t="n">
        <v>0</v>
      </c>
      <c r="M2759" s="14">
        <f>IF(B2759="Frete de venda",0,(1-ISNUMBER(SEARCH("556",P2759)))*(I2759*VLOOKUP($B2759,Premissas!$A$4:$E$7,2,0)+J2759*VLOOKUP($B2759,Premissas!$A$4:$E$7,3,0))+K2759*VLOOKUP($B2759,Premissas!$A$4:$E$7,4,0)+L2759*VLOOKUP($B2759,Premissas!$A$4:$E$7,5,0))</f>
        <v/>
      </c>
      <c r="N2759" s="14">
        <f>H2759-M2759</f>
        <v/>
      </c>
      <c r="O2759" t="inlineStr">
        <is>
          <t>Sim</t>
        </is>
      </c>
      <c r="P2759" t="inlineStr">
        <is>
          <t>1.350</t>
        </is>
      </c>
    </row>
    <row r="2760">
      <c r="A2760" s="24" t="n">
        <v>46113</v>
      </c>
      <c r="B2760" t="inlineStr">
        <is>
          <t>Frete de compra</t>
        </is>
      </c>
      <c r="C2760" t="inlineStr">
        <is>
          <t>Frete de compra</t>
        </is>
      </c>
      <c r="D2760" t="inlineStr">
        <is>
          <t>CT-e</t>
        </is>
      </c>
      <c r="E2760" t="inlineStr">
        <is>
          <t>000194512</t>
        </is>
      </c>
      <c r="F2760" t="inlineStr">
        <is>
          <t>ALIANCA NAVEGACAO E LOGISTICA LTDA</t>
        </is>
      </c>
      <c r="G2760" s="27" t="n">
        <v>46126</v>
      </c>
      <c r="H2760" s="14" t="n">
        <v>2451.61</v>
      </c>
      <c r="I2760" s="14" t="n">
        <v>0</v>
      </c>
      <c r="J2760" s="14" t="n">
        <v>171.61</v>
      </c>
      <c r="K2760" s="14" t="n">
        <v>0</v>
      </c>
      <c r="L2760" s="14" t="n">
        <v>0</v>
      </c>
      <c r="M2760" s="14">
        <f>IF(B2760="Frete de venda",0,(1-ISNUMBER(SEARCH("556",P2760)))*(I2760*VLOOKUP($B2760,Premissas!$A$4:$E$7,2,0)+J2760*VLOOKUP($B2760,Premissas!$A$4:$E$7,3,0))+K2760*VLOOKUP($B2760,Premissas!$A$4:$E$7,4,0)+L2760*VLOOKUP($B2760,Premissas!$A$4:$E$7,5,0))</f>
        <v/>
      </c>
      <c r="N2760" s="14">
        <f>H2760-M2760</f>
        <v/>
      </c>
      <c r="O2760" t="inlineStr">
        <is>
          <t>Sim</t>
        </is>
      </c>
      <c r="P2760" t="inlineStr">
        <is>
          <t>1.350</t>
        </is>
      </c>
    </row>
    <row r="2761">
      <c r="A2761" s="24" t="n">
        <v>46113</v>
      </c>
      <c r="B2761" t="inlineStr">
        <is>
          <t>Frete de compra</t>
        </is>
      </c>
      <c r="C2761" t="inlineStr">
        <is>
          <t>Frete de compra</t>
        </is>
      </c>
      <c r="D2761" t="inlineStr">
        <is>
          <t>CT-e</t>
        </is>
      </c>
      <c r="E2761" t="inlineStr">
        <is>
          <t>000194514</t>
        </is>
      </c>
      <c r="F2761" t="inlineStr">
        <is>
          <t>ALIANCA NAVEGACAO E LOGISTICA LTDA</t>
        </is>
      </c>
      <c r="G2761" s="27" t="n">
        <v>46126</v>
      </c>
      <c r="H2761" s="14" t="n">
        <v>3483.87</v>
      </c>
      <c r="I2761" s="14" t="n">
        <v>0</v>
      </c>
      <c r="J2761" s="14" t="n">
        <v>243.87</v>
      </c>
      <c r="K2761" s="14" t="n">
        <v>0</v>
      </c>
      <c r="L2761" s="14" t="n">
        <v>0</v>
      </c>
      <c r="M2761" s="14">
        <f>IF(B2761="Frete de venda",0,(1-ISNUMBER(SEARCH("556",P2761)))*(I2761*VLOOKUP($B2761,Premissas!$A$4:$E$7,2,0)+J2761*VLOOKUP($B2761,Premissas!$A$4:$E$7,3,0))+K2761*VLOOKUP($B2761,Premissas!$A$4:$E$7,4,0)+L2761*VLOOKUP($B2761,Premissas!$A$4:$E$7,5,0))</f>
        <v/>
      </c>
      <c r="N2761" s="14">
        <f>H2761-M2761</f>
        <v/>
      </c>
      <c r="O2761" t="inlineStr">
        <is>
          <t>Sim</t>
        </is>
      </c>
      <c r="P2761" t="inlineStr">
        <is>
          <t>1.350</t>
        </is>
      </c>
    </row>
    <row r="2762">
      <c r="A2762" s="24" t="n">
        <v>46113</v>
      </c>
      <c r="B2762" t="inlineStr">
        <is>
          <t>Frete de compra</t>
        </is>
      </c>
      <c r="C2762" t="inlineStr">
        <is>
          <t>Frete de compra</t>
        </is>
      </c>
      <c r="D2762" t="inlineStr">
        <is>
          <t>CT-e</t>
        </is>
      </c>
      <c r="E2762" t="inlineStr">
        <is>
          <t>000194513</t>
        </is>
      </c>
      <c r="F2762" t="inlineStr">
        <is>
          <t>ALIANCA NAVEGACAO E LOGISTICA LTDA</t>
        </is>
      </c>
      <c r="G2762" s="27" t="n">
        <v>46126</v>
      </c>
      <c r="H2762" s="14" t="n">
        <v>3225.81</v>
      </c>
      <c r="I2762" s="14" t="n">
        <v>0</v>
      </c>
      <c r="J2762" s="14" t="n">
        <v>225.81</v>
      </c>
      <c r="K2762" s="14" t="n">
        <v>0</v>
      </c>
      <c r="L2762" s="14" t="n">
        <v>0</v>
      </c>
      <c r="M2762" s="14">
        <f>IF(B2762="Frete de venda",0,(1-ISNUMBER(SEARCH("556",P2762)))*(I2762*VLOOKUP($B2762,Premissas!$A$4:$E$7,2,0)+J2762*VLOOKUP($B2762,Premissas!$A$4:$E$7,3,0))+K2762*VLOOKUP($B2762,Premissas!$A$4:$E$7,4,0)+L2762*VLOOKUP($B2762,Premissas!$A$4:$E$7,5,0))</f>
        <v/>
      </c>
      <c r="N2762" s="14">
        <f>H2762-M2762</f>
        <v/>
      </c>
      <c r="O2762" t="inlineStr">
        <is>
          <t>Sim</t>
        </is>
      </c>
      <c r="P2762" t="inlineStr">
        <is>
          <t>1.350</t>
        </is>
      </c>
    </row>
    <row r="2763">
      <c r="A2763" s="24" t="n">
        <v>46113</v>
      </c>
      <c r="B2763" t="inlineStr">
        <is>
          <t>Frete de compra</t>
        </is>
      </c>
      <c r="C2763" t="inlineStr">
        <is>
          <t>Frete de compra</t>
        </is>
      </c>
      <c r="D2763" t="inlineStr">
        <is>
          <t>CT-e</t>
        </is>
      </c>
      <c r="E2763" t="inlineStr">
        <is>
          <t>000194515</t>
        </is>
      </c>
      <c r="F2763" t="inlineStr">
        <is>
          <t>ALIANCA NAVEGACAO E LOGISTICA LTDA</t>
        </is>
      </c>
      <c r="G2763" s="27" t="n">
        <v>46126</v>
      </c>
      <c r="H2763" s="14" t="n">
        <v>3870.97</v>
      </c>
      <c r="I2763" s="14" t="n">
        <v>0</v>
      </c>
      <c r="J2763" s="14" t="n">
        <v>270.97</v>
      </c>
      <c r="K2763" s="14" t="n">
        <v>0</v>
      </c>
      <c r="L2763" s="14" t="n">
        <v>0</v>
      </c>
      <c r="M2763" s="14">
        <f>IF(B2763="Frete de venda",0,(1-ISNUMBER(SEARCH("556",P2763)))*(I2763*VLOOKUP($B2763,Premissas!$A$4:$E$7,2,0)+J2763*VLOOKUP($B2763,Premissas!$A$4:$E$7,3,0))+K2763*VLOOKUP($B2763,Premissas!$A$4:$E$7,4,0)+L2763*VLOOKUP($B2763,Premissas!$A$4:$E$7,5,0))</f>
        <v/>
      </c>
      <c r="N2763" s="14">
        <f>H2763-M2763</f>
        <v/>
      </c>
      <c r="O2763" t="inlineStr">
        <is>
          <t>Sim</t>
        </is>
      </c>
      <c r="P2763" t="inlineStr">
        <is>
          <t>1.350</t>
        </is>
      </c>
    </row>
    <row r="2764">
      <c r="A2764" s="24" t="n">
        <v>46113</v>
      </c>
      <c r="B2764" t="inlineStr">
        <is>
          <t>Frete de compra</t>
        </is>
      </c>
      <c r="C2764" t="inlineStr">
        <is>
          <t>Frete de compra</t>
        </is>
      </c>
      <c r="D2764" t="inlineStr">
        <is>
          <t>CT-e</t>
        </is>
      </c>
      <c r="E2764" t="inlineStr">
        <is>
          <t>000195416</t>
        </is>
      </c>
      <c r="F2764" t="inlineStr">
        <is>
          <t>ALIANCA NAVEGACAO E LOGISTICA LTDA</t>
        </is>
      </c>
      <c r="G2764" s="27" t="n">
        <v>46136</v>
      </c>
      <c r="H2764" s="14" t="n">
        <v>387.1</v>
      </c>
      <c r="I2764" s="14" t="n">
        <v>0</v>
      </c>
      <c r="J2764" s="14" t="n">
        <v>27.1</v>
      </c>
      <c r="K2764" s="14" t="n">
        <v>0</v>
      </c>
      <c r="L2764" s="14" t="n">
        <v>0</v>
      </c>
      <c r="M2764" s="14">
        <f>IF(B2764="Frete de venda",0,(1-ISNUMBER(SEARCH("556",P2764)))*(I2764*VLOOKUP($B2764,Premissas!$A$4:$E$7,2,0)+J2764*VLOOKUP($B2764,Premissas!$A$4:$E$7,3,0))+K2764*VLOOKUP($B2764,Premissas!$A$4:$E$7,4,0)+L2764*VLOOKUP($B2764,Premissas!$A$4:$E$7,5,0))</f>
        <v/>
      </c>
      <c r="N2764" s="14">
        <f>H2764-M2764</f>
        <v/>
      </c>
      <c r="O2764" t="inlineStr">
        <is>
          <t>Sim</t>
        </is>
      </c>
      <c r="P2764" t="inlineStr">
        <is>
          <t>2.350</t>
        </is>
      </c>
    </row>
    <row r="2765">
      <c r="A2765" s="24" t="n">
        <v>46113</v>
      </c>
      <c r="B2765" t="inlineStr">
        <is>
          <t>Frete de compra</t>
        </is>
      </c>
      <c r="C2765" t="inlineStr">
        <is>
          <t>Frete de compra</t>
        </is>
      </c>
      <c r="D2765" t="inlineStr">
        <is>
          <t>CT-e</t>
        </is>
      </c>
      <c r="E2765" t="inlineStr">
        <is>
          <t>000195417</t>
        </is>
      </c>
      <c r="F2765" t="inlineStr">
        <is>
          <t>ALIANCA NAVEGACAO E LOGISTICA LTDA</t>
        </is>
      </c>
      <c r="G2765" s="27" t="n">
        <v>46136</v>
      </c>
      <c r="H2765" s="14" t="n">
        <v>387.1</v>
      </c>
      <c r="I2765" s="14" t="n">
        <v>0</v>
      </c>
      <c r="J2765" s="14" t="n">
        <v>27.1</v>
      </c>
      <c r="K2765" s="14" t="n">
        <v>0</v>
      </c>
      <c r="L2765" s="14" t="n">
        <v>0</v>
      </c>
      <c r="M2765" s="14">
        <f>IF(B2765="Frete de venda",0,(1-ISNUMBER(SEARCH("556",P2765)))*(I2765*VLOOKUP($B2765,Premissas!$A$4:$E$7,2,0)+J2765*VLOOKUP($B2765,Premissas!$A$4:$E$7,3,0))+K2765*VLOOKUP($B2765,Premissas!$A$4:$E$7,4,0)+L2765*VLOOKUP($B2765,Premissas!$A$4:$E$7,5,0))</f>
        <v/>
      </c>
      <c r="N2765" s="14">
        <f>H2765-M2765</f>
        <v/>
      </c>
      <c r="O2765" t="inlineStr">
        <is>
          <t>Sim</t>
        </is>
      </c>
      <c r="P2765" t="inlineStr">
        <is>
          <t>2.350</t>
        </is>
      </c>
    </row>
    <row r="2766">
      <c r="A2766" s="24" t="n">
        <v>46113</v>
      </c>
      <c r="B2766" t="inlineStr">
        <is>
          <t>Frete de compra</t>
        </is>
      </c>
      <c r="C2766" t="inlineStr">
        <is>
          <t>Frete de compra</t>
        </is>
      </c>
      <c r="D2766" t="inlineStr">
        <is>
          <t>CT-e</t>
        </is>
      </c>
      <c r="E2766" t="inlineStr">
        <is>
          <t>000195432</t>
        </is>
      </c>
      <c r="F2766" t="inlineStr">
        <is>
          <t>ALIANCA NAVEGACAO E LOGISTICA LTDA</t>
        </is>
      </c>
      <c r="G2766" s="27" t="n">
        <v>46136</v>
      </c>
      <c r="H2766" s="14" t="n">
        <v>1161.29</v>
      </c>
      <c r="I2766" s="14" t="n">
        <v>0</v>
      </c>
      <c r="J2766" s="14" t="n">
        <v>81.29000000000001</v>
      </c>
      <c r="K2766" s="14" t="n">
        <v>0</v>
      </c>
      <c r="L2766" s="14" t="n">
        <v>0</v>
      </c>
      <c r="M2766" s="14">
        <f>IF(B2766="Frete de venda",0,(1-ISNUMBER(SEARCH("556",P2766)))*(I2766*VLOOKUP($B2766,Premissas!$A$4:$E$7,2,0)+J2766*VLOOKUP($B2766,Premissas!$A$4:$E$7,3,0))+K2766*VLOOKUP($B2766,Premissas!$A$4:$E$7,4,0)+L2766*VLOOKUP($B2766,Premissas!$A$4:$E$7,5,0))</f>
        <v/>
      </c>
      <c r="N2766" s="14">
        <f>H2766-M2766</f>
        <v/>
      </c>
      <c r="O2766" t="inlineStr">
        <is>
          <t>Sim</t>
        </is>
      </c>
      <c r="P2766" t="inlineStr">
        <is>
          <t>2.350</t>
        </is>
      </c>
    </row>
    <row r="2767">
      <c r="A2767" s="24" t="n">
        <v>46113</v>
      </c>
      <c r="B2767" t="inlineStr">
        <is>
          <t>Frete de compra</t>
        </is>
      </c>
      <c r="C2767" t="inlineStr">
        <is>
          <t>Frete de compra</t>
        </is>
      </c>
      <c r="D2767" t="inlineStr">
        <is>
          <t>CT-e</t>
        </is>
      </c>
      <c r="E2767" t="inlineStr">
        <is>
          <t>000195433</t>
        </is>
      </c>
      <c r="F2767" t="inlineStr">
        <is>
          <t>ALIANCA NAVEGACAO E LOGISTICA LTDA</t>
        </is>
      </c>
      <c r="G2767" s="27" t="n">
        <v>46136</v>
      </c>
      <c r="H2767" s="14" t="n">
        <v>1677.42</v>
      </c>
      <c r="I2767" s="14" t="n">
        <v>0</v>
      </c>
      <c r="J2767" s="14" t="n">
        <v>117.42</v>
      </c>
      <c r="K2767" s="14" t="n">
        <v>0</v>
      </c>
      <c r="L2767" s="14" t="n">
        <v>0</v>
      </c>
      <c r="M2767" s="14">
        <f>IF(B2767="Frete de venda",0,(1-ISNUMBER(SEARCH("556",P2767)))*(I2767*VLOOKUP($B2767,Premissas!$A$4:$E$7,2,0)+J2767*VLOOKUP($B2767,Premissas!$A$4:$E$7,3,0))+K2767*VLOOKUP($B2767,Premissas!$A$4:$E$7,4,0)+L2767*VLOOKUP($B2767,Premissas!$A$4:$E$7,5,0))</f>
        <v/>
      </c>
      <c r="N2767" s="14">
        <f>H2767-M2767</f>
        <v/>
      </c>
      <c r="O2767" t="inlineStr">
        <is>
          <t>Sim</t>
        </is>
      </c>
      <c r="P2767" t="inlineStr">
        <is>
          <t>2.350</t>
        </is>
      </c>
    </row>
    <row r="2768">
      <c r="A2768" s="24" t="n">
        <v>46113</v>
      </c>
      <c r="B2768" t="inlineStr">
        <is>
          <t>Frete de compra</t>
        </is>
      </c>
      <c r="C2768" t="inlineStr">
        <is>
          <t>Frete de compra</t>
        </is>
      </c>
      <c r="D2768" t="inlineStr">
        <is>
          <t>CT-e</t>
        </is>
      </c>
      <c r="E2768" t="inlineStr">
        <is>
          <t>000193387</t>
        </is>
      </c>
      <c r="F2768" t="inlineStr">
        <is>
          <t>ALIANCA NAVEGACAO E LOGISTICA LTDA</t>
        </is>
      </c>
      <c r="G2768" s="27" t="n">
        <v>46113</v>
      </c>
      <c r="H2768" s="14" t="n">
        <v>258.06</v>
      </c>
      <c r="I2768" s="14" t="n">
        <v>0</v>
      </c>
      <c r="J2768" s="14" t="n">
        <v>18.06</v>
      </c>
      <c r="K2768" s="14" t="n">
        <v>0</v>
      </c>
      <c r="L2768" s="14" t="n">
        <v>0</v>
      </c>
      <c r="M2768" s="14">
        <f>IF(B2768="Frete de venda",0,(1-ISNUMBER(SEARCH("556",P2768)))*(I2768*VLOOKUP($B2768,Premissas!$A$4:$E$7,2,0)+J2768*VLOOKUP($B2768,Premissas!$A$4:$E$7,3,0))+K2768*VLOOKUP($B2768,Premissas!$A$4:$E$7,4,0)+L2768*VLOOKUP($B2768,Premissas!$A$4:$E$7,5,0))</f>
        <v/>
      </c>
      <c r="N2768" s="14">
        <f>H2768-M2768</f>
        <v/>
      </c>
      <c r="O2768" t="inlineStr">
        <is>
          <t>Não</t>
        </is>
      </c>
      <c r="P2768" t="inlineStr">
        <is>
          <t>2.350</t>
        </is>
      </c>
    </row>
    <row r="2769">
      <c r="A2769" s="24" t="n">
        <v>46113</v>
      </c>
      <c r="B2769" t="inlineStr">
        <is>
          <t>Frete de compra</t>
        </is>
      </c>
      <c r="C2769" t="inlineStr">
        <is>
          <t>Frete de compra</t>
        </is>
      </c>
      <c r="D2769" t="inlineStr">
        <is>
          <t>CT-e</t>
        </is>
      </c>
      <c r="E2769" t="inlineStr">
        <is>
          <t>000193473</t>
        </is>
      </c>
      <c r="F2769" t="inlineStr">
        <is>
          <t>ALIANCA NAVEGACAO E LOGISTICA LTDA</t>
        </is>
      </c>
      <c r="G2769" s="27" t="n">
        <v>46113</v>
      </c>
      <c r="H2769" s="14" t="n">
        <v>1032.26</v>
      </c>
      <c r="I2769" s="14" t="n">
        <v>0</v>
      </c>
      <c r="J2769" s="14" t="n">
        <v>72.26000000000001</v>
      </c>
      <c r="K2769" s="14" t="n">
        <v>0</v>
      </c>
      <c r="L2769" s="14" t="n">
        <v>0</v>
      </c>
      <c r="M2769" s="14">
        <f>IF(B2769="Frete de venda",0,(1-ISNUMBER(SEARCH("556",P2769)))*(I2769*VLOOKUP($B2769,Premissas!$A$4:$E$7,2,0)+J2769*VLOOKUP($B2769,Premissas!$A$4:$E$7,3,0))+K2769*VLOOKUP($B2769,Premissas!$A$4:$E$7,4,0)+L2769*VLOOKUP($B2769,Premissas!$A$4:$E$7,5,0))</f>
        <v/>
      </c>
      <c r="N2769" s="14">
        <f>H2769-M2769</f>
        <v/>
      </c>
      <c r="O2769" t="inlineStr">
        <is>
          <t>Não</t>
        </is>
      </c>
      <c r="P2769" t="inlineStr">
        <is>
          <t>2.350</t>
        </is>
      </c>
    </row>
    <row r="2770">
      <c r="A2770" s="24" t="n">
        <v>46113</v>
      </c>
      <c r="B2770" t="inlineStr">
        <is>
          <t>Frete de compra</t>
        </is>
      </c>
      <c r="C2770" t="inlineStr">
        <is>
          <t>Frete de compra</t>
        </is>
      </c>
      <c r="D2770" t="inlineStr">
        <is>
          <t>CT-e</t>
        </is>
      </c>
      <c r="E2770" t="inlineStr">
        <is>
          <t>000193476</t>
        </is>
      </c>
      <c r="F2770" t="inlineStr">
        <is>
          <t>ALIANCA NAVEGACAO E LOGISTICA LTDA</t>
        </is>
      </c>
      <c r="G2770" s="27" t="n">
        <v>46113</v>
      </c>
      <c r="H2770" s="14" t="n">
        <v>1290.32</v>
      </c>
      <c r="I2770" s="14" t="n">
        <v>0</v>
      </c>
      <c r="J2770" s="14" t="n">
        <v>90.31999999999999</v>
      </c>
      <c r="K2770" s="14" t="n">
        <v>0</v>
      </c>
      <c r="L2770" s="14" t="n">
        <v>0</v>
      </c>
      <c r="M2770" s="14">
        <f>IF(B2770="Frete de venda",0,(1-ISNUMBER(SEARCH("556",P2770)))*(I2770*VLOOKUP($B2770,Premissas!$A$4:$E$7,2,0)+J2770*VLOOKUP($B2770,Premissas!$A$4:$E$7,3,0))+K2770*VLOOKUP($B2770,Premissas!$A$4:$E$7,4,0)+L2770*VLOOKUP($B2770,Premissas!$A$4:$E$7,5,0))</f>
        <v/>
      </c>
      <c r="N2770" s="14">
        <f>H2770-M2770</f>
        <v/>
      </c>
      <c r="O2770" t="inlineStr">
        <is>
          <t>Não</t>
        </is>
      </c>
      <c r="P2770" t="inlineStr">
        <is>
          <t>2.350</t>
        </is>
      </c>
    </row>
    <row r="2771">
      <c r="A2771" s="24" t="n">
        <v>46113</v>
      </c>
      <c r="B2771" t="inlineStr">
        <is>
          <t>Frete de compra</t>
        </is>
      </c>
      <c r="C2771" t="inlineStr">
        <is>
          <t>Frete de compra</t>
        </is>
      </c>
      <c r="D2771" t="inlineStr">
        <is>
          <t>CT-e</t>
        </is>
      </c>
      <c r="E2771" t="inlineStr">
        <is>
          <t>000193479</t>
        </is>
      </c>
      <c r="F2771" t="inlineStr">
        <is>
          <t>ALIANCA NAVEGACAO E LOGISTICA LTDA</t>
        </is>
      </c>
      <c r="G2771" s="27" t="n">
        <v>46113</v>
      </c>
      <c r="H2771" s="14" t="n">
        <v>1419.35</v>
      </c>
      <c r="I2771" s="14" t="n">
        <v>0</v>
      </c>
      <c r="J2771" s="14" t="n">
        <v>99.34999999999999</v>
      </c>
      <c r="K2771" s="14" t="n">
        <v>0</v>
      </c>
      <c r="L2771" s="14" t="n">
        <v>0</v>
      </c>
      <c r="M2771" s="14">
        <f>IF(B2771="Frete de venda",0,(1-ISNUMBER(SEARCH("556",P2771)))*(I2771*VLOOKUP($B2771,Premissas!$A$4:$E$7,2,0)+J2771*VLOOKUP($B2771,Premissas!$A$4:$E$7,3,0))+K2771*VLOOKUP($B2771,Premissas!$A$4:$E$7,4,0)+L2771*VLOOKUP($B2771,Premissas!$A$4:$E$7,5,0))</f>
        <v/>
      </c>
      <c r="N2771" s="14">
        <f>H2771-M2771</f>
        <v/>
      </c>
      <c r="O2771" t="inlineStr">
        <is>
          <t>Não</t>
        </is>
      </c>
      <c r="P2771" t="inlineStr">
        <is>
          <t>2.350</t>
        </is>
      </c>
    </row>
    <row r="2772">
      <c r="A2772" s="24" t="n">
        <v>46113</v>
      </c>
      <c r="B2772" t="inlineStr">
        <is>
          <t>Frete de compra</t>
        </is>
      </c>
      <c r="C2772" t="inlineStr">
        <is>
          <t>Frete de compra</t>
        </is>
      </c>
      <c r="D2772" t="inlineStr">
        <is>
          <t>CT-e</t>
        </is>
      </c>
      <c r="E2772" t="inlineStr">
        <is>
          <t>000193481</t>
        </is>
      </c>
      <c r="F2772" t="inlineStr">
        <is>
          <t>ALIANCA NAVEGACAO E LOGISTICA LTDA</t>
        </is>
      </c>
      <c r="G2772" s="27" t="n">
        <v>46113</v>
      </c>
      <c r="H2772" s="14" t="n">
        <v>1677.42</v>
      </c>
      <c r="I2772" s="14" t="n">
        <v>0</v>
      </c>
      <c r="J2772" s="14" t="n">
        <v>117.42</v>
      </c>
      <c r="K2772" s="14" t="n">
        <v>0</v>
      </c>
      <c r="L2772" s="14" t="n">
        <v>0</v>
      </c>
      <c r="M2772" s="14">
        <f>IF(B2772="Frete de venda",0,(1-ISNUMBER(SEARCH("556",P2772)))*(I2772*VLOOKUP($B2772,Premissas!$A$4:$E$7,2,0)+J2772*VLOOKUP($B2772,Premissas!$A$4:$E$7,3,0))+K2772*VLOOKUP($B2772,Premissas!$A$4:$E$7,4,0)+L2772*VLOOKUP($B2772,Premissas!$A$4:$E$7,5,0))</f>
        <v/>
      </c>
      <c r="N2772" s="14">
        <f>H2772-M2772</f>
        <v/>
      </c>
      <c r="O2772" t="inlineStr">
        <is>
          <t>Não</t>
        </is>
      </c>
      <c r="P2772" t="inlineStr">
        <is>
          <t>2.350</t>
        </is>
      </c>
    </row>
    <row r="2773">
      <c r="A2773" s="24" t="n">
        <v>46113</v>
      </c>
      <c r="B2773" t="inlineStr">
        <is>
          <t>Frete de compra</t>
        </is>
      </c>
      <c r="C2773" t="inlineStr">
        <is>
          <t>Frete de compra</t>
        </is>
      </c>
      <c r="D2773" t="inlineStr">
        <is>
          <t>CT-e</t>
        </is>
      </c>
      <c r="E2773" t="inlineStr">
        <is>
          <t>000193489</t>
        </is>
      </c>
      <c r="F2773" t="inlineStr">
        <is>
          <t>ALIANCA NAVEGACAO E LOGISTICA LTDA</t>
        </is>
      </c>
      <c r="G2773" s="27" t="n">
        <v>46113</v>
      </c>
      <c r="H2773" s="14" t="n">
        <v>5032.26</v>
      </c>
      <c r="I2773" s="14" t="n">
        <v>0</v>
      </c>
      <c r="J2773" s="14" t="n">
        <v>352.26</v>
      </c>
      <c r="K2773" s="14" t="n">
        <v>0</v>
      </c>
      <c r="L2773" s="14" t="n">
        <v>0</v>
      </c>
      <c r="M2773" s="14">
        <f>IF(B2773="Frete de venda",0,(1-ISNUMBER(SEARCH("556",P2773)))*(I2773*VLOOKUP($B2773,Premissas!$A$4:$E$7,2,0)+J2773*VLOOKUP($B2773,Premissas!$A$4:$E$7,3,0))+K2773*VLOOKUP($B2773,Premissas!$A$4:$E$7,4,0)+L2773*VLOOKUP($B2773,Premissas!$A$4:$E$7,5,0))</f>
        <v/>
      </c>
      <c r="N2773" s="14">
        <f>H2773-M2773</f>
        <v/>
      </c>
      <c r="O2773" t="inlineStr">
        <is>
          <t>Não</t>
        </is>
      </c>
      <c r="P2773" t="inlineStr">
        <is>
          <t>2.350</t>
        </is>
      </c>
    </row>
    <row r="2774">
      <c r="A2774" s="24" t="n">
        <v>46113</v>
      </c>
      <c r="B2774" t="inlineStr">
        <is>
          <t>Frete de compra</t>
        </is>
      </c>
      <c r="C2774" t="inlineStr">
        <is>
          <t>Frete de compra</t>
        </is>
      </c>
      <c r="D2774" t="inlineStr">
        <is>
          <t>CT-e</t>
        </is>
      </c>
      <c r="E2774" t="inlineStr">
        <is>
          <t>000193490</t>
        </is>
      </c>
      <c r="F2774" t="inlineStr">
        <is>
          <t>ALIANCA NAVEGACAO E LOGISTICA LTDA</t>
        </is>
      </c>
      <c r="G2774" s="27" t="n">
        <v>46113</v>
      </c>
      <c r="H2774" s="14" t="n">
        <v>5161.29</v>
      </c>
      <c r="I2774" s="14" t="n">
        <v>0</v>
      </c>
      <c r="J2774" s="14" t="n">
        <v>361.29</v>
      </c>
      <c r="K2774" s="14" t="n">
        <v>0</v>
      </c>
      <c r="L2774" s="14" t="n">
        <v>0</v>
      </c>
      <c r="M2774" s="14">
        <f>IF(B2774="Frete de venda",0,(1-ISNUMBER(SEARCH("556",P2774)))*(I2774*VLOOKUP($B2774,Premissas!$A$4:$E$7,2,0)+J2774*VLOOKUP($B2774,Premissas!$A$4:$E$7,3,0))+K2774*VLOOKUP($B2774,Premissas!$A$4:$E$7,4,0)+L2774*VLOOKUP($B2774,Premissas!$A$4:$E$7,5,0))</f>
        <v/>
      </c>
      <c r="N2774" s="14">
        <f>H2774-M2774</f>
        <v/>
      </c>
      <c r="O2774" t="inlineStr">
        <is>
          <t>Não</t>
        </is>
      </c>
      <c r="P2774" t="inlineStr">
        <is>
          <t>2.350</t>
        </is>
      </c>
    </row>
    <row r="2775">
      <c r="A2775" s="24" t="n">
        <v>46113</v>
      </c>
      <c r="B2775" t="inlineStr">
        <is>
          <t>Frete de compra</t>
        </is>
      </c>
      <c r="C2775" t="inlineStr">
        <is>
          <t>Frete de compra</t>
        </is>
      </c>
      <c r="D2775" t="inlineStr">
        <is>
          <t>CT-e</t>
        </is>
      </c>
      <c r="E2775" t="inlineStr">
        <is>
          <t>000193834</t>
        </is>
      </c>
      <c r="F2775" t="inlineStr">
        <is>
          <t>ALIANCA NAVEGACAO E LOGISTICA LTDA</t>
        </is>
      </c>
      <c r="G2775" s="27" t="n">
        <v>46119</v>
      </c>
      <c r="H2775" s="14" t="n">
        <v>18503.41</v>
      </c>
      <c r="I2775" s="14" t="n">
        <v>0</v>
      </c>
      <c r="J2775" s="14" t="n">
        <v>1295.24</v>
      </c>
      <c r="K2775" s="14" t="n">
        <v>0</v>
      </c>
      <c r="L2775" s="14" t="n">
        <v>0</v>
      </c>
      <c r="M2775" s="14">
        <f>IF(B2775="Frete de venda",0,(1-ISNUMBER(SEARCH("556",P2775)))*(I2775*VLOOKUP($B2775,Premissas!$A$4:$E$7,2,0)+J2775*VLOOKUP($B2775,Premissas!$A$4:$E$7,3,0))+K2775*VLOOKUP($B2775,Premissas!$A$4:$E$7,4,0)+L2775*VLOOKUP($B2775,Premissas!$A$4:$E$7,5,0))</f>
        <v/>
      </c>
      <c r="N2775" s="14">
        <f>H2775-M2775</f>
        <v/>
      </c>
      <c r="O2775" t="inlineStr">
        <is>
          <t>Sim</t>
        </is>
      </c>
      <c r="P2775" t="inlineStr">
        <is>
          <t>1.350</t>
        </is>
      </c>
    </row>
    <row r="2776">
      <c r="A2776" s="24" t="n">
        <v>46113</v>
      </c>
      <c r="B2776" t="inlineStr">
        <is>
          <t>Frete de compra</t>
        </is>
      </c>
      <c r="C2776" t="inlineStr">
        <is>
          <t>Frete de compra</t>
        </is>
      </c>
      <c r="D2776" t="inlineStr">
        <is>
          <t>CT-e</t>
        </is>
      </c>
      <c r="E2776" t="inlineStr">
        <is>
          <t>000193836</t>
        </is>
      </c>
      <c r="F2776" t="inlineStr">
        <is>
          <t>ALIANCA NAVEGACAO E LOGISTICA LTDA</t>
        </is>
      </c>
      <c r="G2776" s="27" t="n">
        <v>46119</v>
      </c>
      <c r="H2776" s="14" t="n">
        <v>9483.809999999999</v>
      </c>
      <c r="I2776" s="14" t="n">
        <v>0</v>
      </c>
      <c r="J2776" s="14" t="n">
        <v>663.87</v>
      </c>
      <c r="K2776" s="14" t="n">
        <v>0</v>
      </c>
      <c r="L2776" s="14" t="n">
        <v>0</v>
      </c>
      <c r="M2776" s="14">
        <f>IF(B2776="Frete de venda",0,(1-ISNUMBER(SEARCH("556",P2776)))*(I2776*VLOOKUP($B2776,Premissas!$A$4:$E$7,2,0)+J2776*VLOOKUP($B2776,Premissas!$A$4:$E$7,3,0))+K2776*VLOOKUP($B2776,Premissas!$A$4:$E$7,4,0)+L2776*VLOOKUP($B2776,Premissas!$A$4:$E$7,5,0))</f>
        <v/>
      </c>
      <c r="N2776" s="14">
        <f>H2776-M2776</f>
        <v/>
      </c>
      <c r="O2776" t="inlineStr">
        <is>
          <t>Sim</t>
        </is>
      </c>
      <c r="P2776" t="inlineStr">
        <is>
          <t>1.350</t>
        </is>
      </c>
    </row>
    <row r="2777">
      <c r="A2777" s="24" t="n">
        <v>46113</v>
      </c>
      <c r="B2777" t="inlineStr">
        <is>
          <t>Frete de compra</t>
        </is>
      </c>
      <c r="C2777" t="inlineStr">
        <is>
          <t>Frete de compra</t>
        </is>
      </c>
      <c r="D2777" t="inlineStr">
        <is>
          <t>CT-e</t>
        </is>
      </c>
      <c r="E2777" t="inlineStr">
        <is>
          <t>000193835</t>
        </is>
      </c>
      <c r="F2777" t="inlineStr">
        <is>
          <t>ALIANCA NAVEGACAO E LOGISTICA LTDA</t>
        </is>
      </c>
      <c r="G2777" s="27" t="n">
        <v>46119</v>
      </c>
      <c r="H2777" s="14" t="n">
        <v>9538.49</v>
      </c>
      <c r="I2777" s="14" t="n">
        <v>0</v>
      </c>
      <c r="J2777" s="14" t="n">
        <v>667.6900000000001</v>
      </c>
      <c r="K2777" s="14" t="n">
        <v>0</v>
      </c>
      <c r="L2777" s="14" t="n">
        <v>0</v>
      </c>
      <c r="M2777" s="14">
        <f>IF(B2777="Frete de venda",0,(1-ISNUMBER(SEARCH("556",P2777)))*(I2777*VLOOKUP($B2777,Premissas!$A$4:$E$7,2,0)+J2777*VLOOKUP($B2777,Premissas!$A$4:$E$7,3,0))+K2777*VLOOKUP($B2777,Premissas!$A$4:$E$7,4,0)+L2777*VLOOKUP($B2777,Premissas!$A$4:$E$7,5,0))</f>
        <v/>
      </c>
      <c r="N2777" s="14">
        <f>H2777-M2777</f>
        <v/>
      </c>
      <c r="O2777" t="inlineStr">
        <is>
          <t>Sim</t>
        </is>
      </c>
      <c r="P2777" t="inlineStr">
        <is>
          <t>1.350</t>
        </is>
      </c>
    </row>
    <row r="2778">
      <c r="A2778" s="24" t="n">
        <v>46113</v>
      </c>
      <c r="B2778" t="inlineStr">
        <is>
          <t>Frete de compra</t>
        </is>
      </c>
      <c r="C2778" t="inlineStr">
        <is>
          <t>Frete de compra</t>
        </is>
      </c>
      <c r="D2778" t="inlineStr">
        <is>
          <t>CT-e</t>
        </is>
      </c>
      <c r="E2778" t="inlineStr">
        <is>
          <t>000194563</t>
        </is>
      </c>
      <c r="F2778" t="inlineStr">
        <is>
          <t>ALIANCA NAVEGACAO E LOGISTICA LTDA</t>
        </is>
      </c>
      <c r="G2778" s="27" t="n">
        <v>46126</v>
      </c>
      <c r="H2778" s="14" t="n">
        <v>18497.99</v>
      </c>
      <c r="I2778" s="14" t="n">
        <v>0</v>
      </c>
      <c r="J2778" s="14" t="n">
        <v>1294.86</v>
      </c>
      <c r="K2778" s="14" t="n">
        <v>0</v>
      </c>
      <c r="L2778" s="14" t="n">
        <v>0</v>
      </c>
      <c r="M2778" s="14">
        <f>IF(B2778="Frete de venda",0,(1-ISNUMBER(SEARCH("556",P2778)))*(I2778*VLOOKUP($B2778,Premissas!$A$4:$E$7,2,0)+J2778*VLOOKUP($B2778,Premissas!$A$4:$E$7,3,0))+K2778*VLOOKUP($B2778,Premissas!$A$4:$E$7,4,0)+L2778*VLOOKUP($B2778,Premissas!$A$4:$E$7,5,0))</f>
        <v/>
      </c>
      <c r="N2778" s="14">
        <f>H2778-M2778</f>
        <v/>
      </c>
      <c r="O2778" t="inlineStr">
        <is>
          <t>Sim</t>
        </is>
      </c>
      <c r="P2778" t="inlineStr">
        <is>
          <t>1.350</t>
        </is>
      </c>
    </row>
    <row r="2779">
      <c r="A2779" s="24" t="n">
        <v>46113</v>
      </c>
      <c r="B2779" t="inlineStr">
        <is>
          <t>Frete de compra</t>
        </is>
      </c>
      <c r="C2779" t="inlineStr">
        <is>
          <t>Frete de compra</t>
        </is>
      </c>
      <c r="D2779" t="inlineStr">
        <is>
          <t>CT-e</t>
        </is>
      </c>
      <c r="E2779" t="inlineStr">
        <is>
          <t>000194564</t>
        </is>
      </c>
      <c r="F2779" t="inlineStr">
        <is>
          <t>ALIANCA NAVEGACAO E LOGISTICA LTDA</t>
        </is>
      </c>
      <c r="G2779" s="27" t="n">
        <v>46126</v>
      </c>
      <c r="H2779" s="14" t="n">
        <v>18502.28</v>
      </c>
      <c r="I2779" s="14" t="n">
        <v>0</v>
      </c>
      <c r="J2779" s="14" t="n">
        <v>1295.16</v>
      </c>
      <c r="K2779" s="14" t="n">
        <v>0</v>
      </c>
      <c r="L2779" s="14" t="n">
        <v>0</v>
      </c>
      <c r="M2779" s="14">
        <f>IF(B2779="Frete de venda",0,(1-ISNUMBER(SEARCH("556",P2779)))*(I2779*VLOOKUP($B2779,Premissas!$A$4:$E$7,2,0)+J2779*VLOOKUP($B2779,Premissas!$A$4:$E$7,3,0))+K2779*VLOOKUP($B2779,Premissas!$A$4:$E$7,4,0)+L2779*VLOOKUP($B2779,Premissas!$A$4:$E$7,5,0))</f>
        <v/>
      </c>
      <c r="N2779" s="14">
        <f>H2779-M2779</f>
        <v/>
      </c>
      <c r="O2779" t="inlineStr">
        <is>
          <t>Sim</t>
        </is>
      </c>
      <c r="P2779" t="inlineStr">
        <is>
          <t>1.350</t>
        </is>
      </c>
    </row>
    <row r="2780">
      <c r="A2780" s="24" t="n">
        <v>46113</v>
      </c>
      <c r="B2780" t="inlineStr">
        <is>
          <t>Frete de compra</t>
        </is>
      </c>
      <c r="C2780" t="inlineStr">
        <is>
          <t>Frete de compra</t>
        </is>
      </c>
      <c r="D2780" t="inlineStr">
        <is>
          <t>CT-e</t>
        </is>
      </c>
      <c r="E2780" t="inlineStr">
        <is>
          <t>000194565</t>
        </is>
      </c>
      <c r="F2780" t="inlineStr">
        <is>
          <t>ALIANCA NAVEGACAO E LOGISTICA LTDA</t>
        </is>
      </c>
      <c r="G2780" s="27" t="n">
        <v>46126</v>
      </c>
      <c r="H2780" s="14" t="n">
        <v>18503.48</v>
      </c>
      <c r="I2780" s="14" t="n">
        <v>0</v>
      </c>
      <c r="J2780" s="14" t="n">
        <v>1295.24</v>
      </c>
      <c r="K2780" s="14" t="n">
        <v>0</v>
      </c>
      <c r="L2780" s="14" t="n">
        <v>0</v>
      </c>
      <c r="M2780" s="14">
        <f>IF(B2780="Frete de venda",0,(1-ISNUMBER(SEARCH("556",P2780)))*(I2780*VLOOKUP($B2780,Premissas!$A$4:$E$7,2,0)+J2780*VLOOKUP($B2780,Premissas!$A$4:$E$7,3,0))+K2780*VLOOKUP($B2780,Premissas!$A$4:$E$7,4,0)+L2780*VLOOKUP($B2780,Premissas!$A$4:$E$7,5,0))</f>
        <v/>
      </c>
      <c r="N2780" s="14">
        <f>H2780-M2780</f>
        <v/>
      </c>
      <c r="O2780" t="inlineStr">
        <is>
          <t>Sim</t>
        </is>
      </c>
      <c r="P2780" t="inlineStr">
        <is>
          <t>1.350</t>
        </is>
      </c>
    </row>
    <row r="2781">
      <c r="A2781" s="24" t="n">
        <v>46113</v>
      </c>
      <c r="B2781" t="inlineStr">
        <is>
          <t>Frete de compra</t>
        </is>
      </c>
      <c r="C2781" t="inlineStr">
        <is>
          <t>Frete de compra</t>
        </is>
      </c>
      <c r="D2781" t="inlineStr">
        <is>
          <t>CT-e</t>
        </is>
      </c>
      <c r="E2781" t="inlineStr">
        <is>
          <t>000194566</t>
        </is>
      </c>
      <c r="F2781" t="inlineStr">
        <is>
          <t>ALIANCA NAVEGACAO E LOGISTICA LTDA</t>
        </is>
      </c>
      <c r="G2781" s="27" t="n">
        <v>46126</v>
      </c>
      <c r="H2781" s="14" t="n">
        <v>18499.61</v>
      </c>
      <c r="I2781" s="14" t="n">
        <v>0</v>
      </c>
      <c r="J2781" s="14" t="n">
        <v>1294.97</v>
      </c>
      <c r="K2781" s="14" t="n">
        <v>0</v>
      </c>
      <c r="L2781" s="14" t="n">
        <v>0</v>
      </c>
      <c r="M2781" s="14">
        <f>IF(B2781="Frete de venda",0,(1-ISNUMBER(SEARCH("556",P2781)))*(I2781*VLOOKUP($B2781,Premissas!$A$4:$E$7,2,0)+J2781*VLOOKUP($B2781,Premissas!$A$4:$E$7,3,0))+K2781*VLOOKUP($B2781,Premissas!$A$4:$E$7,4,0)+L2781*VLOOKUP($B2781,Premissas!$A$4:$E$7,5,0))</f>
        <v/>
      </c>
      <c r="N2781" s="14">
        <f>H2781-M2781</f>
        <v/>
      </c>
      <c r="O2781" t="inlineStr">
        <is>
          <t>Sim</t>
        </is>
      </c>
      <c r="P2781" t="inlineStr">
        <is>
          <t>1.350</t>
        </is>
      </c>
    </row>
    <row r="2782">
      <c r="A2782" s="24" t="n">
        <v>46113</v>
      </c>
      <c r="B2782" t="inlineStr">
        <is>
          <t>Frete de compra</t>
        </is>
      </c>
      <c r="C2782" t="inlineStr">
        <is>
          <t>Frete de compra</t>
        </is>
      </c>
      <c r="D2782" t="inlineStr">
        <is>
          <t>CT-e</t>
        </is>
      </c>
      <c r="E2782" t="inlineStr">
        <is>
          <t>000194568</t>
        </is>
      </c>
      <c r="F2782" t="inlineStr">
        <is>
          <t>ALIANCA NAVEGACAO E LOGISTICA LTDA</t>
        </is>
      </c>
      <c r="G2782" s="27" t="n">
        <v>46126</v>
      </c>
      <c r="H2782" s="14" t="n">
        <v>18507.03</v>
      </c>
      <c r="I2782" s="14" t="n">
        <v>0</v>
      </c>
      <c r="J2782" s="14" t="n">
        <v>1295.49</v>
      </c>
      <c r="K2782" s="14" t="n">
        <v>0</v>
      </c>
      <c r="L2782" s="14" t="n">
        <v>0</v>
      </c>
      <c r="M2782" s="14">
        <f>IF(B2782="Frete de venda",0,(1-ISNUMBER(SEARCH("556",P2782)))*(I2782*VLOOKUP($B2782,Premissas!$A$4:$E$7,2,0)+J2782*VLOOKUP($B2782,Premissas!$A$4:$E$7,3,0))+K2782*VLOOKUP($B2782,Premissas!$A$4:$E$7,4,0)+L2782*VLOOKUP($B2782,Premissas!$A$4:$E$7,5,0))</f>
        <v/>
      </c>
      <c r="N2782" s="14">
        <f>H2782-M2782</f>
        <v/>
      </c>
      <c r="O2782" t="inlineStr">
        <is>
          <t>Sim</t>
        </is>
      </c>
      <c r="P2782" t="inlineStr">
        <is>
          <t>1.350</t>
        </is>
      </c>
    </row>
    <row r="2783">
      <c r="A2783" s="24" t="n">
        <v>46113</v>
      </c>
      <c r="B2783" t="inlineStr">
        <is>
          <t>Frete de compra</t>
        </is>
      </c>
      <c r="C2783" t="inlineStr">
        <is>
          <t>Frete de compra</t>
        </is>
      </c>
      <c r="D2783" t="inlineStr">
        <is>
          <t>CT-e</t>
        </is>
      </c>
      <c r="E2783" t="inlineStr">
        <is>
          <t>000194569</t>
        </is>
      </c>
      <c r="F2783" t="inlineStr">
        <is>
          <t>ALIANCA NAVEGACAO E LOGISTICA LTDA</t>
        </is>
      </c>
      <c r="G2783" s="27" t="n">
        <v>46126</v>
      </c>
      <c r="H2783" s="14" t="n">
        <v>18508.74</v>
      </c>
      <c r="I2783" s="14" t="n">
        <v>0</v>
      </c>
      <c r="J2783" s="14" t="n">
        <v>1295.61</v>
      </c>
      <c r="K2783" s="14" t="n">
        <v>0</v>
      </c>
      <c r="L2783" s="14" t="n">
        <v>0</v>
      </c>
      <c r="M2783" s="14">
        <f>IF(B2783="Frete de venda",0,(1-ISNUMBER(SEARCH("556",P2783)))*(I2783*VLOOKUP($B2783,Premissas!$A$4:$E$7,2,0)+J2783*VLOOKUP($B2783,Premissas!$A$4:$E$7,3,0))+K2783*VLOOKUP($B2783,Premissas!$A$4:$E$7,4,0)+L2783*VLOOKUP($B2783,Premissas!$A$4:$E$7,5,0))</f>
        <v/>
      </c>
      <c r="N2783" s="14">
        <f>H2783-M2783</f>
        <v/>
      </c>
      <c r="O2783" t="inlineStr">
        <is>
          <t>Sim</t>
        </is>
      </c>
      <c r="P2783" t="inlineStr">
        <is>
          <t>1.350</t>
        </is>
      </c>
    </row>
    <row r="2784">
      <c r="A2784" s="24" t="n">
        <v>46113</v>
      </c>
      <c r="B2784" t="inlineStr">
        <is>
          <t>Frete de compra</t>
        </is>
      </c>
      <c r="C2784" t="inlineStr">
        <is>
          <t>Frete de compra</t>
        </is>
      </c>
      <c r="D2784" t="inlineStr">
        <is>
          <t>CT-e</t>
        </is>
      </c>
      <c r="E2784" t="inlineStr">
        <is>
          <t>000194570</t>
        </is>
      </c>
      <c r="F2784" t="inlineStr">
        <is>
          <t>ALIANCA NAVEGACAO E LOGISTICA LTDA</t>
        </is>
      </c>
      <c r="G2784" s="27" t="n">
        <v>46126</v>
      </c>
      <c r="H2784" s="14" t="n">
        <v>18500.01</v>
      </c>
      <c r="I2784" s="14" t="n">
        <v>0</v>
      </c>
      <c r="J2784" s="14" t="n">
        <v>1295</v>
      </c>
      <c r="K2784" s="14" t="n">
        <v>0</v>
      </c>
      <c r="L2784" s="14" t="n">
        <v>0</v>
      </c>
      <c r="M2784" s="14">
        <f>IF(B2784="Frete de venda",0,(1-ISNUMBER(SEARCH("556",P2784)))*(I2784*VLOOKUP($B2784,Premissas!$A$4:$E$7,2,0)+J2784*VLOOKUP($B2784,Premissas!$A$4:$E$7,3,0))+K2784*VLOOKUP($B2784,Premissas!$A$4:$E$7,4,0)+L2784*VLOOKUP($B2784,Premissas!$A$4:$E$7,5,0))</f>
        <v/>
      </c>
      <c r="N2784" s="14">
        <f>H2784-M2784</f>
        <v/>
      </c>
      <c r="O2784" t="inlineStr">
        <is>
          <t>Sim</t>
        </is>
      </c>
      <c r="P2784" t="inlineStr">
        <is>
          <t>1.350</t>
        </is>
      </c>
    </row>
    <row r="2785">
      <c r="A2785" s="24" t="n">
        <v>46113</v>
      </c>
      <c r="B2785" t="inlineStr">
        <is>
          <t>Frete de compra</t>
        </is>
      </c>
      <c r="C2785" t="inlineStr">
        <is>
          <t>Frete de compra</t>
        </is>
      </c>
      <c r="D2785" t="inlineStr">
        <is>
          <t>CT-e</t>
        </is>
      </c>
      <c r="E2785" t="inlineStr">
        <is>
          <t>000195811</t>
        </is>
      </c>
      <c r="F2785" t="inlineStr">
        <is>
          <t>ALIANCA NAVEGACAO E LOGISTICA LTDA</t>
        </is>
      </c>
      <c r="G2785" s="27" t="n">
        <v>46141</v>
      </c>
      <c r="H2785" s="14" t="n">
        <v>19315.19</v>
      </c>
      <c r="I2785" s="14" t="n">
        <v>0</v>
      </c>
      <c r="J2785" s="14" t="n">
        <v>1352.06</v>
      </c>
      <c r="K2785" s="14" t="n">
        <v>0</v>
      </c>
      <c r="L2785" s="14" t="n">
        <v>0</v>
      </c>
      <c r="M2785" s="14">
        <f>IF(B2785="Frete de venda",0,(1-ISNUMBER(SEARCH("556",P2785)))*(I2785*VLOOKUP($B2785,Premissas!$A$4:$E$7,2,0)+J2785*VLOOKUP($B2785,Premissas!$A$4:$E$7,3,0))+K2785*VLOOKUP($B2785,Premissas!$A$4:$E$7,4,0)+L2785*VLOOKUP($B2785,Premissas!$A$4:$E$7,5,0))</f>
        <v/>
      </c>
      <c r="N2785" s="14">
        <f>H2785-M2785</f>
        <v/>
      </c>
      <c r="O2785" t="inlineStr">
        <is>
          <t>Sim</t>
        </is>
      </c>
      <c r="P2785" t="inlineStr">
        <is>
          <t>1.350</t>
        </is>
      </c>
    </row>
    <row r="2786">
      <c r="A2786" s="24" t="n">
        <v>46113</v>
      </c>
      <c r="B2786" t="inlineStr">
        <is>
          <t>Frete de compra</t>
        </is>
      </c>
      <c r="C2786" t="inlineStr">
        <is>
          <t>Frete de compra</t>
        </is>
      </c>
      <c r="D2786" t="inlineStr">
        <is>
          <t>CT-e</t>
        </is>
      </c>
      <c r="E2786" t="inlineStr">
        <is>
          <t>000195812</t>
        </is>
      </c>
      <c r="F2786" t="inlineStr">
        <is>
          <t>ALIANCA NAVEGACAO E LOGISTICA LTDA</t>
        </is>
      </c>
      <c r="G2786" s="27" t="n">
        <v>46141</v>
      </c>
      <c r="H2786" s="14" t="n">
        <v>19294.65</v>
      </c>
      <c r="I2786" s="14" t="n">
        <v>0</v>
      </c>
      <c r="J2786" s="14" t="n">
        <v>1350.63</v>
      </c>
      <c r="K2786" s="14" t="n">
        <v>0</v>
      </c>
      <c r="L2786" s="14" t="n">
        <v>0</v>
      </c>
      <c r="M2786" s="14">
        <f>IF(B2786="Frete de venda",0,(1-ISNUMBER(SEARCH("556",P2786)))*(I2786*VLOOKUP($B2786,Premissas!$A$4:$E$7,2,0)+J2786*VLOOKUP($B2786,Premissas!$A$4:$E$7,3,0))+K2786*VLOOKUP($B2786,Premissas!$A$4:$E$7,4,0)+L2786*VLOOKUP($B2786,Premissas!$A$4:$E$7,5,0))</f>
        <v/>
      </c>
      <c r="N2786" s="14">
        <f>H2786-M2786</f>
        <v/>
      </c>
      <c r="O2786" t="inlineStr">
        <is>
          <t>Sim</t>
        </is>
      </c>
      <c r="P2786" t="inlineStr">
        <is>
          <t>2.350</t>
        </is>
      </c>
    </row>
    <row r="2787">
      <c r="A2787" s="24" t="n">
        <v>46113</v>
      </c>
      <c r="B2787" t="inlineStr">
        <is>
          <t>Frete de compra</t>
        </is>
      </c>
      <c r="C2787" t="inlineStr">
        <is>
          <t>Frete de compra</t>
        </is>
      </c>
      <c r="D2787" t="inlineStr">
        <is>
          <t>CT-e</t>
        </is>
      </c>
      <c r="E2787" t="inlineStr">
        <is>
          <t>000195814</t>
        </is>
      </c>
      <c r="F2787" t="inlineStr">
        <is>
          <t>ALIANCA NAVEGACAO E LOGISTICA LTDA</t>
        </is>
      </c>
      <c r="G2787" s="27" t="n">
        <v>46141</v>
      </c>
      <c r="H2787" s="14" t="n">
        <v>19304.28</v>
      </c>
      <c r="I2787" s="14" t="n">
        <v>0</v>
      </c>
      <c r="J2787" s="14" t="n">
        <v>1351.3</v>
      </c>
      <c r="K2787" s="14" t="n">
        <v>0</v>
      </c>
      <c r="L2787" s="14" t="n">
        <v>0</v>
      </c>
      <c r="M2787" s="14">
        <f>IF(B2787="Frete de venda",0,(1-ISNUMBER(SEARCH("556",P2787)))*(I2787*VLOOKUP($B2787,Premissas!$A$4:$E$7,2,0)+J2787*VLOOKUP($B2787,Premissas!$A$4:$E$7,3,0))+K2787*VLOOKUP($B2787,Premissas!$A$4:$E$7,4,0)+L2787*VLOOKUP($B2787,Premissas!$A$4:$E$7,5,0))</f>
        <v/>
      </c>
      <c r="N2787" s="14">
        <f>H2787-M2787</f>
        <v/>
      </c>
      <c r="O2787" t="inlineStr">
        <is>
          <t>Sim</t>
        </is>
      </c>
      <c r="P2787" t="inlineStr">
        <is>
          <t>1.350</t>
        </is>
      </c>
    </row>
    <row r="2788">
      <c r="A2788" s="24" t="n">
        <v>46113</v>
      </c>
      <c r="B2788" t="inlineStr">
        <is>
          <t>Frete de compra</t>
        </is>
      </c>
      <c r="C2788" t="inlineStr">
        <is>
          <t>Frete de compra</t>
        </is>
      </c>
      <c r="D2788" t="inlineStr">
        <is>
          <t>CT-e</t>
        </is>
      </c>
      <c r="E2788" t="inlineStr">
        <is>
          <t>000195813</t>
        </is>
      </c>
      <c r="F2788" t="inlineStr">
        <is>
          <t>ALIANCA NAVEGACAO E LOGISTICA LTDA</t>
        </is>
      </c>
      <c r="G2788" s="27" t="n">
        <v>46141</v>
      </c>
      <c r="H2788" s="14" t="n">
        <v>19309.29</v>
      </c>
      <c r="I2788" s="14" t="n">
        <v>0</v>
      </c>
      <c r="J2788" s="14" t="n">
        <v>1351.65</v>
      </c>
      <c r="K2788" s="14" t="n">
        <v>0</v>
      </c>
      <c r="L2788" s="14" t="n">
        <v>0</v>
      </c>
      <c r="M2788" s="14">
        <f>IF(B2788="Frete de venda",0,(1-ISNUMBER(SEARCH("556",P2788)))*(I2788*VLOOKUP($B2788,Premissas!$A$4:$E$7,2,0)+J2788*VLOOKUP($B2788,Premissas!$A$4:$E$7,3,0))+K2788*VLOOKUP($B2788,Premissas!$A$4:$E$7,4,0)+L2788*VLOOKUP($B2788,Premissas!$A$4:$E$7,5,0))</f>
        <v/>
      </c>
      <c r="N2788" s="14">
        <f>H2788-M2788</f>
        <v/>
      </c>
      <c r="O2788" t="inlineStr">
        <is>
          <t>Sim</t>
        </is>
      </c>
      <c r="P2788" t="inlineStr">
        <is>
          <t>2.350</t>
        </is>
      </c>
    </row>
    <row r="2789">
      <c r="A2789" s="24" t="n">
        <v>46113</v>
      </c>
      <c r="B2789" t="inlineStr">
        <is>
          <t>Frete de compra</t>
        </is>
      </c>
      <c r="C2789" t="inlineStr">
        <is>
          <t>Frete de compra</t>
        </is>
      </c>
      <c r="D2789" t="inlineStr">
        <is>
          <t>CT-e</t>
        </is>
      </c>
      <c r="E2789" t="inlineStr">
        <is>
          <t>000195815</t>
        </is>
      </c>
      <c r="F2789" t="inlineStr">
        <is>
          <t>ALIANCA NAVEGACAO E LOGISTICA LTDA</t>
        </is>
      </c>
      <c r="G2789" s="27" t="n">
        <v>46141</v>
      </c>
      <c r="H2789" s="14" t="n">
        <v>19309.08</v>
      </c>
      <c r="I2789" s="14" t="n">
        <v>0</v>
      </c>
      <c r="J2789" s="14" t="n">
        <v>1351.64</v>
      </c>
      <c r="K2789" s="14" t="n">
        <v>0</v>
      </c>
      <c r="L2789" s="14" t="n">
        <v>0</v>
      </c>
      <c r="M2789" s="14">
        <f>IF(B2789="Frete de venda",0,(1-ISNUMBER(SEARCH("556",P2789)))*(I2789*VLOOKUP($B2789,Premissas!$A$4:$E$7,2,0)+J2789*VLOOKUP($B2789,Premissas!$A$4:$E$7,3,0))+K2789*VLOOKUP($B2789,Premissas!$A$4:$E$7,4,0)+L2789*VLOOKUP($B2789,Premissas!$A$4:$E$7,5,0))</f>
        <v/>
      </c>
      <c r="N2789" s="14">
        <f>H2789-M2789</f>
        <v/>
      </c>
      <c r="O2789" t="inlineStr">
        <is>
          <t>Sim</t>
        </is>
      </c>
      <c r="P2789" t="inlineStr">
        <is>
          <t>2.350</t>
        </is>
      </c>
    </row>
    <row r="2790">
      <c r="A2790" s="24" t="n">
        <v>46113</v>
      </c>
      <c r="B2790" t="inlineStr">
        <is>
          <t>Frete de compra</t>
        </is>
      </c>
      <c r="C2790" t="inlineStr">
        <is>
          <t>Frete de compra</t>
        </is>
      </c>
      <c r="D2790" t="inlineStr">
        <is>
          <t>CT-e</t>
        </is>
      </c>
      <c r="E2790" t="inlineStr">
        <is>
          <t>000195820</t>
        </is>
      </c>
      <c r="F2790" t="inlineStr">
        <is>
          <t>ALIANCA NAVEGACAO E LOGISTICA LTDA</t>
        </is>
      </c>
      <c r="G2790" s="27" t="n">
        <v>46141</v>
      </c>
      <c r="H2790" s="14" t="n">
        <v>9898.74</v>
      </c>
      <c r="I2790" s="14" t="n">
        <v>0</v>
      </c>
      <c r="J2790" s="14" t="n">
        <v>692.91</v>
      </c>
      <c r="K2790" s="14" t="n">
        <v>0</v>
      </c>
      <c r="L2790" s="14" t="n">
        <v>0</v>
      </c>
      <c r="M2790" s="14">
        <f>IF(B2790="Frete de venda",0,(1-ISNUMBER(SEARCH("556",P2790)))*(I2790*VLOOKUP($B2790,Premissas!$A$4:$E$7,2,0)+J2790*VLOOKUP($B2790,Premissas!$A$4:$E$7,3,0))+K2790*VLOOKUP($B2790,Premissas!$A$4:$E$7,4,0)+L2790*VLOOKUP($B2790,Premissas!$A$4:$E$7,5,0))</f>
        <v/>
      </c>
      <c r="N2790" s="14">
        <f>H2790-M2790</f>
        <v/>
      </c>
      <c r="O2790" t="inlineStr">
        <is>
          <t>Sim</t>
        </is>
      </c>
      <c r="P2790" t="inlineStr">
        <is>
          <t>2.350</t>
        </is>
      </c>
    </row>
    <row r="2791">
      <c r="A2791" s="24" t="n">
        <v>46113</v>
      </c>
      <c r="B2791" t="inlineStr">
        <is>
          <t>Frete de compra</t>
        </is>
      </c>
      <c r="C2791" t="inlineStr">
        <is>
          <t>Frete de compra</t>
        </is>
      </c>
      <c r="D2791" t="inlineStr">
        <is>
          <t>CT-e</t>
        </is>
      </c>
      <c r="E2791" t="inlineStr">
        <is>
          <t>000195819</t>
        </is>
      </c>
      <c r="F2791" t="inlineStr">
        <is>
          <t>ALIANCA NAVEGACAO E LOGISTICA LTDA</t>
        </is>
      </c>
      <c r="G2791" s="27" t="n">
        <v>46141</v>
      </c>
      <c r="H2791" s="14" t="n">
        <v>9954.77</v>
      </c>
      <c r="I2791" s="14" t="n">
        <v>0</v>
      </c>
      <c r="J2791" s="14" t="n">
        <v>696.83</v>
      </c>
      <c r="K2791" s="14" t="n">
        <v>0</v>
      </c>
      <c r="L2791" s="14" t="n">
        <v>0</v>
      </c>
      <c r="M2791" s="14">
        <f>IF(B2791="Frete de venda",0,(1-ISNUMBER(SEARCH("556",P2791)))*(I2791*VLOOKUP($B2791,Premissas!$A$4:$E$7,2,0)+J2791*VLOOKUP($B2791,Premissas!$A$4:$E$7,3,0))+K2791*VLOOKUP($B2791,Premissas!$A$4:$E$7,4,0)+L2791*VLOOKUP($B2791,Premissas!$A$4:$E$7,5,0))</f>
        <v/>
      </c>
      <c r="N2791" s="14">
        <f>H2791-M2791</f>
        <v/>
      </c>
      <c r="O2791" t="inlineStr">
        <is>
          <t>Sim</t>
        </is>
      </c>
      <c r="P2791" t="inlineStr">
        <is>
          <t>2.350</t>
        </is>
      </c>
    </row>
    <row r="2792">
      <c r="A2792" s="24" t="n">
        <v>46113</v>
      </c>
      <c r="B2792" t="inlineStr">
        <is>
          <t>Frete de compra</t>
        </is>
      </c>
      <c r="C2792" t="inlineStr">
        <is>
          <t>Frete de compra</t>
        </is>
      </c>
      <c r="D2792" t="inlineStr">
        <is>
          <t>CT-e</t>
        </is>
      </c>
      <c r="E2792" t="inlineStr">
        <is>
          <t>000195816</t>
        </is>
      </c>
      <c r="F2792" t="inlineStr">
        <is>
          <t>ALIANCA NAVEGACAO E LOGISTICA LTDA</t>
        </is>
      </c>
      <c r="G2792" s="27" t="n">
        <v>46141</v>
      </c>
      <c r="H2792" s="14" t="n">
        <v>19312.31</v>
      </c>
      <c r="I2792" s="14" t="n">
        <v>0</v>
      </c>
      <c r="J2792" s="14" t="n">
        <v>1351.86</v>
      </c>
      <c r="K2792" s="14" t="n">
        <v>0</v>
      </c>
      <c r="L2792" s="14" t="n">
        <v>0</v>
      </c>
      <c r="M2792" s="14">
        <f>IF(B2792="Frete de venda",0,(1-ISNUMBER(SEARCH("556",P2792)))*(I2792*VLOOKUP($B2792,Premissas!$A$4:$E$7,2,0)+J2792*VLOOKUP($B2792,Premissas!$A$4:$E$7,3,0))+K2792*VLOOKUP($B2792,Premissas!$A$4:$E$7,4,0)+L2792*VLOOKUP($B2792,Premissas!$A$4:$E$7,5,0))</f>
        <v/>
      </c>
      <c r="N2792" s="14">
        <f>H2792-M2792</f>
        <v/>
      </c>
      <c r="O2792" t="inlineStr">
        <is>
          <t>Sim</t>
        </is>
      </c>
      <c r="P2792" t="inlineStr">
        <is>
          <t>1.350</t>
        </is>
      </c>
    </row>
    <row r="2793">
      <c r="A2793" s="24" t="n">
        <v>46113</v>
      </c>
      <c r="B2793" t="inlineStr">
        <is>
          <t>Frete de compra</t>
        </is>
      </c>
      <c r="C2793" t="inlineStr">
        <is>
          <t>Frete de compra</t>
        </is>
      </c>
      <c r="D2793" t="inlineStr">
        <is>
          <t>CT-e</t>
        </is>
      </c>
      <c r="E2793" t="inlineStr">
        <is>
          <t>000195821</t>
        </is>
      </c>
      <c r="F2793" t="inlineStr">
        <is>
          <t>ALIANCA NAVEGACAO E LOGISTICA LTDA</t>
        </is>
      </c>
      <c r="G2793" s="27" t="n">
        <v>46141</v>
      </c>
      <c r="H2793" s="14" t="n">
        <v>19369.11</v>
      </c>
      <c r="I2793" s="14" t="n">
        <v>0</v>
      </c>
      <c r="J2793" s="14" t="n">
        <v>1355.84</v>
      </c>
      <c r="K2793" s="14" t="n">
        <v>0</v>
      </c>
      <c r="L2793" s="14" t="n">
        <v>0</v>
      </c>
      <c r="M2793" s="14">
        <f>IF(B2793="Frete de venda",0,(1-ISNUMBER(SEARCH("556",P2793)))*(I2793*VLOOKUP($B2793,Premissas!$A$4:$E$7,2,0)+J2793*VLOOKUP($B2793,Premissas!$A$4:$E$7,3,0))+K2793*VLOOKUP($B2793,Premissas!$A$4:$E$7,4,0)+L2793*VLOOKUP($B2793,Premissas!$A$4:$E$7,5,0))</f>
        <v/>
      </c>
      <c r="N2793" s="14">
        <f>H2793-M2793</f>
        <v/>
      </c>
      <c r="O2793" t="inlineStr">
        <is>
          <t>Sim</t>
        </is>
      </c>
      <c r="P2793" t="inlineStr">
        <is>
          <t>1.350</t>
        </is>
      </c>
    </row>
    <row r="2794">
      <c r="A2794" s="24" t="n">
        <v>46113</v>
      </c>
      <c r="B2794" t="inlineStr">
        <is>
          <t>Frete de compra</t>
        </is>
      </c>
      <c r="C2794" t="inlineStr">
        <is>
          <t>Frete de compra</t>
        </is>
      </c>
      <c r="D2794" t="inlineStr">
        <is>
          <t>CT-e</t>
        </is>
      </c>
      <c r="E2794" t="inlineStr">
        <is>
          <t>000195817</t>
        </is>
      </c>
      <c r="F2794" t="inlineStr">
        <is>
          <t>ALIANCA NAVEGACAO E LOGISTICA LTDA</t>
        </is>
      </c>
      <c r="G2794" s="27" t="n">
        <v>46141</v>
      </c>
      <c r="H2794" s="14" t="n">
        <v>19311.03</v>
      </c>
      <c r="I2794" s="14" t="n">
        <v>0</v>
      </c>
      <c r="J2794" s="14" t="n">
        <v>1351.77</v>
      </c>
      <c r="K2794" s="14" t="n">
        <v>0</v>
      </c>
      <c r="L2794" s="14" t="n">
        <v>0</v>
      </c>
      <c r="M2794" s="14">
        <f>IF(B2794="Frete de venda",0,(1-ISNUMBER(SEARCH("556",P2794)))*(I2794*VLOOKUP($B2794,Premissas!$A$4:$E$7,2,0)+J2794*VLOOKUP($B2794,Premissas!$A$4:$E$7,3,0))+K2794*VLOOKUP($B2794,Premissas!$A$4:$E$7,4,0)+L2794*VLOOKUP($B2794,Premissas!$A$4:$E$7,5,0))</f>
        <v/>
      </c>
      <c r="N2794" s="14">
        <f>H2794-M2794</f>
        <v/>
      </c>
      <c r="O2794" t="inlineStr">
        <is>
          <t>Sim</t>
        </is>
      </c>
      <c r="P2794" t="inlineStr">
        <is>
          <t>1.350</t>
        </is>
      </c>
    </row>
    <row r="2795">
      <c r="A2795" s="24" t="n">
        <v>46113</v>
      </c>
      <c r="B2795" t="inlineStr">
        <is>
          <t>Frete de compra</t>
        </is>
      </c>
      <c r="C2795" t="inlineStr">
        <is>
          <t>Frete de compra</t>
        </is>
      </c>
      <c r="D2795" t="inlineStr">
        <is>
          <t>CT-e</t>
        </is>
      </c>
      <c r="E2795" t="inlineStr">
        <is>
          <t>000195822</t>
        </is>
      </c>
      <c r="F2795" t="inlineStr">
        <is>
          <t>ALIANCA NAVEGACAO E LOGISTICA LTDA</t>
        </is>
      </c>
      <c r="G2795" s="27" t="n">
        <v>46141</v>
      </c>
      <c r="H2795" s="14" t="n">
        <v>19303.43</v>
      </c>
      <c r="I2795" s="14" t="n">
        <v>0</v>
      </c>
      <c r="J2795" s="14" t="n">
        <v>1351.24</v>
      </c>
      <c r="K2795" s="14" t="n">
        <v>0</v>
      </c>
      <c r="L2795" s="14" t="n">
        <v>0</v>
      </c>
      <c r="M2795" s="14">
        <f>IF(B2795="Frete de venda",0,(1-ISNUMBER(SEARCH("556",P2795)))*(I2795*VLOOKUP($B2795,Premissas!$A$4:$E$7,2,0)+J2795*VLOOKUP($B2795,Premissas!$A$4:$E$7,3,0))+K2795*VLOOKUP($B2795,Premissas!$A$4:$E$7,4,0)+L2795*VLOOKUP($B2795,Premissas!$A$4:$E$7,5,0))</f>
        <v/>
      </c>
      <c r="N2795" s="14">
        <f>H2795-M2795</f>
        <v/>
      </c>
      <c r="O2795" t="inlineStr">
        <is>
          <t>Sim</t>
        </is>
      </c>
      <c r="P2795" t="inlineStr">
        <is>
          <t>1.350</t>
        </is>
      </c>
    </row>
    <row r="2796">
      <c r="A2796" s="24" t="n">
        <v>46113</v>
      </c>
      <c r="B2796" t="inlineStr">
        <is>
          <t>Frete de compra</t>
        </is>
      </c>
      <c r="C2796" t="inlineStr">
        <is>
          <t>Frete de compra</t>
        </is>
      </c>
      <c r="D2796" t="inlineStr">
        <is>
          <t>CT-e</t>
        </is>
      </c>
      <c r="E2796" t="inlineStr">
        <is>
          <t>000001952</t>
        </is>
      </c>
      <c r="F2796" t="inlineStr">
        <is>
          <t>TRANSPORTES DE MAQUINAS PLANETA AZUL LTDA</t>
        </is>
      </c>
      <c r="G2796" s="27" t="n">
        <v>46122</v>
      </c>
      <c r="H2796" s="14" t="n">
        <v>58233.51</v>
      </c>
      <c r="I2796" s="14" t="n">
        <v>0</v>
      </c>
      <c r="J2796" s="14" t="n">
        <v>0</v>
      </c>
      <c r="K2796" s="14" t="n">
        <v>0</v>
      </c>
      <c r="L2796" s="14" t="n">
        <v>0</v>
      </c>
      <c r="M2796" s="14">
        <f>IF(B2796="Frete de venda",0,(1-ISNUMBER(SEARCH("556",P2796)))*(I2796*VLOOKUP($B2796,Premissas!$A$4:$E$7,2,0)+J2796*VLOOKUP($B2796,Premissas!$A$4:$E$7,3,0))+K2796*VLOOKUP($B2796,Premissas!$A$4:$E$7,4,0)+L2796*VLOOKUP($B2796,Premissas!$A$4:$E$7,5,0))</f>
        <v/>
      </c>
      <c r="N2796" s="14">
        <f>H2796-M2796</f>
        <v/>
      </c>
      <c r="O2796" t="inlineStr">
        <is>
          <t>Não</t>
        </is>
      </c>
      <c r="P2796" t="inlineStr">
        <is>
          <t>1.350</t>
        </is>
      </c>
    </row>
    <row r="2797">
      <c r="A2797" s="24" t="n">
        <v>46113</v>
      </c>
      <c r="B2797" t="inlineStr">
        <is>
          <t>Frete de compra</t>
        </is>
      </c>
      <c r="C2797" t="inlineStr">
        <is>
          <t>Frete de compra</t>
        </is>
      </c>
      <c r="D2797" t="inlineStr">
        <is>
          <t>CT-e</t>
        </is>
      </c>
      <c r="E2797" t="inlineStr">
        <is>
          <t>000001950</t>
        </is>
      </c>
      <c r="F2797" t="inlineStr">
        <is>
          <t>TRANSPORTES DE MAQUINAS PLANETA AZUL LTDA</t>
        </is>
      </c>
      <c r="G2797" s="27" t="n">
        <v>46122</v>
      </c>
      <c r="H2797" s="14" t="n">
        <v>56461.34</v>
      </c>
      <c r="I2797" s="14" t="n">
        <v>0</v>
      </c>
      <c r="J2797" s="14" t="n">
        <v>0</v>
      </c>
      <c r="K2797" s="14" t="n">
        <v>0</v>
      </c>
      <c r="L2797" s="14" t="n">
        <v>0</v>
      </c>
      <c r="M2797" s="14">
        <f>IF(B2797="Frete de venda",0,(1-ISNUMBER(SEARCH("556",P2797)))*(I2797*VLOOKUP($B2797,Premissas!$A$4:$E$7,2,0)+J2797*VLOOKUP($B2797,Premissas!$A$4:$E$7,3,0))+K2797*VLOOKUP($B2797,Premissas!$A$4:$E$7,4,0)+L2797*VLOOKUP($B2797,Premissas!$A$4:$E$7,5,0))</f>
        <v/>
      </c>
      <c r="N2797" s="14">
        <f>H2797-M2797</f>
        <v/>
      </c>
      <c r="O2797" t="inlineStr">
        <is>
          <t>Não</t>
        </is>
      </c>
      <c r="P2797" t="inlineStr">
        <is>
          <t>1.350</t>
        </is>
      </c>
    </row>
    <row r="2798">
      <c r="A2798" s="24" t="n">
        <v>46113</v>
      </c>
      <c r="B2798" t="inlineStr">
        <is>
          <t>Frete de compra</t>
        </is>
      </c>
      <c r="C2798" t="inlineStr">
        <is>
          <t>Frete de compra</t>
        </is>
      </c>
      <c r="D2798" t="inlineStr">
        <is>
          <t>CT-e</t>
        </is>
      </c>
      <c r="E2798" t="inlineStr">
        <is>
          <t>000001951</t>
        </is>
      </c>
      <c r="F2798" t="inlineStr">
        <is>
          <t>TRANSPORTES DE MAQUINAS PLANETA AZUL LTDA</t>
        </is>
      </c>
      <c r="G2798" s="27" t="n">
        <v>46122</v>
      </c>
      <c r="H2798" s="14" t="n">
        <v>56461.34</v>
      </c>
      <c r="I2798" s="14" t="n">
        <v>0</v>
      </c>
      <c r="J2798" s="14" t="n">
        <v>0</v>
      </c>
      <c r="K2798" s="14" t="n">
        <v>0</v>
      </c>
      <c r="L2798" s="14" t="n">
        <v>0</v>
      </c>
      <c r="M2798" s="14">
        <f>IF(B2798="Frete de venda",0,(1-ISNUMBER(SEARCH("556",P2798)))*(I2798*VLOOKUP($B2798,Premissas!$A$4:$E$7,2,0)+J2798*VLOOKUP($B2798,Premissas!$A$4:$E$7,3,0))+K2798*VLOOKUP($B2798,Premissas!$A$4:$E$7,4,0)+L2798*VLOOKUP($B2798,Premissas!$A$4:$E$7,5,0))</f>
        <v/>
      </c>
      <c r="N2798" s="14">
        <f>H2798-M2798</f>
        <v/>
      </c>
      <c r="O2798" t="inlineStr">
        <is>
          <t>Não</t>
        </is>
      </c>
      <c r="P2798" t="inlineStr">
        <is>
          <t>1.350</t>
        </is>
      </c>
    </row>
    <row r="2799">
      <c r="A2799" s="24" t="n">
        <v>46113</v>
      </c>
      <c r="B2799" t="inlineStr">
        <is>
          <t>Frete de venda</t>
        </is>
      </c>
      <c r="C2799" t="inlineStr">
        <is>
          <t>Frete de venda (para clientes)</t>
        </is>
      </c>
      <c r="D2799" t="inlineStr">
        <is>
          <t>CT-e</t>
        </is>
      </c>
      <c r="E2799" t="inlineStr">
        <is>
          <t>000047694</t>
        </is>
      </c>
      <c r="F2799" t="inlineStr">
        <is>
          <t>GLOBAL AIR CARGO LTDA</t>
        </is>
      </c>
      <c r="G2799" s="27" t="n">
        <v>46126</v>
      </c>
      <c r="H2799" s="14" t="n">
        <v>344.69</v>
      </c>
      <c r="I2799" s="14" t="n">
        <v>0</v>
      </c>
      <c r="J2799" s="14" t="n">
        <v>24.13</v>
      </c>
      <c r="K2799" s="14" t="n">
        <v>0</v>
      </c>
      <c r="L2799" s="14" t="n">
        <v>0</v>
      </c>
      <c r="M2799" s="14">
        <f>IF(B2799="Frete de venda",0,(1-ISNUMBER(SEARCH("556",P2799)))*(I2799*VLOOKUP($B2799,Premissas!$A$4:$E$7,2,0)+J2799*VLOOKUP($B2799,Premissas!$A$4:$E$7,3,0))+K2799*VLOOKUP($B2799,Premissas!$A$4:$E$7,4,0)+L2799*VLOOKUP($B2799,Premissas!$A$4:$E$7,5,0))</f>
        <v/>
      </c>
      <c r="N2799" s="14">
        <f>H2799-M2799</f>
        <v/>
      </c>
      <c r="O2799" t="inlineStr">
        <is>
          <t>Sim</t>
        </is>
      </c>
      <c r="P2799" t="inlineStr">
        <is>
          <t>1.350</t>
        </is>
      </c>
    </row>
    <row r="2800">
      <c r="A2800" s="24" t="n">
        <v>46113</v>
      </c>
      <c r="B2800" t="inlineStr">
        <is>
          <t>Frete de venda</t>
        </is>
      </c>
      <c r="C2800" t="inlineStr">
        <is>
          <t>Frete de venda (para clientes)</t>
        </is>
      </c>
      <c r="D2800" t="inlineStr">
        <is>
          <t>CT-e</t>
        </is>
      </c>
      <c r="E2800" t="inlineStr">
        <is>
          <t>000006899</t>
        </is>
      </c>
      <c r="F2800" t="inlineStr">
        <is>
          <t>R&amp;R TRANSPORTE E LOGISTICA</t>
        </is>
      </c>
      <c r="G2800" s="27" t="n">
        <v>46137</v>
      </c>
      <c r="H2800" s="14" t="n">
        <v>13.71</v>
      </c>
      <c r="I2800" s="14" t="n">
        <v>0</v>
      </c>
      <c r="J2800" s="14" t="n">
        <v>0</v>
      </c>
      <c r="K2800" s="14" t="n">
        <v>0</v>
      </c>
      <c r="L2800" s="14" t="n">
        <v>0</v>
      </c>
      <c r="M2800" s="14">
        <f>IF(B2800="Frete de venda",0,(1-ISNUMBER(SEARCH("556",P2800)))*(I2800*VLOOKUP($B2800,Premissas!$A$4:$E$7,2,0)+J2800*VLOOKUP($B2800,Premissas!$A$4:$E$7,3,0))+K2800*VLOOKUP($B2800,Premissas!$A$4:$E$7,4,0)+L2800*VLOOKUP($B2800,Premissas!$A$4:$E$7,5,0))</f>
        <v/>
      </c>
      <c r="N2800" s="14">
        <f>H2800-M2800</f>
        <v/>
      </c>
      <c r="O2800" t="inlineStr">
        <is>
          <t>Não</t>
        </is>
      </c>
      <c r="P2800" t="inlineStr">
        <is>
          <t>1.350</t>
        </is>
      </c>
    </row>
    <row r="2801">
      <c r="A2801" s="24" t="n">
        <v>46113</v>
      </c>
      <c r="B2801" t="inlineStr">
        <is>
          <t>Frete de venda</t>
        </is>
      </c>
      <c r="C2801" t="inlineStr">
        <is>
          <t>Frete de venda (para clientes)</t>
        </is>
      </c>
      <c r="D2801" t="inlineStr">
        <is>
          <t>CT-e</t>
        </is>
      </c>
      <c r="E2801" t="inlineStr">
        <is>
          <t>000006787</t>
        </is>
      </c>
      <c r="F2801" t="inlineStr">
        <is>
          <t>R&amp;R TRANSPORTE E LOGISTICA</t>
        </is>
      </c>
      <c r="G2801" s="27" t="n">
        <v>46123</v>
      </c>
      <c r="H2801" s="14" t="n">
        <v>959.24</v>
      </c>
      <c r="I2801" s="14" t="n">
        <v>0</v>
      </c>
      <c r="J2801" s="14" t="n">
        <v>0</v>
      </c>
      <c r="K2801" s="14" t="n">
        <v>0</v>
      </c>
      <c r="L2801" s="14" t="n">
        <v>0</v>
      </c>
      <c r="M2801" s="14">
        <f>IF(B2801="Frete de venda",0,(1-ISNUMBER(SEARCH("556",P2801)))*(I2801*VLOOKUP($B2801,Premissas!$A$4:$E$7,2,0)+J2801*VLOOKUP($B2801,Premissas!$A$4:$E$7,3,0))+K2801*VLOOKUP($B2801,Premissas!$A$4:$E$7,4,0)+L2801*VLOOKUP($B2801,Premissas!$A$4:$E$7,5,0))</f>
        <v/>
      </c>
      <c r="N2801" s="14">
        <f>H2801-M2801</f>
        <v/>
      </c>
      <c r="O2801" t="inlineStr">
        <is>
          <t>Não</t>
        </is>
      </c>
      <c r="P2801" t="inlineStr">
        <is>
          <t>1.350</t>
        </is>
      </c>
    </row>
    <row r="2802">
      <c r="A2802" s="24" t="n">
        <v>46113</v>
      </c>
      <c r="B2802" t="inlineStr">
        <is>
          <t>Frete de venda</t>
        </is>
      </c>
      <c r="C2802" t="inlineStr">
        <is>
          <t>Frete de venda (para clientes)</t>
        </is>
      </c>
      <c r="D2802" t="inlineStr">
        <is>
          <t>CT-e</t>
        </is>
      </c>
      <c r="E2802" t="inlineStr">
        <is>
          <t>000006752</t>
        </is>
      </c>
      <c r="F2802" t="inlineStr">
        <is>
          <t>R&amp;R TRANSPORTE E LOGISTICA</t>
        </is>
      </c>
      <c r="G2802" s="27" t="n">
        <v>46119</v>
      </c>
      <c r="H2802" s="14" t="n">
        <v>86.51000000000001</v>
      </c>
      <c r="I2802" s="14" t="n">
        <v>0</v>
      </c>
      <c r="J2802" s="14" t="n">
        <v>0</v>
      </c>
      <c r="K2802" s="14" t="n">
        <v>0</v>
      </c>
      <c r="L2802" s="14" t="n">
        <v>0</v>
      </c>
      <c r="M2802" s="14">
        <f>IF(B2802="Frete de venda",0,(1-ISNUMBER(SEARCH("556",P2802)))*(I2802*VLOOKUP($B2802,Premissas!$A$4:$E$7,2,0)+J2802*VLOOKUP($B2802,Premissas!$A$4:$E$7,3,0))+K2802*VLOOKUP($B2802,Premissas!$A$4:$E$7,4,0)+L2802*VLOOKUP($B2802,Premissas!$A$4:$E$7,5,0))</f>
        <v/>
      </c>
      <c r="N2802" s="14">
        <f>H2802-M2802</f>
        <v/>
      </c>
      <c r="O2802" t="inlineStr">
        <is>
          <t>Não</t>
        </is>
      </c>
      <c r="P2802" t="inlineStr">
        <is>
          <t>1.350</t>
        </is>
      </c>
    </row>
    <row r="2803">
      <c r="A2803" s="24" t="n">
        <v>46113</v>
      </c>
      <c r="B2803" t="inlineStr">
        <is>
          <t>Frete de venda</t>
        </is>
      </c>
      <c r="C2803" t="inlineStr">
        <is>
          <t>Frete de venda (para clientes)</t>
        </is>
      </c>
      <c r="D2803" t="inlineStr">
        <is>
          <t>CT-e</t>
        </is>
      </c>
      <c r="E2803" t="inlineStr">
        <is>
          <t>000003518</t>
        </is>
      </c>
      <c r="F2803" t="inlineStr">
        <is>
          <t>RAPIDO XAPURI TRANSPORTES E LOGISTICA LTDA</t>
        </is>
      </c>
      <c r="G2803" s="27" t="n">
        <v>46127</v>
      </c>
      <c r="H2803" s="14" t="n">
        <v>4581.11</v>
      </c>
      <c r="I2803" s="14" t="n">
        <v>0</v>
      </c>
      <c r="J2803" s="14" t="n">
        <v>549.73</v>
      </c>
      <c r="K2803" s="14" t="n">
        <v>0</v>
      </c>
      <c r="L2803" s="14" t="n">
        <v>0</v>
      </c>
      <c r="M2803" s="14">
        <f>IF(B2803="Frete de venda",0,(1-ISNUMBER(SEARCH("556",P2803)))*(I2803*VLOOKUP($B2803,Premissas!$A$4:$E$7,2,0)+J2803*VLOOKUP($B2803,Premissas!$A$4:$E$7,3,0))+K2803*VLOOKUP($B2803,Premissas!$A$4:$E$7,4,0)+L2803*VLOOKUP($B2803,Premissas!$A$4:$E$7,5,0))</f>
        <v/>
      </c>
      <c r="N2803" s="14">
        <f>H2803-M2803</f>
        <v/>
      </c>
      <c r="O2803" t="inlineStr">
        <is>
          <t>Sim</t>
        </is>
      </c>
      <c r="P2803" t="inlineStr">
        <is>
          <t>1.350</t>
        </is>
      </c>
    </row>
    <row r="2804">
      <c r="A2804" s="24" t="n">
        <v>46113</v>
      </c>
      <c r="B2804" t="inlineStr">
        <is>
          <t>Frete de venda</t>
        </is>
      </c>
      <c r="C2804" t="inlineStr">
        <is>
          <t>Frete de venda (para clientes)</t>
        </is>
      </c>
      <c r="D2804" t="inlineStr">
        <is>
          <t>CT-e</t>
        </is>
      </c>
      <c r="E2804" t="inlineStr">
        <is>
          <t>000000655</t>
        </is>
      </c>
      <c r="F2804" t="inlineStr">
        <is>
          <t>REIMAG - REINALDO DOMINGUES BARROS DA SILVA</t>
        </is>
      </c>
      <c r="G2804" s="27" t="n">
        <v>46120</v>
      </c>
      <c r="H2804" s="14" t="n">
        <v>1600</v>
      </c>
      <c r="I2804" s="14" t="n">
        <v>0</v>
      </c>
      <c r="J2804" s="14" t="n">
        <v>0</v>
      </c>
      <c r="K2804" s="14" t="n">
        <v>0</v>
      </c>
      <c r="L2804" s="14" t="n">
        <v>0</v>
      </c>
      <c r="M2804" s="14">
        <f>IF(B2804="Frete de venda",0,(1-ISNUMBER(SEARCH("556",P2804)))*(I2804*VLOOKUP($B2804,Premissas!$A$4:$E$7,2,0)+J2804*VLOOKUP($B2804,Premissas!$A$4:$E$7,3,0))+K2804*VLOOKUP($B2804,Premissas!$A$4:$E$7,4,0)+L2804*VLOOKUP($B2804,Premissas!$A$4:$E$7,5,0))</f>
        <v/>
      </c>
      <c r="N2804" s="14">
        <f>H2804-M2804</f>
        <v/>
      </c>
      <c r="O2804" t="inlineStr">
        <is>
          <t>Sim</t>
        </is>
      </c>
      <c r="P2804" t="inlineStr">
        <is>
          <t>1.350</t>
        </is>
      </c>
    </row>
    <row r="2805">
      <c r="A2805" s="24" t="n">
        <v>46113</v>
      </c>
      <c r="B2805" t="inlineStr">
        <is>
          <t>Frete de venda</t>
        </is>
      </c>
      <c r="C2805" t="inlineStr">
        <is>
          <t>Frete de venda (para clientes)</t>
        </is>
      </c>
      <c r="D2805" t="inlineStr">
        <is>
          <t>CT-e</t>
        </is>
      </c>
      <c r="E2805" t="inlineStr">
        <is>
          <t>000006882</t>
        </is>
      </c>
      <c r="F2805" t="inlineStr">
        <is>
          <t>R&amp;R TRANSPORTE E LOGISTICA</t>
        </is>
      </c>
      <c r="G2805" s="27" t="n">
        <v>46137</v>
      </c>
      <c r="H2805" s="14" t="n">
        <v>37.99</v>
      </c>
      <c r="I2805" s="14" t="n">
        <v>0</v>
      </c>
      <c r="J2805" s="14" t="n">
        <v>0</v>
      </c>
      <c r="K2805" s="14" t="n">
        <v>0</v>
      </c>
      <c r="L2805" s="14" t="n">
        <v>0</v>
      </c>
      <c r="M2805" s="14">
        <f>IF(B2805="Frete de venda",0,(1-ISNUMBER(SEARCH("556",P2805)))*(I2805*VLOOKUP($B2805,Premissas!$A$4:$E$7,2,0)+J2805*VLOOKUP($B2805,Premissas!$A$4:$E$7,3,0))+K2805*VLOOKUP($B2805,Premissas!$A$4:$E$7,4,0)+L2805*VLOOKUP($B2805,Premissas!$A$4:$E$7,5,0))</f>
        <v/>
      </c>
      <c r="N2805" s="14">
        <f>H2805-M2805</f>
        <v/>
      </c>
      <c r="O2805" t="inlineStr">
        <is>
          <t>Não</t>
        </is>
      </c>
      <c r="P2805" t="inlineStr">
        <is>
          <t>1.350</t>
        </is>
      </c>
    </row>
    <row r="2806">
      <c r="A2806" s="24" t="n">
        <v>46113</v>
      </c>
      <c r="B2806" t="inlineStr">
        <is>
          <t>Frete de venda</t>
        </is>
      </c>
      <c r="C2806" t="inlineStr">
        <is>
          <t>Frete de venda (para clientes)</t>
        </is>
      </c>
      <c r="D2806" t="inlineStr">
        <is>
          <t>CT-e</t>
        </is>
      </c>
      <c r="E2806" t="inlineStr">
        <is>
          <t>000006864</t>
        </is>
      </c>
      <c r="F2806" t="inlineStr">
        <is>
          <t>R&amp;R TRANSPORTE E LOGISTICA</t>
        </is>
      </c>
      <c r="G2806" s="27" t="n">
        <v>46137</v>
      </c>
      <c r="H2806" s="14" t="n">
        <v>22.48</v>
      </c>
      <c r="I2806" s="14" t="n">
        <v>0</v>
      </c>
      <c r="J2806" s="14" t="n">
        <v>0</v>
      </c>
      <c r="K2806" s="14" t="n">
        <v>0</v>
      </c>
      <c r="L2806" s="14" t="n">
        <v>0</v>
      </c>
      <c r="M2806" s="14">
        <f>IF(B2806="Frete de venda",0,(1-ISNUMBER(SEARCH("556",P2806)))*(I2806*VLOOKUP($B2806,Premissas!$A$4:$E$7,2,0)+J2806*VLOOKUP($B2806,Premissas!$A$4:$E$7,3,0))+K2806*VLOOKUP($B2806,Premissas!$A$4:$E$7,4,0)+L2806*VLOOKUP($B2806,Premissas!$A$4:$E$7,5,0))</f>
        <v/>
      </c>
      <c r="N2806" s="14">
        <f>H2806-M2806</f>
        <v/>
      </c>
      <c r="O2806" t="inlineStr">
        <is>
          <t>Não</t>
        </is>
      </c>
      <c r="P2806" t="inlineStr">
        <is>
          <t>1.350</t>
        </is>
      </c>
    </row>
    <row r="2807">
      <c r="A2807" s="24" t="n">
        <v>46113</v>
      </c>
      <c r="B2807" t="inlineStr">
        <is>
          <t>Frete de venda</t>
        </is>
      </c>
      <c r="C2807" t="inlineStr">
        <is>
          <t>Frete de venda (para clientes)</t>
        </is>
      </c>
      <c r="D2807" t="inlineStr">
        <is>
          <t>CT-e</t>
        </is>
      </c>
      <c r="E2807" t="inlineStr">
        <is>
          <t>000006764</t>
        </is>
      </c>
      <c r="F2807" t="inlineStr">
        <is>
          <t>R&amp;R TRANSPORTE E LOGISTICA</t>
        </is>
      </c>
      <c r="G2807" s="27" t="n">
        <v>46120</v>
      </c>
      <c r="H2807" s="14" t="n">
        <v>1021.69</v>
      </c>
      <c r="I2807" s="14" t="n">
        <v>0</v>
      </c>
      <c r="J2807" s="14" t="n">
        <v>0</v>
      </c>
      <c r="K2807" s="14" t="n">
        <v>0</v>
      </c>
      <c r="L2807" s="14" t="n">
        <v>0</v>
      </c>
      <c r="M2807" s="14">
        <f>IF(B2807="Frete de venda",0,(1-ISNUMBER(SEARCH("556",P2807)))*(I2807*VLOOKUP($B2807,Premissas!$A$4:$E$7,2,0)+J2807*VLOOKUP($B2807,Premissas!$A$4:$E$7,3,0))+K2807*VLOOKUP($B2807,Premissas!$A$4:$E$7,4,0)+L2807*VLOOKUP($B2807,Premissas!$A$4:$E$7,5,0))</f>
        <v/>
      </c>
      <c r="N2807" s="14">
        <f>H2807-M2807</f>
        <v/>
      </c>
      <c r="O2807" t="inlineStr">
        <is>
          <t>Não</t>
        </is>
      </c>
      <c r="P2807" t="inlineStr">
        <is>
          <t>1.350</t>
        </is>
      </c>
    </row>
    <row r="2808">
      <c r="A2808" s="24" t="n">
        <v>46113</v>
      </c>
      <c r="B2808" t="inlineStr">
        <is>
          <t>Frete de venda</t>
        </is>
      </c>
      <c r="C2808" t="inlineStr">
        <is>
          <t>Frete de venda (para clientes)</t>
        </is>
      </c>
      <c r="D2808" t="inlineStr">
        <is>
          <t>CT-e</t>
        </is>
      </c>
      <c r="E2808" t="inlineStr">
        <is>
          <t>000006725</t>
        </is>
      </c>
      <c r="F2808" t="inlineStr">
        <is>
          <t>R&amp;R TRANSPORTE E LOGISTICA</t>
        </is>
      </c>
      <c r="G2808" s="27" t="n">
        <v>46118</v>
      </c>
      <c r="H2808" s="14" t="n">
        <v>28.31</v>
      </c>
      <c r="I2808" s="14" t="n">
        <v>0</v>
      </c>
      <c r="J2808" s="14" t="n">
        <v>0</v>
      </c>
      <c r="K2808" s="14" t="n">
        <v>0</v>
      </c>
      <c r="L2808" s="14" t="n">
        <v>0</v>
      </c>
      <c r="M2808" s="14">
        <f>IF(B2808="Frete de venda",0,(1-ISNUMBER(SEARCH("556",P2808)))*(I2808*VLOOKUP($B2808,Premissas!$A$4:$E$7,2,0)+J2808*VLOOKUP($B2808,Premissas!$A$4:$E$7,3,0))+K2808*VLOOKUP($B2808,Premissas!$A$4:$E$7,4,0)+L2808*VLOOKUP($B2808,Premissas!$A$4:$E$7,5,0))</f>
        <v/>
      </c>
      <c r="N2808" s="14">
        <f>H2808-M2808</f>
        <v/>
      </c>
      <c r="O2808" t="inlineStr">
        <is>
          <t>Não</t>
        </is>
      </c>
      <c r="P2808" t="inlineStr">
        <is>
          <t>1.350</t>
        </is>
      </c>
    </row>
    <row r="2809">
      <c r="A2809" s="24" t="n">
        <v>46113</v>
      </c>
      <c r="B2809" t="inlineStr">
        <is>
          <t>Frete de venda</t>
        </is>
      </c>
      <c r="C2809" t="inlineStr">
        <is>
          <t>Frete de venda (para clientes)</t>
        </is>
      </c>
      <c r="D2809" t="inlineStr">
        <is>
          <t>CT-e</t>
        </is>
      </c>
      <c r="E2809" t="inlineStr">
        <is>
          <t>000006791</t>
        </is>
      </c>
      <c r="F2809" t="inlineStr">
        <is>
          <t>R&amp;R TRANSPORTE E LOGISTICA</t>
        </is>
      </c>
      <c r="G2809" s="27" t="n">
        <v>46123</v>
      </c>
      <c r="H2809" s="14" t="n">
        <v>977.28</v>
      </c>
      <c r="I2809" s="14" t="n">
        <v>0</v>
      </c>
      <c r="J2809" s="14" t="n">
        <v>0</v>
      </c>
      <c r="K2809" s="14" t="n">
        <v>0</v>
      </c>
      <c r="L2809" s="14" t="n">
        <v>0</v>
      </c>
      <c r="M2809" s="14">
        <f>IF(B2809="Frete de venda",0,(1-ISNUMBER(SEARCH("556",P2809)))*(I2809*VLOOKUP($B2809,Premissas!$A$4:$E$7,2,0)+J2809*VLOOKUP($B2809,Premissas!$A$4:$E$7,3,0))+K2809*VLOOKUP($B2809,Premissas!$A$4:$E$7,4,0)+L2809*VLOOKUP($B2809,Premissas!$A$4:$E$7,5,0))</f>
        <v/>
      </c>
      <c r="N2809" s="14">
        <f>H2809-M2809</f>
        <v/>
      </c>
      <c r="O2809" t="inlineStr">
        <is>
          <t>Não</t>
        </is>
      </c>
      <c r="P2809" t="inlineStr">
        <is>
          <t>1.350</t>
        </is>
      </c>
    </row>
    <row r="2810">
      <c r="A2810" s="24" t="n">
        <v>46113</v>
      </c>
      <c r="B2810" t="inlineStr">
        <is>
          <t>Frete de venda</t>
        </is>
      </c>
      <c r="C2810" t="inlineStr">
        <is>
          <t>Frete de venda (para clientes)</t>
        </is>
      </c>
      <c r="D2810" t="inlineStr">
        <is>
          <t>CT-e</t>
        </is>
      </c>
      <c r="E2810" t="inlineStr">
        <is>
          <t>000006901</t>
        </is>
      </c>
      <c r="F2810" t="inlineStr">
        <is>
          <t>R&amp;R TRANSPORTE E LOGISTICA</t>
        </is>
      </c>
      <c r="G2810" s="27" t="n">
        <v>46137</v>
      </c>
      <c r="H2810" s="14" t="n">
        <v>45.97</v>
      </c>
      <c r="I2810" s="14" t="n">
        <v>0</v>
      </c>
      <c r="J2810" s="14" t="n">
        <v>0</v>
      </c>
      <c r="K2810" s="14" t="n">
        <v>0</v>
      </c>
      <c r="L2810" s="14" t="n">
        <v>0</v>
      </c>
      <c r="M2810" s="14">
        <f>IF(B2810="Frete de venda",0,(1-ISNUMBER(SEARCH("556",P2810)))*(I2810*VLOOKUP($B2810,Premissas!$A$4:$E$7,2,0)+J2810*VLOOKUP($B2810,Premissas!$A$4:$E$7,3,0))+K2810*VLOOKUP($B2810,Premissas!$A$4:$E$7,4,0)+L2810*VLOOKUP($B2810,Premissas!$A$4:$E$7,5,0))</f>
        <v/>
      </c>
      <c r="N2810" s="14">
        <f>H2810-M2810</f>
        <v/>
      </c>
      <c r="O2810" t="inlineStr">
        <is>
          <t>Não</t>
        </is>
      </c>
      <c r="P2810" t="inlineStr">
        <is>
          <t>1.350</t>
        </is>
      </c>
    </row>
    <row r="2811">
      <c r="A2811" s="24" t="n">
        <v>46113</v>
      </c>
      <c r="B2811" t="inlineStr">
        <is>
          <t>Frete de venda</t>
        </is>
      </c>
      <c r="C2811" t="inlineStr">
        <is>
          <t>Frete de venda (para clientes)</t>
        </is>
      </c>
      <c r="D2811" t="inlineStr">
        <is>
          <t>CT-e</t>
        </is>
      </c>
      <c r="E2811" t="inlineStr">
        <is>
          <t>000006735</t>
        </is>
      </c>
      <c r="F2811" t="inlineStr">
        <is>
          <t>R&amp;R TRANSPORTE E LOGISTICA</t>
        </is>
      </c>
      <c r="G2811" s="27" t="n">
        <v>46119</v>
      </c>
      <c r="H2811" s="14" t="n">
        <v>19.18</v>
      </c>
      <c r="I2811" s="14" t="n">
        <v>0</v>
      </c>
      <c r="J2811" s="14" t="n">
        <v>0</v>
      </c>
      <c r="K2811" s="14" t="n">
        <v>0</v>
      </c>
      <c r="L2811" s="14" t="n">
        <v>0</v>
      </c>
      <c r="M2811" s="14">
        <f>IF(B2811="Frete de venda",0,(1-ISNUMBER(SEARCH("556",P2811)))*(I2811*VLOOKUP($B2811,Premissas!$A$4:$E$7,2,0)+J2811*VLOOKUP($B2811,Premissas!$A$4:$E$7,3,0))+K2811*VLOOKUP($B2811,Premissas!$A$4:$E$7,4,0)+L2811*VLOOKUP($B2811,Premissas!$A$4:$E$7,5,0))</f>
        <v/>
      </c>
      <c r="N2811" s="14">
        <f>H2811-M2811</f>
        <v/>
      </c>
      <c r="O2811" t="inlineStr">
        <is>
          <t>Não</t>
        </is>
      </c>
      <c r="P2811" t="inlineStr">
        <is>
          <t>1.350</t>
        </is>
      </c>
    </row>
    <row r="2812">
      <c r="A2812" s="24" t="n">
        <v>46113</v>
      </c>
      <c r="B2812" t="inlineStr">
        <is>
          <t>Frete de venda</t>
        </is>
      </c>
      <c r="C2812" t="inlineStr">
        <is>
          <t>Frete de venda (para clientes)</t>
        </is>
      </c>
      <c r="D2812" t="inlineStr">
        <is>
          <t>CT-e</t>
        </is>
      </c>
      <c r="E2812" t="inlineStr">
        <is>
          <t>000006893</t>
        </is>
      </c>
      <c r="F2812" t="inlineStr">
        <is>
          <t>R&amp;R TRANSPORTE E LOGISTICA</t>
        </is>
      </c>
      <c r="G2812" s="27" t="n">
        <v>46137</v>
      </c>
      <c r="H2812" s="14" t="n">
        <v>94.36</v>
      </c>
      <c r="I2812" s="14" t="n">
        <v>0</v>
      </c>
      <c r="J2812" s="14" t="n">
        <v>0</v>
      </c>
      <c r="K2812" s="14" t="n">
        <v>0</v>
      </c>
      <c r="L2812" s="14" t="n">
        <v>0</v>
      </c>
      <c r="M2812" s="14">
        <f>IF(B2812="Frete de venda",0,(1-ISNUMBER(SEARCH("556",P2812)))*(I2812*VLOOKUP($B2812,Premissas!$A$4:$E$7,2,0)+J2812*VLOOKUP($B2812,Premissas!$A$4:$E$7,3,0))+K2812*VLOOKUP($B2812,Premissas!$A$4:$E$7,4,0)+L2812*VLOOKUP($B2812,Premissas!$A$4:$E$7,5,0))</f>
        <v/>
      </c>
      <c r="N2812" s="14">
        <f>H2812-M2812</f>
        <v/>
      </c>
      <c r="O2812" t="inlineStr">
        <is>
          <t>Não</t>
        </is>
      </c>
      <c r="P2812" t="inlineStr">
        <is>
          <t>1.350</t>
        </is>
      </c>
    </row>
    <row r="2813">
      <c r="A2813" s="24" t="n">
        <v>46113</v>
      </c>
      <c r="B2813" t="inlineStr">
        <is>
          <t>Frete de venda</t>
        </is>
      </c>
      <c r="C2813" t="inlineStr">
        <is>
          <t>Frete de venda (para clientes)</t>
        </is>
      </c>
      <c r="D2813" t="inlineStr">
        <is>
          <t>CT-e</t>
        </is>
      </c>
      <c r="E2813" t="inlineStr">
        <is>
          <t>000006765</t>
        </is>
      </c>
      <c r="F2813" t="inlineStr">
        <is>
          <t>R&amp;R TRANSPORTE E LOGISTICA</t>
        </is>
      </c>
      <c r="G2813" s="27" t="n">
        <v>46120</v>
      </c>
      <c r="H2813" s="14" t="n">
        <v>1028.78</v>
      </c>
      <c r="I2813" s="14" t="n">
        <v>0</v>
      </c>
      <c r="J2813" s="14" t="n">
        <v>0</v>
      </c>
      <c r="K2813" s="14" t="n">
        <v>0</v>
      </c>
      <c r="L2813" s="14" t="n">
        <v>0</v>
      </c>
      <c r="M2813" s="14">
        <f>IF(B2813="Frete de venda",0,(1-ISNUMBER(SEARCH("556",P2813)))*(I2813*VLOOKUP($B2813,Premissas!$A$4:$E$7,2,0)+J2813*VLOOKUP($B2813,Premissas!$A$4:$E$7,3,0))+K2813*VLOOKUP($B2813,Premissas!$A$4:$E$7,4,0)+L2813*VLOOKUP($B2813,Premissas!$A$4:$E$7,5,0))</f>
        <v/>
      </c>
      <c r="N2813" s="14">
        <f>H2813-M2813</f>
        <v/>
      </c>
      <c r="O2813" t="inlineStr">
        <is>
          <t>Não</t>
        </is>
      </c>
      <c r="P2813" t="inlineStr">
        <is>
          <t>1.350</t>
        </is>
      </c>
    </row>
    <row r="2814">
      <c r="A2814" s="24" t="n">
        <v>46113</v>
      </c>
      <c r="B2814" t="inlineStr">
        <is>
          <t>Frete de venda</t>
        </is>
      </c>
      <c r="C2814" t="inlineStr">
        <is>
          <t>Frete de venda (para clientes)</t>
        </is>
      </c>
      <c r="D2814" t="inlineStr">
        <is>
          <t>CT-e</t>
        </is>
      </c>
      <c r="E2814" t="inlineStr">
        <is>
          <t>000006770</t>
        </is>
      </c>
      <c r="F2814" t="inlineStr">
        <is>
          <t>R&amp;R TRANSPORTE E LOGISTICA</t>
        </is>
      </c>
      <c r="G2814" s="27" t="n">
        <v>46122</v>
      </c>
      <c r="H2814" s="14" t="n">
        <v>2881.16</v>
      </c>
      <c r="I2814" s="14" t="n">
        <v>0</v>
      </c>
      <c r="J2814" s="14" t="n">
        <v>0</v>
      </c>
      <c r="K2814" s="14" t="n">
        <v>0</v>
      </c>
      <c r="L2814" s="14" t="n">
        <v>0</v>
      </c>
      <c r="M2814" s="14">
        <f>IF(B2814="Frete de venda",0,(1-ISNUMBER(SEARCH("556",P2814)))*(I2814*VLOOKUP($B2814,Premissas!$A$4:$E$7,2,0)+J2814*VLOOKUP($B2814,Premissas!$A$4:$E$7,3,0))+K2814*VLOOKUP($B2814,Premissas!$A$4:$E$7,4,0)+L2814*VLOOKUP($B2814,Premissas!$A$4:$E$7,5,0))</f>
        <v/>
      </c>
      <c r="N2814" s="14">
        <f>H2814-M2814</f>
        <v/>
      </c>
      <c r="O2814" t="inlineStr">
        <is>
          <t>Não</t>
        </is>
      </c>
      <c r="P2814" t="inlineStr">
        <is>
          <t>1.350</t>
        </is>
      </c>
    </row>
    <row r="2815">
      <c r="A2815" s="24" t="n">
        <v>46113</v>
      </c>
      <c r="B2815" t="inlineStr">
        <is>
          <t>Frete de venda</t>
        </is>
      </c>
      <c r="C2815" t="inlineStr">
        <is>
          <t>Frete de venda (para clientes)</t>
        </is>
      </c>
      <c r="D2815" t="inlineStr">
        <is>
          <t>CT-e</t>
        </is>
      </c>
      <c r="E2815" t="inlineStr">
        <is>
          <t>000006773</t>
        </is>
      </c>
      <c r="F2815" t="inlineStr">
        <is>
          <t>R&amp;R TRANSPORTE E LOGISTICA</t>
        </is>
      </c>
      <c r="G2815" s="27" t="n">
        <v>46122</v>
      </c>
      <c r="H2815" s="14" t="n">
        <v>2848.05</v>
      </c>
      <c r="I2815" s="14" t="n">
        <v>0</v>
      </c>
      <c r="J2815" s="14" t="n">
        <v>0</v>
      </c>
      <c r="K2815" s="14" t="n">
        <v>0</v>
      </c>
      <c r="L2815" s="14" t="n">
        <v>0</v>
      </c>
      <c r="M2815" s="14">
        <f>IF(B2815="Frete de venda",0,(1-ISNUMBER(SEARCH("556",P2815)))*(I2815*VLOOKUP($B2815,Premissas!$A$4:$E$7,2,0)+J2815*VLOOKUP($B2815,Premissas!$A$4:$E$7,3,0))+K2815*VLOOKUP($B2815,Premissas!$A$4:$E$7,4,0)+L2815*VLOOKUP($B2815,Premissas!$A$4:$E$7,5,0))</f>
        <v/>
      </c>
      <c r="N2815" s="14">
        <f>H2815-M2815</f>
        <v/>
      </c>
      <c r="O2815" t="inlineStr">
        <is>
          <t>Não</t>
        </is>
      </c>
      <c r="P2815" t="inlineStr">
        <is>
          <t>1.350</t>
        </is>
      </c>
    </row>
    <row r="2816">
      <c r="A2816" s="24" t="n">
        <v>46113</v>
      </c>
      <c r="B2816" t="inlineStr">
        <is>
          <t>Frete de venda</t>
        </is>
      </c>
      <c r="C2816" t="inlineStr">
        <is>
          <t>Frete de venda (para clientes)</t>
        </is>
      </c>
      <c r="D2816" t="inlineStr">
        <is>
          <t>CT-e</t>
        </is>
      </c>
      <c r="E2816" t="inlineStr">
        <is>
          <t>000006754</t>
        </is>
      </c>
      <c r="F2816" t="inlineStr">
        <is>
          <t>R&amp;R TRANSPORTE E LOGISTICA</t>
        </is>
      </c>
      <c r="G2816" s="27" t="n">
        <v>46120</v>
      </c>
      <c r="H2816" s="14" t="n">
        <v>242.57</v>
      </c>
      <c r="I2816" s="14" t="n">
        <v>0</v>
      </c>
      <c r="J2816" s="14" t="n">
        <v>0</v>
      </c>
      <c r="K2816" s="14" t="n">
        <v>0</v>
      </c>
      <c r="L2816" s="14" t="n">
        <v>0</v>
      </c>
      <c r="M2816" s="14">
        <f>IF(B2816="Frete de venda",0,(1-ISNUMBER(SEARCH("556",P2816)))*(I2816*VLOOKUP($B2816,Premissas!$A$4:$E$7,2,0)+J2816*VLOOKUP($B2816,Premissas!$A$4:$E$7,3,0))+K2816*VLOOKUP($B2816,Premissas!$A$4:$E$7,4,0)+L2816*VLOOKUP($B2816,Premissas!$A$4:$E$7,5,0))</f>
        <v/>
      </c>
      <c r="N2816" s="14">
        <f>H2816-M2816</f>
        <v/>
      </c>
      <c r="O2816" t="inlineStr">
        <is>
          <t>Não</t>
        </is>
      </c>
      <c r="P2816" t="inlineStr">
        <is>
          <t>1.350</t>
        </is>
      </c>
    </row>
    <row r="2817">
      <c r="A2817" s="24" t="n">
        <v>46113</v>
      </c>
      <c r="B2817" t="inlineStr">
        <is>
          <t>Frete de venda</t>
        </is>
      </c>
      <c r="C2817" t="inlineStr">
        <is>
          <t>Frete de venda (para clientes)</t>
        </is>
      </c>
      <c r="D2817" t="inlineStr">
        <is>
          <t>CT-e</t>
        </is>
      </c>
      <c r="E2817" t="inlineStr">
        <is>
          <t>000006833</t>
        </is>
      </c>
      <c r="F2817" t="inlineStr">
        <is>
          <t>R&amp;R TRANSPORTE E LOGISTICA</t>
        </is>
      </c>
      <c r="G2817" s="27" t="n">
        <v>46129</v>
      </c>
      <c r="H2817" s="14" t="n">
        <v>334.91</v>
      </c>
      <c r="I2817" s="14" t="n">
        <v>0</v>
      </c>
      <c r="J2817" s="14" t="n">
        <v>0</v>
      </c>
      <c r="K2817" s="14" t="n">
        <v>0</v>
      </c>
      <c r="L2817" s="14" t="n">
        <v>0</v>
      </c>
      <c r="M2817" s="14">
        <f>IF(B2817="Frete de venda",0,(1-ISNUMBER(SEARCH("556",P2817)))*(I2817*VLOOKUP($B2817,Premissas!$A$4:$E$7,2,0)+J2817*VLOOKUP($B2817,Premissas!$A$4:$E$7,3,0))+K2817*VLOOKUP($B2817,Premissas!$A$4:$E$7,4,0)+L2817*VLOOKUP($B2817,Premissas!$A$4:$E$7,5,0))</f>
        <v/>
      </c>
      <c r="N2817" s="14">
        <f>H2817-M2817</f>
        <v/>
      </c>
      <c r="O2817" t="inlineStr">
        <is>
          <t>Não</t>
        </is>
      </c>
      <c r="P2817" t="inlineStr">
        <is>
          <t>1.350</t>
        </is>
      </c>
    </row>
    <row r="2818">
      <c r="A2818" s="24" t="n">
        <v>46113</v>
      </c>
      <c r="B2818" t="inlineStr">
        <is>
          <t>Frete de venda</t>
        </is>
      </c>
      <c r="C2818" t="inlineStr">
        <is>
          <t>Frete de venda (para clientes)</t>
        </is>
      </c>
      <c r="D2818" t="inlineStr">
        <is>
          <t>CT-e</t>
        </is>
      </c>
      <c r="E2818" t="inlineStr">
        <is>
          <t>000006795</t>
        </is>
      </c>
      <c r="F2818" t="inlineStr">
        <is>
          <t>R&amp;R TRANSPORTE E LOGISTICA</t>
        </is>
      </c>
      <c r="G2818" s="27" t="n">
        <v>46123</v>
      </c>
      <c r="H2818" s="14" t="n">
        <v>750</v>
      </c>
      <c r="I2818" s="14" t="n">
        <v>0</v>
      </c>
      <c r="J2818" s="14" t="n">
        <v>0</v>
      </c>
      <c r="K2818" s="14" t="n">
        <v>0</v>
      </c>
      <c r="L2818" s="14" t="n">
        <v>0</v>
      </c>
      <c r="M2818" s="14">
        <f>IF(B2818="Frete de venda",0,(1-ISNUMBER(SEARCH("556",P2818)))*(I2818*VLOOKUP($B2818,Premissas!$A$4:$E$7,2,0)+J2818*VLOOKUP($B2818,Premissas!$A$4:$E$7,3,0))+K2818*VLOOKUP($B2818,Premissas!$A$4:$E$7,4,0)+L2818*VLOOKUP($B2818,Premissas!$A$4:$E$7,5,0))</f>
        <v/>
      </c>
      <c r="N2818" s="14">
        <f>H2818-M2818</f>
        <v/>
      </c>
      <c r="O2818" t="inlineStr">
        <is>
          <t>Sim</t>
        </is>
      </c>
      <c r="P2818" t="inlineStr">
        <is>
          <t>1.350</t>
        </is>
      </c>
    </row>
    <row r="2819">
      <c r="A2819" s="24" t="n">
        <v>46113</v>
      </c>
      <c r="B2819" t="inlineStr">
        <is>
          <t>Frete de venda</t>
        </is>
      </c>
      <c r="C2819" t="inlineStr">
        <is>
          <t>Frete de venda (para clientes)</t>
        </is>
      </c>
      <c r="D2819" t="inlineStr">
        <is>
          <t>CT-e</t>
        </is>
      </c>
      <c r="E2819" t="inlineStr">
        <is>
          <t>000006803</t>
        </is>
      </c>
      <c r="F2819" t="inlineStr">
        <is>
          <t>R&amp;R TRANSPORTE E LOGISTICA</t>
        </is>
      </c>
      <c r="G2819" s="27" t="n">
        <v>46126</v>
      </c>
      <c r="H2819" s="14" t="n">
        <v>1020</v>
      </c>
      <c r="I2819" s="14" t="n">
        <v>0</v>
      </c>
      <c r="J2819" s="14" t="n">
        <v>0</v>
      </c>
      <c r="K2819" s="14" t="n">
        <v>0</v>
      </c>
      <c r="L2819" s="14" t="n">
        <v>0</v>
      </c>
      <c r="M2819" s="14">
        <f>IF(B2819="Frete de venda",0,(1-ISNUMBER(SEARCH("556",P2819)))*(I2819*VLOOKUP($B2819,Premissas!$A$4:$E$7,2,0)+J2819*VLOOKUP($B2819,Premissas!$A$4:$E$7,3,0))+K2819*VLOOKUP($B2819,Premissas!$A$4:$E$7,4,0)+L2819*VLOOKUP($B2819,Premissas!$A$4:$E$7,5,0))</f>
        <v/>
      </c>
      <c r="N2819" s="14">
        <f>H2819-M2819</f>
        <v/>
      </c>
      <c r="O2819" t="inlineStr">
        <is>
          <t>Sim</t>
        </is>
      </c>
      <c r="P2819" t="inlineStr">
        <is>
          <t>1.350</t>
        </is>
      </c>
    </row>
    <row r="2820">
      <c r="A2820" s="24" t="n">
        <v>46113</v>
      </c>
      <c r="B2820" t="inlineStr">
        <is>
          <t>Frete de venda</t>
        </is>
      </c>
      <c r="C2820" t="inlineStr">
        <is>
          <t>Frete de venda (para clientes)</t>
        </is>
      </c>
      <c r="D2820" t="inlineStr">
        <is>
          <t>CT-e</t>
        </is>
      </c>
      <c r="E2820" t="inlineStr">
        <is>
          <t>000006891</t>
        </is>
      </c>
      <c r="F2820" t="inlineStr">
        <is>
          <t>R&amp;R TRANSPORTE E LOGISTICA</t>
        </is>
      </c>
      <c r="G2820" s="27" t="n">
        <v>46137</v>
      </c>
      <c r="H2820" s="14" t="n">
        <v>22.6</v>
      </c>
      <c r="I2820" s="14" t="n">
        <v>0</v>
      </c>
      <c r="J2820" s="14" t="n">
        <v>0</v>
      </c>
      <c r="K2820" s="14" t="n">
        <v>0</v>
      </c>
      <c r="L2820" s="14" t="n">
        <v>0</v>
      </c>
      <c r="M2820" s="14">
        <f>IF(B2820="Frete de venda",0,(1-ISNUMBER(SEARCH("556",P2820)))*(I2820*VLOOKUP($B2820,Premissas!$A$4:$E$7,2,0)+J2820*VLOOKUP($B2820,Premissas!$A$4:$E$7,3,0))+K2820*VLOOKUP($B2820,Premissas!$A$4:$E$7,4,0)+L2820*VLOOKUP($B2820,Premissas!$A$4:$E$7,5,0))</f>
        <v/>
      </c>
      <c r="N2820" s="14">
        <f>H2820-M2820</f>
        <v/>
      </c>
      <c r="O2820" t="inlineStr">
        <is>
          <t>Não</t>
        </is>
      </c>
      <c r="P2820" t="inlineStr">
        <is>
          <t>1.350</t>
        </is>
      </c>
    </row>
    <row r="2821">
      <c r="A2821" s="24" t="n">
        <v>46113</v>
      </c>
      <c r="B2821" t="inlineStr">
        <is>
          <t>Frete de venda</t>
        </is>
      </c>
      <c r="C2821" t="inlineStr">
        <is>
          <t>Frete de venda (para clientes)</t>
        </is>
      </c>
      <c r="D2821" t="inlineStr">
        <is>
          <t>CT-e</t>
        </is>
      </c>
      <c r="E2821" t="inlineStr">
        <is>
          <t>000006826</t>
        </is>
      </c>
      <c r="F2821" t="inlineStr">
        <is>
          <t>R&amp;R TRANSPORTE E LOGISTICA</t>
        </is>
      </c>
      <c r="G2821" s="27" t="n">
        <v>46128</v>
      </c>
      <c r="H2821" s="14" t="n">
        <v>56.9</v>
      </c>
      <c r="I2821" s="14" t="n">
        <v>0</v>
      </c>
      <c r="J2821" s="14" t="n">
        <v>0</v>
      </c>
      <c r="K2821" s="14" t="n">
        <v>0</v>
      </c>
      <c r="L2821" s="14" t="n">
        <v>0</v>
      </c>
      <c r="M2821" s="14">
        <f>IF(B2821="Frete de venda",0,(1-ISNUMBER(SEARCH("556",P2821)))*(I2821*VLOOKUP($B2821,Premissas!$A$4:$E$7,2,0)+J2821*VLOOKUP($B2821,Premissas!$A$4:$E$7,3,0))+K2821*VLOOKUP($B2821,Premissas!$A$4:$E$7,4,0)+L2821*VLOOKUP($B2821,Premissas!$A$4:$E$7,5,0))</f>
        <v/>
      </c>
      <c r="N2821" s="14">
        <f>H2821-M2821</f>
        <v/>
      </c>
      <c r="O2821" t="inlineStr">
        <is>
          <t>Não</t>
        </is>
      </c>
      <c r="P2821" t="inlineStr">
        <is>
          <t>1.350</t>
        </is>
      </c>
    </row>
    <row r="2822">
      <c r="A2822" s="24" t="n">
        <v>46113</v>
      </c>
      <c r="B2822" t="inlineStr">
        <is>
          <t>Frete de venda</t>
        </is>
      </c>
      <c r="C2822" t="inlineStr">
        <is>
          <t>Frete de venda (para clientes)</t>
        </is>
      </c>
      <c r="D2822" t="inlineStr">
        <is>
          <t>CT-e</t>
        </is>
      </c>
      <c r="E2822" t="inlineStr">
        <is>
          <t>000006734</t>
        </is>
      </c>
      <c r="F2822" t="inlineStr">
        <is>
          <t>R&amp;R TRANSPORTE E LOGISTICA</t>
        </is>
      </c>
      <c r="G2822" s="27" t="n">
        <v>46119</v>
      </c>
      <c r="H2822" s="14" t="n">
        <v>24.19</v>
      </c>
      <c r="I2822" s="14" t="n">
        <v>0</v>
      </c>
      <c r="J2822" s="14" t="n">
        <v>0</v>
      </c>
      <c r="K2822" s="14" t="n">
        <v>0</v>
      </c>
      <c r="L2822" s="14" t="n">
        <v>0</v>
      </c>
      <c r="M2822" s="14">
        <f>IF(B2822="Frete de venda",0,(1-ISNUMBER(SEARCH("556",P2822)))*(I2822*VLOOKUP($B2822,Premissas!$A$4:$E$7,2,0)+J2822*VLOOKUP($B2822,Premissas!$A$4:$E$7,3,0))+K2822*VLOOKUP($B2822,Premissas!$A$4:$E$7,4,0)+L2822*VLOOKUP($B2822,Premissas!$A$4:$E$7,5,0))</f>
        <v/>
      </c>
      <c r="N2822" s="14">
        <f>H2822-M2822</f>
        <v/>
      </c>
      <c r="O2822" t="inlineStr">
        <is>
          <t>Não</t>
        </is>
      </c>
      <c r="P2822" t="inlineStr">
        <is>
          <t>1.350</t>
        </is>
      </c>
    </row>
    <row r="2823">
      <c r="A2823" s="24" t="n">
        <v>46113</v>
      </c>
      <c r="B2823" t="inlineStr">
        <is>
          <t>Frete de venda</t>
        </is>
      </c>
      <c r="C2823" t="inlineStr">
        <is>
          <t>Frete de venda (para clientes)</t>
        </is>
      </c>
      <c r="D2823" t="inlineStr">
        <is>
          <t>CT-e</t>
        </is>
      </c>
      <c r="E2823" t="inlineStr">
        <is>
          <t>000006932</t>
        </is>
      </c>
      <c r="F2823" t="inlineStr">
        <is>
          <t>R&amp;R TRANSPORTE E LOGISTICA</t>
        </is>
      </c>
      <c r="G2823" s="27" t="n">
        <v>46142</v>
      </c>
      <c r="H2823" s="14" t="n">
        <v>53.68</v>
      </c>
      <c r="I2823" s="14" t="n">
        <v>0</v>
      </c>
      <c r="J2823" s="14" t="n">
        <v>0</v>
      </c>
      <c r="K2823" s="14" t="n">
        <v>0</v>
      </c>
      <c r="L2823" s="14" t="n">
        <v>0</v>
      </c>
      <c r="M2823" s="14">
        <f>IF(B2823="Frete de venda",0,(1-ISNUMBER(SEARCH("556",P2823)))*(I2823*VLOOKUP($B2823,Premissas!$A$4:$E$7,2,0)+J2823*VLOOKUP($B2823,Premissas!$A$4:$E$7,3,0))+K2823*VLOOKUP($B2823,Premissas!$A$4:$E$7,4,0)+L2823*VLOOKUP($B2823,Premissas!$A$4:$E$7,5,0))</f>
        <v/>
      </c>
      <c r="N2823" s="14">
        <f>H2823-M2823</f>
        <v/>
      </c>
      <c r="O2823" t="inlineStr">
        <is>
          <t>Não</t>
        </is>
      </c>
      <c r="P2823" t="inlineStr">
        <is>
          <t>1.350</t>
        </is>
      </c>
    </row>
    <row r="2824">
      <c r="A2824" s="24" t="n">
        <v>46113</v>
      </c>
      <c r="B2824" t="inlineStr">
        <is>
          <t>Frete de venda</t>
        </is>
      </c>
      <c r="C2824" t="inlineStr">
        <is>
          <t>Frete de venda (para clientes)</t>
        </is>
      </c>
      <c r="D2824" t="inlineStr">
        <is>
          <t>CT-e</t>
        </is>
      </c>
      <c r="E2824" t="inlineStr">
        <is>
          <t>000006747</t>
        </is>
      </c>
      <c r="F2824" t="inlineStr">
        <is>
          <t>R&amp;R TRANSPORTE E LOGISTICA</t>
        </is>
      </c>
      <c r="G2824" s="27" t="n">
        <v>46119</v>
      </c>
      <c r="H2824" s="14" t="n">
        <v>27.22</v>
      </c>
      <c r="I2824" s="14" t="n">
        <v>0</v>
      </c>
      <c r="J2824" s="14" t="n">
        <v>0</v>
      </c>
      <c r="K2824" s="14" t="n">
        <v>0</v>
      </c>
      <c r="L2824" s="14" t="n">
        <v>0</v>
      </c>
      <c r="M2824" s="14">
        <f>IF(B2824="Frete de venda",0,(1-ISNUMBER(SEARCH("556",P2824)))*(I2824*VLOOKUP($B2824,Premissas!$A$4:$E$7,2,0)+J2824*VLOOKUP($B2824,Premissas!$A$4:$E$7,3,0))+K2824*VLOOKUP($B2824,Premissas!$A$4:$E$7,4,0)+L2824*VLOOKUP($B2824,Premissas!$A$4:$E$7,5,0))</f>
        <v/>
      </c>
      <c r="N2824" s="14">
        <f>H2824-M2824</f>
        <v/>
      </c>
      <c r="O2824" t="inlineStr">
        <is>
          <t>Não</t>
        </is>
      </c>
      <c r="P2824" t="inlineStr">
        <is>
          <t>1.350</t>
        </is>
      </c>
    </row>
    <row r="2825">
      <c r="A2825" s="24" t="n">
        <v>46113</v>
      </c>
      <c r="B2825" t="inlineStr">
        <is>
          <t>Frete de venda</t>
        </is>
      </c>
      <c r="C2825" t="inlineStr">
        <is>
          <t>Frete de venda (para clientes)</t>
        </is>
      </c>
      <c r="D2825" t="inlineStr">
        <is>
          <t>CT-e</t>
        </is>
      </c>
      <c r="E2825" t="inlineStr">
        <is>
          <t>000003517</t>
        </is>
      </c>
      <c r="F2825" t="inlineStr">
        <is>
          <t>RAPIDO XAPURI TRANSPORTES E LOGISTICA LTDA</t>
        </is>
      </c>
      <c r="G2825" s="27" t="n">
        <v>46127</v>
      </c>
      <c r="H2825" s="14" t="n">
        <v>1916.11</v>
      </c>
      <c r="I2825" s="14" t="n">
        <v>0</v>
      </c>
      <c r="J2825" s="14" t="n">
        <v>229.93</v>
      </c>
      <c r="K2825" s="14" t="n">
        <v>0</v>
      </c>
      <c r="L2825" s="14" t="n">
        <v>0</v>
      </c>
      <c r="M2825" s="14">
        <f>IF(B2825="Frete de venda",0,(1-ISNUMBER(SEARCH("556",P2825)))*(I2825*VLOOKUP($B2825,Premissas!$A$4:$E$7,2,0)+J2825*VLOOKUP($B2825,Premissas!$A$4:$E$7,3,0))+K2825*VLOOKUP($B2825,Premissas!$A$4:$E$7,4,0)+L2825*VLOOKUP($B2825,Premissas!$A$4:$E$7,5,0))</f>
        <v/>
      </c>
      <c r="N2825" s="14">
        <f>H2825-M2825</f>
        <v/>
      </c>
      <c r="O2825" t="inlineStr">
        <is>
          <t>Sim</t>
        </is>
      </c>
      <c r="P2825" t="inlineStr">
        <is>
          <t>1.350</t>
        </is>
      </c>
    </row>
    <row r="2826">
      <c r="A2826" s="24" t="n">
        <v>46113</v>
      </c>
      <c r="B2826" t="inlineStr">
        <is>
          <t>Frete de venda</t>
        </is>
      </c>
      <c r="C2826" t="inlineStr">
        <is>
          <t>Frete de venda (para clientes)</t>
        </is>
      </c>
      <c r="D2826" t="inlineStr">
        <is>
          <t>CT-e</t>
        </is>
      </c>
      <c r="E2826" t="inlineStr">
        <is>
          <t>000006897</t>
        </is>
      </c>
      <c r="F2826" t="inlineStr">
        <is>
          <t>R&amp;R TRANSPORTE E LOGISTICA</t>
        </is>
      </c>
      <c r="G2826" s="27" t="n">
        <v>46137</v>
      </c>
      <c r="H2826" s="14" t="n">
        <v>55.21</v>
      </c>
      <c r="I2826" s="14" t="n">
        <v>0</v>
      </c>
      <c r="J2826" s="14" t="n">
        <v>0</v>
      </c>
      <c r="K2826" s="14" t="n">
        <v>0</v>
      </c>
      <c r="L2826" s="14" t="n">
        <v>0</v>
      </c>
      <c r="M2826" s="14">
        <f>IF(B2826="Frete de venda",0,(1-ISNUMBER(SEARCH("556",P2826)))*(I2826*VLOOKUP($B2826,Premissas!$A$4:$E$7,2,0)+J2826*VLOOKUP($B2826,Premissas!$A$4:$E$7,3,0))+K2826*VLOOKUP($B2826,Premissas!$A$4:$E$7,4,0)+L2826*VLOOKUP($B2826,Premissas!$A$4:$E$7,5,0))</f>
        <v/>
      </c>
      <c r="N2826" s="14">
        <f>H2826-M2826</f>
        <v/>
      </c>
      <c r="O2826" t="inlineStr">
        <is>
          <t>Não</t>
        </is>
      </c>
      <c r="P2826" t="inlineStr">
        <is>
          <t>1.350</t>
        </is>
      </c>
    </row>
    <row r="2827">
      <c r="A2827" s="24" t="n">
        <v>46113</v>
      </c>
      <c r="B2827" t="inlineStr">
        <is>
          <t>Frete de venda</t>
        </is>
      </c>
      <c r="C2827" t="inlineStr">
        <is>
          <t>Frete de venda (para clientes)</t>
        </is>
      </c>
      <c r="D2827" t="inlineStr">
        <is>
          <t>CT-e</t>
        </is>
      </c>
      <c r="E2827" t="inlineStr">
        <is>
          <t>000006830</t>
        </is>
      </c>
      <c r="F2827" t="inlineStr">
        <is>
          <t>R&amp;R TRANSPORTE E LOGISTICA</t>
        </is>
      </c>
      <c r="G2827" s="27" t="n">
        <v>46128</v>
      </c>
      <c r="H2827" s="14" t="n">
        <v>53.92</v>
      </c>
      <c r="I2827" s="14" t="n">
        <v>0</v>
      </c>
      <c r="J2827" s="14" t="n">
        <v>0</v>
      </c>
      <c r="K2827" s="14" t="n">
        <v>0</v>
      </c>
      <c r="L2827" s="14" t="n">
        <v>0</v>
      </c>
      <c r="M2827" s="14">
        <f>IF(B2827="Frete de venda",0,(1-ISNUMBER(SEARCH("556",P2827)))*(I2827*VLOOKUP($B2827,Premissas!$A$4:$E$7,2,0)+J2827*VLOOKUP($B2827,Premissas!$A$4:$E$7,3,0))+K2827*VLOOKUP($B2827,Premissas!$A$4:$E$7,4,0)+L2827*VLOOKUP($B2827,Premissas!$A$4:$E$7,5,0))</f>
        <v/>
      </c>
      <c r="N2827" s="14">
        <f>H2827-M2827</f>
        <v/>
      </c>
      <c r="O2827" t="inlineStr">
        <is>
          <t>Não</t>
        </is>
      </c>
      <c r="P2827" t="inlineStr">
        <is>
          <t>1.350</t>
        </is>
      </c>
    </row>
    <row r="2828">
      <c r="A2828" s="24" t="n">
        <v>46113</v>
      </c>
      <c r="B2828" t="inlineStr">
        <is>
          <t>Frete de venda</t>
        </is>
      </c>
      <c r="C2828" t="inlineStr">
        <is>
          <t>Frete de venda (para clientes)</t>
        </is>
      </c>
      <c r="D2828" t="inlineStr">
        <is>
          <t>CT-e</t>
        </is>
      </c>
      <c r="E2828" t="inlineStr">
        <is>
          <t>000006810</t>
        </is>
      </c>
      <c r="F2828" t="inlineStr">
        <is>
          <t>R&amp;R TRANSPORTE E LOGISTICA</t>
        </is>
      </c>
      <c r="G2828" s="27" t="n">
        <v>46128</v>
      </c>
      <c r="H2828" s="14" t="n">
        <v>33.39</v>
      </c>
      <c r="I2828" s="14" t="n">
        <v>0</v>
      </c>
      <c r="J2828" s="14" t="n">
        <v>0</v>
      </c>
      <c r="K2828" s="14" t="n">
        <v>0</v>
      </c>
      <c r="L2828" s="14" t="n">
        <v>0</v>
      </c>
      <c r="M2828" s="14">
        <f>IF(B2828="Frete de venda",0,(1-ISNUMBER(SEARCH("556",P2828)))*(I2828*VLOOKUP($B2828,Premissas!$A$4:$E$7,2,0)+J2828*VLOOKUP($B2828,Premissas!$A$4:$E$7,3,0))+K2828*VLOOKUP($B2828,Premissas!$A$4:$E$7,4,0)+L2828*VLOOKUP($B2828,Premissas!$A$4:$E$7,5,0))</f>
        <v/>
      </c>
      <c r="N2828" s="14">
        <f>H2828-M2828</f>
        <v/>
      </c>
      <c r="O2828" t="inlineStr">
        <is>
          <t>Não</t>
        </is>
      </c>
      <c r="P2828" t="inlineStr">
        <is>
          <t>1.350</t>
        </is>
      </c>
    </row>
    <row r="2829">
      <c r="A2829" s="24" t="n">
        <v>46113</v>
      </c>
      <c r="B2829" t="inlineStr">
        <is>
          <t>Frete de venda</t>
        </is>
      </c>
      <c r="C2829" t="inlineStr">
        <is>
          <t>Frete de venda (para clientes)</t>
        </is>
      </c>
      <c r="D2829" t="inlineStr">
        <is>
          <t>CT-e</t>
        </is>
      </c>
      <c r="E2829" t="inlineStr">
        <is>
          <t>000024480</t>
        </is>
      </c>
      <c r="F2829" t="inlineStr">
        <is>
          <t>TRANSPORTE OLIVEIRA E MELLOI - IDEALIZA TRANSPORTES</t>
        </is>
      </c>
      <c r="G2829" s="27" t="n">
        <v>46141</v>
      </c>
      <c r="H2829" s="14" t="n">
        <v>779.24</v>
      </c>
      <c r="I2829" s="14" t="n">
        <v>0</v>
      </c>
      <c r="J2829" s="14" t="n">
        <v>93.51000000000001</v>
      </c>
      <c r="K2829" s="14" t="n">
        <v>0</v>
      </c>
      <c r="L2829" s="14" t="n">
        <v>0</v>
      </c>
      <c r="M2829" s="14">
        <f>IF(B2829="Frete de venda",0,(1-ISNUMBER(SEARCH("556",P2829)))*(I2829*VLOOKUP($B2829,Premissas!$A$4:$E$7,2,0)+J2829*VLOOKUP($B2829,Premissas!$A$4:$E$7,3,0))+K2829*VLOOKUP($B2829,Premissas!$A$4:$E$7,4,0)+L2829*VLOOKUP($B2829,Premissas!$A$4:$E$7,5,0))</f>
        <v/>
      </c>
      <c r="N2829" s="14">
        <f>H2829-M2829</f>
        <v/>
      </c>
      <c r="O2829" t="inlineStr">
        <is>
          <t>Sim</t>
        </is>
      </c>
      <c r="P2829" t="inlineStr">
        <is>
          <t>1.350</t>
        </is>
      </c>
    </row>
    <row r="2830">
      <c r="A2830" s="24" t="n">
        <v>46113</v>
      </c>
      <c r="B2830" t="inlineStr">
        <is>
          <t>Frete de venda</t>
        </is>
      </c>
      <c r="C2830" t="inlineStr">
        <is>
          <t>Frete de venda (para clientes)</t>
        </is>
      </c>
      <c r="D2830" t="inlineStr">
        <is>
          <t>CT-e</t>
        </is>
      </c>
      <c r="E2830" t="inlineStr">
        <is>
          <t>000006889</t>
        </is>
      </c>
      <c r="F2830" t="inlineStr">
        <is>
          <t>R&amp;R TRANSPORTE E LOGISTICA</t>
        </is>
      </c>
      <c r="G2830" s="27" t="n">
        <v>46137</v>
      </c>
      <c r="H2830" s="14" t="n">
        <v>14.8</v>
      </c>
      <c r="I2830" s="14" t="n">
        <v>0</v>
      </c>
      <c r="J2830" s="14" t="n">
        <v>0</v>
      </c>
      <c r="K2830" s="14" t="n">
        <v>0</v>
      </c>
      <c r="L2830" s="14" t="n">
        <v>0</v>
      </c>
      <c r="M2830" s="14">
        <f>IF(B2830="Frete de venda",0,(1-ISNUMBER(SEARCH("556",P2830)))*(I2830*VLOOKUP($B2830,Premissas!$A$4:$E$7,2,0)+J2830*VLOOKUP($B2830,Premissas!$A$4:$E$7,3,0))+K2830*VLOOKUP($B2830,Premissas!$A$4:$E$7,4,0)+L2830*VLOOKUP($B2830,Premissas!$A$4:$E$7,5,0))</f>
        <v/>
      </c>
      <c r="N2830" s="14">
        <f>H2830-M2830</f>
        <v/>
      </c>
      <c r="O2830" t="inlineStr">
        <is>
          <t>Não</t>
        </is>
      </c>
      <c r="P2830" t="inlineStr">
        <is>
          <t>1.350</t>
        </is>
      </c>
    </row>
    <row r="2831">
      <c r="A2831" s="24" t="n">
        <v>46113</v>
      </c>
      <c r="B2831" t="inlineStr">
        <is>
          <t>Frete de venda</t>
        </is>
      </c>
      <c r="C2831" t="inlineStr">
        <is>
          <t>Frete de venda (para clientes)</t>
        </is>
      </c>
      <c r="D2831" t="inlineStr">
        <is>
          <t>CT-e</t>
        </is>
      </c>
      <c r="E2831" t="inlineStr">
        <is>
          <t>000006885</t>
        </is>
      </c>
      <c r="F2831" t="inlineStr">
        <is>
          <t>R&amp;R TRANSPORTE E LOGISTICA</t>
        </is>
      </c>
      <c r="G2831" s="27" t="n">
        <v>46137</v>
      </c>
      <c r="H2831" s="14" t="n">
        <v>34.32</v>
      </c>
      <c r="I2831" s="14" t="n">
        <v>0</v>
      </c>
      <c r="J2831" s="14" t="n">
        <v>0</v>
      </c>
      <c r="K2831" s="14" t="n">
        <v>0</v>
      </c>
      <c r="L2831" s="14" t="n">
        <v>0</v>
      </c>
      <c r="M2831" s="14">
        <f>IF(B2831="Frete de venda",0,(1-ISNUMBER(SEARCH("556",P2831)))*(I2831*VLOOKUP($B2831,Premissas!$A$4:$E$7,2,0)+J2831*VLOOKUP($B2831,Premissas!$A$4:$E$7,3,0))+K2831*VLOOKUP($B2831,Premissas!$A$4:$E$7,4,0)+L2831*VLOOKUP($B2831,Premissas!$A$4:$E$7,5,0))</f>
        <v/>
      </c>
      <c r="N2831" s="14">
        <f>H2831-M2831</f>
        <v/>
      </c>
      <c r="O2831" t="inlineStr">
        <is>
          <t>Não</t>
        </is>
      </c>
      <c r="P2831" t="inlineStr">
        <is>
          <t>1.350</t>
        </is>
      </c>
    </row>
    <row r="2832">
      <c r="A2832" s="24" t="n">
        <v>46113</v>
      </c>
      <c r="B2832" t="inlineStr">
        <is>
          <t>Frete de venda</t>
        </is>
      </c>
      <c r="C2832" t="inlineStr">
        <is>
          <t>Frete de venda (para clientes)</t>
        </is>
      </c>
      <c r="D2832" t="inlineStr">
        <is>
          <t>CT-e</t>
        </is>
      </c>
      <c r="E2832" t="inlineStr">
        <is>
          <t>000006726</t>
        </is>
      </c>
      <c r="F2832" t="inlineStr">
        <is>
          <t>R&amp;R TRANSPORTE E LOGISTICA</t>
        </is>
      </c>
      <c r="G2832" s="27" t="n">
        <v>46118</v>
      </c>
      <c r="H2832" s="14" t="n">
        <v>29.1</v>
      </c>
      <c r="I2832" s="14" t="n">
        <v>0</v>
      </c>
      <c r="J2832" s="14" t="n">
        <v>0</v>
      </c>
      <c r="K2832" s="14" t="n">
        <v>0</v>
      </c>
      <c r="L2832" s="14" t="n">
        <v>0</v>
      </c>
      <c r="M2832" s="14">
        <f>IF(B2832="Frete de venda",0,(1-ISNUMBER(SEARCH("556",P2832)))*(I2832*VLOOKUP($B2832,Premissas!$A$4:$E$7,2,0)+J2832*VLOOKUP($B2832,Premissas!$A$4:$E$7,3,0))+K2832*VLOOKUP($B2832,Premissas!$A$4:$E$7,4,0)+L2832*VLOOKUP($B2832,Premissas!$A$4:$E$7,5,0))</f>
        <v/>
      </c>
      <c r="N2832" s="14">
        <f>H2832-M2832</f>
        <v/>
      </c>
      <c r="O2832" t="inlineStr">
        <is>
          <t>Não</t>
        </is>
      </c>
      <c r="P2832" t="inlineStr">
        <is>
          <t>1.350</t>
        </is>
      </c>
    </row>
    <row r="2833">
      <c r="A2833" s="24" t="n">
        <v>46113</v>
      </c>
      <c r="B2833" t="inlineStr">
        <is>
          <t>Frete de venda</t>
        </is>
      </c>
      <c r="C2833" t="inlineStr">
        <is>
          <t>Frete de venda (para clientes)</t>
        </is>
      </c>
      <c r="D2833" t="inlineStr">
        <is>
          <t>CT-e</t>
        </is>
      </c>
      <c r="E2833" t="inlineStr">
        <is>
          <t>000006929</t>
        </is>
      </c>
      <c r="F2833" t="inlineStr">
        <is>
          <t>R&amp;R TRANSPORTE E LOGISTICA</t>
        </is>
      </c>
      <c r="G2833" s="27" t="n">
        <v>46142</v>
      </c>
      <c r="H2833" s="14" t="n">
        <v>47.02</v>
      </c>
      <c r="I2833" s="14" t="n">
        <v>0</v>
      </c>
      <c r="J2833" s="14" t="n">
        <v>0</v>
      </c>
      <c r="K2833" s="14" t="n">
        <v>0</v>
      </c>
      <c r="L2833" s="14" t="n">
        <v>0</v>
      </c>
      <c r="M2833" s="14">
        <f>IF(B2833="Frete de venda",0,(1-ISNUMBER(SEARCH("556",P2833)))*(I2833*VLOOKUP($B2833,Premissas!$A$4:$E$7,2,0)+J2833*VLOOKUP($B2833,Premissas!$A$4:$E$7,3,0))+K2833*VLOOKUP($B2833,Premissas!$A$4:$E$7,4,0)+L2833*VLOOKUP($B2833,Premissas!$A$4:$E$7,5,0))</f>
        <v/>
      </c>
      <c r="N2833" s="14">
        <f>H2833-M2833</f>
        <v/>
      </c>
      <c r="O2833" t="inlineStr">
        <is>
          <t>Não</t>
        </is>
      </c>
      <c r="P2833" t="inlineStr">
        <is>
          <t>1.350</t>
        </is>
      </c>
    </row>
    <row r="2834">
      <c r="A2834" s="24" t="n">
        <v>46113</v>
      </c>
      <c r="B2834" t="inlineStr">
        <is>
          <t>Frete de venda</t>
        </is>
      </c>
      <c r="C2834" t="inlineStr">
        <is>
          <t>Frete de venda (para clientes)</t>
        </is>
      </c>
      <c r="D2834" t="inlineStr">
        <is>
          <t>CT-e</t>
        </is>
      </c>
      <c r="E2834" t="inlineStr">
        <is>
          <t>000006906</t>
        </is>
      </c>
      <c r="F2834" t="inlineStr">
        <is>
          <t>R&amp;R TRANSPORTE E LOGISTICA</t>
        </is>
      </c>
      <c r="G2834" s="27" t="n">
        <v>46138</v>
      </c>
      <c r="H2834" s="14" t="n">
        <v>1500</v>
      </c>
      <c r="I2834" s="14" t="n">
        <v>0</v>
      </c>
      <c r="J2834" s="14" t="n">
        <v>0</v>
      </c>
      <c r="K2834" s="14" t="n">
        <v>0</v>
      </c>
      <c r="L2834" s="14" t="n">
        <v>0</v>
      </c>
      <c r="M2834" s="14">
        <f>IF(B2834="Frete de venda",0,(1-ISNUMBER(SEARCH("556",P2834)))*(I2834*VLOOKUP($B2834,Premissas!$A$4:$E$7,2,0)+J2834*VLOOKUP($B2834,Premissas!$A$4:$E$7,3,0))+K2834*VLOOKUP($B2834,Premissas!$A$4:$E$7,4,0)+L2834*VLOOKUP($B2834,Premissas!$A$4:$E$7,5,0))</f>
        <v/>
      </c>
      <c r="N2834" s="14">
        <f>H2834-M2834</f>
        <v/>
      </c>
      <c r="O2834" t="inlineStr">
        <is>
          <t>Sim</t>
        </is>
      </c>
      <c r="P2834" t="inlineStr">
        <is>
          <t>1.350</t>
        </is>
      </c>
    </row>
    <row r="2835">
      <c r="A2835" s="24" t="n">
        <v>46113</v>
      </c>
      <c r="B2835" t="inlineStr">
        <is>
          <t>Frete de venda</t>
        </is>
      </c>
      <c r="C2835" t="inlineStr">
        <is>
          <t>Frete de venda (para clientes)</t>
        </is>
      </c>
      <c r="D2835" t="inlineStr">
        <is>
          <t>CT-e</t>
        </is>
      </c>
      <c r="E2835" t="inlineStr">
        <is>
          <t>000006880</t>
        </is>
      </c>
      <c r="F2835" t="inlineStr">
        <is>
          <t>R&amp;R TRANSPORTE E LOGISTICA</t>
        </is>
      </c>
      <c r="G2835" s="27" t="n">
        <v>46137</v>
      </c>
      <c r="H2835" s="14" t="n">
        <v>19.74</v>
      </c>
      <c r="I2835" s="14" t="n">
        <v>0</v>
      </c>
      <c r="J2835" s="14" t="n">
        <v>0</v>
      </c>
      <c r="K2835" s="14" t="n">
        <v>0</v>
      </c>
      <c r="L2835" s="14" t="n">
        <v>0</v>
      </c>
      <c r="M2835" s="14">
        <f>IF(B2835="Frete de venda",0,(1-ISNUMBER(SEARCH("556",P2835)))*(I2835*VLOOKUP($B2835,Premissas!$A$4:$E$7,2,0)+J2835*VLOOKUP($B2835,Premissas!$A$4:$E$7,3,0))+K2835*VLOOKUP($B2835,Premissas!$A$4:$E$7,4,0)+L2835*VLOOKUP($B2835,Premissas!$A$4:$E$7,5,0))</f>
        <v/>
      </c>
      <c r="N2835" s="14">
        <f>H2835-M2835</f>
        <v/>
      </c>
      <c r="O2835" t="inlineStr">
        <is>
          <t>Não</t>
        </is>
      </c>
      <c r="P2835" t="inlineStr">
        <is>
          <t>1.350</t>
        </is>
      </c>
    </row>
    <row r="2836">
      <c r="A2836" s="24" t="n">
        <v>46113</v>
      </c>
      <c r="B2836" t="inlineStr">
        <is>
          <t>Frete de venda</t>
        </is>
      </c>
      <c r="C2836" t="inlineStr">
        <is>
          <t>Frete de venda (para clientes)</t>
        </is>
      </c>
      <c r="D2836" t="inlineStr">
        <is>
          <t>CT-e</t>
        </is>
      </c>
      <c r="E2836" t="inlineStr">
        <is>
          <t>000006761</t>
        </is>
      </c>
      <c r="F2836" t="inlineStr">
        <is>
          <t>R&amp;R TRANSPORTE E LOGISTICA</t>
        </is>
      </c>
      <c r="G2836" s="27" t="n">
        <v>46120</v>
      </c>
      <c r="H2836" s="14" t="n">
        <v>1020.47</v>
      </c>
      <c r="I2836" s="14" t="n">
        <v>0</v>
      </c>
      <c r="J2836" s="14" t="n">
        <v>0</v>
      </c>
      <c r="K2836" s="14" t="n">
        <v>0</v>
      </c>
      <c r="L2836" s="14" t="n">
        <v>0</v>
      </c>
      <c r="M2836" s="14">
        <f>IF(B2836="Frete de venda",0,(1-ISNUMBER(SEARCH("556",P2836)))*(I2836*VLOOKUP($B2836,Premissas!$A$4:$E$7,2,0)+J2836*VLOOKUP($B2836,Premissas!$A$4:$E$7,3,0))+K2836*VLOOKUP($B2836,Premissas!$A$4:$E$7,4,0)+L2836*VLOOKUP($B2836,Premissas!$A$4:$E$7,5,0))</f>
        <v/>
      </c>
      <c r="N2836" s="14">
        <f>H2836-M2836</f>
        <v/>
      </c>
      <c r="O2836" t="inlineStr">
        <is>
          <t>Não</t>
        </is>
      </c>
      <c r="P2836" t="inlineStr">
        <is>
          <t>1.350</t>
        </is>
      </c>
    </row>
    <row r="2837">
      <c r="A2837" s="24" t="n">
        <v>46113</v>
      </c>
      <c r="B2837" t="inlineStr">
        <is>
          <t>Frete de venda</t>
        </is>
      </c>
      <c r="C2837" t="inlineStr">
        <is>
          <t>Frete de venda (para clientes)</t>
        </is>
      </c>
      <c r="D2837" t="inlineStr">
        <is>
          <t>CT-e</t>
        </is>
      </c>
      <c r="E2837" t="inlineStr">
        <is>
          <t>000006850</t>
        </is>
      </c>
      <c r="F2837" t="inlineStr">
        <is>
          <t>R&amp;R TRANSPORTE E LOGISTICA</t>
        </is>
      </c>
      <c r="G2837" s="27" t="n">
        <v>46135</v>
      </c>
      <c r="H2837" s="14" t="n">
        <v>61.76</v>
      </c>
      <c r="I2837" s="14" t="n">
        <v>0</v>
      </c>
      <c r="J2837" s="14" t="n">
        <v>0</v>
      </c>
      <c r="K2837" s="14" t="n">
        <v>0</v>
      </c>
      <c r="L2837" s="14" t="n">
        <v>0</v>
      </c>
      <c r="M2837" s="14">
        <f>IF(B2837="Frete de venda",0,(1-ISNUMBER(SEARCH("556",P2837)))*(I2837*VLOOKUP($B2837,Premissas!$A$4:$E$7,2,0)+J2837*VLOOKUP($B2837,Premissas!$A$4:$E$7,3,0))+K2837*VLOOKUP($B2837,Premissas!$A$4:$E$7,4,0)+L2837*VLOOKUP($B2837,Premissas!$A$4:$E$7,5,0))</f>
        <v/>
      </c>
      <c r="N2837" s="14">
        <f>H2837-M2837</f>
        <v/>
      </c>
      <c r="O2837" t="inlineStr">
        <is>
          <t>Não</t>
        </is>
      </c>
      <c r="P2837" t="inlineStr">
        <is>
          <t>1.350</t>
        </is>
      </c>
    </row>
    <row r="2838">
      <c r="A2838" s="24" t="n">
        <v>46113</v>
      </c>
      <c r="B2838" t="inlineStr">
        <is>
          <t>Frete de venda</t>
        </is>
      </c>
      <c r="C2838" t="inlineStr">
        <is>
          <t>Frete de venda (para clientes)</t>
        </is>
      </c>
      <c r="D2838" t="inlineStr">
        <is>
          <t>CT-e</t>
        </is>
      </c>
      <c r="E2838" t="inlineStr">
        <is>
          <t>000006746</t>
        </is>
      </c>
      <c r="F2838" t="inlineStr">
        <is>
          <t>R&amp;R TRANSPORTE E LOGISTICA</t>
        </is>
      </c>
      <c r="G2838" s="27" t="n">
        <v>46119</v>
      </c>
      <c r="H2838" s="14" t="n">
        <v>19.71</v>
      </c>
      <c r="I2838" s="14" t="n">
        <v>0</v>
      </c>
      <c r="J2838" s="14" t="n">
        <v>0</v>
      </c>
      <c r="K2838" s="14" t="n">
        <v>0</v>
      </c>
      <c r="L2838" s="14" t="n">
        <v>0</v>
      </c>
      <c r="M2838" s="14">
        <f>IF(B2838="Frete de venda",0,(1-ISNUMBER(SEARCH("556",P2838)))*(I2838*VLOOKUP($B2838,Premissas!$A$4:$E$7,2,0)+J2838*VLOOKUP($B2838,Premissas!$A$4:$E$7,3,0))+K2838*VLOOKUP($B2838,Premissas!$A$4:$E$7,4,0)+L2838*VLOOKUP($B2838,Premissas!$A$4:$E$7,5,0))</f>
        <v/>
      </c>
      <c r="N2838" s="14">
        <f>H2838-M2838</f>
        <v/>
      </c>
      <c r="O2838" t="inlineStr">
        <is>
          <t>Não</t>
        </is>
      </c>
      <c r="P2838" t="inlineStr">
        <is>
          <t>1.350</t>
        </is>
      </c>
    </row>
    <row r="2839">
      <c r="A2839" s="24" t="n">
        <v>46113</v>
      </c>
      <c r="B2839" t="inlineStr">
        <is>
          <t>Frete de venda</t>
        </is>
      </c>
      <c r="C2839" t="inlineStr">
        <is>
          <t>Frete de venda (para clientes)</t>
        </is>
      </c>
      <c r="D2839" t="inlineStr">
        <is>
          <t>CT-e</t>
        </is>
      </c>
      <c r="E2839" t="inlineStr">
        <is>
          <t>000003515</t>
        </is>
      </c>
      <c r="F2839" t="inlineStr">
        <is>
          <t>RAPIDO XAPURI TRANSPORTES E LOGISTICA LTDA</t>
        </is>
      </c>
      <c r="G2839" s="27" t="n">
        <v>46127</v>
      </c>
      <c r="H2839" s="14" t="n">
        <v>359.61</v>
      </c>
      <c r="I2839" s="14" t="n">
        <v>0</v>
      </c>
      <c r="J2839" s="14" t="n">
        <v>43.15</v>
      </c>
      <c r="K2839" s="14" t="n">
        <v>0</v>
      </c>
      <c r="L2839" s="14" t="n">
        <v>0</v>
      </c>
      <c r="M2839" s="14">
        <f>IF(B2839="Frete de venda",0,(1-ISNUMBER(SEARCH("556",P2839)))*(I2839*VLOOKUP($B2839,Premissas!$A$4:$E$7,2,0)+J2839*VLOOKUP($B2839,Premissas!$A$4:$E$7,3,0))+K2839*VLOOKUP($B2839,Premissas!$A$4:$E$7,4,0)+L2839*VLOOKUP($B2839,Premissas!$A$4:$E$7,5,0))</f>
        <v/>
      </c>
      <c r="N2839" s="14">
        <f>H2839-M2839</f>
        <v/>
      </c>
      <c r="O2839" t="inlineStr">
        <is>
          <t>Sim</t>
        </is>
      </c>
      <c r="P2839" t="inlineStr">
        <is>
          <t>1.350</t>
        </is>
      </c>
    </row>
    <row r="2840">
      <c r="A2840" s="24" t="n">
        <v>46113</v>
      </c>
      <c r="B2840" t="inlineStr">
        <is>
          <t>Frete de venda</t>
        </is>
      </c>
      <c r="C2840" t="inlineStr">
        <is>
          <t>Frete de venda (para clientes)</t>
        </is>
      </c>
      <c r="D2840" t="inlineStr">
        <is>
          <t>CT-e</t>
        </is>
      </c>
      <c r="E2840" t="inlineStr">
        <is>
          <t>000006881</t>
        </is>
      </c>
      <c r="F2840" t="inlineStr">
        <is>
          <t>R&amp;R TRANSPORTE E LOGISTICA</t>
        </is>
      </c>
      <c r="G2840" s="27" t="n">
        <v>46137</v>
      </c>
      <c r="H2840" s="14" t="n">
        <v>16.79</v>
      </c>
      <c r="I2840" s="14" t="n">
        <v>0</v>
      </c>
      <c r="J2840" s="14" t="n">
        <v>0</v>
      </c>
      <c r="K2840" s="14" t="n">
        <v>0</v>
      </c>
      <c r="L2840" s="14" t="n">
        <v>0</v>
      </c>
      <c r="M2840" s="14">
        <f>IF(B2840="Frete de venda",0,(1-ISNUMBER(SEARCH("556",P2840)))*(I2840*VLOOKUP($B2840,Premissas!$A$4:$E$7,2,0)+J2840*VLOOKUP($B2840,Premissas!$A$4:$E$7,3,0))+K2840*VLOOKUP($B2840,Premissas!$A$4:$E$7,4,0)+L2840*VLOOKUP($B2840,Premissas!$A$4:$E$7,5,0))</f>
        <v/>
      </c>
      <c r="N2840" s="14">
        <f>H2840-M2840</f>
        <v/>
      </c>
      <c r="O2840" t="inlineStr">
        <is>
          <t>Não</t>
        </is>
      </c>
      <c r="P2840" t="inlineStr">
        <is>
          <t>1.350</t>
        </is>
      </c>
    </row>
    <row r="2841">
      <c r="A2841" s="24" t="n">
        <v>46113</v>
      </c>
      <c r="B2841" t="inlineStr">
        <is>
          <t>Frete de venda</t>
        </is>
      </c>
      <c r="C2841" t="inlineStr">
        <is>
          <t>Frete de venda (para clientes)</t>
        </is>
      </c>
      <c r="D2841" t="inlineStr">
        <is>
          <t>CT-e</t>
        </is>
      </c>
      <c r="E2841" t="inlineStr">
        <is>
          <t>000006845</t>
        </is>
      </c>
      <c r="F2841" t="inlineStr">
        <is>
          <t>R&amp;R TRANSPORTE E LOGISTICA</t>
        </is>
      </c>
      <c r="G2841" s="27" t="n">
        <v>46135</v>
      </c>
      <c r="H2841" s="14" t="n">
        <v>72.38</v>
      </c>
      <c r="I2841" s="14" t="n">
        <v>0</v>
      </c>
      <c r="J2841" s="14" t="n">
        <v>0</v>
      </c>
      <c r="K2841" s="14" t="n">
        <v>0</v>
      </c>
      <c r="L2841" s="14" t="n">
        <v>0</v>
      </c>
      <c r="M2841" s="14">
        <f>IF(B2841="Frete de venda",0,(1-ISNUMBER(SEARCH("556",P2841)))*(I2841*VLOOKUP($B2841,Premissas!$A$4:$E$7,2,0)+J2841*VLOOKUP($B2841,Premissas!$A$4:$E$7,3,0))+K2841*VLOOKUP($B2841,Premissas!$A$4:$E$7,4,0)+L2841*VLOOKUP($B2841,Premissas!$A$4:$E$7,5,0))</f>
        <v/>
      </c>
      <c r="N2841" s="14">
        <f>H2841-M2841</f>
        <v/>
      </c>
      <c r="O2841" t="inlineStr">
        <is>
          <t>Não</t>
        </is>
      </c>
      <c r="P2841" t="inlineStr">
        <is>
          <t>1.350</t>
        </is>
      </c>
    </row>
    <row r="2842">
      <c r="A2842" s="24" t="n">
        <v>46113</v>
      </c>
      <c r="B2842" t="inlineStr">
        <is>
          <t>Frete de venda</t>
        </is>
      </c>
      <c r="C2842" t="inlineStr">
        <is>
          <t>Frete de venda (para clientes)</t>
        </is>
      </c>
      <c r="D2842" t="inlineStr">
        <is>
          <t>CT-e</t>
        </is>
      </c>
      <c r="E2842" t="inlineStr">
        <is>
          <t>000006723</t>
        </is>
      </c>
      <c r="F2842" t="inlineStr">
        <is>
          <t>R&amp;R TRANSPORTE E LOGISTICA</t>
        </is>
      </c>
      <c r="G2842" s="27" t="n">
        <v>46118</v>
      </c>
      <c r="H2842" s="14" t="n">
        <v>37.44</v>
      </c>
      <c r="I2842" s="14" t="n">
        <v>0</v>
      </c>
      <c r="J2842" s="14" t="n">
        <v>0</v>
      </c>
      <c r="K2842" s="14" t="n">
        <v>0</v>
      </c>
      <c r="L2842" s="14" t="n">
        <v>0</v>
      </c>
      <c r="M2842" s="14">
        <f>IF(B2842="Frete de venda",0,(1-ISNUMBER(SEARCH("556",P2842)))*(I2842*VLOOKUP($B2842,Premissas!$A$4:$E$7,2,0)+J2842*VLOOKUP($B2842,Premissas!$A$4:$E$7,3,0))+K2842*VLOOKUP($B2842,Premissas!$A$4:$E$7,4,0)+L2842*VLOOKUP($B2842,Premissas!$A$4:$E$7,5,0))</f>
        <v/>
      </c>
      <c r="N2842" s="14">
        <f>H2842-M2842</f>
        <v/>
      </c>
      <c r="O2842" t="inlineStr">
        <is>
          <t>Não</t>
        </is>
      </c>
      <c r="P2842" t="inlineStr">
        <is>
          <t>1.350</t>
        </is>
      </c>
    </row>
    <row r="2843">
      <c r="A2843" s="24" t="n">
        <v>46113</v>
      </c>
      <c r="B2843" t="inlineStr">
        <is>
          <t>Frete de venda</t>
        </is>
      </c>
      <c r="C2843" t="inlineStr">
        <is>
          <t>Frete de venda (para clientes)</t>
        </is>
      </c>
      <c r="D2843" t="inlineStr">
        <is>
          <t>CT-e</t>
        </is>
      </c>
      <c r="E2843" t="inlineStr">
        <is>
          <t>000006876</t>
        </is>
      </c>
      <c r="F2843" t="inlineStr">
        <is>
          <t>R&amp;R TRANSPORTE E LOGISTICA</t>
        </is>
      </c>
      <c r="G2843" s="27" t="n">
        <v>46137</v>
      </c>
      <c r="H2843" s="14" t="n">
        <v>21.2</v>
      </c>
      <c r="I2843" s="14" t="n">
        <v>0</v>
      </c>
      <c r="J2843" s="14" t="n">
        <v>0</v>
      </c>
      <c r="K2843" s="14" t="n">
        <v>0</v>
      </c>
      <c r="L2843" s="14" t="n">
        <v>0</v>
      </c>
      <c r="M2843" s="14">
        <f>IF(B2843="Frete de venda",0,(1-ISNUMBER(SEARCH("556",P2843)))*(I2843*VLOOKUP($B2843,Premissas!$A$4:$E$7,2,0)+J2843*VLOOKUP($B2843,Premissas!$A$4:$E$7,3,0))+K2843*VLOOKUP($B2843,Premissas!$A$4:$E$7,4,0)+L2843*VLOOKUP($B2843,Premissas!$A$4:$E$7,5,0))</f>
        <v/>
      </c>
      <c r="N2843" s="14">
        <f>H2843-M2843</f>
        <v/>
      </c>
      <c r="O2843" t="inlineStr">
        <is>
          <t>Não</t>
        </is>
      </c>
      <c r="P2843" t="inlineStr">
        <is>
          <t>1.350</t>
        </is>
      </c>
    </row>
    <row r="2844">
      <c r="A2844" s="24" t="n">
        <v>46113</v>
      </c>
      <c r="B2844" t="inlineStr">
        <is>
          <t>Frete de venda</t>
        </is>
      </c>
      <c r="C2844" t="inlineStr">
        <is>
          <t>Frete de venda (para clientes)</t>
        </is>
      </c>
      <c r="D2844" t="inlineStr">
        <is>
          <t>CT-e</t>
        </is>
      </c>
      <c r="E2844" t="inlineStr">
        <is>
          <t>000006780</t>
        </is>
      </c>
      <c r="F2844" t="inlineStr">
        <is>
          <t>R&amp;R TRANSPORTE E LOGISTICA</t>
        </is>
      </c>
      <c r="G2844" s="27" t="n">
        <v>46123</v>
      </c>
      <c r="H2844" s="14" t="n">
        <v>975.12</v>
      </c>
      <c r="I2844" s="14" t="n">
        <v>0</v>
      </c>
      <c r="J2844" s="14" t="n">
        <v>0</v>
      </c>
      <c r="K2844" s="14" t="n">
        <v>0</v>
      </c>
      <c r="L2844" s="14" t="n">
        <v>0</v>
      </c>
      <c r="M2844" s="14">
        <f>IF(B2844="Frete de venda",0,(1-ISNUMBER(SEARCH("556",P2844)))*(I2844*VLOOKUP($B2844,Premissas!$A$4:$E$7,2,0)+J2844*VLOOKUP($B2844,Premissas!$A$4:$E$7,3,0))+K2844*VLOOKUP($B2844,Premissas!$A$4:$E$7,4,0)+L2844*VLOOKUP($B2844,Premissas!$A$4:$E$7,5,0))</f>
        <v/>
      </c>
      <c r="N2844" s="14">
        <f>H2844-M2844</f>
        <v/>
      </c>
      <c r="O2844" t="inlineStr">
        <is>
          <t>Não</t>
        </is>
      </c>
      <c r="P2844" t="inlineStr">
        <is>
          <t>1.350</t>
        </is>
      </c>
    </row>
    <row r="2845">
      <c r="A2845" s="24" t="n">
        <v>46113</v>
      </c>
      <c r="B2845" t="inlineStr">
        <is>
          <t>Frete de venda</t>
        </is>
      </c>
      <c r="C2845" t="inlineStr">
        <is>
          <t>Frete de venda (para clientes)</t>
        </is>
      </c>
      <c r="D2845" t="inlineStr">
        <is>
          <t>CT-e</t>
        </is>
      </c>
      <c r="E2845" t="inlineStr">
        <is>
          <t>000006839</t>
        </is>
      </c>
      <c r="F2845" t="inlineStr">
        <is>
          <t>R&amp;R TRANSPORTE E LOGISTICA</t>
        </is>
      </c>
      <c r="G2845" s="27" t="n">
        <v>46132</v>
      </c>
      <c r="H2845" s="14" t="n">
        <v>70.52</v>
      </c>
      <c r="I2845" s="14" t="n">
        <v>0</v>
      </c>
      <c r="J2845" s="14" t="n">
        <v>0</v>
      </c>
      <c r="K2845" s="14" t="n">
        <v>0</v>
      </c>
      <c r="L2845" s="14" t="n">
        <v>0</v>
      </c>
      <c r="M2845" s="14">
        <f>IF(B2845="Frete de venda",0,(1-ISNUMBER(SEARCH("556",P2845)))*(I2845*VLOOKUP($B2845,Premissas!$A$4:$E$7,2,0)+J2845*VLOOKUP($B2845,Premissas!$A$4:$E$7,3,0))+K2845*VLOOKUP($B2845,Premissas!$A$4:$E$7,4,0)+L2845*VLOOKUP($B2845,Premissas!$A$4:$E$7,5,0))</f>
        <v/>
      </c>
      <c r="N2845" s="14">
        <f>H2845-M2845</f>
        <v/>
      </c>
      <c r="O2845" t="inlineStr">
        <is>
          <t>Não</t>
        </is>
      </c>
      <c r="P2845" t="inlineStr">
        <is>
          <t>1.350</t>
        </is>
      </c>
    </row>
    <row r="2846">
      <c r="A2846" s="24" t="n">
        <v>46113</v>
      </c>
      <c r="B2846" t="inlineStr">
        <is>
          <t>Frete de venda</t>
        </is>
      </c>
      <c r="C2846" t="inlineStr">
        <is>
          <t>Frete de venda (para clientes)</t>
        </is>
      </c>
      <c r="D2846" t="inlineStr">
        <is>
          <t>CT-e</t>
        </is>
      </c>
      <c r="E2846" t="inlineStr">
        <is>
          <t>000006934</t>
        </is>
      </c>
      <c r="F2846" t="inlineStr">
        <is>
          <t>R&amp;R TRANSPORTE E LOGISTICA</t>
        </is>
      </c>
      <c r="G2846" s="27" t="n">
        <v>46142</v>
      </c>
      <c r="H2846" s="14" t="n">
        <v>62.26</v>
      </c>
      <c r="I2846" s="14" t="n">
        <v>0</v>
      </c>
      <c r="J2846" s="14" t="n">
        <v>0</v>
      </c>
      <c r="K2846" s="14" t="n">
        <v>0</v>
      </c>
      <c r="L2846" s="14" t="n">
        <v>0</v>
      </c>
      <c r="M2846" s="14">
        <f>IF(B2846="Frete de venda",0,(1-ISNUMBER(SEARCH("556",P2846)))*(I2846*VLOOKUP($B2846,Premissas!$A$4:$E$7,2,0)+J2846*VLOOKUP($B2846,Premissas!$A$4:$E$7,3,0))+K2846*VLOOKUP($B2846,Premissas!$A$4:$E$7,4,0)+L2846*VLOOKUP($B2846,Premissas!$A$4:$E$7,5,0))</f>
        <v/>
      </c>
      <c r="N2846" s="14">
        <f>H2846-M2846</f>
        <v/>
      </c>
      <c r="O2846" t="inlineStr">
        <is>
          <t>Não</t>
        </is>
      </c>
      <c r="P2846" t="inlineStr">
        <is>
          <t>1.350</t>
        </is>
      </c>
    </row>
    <row r="2847">
      <c r="A2847" s="24" t="n">
        <v>46113</v>
      </c>
      <c r="B2847" t="inlineStr">
        <is>
          <t>Frete de venda</t>
        </is>
      </c>
      <c r="C2847" t="inlineStr">
        <is>
          <t>Frete de venda (para clientes)</t>
        </is>
      </c>
      <c r="D2847" t="inlineStr">
        <is>
          <t>CT-e</t>
        </is>
      </c>
      <c r="E2847" t="inlineStr">
        <is>
          <t>000006868</t>
        </is>
      </c>
      <c r="F2847" t="inlineStr">
        <is>
          <t>R&amp;R TRANSPORTE E LOGISTICA</t>
        </is>
      </c>
      <c r="G2847" s="27" t="n">
        <v>46137</v>
      </c>
      <c r="H2847" s="14" t="n">
        <v>121.06</v>
      </c>
      <c r="I2847" s="14" t="n">
        <v>0</v>
      </c>
      <c r="J2847" s="14" t="n">
        <v>0</v>
      </c>
      <c r="K2847" s="14" t="n">
        <v>0</v>
      </c>
      <c r="L2847" s="14" t="n">
        <v>0</v>
      </c>
      <c r="M2847" s="14">
        <f>IF(B2847="Frete de venda",0,(1-ISNUMBER(SEARCH("556",P2847)))*(I2847*VLOOKUP($B2847,Premissas!$A$4:$E$7,2,0)+J2847*VLOOKUP($B2847,Premissas!$A$4:$E$7,3,0))+K2847*VLOOKUP($B2847,Premissas!$A$4:$E$7,4,0)+L2847*VLOOKUP($B2847,Premissas!$A$4:$E$7,5,0))</f>
        <v/>
      </c>
      <c r="N2847" s="14">
        <f>H2847-M2847</f>
        <v/>
      </c>
      <c r="O2847" t="inlineStr">
        <is>
          <t>Não</t>
        </is>
      </c>
      <c r="P2847" t="inlineStr">
        <is>
          <t>1.350</t>
        </is>
      </c>
    </row>
    <row r="2848">
      <c r="A2848" s="24" t="n">
        <v>46113</v>
      </c>
      <c r="B2848" t="inlineStr">
        <is>
          <t>Frete de venda</t>
        </is>
      </c>
      <c r="C2848" t="inlineStr">
        <is>
          <t>Frete de venda (para clientes)</t>
        </is>
      </c>
      <c r="D2848" t="inlineStr">
        <is>
          <t>CT-e</t>
        </is>
      </c>
      <c r="E2848" t="inlineStr">
        <is>
          <t>000006827</t>
        </is>
      </c>
      <c r="F2848" t="inlineStr">
        <is>
          <t>R&amp;R TRANSPORTE E LOGISTICA</t>
        </is>
      </c>
      <c r="G2848" s="27" t="n">
        <v>46128</v>
      </c>
      <c r="H2848" s="14" t="n">
        <v>46.06</v>
      </c>
      <c r="I2848" s="14" t="n">
        <v>0</v>
      </c>
      <c r="J2848" s="14" t="n">
        <v>0</v>
      </c>
      <c r="K2848" s="14" t="n">
        <v>0</v>
      </c>
      <c r="L2848" s="14" t="n">
        <v>0</v>
      </c>
      <c r="M2848" s="14">
        <f>IF(B2848="Frete de venda",0,(1-ISNUMBER(SEARCH("556",P2848)))*(I2848*VLOOKUP($B2848,Premissas!$A$4:$E$7,2,0)+J2848*VLOOKUP($B2848,Premissas!$A$4:$E$7,3,0))+K2848*VLOOKUP($B2848,Premissas!$A$4:$E$7,4,0)+L2848*VLOOKUP($B2848,Premissas!$A$4:$E$7,5,0))</f>
        <v/>
      </c>
      <c r="N2848" s="14">
        <f>H2848-M2848</f>
        <v/>
      </c>
      <c r="O2848" t="inlineStr">
        <is>
          <t>Não</t>
        </is>
      </c>
      <c r="P2848" t="inlineStr">
        <is>
          <t>1.350</t>
        </is>
      </c>
    </row>
    <row r="2849">
      <c r="A2849" s="24" t="n">
        <v>46113</v>
      </c>
      <c r="B2849" t="inlineStr">
        <is>
          <t>Frete de venda</t>
        </is>
      </c>
      <c r="C2849" t="inlineStr">
        <is>
          <t>Frete de venda (para clientes)</t>
        </is>
      </c>
      <c r="D2849" t="inlineStr">
        <is>
          <t>CT-e</t>
        </is>
      </c>
      <c r="E2849" t="inlineStr">
        <is>
          <t>000006928</t>
        </is>
      </c>
      <c r="F2849" t="inlineStr">
        <is>
          <t>R&amp;R TRANSPORTE E LOGISTICA</t>
        </is>
      </c>
      <c r="G2849" s="27" t="n">
        <v>46142</v>
      </c>
      <c r="H2849" s="14" t="n">
        <v>39.21</v>
      </c>
      <c r="I2849" s="14" t="n">
        <v>0</v>
      </c>
      <c r="J2849" s="14" t="n">
        <v>0</v>
      </c>
      <c r="K2849" s="14" t="n">
        <v>0</v>
      </c>
      <c r="L2849" s="14" t="n">
        <v>0</v>
      </c>
      <c r="M2849" s="14">
        <f>IF(B2849="Frete de venda",0,(1-ISNUMBER(SEARCH("556",P2849)))*(I2849*VLOOKUP($B2849,Premissas!$A$4:$E$7,2,0)+J2849*VLOOKUP($B2849,Premissas!$A$4:$E$7,3,0))+K2849*VLOOKUP($B2849,Premissas!$A$4:$E$7,4,0)+L2849*VLOOKUP($B2849,Premissas!$A$4:$E$7,5,0))</f>
        <v/>
      </c>
      <c r="N2849" s="14">
        <f>H2849-M2849</f>
        <v/>
      </c>
      <c r="O2849" t="inlineStr">
        <is>
          <t>Não</t>
        </is>
      </c>
      <c r="P2849" t="inlineStr">
        <is>
          <t>1.350</t>
        </is>
      </c>
    </row>
    <row r="2850">
      <c r="A2850" s="24" t="n">
        <v>46113</v>
      </c>
      <c r="B2850" t="inlineStr">
        <is>
          <t>Frete de venda</t>
        </is>
      </c>
      <c r="C2850" t="inlineStr">
        <is>
          <t>Frete de venda (para clientes)</t>
        </is>
      </c>
      <c r="D2850" t="inlineStr">
        <is>
          <t>CT-e</t>
        </is>
      </c>
      <c r="E2850" t="inlineStr">
        <is>
          <t>000006926</t>
        </is>
      </c>
      <c r="F2850" t="inlineStr">
        <is>
          <t>R&amp;R TRANSPORTE E LOGISTICA</t>
        </is>
      </c>
      <c r="G2850" s="27" t="n">
        <v>46142</v>
      </c>
      <c r="H2850" s="14" t="n">
        <v>30.35</v>
      </c>
      <c r="I2850" s="14" t="n">
        <v>0</v>
      </c>
      <c r="J2850" s="14" t="n">
        <v>0</v>
      </c>
      <c r="K2850" s="14" t="n">
        <v>0</v>
      </c>
      <c r="L2850" s="14" t="n">
        <v>0</v>
      </c>
      <c r="M2850" s="14">
        <f>IF(B2850="Frete de venda",0,(1-ISNUMBER(SEARCH("556",P2850)))*(I2850*VLOOKUP($B2850,Premissas!$A$4:$E$7,2,0)+J2850*VLOOKUP($B2850,Premissas!$A$4:$E$7,3,0))+K2850*VLOOKUP($B2850,Premissas!$A$4:$E$7,4,0)+L2850*VLOOKUP($B2850,Premissas!$A$4:$E$7,5,0))</f>
        <v/>
      </c>
      <c r="N2850" s="14">
        <f>H2850-M2850</f>
        <v/>
      </c>
      <c r="O2850" t="inlineStr">
        <is>
          <t>Não</t>
        </is>
      </c>
      <c r="P2850" t="inlineStr">
        <is>
          <t>1.350</t>
        </is>
      </c>
    </row>
    <row r="2851">
      <c r="A2851" s="24" t="n">
        <v>46113</v>
      </c>
      <c r="B2851" t="inlineStr">
        <is>
          <t>Frete de venda</t>
        </is>
      </c>
      <c r="C2851" t="inlineStr">
        <is>
          <t>Frete de venda (para clientes)</t>
        </is>
      </c>
      <c r="D2851" t="inlineStr">
        <is>
          <t>CT-e</t>
        </is>
      </c>
      <c r="E2851" t="inlineStr">
        <is>
          <t>000006724</t>
        </is>
      </c>
      <c r="F2851" t="inlineStr">
        <is>
          <t>R&amp;R TRANSPORTE E LOGISTICA</t>
        </is>
      </c>
      <c r="G2851" s="27" t="n">
        <v>46118</v>
      </c>
      <c r="H2851" s="14" t="n">
        <v>30.13</v>
      </c>
      <c r="I2851" s="14" t="n">
        <v>0</v>
      </c>
      <c r="J2851" s="14" t="n">
        <v>0</v>
      </c>
      <c r="K2851" s="14" t="n">
        <v>0</v>
      </c>
      <c r="L2851" s="14" t="n">
        <v>0</v>
      </c>
      <c r="M2851" s="14">
        <f>IF(B2851="Frete de venda",0,(1-ISNUMBER(SEARCH("556",P2851)))*(I2851*VLOOKUP($B2851,Premissas!$A$4:$E$7,2,0)+J2851*VLOOKUP($B2851,Premissas!$A$4:$E$7,3,0))+K2851*VLOOKUP($B2851,Premissas!$A$4:$E$7,4,0)+L2851*VLOOKUP($B2851,Premissas!$A$4:$E$7,5,0))</f>
        <v/>
      </c>
      <c r="N2851" s="14">
        <f>H2851-M2851</f>
        <v/>
      </c>
      <c r="O2851" t="inlineStr">
        <is>
          <t>Não</t>
        </is>
      </c>
      <c r="P2851" t="inlineStr">
        <is>
          <t>1.350</t>
        </is>
      </c>
    </row>
    <row r="2852">
      <c r="A2852" s="24" t="n">
        <v>46113</v>
      </c>
      <c r="B2852" t="inlineStr">
        <is>
          <t>Frete de venda</t>
        </is>
      </c>
      <c r="C2852" t="inlineStr">
        <is>
          <t>Frete de venda (para clientes)</t>
        </is>
      </c>
      <c r="D2852" t="inlineStr">
        <is>
          <t>CT-e</t>
        </is>
      </c>
      <c r="E2852" t="inlineStr">
        <is>
          <t>000006801</t>
        </is>
      </c>
      <c r="F2852" t="inlineStr">
        <is>
          <t>R&amp;R TRANSPORTE E LOGISTICA</t>
        </is>
      </c>
      <c r="G2852" s="27" t="n">
        <v>46125</v>
      </c>
      <c r="H2852" s="14" t="n">
        <v>7521.5</v>
      </c>
      <c r="I2852" s="14" t="n">
        <v>0</v>
      </c>
      <c r="J2852" s="14" t="n">
        <v>0</v>
      </c>
      <c r="K2852" s="14" t="n">
        <v>0</v>
      </c>
      <c r="L2852" s="14" t="n">
        <v>0</v>
      </c>
      <c r="M2852" s="14">
        <f>IF(B2852="Frete de venda",0,(1-ISNUMBER(SEARCH("556",P2852)))*(I2852*VLOOKUP($B2852,Premissas!$A$4:$E$7,2,0)+J2852*VLOOKUP($B2852,Premissas!$A$4:$E$7,3,0))+K2852*VLOOKUP($B2852,Premissas!$A$4:$E$7,4,0)+L2852*VLOOKUP($B2852,Premissas!$A$4:$E$7,5,0))</f>
        <v/>
      </c>
      <c r="N2852" s="14">
        <f>H2852-M2852</f>
        <v/>
      </c>
      <c r="O2852" t="inlineStr">
        <is>
          <t>Não</t>
        </is>
      </c>
      <c r="P2852" t="inlineStr">
        <is>
          <t>1.350</t>
        </is>
      </c>
    </row>
    <row r="2853">
      <c r="A2853" s="24" t="n">
        <v>46113</v>
      </c>
      <c r="B2853" t="inlineStr">
        <is>
          <t>Frete de venda</t>
        </is>
      </c>
      <c r="C2853" t="inlineStr">
        <is>
          <t>Frete de venda (para clientes)</t>
        </is>
      </c>
      <c r="D2853" t="inlineStr">
        <is>
          <t>CT-e</t>
        </is>
      </c>
      <c r="E2853" t="inlineStr">
        <is>
          <t>000006802</t>
        </is>
      </c>
      <c r="F2853" t="inlineStr">
        <is>
          <t>R&amp;R TRANSPORTE E LOGISTICA</t>
        </is>
      </c>
      <c r="G2853" s="27" t="n">
        <v>46125</v>
      </c>
      <c r="H2853" s="14" t="n">
        <v>7521.5</v>
      </c>
      <c r="I2853" s="14" t="n">
        <v>0</v>
      </c>
      <c r="J2853" s="14" t="n">
        <v>0</v>
      </c>
      <c r="K2853" s="14" t="n">
        <v>0</v>
      </c>
      <c r="L2853" s="14" t="n">
        <v>0</v>
      </c>
      <c r="M2853" s="14">
        <f>IF(B2853="Frete de venda",0,(1-ISNUMBER(SEARCH("556",P2853)))*(I2853*VLOOKUP($B2853,Premissas!$A$4:$E$7,2,0)+J2853*VLOOKUP($B2853,Premissas!$A$4:$E$7,3,0))+K2853*VLOOKUP($B2853,Premissas!$A$4:$E$7,4,0)+L2853*VLOOKUP($B2853,Premissas!$A$4:$E$7,5,0))</f>
        <v/>
      </c>
      <c r="N2853" s="14">
        <f>H2853-M2853</f>
        <v/>
      </c>
      <c r="O2853" t="inlineStr">
        <is>
          <t>Não</t>
        </is>
      </c>
      <c r="P2853" t="inlineStr">
        <is>
          <t>1.350</t>
        </is>
      </c>
    </row>
    <row r="2854">
      <c r="A2854" s="24" t="n">
        <v>46113</v>
      </c>
      <c r="B2854" t="inlineStr">
        <is>
          <t>Frete de venda</t>
        </is>
      </c>
      <c r="C2854" t="inlineStr">
        <is>
          <t>Frete de venda (para clientes)</t>
        </is>
      </c>
      <c r="D2854" t="inlineStr">
        <is>
          <t>CT-e</t>
        </is>
      </c>
      <c r="E2854" t="inlineStr">
        <is>
          <t>000006911</t>
        </is>
      </c>
      <c r="F2854" t="inlineStr">
        <is>
          <t>R&amp;R TRANSPORTE E LOGISTICA</t>
        </is>
      </c>
      <c r="G2854" s="27" t="n">
        <v>46140</v>
      </c>
      <c r="H2854" s="14" t="n">
        <v>12719.32</v>
      </c>
      <c r="I2854" s="14" t="n">
        <v>0</v>
      </c>
      <c r="J2854" s="14" t="n">
        <v>0</v>
      </c>
      <c r="K2854" s="14" t="n">
        <v>0</v>
      </c>
      <c r="L2854" s="14" t="n">
        <v>0</v>
      </c>
      <c r="M2854" s="14">
        <f>IF(B2854="Frete de venda",0,(1-ISNUMBER(SEARCH("556",P2854)))*(I2854*VLOOKUP($B2854,Premissas!$A$4:$E$7,2,0)+J2854*VLOOKUP($B2854,Premissas!$A$4:$E$7,3,0))+K2854*VLOOKUP($B2854,Premissas!$A$4:$E$7,4,0)+L2854*VLOOKUP($B2854,Premissas!$A$4:$E$7,5,0))</f>
        <v/>
      </c>
      <c r="N2854" s="14">
        <f>H2854-M2854</f>
        <v/>
      </c>
      <c r="O2854" t="inlineStr">
        <is>
          <t>Não</t>
        </is>
      </c>
      <c r="P2854" t="inlineStr">
        <is>
          <t>1.350</t>
        </is>
      </c>
    </row>
    <row r="2855">
      <c r="A2855" s="24" t="n">
        <v>46113</v>
      </c>
      <c r="B2855" t="inlineStr">
        <is>
          <t>Frete de venda</t>
        </is>
      </c>
      <c r="C2855" t="inlineStr">
        <is>
          <t>Frete de venda (para clientes)</t>
        </is>
      </c>
      <c r="D2855" t="inlineStr">
        <is>
          <t>CT-e</t>
        </is>
      </c>
      <c r="E2855" t="inlineStr">
        <is>
          <t>000006913</t>
        </is>
      </c>
      <c r="F2855" t="inlineStr">
        <is>
          <t>R&amp;R TRANSPORTE E LOGISTICA</t>
        </is>
      </c>
      <c r="G2855" s="27" t="n">
        <v>46140</v>
      </c>
      <c r="H2855" s="14" t="n">
        <v>102.25</v>
      </c>
      <c r="I2855" s="14" t="n">
        <v>0</v>
      </c>
      <c r="J2855" s="14" t="n">
        <v>0</v>
      </c>
      <c r="K2855" s="14" t="n">
        <v>0</v>
      </c>
      <c r="L2855" s="14" t="n">
        <v>0</v>
      </c>
      <c r="M2855" s="14">
        <f>IF(B2855="Frete de venda",0,(1-ISNUMBER(SEARCH("556",P2855)))*(I2855*VLOOKUP($B2855,Premissas!$A$4:$E$7,2,0)+J2855*VLOOKUP($B2855,Premissas!$A$4:$E$7,3,0))+K2855*VLOOKUP($B2855,Premissas!$A$4:$E$7,4,0)+L2855*VLOOKUP($B2855,Premissas!$A$4:$E$7,5,0))</f>
        <v/>
      </c>
      <c r="N2855" s="14">
        <f>H2855-M2855</f>
        <v/>
      </c>
      <c r="O2855" t="inlineStr">
        <is>
          <t>Não</t>
        </is>
      </c>
      <c r="P2855" t="inlineStr">
        <is>
          <t>1.350</t>
        </is>
      </c>
    </row>
    <row r="2856">
      <c r="A2856" s="24" t="n">
        <v>46113</v>
      </c>
      <c r="B2856" t="inlineStr">
        <is>
          <t>Frete de venda</t>
        </is>
      </c>
      <c r="C2856" t="inlineStr">
        <is>
          <t>Frete de venda (para clientes)</t>
        </is>
      </c>
      <c r="D2856" t="inlineStr">
        <is>
          <t>CT-e</t>
        </is>
      </c>
      <c r="E2856" t="inlineStr">
        <is>
          <t>000006766</t>
        </is>
      </c>
      <c r="F2856" t="inlineStr">
        <is>
          <t>R&amp;R TRANSPORTE E LOGISTICA</t>
        </is>
      </c>
      <c r="G2856" s="27" t="n">
        <v>46120</v>
      </c>
      <c r="H2856" s="14" t="n">
        <v>1022.02</v>
      </c>
      <c r="I2856" s="14" t="n">
        <v>0</v>
      </c>
      <c r="J2856" s="14" t="n">
        <v>0</v>
      </c>
      <c r="K2856" s="14" t="n">
        <v>0</v>
      </c>
      <c r="L2856" s="14" t="n">
        <v>0</v>
      </c>
      <c r="M2856" s="14">
        <f>IF(B2856="Frete de venda",0,(1-ISNUMBER(SEARCH("556",P2856)))*(I2856*VLOOKUP($B2856,Premissas!$A$4:$E$7,2,0)+J2856*VLOOKUP($B2856,Premissas!$A$4:$E$7,3,0))+K2856*VLOOKUP($B2856,Premissas!$A$4:$E$7,4,0)+L2856*VLOOKUP($B2856,Premissas!$A$4:$E$7,5,0))</f>
        <v/>
      </c>
      <c r="N2856" s="14">
        <f>H2856-M2856</f>
        <v/>
      </c>
      <c r="O2856" t="inlineStr">
        <is>
          <t>Não</t>
        </is>
      </c>
      <c r="P2856" t="inlineStr">
        <is>
          <t>1.350</t>
        </is>
      </c>
    </row>
    <row r="2857">
      <c r="A2857" s="24" t="n">
        <v>46113</v>
      </c>
      <c r="B2857" t="inlineStr">
        <is>
          <t>Frete de venda</t>
        </is>
      </c>
      <c r="C2857" t="inlineStr">
        <is>
          <t>Frete de venda (para clientes)</t>
        </is>
      </c>
      <c r="D2857" t="inlineStr">
        <is>
          <t>CT-e</t>
        </is>
      </c>
      <c r="E2857" t="inlineStr">
        <is>
          <t>000006738</t>
        </is>
      </c>
      <c r="F2857" t="inlineStr">
        <is>
          <t>R&amp;R TRANSPORTE E LOGISTICA</t>
        </is>
      </c>
      <c r="G2857" s="27" t="n">
        <v>46119</v>
      </c>
      <c r="H2857" s="14" t="n">
        <v>40.33</v>
      </c>
      <c r="I2857" s="14" t="n">
        <v>0</v>
      </c>
      <c r="J2857" s="14" t="n">
        <v>0</v>
      </c>
      <c r="K2857" s="14" t="n">
        <v>0</v>
      </c>
      <c r="L2857" s="14" t="n">
        <v>0</v>
      </c>
      <c r="M2857" s="14">
        <f>IF(B2857="Frete de venda",0,(1-ISNUMBER(SEARCH("556",P2857)))*(I2857*VLOOKUP($B2857,Premissas!$A$4:$E$7,2,0)+J2857*VLOOKUP($B2857,Premissas!$A$4:$E$7,3,0))+K2857*VLOOKUP($B2857,Premissas!$A$4:$E$7,4,0)+L2857*VLOOKUP($B2857,Premissas!$A$4:$E$7,5,0))</f>
        <v/>
      </c>
      <c r="N2857" s="14">
        <f>H2857-M2857</f>
        <v/>
      </c>
      <c r="O2857" t="inlineStr">
        <is>
          <t>Não</t>
        </is>
      </c>
      <c r="P2857" t="inlineStr">
        <is>
          <t>1.350</t>
        </is>
      </c>
    </row>
    <row r="2858">
      <c r="A2858" s="24" t="n">
        <v>46113</v>
      </c>
      <c r="B2858" t="inlineStr">
        <is>
          <t>Frete de venda</t>
        </is>
      </c>
      <c r="C2858" t="inlineStr">
        <is>
          <t>Frete de venda (para clientes)</t>
        </is>
      </c>
      <c r="D2858" t="inlineStr">
        <is>
          <t>CT-e</t>
        </is>
      </c>
      <c r="E2858" t="inlineStr">
        <is>
          <t>000006867</t>
        </is>
      </c>
      <c r="F2858" t="inlineStr">
        <is>
          <t>R&amp;R TRANSPORTE E LOGISTICA</t>
        </is>
      </c>
      <c r="G2858" s="27" t="n">
        <v>46137</v>
      </c>
      <c r="H2858" s="14" t="n">
        <v>131.65</v>
      </c>
      <c r="I2858" s="14" t="n">
        <v>0</v>
      </c>
      <c r="J2858" s="14" t="n">
        <v>0</v>
      </c>
      <c r="K2858" s="14" t="n">
        <v>0</v>
      </c>
      <c r="L2858" s="14" t="n">
        <v>0</v>
      </c>
      <c r="M2858" s="14">
        <f>IF(B2858="Frete de venda",0,(1-ISNUMBER(SEARCH("556",P2858)))*(I2858*VLOOKUP($B2858,Premissas!$A$4:$E$7,2,0)+J2858*VLOOKUP($B2858,Premissas!$A$4:$E$7,3,0))+K2858*VLOOKUP($B2858,Premissas!$A$4:$E$7,4,0)+L2858*VLOOKUP($B2858,Premissas!$A$4:$E$7,5,0))</f>
        <v/>
      </c>
      <c r="N2858" s="14">
        <f>H2858-M2858</f>
        <v/>
      </c>
      <c r="O2858" t="inlineStr">
        <is>
          <t>Não</t>
        </is>
      </c>
      <c r="P2858" t="inlineStr">
        <is>
          <t>1.350</t>
        </is>
      </c>
    </row>
    <row r="2859">
      <c r="A2859" s="24" t="n">
        <v>46113</v>
      </c>
      <c r="B2859" t="inlineStr">
        <is>
          <t>Frete de venda</t>
        </is>
      </c>
      <c r="C2859" t="inlineStr">
        <is>
          <t>Frete de venda (para clientes)</t>
        </is>
      </c>
      <c r="D2859" t="inlineStr">
        <is>
          <t>CT-e</t>
        </is>
      </c>
      <c r="E2859" t="inlineStr">
        <is>
          <t>000006786</t>
        </is>
      </c>
      <c r="F2859" t="inlineStr">
        <is>
          <t>R&amp;R TRANSPORTE E LOGISTICA</t>
        </is>
      </c>
      <c r="G2859" s="27" t="n">
        <v>46123</v>
      </c>
      <c r="H2859" s="14" t="n">
        <v>958.6900000000001</v>
      </c>
      <c r="I2859" s="14" t="n">
        <v>0</v>
      </c>
      <c r="J2859" s="14" t="n">
        <v>0</v>
      </c>
      <c r="K2859" s="14" t="n">
        <v>0</v>
      </c>
      <c r="L2859" s="14" t="n">
        <v>0</v>
      </c>
      <c r="M2859" s="14">
        <f>IF(B2859="Frete de venda",0,(1-ISNUMBER(SEARCH("556",P2859)))*(I2859*VLOOKUP($B2859,Premissas!$A$4:$E$7,2,0)+J2859*VLOOKUP($B2859,Premissas!$A$4:$E$7,3,0))+K2859*VLOOKUP($B2859,Premissas!$A$4:$E$7,4,0)+L2859*VLOOKUP($B2859,Premissas!$A$4:$E$7,5,0))</f>
        <v/>
      </c>
      <c r="N2859" s="14">
        <f>H2859-M2859</f>
        <v/>
      </c>
      <c r="O2859" t="inlineStr">
        <is>
          <t>Não</t>
        </is>
      </c>
      <c r="P2859" t="inlineStr">
        <is>
          <t>1.350</t>
        </is>
      </c>
    </row>
    <row r="2860">
      <c r="A2860" s="24" t="n">
        <v>46113</v>
      </c>
      <c r="B2860" t="inlineStr">
        <is>
          <t>Frete de venda</t>
        </is>
      </c>
      <c r="C2860" t="inlineStr">
        <is>
          <t>Frete de venda (para clientes)</t>
        </is>
      </c>
      <c r="D2860" t="inlineStr">
        <is>
          <t>CT-e</t>
        </is>
      </c>
      <c r="E2860" t="inlineStr">
        <is>
          <t>000006874</t>
        </is>
      </c>
      <c r="F2860" t="inlineStr">
        <is>
          <t>R&amp;R TRANSPORTE E LOGISTICA</t>
        </is>
      </c>
      <c r="G2860" s="27" t="n">
        <v>46137</v>
      </c>
      <c r="H2860" s="14" t="n">
        <v>30.05</v>
      </c>
      <c r="I2860" s="14" t="n">
        <v>0</v>
      </c>
      <c r="J2860" s="14" t="n">
        <v>0</v>
      </c>
      <c r="K2860" s="14" t="n">
        <v>0</v>
      </c>
      <c r="L2860" s="14" t="n">
        <v>0</v>
      </c>
      <c r="M2860" s="14">
        <f>IF(B2860="Frete de venda",0,(1-ISNUMBER(SEARCH("556",P2860)))*(I2860*VLOOKUP($B2860,Premissas!$A$4:$E$7,2,0)+J2860*VLOOKUP($B2860,Premissas!$A$4:$E$7,3,0))+K2860*VLOOKUP($B2860,Premissas!$A$4:$E$7,4,0)+L2860*VLOOKUP($B2860,Premissas!$A$4:$E$7,5,0))</f>
        <v/>
      </c>
      <c r="N2860" s="14">
        <f>H2860-M2860</f>
        <v/>
      </c>
      <c r="O2860" t="inlineStr">
        <is>
          <t>Não</t>
        </is>
      </c>
      <c r="P2860" t="inlineStr">
        <is>
          <t>1.350</t>
        </is>
      </c>
    </row>
    <row r="2861">
      <c r="A2861" s="24" t="n">
        <v>46113</v>
      </c>
      <c r="B2861" t="inlineStr">
        <is>
          <t>Frete de venda</t>
        </is>
      </c>
      <c r="C2861" t="inlineStr">
        <is>
          <t>Frete de venda (para clientes)</t>
        </is>
      </c>
      <c r="D2861" t="inlineStr">
        <is>
          <t>CT-e</t>
        </is>
      </c>
      <c r="E2861" t="inlineStr">
        <is>
          <t>000006739</t>
        </is>
      </c>
      <c r="F2861" t="inlineStr">
        <is>
          <t>R&amp;R TRANSPORTE E LOGISTICA</t>
        </is>
      </c>
      <c r="G2861" s="27" t="n">
        <v>46119</v>
      </c>
      <c r="H2861" s="14" t="n">
        <v>30.05</v>
      </c>
      <c r="I2861" s="14" t="n">
        <v>0</v>
      </c>
      <c r="J2861" s="14" t="n">
        <v>0</v>
      </c>
      <c r="K2861" s="14" t="n">
        <v>0</v>
      </c>
      <c r="L2861" s="14" t="n">
        <v>0</v>
      </c>
      <c r="M2861" s="14">
        <f>IF(B2861="Frete de venda",0,(1-ISNUMBER(SEARCH("556",P2861)))*(I2861*VLOOKUP($B2861,Premissas!$A$4:$E$7,2,0)+J2861*VLOOKUP($B2861,Premissas!$A$4:$E$7,3,0))+K2861*VLOOKUP($B2861,Premissas!$A$4:$E$7,4,0)+L2861*VLOOKUP($B2861,Premissas!$A$4:$E$7,5,0))</f>
        <v/>
      </c>
      <c r="N2861" s="14">
        <f>H2861-M2861</f>
        <v/>
      </c>
      <c r="O2861" t="inlineStr">
        <is>
          <t>Não</t>
        </is>
      </c>
      <c r="P2861" t="inlineStr">
        <is>
          <t>1.350</t>
        </is>
      </c>
    </row>
    <row r="2862">
      <c r="A2862" s="24" t="n">
        <v>46113</v>
      </c>
      <c r="B2862" t="inlineStr">
        <is>
          <t>Frete de venda</t>
        </is>
      </c>
      <c r="C2862" t="inlineStr">
        <is>
          <t>Frete de venda (para clientes)</t>
        </is>
      </c>
      <c r="D2862" t="inlineStr">
        <is>
          <t>CT-e</t>
        </is>
      </c>
      <c r="E2862" t="inlineStr">
        <is>
          <t>000006878</t>
        </is>
      </c>
      <c r="F2862" t="inlineStr">
        <is>
          <t>R&amp;R TRANSPORTE E LOGISTICA</t>
        </is>
      </c>
      <c r="G2862" s="27" t="n">
        <v>46137</v>
      </c>
      <c r="H2862" s="14" t="n">
        <v>13.1</v>
      </c>
      <c r="I2862" s="14" t="n">
        <v>0</v>
      </c>
      <c r="J2862" s="14" t="n">
        <v>0</v>
      </c>
      <c r="K2862" s="14" t="n">
        <v>0</v>
      </c>
      <c r="L2862" s="14" t="n">
        <v>0</v>
      </c>
      <c r="M2862" s="14">
        <f>IF(B2862="Frete de venda",0,(1-ISNUMBER(SEARCH("556",P2862)))*(I2862*VLOOKUP($B2862,Premissas!$A$4:$E$7,2,0)+J2862*VLOOKUP($B2862,Premissas!$A$4:$E$7,3,0))+K2862*VLOOKUP($B2862,Premissas!$A$4:$E$7,4,0)+L2862*VLOOKUP($B2862,Premissas!$A$4:$E$7,5,0))</f>
        <v/>
      </c>
      <c r="N2862" s="14">
        <f>H2862-M2862</f>
        <v/>
      </c>
      <c r="O2862" t="inlineStr">
        <is>
          <t>Não</t>
        </is>
      </c>
      <c r="P2862" t="inlineStr">
        <is>
          <t>1.350</t>
        </is>
      </c>
    </row>
    <row r="2863">
      <c r="A2863" s="24" t="n">
        <v>46113</v>
      </c>
      <c r="B2863" t="inlineStr">
        <is>
          <t>Frete de venda</t>
        </is>
      </c>
      <c r="C2863" t="inlineStr">
        <is>
          <t>Frete de venda (para clientes)</t>
        </is>
      </c>
      <c r="D2863" t="inlineStr">
        <is>
          <t>CT-e</t>
        </is>
      </c>
      <c r="E2863" t="inlineStr">
        <is>
          <t>000006748</t>
        </is>
      </c>
      <c r="F2863" t="inlineStr">
        <is>
          <t>R&amp;R TRANSPORTE E LOGISTICA</t>
        </is>
      </c>
      <c r="G2863" s="27" t="n">
        <v>46119</v>
      </c>
      <c r="H2863" s="14" t="n">
        <v>32.79</v>
      </c>
      <c r="I2863" s="14" t="n">
        <v>0</v>
      </c>
      <c r="J2863" s="14" t="n">
        <v>0</v>
      </c>
      <c r="K2863" s="14" t="n">
        <v>0</v>
      </c>
      <c r="L2863" s="14" t="n">
        <v>0</v>
      </c>
      <c r="M2863" s="14">
        <f>IF(B2863="Frete de venda",0,(1-ISNUMBER(SEARCH("556",P2863)))*(I2863*VLOOKUP($B2863,Premissas!$A$4:$E$7,2,0)+J2863*VLOOKUP($B2863,Premissas!$A$4:$E$7,3,0))+K2863*VLOOKUP($B2863,Premissas!$A$4:$E$7,4,0)+L2863*VLOOKUP($B2863,Premissas!$A$4:$E$7,5,0))</f>
        <v/>
      </c>
      <c r="N2863" s="14">
        <f>H2863-M2863</f>
        <v/>
      </c>
      <c r="O2863" t="inlineStr">
        <is>
          <t>Não</t>
        </is>
      </c>
      <c r="P2863" t="inlineStr">
        <is>
          <t>1.350</t>
        </is>
      </c>
    </row>
    <row r="2864">
      <c r="A2864" s="24" t="n">
        <v>46113</v>
      </c>
      <c r="B2864" t="inlineStr">
        <is>
          <t>Frete de venda</t>
        </is>
      </c>
      <c r="C2864" t="inlineStr">
        <is>
          <t>Frete de venda (para clientes)</t>
        </is>
      </c>
      <c r="D2864" t="inlineStr">
        <is>
          <t>CT-e</t>
        </is>
      </c>
      <c r="E2864" t="inlineStr">
        <is>
          <t>000006886</t>
        </is>
      </c>
      <c r="F2864" t="inlineStr">
        <is>
          <t>R&amp;R TRANSPORTE E LOGISTICA</t>
        </is>
      </c>
      <c r="G2864" s="27" t="n">
        <v>46137</v>
      </c>
      <c r="H2864" s="14" t="n">
        <v>17.12</v>
      </c>
      <c r="I2864" s="14" t="n">
        <v>0</v>
      </c>
      <c r="J2864" s="14" t="n">
        <v>0</v>
      </c>
      <c r="K2864" s="14" t="n">
        <v>0</v>
      </c>
      <c r="L2864" s="14" t="n">
        <v>0</v>
      </c>
      <c r="M2864" s="14">
        <f>IF(B2864="Frete de venda",0,(1-ISNUMBER(SEARCH("556",P2864)))*(I2864*VLOOKUP($B2864,Premissas!$A$4:$E$7,2,0)+J2864*VLOOKUP($B2864,Premissas!$A$4:$E$7,3,0))+K2864*VLOOKUP($B2864,Premissas!$A$4:$E$7,4,0)+L2864*VLOOKUP($B2864,Premissas!$A$4:$E$7,5,0))</f>
        <v/>
      </c>
      <c r="N2864" s="14">
        <f>H2864-M2864</f>
        <v/>
      </c>
      <c r="O2864" t="inlineStr">
        <is>
          <t>Não</t>
        </is>
      </c>
      <c r="P2864" t="inlineStr">
        <is>
          <t>1.350</t>
        </is>
      </c>
    </row>
    <row r="2865">
      <c r="A2865" s="24" t="n">
        <v>46113</v>
      </c>
      <c r="B2865" t="inlineStr">
        <is>
          <t>Frete de venda</t>
        </is>
      </c>
      <c r="C2865" t="inlineStr">
        <is>
          <t>Frete de venda (para clientes)</t>
        </is>
      </c>
      <c r="D2865" t="inlineStr">
        <is>
          <t>CT-e</t>
        </is>
      </c>
      <c r="E2865" t="inlineStr">
        <is>
          <t>000006722</t>
        </is>
      </c>
      <c r="F2865" t="inlineStr">
        <is>
          <t>R&amp;R TRANSPORTE E LOGISTICA</t>
        </is>
      </c>
      <c r="G2865" s="27" t="n">
        <v>46118</v>
      </c>
      <c r="H2865" s="14" t="n">
        <v>32.16</v>
      </c>
      <c r="I2865" s="14" t="n">
        <v>0</v>
      </c>
      <c r="J2865" s="14" t="n">
        <v>0</v>
      </c>
      <c r="K2865" s="14" t="n">
        <v>0</v>
      </c>
      <c r="L2865" s="14" t="n">
        <v>0</v>
      </c>
      <c r="M2865" s="14">
        <f>IF(B2865="Frete de venda",0,(1-ISNUMBER(SEARCH("556",P2865)))*(I2865*VLOOKUP($B2865,Premissas!$A$4:$E$7,2,0)+J2865*VLOOKUP($B2865,Premissas!$A$4:$E$7,3,0))+K2865*VLOOKUP($B2865,Premissas!$A$4:$E$7,4,0)+L2865*VLOOKUP($B2865,Premissas!$A$4:$E$7,5,0))</f>
        <v/>
      </c>
      <c r="N2865" s="14">
        <f>H2865-M2865</f>
        <v/>
      </c>
      <c r="O2865" t="inlineStr">
        <is>
          <t>Não</t>
        </is>
      </c>
      <c r="P2865" t="inlineStr">
        <is>
          <t>1.350</t>
        </is>
      </c>
    </row>
    <row r="2866">
      <c r="A2866" s="24" t="n">
        <v>46113</v>
      </c>
      <c r="B2866" t="inlineStr">
        <is>
          <t>Frete de venda</t>
        </is>
      </c>
      <c r="C2866" t="inlineStr">
        <is>
          <t>Frete de venda (para clientes)</t>
        </is>
      </c>
      <c r="D2866" t="inlineStr">
        <is>
          <t>CT-e</t>
        </is>
      </c>
      <c r="E2866" t="inlineStr">
        <is>
          <t>000006728</t>
        </is>
      </c>
      <c r="F2866" t="inlineStr">
        <is>
          <t>R&amp;R TRANSPORTE E LOGISTICA</t>
        </is>
      </c>
      <c r="G2866" s="27" t="n">
        <v>46118</v>
      </c>
      <c r="H2866" s="14" t="n">
        <v>33.75</v>
      </c>
      <c r="I2866" s="14" t="n">
        <v>0</v>
      </c>
      <c r="J2866" s="14" t="n">
        <v>0</v>
      </c>
      <c r="K2866" s="14" t="n">
        <v>0</v>
      </c>
      <c r="L2866" s="14" t="n">
        <v>0</v>
      </c>
      <c r="M2866" s="14">
        <f>IF(B2866="Frete de venda",0,(1-ISNUMBER(SEARCH("556",P2866)))*(I2866*VLOOKUP($B2866,Premissas!$A$4:$E$7,2,0)+J2866*VLOOKUP($B2866,Premissas!$A$4:$E$7,3,0))+K2866*VLOOKUP($B2866,Premissas!$A$4:$E$7,4,0)+L2866*VLOOKUP($B2866,Premissas!$A$4:$E$7,5,0))</f>
        <v/>
      </c>
      <c r="N2866" s="14">
        <f>H2866-M2866</f>
        <v/>
      </c>
      <c r="O2866" t="inlineStr">
        <is>
          <t>Não</t>
        </is>
      </c>
      <c r="P2866" t="inlineStr">
        <is>
          <t>1.350</t>
        </is>
      </c>
    </row>
    <row r="2867">
      <c r="A2867" s="24" t="n">
        <v>46113</v>
      </c>
      <c r="B2867" t="inlineStr">
        <is>
          <t>Frete de venda</t>
        </is>
      </c>
      <c r="C2867" t="inlineStr">
        <is>
          <t>Frete de venda (para clientes)</t>
        </is>
      </c>
      <c r="D2867" t="inlineStr">
        <is>
          <t>CT-e</t>
        </is>
      </c>
      <c r="E2867" t="inlineStr">
        <is>
          <t>000006727</t>
        </is>
      </c>
      <c r="F2867" t="inlineStr">
        <is>
          <t>R&amp;R TRANSPORTE E LOGISTICA</t>
        </is>
      </c>
      <c r="G2867" s="27" t="n">
        <v>46118</v>
      </c>
      <c r="H2867" s="14" t="n">
        <v>28.46</v>
      </c>
      <c r="I2867" s="14" t="n">
        <v>0</v>
      </c>
      <c r="J2867" s="14" t="n">
        <v>0</v>
      </c>
      <c r="K2867" s="14" t="n">
        <v>0</v>
      </c>
      <c r="L2867" s="14" t="n">
        <v>0</v>
      </c>
      <c r="M2867" s="14">
        <f>IF(B2867="Frete de venda",0,(1-ISNUMBER(SEARCH("556",P2867)))*(I2867*VLOOKUP($B2867,Premissas!$A$4:$E$7,2,0)+J2867*VLOOKUP($B2867,Premissas!$A$4:$E$7,3,0))+K2867*VLOOKUP($B2867,Premissas!$A$4:$E$7,4,0)+L2867*VLOOKUP($B2867,Premissas!$A$4:$E$7,5,0))</f>
        <v/>
      </c>
      <c r="N2867" s="14">
        <f>H2867-M2867</f>
        <v/>
      </c>
      <c r="O2867" t="inlineStr">
        <is>
          <t>Não</t>
        </is>
      </c>
      <c r="P2867" t="inlineStr">
        <is>
          <t>1.350</t>
        </is>
      </c>
    </row>
    <row r="2868">
      <c r="A2868" s="24" t="n">
        <v>46113</v>
      </c>
      <c r="B2868" t="inlineStr">
        <is>
          <t>Frete de venda</t>
        </is>
      </c>
      <c r="C2868" t="inlineStr">
        <is>
          <t>Frete de venda (para clientes)</t>
        </is>
      </c>
      <c r="D2868" t="inlineStr">
        <is>
          <t>CT-e</t>
        </is>
      </c>
      <c r="E2868" t="inlineStr">
        <is>
          <t>000006763</t>
        </is>
      </c>
      <c r="F2868" t="inlineStr">
        <is>
          <t>R&amp;R TRANSPORTE E LOGISTICA</t>
        </is>
      </c>
      <c r="G2868" s="27" t="n">
        <v>46120</v>
      </c>
      <c r="H2868" s="14" t="n">
        <v>1025.58</v>
      </c>
      <c r="I2868" s="14" t="n">
        <v>0</v>
      </c>
      <c r="J2868" s="14" t="n">
        <v>0</v>
      </c>
      <c r="K2868" s="14" t="n">
        <v>0</v>
      </c>
      <c r="L2868" s="14" t="n">
        <v>0</v>
      </c>
      <c r="M2868" s="14">
        <f>IF(B2868="Frete de venda",0,(1-ISNUMBER(SEARCH("556",P2868)))*(I2868*VLOOKUP($B2868,Premissas!$A$4:$E$7,2,0)+J2868*VLOOKUP($B2868,Premissas!$A$4:$E$7,3,0))+K2868*VLOOKUP($B2868,Premissas!$A$4:$E$7,4,0)+L2868*VLOOKUP($B2868,Premissas!$A$4:$E$7,5,0))</f>
        <v/>
      </c>
      <c r="N2868" s="14">
        <f>H2868-M2868</f>
        <v/>
      </c>
      <c r="O2868" t="inlineStr">
        <is>
          <t>Não</t>
        </is>
      </c>
      <c r="P2868" t="inlineStr">
        <is>
          <t>1.350</t>
        </is>
      </c>
    </row>
    <row r="2869">
      <c r="A2869" s="24" t="n">
        <v>46113</v>
      </c>
      <c r="B2869" t="inlineStr">
        <is>
          <t>Frete de venda</t>
        </is>
      </c>
      <c r="C2869" t="inlineStr">
        <is>
          <t>Frete de venda (para clientes)</t>
        </is>
      </c>
      <c r="D2869" t="inlineStr">
        <is>
          <t>CT-e</t>
        </is>
      </c>
      <c r="E2869" t="inlineStr">
        <is>
          <t>000006745</t>
        </is>
      </c>
      <c r="F2869" t="inlineStr">
        <is>
          <t>R&amp;R TRANSPORTE E LOGISTICA</t>
        </is>
      </c>
      <c r="G2869" s="27" t="n">
        <v>46119</v>
      </c>
      <c r="H2869" s="14" t="n">
        <v>19.16</v>
      </c>
      <c r="I2869" s="14" t="n">
        <v>0</v>
      </c>
      <c r="J2869" s="14" t="n">
        <v>0</v>
      </c>
      <c r="K2869" s="14" t="n">
        <v>0</v>
      </c>
      <c r="L2869" s="14" t="n">
        <v>0</v>
      </c>
      <c r="M2869" s="14">
        <f>IF(B2869="Frete de venda",0,(1-ISNUMBER(SEARCH("556",P2869)))*(I2869*VLOOKUP($B2869,Premissas!$A$4:$E$7,2,0)+J2869*VLOOKUP($B2869,Premissas!$A$4:$E$7,3,0))+K2869*VLOOKUP($B2869,Premissas!$A$4:$E$7,4,0)+L2869*VLOOKUP($B2869,Premissas!$A$4:$E$7,5,0))</f>
        <v/>
      </c>
      <c r="N2869" s="14">
        <f>H2869-M2869</f>
        <v/>
      </c>
      <c r="O2869" t="inlineStr">
        <is>
          <t>Não</t>
        </is>
      </c>
      <c r="P2869" t="inlineStr">
        <is>
          <t>1.350</t>
        </is>
      </c>
    </row>
    <row r="2870">
      <c r="A2870" s="24" t="n">
        <v>46113</v>
      </c>
      <c r="B2870" t="inlineStr">
        <is>
          <t>Frete de venda</t>
        </is>
      </c>
      <c r="C2870" t="inlineStr">
        <is>
          <t>Frete de venda (para clientes)</t>
        </is>
      </c>
      <c r="D2870" t="inlineStr">
        <is>
          <t>CT-e</t>
        </is>
      </c>
      <c r="E2870" t="inlineStr">
        <is>
          <t>000003516</t>
        </is>
      </c>
      <c r="F2870" t="inlineStr">
        <is>
          <t>RAPIDO XAPURI TRANSPORTES E LOGISTICA LTDA</t>
        </is>
      </c>
      <c r="G2870" s="27" t="n">
        <v>46127</v>
      </c>
      <c r="H2870" s="14" t="n">
        <v>361.01</v>
      </c>
      <c r="I2870" s="14" t="n">
        <v>0</v>
      </c>
      <c r="J2870" s="14" t="n">
        <v>43.32</v>
      </c>
      <c r="K2870" s="14" t="n">
        <v>0</v>
      </c>
      <c r="L2870" s="14" t="n">
        <v>0</v>
      </c>
      <c r="M2870" s="14">
        <f>IF(B2870="Frete de venda",0,(1-ISNUMBER(SEARCH("556",P2870)))*(I2870*VLOOKUP($B2870,Premissas!$A$4:$E$7,2,0)+J2870*VLOOKUP($B2870,Premissas!$A$4:$E$7,3,0))+K2870*VLOOKUP($B2870,Premissas!$A$4:$E$7,4,0)+L2870*VLOOKUP($B2870,Premissas!$A$4:$E$7,5,0))</f>
        <v/>
      </c>
      <c r="N2870" s="14">
        <f>H2870-M2870</f>
        <v/>
      </c>
      <c r="O2870" t="inlineStr">
        <is>
          <t>Sim</t>
        </is>
      </c>
      <c r="P2870" t="inlineStr">
        <is>
          <t>1.350</t>
        </is>
      </c>
    </row>
    <row r="2871">
      <c r="A2871" s="24" t="n">
        <v>46113</v>
      </c>
      <c r="B2871" t="inlineStr">
        <is>
          <t>Frete de venda</t>
        </is>
      </c>
      <c r="C2871" t="inlineStr">
        <is>
          <t>Frete de venda (para clientes)</t>
        </is>
      </c>
      <c r="D2871" t="inlineStr">
        <is>
          <t>CT-e</t>
        </is>
      </c>
      <c r="E2871" t="inlineStr">
        <is>
          <t>000006783</t>
        </is>
      </c>
      <c r="F2871" t="inlineStr">
        <is>
          <t>R&amp;R TRANSPORTE E LOGISTICA</t>
        </is>
      </c>
      <c r="G2871" s="27" t="n">
        <v>46123</v>
      </c>
      <c r="H2871" s="14" t="n">
        <v>962.01</v>
      </c>
      <c r="I2871" s="14" t="n">
        <v>0</v>
      </c>
      <c r="J2871" s="14" t="n">
        <v>0</v>
      </c>
      <c r="K2871" s="14" t="n">
        <v>0</v>
      </c>
      <c r="L2871" s="14" t="n">
        <v>0</v>
      </c>
      <c r="M2871" s="14">
        <f>IF(B2871="Frete de venda",0,(1-ISNUMBER(SEARCH("556",P2871)))*(I2871*VLOOKUP($B2871,Premissas!$A$4:$E$7,2,0)+J2871*VLOOKUP($B2871,Premissas!$A$4:$E$7,3,0))+K2871*VLOOKUP($B2871,Premissas!$A$4:$E$7,4,0)+L2871*VLOOKUP($B2871,Premissas!$A$4:$E$7,5,0))</f>
        <v/>
      </c>
      <c r="N2871" s="14">
        <f>H2871-M2871</f>
        <v/>
      </c>
      <c r="O2871" t="inlineStr">
        <is>
          <t>Não</t>
        </is>
      </c>
      <c r="P2871" t="inlineStr">
        <is>
          <t>1.350</t>
        </is>
      </c>
    </row>
    <row r="2872">
      <c r="A2872" s="24" t="n">
        <v>46113</v>
      </c>
      <c r="B2872" t="inlineStr">
        <is>
          <t>Frete de venda</t>
        </is>
      </c>
      <c r="C2872" t="inlineStr">
        <is>
          <t>Frete de venda (para clientes)</t>
        </is>
      </c>
      <c r="D2872" t="inlineStr">
        <is>
          <t>CT-e</t>
        </is>
      </c>
      <c r="E2872" t="inlineStr">
        <is>
          <t>000006883</t>
        </is>
      </c>
      <c r="F2872" t="inlineStr">
        <is>
          <t>R&amp;R TRANSPORTE E LOGISTICA</t>
        </is>
      </c>
      <c r="G2872" s="27" t="n">
        <v>46137</v>
      </c>
      <c r="H2872" s="14" t="n">
        <v>35.7</v>
      </c>
      <c r="I2872" s="14" t="n">
        <v>0</v>
      </c>
      <c r="J2872" s="14" t="n">
        <v>0</v>
      </c>
      <c r="K2872" s="14" t="n">
        <v>0</v>
      </c>
      <c r="L2872" s="14" t="n">
        <v>0</v>
      </c>
      <c r="M2872" s="14">
        <f>IF(B2872="Frete de venda",0,(1-ISNUMBER(SEARCH("556",P2872)))*(I2872*VLOOKUP($B2872,Premissas!$A$4:$E$7,2,0)+J2872*VLOOKUP($B2872,Premissas!$A$4:$E$7,3,0))+K2872*VLOOKUP($B2872,Premissas!$A$4:$E$7,4,0)+L2872*VLOOKUP($B2872,Premissas!$A$4:$E$7,5,0))</f>
        <v/>
      </c>
      <c r="N2872" s="14">
        <f>H2872-M2872</f>
        <v/>
      </c>
      <c r="O2872" t="inlineStr">
        <is>
          <t>Não</t>
        </is>
      </c>
      <c r="P2872" t="inlineStr">
        <is>
          <t>1.350</t>
        </is>
      </c>
    </row>
    <row r="2873">
      <c r="A2873" s="24" t="n">
        <v>46113</v>
      </c>
      <c r="B2873" t="inlineStr">
        <is>
          <t>Frete de venda</t>
        </is>
      </c>
      <c r="C2873" t="inlineStr">
        <is>
          <t>Frete de venda (para clientes)</t>
        </is>
      </c>
      <c r="D2873" t="inlineStr">
        <is>
          <t>CT-e</t>
        </is>
      </c>
      <c r="E2873" t="inlineStr">
        <is>
          <t>000006744</t>
        </is>
      </c>
      <c r="F2873" t="inlineStr">
        <is>
          <t>R&amp;R TRANSPORTE E LOGISTICA</t>
        </is>
      </c>
      <c r="G2873" s="27" t="n">
        <v>46119</v>
      </c>
      <c r="H2873" s="14" t="n">
        <v>26.93</v>
      </c>
      <c r="I2873" s="14" t="n">
        <v>0</v>
      </c>
      <c r="J2873" s="14" t="n">
        <v>0</v>
      </c>
      <c r="K2873" s="14" t="n">
        <v>0</v>
      </c>
      <c r="L2873" s="14" t="n">
        <v>0</v>
      </c>
      <c r="M2873" s="14">
        <f>IF(B2873="Frete de venda",0,(1-ISNUMBER(SEARCH("556",P2873)))*(I2873*VLOOKUP($B2873,Premissas!$A$4:$E$7,2,0)+J2873*VLOOKUP($B2873,Premissas!$A$4:$E$7,3,0))+K2873*VLOOKUP($B2873,Premissas!$A$4:$E$7,4,0)+L2873*VLOOKUP($B2873,Premissas!$A$4:$E$7,5,0))</f>
        <v/>
      </c>
      <c r="N2873" s="14">
        <f>H2873-M2873</f>
        <v/>
      </c>
      <c r="O2873" t="inlineStr">
        <is>
          <t>Não</t>
        </is>
      </c>
      <c r="P2873" t="inlineStr">
        <is>
          <t>1.350</t>
        </is>
      </c>
    </row>
    <row r="2874">
      <c r="A2874" s="24" t="n">
        <v>46113</v>
      </c>
      <c r="B2874" t="inlineStr">
        <is>
          <t>Frete de venda</t>
        </is>
      </c>
      <c r="C2874" t="inlineStr">
        <is>
          <t>Frete de venda (para clientes)</t>
        </is>
      </c>
      <c r="D2874" t="inlineStr">
        <is>
          <t>CT-e</t>
        </is>
      </c>
      <c r="E2874" t="inlineStr">
        <is>
          <t>000003514</t>
        </is>
      </c>
      <c r="F2874" t="inlineStr">
        <is>
          <t>RAPIDO XAPURI TRANSPORTES E LOGISTICA LTDA</t>
        </is>
      </c>
      <c r="G2874" s="27" t="n">
        <v>46127</v>
      </c>
      <c r="H2874" s="14" t="n">
        <v>880.7</v>
      </c>
      <c r="I2874" s="14" t="n">
        <v>0</v>
      </c>
      <c r="J2874" s="14" t="n">
        <v>105.68</v>
      </c>
      <c r="K2874" s="14" t="n">
        <v>0</v>
      </c>
      <c r="L2874" s="14" t="n">
        <v>0</v>
      </c>
      <c r="M2874" s="14">
        <f>IF(B2874="Frete de venda",0,(1-ISNUMBER(SEARCH("556",P2874)))*(I2874*VLOOKUP($B2874,Premissas!$A$4:$E$7,2,0)+J2874*VLOOKUP($B2874,Premissas!$A$4:$E$7,3,0))+K2874*VLOOKUP($B2874,Premissas!$A$4:$E$7,4,0)+L2874*VLOOKUP($B2874,Premissas!$A$4:$E$7,5,0))</f>
        <v/>
      </c>
      <c r="N2874" s="14">
        <f>H2874-M2874</f>
        <v/>
      </c>
      <c r="O2874" t="inlineStr">
        <is>
          <t>Sim</t>
        </is>
      </c>
      <c r="P2874" t="inlineStr">
        <is>
          <t>1.350</t>
        </is>
      </c>
    </row>
    <row r="2875">
      <c r="A2875" s="24" t="n">
        <v>46113</v>
      </c>
      <c r="B2875" t="inlineStr">
        <is>
          <t>Frete de venda</t>
        </is>
      </c>
      <c r="C2875" t="inlineStr">
        <is>
          <t>Frete de venda (para clientes)</t>
        </is>
      </c>
      <c r="D2875" t="inlineStr">
        <is>
          <t>CT-e</t>
        </is>
      </c>
      <c r="E2875" t="inlineStr">
        <is>
          <t>000006840</t>
        </is>
      </c>
      <c r="F2875" t="inlineStr">
        <is>
          <t>R&amp;R TRANSPORTE E LOGISTICA</t>
        </is>
      </c>
      <c r="G2875" s="27" t="n">
        <v>46132</v>
      </c>
      <c r="H2875" s="14" t="n">
        <v>2850</v>
      </c>
      <c r="I2875" s="14" t="n">
        <v>0</v>
      </c>
      <c r="J2875" s="14" t="n">
        <v>0</v>
      </c>
      <c r="K2875" s="14" t="n">
        <v>0</v>
      </c>
      <c r="L2875" s="14" t="n">
        <v>0</v>
      </c>
      <c r="M2875" s="14">
        <f>IF(B2875="Frete de venda",0,(1-ISNUMBER(SEARCH("556",P2875)))*(I2875*VLOOKUP($B2875,Premissas!$A$4:$E$7,2,0)+J2875*VLOOKUP($B2875,Premissas!$A$4:$E$7,3,0))+K2875*VLOOKUP($B2875,Premissas!$A$4:$E$7,4,0)+L2875*VLOOKUP($B2875,Premissas!$A$4:$E$7,5,0))</f>
        <v/>
      </c>
      <c r="N2875" s="14">
        <f>H2875-M2875</f>
        <v/>
      </c>
      <c r="O2875" t="inlineStr">
        <is>
          <t>Sim</t>
        </is>
      </c>
      <c r="P2875" t="inlineStr">
        <is>
          <t>1.350</t>
        </is>
      </c>
    </row>
    <row r="2876">
      <c r="A2876" s="24" t="n">
        <v>46113</v>
      </c>
      <c r="B2876" t="inlineStr">
        <is>
          <t>Frete de venda</t>
        </is>
      </c>
      <c r="C2876" t="inlineStr">
        <is>
          <t>Frete de venda (para clientes)</t>
        </is>
      </c>
      <c r="D2876" t="inlineStr">
        <is>
          <t>CT-e</t>
        </is>
      </c>
      <c r="E2876" t="inlineStr">
        <is>
          <t>000006894</t>
        </is>
      </c>
      <c r="F2876" t="inlineStr">
        <is>
          <t>R&amp;R TRANSPORTE E LOGISTICA</t>
        </is>
      </c>
      <c r="G2876" s="27" t="n">
        <v>46137</v>
      </c>
      <c r="H2876" s="14" t="n">
        <v>18.5</v>
      </c>
      <c r="I2876" s="14" t="n">
        <v>0</v>
      </c>
      <c r="J2876" s="14" t="n">
        <v>0</v>
      </c>
      <c r="K2876" s="14" t="n">
        <v>0</v>
      </c>
      <c r="L2876" s="14" t="n">
        <v>0</v>
      </c>
      <c r="M2876" s="14">
        <f>IF(B2876="Frete de venda",0,(1-ISNUMBER(SEARCH("556",P2876)))*(I2876*VLOOKUP($B2876,Premissas!$A$4:$E$7,2,0)+J2876*VLOOKUP($B2876,Premissas!$A$4:$E$7,3,0))+K2876*VLOOKUP($B2876,Premissas!$A$4:$E$7,4,0)+L2876*VLOOKUP($B2876,Premissas!$A$4:$E$7,5,0))</f>
        <v/>
      </c>
      <c r="N2876" s="14">
        <f>H2876-M2876</f>
        <v/>
      </c>
      <c r="O2876" t="inlineStr">
        <is>
          <t>Não</t>
        </is>
      </c>
      <c r="P2876" t="inlineStr">
        <is>
          <t>1.350</t>
        </is>
      </c>
    </row>
    <row r="2877">
      <c r="A2877" s="24" t="n">
        <v>46113</v>
      </c>
      <c r="B2877" t="inlineStr">
        <is>
          <t>Frete de venda</t>
        </is>
      </c>
      <c r="C2877" t="inlineStr">
        <is>
          <t>Frete de venda (para clientes)</t>
        </is>
      </c>
      <c r="D2877" t="inlineStr">
        <is>
          <t>CT-e</t>
        </is>
      </c>
      <c r="E2877" t="inlineStr">
        <is>
          <t>000006825</t>
        </is>
      </c>
      <c r="F2877" t="inlineStr">
        <is>
          <t>R&amp;R TRANSPORTE E LOGISTICA</t>
        </is>
      </c>
      <c r="G2877" s="27" t="n">
        <v>46128</v>
      </c>
      <c r="H2877" s="14" t="n">
        <v>45.63</v>
      </c>
      <c r="I2877" s="14" t="n">
        <v>0</v>
      </c>
      <c r="J2877" s="14" t="n">
        <v>0</v>
      </c>
      <c r="K2877" s="14" t="n">
        <v>0</v>
      </c>
      <c r="L2877" s="14" t="n">
        <v>0</v>
      </c>
      <c r="M2877" s="14">
        <f>IF(B2877="Frete de venda",0,(1-ISNUMBER(SEARCH("556",P2877)))*(I2877*VLOOKUP($B2877,Premissas!$A$4:$E$7,2,0)+J2877*VLOOKUP($B2877,Premissas!$A$4:$E$7,3,0))+K2877*VLOOKUP($B2877,Premissas!$A$4:$E$7,4,0)+L2877*VLOOKUP($B2877,Premissas!$A$4:$E$7,5,0))</f>
        <v/>
      </c>
      <c r="N2877" s="14">
        <f>H2877-M2877</f>
        <v/>
      </c>
      <c r="O2877" t="inlineStr">
        <is>
          <t>Não</t>
        </is>
      </c>
      <c r="P2877" t="inlineStr">
        <is>
          <t>1.350</t>
        </is>
      </c>
    </row>
    <row r="2878">
      <c r="A2878" s="24" t="n">
        <v>46113</v>
      </c>
      <c r="B2878" t="inlineStr">
        <is>
          <t>Frete de venda</t>
        </is>
      </c>
      <c r="C2878" t="inlineStr">
        <is>
          <t>Frete de venda (para clientes)</t>
        </is>
      </c>
      <c r="D2878" t="inlineStr">
        <is>
          <t>CT-e</t>
        </is>
      </c>
      <c r="E2878" t="inlineStr">
        <is>
          <t>000006884</t>
        </is>
      </c>
      <c r="F2878" t="inlineStr">
        <is>
          <t>R&amp;R TRANSPORTE E LOGISTICA</t>
        </is>
      </c>
      <c r="G2878" s="27" t="n">
        <v>46137</v>
      </c>
      <c r="H2878" s="14" t="n">
        <v>16.78</v>
      </c>
      <c r="I2878" s="14" t="n">
        <v>0</v>
      </c>
      <c r="J2878" s="14" t="n">
        <v>0</v>
      </c>
      <c r="K2878" s="14" t="n">
        <v>0</v>
      </c>
      <c r="L2878" s="14" t="n">
        <v>0</v>
      </c>
      <c r="M2878" s="14">
        <f>IF(B2878="Frete de venda",0,(1-ISNUMBER(SEARCH("556",P2878)))*(I2878*VLOOKUP($B2878,Premissas!$A$4:$E$7,2,0)+J2878*VLOOKUP($B2878,Premissas!$A$4:$E$7,3,0))+K2878*VLOOKUP($B2878,Premissas!$A$4:$E$7,4,0)+L2878*VLOOKUP($B2878,Premissas!$A$4:$E$7,5,0))</f>
        <v/>
      </c>
      <c r="N2878" s="14">
        <f>H2878-M2878</f>
        <v/>
      </c>
      <c r="O2878" t="inlineStr">
        <is>
          <t>Não</t>
        </is>
      </c>
      <c r="P2878" t="inlineStr">
        <is>
          <t>1.350</t>
        </is>
      </c>
    </row>
    <row r="2879">
      <c r="A2879" s="24" t="n">
        <v>46113</v>
      </c>
      <c r="B2879" t="inlineStr">
        <is>
          <t>Frete de venda</t>
        </is>
      </c>
      <c r="C2879" t="inlineStr">
        <is>
          <t>Frete de venda (para clientes)</t>
        </is>
      </c>
      <c r="D2879" t="inlineStr">
        <is>
          <t>CT-e</t>
        </is>
      </c>
      <c r="E2879" t="inlineStr">
        <is>
          <t>000000675</t>
        </is>
      </c>
      <c r="F2879" t="inlineStr">
        <is>
          <t>REIMAG - REINALDO DOMINGUES BARROS DA SILVA</t>
        </is>
      </c>
      <c r="G2879" s="27" t="n">
        <v>46141</v>
      </c>
      <c r="H2879" s="14" t="n">
        <v>375</v>
      </c>
      <c r="I2879" s="14" t="n">
        <v>0</v>
      </c>
      <c r="J2879" s="14" t="n">
        <v>0</v>
      </c>
      <c r="K2879" s="14" t="n">
        <v>0</v>
      </c>
      <c r="L2879" s="14" t="n">
        <v>0</v>
      </c>
      <c r="M2879" s="14">
        <f>IF(B2879="Frete de venda",0,(1-ISNUMBER(SEARCH("556",P2879)))*(I2879*VLOOKUP($B2879,Premissas!$A$4:$E$7,2,0)+J2879*VLOOKUP($B2879,Premissas!$A$4:$E$7,3,0))+K2879*VLOOKUP($B2879,Premissas!$A$4:$E$7,4,0)+L2879*VLOOKUP($B2879,Premissas!$A$4:$E$7,5,0))</f>
        <v/>
      </c>
      <c r="N2879" s="14">
        <f>H2879-M2879</f>
        <v/>
      </c>
      <c r="O2879" t="inlineStr">
        <is>
          <t>Sim</t>
        </is>
      </c>
      <c r="P2879" t="inlineStr">
        <is>
          <t>1.350</t>
        </is>
      </c>
    </row>
    <row r="2880">
      <c r="A2880" s="24" t="n">
        <v>46113</v>
      </c>
      <c r="B2880" t="inlineStr">
        <is>
          <t>Frete de venda</t>
        </is>
      </c>
      <c r="C2880" t="inlineStr">
        <is>
          <t>Frete de venda (para clientes)</t>
        </is>
      </c>
      <c r="D2880" t="inlineStr">
        <is>
          <t>CT-e</t>
        </is>
      </c>
      <c r="E2880" t="inlineStr">
        <is>
          <t>000006851</t>
        </is>
      </c>
      <c r="F2880" t="inlineStr">
        <is>
          <t>R&amp;R TRANSPORTE E LOGISTICA</t>
        </is>
      </c>
      <c r="G2880" s="27" t="n">
        <v>46135</v>
      </c>
      <c r="H2880" s="14" t="n">
        <v>70.66</v>
      </c>
      <c r="I2880" s="14" t="n">
        <v>0</v>
      </c>
      <c r="J2880" s="14" t="n">
        <v>0</v>
      </c>
      <c r="K2880" s="14" t="n">
        <v>0</v>
      </c>
      <c r="L2880" s="14" t="n">
        <v>0</v>
      </c>
      <c r="M2880" s="14">
        <f>IF(B2880="Frete de venda",0,(1-ISNUMBER(SEARCH("556",P2880)))*(I2880*VLOOKUP($B2880,Premissas!$A$4:$E$7,2,0)+J2880*VLOOKUP($B2880,Premissas!$A$4:$E$7,3,0))+K2880*VLOOKUP($B2880,Premissas!$A$4:$E$7,4,0)+L2880*VLOOKUP($B2880,Premissas!$A$4:$E$7,5,0))</f>
        <v/>
      </c>
      <c r="N2880" s="14">
        <f>H2880-M2880</f>
        <v/>
      </c>
      <c r="O2880" t="inlineStr">
        <is>
          <t>Não</t>
        </is>
      </c>
      <c r="P2880" t="inlineStr">
        <is>
          <t>1.350</t>
        </is>
      </c>
    </row>
    <row r="2881">
      <c r="A2881" s="24" t="n">
        <v>46113</v>
      </c>
      <c r="B2881" t="inlineStr">
        <is>
          <t>Frete de venda</t>
        </is>
      </c>
      <c r="C2881" t="inlineStr">
        <is>
          <t>Frete de venda (para clientes)</t>
        </is>
      </c>
      <c r="D2881" t="inlineStr">
        <is>
          <t>CT-e</t>
        </is>
      </c>
      <c r="E2881" t="inlineStr">
        <is>
          <t>000006848</t>
        </is>
      </c>
      <c r="F2881" t="inlineStr">
        <is>
          <t>R&amp;R TRANSPORTE E LOGISTICA</t>
        </is>
      </c>
      <c r="G2881" s="27" t="n">
        <v>46135</v>
      </c>
      <c r="H2881" s="14" t="n">
        <v>89.41</v>
      </c>
      <c r="I2881" s="14" t="n">
        <v>0</v>
      </c>
      <c r="J2881" s="14" t="n">
        <v>0</v>
      </c>
      <c r="K2881" s="14" t="n">
        <v>0</v>
      </c>
      <c r="L2881" s="14" t="n">
        <v>0</v>
      </c>
      <c r="M2881" s="14">
        <f>IF(B2881="Frete de venda",0,(1-ISNUMBER(SEARCH("556",P2881)))*(I2881*VLOOKUP($B2881,Premissas!$A$4:$E$7,2,0)+J2881*VLOOKUP($B2881,Premissas!$A$4:$E$7,3,0))+K2881*VLOOKUP($B2881,Premissas!$A$4:$E$7,4,0)+L2881*VLOOKUP($B2881,Premissas!$A$4:$E$7,5,0))</f>
        <v/>
      </c>
      <c r="N2881" s="14">
        <f>H2881-M2881</f>
        <v/>
      </c>
      <c r="O2881" t="inlineStr">
        <is>
          <t>Não</t>
        </is>
      </c>
      <c r="P2881" t="inlineStr">
        <is>
          <t>1.350</t>
        </is>
      </c>
    </row>
    <row r="2882">
      <c r="A2882" s="24" t="n">
        <v>46113</v>
      </c>
      <c r="B2882" t="inlineStr">
        <is>
          <t>Frete de venda</t>
        </is>
      </c>
      <c r="C2882" t="inlineStr">
        <is>
          <t>Frete de venda (para clientes)</t>
        </is>
      </c>
      <c r="D2882" t="inlineStr">
        <is>
          <t>CT-e</t>
        </is>
      </c>
      <c r="E2882" t="inlineStr">
        <is>
          <t>000006922</t>
        </is>
      </c>
      <c r="F2882" t="inlineStr">
        <is>
          <t>R&amp;R TRANSPORTE E LOGISTICA</t>
        </is>
      </c>
      <c r="G2882" s="27" t="n">
        <v>46142</v>
      </c>
      <c r="H2882" s="14" t="n">
        <v>40.98</v>
      </c>
      <c r="I2882" s="14" t="n">
        <v>0</v>
      </c>
      <c r="J2882" s="14" t="n">
        <v>0</v>
      </c>
      <c r="K2882" s="14" t="n">
        <v>0</v>
      </c>
      <c r="L2882" s="14" t="n">
        <v>0</v>
      </c>
      <c r="M2882" s="14">
        <f>IF(B2882="Frete de venda",0,(1-ISNUMBER(SEARCH("556",P2882)))*(I2882*VLOOKUP($B2882,Premissas!$A$4:$E$7,2,0)+J2882*VLOOKUP($B2882,Premissas!$A$4:$E$7,3,0))+K2882*VLOOKUP($B2882,Premissas!$A$4:$E$7,4,0)+L2882*VLOOKUP($B2882,Premissas!$A$4:$E$7,5,0))</f>
        <v/>
      </c>
      <c r="N2882" s="14">
        <f>H2882-M2882</f>
        <v/>
      </c>
      <c r="O2882" t="inlineStr">
        <is>
          <t>Não</t>
        </is>
      </c>
      <c r="P2882" t="inlineStr">
        <is>
          <t>1.350</t>
        </is>
      </c>
    </row>
    <row r="2883">
      <c r="A2883" s="24" t="n">
        <v>46113</v>
      </c>
      <c r="B2883" t="inlineStr">
        <is>
          <t>Frete de venda</t>
        </is>
      </c>
      <c r="C2883" t="inlineStr">
        <is>
          <t>Frete de venda (para clientes)</t>
        </is>
      </c>
      <c r="D2883" t="inlineStr">
        <is>
          <t>CT-e</t>
        </is>
      </c>
      <c r="E2883" t="inlineStr">
        <is>
          <t>000006769</t>
        </is>
      </c>
      <c r="F2883" t="inlineStr">
        <is>
          <t>R&amp;R TRANSPORTE E LOGISTICA</t>
        </is>
      </c>
      <c r="G2883" s="27" t="n">
        <v>46122</v>
      </c>
      <c r="H2883" s="14" t="n">
        <v>2891.24</v>
      </c>
      <c r="I2883" s="14" t="n">
        <v>0</v>
      </c>
      <c r="J2883" s="14" t="n">
        <v>0</v>
      </c>
      <c r="K2883" s="14" t="n">
        <v>0</v>
      </c>
      <c r="L2883" s="14" t="n">
        <v>0</v>
      </c>
      <c r="M2883" s="14">
        <f>IF(B2883="Frete de venda",0,(1-ISNUMBER(SEARCH("556",P2883)))*(I2883*VLOOKUP($B2883,Premissas!$A$4:$E$7,2,0)+J2883*VLOOKUP($B2883,Premissas!$A$4:$E$7,3,0))+K2883*VLOOKUP($B2883,Premissas!$A$4:$E$7,4,0)+L2883*VLOOKUP($B2883,Premissas!$A$4:$E$7,5,0))</f>
        <v/>
      </c>
      <c r="N2883" s="14">
        <f>H2883-M2883</f>
        <v/>
      </c>
      <c r="O2883" t="inlineStr">
        <is>
          <t>Não</t>
        </is>
      </c>
      <c r="P2883" t="inlineStr">
        <is>
          <t>1.350</t>
        </is>
      </c>
    </row>
    <row r="2884">
      <c r="A2884" s="24" t="n">
        <v>46113</v>
      </c>
      <c r="B2884" t="inlineStr">
        <is>
          <t>Frete de venda</t>
        </is>
      </c>
      <c r="C2884" t="inlineStr">
        <is>
          <t>Frete de venda (para clientes)</t>
        </is>
      </c>
      <c r="D2884" t="inlineStr">
        <is>
          <t>CT-e</t>
        </is>
      </c>
      <c r="E2884" t="inlineStr">
        <is>
          <t>000006772</t>
        </is>
      </c>
      <c r="F2884" t="inlineStr">
        <is>
          <t>R&amp;R TRANSPORTE E LOGISTICA</t>
        </is>
      </c>
      <c r="G2884" s="27" t="n">
        <v>46122</v>
      </c>
      <c r="H2884" s="14" t="n">
        <v>2845.47</v>
      </c>
      <c r="I2884" s="14" t="n">
        <v>0</v>
      </c>
      <c r="J2884" s="14" t="n">
        <v>0</v>
      </c>
      <c r="K2884" s="14" t="n">
        <v>0</v>
      </c>
      <c r="L2884" s="14" t="n">
        <v>0</v>
      </c>
      <c r="M2884" s="14">
        <f>IF(B2884="Frete de venda",0,(1-ISNUMBER(SEARCH("556",P2884)))*(I2884*VLOOKUP($B2884,Premissas!$A$4:$E$7,2,0)+J2884*VLOOKUP($B2884,Premissas!$A$4:$E$7,3,0))+K2884*VLOOKUP($B2884,Premissas!$A$4:$E$7,4,0)+L2884*VLOOKUP($B2884,Premissas!$A$4:$E$7,5,0))</f>
        <v/>
      </c>
      <c r="N2884" s="14">
        <f>H2884-M2884</f>
        <v/>
      </c>
      <c r="O2884" t="inlineStr">
        <is>
          <t>Não</t>
        </is>
      </c>
      <c r="P2884" t="inlineStr">
        <is>
          <t>1.350</t>
        </is>
      </c>
    </row>
    <row r="2885">
      <c r="A2885" s="24" t="n">
        <v>46113</v>
      </c>
      <c r="B2885" t="inlineStr">
        <is>
          <t>Frete de venda</t>
        </is>
      </c>
      <c r="C2885" t="inlineStr">
        <is>
          <t>Frete de venda (para clientes)</t>
        </is>
      </c>
      <c r="D2885" t="inlineStr">
        <is>
          <t>CT-e</t>
        </is>
      </c>
      <c r="E2885" t="inlineStr">
        <is>
          <t>000006790</t>
        </is>
      </c>
      <c r="F2885" t="inlineStr">
        <is>
          <t>R&amp;R TRANSPORTE E LOGISTICA</t>
        </is>
      </c>
      <c r="G2885" s="27" t="n">
        <v>46123</v>
      </c>
      <c r="H2885" s="14" t="n">
        <v>969.3200000000001</v>
      </c>
      <c r="I2885" s="14" t="n">
        <v>0</v>
      </c>
      <c r="J2885" s="14" t="n">
        <v>0</v>
      </c>
      <c r="K2885" s="14" t="n">
        <v>0</v>
      </c>
      <c r="L2885" s="14" t="n">
        <v>0</v>
      </c>
      <c r="M2885" s="14">
        <f>IF(B2885="Frete de venda",0,(1-ISNUMBER(SEARCH("556",P2885)))*(I2885*VLOOKUP($B2885,Premissas!$A$4:$E$7,2,0)+J2885*VLOOKUP($B2885,Premissas!$A$4:$E$7,3,0))+K2885*VLOOKUP($B2885,Premissas!$A$4:$E$7,4,0)+L2885*VLOOKUP($B2885,Premissas!$A$4:$E$7,5,0))</f>
        <v/>
      </c>
      <c r="N2885" s="14">
        <f>H2885-M2885</f>
        <v/>
      </c>
      <c r="O2885" t="inlineStr">
        <is>
          <t>Não</t>
        </is>
      </c>
      <c r="P2885" t="inlineStr">
        <is>
          <t>1.350</t>
        </is>
      </c>
    </row>
    <row r="2886">
      <c r="A2886" s="24" t="n">
        <v>46113</v>
      </c>
      <c r="B2886" t="inlineStr">
        <is>
          <t>Frete de venda</t>
        </is>
      </c>
      <c r="C2886" t="inlineStr">
        <is>
          <t>Frete de venda (para clientes)</t>
        </is>
      </c>
      <c r="D2886" t="inlineStr">
        <is>
          <t>CT-e</t>
        </is>
      </c>
      <c r="E2886" t="inlineStr">
        <is>
          <t>000006838</t>
        </is>
      </c>
      <c r="F2886" t="inlineStr">
        <is>
          <t>R&amp;R TRANSPORTE E LOGISTICA</t>
        </is>
      </c>
      <c r="G2886" s="27" t="n">
        <v>46132</v>
      </c>
      <c r="H2886" s="14" t="n">
        <v>71.34999999999999</v>
      </c>
      <c r="I2886" s="14" t="n">
        <v>0</v>
      </c>
      <c r="J2886" s="14" t="n">
        <v>0</v>
      </c>
      <c r="K2886" s="14" t="n">
        <v>0</v>
      </c>
      <c r="L2886" s="14" t="n">
        <v>0</v>
      </c>
      <c r="M2886" s="14">
        <f>IF(B2886="Frete de venda",0,(1-ISNUMBER(SEARCH("556",P2886)))*(I2886*VLOOKUP($B2886,Premissas!$A$4:$E$7,2,0)+J2886*VLOOKUP($B2886,Premissas!$A$4:$E$7,3,0))+K2886*VLOOKUP($B2886,Premissas!$A$4:$E$7,4,0)+L2886*VLOOKUP($B2886,Premissas!$A$4:$E$7,5,0))</f>
        <v/>
      </c>
      <c r="N2886" s="14">
        <f>H2886-M2886</f>
        <v/>
      </c>
      <c r="O2886" t="inlineStr">
        <is>
          <t>Não</t>
        </is>
      </c>
      <c r="P2886" t="inlineStr">
        <is>
          <t>1.350</t>
        </is>
      </c>
    </row>
    <row r="2887">
      <c r="A2887" s="24" t="n">
        <v>46113</v>
      </c>
      <c r="B2887" t="inlineStr">
        <is>
          <t>Frete de venda</t>
        </is>
      </c>
      <c r="C2887" t="inlineStr">
        <is>
          <t>Frete de venda (para clientes)</t>
        </is>
      </c>
      <c r="D2887" t="inlineStr">
        <is>
          <t>CT-e</t>
        </is>
      </c>
      <c r="E2887" t="inlineStr">
        <is>
          <t>000006875</t>
        </is>
      </c>
      <c r="F2887" t="inlineStr">
        <is>
          <t>R&amp;R TRANSPORTE E LOGISTICA</t>
        </is>
      </c>
      <c r="G2887" s="27" t="n">
        <v>46137</v>
      </c>
      <c r="H2887" s="14" t="n">
        <v>22.99</v>
      </c>
      <c r="I2887" s="14" t="n">
        <v>0</v>
      </c>
      <c r="J2887" s="14" t="n">
        <v>0</v>
      </c>
      <c r="K2887" s="14" t="n">
        <v>0</v>
      </c>
      <c r="L2887" s="14" t="n">
        <v>0</v>
      </c>
      <c r="M2887" s="14">
        <f>IF(B2887="Frete de venda",0,(1-ISNUMBER(SEARCH("556",P2887)))*(I2887*VLOOKUP($B2887,Premissas!$A$4:$E$7,2,0)+J2887*VLOOKUP($B2887,Premissas!$A$4:$E$7,3,0))+K2887*VLOOKUP($B2887,Premissas!$A$4:$E$7,4,0)+L2887*VLOOKUP($B2887,Premissas!$A$4:$E$7,5,0))</f>
        <v/>
      </c>
      <c r="N2887" s="14">
        <f>H2887-M2887</f>
        <v/>
      </c>
      <c r="O2887" t="inlineStr">
        <is>
          <t>Não</t>
        </is>
      </c>
      <c r="P2887" t="inlineStr">
        <is>
          <t>1.350</t>
        </is>
      </c>
    </row>
    <row r="2888">
      <c r="A2888" s="24" t="n">
        <v>46113</v>
      </c>
      <c r="B2888" t="inlineStr">
        <is>
          <t>Frete de venda</t>
        </is>
      </c>
      <c r="C2888" t="inlineStr">
        <is>
          <t>Frete de venda (para clientes)</t>
        </is>
      </c>
      <c r="D2888" t="inlineStr">
        <is>
          <t>CT-e</t>
        </is>
      </c>
      <c r="E2888" t="inlineStr">
        <is>
          <t>001425848</t>
        </is>
      </c>
      <c r="F2888" t="inlineStr">
        <is>
          <t>PICCOLI TRANSPORTES LTDA</t>
        </is>
      </c>
      <c r="G2888" s="27" t="n">
        <v>46122</v>
      </c>
      <c r="H2888" s="14" t="n">
        <v>803.5</v>
      </c>
      <c r="I2888" s="14" t="n">
        <v>0</v>
      </c>
      <c r="J2888" s="14" t="n">
        <v>56.24</v>
      </c>
      <c r="K2888" s="14" t="n">
        <v>0</v>
      </c>
      <c r="L2888" s="14" t="n">
        <v>0</v>
      </c>
      <c r="M2888" s="14">
        <f>IF(B2888="Frete de venda",0,(1-ISNUMBER(SEARCH("556",P2888)))*(I2888*VLOOKUP($B2888,Premissas!$A$4:$E$7,2,0)+J2888*VLOOKUP($B2888,Premissas!$A$4:$E$7,3,0))+K2888*VLOOKUP($B2888,Premissas!$A$4:$E$7,4,0)+L2888*VLOOKUP($B2888,Premissas!$A$4:$E$7,5,0))</f>
        <v/>
      </c>
      <c r="N2888" s="14">
        <f>H2888-M2888</f>
        <v/>
      </c>
      <c r="O2888" t="inlineStr">
        <is>
          <t>Sim</t>
        </is>
      </c>
      <c r="P2888" t="inlineStr">
        <is>
          <t>1.350</t>
        </is>
      </c>
    </row>
    <row r="2889">
      <c r="A2889" s="24" t="n">
        <v>46113</v>
      </c>
      <c r="B2889" t="inlineStr">
        <is>
          <t>Frete de venda</t>
        </is>
      </c>
      <c r="C2889" t="inlineStr">
        <is>
          <t>Frete de venda (para clientes)</t>
        </is>
      </c>
      <c r="D2889" t="inlineStr">
        <is>
          <t>CT-e</t>
        </is>
      </c>
      <c r="E2889" t="inlineStr">
        <is>
          <t>000006736</t>
        </is>
      </c>
      <c r="F2889" t="inlineStr">
        <is>
          <t>R&amp;R TRANSPORTE E LOGISTICA</t>
        </is>
      </c>
      <c r="G2889" s="27" t="n">
        <v>46119</v>
      </c>
      <c r="H2889" s="14" t="n">
        <v>19.02</v>
      </c>
      <c r="I2889" s="14" t="n">
        <v>0</v>
      </c>
      <c r="J2889" s="14" t="n">
        <v>0</v>
      </c>
      <c r="K2889" s="14" t="n">
        <v>0</v>
      </c>
      <c r="L2889" s="14" t="n">
        <v>0</v>
      </c>
      <c r="M2889" s="14">
        <f>IF(B2889="Frete de venda",0,(1-ISNUMBER(SEARCH("556",P2889)))*(I2889*VLOOKUP($B2889,Premissas!$A$4:$E$7,2,0)+J2889*VLOOKUP($B2889,Premissas!$A$4:$E$7,3,0))+K2889*VLOOKUP($B2889,Premissas!$A$4:$E$7,4,0)+L2889*VLOOKUP($B2889,Premissas!$A$4:$E$7,5,0))</f>
        <v/>
      </c>
      <c r="N2889" s="14">
        <f>H2889-M2889</f>
        <v/>
      </c>
      <c r="O2889" t="inlineStr">
        <is>
          <t>Não</t>
        </is>
      </c>
      <c r="P2889" t="inlineStr">
        <is>
          <t>1.350</t>
        </is>
      </c>
    </row>
    <row r="2890">
      <c r="A2890" s="24" t="n">
        <v>46113</v>
      </c>
      <c r="B2890" t="inlineStr">
        <is>
          <t>Frete de venda</t>
        </is>
      </c>
      <c r="C2890" t="inlineStr">
        <is>
          <t>Frete de venda (para clientes)</t>
        </is>
      </c>
      <c r="D2890" t="inlineStr">
        <is>
          <t>CT-e</t>
        </is>
      </c>
      <c r="E2890" t="inlineStr">
        <is>
          <t>000006743</t>
        </is>
      </c>
      <c r="F2890" t="inlineStr">
        <is>
          <t>R&amp;R TRANSPORTE E LOGISTICA</t>
        </is>
      </c>
      <c r="G2890" s="27" t="n">
        <v>46119</v>
      </c>
      <c r="H2890" s="14" t="n">
        <v>100.38</v>
      </c>
      <c r="I2890" s="14" t="n">
        <v>0</v>
      </c>
      <c r="J2890" s="14" t="n">
        <v>0</v>
      </c>
      <c r="K2890" s="14" t="n">
        <v>0</v>
      </c>
      <c r="L2890" s="14" t="n">
        <v>0</v>
      </c>
      <c r="M2890" s="14">
        <f>IF(B2890="Frete de venda",0,(1-ISNUMBER(SEARCH("556",P2890)))*(I2890*VLOOKUP($B2890,Premissas!$A$4:$E$7,2,0)+J2890*VLOOKUP($B2890,Premissas!$A$4:$E$7,3,0))+K2890*VLOOKUP($B2890,Premissas!$A$4:$E$7,4,0)+L2890*VLOOKUP($B2890,Premissas!$A$4:$E$7,5,0))</f>
        <v/>
      </c>
      <c r="N2890" s="14">
        <f>H2890-M2890</f>
        <v/>
      </c>
      <c r="O2890" t="inlineStr">
        <is>
          <t>Não</t>
        </is>
      </c>
      <c r="P2890" t="inlineStr">
        <is>
          <t>1.350</t>
        </is>
      </c>
    </row>
    <row r="2891">
      <c r="A2891" s="24" t="n">
        <v>46113</v>
      </c>
      <c r="B2891" t="inlineStr">
        <is>
          <t>Frete de venda</t>
        </is>
      </c>
      <c r="C2891" t="inlineStr">
        <is>
          <t>Frete de venda (para clientes)</t>
        </is>
      </c>
      <c r="D2891" t="inlineStr">
        <is>
          <t>CT-e</t>
        </is>
      </c>
      <c r="E2891" t="inlineStr">
        <is>
          <t>000006713</t>
        </is>
      </c>
      <c r="F2891" t="inlineStr">
        <is>
          <t>R&amp;R TRANSPORTE E LOGISTICA</t>
        </is>
      </c>
      <c r="G2891" s="27" t="n">
        <v>46114</v>
      </c>
      <c r="H2891" s="14" t="n">
        <v>40.11</v>
      </c>
      <c r="I2891" s="14" t="n">
        <v>0</v>
      </c>
      <c r="J2891" s="14" t="n">
        <v>0</v>
      </c>
      <c r="K2891" s="14" t="n">
        <v>0</v>
      </c>
      <c r="L2891" s="14" t="n">
        <v>0</v>
      </c>
      <c r="M2891" s="14">
        <f>IF(B2891="Frete de venda",0,(1-ISNUMBER(SEARCH("556",P2891)))*(I2891*VLOOKUP($B2891,Premissas!$A$4:$E$7,2,0)+J2891*VLOOKUP($B2891,Premissas!$A$4:$E$7,3,0))+K2891*VLOOKUP($B2891,Premissas!$A$4:$E$7,4,0)+L2891*VLOOKUP($B2891,Premissas!$A$4:$E$7,5,0))</f>
        <v/>
      </c>
      <c r="N2891" s="14">
        <f>H2891-M2891</f>
        <v/>
      </c>
      <c r="O2891" t="inlineStr">
        <is>
          <t>Não</t>
        </is>
      </c>
      <c r="P2891" t="inlineStr">
        <is>
          <t>1.350</t>
        </is>
      </c>
    </row>
    <row r="2892">
      <c r="A2892" s="24" t="n">
        <v>46113</v>
      </c>
      <c r="B2892" t="inlineStr">
        <is>
          <t>Frete de venda</t>
        </is>
      </c>
      <c r="C2892" t="inlineStr">
        <is>
          <t>Frete de venda (para clientes)</t>
        </is>
      </c>
      <c r="D2892" t="inlineStr">
        <is>
          <t>CT-e</t>
        </is>
      </c>
      <c r="E2892" t="inlineStr">
        <is>
          <t>000006812</t>
        </is>
      </c>
      <c r="F2892" t="inlineStr">
        <is>
          <t>R&amp;R TRANSPORTE E LOGISTICA</t>
        </is>
      </c>
      <c r="G2892" s="27" t="n">
        <v>46128</v>
      </c>
      <c r="H2892" s="14" t="n">
        <v>35.43</v>
      </c>
      <c r="I2892" s="14" t="n">
        <v>0</v>
      </c>
      <c r="J2892" s="14" t="n">
        <v>0</v>
      </c>
      <c r="K2892" s="14" t="n">
        <v>0</v>
      </c>
      <c r="L2892" s="14" t="n">
        <v>0</v>
      </c>
      <c r="M2892" s="14">
        <f>IF(B2892="Frete de venda",0,(1-ISNUMBER(SEARCH("556",P2892)))*(I2892*VLOOKUP($B2892,Premissas!$A$4:$E$7,2,0)+J2892*VLOOKUP($B2892,Premissas!$A$4:$E$7,3,0))+K2892*VLOOKUP($B2892,Premissas!$A$4:$E$7,4,0)+L2892*VLOOKUP($B2892,Premissas!$A$4:$E$7,5,0))</f>
        <v/>
      </c>
      <c r="N2892" s="14">
        <f>H2892-M2892</f>
        <v/>
      </c>
      <c r="O2892" t="inlineStr">
        <is>
          <t>Não</t>
        </is>
      </c>
      <c r="P2892" t="inlineStr">
        <is>
          <t>1.350</t>
        </is>
      </c>
    </row>
    <row r="2893">
      <c r="A2893" s="24" t="n">
        <v>46113</v>
      </c>
      <c r="B2893" t="inlineStr">
        <is>
          <t>Frete de venda</t>
        </is>
      </c>
      <c r="C2893" t="inlineStr">
        <is>
          <t>Frete de venda (para clientes)</t>
        </is>
      </c>
      <c r="D2893" t="inlineStr">
        <is>
          <t>CT-e</t>
        </is>
      </c>
      <c r="E2893" t="inlineStr">
        <is>
          <t>000024482</t>
        </is>
      </c>
      <c r="F2893" t="inlineStr">
        <is>
          <t>TRANSPORTE OLIVEIRA E MELLOI - IDEALIZA TRANSPORTES</t>
        </is>
      </c>
      <c r="G2893" s="27" t="n">
        <v>46141</v>
      </c>
      <c r="H2893" s="14" t="n">
        <v>968.25</v>
      </c>
      <c r="I2893" s="14" t="n">
        <v>0</v>
      </c>
      <c r="J2893" s="14" t="n">
        <v>116.19</v>
      </c>
      <c r="K2893" s="14" t="n">
        <v>0</v>
      </c>
      <c r="L2893" s="14" t="n">
        <v>0</v>
      </c>
      <c r="M2893" s="14">
        <f>IF(B2893="Frete de venda",0,(1-ISNUMBER(SEARCH("556",P2893)))*(I2893*VLOOKUP($B2893,Premissas!$A$4:$E$7,2,0)+J2893*VLOOKUP($B2893,Premissas!$A$4:$E$7,3,0))+K2893*VLOOKUP($B2893,Premissas!$A$4:$E$7,4,0)+L2893*VLOOKUP($B2893,Premissas!$A$4:$E$7,5,0))</f>
        <v/>
      </c>
      <c r="N2893" s="14">
        <f>H2893-M2893</f>
        <v/>
      </c>
      <c r="O2893" t="inlineStr">
        <is>
          <t>Sim</t>
        </is>
      </c>
      <c r="P2893" t="inlineStr">
        <is>
          <t>1.350</t>
        </is>
      </c>
    </row>
    <row r="2894">
      <c r="A2894" s="24" t="n">
        <v>46113</v>
      </c>
      <c r="B2894" t="inlineStr">
        <is>
          <t>Frete de venda</t>
        </is>
      </c>
      <c r="C2894" t="inlineStr">
        <is>
          <t>Frete de venda (para clientes)</t>
        </is>
      </c>
      <c r="D2894" t="inlineStr">
        <is>
          <t>CT-e</t>
        </is>
      </c>
      <c r="E2894" t="inlineStr">
        <is>
          <t>000006820</t>
        </is>
      </c>
      <c r="F2894" t="inlineStr">
        <is>
          <t>R&amp;R TRANSPORTE E LOGISTICA</t>
        </is>
      </c>
      <c r="G2894" s="27" t="n">
        <v>46128</v>
      </c>
      <c r="H2894" s="14" t="n">
        <v>53.48</v>
      </c>
      <c r="I2894" s="14" t="n">
        <v>0</v>
      </c>
      <c r="J2894" s="14" t="n">
        <v>0</v>
      </c>
      <c r="K2894" s="14" t="n">
        <v>0</v>
      </c>
      <c r="L2894" s="14" t="n">
        <v>0</v>
      </c>
      <c r="M2894" s="14">
        <f>IF(B2894="Frete de venda",0,(1-ISNUMBER(SEARCH("556",P2894)))*(I2894*VLOOKUP($B2894,Premissas!$A$4:$E$7,2,0)+J2894*VLOOKUP($B2894,Premissas!$A$4:$E$7,3,0))+K2894*VLOOKUP($B2894,Premissas!$A$4:$E$7,4,0)+L2894*VLOOKUP($B2894,Premissas!$A$4:$E$7,5,0))</f>
        <v/>
      </c>
      <c r="N2894" s="14">
        <f>H2894-M2894</f>
        <v/>
      </c>
      <c r="O2894" t="inlineStr">
        <is>
          <t>Não</t>
        </is>
      </c>
      <c r="P2894" t="inlineStr">
        <is>
          <t>1.350</t>
        </is>
      </c>
    </row>
    <row r="2895">
      <c r="A2895" s="24" t="n">
        <v>46113</v>
      </c>
      <c r="B2895" t="inlineStr">
        <is>
          <t>Frete de venda</t>
        </is>
      </c>
      <c r="C2895" t="inlineStr">
        <is>
          <t>Frete de venda (para clientes)</t>
        </is>
      </c>
      <c r="D2895" t="inlineStr">
        <is>
          <t>CT-e</t>
        </is>
      </c>
      <c r="E2895" t="inlineStr">
        <is>
          <t>000006813</t>
        </is>
      </c>
      <c r="F2895" t="inlineStr">
        <is>
          <t>R&amp;R TRANSPORTE E LOGISTICA</t>
        </is>
      </c>
      <c r="G2895" s="27" t="n">
        <v>46128</v>
      </c>
      <c r="H2895" s="14" t="n">
        <v>32.08</v>
      </c>
      <c r="I2895" s="14" t="n">
        <v>0</v>
      </c>
      <c r="J2895" s="14" t="n">
        <v>0</v>
      </c>
      <c r="K2895" s="14" t="n">
        <v>0</v>
      </c>
      <c r="L2895" s="14" t="n">
        <v>0</v>
      </c>
      <c r="M2895" s="14">
        <f>IF(B2895="Frete de venda",0,(1-ISNUMBER(SEARCH("556",P2895)))*(I2895*VLOOKUP($B2895,Premissas!$A$4:$E$7,2,0)+J2895*VLOOKUP($B2895,Premissas!$A$4:$E$7,3,0))+K2895*VLOOKUP($B2895,Premissas!$A$4:$E$7,4,0)+L2895*VLOOKUP($B2895,Premissas!$A$4:$E$7,5,0))</f>
        <v/>
      </c>
      <c r="N2895" s="14">
        <f>H2895-M2895</f>
        <v/>
      </c>
      <c r="O2895" t="inlineStr">
        <is>
          <t>Não</t>
        </is>
      </c>
      <c r="P2895" t="inlineStr">
        <is>
          <t>1.350</t>
        </is>
      </c>
    </row>
    <row r="2896">
      <c r="A2896" s="24" t="n">
        <v>46113</v>
      </c>
      <c r="B2896" t="inlineStr">
        <is>
          <t>Frete de venda</t>
        </is>
      </c>
      <c r="C2896" t="inlineStr">
        <is>
          <t>Frete de venda (para clientes)</t>
        </is>
      </c>
      <c r="D2896" t="inlineStr">
        <is>
          <t>CT-e</t>
        </is>
      </c>
      <c r="E2896" t="inlineStr">
        <is>
          <t>000006809</t>
        </is>
      </c>
      <c r="F2896" t="inlineStr">
        <is>
          <t>R&amp;R TRANSPORTE E LOGISTICA</t>
        </is>
      </c>
      <c r="G2896" s="27" t="n">
        <v>46128</v>
      </c>
      <c r="H2896" s="14" t="n">
        <v>62.1</v>
      </c>
      <c r="I2896" s="14" t="n">
        <v>0</v>
      </c>
      <c r="J2896" s="14" t="n">
        <v>0</v>
      </c>
      <c r="K2896" s="14" t="n">
        <v>0</v>
      </c>
      <c r="L2896" s="14" t="n">
        <v>0</v>
      </c>
      <c r="M2896" s="14">
        <f>IF(B2896="Frete de venda",0,(1-ISNUMBER(SEARCH("556",P2896)))*(I2896*VLOOKUP($B2896,Premissas!$A$4:$E$7,2,0)+J2896*VLOOKUP($B2896,Premissas!$A$4:$E$7,3,0))+K2896*VLOOKUP($B2896,Premissas!$A$4:$E$7,4,0)+L2896*VLOOKUP($B2896,Premissas!$A$4:$E$7,5,0))</f>
        <v/>
      </c>
      <c r="N2896" s="14">
        <f>H2896-M2896</f>
        <v/>
      </c>
      <c r="O2896" t="inlineStr">
        <is>
          <t>Não</t>
        </is>
      </c>
      <c r="P2896" t="inlineStr">
        <is>
          <t>1.350</t>
        </is>
      </c>
    </row>
    <row r="2897">
      <c r="A2897" s="24" t="n">
        <v>46113</v>
      </c>
      <c r="B2897" t="inlineStr">
        <is>
          <t>Frete de venda</t>
        </is>
      </c>
      <c r="C2897" t="inlineStr">
        <is>
          <t>Frete de venda (para clientes)</t>
        </is>
      </c>
      <c r="D2897" t="inlineStr">
        <is>
          <t>CT-e</t>
        </is>
      </c>
      <c r="E2897" t="inlineStr">
        <is>
          <t>000006821</t>
        </is>
      </c>
      <c r="F2897" t="inlineStr">
        <is>
          <t>R&amp;R TRANSPORTE E LOGISTICA</t>
        </is>
      </c>
      <c r="G2897" s="27" t="n">
        <v>46128</v>
      </c>
      <c r="H2897" s="14" t="n">
        <v>47.72</v>
      </c>
      <c r="I2897" s="14" t="n">
        <v>0</v>
      </c>
      <c r="J2897" s="14" t="n">
        <v>0</v>
      </c>
      <c r="K2897" s="14" t="n">
        <v>0</v>
      </c>
      <c r="L2897" s="14" t="n">
        <v>0</v>
      </c>
      <c r="M2897" s="14">
        <f>IF(B2897="Frete de venda",0,(1-ISNUMBER(SEARCH("556",P2897)))*(I2897*VLOOKUP($B2897,Premissas!$A$4:$E$7,2,0)+J2897*VLOOKUP($B2897,Premissas!$A$4:$E$7,3,0))+K2897*VLOOKUP($B2897,Premissas!$A$4:$E$7,4,0)+L2897*VLOOKUP($B2897,Premissas!$A$4:$E$7,5,0))</f>
        <v/>
      </c>
      <c r="N2897" s="14">
        <f>H2897-M2897</f>
        <v/>
      </c>
      <c r="O2897" t="inlineStr">
        <is>
          <t>Não</t>
        </is>
      </c>
      <c r="P2897" t="inlineStr">
        <is>
          <t>1.350</t>
        </is>
      </c>
    </row>
    <row r="2898">
      <c r="A2898" s="24" t="n">
        <v>46113</v>
      </c>
      <c r="B2898" t="inlineStr">
        <is>
          <t>Frete de venda</t>
        </is>
      </c>
      <c r="C2898" t="inlineStr">
        <is>
          <t>Frete de venda (para clientes)</t>
        </is>
      </c>
      <c r="D2898" t="inlineStr">
        <is>
          <t>CT-e</t>
        </is>
      </c>
      <c r="E2898" t="inlineStr">
        <is>
          <t>000006822</t>
        </is>
      </c>
      <c r="F2898" t="inlineStr">
        <is>
          <t>R&amp;R TRANSPORTE E LOGISTICA</t>
        </is>
      </c>
      <c r="G2898" s="27" t="n">
        <v>46128</v>
      </c>
      <c r="H2898" s="14" t="n">
        <v>120.57</v>
      </c>
      <c r="I2898" s="14" t="n">
        <v>0</v>
      </c>
      <c r="J2898" s="14" t="n">
        <v>0</v>
      </c>
      <c r="K2898" s="14" t="n">
        <v>0</v>
      </c>
      <c r="L2898" s="14" t="n">
        <v>0</v>
      </c>
      <c r="M2898" s="14">
        <f>IF(B2898="Frete de venda",0,(1-ISNUMBER(SEARCH("556",P2898)))*(I2898*VLOOKUP($B2898,Premissas!$A$4:$E$7,2,0)+J2898*VLOOKUP($B2898,Premissas!$A$4:$E$7,3,0))+K2898*VLOOKUP($B2898,Premissas!$A$4:$E$7,4,0)+L2898*VLOOKUP($B2898,Premissas!$A$4:$E$7,5,0))</f>
        <v/>
      </c>
      <c r="N2898" s="14">
        <f>H2898-M2898</f>
        <v/>
      </c>
      <c r="O2898" t="inlineStr">
        <is>
          <t>Não</t>
        </is>
      </c>
      <c r="P2898" t="inlineStr">
        <is>
          <t>1.350</t>
        </is>
      </c>
    </row>
    <row r="2899">
      <c r="A2899" s="24" t="n">
        <v>46113</v>
      </c>
      <c r="B2899" t="inlineStr">
        <is>
          <t>Frete de venda</t>
        </is>
      </c>
      <c r="C2899" t="inlineStr">
        <is>
          <t>Frete de venda (para clientes)</t>
        </is>
      </c>
      <c r="D2899" t="inlineStr">
        <is>
          <t>CT-e</t>
        </is>
      </c>
      <c r="E2899" t="inlineStr">
        <is>
          <t>000006823</t>
        </is>
      </c>
      <c r="F2899" t="inlineStr">
        <is>
          <t>R&amp;R TRANSPORTE E LOGISTICA</t>
        </is>
      </c>
      <c r="G2899" s="27" t="n">
        <v>46128</v>
      </c>
      <c r="H2899" s="14" t="n">
        <v>27.83</v>
      </c>
      <c r="I2899" s="14" t="n">
        <v>0</v>
      </c>
      <c r="J2899" s="14" t="n">
        <v>0</v>
      </c>
      <c r="K2899" s="14" t="n">
        <v>0</v>
      </c>
      <c r="L2899" s="14" t="n">
        <v>0</v>
      </c>
      <c r="M2899" s="14">
        <f>IF(B2899="Frete de venda",0,(1-ISNUMBER(SEARCH("556",P2899)))*(I2899*VLOOKUP($B2899,Premissas!$A$4:$E$7,2,0)+J2899*VLOOKUP($B2899,Premissas!$A$4:$E$7,3,0))+K2899*VLOOKUP($B2899,Premissas!$A$4:$E$7,4,0)+L2899*VLOOKUP($B2899,Premissas!$A$4:$E$7,5,0))</f>
        <v/>
      </c>
      <c r="N2899" s="14">
        <f>H2899-M2899</f>
        <v/>
      </c>
      <c r="O2899" t="inlineStr">
        <is>
          <t>Não</t>
        </is>
      </c>
      <c r="P2899" t="inlineStr">
        <is>
          <t>1.350</t>
        </is>
      </c>
    </row>
    <row r="2900">
      <c r="A2900" s="24" t="n">
        <v>46113</v>
      </c>
      <c r="B2900" t="inlineStr">
        <is>
          <t>Frete de venda</t>
        </is>
      </c>
      <c r="C2900" t="inlineStr">
        <is>
          <t>Frete de venda (para clientes)</t>
        </is>
      </c>
      <c r="D2900" t="inlineStr">
        <is>
          <t>CT-e</t>
        </is>
      </c>
      <c r="E2900" t="inlineStr">
        <is>
          <t>000006824</t>
        </is>
      </c>
      <c r="F2900" t="inlineStr">
        <is>
          <t>R&amp;R TRANSPORTE E LOGISTICA</t>
        </is>
      </c>
      <c r="G2900" s="27" t="n">
        <v>46128</v>
      </c>
      <c r="H2900" s="14" t="n">
        <v>80.48999999999999</v>
      </c>
      <c r="I2900" s="14" t="n">
        <v>0</v>
      </c>
      <c r="J2900" s="14" t="n">
        <v>0</v>
      </c>
      <c r="K2900" s="14" t="n">
        <v>0</v>
      </c>
      <c r="L2900" s="14" t="n">
        <v>0</v>
      </c>
      <c r="M2900" s="14">
        <f>IF(B2900="Frete de venda",0,(1-ISNUMBER(SEARCH("556",P2900)))*(I2900*VLOOKUP($B2900,Premissas!$A$4:$E$7,2,0)+J2900*VLOOKUP($B2900,Premissas!$A$4:$E$7,3,0))+K2900*VLOOKUP($B2900,Premissas!$A$4:$E$7,4,0)+L2900*VLOOKUP($B2900,Premissas!$A$4:$E$7,5,0))</f>
        <v/>
      </c>
      <c r="N2900" s="14">
        <f>H2900-M2900</f>
        <v/>
      </c>
      <c r="O2900" t="inlineStr">
        <is>
          <t>Não</t>
        </is>
      </c>
      <c r="P2900" t="inlineStr">
        <is>
          <t>1.350</t>
        </is>
      </c>
    </row>
    <row r="2901">
      <c r="A2901" s="24" t="n">
        <v>46113</v>
      </c>
      <c r="B2901" t="inlineStr">
        <is>
          <t>Frete de venda</t>
        </is>
      </c>
      <c r="C2901" t="inlineStr">
        <is>
          <t>Frete de venda (para clientes)</t>
        </is>
      </c>
      <c r="D2901" t="inlineStr">
        <is>
          <t>CT-e</t>
        </is>
      </c>
      <c r="E2901" t="inlineStr">
        <is>
          <t>000006888</t>
        </is>
      </c>
      <c r="F2901" t="inlineStr">
        <is>
          <t>R&amp;R TRANSPORTE E LOGISTICA</t>
        </is>
      </c>
      <c r="G2901" s="27" t="n">
        <v>46137</v>
      </c>
      <c r="H2901" s="14" t="n">
        <v>14.73</v>
      </c>
      <c r="I2901" s="14" t="n">
        <v>0</v>
      </c>
      <c r="J2901" s="14" t="n">
        <v>0</v>
      </c>
      <c r="K2901" s="14" t="n">
        <v>0</v>
      </c>
      <c r="L2901" s="14" t="n">
        <v>0</v>
      </c>
      <c r="M2901" s="14">
        <f>IF(B2901="Frete de venda",0,(1-ISNUMBER(SEARCH("556",P2901)))*(I2901*VLOOKUP($B2901,Premissas!$A$4:$E$7,2,0)+J2901*VLOOKUP($B2901,Premissas!$A$4:$E$7,3,0))+K2901*VLOOKUP($B2901,Premissas!$A$4:$E$7,4,0)+L2901*VLOOKUP($B2901,Premissas!$A$4:$E$7,5,0))</f>
        <v/>
      </c>
      <c r="N2901" s="14">
        <f>H2901-M2901</f>
        <v/>
      </c>
      <c r="O2901" t="inlineStr">
        <is>
          <t>Não</t>
        </is>
      </c>
      <c r="P2901" t="inlineStr">
        <is>
          <t>1.350</t>
        </is>
      </c>
    </row>
    <row r="2902">
      <c r="A2902" s="24" t="n">
        <v>46113</v>
      </c>
      <c r="B2902" t="inlineStr">
        <is>
          <t>Frete de venda</t>
        </is>
      </c>
      <c r="C2902" t="inlineStr">
        <is>
          <t>Frete de venda (para clientes)</t>
        </is>
      </c>
      <c r="D2902" t="inlineStr">
        <is>
          <t>CT-e</t>
        </is>
      </c>
      <c r="E2902" t="inlineStr">
        <is>
          <t>000006782</t>
        </is>
      </c>
      <c r="F2902" t="inlineStr">
        <is>
          <t>R&amp;R TRANSPORTE E LOGISTICA</t>
        </is>
      </c>
      <c r="G2902" s="27" t="n">
        <v>46123</v>
      </c>
      <c r="H2902" s="14" t="n">
        <v>957.09</v>
      </c>
      <c r="I2902" s="14" t="n">
        <v>0</v>
      </c>
      <c r="J2902" s="14" t="n">
        <v>0</v>
      </c>
      <c r="K2902" s="14" t="n">
        <v>0</v>
      </c>
      <c r="L2902" s="14" t="n">
        <v>0</v>
      </c>
      <c r="M2902" s="14">
        <f>IF(B2902="Frete de venda",0,(1-ISNUMBER(SEARCH("556",P2902)))*(I2902*VLOOKUP($B2902,Premissas!$A$4:$E$7,2,0)+J2902*VLOOKUP($B2902,Premissas!$A$4:$E$7,3,0))+K2902*VLOOKUP($B2902,Premissas!$A$4:$E$7,4,0)+L2902*VLOOKUP($B2902,Premissas!$A$4:$E$7,5,0))</f>
        <v/>
      </c>
      <c r="N2902" s="14">
        <f>H2902-M2902</f>
        <v/>
      </c>
      <c r="O2902" t="inlineStr">
        <is>
          <t>Não</t>
        </is>
      </c>
      <c r="P2902" t="inlineStr">
        <is>
          <t>1.350</t>
        </is>
      </c>
    </row>
    <row r="2903">
      <c r="A2903" s="24" t="n">
        <v>46113</v>
      </c>
      <c r="B2903" t="inlineStr">
        <is>
          <t>Frete de venda</t>
        </is>
      </c>
      <c r="C2903" t="inlineStr">
        <is>
          <t>Frete de venda (para clientes)</t>
        </is>
      </c>
      <c r="D2903" t="inlineStr">
        <is>
          <t>CT-e</t>
        </is>
      </c>
      <c r="E2903" t="inlineStr">
        <is>
          <t>000006741</t>
        </is>
      </c>
      <c r="F2903" t="inlineStr">
        <is>
          <t>R&amp;R TRANSPORTE E LOGISTICA</t>
        </is>
      </c>
      <c r="G2903" s="27" t="n">
        <v>46119</v>
      </c>
      <c r="H2903" s="14" t="n">
        <v>17.35</v>
      </c>
      <c r="I2903" s="14" t="n">
        <v>0</v>
      </c>
      <c r="J2903" s="14" t="n">
        <v>0</v>
      </c>
      <c r="K2903" s="14" t="n">
        <v>0</v>
      </c>
      <c r="L2903" s="14" t="n">
        <v>0</v>
      </c>
      <c r="M2903" s="14">
        <f>IF(B2903="Frete de venda",0,(1-ISNUMBER(SEARCH("556",P2903)))*(I2903*VLOOKUP($B2903,Premissas!$A$4:$E$7,2,0)+J2903*VLOOKUP($B2903,Premissas!$A$4:$E$7,3,0))+K2903*VLOOKUP($B2903,Premissas!$A$4:$E$7,4,0)+L2903*VLOOKUP($B2903,Premissas!$A$4:$E$7,5,0))</f>
        <v/>
      </c>
      <c r="N2903" s="14">
        <f>H2903-M2903</f>
        <v/>
      </c>
      <c r="O2903" t="inlineStr">
        <is>
          <t>Não</t>
        </is>
      </c>
      <c r="P2903" t="inlineStr">
        <is>
          <t>1.350</t>
        </is>
      </c>
    </row>
    <row r="2904">
      <c r="A2904" s="24" t="n">
        <v>46113</v>
      </c>
      <c r="B2904" t="inlineStr">
        <is>
          <t>Frete de venda</t>
        </is>
      </c>
      <c r="C2904" t="inlineStr">
        <is>
          <t>Frete de venda (para clientes)</t>
        </is>
      </c>
      <c r="D2904" t="inlineStr">
        <is>
          <t>CT-e</t>
        </is>
      </c>
      <c r="E2904" t="inlineStr">
        <is>
          <t>000006841</t>
        </is>
      </c>
      <c r="F2904" t="inlineStr">
        <is>
          <t>R&amp;R TRANSPORTE E LOGISTICA</t>
        </is>
      </c>
      <c r="G2904" s="27" t="n">
        <v>46132</v>
      </c>
      <c r="H2904" s="14" t="n">
        <v>2850</v>
      </c>
      <c r="I2904" s="14" t="n">
        <v>0</v>
      </c>
      <c r="J2904" s="14" t="n">
        <v>0</v>
      </c>
      <c r="K2904" s="14" t="n">
        <v>0</v>
      </c>
      <c r="L2904" s="14" t="n">
        <v>0</v>
      </c>
      <c r="M2904" s="14">
        <f>IF(B2904="Frete de venda",0,(1-ISNUMBER(SEARCH("556",P2904)))*(I2904*VLOOKUP($B2904,Premissas!$A$4:$E$7,2,0)+J2904*VLOOKUP($B2904,Premissas!$A$4:$E$7,3,0))+K2904*VLOOKUP($B2904,Premissas!$A$4:$E$7,4,0)+L2904*VLOOKUP($B2904,Premissas!$A$4:$E$7,5,0))</f>
        <v/>
      </c>
      <c r="N2904" s="14">
        <f>H2904-M2904</f>
        <v/>
      </c>
      <c r="O2904" t="inlineStr">
        <is>
          <t>Sim</t>
        </is>
      </c>
      <c r="P2904" t="inlineStr">
        <is>
          <t>1.350</t>
        </is>
      </c>
    </row>
    <row r="2905">
      <c r="A2905" s="24" t="n">
        <v>46113</v>
      </c>
      <c r="B2905" t="inlineStr">
        <is>
          <t>Frete de venda</t>
        </is>
      </c>
      <c r="C2905" t="inlineStr">
        <is>
          <t>Frete de venda (para clientes)</t>
        </is>
      </c>
      <c r="D2905" t="inlineStr">
        <is>
          <t>CT-e</t>
        </is>
      </c>
      <c r="E2905" t="inlineStr">
        <is>
          <t>000006905</t>
        </is>
      </c>
      <c r="F2905" t="inlineStr">
        <is>
          <t>R&amp;R TRANSPORTE E LOGISTICA</t>
        </is>
      </c>
      <c r="G2905" s="27" t="n">
        <v>46138</v>
      </c>
      <c r="H2905" s="14" t="n">
        <v>690</v>
      </c>
      <c r="I2905" s="14" t="n">
        <v>0</v>
      </c>
      <c r="J2905" s="14" t="n">
        <v>0</v>
      </c>
      <c r="K2905" s="14" t="n">
        <v>0</v>
      </c>
      <c r="L2905" s="14" t="n">
        <v>0</v>
      </c>
      <c r="M2905" s="14">
        <f>IF(B2905="Frete de venda",0,(1-ISNUMBER(SEARCH("556",P2905)))*(I2905*VLOOKUP($B2905,Premissas!$A$4:$E$7,2,0)+J2905*VLOOKUP($B2905,Premissas!$A$4:$E$7,3,0))+K2905*VLOOKUP($B2905,Premissas!$A$4:$E$7,4,0)+L2905*VLOOKUP($B2905,Premissas!$A$4:$E$7,5,0))</f>
        <v/>
      </c>
      <c r="N2905" s="14">
        <f>H2905-M2905</f>
        <v/>
      </c>
      <c r="O2905" t="inlineStr">
        <is>
          <t>Sim</t>
        </is>
      </c>
      <c r="P2905" t="inlineStr">
        <is>
          <t>1.350</t>
        </is>
      </c>
    </row>
    <row r="2906">
      <c r="A2906" s="24" t="n">
        <v>46113</v>
      </c>
      <c r="B2906" t="inlineStr">
        <is>
          <t>Frete de venda</t>
        </is>
      </c>
      <c r="C2906" t="inlineStr">
        <is>
          <t>Frete de venda (para clientes)</t>
        </is>
      </c>
      <c r="D2906" t="inlineStr">
        <is>
          <t>CT-e</t>
        </is>
      </c>
      <c r="E2906" t="inlineStr">
        <is>
          <t>000006900</t>
        </is>
      </c>
      <c r="F2906" t="inlineStr">
        <is>
          <t>R&amp;R TRANSPORTE E LOGISTICA</t>
        </is>
      </c>
      <c r="G2906" s="27" t="n">
        <v>46137</v>
      </c>
      <c r="H2906" s="14" t="n">
        <v>52.47</v>
      </c>
      <c r="I2906" s="14" t="n">
        <v>0</v>
      </c>
      <c r="J2906" s="14" t="n">
        <v>0</v>
      </c>
      <c r="K2906" s="14" t="n">
        <v>0</v>
      </c>
      <c r="L2906" s="14" t="n">
        <v>0</v>
      </c>
      <c r="M2906" s="14">
        <f>IF(B2906="Frete de venda",0,(1-ISNUMBER(SEARCH("556",P2906)))*(I2906*VLOOKUP($B2906,Premissas!$A$4:$E$7,2,0)+J2906*VLOOKUP($B2906,Premissas!$A$4:$E$7,3,0))+K2906*VLOOKUP($B2906,Premissas!$A$4:$E$7,4,0)+L2906*VLOOKUP($B2906,Premissas!$A$4:$E$7,5,0))</f>
        <v/>
      </c>
      <c r="N2906" s="14">
        <f>H2906-M2906</f>
        <v/>
      </c>
      <c r="O2906" t="inlineStr">
        <is>
          <t>Não</t>
        </is>
      </c>
      <c r="P2906" t="inlineStr">
        <is>
          <t>1.350</t>
        </is>
      </c>
    </row>
    <row r="2907">
      <c r="A2907" s="24" t="n">
        <v>46113</v>
      </c>
      <c r="B2907" t="inlineStr">
        <is>
          <t>Frete de venda</t>
        </is>
      </c>
      <c r="C2907" t="inlineStr">
        <is>
          <t>Frete de venda (para clientes)</t>
        </is>
      </c>
      <c r="D2907" t="inlineStr">
        <is>
          <t>CT-e</t>
        </is>
      </c>
      <c r="E2907" t="inlineStr">
        <is>
          <t>000006892</t>
        </is>
      </c>
      <c r="F2907" t="inlineStr">
        <is>
          <t>R&amp;R TRANSPORTE E LOGISTICA</t>
        </is>
      </c>
      <c r="G2907" s="27" t="n">
        <v>46137</v>
      </c>
      <c r="H2907" s="14" t="n">
        <v>17.78</v>
      </c>
      <c r="I2907" s="14" t="n">
        <v>0</v>
      </c>
      <c r="J2907" s="14" t="n">
        <v>0</v>
      </c>
      <c r="K2907" s="14" t="n">
        <v>0</v>
      </c>
      <c r="L2907" s="14" t="n">
        <v>0</v>
      </c>
      <c r="M2907" s="14">
        <f>IF(B2907="Frete de venda",0,(1-ISNUMBER(SEARCH("556",P2907)))*(I2907*VLOOKUP($B2907,Premissas!$A$4:$E$7,2,0)+J2907*VLOOKUP($B2907,Premissas!$A$4:$E$7,3,0))+K2907*VLOOKUP($B2907,Premissas!$A$4:$E$7,4,0)+L2907*VLOOKUP($B2907,Premissas!$A$4:$E$7,5,0))</f>
        <v/>
      </c>
      <c r="N2907" s="14">
        <f>H2907-M2907</f>
        <v/>
      </c>
      <c r="O2907" t="inlineStr">
        <is>
          <t>Não</t>
        </is>
      </c>
      <c r="P2907" t="inlineStr">
        <is>
          <t>1.350</t>
        </is>
      </c>
    </row>
    <row r="2908">
      <c r="A2908" s="24" t="n">
        <v>46113</v>
      </c>
      <c r="B2908" t="inlineStr">
        <is>
          <t>Frete de venda</t>
        </is>
      </c>
      <c r="C2908" t="inlineStr">
        <is>
          <t>Frete de venda (para clientes)</t>
        </is>
      </c>
      <c r="D2908" t="inlineStr">
        <is>
          <t>CT-e</t>
        </is>
      </c>
      <c r="E2908" t="inlineStr">
        <is>
          <t>000006793</t>
        </is>
      </c>
      <c r="F2908" t="inlineStr">
        <is>
          <t>R&amp;R TRANSPORTE E LOGISTICA</t>
        </is>
      </c>
      <c r="G2908" s="27" t="n">
        <v>46123</v>
      </c>
      <c r="H2908" s="14" t="n">
        <v>963</v>
      </c>
      <c r="I2908" s="14" t="n">
        <v>0</v>
      </c>
      <c r="J2908" s="14" t="n">
        <v>0</v>
      </c>
      <c r="K2908" s="14" t="n">
        <v>0</v>
      </c>
      <c r="L2908" s="14" t="n">
        <v>0</v>
      </c>
      <c r="M2908" s="14">
        <f>IF(B2908="Frete de venda",0,(1-ISNUMBER(SEARCH("556",P2908)))*(I2908*VLOOKUP($B2908,Premissas!$A$4:$E$7,2,0)+J2908*VLOOKUP($B2908,Premissas!$A$4:$E$7,3,0))+K2908*VLOOKUP($B2908,Premissas!$A$4:$E$7,4,0)+L2908*VLOOKUP($B2908,Premissas!$A$4:$E$7,5,0))</f>
        <v/>
      </c>
      <c r="N2908" s="14">
        <f>H2908-M2908</f>
        <v/>
      </c>
      <c r="O2908" t="inlineStr">
        <is>
          <t>Não</t>
        </is>
      </c>
      <c r="P2908" t="inlineStr">
        <is>
          <t>1.350</t>
        </is>
      </c>
    </row>
    <row r="2909">
      <c r="A2909" s="24" t="n">
        <v>46113</v>
      </c>
      <c r="B2909" t="inlineStr">
        <is>
          <t>Frete de venda</t>
        </is>
      </c>
      <c r="C2909" t="inlineStr">
        <is>
          <t>Frete de venda (para clientes)</t>
        </is>
      </c>
      <c r="D2909" t="inlineStr">
        <is>
          <t>CT-e</t>
        </is>
      </c>
      <c r="E2909" t="inlineStr">
        <is>
          <t>000006828</t>
        </is>
      </c>
      <c r="F2909" t="inlineStr">
        <is>
          <t>R&amp;R TRANSPORTE E LOGISTICA</t>
        </is>
      </c>
      <c r="G2909" s="27" t="n">
        <v>46128</v>
      </c>
      <c r="H2909" s="14" t="n">
        <v>89.86</v>
      </c>
      <c r="I2909" s="14" t="n">
        <v>0</v>
      </c>
      <c r="J2909" s="14" t="n">
        <v>0</v>
      </c>
      <c r="K2909" s="14" t="n">
        <v>0</v>
      </c>
      <c r="L2909" s="14" t="n">
        <v>0</v>
      </c>
      <c r="M2909" s="14">
        <f>IF(B2909="Frete de venda",0,(1-ISNUMBER(SEARCH("556",P2909)))*(I2909*VLOOKUP($B2909,Premissas!$A$4:$E$7,2,0)+J2909*VLOOKUP($B2909,Premissas!$A$4:$E$7,3,0))+K2909*VLOOKUP($B2909,Premissas!$A$4:$E$7,4,0)+L2909*VLOOKUP($B2909,Premissas!$A$4:$E$7,5,0))</f>
        <v/>
      </c>
      <c r="N2909" s="14">
        <f>H2909-M2909</f>
        <v/>
      </c>
      <c r="O2909" t="inlineStr">
        <is>
          <t>Não</t>
        </is>
      </c>
      <c r="P2909" t="inlineStr">
        <is>
          <t>1.350</t>
        </is>
      </c>
    </row>
    <row r="2910">
      <c r="A2910" s="24" t="n">
        <v>46113</v>
      </c>
      <c r="B2910" t="inlineStr">
        <is>
          <t>Frete de venda</t>
        </is>
      </c>
      <c r="C2910" t="inlineStr">
        <is>
          <t>Frete de venda (para clientes)</t>
        </is>
      </c>
      <c r="D2910" t="inlineStr">
        <is>
          <t>CT-e</t>
        </is>
      </c>
      <c r="E2910" t="inlineStr">
        <is>
          <t>000006709</t>
        </is>
      </c>
      <c r="F2910" t="inlineStr">
        <is>
          <t>R&amp;R TRANSPORTE E LOGISTICA</t>
        </is>
      </c>
      <c r="G2910" s="27" t="n">
        <v>46114</v>
      </c>
      <c r="H2910" s="14" t="n">
        <v>74.37</v>
      </c>
      <c r="I2910" s="14" t="n">
        <v>0</v>
      </c>
      <c r="J2910" s="14" t="n">
        <v>0</v>
      </c>
      <c r="K2910" s="14" t="n">
        <v>0</v>
      </c>
      <c r="L2910" s="14" t="n">
        <v>0</v>
      </c>
      <c r="M2910" s="14">
        <f>IF(B2910="Frete de venda",0,(1-ISNUMBER(SEARCH("556",P2910)))*(I2910*VLOOKUP($B2910,Premissas!$A$4:$E$7,2,0)+J2910*VLOOKUP($B2910,Premissas!$A$4:$E$7,3,0))+K2910*VLOOKUP($B2910,Premissas!$A$4:$E$7,4,0)+L2910*VLOOKUP($B2910,Premissas!$A$4:$E$7,5,0))</f>
        <v/>
      </c>
      <c r="N2910" s="14">
        <f>H2910-M2910</f>
        <v/>
      </c>
      <c r="O2910" t="inlineStr">
        <is>
          <t>Não</t>
        </is>
      </c>
      <c r="P2910" t="inlineStr">
        <is>
          <t>1.350</t>
        </is>
      </c>
    </row>
    <row r="2911">
      <c r="A2911" s="24" t="n">
        <v>46113</v>
      </c>
      <c r="B2911" t="inlineStr">
        <is>
          <t>Frete de venda</t>
        </is>
      </c>
      <c r="C2911" t="inlineStr">
        <is>
          <t>Frete de venda (para clientes)</t>
        </is>
      </c>
      <c r="D2911" t="inlineStr">
        <is>
          <t>CT-e</t>
        </is>
      </c>
      <c r="E2911" t="inlineStr">
        <is>
          <t>000006792</t>
        </is>
      </c>
      <c r="F2911" t="inlineStr">
        <is>
          <t>R&amp;R TRANSPORTE E LOGISTICA</t>
        </is>
      </c>
      <c r="G2911" s="27" t="n">
        <v>46123</v>
      </c>
      <c r="H2911" s="14" t="n">
        <v>1075.98</v>
      </c>
      <c r="I2911" s="14" t="n">
        <v>0</v>
      </c>
      <c r="J2911" s="14" t="n">
        <v>0</v>
      </c>
      <c r="K2911" s="14" t="n">
        <v>0</v>
      </c>
      <c r="L2911" s="14" t="n">
        <v>0</v>
      </c>
      <c r="M2911" s="14">
        <f>IF(B2911="Frete de venda",0,(1-ISNUMBER(SEARCH("556",P2911)))*(I2911*VLOOKUP($B2911,Premissas!$A$4:$E$7,2,0)+J2911*VLOOKUP($B2911,Premissas!$A$4:$E$7,3,0))+K2911*VLOOKUP($B2911,Premissas!$A$4:$E$7,4,0)+L2911*VLOOKUP($B2911,Premissas!$A$4:$E$7,5,0))</f>
        <v/>
      </c>
      <c r="N2911" s="14">
        <f>H2911-M2911</f>
        <v/>
      </c>
      <c r="O2911" t="inlineStr">
        <is>
          <t>Não</t>
        </is>
      </c>
      <c r="P2911" t="inlineStr">
        <is>
          <t>1.350</t>
        </is>
      </c>
    </row>
    <row r="2912">
      <c r="A2912" s="24" t="n">
        <v>46113</v>
      </c>
      <c r="B2912" t="inlineStr">
        <is>
          <t>Frete de venda</t>
        </is>
      </c>
      <c r="C2912" t="inlineStr">
        <is>
          <t>Frete de venda (para clientes)</t>
        </is>
      </c>
      <c r="D2912" t="inlineStr">
        <is>
          <t>CT-e</t>
        </is>
      </c>
      <c r="E2912" t="inlineStr">
        <is>
          <t>000006750</t>
        </is>
      </c>
      <c r="F2912" t="inlineStr">
        <is>
          <t>R&amp;R TRANSPORTE E LOGISTICA</t>
        </is>
      </c>
      <c r="G2912" s="27" t="n">
        <v>46119</v>
      </c>
      <c r="H2912" s="14" t="n">
        <v>59.59</v>
      </c>
      <c r="I2912" s="14" t="n">
        <v>0</v>
      </c>
      <c r="J2912" s="14" t="n">
        <v>0</v>
      </c>
      <c r="K2912" s="14" t="n">
        <v>0</v>
      </c>
      <c r="L2912" s="14" t="n">
        <v>0</v>
      </c>
      <c r="M2912" s="14">
        <f>IF(B2912="Frete de venda",0,(1-ISNUMBER(SEARCH("556",P2912)))*(I2912*VLOOKUP($B2912,Premissas!$A$4:$E$7,2,0)+J2912*VLOOKUP($B2912,Premissas!$A$4:$E$7,3,0))+K2912*VLOOKUP($B2912,Premissas!$A$4:$E$7,4,0)+L2912*VLOOKUP($B2912,Premissas!$A$4:$E$7,5,0))</f>
        <v/>
      </c>
      <c r="N2912" s="14">
        <f>H2912-M2912</f>
        <v/>
      </c>
      <c r="O2912" t="inlineStr">
        <is>
          <t>Não</t>
        </is>
      </c>
      <c r="P2912" t="inlineStr">
        <is>
          <t>1.350</t>
        </is>
      </c>
    </row>
    <row r="2913">
      <c r="A2913" s="24" t="n">
        <v>46113</v>
      </c>
      <c r="B2913" t="inlineStr">
        <is>
          <t>Frete de venda</t>
        </is>
      </c>
      <c r="C2913" t="inlineStr">
        <is>
          <t>Frete de venda (para clientes)</t>
        </is>
      </c>
      <c r="D2913" t="inlineStr">
        <is>
          <t>CT-e</t>
        </is>
      </c>
      <c r="E2913" t="inlineStr">
        <is>
          <t>000006837</t>
        </is>
      </c>
      <c r="F2913" t="inlineStr">
        <is>
          <t>R&amp;R TRANSPORTE E LOGISTICA</t>
        </is>
      </c>
      <c r="G2913" s="27" t="n">
        <v>46132</v>
      </c>
      <c r="H2913" s="14" t="n">
        <v>89.28</v>
      </c>
      <c r="I2913" s="14" t="n">
        <v>0</v>
      </c>
      <c r="J2913" s="14" t="n">
        <v>0</v>
      </c>
      <c r="K2913" s="14" t="n">
        <v>0</v>
      </c>
      <c r="L2913" s="14" t="n">
        <v>0</v>
      </c>
      <c r="M2913" s="14">
        <f>IF(B2913="Frete de venda",0,(1-ISNUMBER(SEARCH("556",P2913)))*(I2913*VLOOKUP($B2913,Premissas!$A$4:$E$7,2,0)+J2913*VLOOKUP($B2913,Premissas!$A$4:$E$7,3,0))+K2913*VLOOKUP($B2913,Premissas!$A$4:$E$7,4,0)+L2913*VLOOKUP($B2913,Premissas!$A$4:$E$7,5,0))</f>
        <v/>
      </c>
      <c r="N2913" s="14">
        <f>H2913-M2913</f>
        <v/>
      </c>
      <c r="O2913" t="inlineStr">
        <is>
          <t>Não</t>
        </is>
      </c>
      <c r="P2913" t="inlineStr">
        <is>
          <t>1.350</t>
        </is>
      </c>
    </row>
    <row r="2914">
      <c r="A2914" s="24" t="n">
        <v>46113</v>
      </c>
      <c r="B2914" t="inlineStr">
        <is>
          <t>Frete de venda</t>
        </is>
      </c>
      <c r="C2914" t="inlineStr">
        <is>
          <t>Frete de venda (para clientes)</t>
        </is>
      </c>
      <c r="D2914" t="inlineStr">
        <is>
          <t>CT-e</t>
        </is>
      </c>
      <c r="E2914" t="inlineStr">
        <is>
          <t>000006818</t>
        </is>
      </c>
      <c r="F2914" t="inlineStr">
        <is>
          <t>R&amp;R TRANSPORTE E LOGISTICA</t>
        </is>
      </c>
      <c r="G2914" s="27" t="n">
        <v>46128</v>
      </c>
      <c r="H2914" s="14" t="n">
        <v>23.36</v>
      </c>
      <c r="I2914" s="14" t="n">
        <v>0</v>
      </c>
      <c r="J2914" s="14" t="n">
        <v>0</v>
      </c>
      <c r="K2914" s="14" t="n">
        <v>0</v>
      </c>
      <c r="L2914" s="14" t="n">
        <v>0</v>
      </c>
      <c r="M2914" s="14">
        <f>IF(B2914="Frete de venda",0,(1-ISNUMBER(SEARCH("556",P2914)))*(I2914*VLOOKUP($B2914,Premissas!$A$4:$E$7,2,0)+J2914*VLOOKUP($B2914,Premissas!$A$4:$E$7,3,0))+K2914*VLOOKUP($B2914,Premissas!$A$4:$E$7,4,0)+L2914*VLOOKUP($B2914,Premissas!$A$4:$E$7,5,0))</f>
        <v/>
      </c>
      <c r="N2914" s="14">
        <f>H2914-M2914</f>
        <v/>
      </c>
      <c r="O2914" t="inlineStr">
        <is>
          <t>Não</t>
        </is>
      </c>
      <c r="P2914" t="inlineStr">
        <is>
          <t>1.350</t>
        </is>
      </c>
    </row>
    <row r="2915">
      <c r="A2915" s="24" t="n">
        <v>46113</v>
      </c>
      <c r="B2915" t="inlineStr">
        <is>
          <t>Frete de venda</t>
        </is>
      </c>
      <c r="C2915" t="inlineStr">
        <is>
          <t>Frete de venda (para clientes)</t>
        </is>
      </c>
      <c r="D2915" t="inlineStr">
        <is>
          <t>CT-e</t>
        </is>
      </c>
      <c r="E2915" t="inlineStr">
        <is>
          <t>000006817</t>
        </is>
      </c>
      <c r="F2915" t="inlineStr">
        <is>
          <t>R&amp;R TRANSPORTE E LOGISTICA</t>
        </is>
      </c>
      <c r="G2915" s="27" t="n">
        <v>46128</v>
      </c>
      <c r="H2915" s="14" t="n">
        <v>19.91</v>
      </c>
      <c r="I2915" s="14" t="n">
        <v>0</v>
      </c>
      <c r="J2915" s="14" t="n">
        <v>0</v>
      </c>
      <c r="K2915" s="14" t="n">
        <v>0</v>
      </c>
      <c r="L2915" s="14" t="n">
        <v>0</v>
      </c>
      <c r="M2915" s="14">
        <f>IF(B2915="Frete de venda",0,(1-ISNUMBER(SEARCH("556",P2915)))*(I2915*VLOOKUP($B2915,Premissas!$A$4:$E$7,2,0)+J2915*VLOOKUP($B2915,Premissas!$A$4:$E$7,3,0))+K2915*VLOOKUP($B2915,Premissas!$A$4:$E$7,4,0)+L2915*VLOOKUP($B2915,Premissas!$A$4:$E$7,5,0))</f>
        <v/>
      </c>
      <c r="N2915" s="14">
        <f>H2915-M2915</f>
        <v/>
      </c>
      <c r="O2915" t="inlineStr">
        <is>
          <t>Não</t>
        </is>
      </c>
      <c r="P2915" t="inlineStr">
        <is>
          <t>1.350</t>
        </is>
      </c>
    </row>
    <row r="2916">
      <c r="A2916" s="24" t="n">
        <v>46113</v>
      </c>
      <c r="B2916" t="inlineStr">
        <is>
          <t>Frete de venda</t>
        </is>
      </c>
      <c r="C2916" t="inlineStr">
        <is>
          <t>Frete de venda (para clientes)</t>
        </is>
      </c>
      <c r="D2916" t="inlineStr">
        <is>
          <t>CT-e</t>
        </is>
      </c>
      <c r="E2916" t="inlineStr">
        <is>
          <t>000000676</t>
        </is>
      </c>
      <c r="F2916" t="inlineStr">
        <is>
          <t>REIMAG - REINALDO DOMINGUES BARROS DA SILVA</t>
        </is>
      </c>
      <c r="G2916" s="27" t="n">
        <v>46141</v>
      </c>
      <c r="H2916" s="14" t="n">
        <v>375</v>
      </c>
      <c r="I2916" s="14" t="n">
        <v>0</v>
      </c>
      <c r="J2916" s="14" t="n">
        <v>0</v>
      </c>
      <c r="K2916" s="14" t="n">
        <v>0</v>
      </c>
      <c r="L2916" s="14" t="n">
        <v>0</v>
      </c>
      <c r="M2916" s="14">
        <f>IF(B2916="Frete de venda",0,(1-ISNUMBER(SEARCH("556",P2916)))*(I2916*VLOOKUP($B2916,Premissas!$A$4:$E$7,2,0)+J2916*VLOOKUP($B2916,Premissas!$A$4:$E$7,3,0))+K2916*VLOOKUP($B2916,Premissas!$A$4:$E$7,4,0)+L2916*VLOOKUP($B2916,Premissas!$A$4:$E$7,5,0))</f>
        <v/>
      </c>
      <c r="N2916" s="14">
        <f>H2916-M2916</f>
        <v/>
      </c>
      <c r="O2916" t="inlineStr">
        <is>
          <t>Sim</t>
        </is>
      </c>
      <c r="P2916" t="inlineStr">
        <is>
          <t>1.350</t>
        </is>
      </c>
    </row>
    <row r="2917">
      <c r="A2917" s="24" t="n">
        <v>46113</v>
      </c>
      <c r="B2917" t="inlineStr">
        <is>
          <t>Frete de venda</t>
        </is>
      </c>
      <c r="C2917" t="inlineStr">
        <is>
          <t>Frete de venda (para clientes)</t>
        </is>
      </c>
      <c r="D2917" t="inlineStr">
        <is>
          <t>CT-e</t>
        </is>
      </c>
      <c r="E2917" t="inlineStr">
        <is>
          <t>000006866</t>
        </is>
      </c>
      <c r="F2917" t="inlineStr">
        <is>
          <t>R&amp;R TRANSPORTE E LOGISTICA</t>
        </is>
      </c>
      <c r="G2917" s="27" t="n">
        <v>46137</v>
      </c>
      <c r="H2917" s="14" t="n">
        <v>19.92</v>
      </c>
      <c r="I2917" s="14" t="n">
        <v>0</v>
      </c>
      <c r="J2917" s="14" t="n">
        <v>0</v>
      </c>
      <c r="K2917" s="14" t="n">
        <v>0</v>
      </c>
      <c r="L2917" s="14" t="n">
        <v>0</v>
      </c>
      <c r="M2917" s="14">
        <f>IF(B2917="Frete de venda",0,(1-ISNUMBER(SEARCH("556",P2917)))*(I2917*VLOOKUP($B2917,Premissas!$A$4:$E$7,2,0)+J2917*VLOOKUP($B2917,Premissas!$A$4:$E$7,3,0))+K2917*VLOOKUP($B2917,Premissas!$A$4:$E$7,4,0)+L2917*VLOOKUP($B2917,Premissas!$A$4:$E$7,5,0))</f>
        <v/>
      </c>
      <c r="N2917" s="14">
        <f>H2917-M2917</f>
        <v/>
      </c>
      <c r="O2917" t="inlineStr">
        <is>
          <t>Não</t>
        </is>
      </c>
      <c r="P2917" t="inlineStr">
        <is>
          <t>1.350</t>
        </is>
      </c>
    </row>
    <row r="2918">
      <c r="A2918" s="24" t="n">
        <v>46113</v>
      </c>
      <c r="B2918" t="inlineStr">
        <is>
          <t>Frete de venda</t>
        </is>
      </c>
      <c r="C2918" t="inlineStr">
        <is>
          <t>Frete de venda (para clientes)</t>
        </is>
      </c>
      <c r="D2918" t="inlineStr">
        <is>
          <t>CT-e</t>
        </is>
      </c>
      <c r="E2918" t="inlineStr">
        <is>
          <t>000006872</t>
        </is>
      </c>
      <c r="F2918" t="inlineStr">
        <is>
          <t>R&amp;R TRANSPORTE E LOGISTICA</t>
        </is>
      </c>
      <c r="G2918" s="27" t="n">
        <v>46137</v>
      </c>
      <c r="H2918" s="14" t="n">
        <v>43.18</v>
      </c>
      <c r="I2918" s="14" t="n">
        <v>0</v>
      </c>
      <c r="J2918" s="14" t="n">
        <v>0</v>
      </c>
      <c r="K2918" s="14" t="n">
        <v>0</v>
      </c>
      <c r="L2918" s="14" t="n">
        <v>0</v>
      </c>
      <c r="M2918" s="14">
        <f>IF(B2918="Frete de venda",0,(1-ISNUMBER(SEARCH("556",P2918)))*(I2918*VLOOKUP($B2918,Premissas!$A$4:$E$7,2,0)+J2918*VLOOKUP($B2918,Premissas!$A$4:$E$7,3,0))+K2918*VLOOKUP($B2918,Premissas!$A$4:$E$7,4,0)+L2918*VLOOKUP($B2918,Premissas!$A$4:$E$7,5,0))</f>
        <v/>
      </c>
      <c r="N2918" s="14">
        <f>H2918-M2918</f>
        <v/>
      </c>
      <c r="O2918" t="inlineStr">
        <is>
          <t>Não</t>
        </is>
      </c>
      <c r="P2918" t="inlineStr">
        <is>
          <t>1.350</t>
        </is>
      </c>
    </row>
    <row r="2919">
      <c r="A2919" s="24" t="n">
        <v>46113</v>
      </c>
      <c r="B2919" t="inlineStr">
        <is>
          <t>Frete de venda</t>
        </is>
      </c>
      <c r="C2919" t="inlineStr">
        <is>
          <t>Frete de venda (para clientes)</t>
        </is>
      </c>
      <c r="D2919" t="inlineStr">
        <is>
          <t>CT-e</t>
        </is>
      </c>
      <c r="E2919" t="inlineStr">
        <is>
          <t>000006898</t>
        </is>
      </c>
      <c r="F2919" t="inlineStr">
        <is>
          <t>R&amp;R TRANSPORTE E LOGISTICA</t>
        </is>
      </c>
      <c r="G2919" s="27" t="n">
        <v>46137</v>
      </c>
      <c r="H2919" s="14" t="n">
        <v>13.84</v>
      </c>
      <c r="I2919" s="14" t="n">
        <v>0</v>
      </c>
      <c r="J2919" s="14" t="n">
        <v>0</v>
      </c>
      <c r="K2919" s="14" t="n">
        <v>0</v>
      </c>
      <c r="L2919" s="14" t="n">
        <v>0</v>
      </c>
      <c r="M2919" s="14">
        <f>IF(B2919="Frete de venda",0,(1-ISNUMBER(SEARCH("556",P2919)))*(I2919*VLOOKUP($B2919,Premissas!$A$4:$E$7,2,0)+J2919*VLOOKUP($B2919,Premissas!$A$4:$E$7,3,0))+K2919*VLOOKUP($B2919,Premissas!$A$4:$E$7,4,0)+L2919*VLOOKUP($B2919,Premissas!$A$4:$E$7,5,0))</f>
        <v/>
      </c>
      <c r="N2919" s="14">
        <f>H2919-M2919</f>
        <v/>
      </c>
      <c r="O2919" t="inlineStr">
        <is>
          <t>Não</t>
        </is>
      </c>
      <c r="P2919" t="inlineStr">
        <is>
          <t>1.350</t>
        </is>
      </c>
    </row>
    <row r="2920">
      <c r="A2920" s="24" t="n">
        <v>46113</v>
      </c>
      <c r="B2920" t="inlineStr">
        <is>
          <t>Frete de venda</t>
        </is>
      </c>
      <c r="C2920" t="inlineStr">
        <is>
          <t>Frete de venda (para clientes)</t>
        </is>
      </c>
      <c r="D2920" t="inlineStr">
        <is>
          <t>CT-e</t>
        </is>
      </c>
      <c r="E2920" t="inlineStr">
        <is>
          <t>000006871</t>
        </is>
      </c>
      <c r="F2920" t="inlineStr">
        <is>
          <t>R&amp;R TRANSPORTE E LOGISTICA</t>
        </is>
      </c>
      <c r="G2920" s="27" t="n">
        <v>46137</v>
      </c>
      <c r="H2920" s="14" t="n">
        <v>20.85</v>
      </c>
      <c r="I2920" s="14" t="n">
        <v>0</v>
      </c>
      <c r="J2920" s="14" t="n">
        <v>0</v>
      </c>
      <c r="K2920" s="14" t="n">
        <v>0</v>
      </c>
      <c r="L2920" s="14" t="n">
        <v>0</v>
      </c>
      <c r="M2920" s="14">
        <f>IF(B2920="Frete de venda",0,(1-ISNUMBER(SEARCH("556",P2920)))*(I2920*VLOOKUP($B2920,Premissas!$A$4:$E$7,2,0)+J2920*VLOOKUP($B2920,Premissas!$A$4:$E$7,3,0))+K2920*VLOOKUP($B2920,Premissas!$A$4:$E$7,4,0)+L2920*VLOOKUP($B2920,Premissas!$A$4:$E$7,5,0))</f>
        <v/>
      </c>
      <c r="N2920" s="14">
        <f>H2920-M2920</f>
        <v/>
      </c>
      <c r="O2920" t="inlineStr">
        <is>
          <t>Não</t>
        </is>
      </c>
      <c r="P2920" t="inlineStr">
        <is>
          <t>1.350</t>
        </is>
      </c>
    </row>
    <row r="2921">
      <c r="A2921" s="24" t="n">
        <v>46113</v>
      </c>
      <c r="B2921" t="inlineStr">
        <is>
          <t>Frete de venda</t>
        </is>
      </c>
      <c r="C2921" t="inlineStr">
        <is>
          <t>Frete de venda (para clientes)</t>
        </is>
      </c>
      <c r="D2921" t="inlineStr">
        <is>
          <t>CT-e</t>
        </is>
      </c>
      <c r="E2921" t="inlineStr">
        <is>
          <t>000006760</t>
        </is>
      </c>
      <c r="F2921" t="inlineStr">
        <is>
          <t>R&amp;R TRANSPORTE E LOGISTICA</t>
        </is>
      </c>
      <c r="G2921" s="27" t="n">
        <v>46120</v>
      </c>
      <c r="H2921" s="14" t="n">
        <v>1027.17</v>
      </c>
      <c r="I2921" s="14" t="n">
        <v>0</v>
      </c>
      <c r="J2921" s="14" t="n">
        <v>0</v>
      </c>
      <c r="K2921" s="14" t="n">
        <v>0</v>
      </c>
      <c r="L2921" s="14" t="n">
        <v>0</v>
      </c>
      <c r="M2921" s="14">
        <f>IF(B2921="Frete de venda",0,(1-ISNUMBER(SEARCH("556",P2921)))*(I2921*VLOOKUP($B2921,Premissas!$A$4:$E$7,2,0)+J2921*VLOOKUP($B2921,Premissas!$A$4:$E$7,3,0))+K2921*VLOOKUP($B2921,Premissas!$A$4:$E$7,4,0)+L2921*VLOOKUP($B2921,Premissas!$A$4:$E$7,5,0))</f>
        <v/>
      </c>
      <c r="N2921" s="14">
        <f>H2921-M2921</f>
        <v/>
      </c>
      <c r="O2921" t="inlineStr">
        <is>
          <t>Não</t>
        </is>
      </c>
      <c r="P2921" t="inlineStr">
        <is>
          <t>1.350</t>
        </is>
      </c>
    </row>
    <row r="2922">
      <c r="A2922" s="24" t="n">
        <v>46113</v>
      </c>
      <c r="B2922" t="inlineStr">
        <is>
          <t>Frete de venda</t>
        </is>
      </c>
      <c r="C2922" t="inlineStr">
        <is>
          <t>Frete de venda (para clientes)</t>
        </is>
      </c>
      <c r="D2922" t="inlineStr">
        <is>
          <t>CT-e</t>
        </is>
      </c>
      <c r="E2922" t="inlineStr">
        <is>
          <t>000006714</t>
        </is>
      </c>
      <c r="F2922" t="inlineStr">
        <is>
          <t>R&amp;R TRANSPORTE E LOGISTICA</t>
        </is>
      </c>
      <c r="G2922" s="27" t="n">
        <v>46114</v>
      </c>
      <c r="H2922" s="14" t="n">
        <v>45.54</v>
      </c>
      <c r="I2922" s="14" t="n">
        <v>0</v>
      </c>
      <c r="J2922" s="14" t="n">
        <v>0</v>
      </c>
      <c r="K2922" s="14" t="n">
        <v>0</v>
      </c>
      <c r="L2922" s="14" t="n">
        <v>0</v>
      </c>
      <c r="M2922" s="14">
        <f>IF(B2922="Frete de venda",0,(1-ISNUMBER(SEARCH("556",P2922)))*(I2922*VLOOKUP($B2922,Premissas!$A$4:$E$7,2,0)+J2922*VLOOKUP($B2922,Premissas!$A$4:$E$7,3,0))+K2922*VLOOKUP($B2922,Premissas!$A$4:$E$7,4,0)+L2922*VLOOKUP($B2922,Premissas!$A$4:$E$7,5,0))</f>
        <v/>
      </c>
      <c r="N2922" s="14">
        <f>H2922-M2922</f>
        <v/>
      </c>
      <c r="O2922" t="inlineStr">
        <is>
          <t>Não</t>
        </is>
      </c>
      <c r="P2922" t="inlineStr">
        <is>
          <t>1.350</t>
        </is>
      </c>
    </row>
    <row r="2923">
      <c r="A2923" s="24" t="n">
        <v>46113</v>
      </c>
      <c r="B2923" t="inlineStr">
        <is>
          <t>Frete de venda</t>
        </is>
      </c>
      <c r="C2923" t="inlineStr">
        <is>
          <t>Frete de venda (para clientes)</t>
        </is>
      </c>
      <c r="D2923" t="inlineStr">
        <is>
          <t>CT-e</t>
        </is>
      </c>
      <c r="E2923" t="inlineStr">
        <is>
          <t>000006887</t>
        </is>
      </c>
      <c r="F2923" t="inlineStr">
        <is>
          <t>R&amp;R TRANSPORTE E LOGISTICA</t>
        </is>
      </c>
      <c r="G2923" s="27" t="n">
        <v>46137</v>
      </c>
      <c r="H2923" s="14" t="n">
        <v>11.05</v>
      </c>
      <c r="I2923" s="14" t="n">
        <v>0</v>
      </c>
      <c r="J2923" s="14" t="n">
        <v>0</v>
      </c>
      <c r="K2923" s="14" t="n">
        <v>0</v>
      </c>
      <c r="L2923" s="14" t="n">
        <v>0</v>
      </c>
      <c r="M2923" s="14">
        <f>IF(B2923="Frete de venda",0,(1-ISNUMBER(SEARCH("556",P2923)))*(I2923*VLOOKUP($B2923,Premissas!$A$4:$E$7,2,0)+J2923*VLOOKUP($B2923,Premissas!$A$4:$E$7,3,0))+K2923*VLOOKUP($B2923,Premissas!$A$4:$E$7,4,0)+L2923*VLOOKUP($B2923,Premissas!$A$4:$E$7,5,0))</f>
        <v/>
      </c>
      <c r="N2923" s="14">
        <f>H2923-M2923</f>
        <v/>
      </c>
      <c r="O2923" t="inlineStr">
        <is>
          <t>Não</t>
        </is>
      </c>
      <c r="P2923" t="inlineStr">
        <is>
          <t>1.350</t>
        </is>
      </c>
    </row>
    <row r="2924">
      <c r="A2924" s="24" t="n">
        <v>46113</v>
      </c>
      <c r="B2924" t="inlineStr">
        <is>
          <t>Frete de venda</t>
        </is>
      </c>
      <c r="C2924" t="inlineStr">
        <is>
          <t>Frete de venda (para clientes)</t>
        </is>
      </c>
      <c r="D2924" t="inlineStr">
        <is>
          <t>CT-e</t>
        </is>
      </c>
      <c r="E2924" t="inlineStr">
        <is>
          <t>000006925</t>
        </is>
      </c>
      <c r="F2924" t="inlineStr">
        <is>
          <t>R&amp;R TRANSPORTE E LOGISTICA</t>
        </is>
      </c>
      <c r="G2924" s="27" t="n">
        <v>46142</v>
      </c>
      <c r="H2924" s="14" t="n">
        <v>33.3</v>
      </c>
      <c r="I2924" s="14" t="n">
        <v>0</v>
      </c>
      <c r="J2924" s="14" t="n">
        <v>0</v>
      </c>
      <c r="K2924" s="14" t="n">
        <v>0</v>
      </c>
      <c r="L2924" s="14" t="n">
        <v>0</v>
      </c>
      <c r="M2924" s="14">
        <f>IF(B2924="Frete de venda",0,(1-ISNUMBER(SEARCH("556",P2924)))*(I2924*VLOOKUP($B2924,Premissas!$A$4:$E$7,2,0)+J2924*VLOOKUP($B2924,Premissas!$A$4:$E$7,3,0))+K2924*VLOOKUP($B2924,Premissas!$A$4:$E$7,4,0)+L2924*VLOOKUP($B2924,Premissas!$A$4:$E$7,5,0))</f>
        <v/>
      </c>
      <c r="N2924" s="14">
        <f>H2924-M2924</f>
        <v/>
      </c>
      <c r="O2924" t="inlineStr">
        <is>
          <t>Não</t>
        </is>
      </c>
      <c r="P2924" t="inlineStr">
        <is>
          <t>1.350</t>
        </is>
      </c>
    </row>
    <row r="2925">
      <c r="A2925" s="24" t="n">
        <v>46113</v>
      </c>
      <c r="B2925" t="inlineStr">
        <is>
          <t>Frete de venda</t>
        </is>
      </c>
      <c r="C2925" t="inlineStr">
        <is>
          <t>Frete de venda (para clientes)</t>
        </is>
      </c>
      <c r="D2925" t="inlineStr">
        <is>
          <t>CT-e</t>
        </is>
      </c>
      <c r="E2925" t="inlineStr">
        <is>
          <t>000006815</t>
        </is>
      </c>
      <c r="F2925" t="inlineStr">
        <is>
          <t>R&amp;R TRANSPORTE E LOGISTICA</t>
        </is>
      </c>
      <c r="G2925" s="27" t="n">
        <v>46128</v>
      </c>
      <c r="H2925" s="14" t="n">
        <v>62.22</v>
      </c>
      <c r="I2925" s="14" t="n">
        <v>0</v>
      </c>
      <c r="J2925" s="14" t="n">
        <v>0</v>
      </c>
      <c r="K2925" s="14" t="n">
        <v>0</v>
      </c>
      <c r="L2925" s="14" t="n">
        <v>0</v>
      </c>
      <c r="M2925" s="14">
        <f>IF(B2925="Frete de venda",0,(1-ISNUMBER(SEARCH("556",P2925)))*(I2925*VLOOKUP($B2925,Premissas!$A$4:$E$7,2,0)+J2925*VLOOKUP($B2925,Premissas!$A$4:$E$7,3,0))+K2925*VLOOKUP($B2925,Premissas!$A$4:$E$7,4,0)+L2925*VLOOKUP($B2925,Premissas!$A$4:$E$7,5,0))</f>
        <v/>
      </c>
      <c r="N2925" s="14">
        <f>H2925-M2925</f>
        <v/>
      </c>
      <c r="O2925" t="inlineStr">
        <is>
          <t>Não</t>
        </is>
      </c>
      <c r="P2925" t="inlineStr">
        <is>
          <t>1.350</t>
        </is>
      </c>
    </row>
    <row r="2926">
      <c r="A2926" s="24" t="n">
        <v>46113</v>
      </c>
      <c r="B2926" t="inlineStr">
        <is>
          <t>Frete de venda</t>
        </is>
      </c>
      <c r="C2926" t="inlineStr">
        <is>
          <t>Frete de venda (para clientes)</t>
        </is>
      </c>
      <c r="D2926" t="inlineStr">
        <is>
          <t>CT-e</t>
        </is>
      </c>
      <c r="E2926" t="inlineStr">
        <is>
          <t>000006742</t>
        </is>
      </c>
      <c r="F2926" t="inlineStr">
        <is>
          <t>R&amp;R TRANSPORTE E LOGISTICA</t>
        </is>
      </c>
      <c r="G2926" s="27" t="n">
        <v>46119</v>
      </c>
      <c r="H2926" s="14" t="n">
        <v>16.98</v>
      </c>
      <c r="I2926" s="14" t="n">
        <v>0</v>
      </c>
      <c r="J2926" s="14" t="n">
        <v>0</v>
      </c>
      <c r="K2926" s="14" t="n">
        <v>0</v>
      </c>
      <c r="L2926" s="14" t="n">
        <v>0</v>
      </c>
      <c r="M2926" s="14">
        <f>IF(B2926="Frete de venda",0,(1-ISNUMBER(SEARCH("556",P2926)))*(I2926*VLOOKUP($B2926,Premissas!$A$4:$E$7,2,0)+J2926*VLOOKUP($B2926,Premissas!$A$4:$E$7,3,0))+K2926*VLOOKUP($B2926,Premissas!$A$4:$E$7,4,0)+L2926*VLOOKUP($B2926,Premissas!$A$4:$E$7,5,0))</f>
        <v/>
      </c>
      <c r="N2926" s="14">
        <f>H2926-M2926</f>
        <v/>
      </c>
      <c r="O2926" t="inlineStr">
        <is>
          <t>Não</t>
        </is>
      </c>
      <c r="P2926" t="inlineStr">
        <is>
          <t>1.350</t>
        </is>
      </c>
    </row>
    <row r="2927">
      <c r="A2927" s="24" t="n">
        <v>46113</v>
      </c>
      <c r="B2927" t="inlineStr">
        <is>
          <t>Frete de venda</t>
        </is>
      </c>
      <c r="C2927" t="inlineStr">
        <is>
          <t>Frete de venda (para clientes)</t>
        </is>
      </c>
      <c r="D2927" t="inlineStr">
        <is>
          <t>CT-e</t>
        </is>
      </c>
      <c r="E2927" t="inlineStr">
        <is>
          <t>000006846</t>
        </is>
      </c>
      <c r="F2927" t="inlineStr">
        <is>
          <t>R&amp;R TRANSPORTE E LOGISTICA</t>
        </is>
      </c>
      <c r="G2927" s="27" t="n">
        <v>46135</v>
      </c>
      <c r="H2927" s="14" t="n">
        <v>55.97</v>
      </c>
      <c r="I2927" s="14" t="n">
        <v>0</v>
      </c>
      <c r="J2927" s="14" t="n">
        <v>0</v>
      </c>
      <c r="K2927" s="14" t="n">
        <v>0</v>
      </c>
      <c r="L2927" s="14" t="n">
        <v>0</v>
      </c>
      <c r="M2927" s="14">
        <f>IF(B2927="Frete de venda",0,(1-ISNUMBER(SEARCH("556",P2927)))*(I2927*VLOOKUP($B2927,Premissas!$A$4:$E$7,2,0)+J2927*VLOOKUP($B2927,Premissas!$A$4:$E$7,3,0))+K2927*VLOOKUP($B2927,Premissas!$A$4:$E$7,4,0)+L2927*VLOOKUP($B2927,Premissas!$A$4:$E$7,5,0))</f>
        <v/>
      </c>
      <c r="N2927" s="14">
        <f>H2927-M2927</f>
        <v/>
      </c>
      <c r="O2927" t="inlineStr">
        <is>
          <t>Não</t>
        </is>
      </c>
      <c r="P2927" t="inlineStr">
        <is>
          <t>1.350</t>
        </is>
      </c>
    </row>
    <row r="2928">
      <c r="A2928" s="24" t="n">
        <v>46113</v>
      </c>
      <c r="B2928" t="inlineStr">
        <is>
          <t>Frete de venda</t>
        </is>
      </c>
      <c r="C2928" t="inlineStr">
        <is>
          <t>Frete de venda (para clientes)</t>
        </is>
      </c>
      <c r="D2928" t="inlineStr">
        <is>
          <t>CT-e</t>
        </is>
      </c>
      <c r="E2928" t="inlineStr">
        <is>
          <t>000006923</t>
        </is>
      </c>
      <c r="F2928" t="inlineStr">
        <is>
          <t>R&amp;R TRANSPORTE E LOGISTICA</t>
        </is>
      </c>
      <c r="G2928" s="27" t="n">
        <v>46142</v>
      </c>
      <c r="H2928" s="14" t="n">
        <v>30.89</v>
      </c>
      <c r="I2928" s="14" t="n">
        <v>0</v>
      </c>
      <c r="J2928" s="14" t="n">
        <v>0</v>
      </c>
      <c r="K2928" s="14" t="n">
        <v>0</v>
      </c>
      <c r="L2928" s="14" t="n">
        <v>0</v>
      </c>
      <c r="M2928" s="14">
        <f>IF(B2928="Frete de venda",0,(1-ISNUMBER(SEARCH("556",P2928)))*(I2928*VLOOKUP($B2928,Premissas!$A$4:$E$7,2,0)+J2928*VLOOKUP($B2928,Premissas!$A$4:$E$7,3,0))+K2928*VLOOKUP($B2928,Premissas!$A$4:$E$7,4,0)+L2928*VLOOKUP($B2928,Premissas!$A$4:$E$7,5,0))</f>
        <v/>
      </c>
      <c r="N2928" s="14">
        <f>H2928-M2928</f>
        <v/>
      </c>
      <c r="O2928" t="inlineStr">
        <is>
          <t>Não</t>
        </is>
      </c>
      <c r="P2928" t="inlineStr">
        <is>
          <t>1.350</t>
        </is>
      </c>
    </row>
    <row r="2929">
      <c r="A2929" s="24" t="n">
        <v>46113</v>
      </c>
      <c r="B2929" t="inlineStr">
        <is>
          <t>Frete de venda</t>
        </is>
      </c>
      <c r="C2929" t="inlineStr">
        <is>
          <t>Frete de venda (para clientes)</t>
        </is>
      </c>
      <c r="D2929" t="inlineStr">
        <is>
          <t>CT-e</t>
        </is>
      </c>
      <c r="E2929" t="inlineStr">
        <is>
          <t>000006779</t>
        </is>
      </c>
      <c r="F2929" t="inlineStr">
        <is>
          <t>R&amp;R TRANSPORTE E LOGISTICA</t>
        </is>
      </c>
      <c r="G2929" s="27" t="n">
        <v>46123</v>
      </c>
      <c r="H2929" s="14" t="n">
        <v>960.59</v>
      </c>
      <c r="I2929" s="14" t="n">
        <v>0</v>
      </c>
      <c r="J2929" s="14" t="n">
        <v>0</v>
      </c>
      <c r="K2929" s="14" t="n">
        <v>0</v>
      </c>
      <c r="L2929" s="14" t="n">
        <v>0</v>
      </c>
      <c r="M2929" s="14">
        <f>IF(B2929="Frete de venda",0,(1-ISNUMBER(SEARCH("556",P2929)))*(I2929*VLOOKUP($B2929,Premissas!$A$4:$E$7,2,0)+J2929*VLOOKUP($B2929,Premissas!$A$4:$E$7,3,0))+K2929*VLOOKUP($B2929,Premissas!$A$4:$E$7,4,0)+L2929*VLOOKUP($B2929,Premissas!$A$4:$E$7,5,0))</f>
        <v/>
      </c>
      <c r="N2929" s="14">
        <f>H2929-M2929</f>
        <v/>
      </c>
      <c r="O2929" t="inlineStr">
        <is>
          <t>Não</t>
        </is>
      </c>
      <c r="P2929" t="inlineStr">
        <is>
          <t>1.350</t>
        </is>
      </c>
    </row>
    <row r="2930">
      <c r="A2930" s="24" t="n">
        <v>46113</v>
      </c>
      <c r="B2930" t="inlineStr">
        <is>
          <t>Frete de venda</t>
        </is>
      </c>
      <c r="C2930" t="inlineStr">
        <is>
          <t>Frete de venda (para clientes)</t>
        </is>
      </c>
      <c r="D2930" t="inlineStr">
        <is>
          <t>CT-e</t>
        </is>
      </c>
      <c r="E2930" t="inlineStr">
        <is>
          <t>000006749</t>
        </is>
      </c>
      <c r="F2930" t="inlineStr">
        <is>
          <t>R&amp;R TRANSPORTE E LOGISTICA</t>
        </is>
      </c>
      <c r="G2930" s="27" t="n">
        <v>46119</v>
      </c>
      <c r="H2930" s="14" t="n">
        <v>39.32</v>
      </c>
      <c r="I2930" s="14" t="n">
        <v>0</v>
      </c>
      <c r="J2930" s="14" t="n">
        <v>0</v>
      </c>
      <c r="K2930" s="14" t="n">
        <v>0</v>
      </c>
      <c r="L2930" s="14" t="n">
        <v>0</v>
      </c>
      <c r="M2930" s="14">
        <f>IF(B2930="Frete de venda",0,(1-ISNUMBER(SEARCH("556",P2930)))*(I2930*VLOOKUP($B2930,Premissas!$A$4:$E$7,2,0)+J2930*VLOOKUP($B2930,Premissas!$A$4:$E$7,3,0))+K2930*VLOOKUP($B2930,Premissas!$A$4:$E$7,4,0)+L2930*VLOOKUP($B2930,Premissas!$A$4:$E$7,5,0))</f>
        <v/>
      </c>
      <c r="N2930" s="14">
        <f>H2930-M2930</f>
        <v/>
      </c>
      <c r="O2930" t="inlineStr">
        <is>
          <t>Não</t>
        </is>
      </c>
      <c r="P2930" t="inlineStr">
        <is>
          <t>1.350</t>
        </is>
      </c>
    </row>
    <row r="2931">
      <c r="A2931" s="24" t="n">
        <v>46113</v>
      </c>
      <c r="B2931" t="inlineStr">
        <is>
          <t>Frete de venda</t>
        </is>
      </c>
      <c r="C2931" t="inlineStr">
        <is>
          <t>Frete de venda (para clientes)</t>
        </is>
      </c>
      <c r="D2931" t="inlineStr">
        <is>
          <t>CT-e</t>
        </is>
      </c>
      <c r="E2931" t="inlineStr">
        <is>
          <t>000006877</t>
        </is>
      </c>
      <c r="F2931" t="inlineStr">
        <is>
          <t>R&amp;R TRANSPORTE E LOGISTICA</t>
        </is>
      </c>
      <c r="G2931" s="27" t="n">
        <v>46137</v>
      </c>
      <c r="H2931" s="14" t="n">
        <v>25.42</v>
      </c>
      <c r="I2931" s="14" t="n">
        <v>0</v>
      </c>
      <c r="J2931" s="14" t="n">
        <v>0</v>
      </c>
      <c r="K2931" s="14" t="n">
        <v>0</v>
      </c>
      <c r="L2931" s="14" t="n">
        <v>0</v>
      </c>
      <c r="M2931" s="14">
        <f>IF(B2931="Frete de venda",0,(1-ISNUMBER(SEARCH("556",P2931)))*(I2931*VLOOKUP($B2931,Premissas!$A$4:$E$7,2,0)+J2931*VLOOKUP($B2931,Premissas!$A$4:$E$7,3,0))+K2931*VLOOKUP($B2931,Premissas!$A$4:$E$7,4,0)+L2931*VLOOKUP($B2931,Premissas!$A$4:$E$7,5,0))</f>
        <v/>
      </c>
      <c r="N2931" s="14">
        <f>H2931-M2931</f>
        <v/>
      </c>
      <c r="O2931" t="inlineStr">
        <is>
          <t>Não</t>
        </is>
      </c>
      <c r="P2931" t="inlineStr">
        <is>
          <t>1.350</t>
        </is>
      </c>
    </row>
    <row r="2932">
      <c r="A2932" s="24" t="n">
        <v>46113</v>
      </c>
      <c r="B2932" t="inlineStr">
        <is>
          <t>Frete de venda</t>
        </is>
      </c>
      <c r="C2932" t="inlineStr">
        <is>
          <t>Frete de venda (para clientes)</t>
        </is>
      </c>
      <c r="D2932" t="inlineStr">
        <is>
          <t>CT-e</t>
        </is>
      </c>
      <c r="E2932" t="inlineStr">
        <is>
          <t>000006788</t>
        </is>
      </c>
      <c r="F2932" t="inlineStr">
        <is>
          <t>R&amp;R TRANSPORTE E LOGISTICA</t>
        </is>
      </c>
      <c r="G2932" s="27" t="n">
        <v>46123</v>
      </c>
      <c r="H2932" s="14" t="n">
        <v>1024.92</v>
      </c>
      <c r="I2932" s="14" t="n">
        <v>0</v>
      </c>
      <c r="J2932" s="14" t="n">
        <v>0</v>
      </c>
      <c r="K2932" s="14" t="n">
        <v>0</v>
      </c>
      <c r="L2932" s="14" t="n">
        <v>0</v>
      </c>
      <c r="M2932" s="14">
        <f>IF(B2932="Frete de venda",0,(1-ISNUMBER(SEARCH("556",P2932)))*(I2932*VLOOKUP($B2932,Premissas!$A$4:$E$7,2,0)+J2932*VLOOKUP($B2932,Premissas!$A$4:$E$7,3,0))+K2932*VLOOKUP($B2932,Premissas!$A$4:$E$7,4,0)+L2932*VLOOKUP($B2932,Premissas!$A$4:$E$7,5,0))</f>
        <v/>
      </c>
      <c r="N2932" s="14">
        <f>H2932-M2932</f>
        <v/>
      </c>
      <c r="O2932" t="inlineStr">
        <is>
          <t>Não</t>
        </is>
      </c>
      <c r="P2932" t="inlineStr">
        <is>
          <t>1.350</t>
        </is>
      </c>
    </row>
    <row r="2933">
      <c r="A2933" s="24" t="n">
        <v>46113</v>
      </c>
      <c r="B2933" t="inlineStr">
        <is>
          <t>Frete de venda</t>
        </is>
      </c>
      <c r="C2933" t="inlineStr">
        <is>
          <t>Frete de venda (para clientes)</t>
        </is>
      </c>
      <c r="D2933" t="inlineStr">
        <is>
          <t>CT-e</t>
        </is>
      </c>
      <c r="E2933" t="inlineStr">
        <is>
          <t>000006924</t>
        </is>
      </c>
      <c r="F2933" t="inlineStr">
        <is>
          <t>R&amp;R TRANSPORTE E LOGISTICA</t>
        </is>
      </c>
      <c r="G2933" s="27" t="n">
        <v>46142</v>
      </c>
      <c r="H2933" s="14" t="n">
        <v>46.54</v>
      </c>
      <c r="I2933" s="14" t="n">
        <v>0</v>
      </c>
      <c r="J2933" s="14" t="n">
        <v>0</v>
      </c>
      <c r="K2933" s="14" t="n">
        <v>0</v>
      </c>
      <c r="L2933" s="14" t="n">
        <v>0</v>
      </c>
      <c r="M2933" s="14">
        <f>IF(B2933="Frete de venda",0,(1-ISNUMBER(SEARCH("556",P2933)))*(I2933*VLOOKUP($B2933,Premissas!$A$4:$E$7,2,0)+J2933*VLOOKUP($B2933,Premissas!$A$4:$E$7,3,0))+K2933*VLOOKUP($B2933,Premissas!$A$4:$E$7,4,0)+L2933*VLOOKUP($B2933,Premissas!$A$4:$E$7,5,0))</f>
        <v/>
      </c>
      <c r="N2933" s="14">
        <f>H2933-M2933</f>
        <v/>
      </c>
      <c r="O2933" t="inlineStr">
        <is>
          <t>Não</t>
        </is>
      </c>
      <c r="P2933" t="inlineStr">
        <is>
          <t>1.350</t>
        </is>
      </c>
    </row>
    <row r="2934">
      <c r="A2934" s="24" t="n">
        <v>46113</v>
      </c>
      <c r="B2934" t="inlineStr">
        <is>
          <t>Frete de venda</t>
        </is>
      </c>
      <c r="C2934" t="inlineStr">
        <is>
          <t>Frete de venda (para clientes)</t>
        </is>
      </c>
      <c r="D2934" t="inlineStr">
        <is>
          <t>CT-e</t>
        </is>
      </c>
      <c r="E2934" t="inlineStr">
        <is>
          <t>000006849</t>
        </is>
      </c>
      <c r="F2934" t="inlineStr">
        <is>
          <t>R&amp;R TRANSPORTE E LOGISTICA</t>
        </is>
      </c>
      <c r="G2934" s="27" t="n">
        <v>46135</v>
      </c>
      <c r="H2934" s="14" t="n">
        <v>74.84</v>
      </c>
      <c r="I2934" s="14" t="n">
        <v>0</v>
      </c>
      <c r="J2934" s="14" t="n">
        <v>0</v>
      </c>
      <c r="K2934" s="14" t="n">
        <v>0</v>
      </c>
      <c r="L2934" s="14" t="n">
        <v>0</v>
      </c>
      <c r="M2934" s="14">
        <f>IF(B2934="Frete de venda",0,(1-ISNUMBER(SEARCH("556",P2934)))*(I2934*VLOOKUP($B2934,Premissas!$A$4:$E$7,2,0)+J2934*VLOOKUP($B2934,Premissas!$A$4:$E$7,3,0))+K2934*VLOOKUP($B2934,Premissas!$A$4:$E$7,4,0)+L2934*VLOOKUP($B2934,Premissas!$A$4:$E$7,5,0))</f>
        <v/>
      </c>
      <c r="N2934" s="14">
        <f>H2934-M2934</f>
        <v/>
      </c>
      <c r="O2934" t="inlineStr">
        <is>
          <t>Não</t>
        </is>
      </c>
      <c r="P2934" t="inlineStr">
        <is>
          <t>1.350</t>
        </is>
      </c>
    </row>
    <row r="2935">
      <c r="A2935" s="24" t="n">
        <v>46113</v>
      </c>
      <c r="B2935" t="inlineStr">
        <is>
          <t>Frete de venda</t>
        </is>
      </c>
      <c r="C2935" t="inlineStr">
        <is>
          <t>Frete de venda (para clientes)</t>
        </is>
      </c>
      <c r="D2935" t="inlineStr">
        <is>
          <t>CT-e</t>
        </is>
      </c>
      <c r="E2935" t="inlineStr">
        <is>
          <t>000006896</t>
        </is>
      </c>
      <c r="F2935" t="inlineStr">
        <is>
          <t>R&amp;R TRANSPORTE E LOGISTICA</t>
        </is>
      </c>
      <c r="G2935" s="27" t="n">
        <v>46137</v>
      </c>
      <c r="H2935" s="14" t="n">
        <v>15.9</v>
      </c>
      <c r="I2935" s="14" t="n">
        <v>0</v>
      </c>
      <c r="J2935" s="14" t="n">
        <v>0</v>
      </c>
      <c r="K2935" s="14" t="n">
        <v>0</v>
      </c>
      <c r="L2935" s="14" t="n">
        <v>0</v>
      </c>
      <c r="M2935" s="14">
        <f>IF(B2935="Frete de venda",0,(1-ISNUMBER(SEARCH("556",P2935)))*(I2935*VLOOKUP($B2935,Premissas!$A$4:$E$7,2,0)+J2935*VLOOKUP($B2935,Premissas!$A$4:$E$7,3,0))+K2935*VLOOKUP($B2935,Premissas!$A$4:$E$7,4,0)+L2935*VLOOKUP($B2935,Premissas!$A$4:$E$7,5,0))</f>
        <v/>
      </c>
      <c r="N2935" s="14">
        <f>H2935-M2935</f>
        <v/>
      </c>
      <c r="O2935" t="inlineStr">
        <is>
          <t>Não</t>
        </is>
      </c>
      <c r="P2935" t="inlineStr">
        <is>
          <t>1.350</t>
        </is>
      </c>
    </row>
    <row r="2936">
      <c r="A2936" s="24" t="n">
        <v>46113</v>
      </c>
      <c r="B2936" t="inlineStr">
        <is>
          <t>Frete de venda</t>
        </is>
      </c>
      <c r="C2936" t="inlineStr">
        <is>
          <t>Frete de venda (para clientes)</t>
        </is>
      </c>
      <c r="D2936" t="inlineStr">
        <is>
          <t>CT-e</t>
        </is>
      </c>
      <c r="E2936" t="inlineStr">
        <is>
          <t>000006811</t>
        </is>
      </c>
      <c r="F2936" t="inlineStr">
        <is>
          <t>R&amp;R TRANSPORTE E LOGISTICA</t>
        </is>
      </c>
      <c r="G2936" s="27" t="n">
        <v>46128</v>
      </c>
      <c r="H2936" s="14" t="n">
        <v>54.63</v>
      </c>
      <c r="I2936" s="14" t="n">
        <v>0</v>
      </c>
      <c r="J2936" s="14" t="n">
        <v>0</v>
      </c>
      <c r="K2936" s="14" t="n">
        <v>0</v>
      </c>
      <c r="L2936" s="14" t="n">
        <v>0</v>
      </c>
      <c r="M2936" s="14">
        <f>IF(B2936="Frete de venda",0,(1-ISNUMBER(SEARCH("556",P2936)))*(I2936*VLOOKUP($B2936,Premissas!$A$4:$E$7,2,0)+J2936*VLOOKUP($B2936,Premissas!$A$4:$E$7,3,0))+K2936*VLOOKUP($B2936,Premissas!$A$4:$E$7,4,0)+L2936*VLOOKUP($B2936,Premissas!$A$4:$E$7,5,0))</f>
        <v/>
      </c>
      <c r="N2936" s="14">
        <f>H2936-M2936</f>
        <v/>
      </c>
      <c r="O2936" t="inlineStr">
        <is>
          <t>Não</t>
        </is>
      </c>
      <c r="P2936" t="inlineStr">
        <is>
          <t>1.350</t>
        </is>
      </c>
    </row>
    <row r="2937">
      <c r="A2937" s="24" t="n">
        <v>46113</v>
      </c>
      <c r="B2937" t="inlineStr">
        <is>
          <t>Frete de venda</t>
        </is>
      </c>
      <c r="C2937" t="inlineStr">
        <is>
          <t>Frete de venda (para clientes)</t>
        </is>
      </c>
      <c r="D2937" t="inlineStr">
        <is>
          <t>CT-e</t>
        </is>
      </c>
      <c r="E2937" t="inlineStr">
        <is>
          <t>000024481</t>
        </is>
      </c>
      <c r="F2937" t="inlineStr">
        <is>
          <t>TRANSPORTE OLIVEIRA E MELLOI - IDEALIZA TRANSPORTES</t>
        </is>
      </c>
      <c r="G2937" s="27" t="n">
        <v>46141</v>
      </c>
      <c r="H2937" s="14" t="n">
        <v>970.45</v>
      </c>
      <c r="I2937" s="14" t="n">
        <v>0</v>
      </c>
      <c r="J2937" s="14" t="n">
        <v>116.45</v>
      </c>
      <c r="K2937" s="14" t="n">
        <v>0</v>
      </c>
      <c r="L2937" s="14" t="n">
        <v>0</v>
      </c>
      <c r="M2937" s="14">
        <f>IF(B2937="Frete de venda",0,(1-ISNUMBER(SEARCH("556",P2937)))*(I2937*VLOOKUP($B2937,Premissas!$A$4:$E$7,2,0)+J2937*VLOOKUP($B2937,Premissas!$A$4:$E$7,3,0))+K2937*VLOOKUP($B2937,Premissas!$A$4:$E$7,4,0)+L2937*VLOOKUP($B2937,Premissas!$A$4:$E$7,5,0))</f>
        <v/>
      </c>
      <c r="N2937" s="14">
        <f>H2937-M2937</f>
        <v/>
      </c>
      <c r="O2937" t="inlineStr">
        <is>
          <t>Sim</t>
        </is>
      </c>
      <c r="P2937" t="inlineStr">
        <is>
          <t>1.350</t>
        </is>
      </c>
    </row>
    <row r="2938">
      <c r="A2938" s="24" t="n">
        <v>46113</v>
      </c>
      <c r="B2938" t="inlineStr">
        <is>
          <t>Frete de venda</t>
        </is>
      </c>
      <c r="C2938" t="inlineStr">
        <is>
          <t>Frete de venda (para clientes)</t>
        </is>
      </c>
      <c r="D2938" t="inlineStr">
        <is>
          <t>CT-e</t>
        </is>
      </c>
      <c r="E2938" t="inlineStr">
        <is>
          <t>000006847</t>
        </is>
      </c>
      <c r="F2938" t="inlineStr">
        <is>
          <t>R&amp;R TRANSPORTE E LOGISTICA</t>
        </is>
      </c>
      <c r="G2938" s="27" t="n">
        <v>46135</v>
      </c>
      <c r="H2938" s="14" t="n">
        <v>54.37</v>
      </c>
      <c r="I2938" s="14" t="n">
        <v>0</v>
      </c>
      <c r="J2938" s="14" t="n">
        <v>0</v>
      </c>
      <c r="K2938" s="14" t="n">
        <v>0</v>
      </c>
      <c r="L2938" s="14" t="n">
        <v>0</v>
      </c>
      <c r="M2938" s="14">
        <f>IF(B2938="Frete de venda",0,(1-ISNUMBER(SEARCH("556",P2938)))*(I2938*VLOOKUP($B2938,Premissas!$A$4:$E$7,2,0)+J2938*VLOOKUP($B2938,Premissas!$A$4:$E$7,3,0))+K2938*VLOOKUP($B2938,Premissas!$A$4:$E$7,4,0)+L2938*VLOOKUP($B2938,Premissas!$A$4:$E$7,5,0))</f>
        <v/>
      </c>
      <c r="N2938" s="14">
        <f>H2938-M2938</f>
        <v/>
      </c>
      <c r="O2938" t="inlineStr">
        <is>
          <t>Não</t>
        </is>
      </c>
      <c r="P2938" t="inlineStr">
        <is>
          <t>1.350</t>
        </is>
      </c>
    </row>
    <row r="2939">
      <c r="A2939" s="24" t="n">
        <v>46113</v>
      </c>
      <c r="B2939" t="inlineStr">
        <is>
          <t>Frete de venda</t>
        </is>
      </c>
      <c r="C2939" t="inlineStr">
        <is>
          <t>Frete de venda (para clientes)</t>
        </is>
      </c>
      <c r="D2939" t="inlineStr">
        <is>
          <t>CT-e</t>
        </is>
      </c>
      <c r="E2939" t="inlineStr">
        <is>
          <t>000006931</t>
        </is>
      </c>
      <c r="F2939" t="inlineStr">
        <is>
          <t>R&amp;R TRANSPORTE E LOGISTICA</t>
        </is>
      </c>
      <c r="G2939" s="27" t="n">
        <v>46142</v>
      </c>
      <c r="H2939" s="14" t="n">
        <v>46.55</v>
      </c>
      <c r="I2939" s="14" t="n">
        <v>0</v>
      </c>
      <c r="J2939" s="14" t="n">
        <v>0</v>
      </c>
      <c r="K2939" s="14" t="n">
        <v>0</v>
      </c>
      <c r="L2939" s="14" t="n">
        <v>0</v>
      </c>
      <c r="M2939" s="14">
        <f>IF(B2939="Frete de venda",0,(1-ISNUMBER(SEARCH("556",P2939)))*(I2939*VLOOKUP($B2939,Premissas!$A$4:$E$7,2,0)+J2939*VLOOKUP($B2939,Premissas!$A$4:$E$7,3,0))+K2939*VLOOKUP($B2939,Premissas!$A$4:$E$7,4,0)+L2939*VLOOKUP($B2939,Premissas!$A$4:$E$7,5,0))</f>
        <v/>
      </c>
      <c r="N2939" s="14">
        <f>H2939-M2939</f>
        <v/>
      </c>
      <c r="O2939" t="inlineStr">
        <is>
          <t>Não</t>
        </is>
      </c>
      <c r="P2939" t="inlineStr">
        <is>
          <t>1.350</t>
        </is>
      </c>
    </row>
    <row r="2940">
      <c r="A2940" s="24" t="n">
        <v>46113</v>
      </c>
      <c r="B2940" t="inlineStr">
        <is>
          <t>Frete de venda</t>
        </is>
      </c>
      <c r="C2940" t="inlineStr">
        <is>
          <t>Frete de venda (para clientes)</t>
        </is>
      </c>
      <c r="D2940" t="inlineStr">
        <is>
          <t>CT-e</t>
        </is>
      </c>
      <c r="E2940" t="inlineStr">
        <is>
          <t>000006758</t>
        </is>
      </c>
      <c r="F2940" t="inlineStr">
        <is>
          <t>R&amp;R TRANSPORTE E LOGISTICA</t>
        </is>
      </c>
      <c r="G2940" s="27" t="n">
        <v>46120</v>
      </c>
      <c r="H2940" s="14" t="n">
        <v>1031.64</v>
      </c>
      <c r="I2940" s="14" t="n">
        <v>0</v>
      </c>
      <c r="J2940" s="14" t="n">
        <v>0</v>
      </c>
      <c r="K2940" s="14" t="n">
        <v>0</v>
      </c>
      <c r="L2940" s="14" t="n">
        <v>0</v>
      </c>
      <c r="M2940" s="14">
        <f>IF(B2940="Frete de venda",0,(1-ISNUMBER(SEARCH("556",P2940)))*(I2940*VLOOKUP($B2940,Premissas!$A$4:$E$7,2,0)+J2940*VLOOKUP($B2940,Premissas!$A$4:$E$7,3,0))+K2940*VLOOKUP($B2940,Premissas!$A$4:$E$7,4,0)+L2940*VLOOKUP($B2940,Premissas!$A$4:$E$7,5,0))</f>
        <v/>
      </c>
      <c r="N2940" s="14">
        <f>H2940-M2940</f>
        <v/>
      </c>
      <c r="O2940" t="inlineStr">
        <is>
          <t>Não</t>
        </is>
      </c>
      <c r="P2940" t="inlineStr">
        <is>
          <t>1.350</t>
        </is>
      </c>
    </row>
    <row r="2941">
      <c r="A2941" s="24" t="n">
        <v>46113</v>
      </c>
      <c r="B2941" t="inlineStr">
        <is>
          <t>Frete de venda</t>
        </is>
      </c>
      <c r="C2941" t="inlineStr">
        <is>
          <t>Frete de venda (para clientes)</t>
        </is>
      </c>
      <c r="D2941" t="inlineStr">
        <is>
          <t>CT-e</t>
        </is>
      </c>
      <c r="E2941" t="inlineStr">
        <is>
          <t>000006740</t>
        </is>
      </c>
      <c r="F2941" t="inlineStr">
        <is>
          <t>R&amp;R TRANSPORTE E LOGISTICA</t>
        </is>
      </c>
      <c r="G2941" s="27" t="n">
        <v>46119</v>
      </c>
      <c r="H2941" s="14" t="n">
        <v>18.05</v>
      </c>
      <c r="I2941" s="14" t="n">
        <v>0</v>
      </c>
      <c r="J2941" s="14" t="n">
        <v>0</v>
      </c>
      <c r="K2941" s="14" t="n">
        <v>0</v>
      </c>
      <c r="L2941" s="14" t="n">
        <v>0</v>
      </c>
      <c r="M2941" s="14">
        <f>IF(B2941="Frete de venda",0,(1-ISNUMBER(SEARCH("556",P2941)))*(I2941*VLOOKUP($B2941,Premissas!$A$4:$E$7,2,0)+J2941*VLOOKUP($B2941,Premissas!$A$4:$E$7,3,0))+K2941*VLOOKUP($B2941,Premissas!$A$4:$E$7,4,0)+L2941*VLOOKUP($B2941,Premissas!$A$4:$E$7,5,0))</f>
        <v/>
      </c>
      <c r="N2941" s="14">
        <f>H2941-M2941</f>
        <v/>
      </c>
      <c r="O2941" t="inlineStr">
        <is>
          <t>Não</t>
        </is>
      </c>
      <c r="P2941" t="inlineStr">
        <is>
          <t>1.350</t>
        </is>
      </c>
    </row>
    <row r="2942">
      <c r="A2942" s="24" t="n">
        <v>46113</v>
      </c>
      <c r="B2942" t="inlineStr">
        <is>
          <t>Frete de venda</t>
        </is>
      </c>
      <c r="C2942" t="inlineStr">
        <is>
          <t>Frete de venda (para clientes)</t>
        </is>
      </c>
      <c r="D2942" t="inlineStr">
        <is>
          <t>CT-e</t>
        </is>
      </c>
      <c r="E2942" t="inlineStr">
        <is>
          <t>000006933</t>
        </is>
      </c>
      <c r="F2942" t="inlineStr">
        <is>
          <t>R&amp;R TRANSPORTE E LOGISTICA</t>
        </is>
      </c>
      <c r="G2942" s="27" t="n">
        <v>46142</v>
      </c>
      <c r="H2942" s="14" t="n">
        <v>42.62</v>
      </c>
      <c r="I2942" s="14" t="n">
        <v>0</v>
      </c>
      <c r="J2942" s="14" t="n">
        <v>0</v>
      </c>
      <c r="K2942" s="14" t="n">
        <v>0</v>
      </c>
      <c r="L2942" s="14" t="n">
        <v>0</v>
      </c>
      <c r="M2942" s="14">
        <f>IF(B2942="Frete de venda",0,(1-ISNUMBER(SEARCH("556",P2942)))*(I2942*VLOOKUP($B2942,Premissas!$A$4:$E$7,2,0)+J2942*VLOOKUP($B2942,Premissas!$A$4:$E$7,3,0))+K2942*VLOOKUP($B2942,Premissas!$A$4:$E$7,4,0)+L2942*VLOOKUP($B2942,Premissas!$A$4:$E$7,5,0))</f>
        <v/>
      </c>
      <c r="N2942" s="14">
        <f>H2942-M2942</f>
        <v/>
      </c>
      <c r="O2942" t="inlineStr">
        <is>
          <t>Não</t>
        </is>
      </c>
      <c r="P2942" t="inlineStr">
        <is>
          <t>1.350</t>
        </is>
      </c>
    </row>
    <row r="2943">
      <c r="A2943" s="24" t="n">
        <v>46113</v>
      </c>
      <c r="B2943" t="inlineStr">
        <is>
          <t>Frete de venda</t>
        </is>
      </c>
      <c r="C2943" t="inlineStr">
        <is>
          <t>Frete de venda (para clientes)</t>
        </is>
      </c>
      <c r="D2943" t="inlineStr">
        <is>
          <t>CT-e</t>
        </is>
      </c>
      <c r="E2943" t="inlineStr">
        <is>
          <t>000006831</t>
        </is>
      </c>
      <c r="F2943" t="inlineStr">
        <is>
          <t>R&amp;R TRANSPORTE E LOGISTICA</t>
        </is>
      </c>
      <c r="G2943" s="27" t="n">
        <v>46129</v>
      </c>
      <c r="H2943" s="14" t="n">
        <v>71.40000000000001</v>
      </c>
      <c r="I2943" s="14" t="n">
        <v>0</v>
      </c>
      <c r="J2943" s="14" t="n">
        <v>0</v>
      </c>
      <c r="K2943" s="14" t="n">
        <v>0</v>
      </c>
      <c r="L2943" s="14" t="n">
        <v>0</v>
      </c>
      <c r="M2943" s="14">
        <f>IF(B2943="Frete de venda",0,(1-ISNUMBER(SEARCH("556",P2943)))*(I2943*VLOOKUP($B2943,Premissas!$A$4:$E$7,2,0)+J2943*VLOOKUP($B2943,Premissas!$A$4:$E$7,3,0))+K2943*VLOOKUP($B2943,Premissas!$A$4:$E$7,4,0)+L2943*VLOOKUP($B2943,Premissas!$A$4:$E$7,5,0))</f>
        <v/>
      </c>
      <c r="N2943" s="14">
        <f>H2943-M2943</f>
        <v/>
      </c>
      <c r="O2943" t="inlineStr">
        <is>
          <t>Não</t>
        </is>
      </c>
      <c r="P2943" t="inlineStr">
        <is>
          <t>1.350</t>
        </is>
      </c>
    </row>
    <row r="2944">
      <c r="A2944" s="24" t="n">
        <v>46113</v>
      </c>
      <c r="B2944" t="inlineStr">
        <is>
          <t>Frete de venda</t>
        </is>
      </c>
      <c r="C2944" t="inlineStr">
        <is>
          <t>Frete de venda (para clientes)</t>
        </is>
      </c>
      <c r="D2944" t="inlineStr">
        <is>
          <t>CT-e</t>
        </is>
      </c>
      <c r="E2944" t="inlineStr">
        <is>
          <t>000006814</t>
        </is>
      </c>
      <c r="F2944" t="inlineStr">
        <is>
          <t>R&amp;R TRANSPORTE E LOGISTICA</t>
        </is>
      </c>
      <c r="G2944" s="27" t="n">
        <v>46128</v>
      </c>
      <c r="H2944" s="14" t="n">
        <v>46.08</v>
      </c>
      <c r="I2944" s="14" t="n">
        <v>0</v>
      </c>
      <c r="J2944" s="14" t="n">
        <v>0</v>
      </c>
      <c r="K2944" s="14" t="n">
        <v>0</v>
      </c>
      <c r="L2944" s="14" t="n">
        <v>0</v>
      </c>
      <c r="M2944" s="14">
        <f>IF(B2944="Frete de venda",0,(1-ISNUMBER(SEARCH("556",P2944)))*(I2944*VLOOKUP($B2944,Premissas!$A$4:$E$7,2,0)+J2944*VLOOKUP($B2944,Premissas!$A$4:$E$7,3,0))+K2944*VLOOKUP($B2944,Premissas!$A$4:$E$7,4,0)+L2944*VLOOKUP($B2944,Premissas!$A$4:$E$7,5,0))</f>
        <v/>
      </c>
      <c r="N2944" s="14">
        <f>H2944-M2944</f>
        <v/>
      </c>
      <c r="O2944" t="inlineStr">
        <is>
          <t>Não</t>
        </is>
      </c>
      <c r="P2944" t="inlineStr">
        <is>
          <t>1.350</t>
        </is>
      </c>
    </row>
    <row r="2945">
      <c r="A2945" s="24" t="n">
        <v>46113</v>
      </c>
      <c r="B2945" t="inlineStr">
        <is>
          <t>Frete de venda</t>
        </is>
      </c>
      <c r="C2945" t="inlineStr">
        <is>
          <t>Frete de venda (para clientes)</t>
        </is>
      </c>
      <c r="D2945" t="inlineStr">
        <is>
          <t>CT-e</t>
        </is>
      </c>
      <c r="E2945" t="inlineStr">
        <is>
          <t>000006816</t>
        </is>
      </c>
      <c r="F2945" t="inlineStr">
        <is>
          <t>R&amp;R TRANSPORTE E LOGISTICA</t>
        </is>
      </c>
      <c r="G2945" s="27" t="n">
        <v>46128</v>
      </c>
      <c r="H2945" s="14" t="n">
        <v>42.86</v>
      </c>
      <c r="I2945" s="14" t="n">
        <v>0</v>
      </c>
      <c r="J2945" s="14" t="n">
        <v>0</v>
      </c>
      <c r="K2945" s="14" t="n">
        <v>0</v>
      </c>
      <c r="L2945" s="14" t="n">
        <v>0</v>
      </c>
      <c r="M2945" s="14">
        <f>IF(B2945="Frete de venda",0,(1-ISNUMBER(SEARCH("556",P2945)))*(I2945*VLOOKUP($B2945,Premissas!$A$4:$E$7,2,0)+J2945*VLOOKUP($B2945,Premissas!$A$4:$E$7,3,0))+K2945*VLOOKUP($B2945,Premissas!$A$4:$E$7,4,0)+L2945*VLOOKUP($B2945,Premissas!$A$4:$E$7,5,0))</f>
        <v/>
      </c>
      <c r="N2945" s="14">
        <f>H2945-M2945</f>
        <v/>
      </c>
      <c r="O2945" t="inlineStr">
        <is>
          <t>Não</t>
        </is>
      </c>
      <c r="P2945" t="inlineStr">
        <is>
          <t>1.350</t>
        </is>
      </c>
    </row>
    <row r="2946">
      <c r="A2946" s="24" t="n">
        <v>46113</v>
      </c>
      <c r="B2946" t="inlineStr">
        <is>
          <t>Frete de venda</t>
        </is>
      </c>
      <c r="C2946" t="inlineStr">
        <is>
          <t>Frete de venda (para clientes)</t>
        </is>
      </c>
      <c r="D2946" t="inlineStr">
        <is>
          <t>CT-e</t>
        </is>
      </c>
      <c r="E2946" t="inlineStr">
        <is>
          <t>000006762</t>
        </is>
      </c>
      <c r="F2946" t="inlineStr">
        <is>
          <t>R&amp;R TRANSPORTE E LOGISTICA</t>
        </is>
      </c>
      <c r="G2946" s="27" t="n">
        <v>46120</v>
      </c>
      <c r="H2946" s="14" t="n">
        <v>1023.57</v>
      </c>
      <c r="I2946" s="14" t="n">
        <v>0</v>
      </c>
      <c r="J2946" s="14" t="n">
        <v>0</v>
      </c>
      <c r="K2946" s="14" t="n">
        <v>0</v>
      </c>
      <c r="L2946" s="14" t="n">
        <v>0</v>
      </c>
      <c r="M2946" s="14">
        <f>IF(B2946="Frete de venda",0,(1-ISNUMBER(SEARCH("556",P2946)))*(I2946*VLOOKUP($B2946,Premissas!$A$4:$E$7,2,0)+J2946*VLOOKUP($B2946,Premissas!$A$4:$E$7,3,0))+K2946*VLOOKUP($B2946,Premissas!$A$4:$E$7,4,0)+L2946*VLOOKUP($B2946,Premissas!$A$4:$E$7,5,0))</f>
        <v/>
      </c>
      <c r="N2946" s="14">
        <f>H2946-M2946</f>
        <v/>
      </c>
      <c r="O2946" t="inlineStr">
        <is>
          <t>Não</t>
        </is>
      </c>
      <c r="P2946" t="inlineStr">
        <is>
          <t>1.350</t>
        </is>
      </c>
    </row>
    <row r="2947">
      <c r="A2947" s="24" t="n">
        <v>46113</v>
      </c>
      <c r="B2947" t="inlineStr">
        <is>
          <t>Frete de venda</t>
        </is>
      </c>
      <c r="C2947" t="inlineStr">
        <is>
          <t>Frete de venda (para clientes)</t>
        </is>
      </c>
      <c r="D2947" t="inlineStr">
        <is>
          <t>CT-e</t>
        </is>
      </c>
      <c r="E2947" t="inlineStr">
        <is>
          <t>000000669</t>
        </is>
      </c>
      <c r="F2947" t="inlineStr">
        <is>
          <t>REIMAG - REINALDO DOMINGUES BARROS DA SILVA</t>
        </is>
      </c>
      <c r="G2947" s="27" t="n">
        <v>46134</v>
      </c>
      <c r="H2947" s="14" t="n">
        <v>800</v>
      </c>
      <c r="I2947" s="14" t="n">
        <v>0</v>
      </c>
      <c r="J2947" s="14" t="n">
        <v>0</v>
      </c>
      <c r="K2947" s="14" t="n">
        <v>0</v>
      </c>
      <c r="L2947" s="14" t="n">
        <v>0</v>
      </c>
      <c r="M2947" s="14">
        <f>IF(B2947="Frete de venda",0,(1-ISNUMBER(SEARCH("556",P2947)))*(I2947*VLOOKUP($B2947,Premissas!$A$4:$E$7,2,0)+J2947*VLOOKUP($B2947,Premissas!$A$4:$E$7,3,0))+K2947*VLOOKUP($B2947,Premissas!$A$4:$E$7,4,0)+L2947*VLOOKUP($B2947,Premissas!$A$4:$E$7,5,0))</f>
        <v/>
      </c>
      <c r="N2947" s="14">
        <f>H2947-M2947</f>
        <v/>
      </c>
      <c r="O2947" t="inlineStr">
        <is>
          <t>Sim</t>
        </is>
      </c>
      <c r="P2947" t="inlineStr">
        <is>
          <t>1.350</t>
        </is>
      </c>
    </row>
    <row r="2948">
      <c r="A2948" s="24" t="n">
        <v>46113</v>
      </c>
      <c r="B2948" t="inlineStr">
        <is>
          <t>Frete de venda</t>
        </is>
      </c>
      <c r="C2948" t="inlineStr">
        <is>
          <t>Frete de venda (para clientes)</t>
        </is>
      </c>
      <c r="D2948" t="inlineStr">
        <is>
          <t>CT-e</t>
        </is>
      </c>
      <c r="E2948" t="inlineStr">
        <is>
          <t>000006794</t>
        </is>
      </c>
      <c r="F2948" t="inlineStr">
        <is>
          <t>R&amp;R TRANSPORTE E LOGISTICA</t>
        </is>
      </c>
      <c r="G2948" s="27" t="n">
        <v>46123</v>
      </c>
      <c r="H2948" s="14" t="n">
        <v>750</v>
      </c>
      <c r="I2948" s="14" t="n">
        <v>0</v>
      </c>
      <c r="J2948" s="14" t="n">
        <v>0</v>
      </c>
      <c r="K2948" s="14" t="n">
        <v>0</v>
      </c>
      <c r="L2948" s="14" t="n">
        <v>0</v>
      </c>
      <c r="M2948" s="14">
        <f>IF(B2948="Frete de venda",0,(1-ISNUMBER(SEARCH("556",P2948)))*(I2948*VLOOKUP($B2948,Premissas!$A$4:$E$7,2,0)+J2948*VLOOKUP($B2948,Premissas!$A$4:$E$7,3,0))+K2948*VLOOKUP($B2948,Premissas!$A$4:$E$7,4,0)+L2948*VLOOKUP($B2948,Premissas!$A$4:$E$7,5,0))</f>
        <v/>
      </c>
      <c r="N2948" s="14">
        <f>H2948-M2948</f>
        <v/>
      </c>
      <c r="O2948" t="inlineStr">
        <is>
          <t>Sim</t>
        </is>
      </c>
      <c r="P2948" t="inlineStr">
        <is>
          <t>1.350</t>
        </is>
      </c>
    </row>
    <row r="2949">
      <c r="A2949" s="24" t="n">
        <v>46113</v>
      </c>
      <c r="B2949" t="inlineStr">
        <is>
          <t>Frete de venda</t>
        </is>
      </c>
      <c r="C2949" t="inlineStr">
        <is>
          <t>Frete de venda (para clientes)</t>
        </is>
      </c>
      <c r="D2949" t="inlineStr">
        <is>
          <t>CT-e</t>
        </is>
      </c>
      <c r="E2949" t="inlineStr">
        <is>
          <t>000006902</t>
        </is>
      </c>
      <c r="F2949" t="inlineStr">
        <is>
          <t>R&amp;R TRANSPORTE E LOGISTICA</t>
        </is>
      </c>
      <c r="G2949" s="27" t="n">
        <v>46137</v>
      </c>
      <c r="H2949" s="14" t="n">
        <v>258.35</v>
      </c>
      <c r="I2949" s="14" t="n">
        <v>0</v>
      </c>
      <c r="J2949" s="14" t="n">
        <v>0</v>
      </c>
      <c r="K2949" s="14" t="n">
        <v>0</v>
      </c>
      <c r="L2949" s="14" t="n">
        <v>0</v>
      </c>
      <c r="M2949" s="14">
        <f>IF(B2949="Frete de venda",0,(1-ISNUMBER(SEARCH("556",P2949)))*(I2949*VLOOKUP($B2949,Premissas!$A$4:$E$7,2,0)+J2949*VLOOKUP($B2949,Premissas!$A$4:$E$7,3,0))+K2949*VLOOKUP($B2949,Premissas!$A$4:$E$7,4,0)+L2949*VLOOKUP($B2949,Premissas!$A$4:$E$7,5,0))</f>
        <v/>
      </c>
      <c r="N2949" s="14">
        <f>H2949-M2949</f>
        <v/>
      </c>
      <c r="O2949" t="inlineStr">
        <is>
          <t>Não</t>
        </is>
      </c>
      <c r="P2949" t="inlineStr">
        <is>
          <t>1.350</t>
        </is>
      </c>
    </row>
    <row r="2950">
      <c r="A2950" s="24" t="n">
        <v>46113</v>
      </c>
      <c r="B2950" t="inlineStr">
        <is>
          <t>Frete de venda</t>
        </is>
      </c>
      <c r="C2950" t="inlineStr">
        <is>
          <t>Frete de venda (para clientes)</t>
        </is>
      </c>
      <c r="D2950" t="inlineStr">
        <is>
          <t>CT-e</t>
        </is>
      </c>
      <c r="E2950" t="inlineStr">
        <is>
          <t>000006785</t>
        </is>
      </c>
      <c r="F2950" t="inlineStr">
        <is>
          <t>R&amp;R TRANSPORTE E LOGISTICA</t>
        </is>
      </c>
      <c r="G2950" s="27" t="n">
        <v>46123</v>
      </c>
      <c r="H2950" s="14" t="n">
        <v>960.76</v>
      </c>
      <c r="I2950" s="14" t="n">
        <v>0</v>
      </c>
      <c r="J2950" s="14" t="n">
        <v>0</v>
      </c>
      <c r="K2950" s="14" t="n">
        <v>0</v>
      </c>
      <c r="L2950" s="14" t="n">
        <v>0</v>
      </c>
      <c r="M2950" s="14">
        <f>IF(B2950="Frete de venda",0,(1-ISNUMBER(SEARCH("556",P2950)))*(I2950*VLOOKUP($B2950,Premissas!$A$4:$E$7,2,0)+J2950*VLOOKUP($B2950,Premissas!$A$4:$E$7,3,0))+K2950*VLOOKUP($B2950,Premissas!$A$4:$E$7,4,0)+L2950*VLOOKUP($B2950,Premissas!$A$4:$E$7,5,0))</f>
        <v/>
      </c>
      <c r="N2950" s="14">
        <f>H2950-M2950</f>
        <v/>
      </c>
      <c r="O2950" t="inlineStr">
        <is>
          <t>Não</t>
        </is>
      </c>
      <c r="P2950" t="inlineStr">
        <is>
          <t>1.350</t>
        </is>
      </c>
    </row>
    <row r="2951">
      <c r="A2951" s="24" t="n">
        <v>46113</v>
      </c>
      <c r="B2951" t="inlineStr">
        <is>
          <t>Frete de venda</t>
        </is>
      </c>
      <c r="C2951" t="inlineStr">
        <is>
          <t>Frete de venda (para clientes)</t>
        </is>
      </c>
      <c r="D2951" t="inlineStr">
        <is>
          <t>CT-e</t>
        </is>
      </c>
      <c r="E2951" t="inlineStr">
        <is>
          <t>000006789</t>
        </is>
      </c>
      <c r="F2951" t="inlineStr">
        <is>
          <t>R&amp;R TRANSPORTE E LOGISTICA</t>
        </is>
      </c>
      <c r="G2951" s="27" t="n">
        <v>46123</v>
      </c>
      <c r="H2951" s="14" t="n">
        <v>979.73</v>
      </c>
      <c r="I2951" s="14" t="n">
        <v>0</v>
      </c>
      <c r="J2951" s="14" t="n">
        <v>0</v>
      </c>
      <c r="K2951" s="14" t="n">
        <v>0</v>
      </c>
      <c r="L2951" s="14" t="n">
        <v>0</v>
      </c>
      <c r="M2951" s="14">
        <f>IF(B2951="Frete de venda",0,(1-ISNUMBER(SEARCH("556",P2951)))*(I2951*VLOOKUP($B2951,Premissas!$A$4:$E$7,2,0)+J2951*VLOOKUP($B2951,Premissas!$A$4:$E$7,3,0))+K2951*VLOOKUP($B2951,Premissas!$A$4:$E$7,4,0)+L2951*VLOOKUP($B2951,Premissas!$A$4:$E$7,5,0))</f>
        <v/>
      </c>
      <c r="N2951" s="14">
        <f>H2951-M2951</f>
        <v/>
      </c>
      <c r="O2951" t="inlineStr">
        <is>
          <t>Não</t>
        </is>
      </c>
      <c r="P2951" t="inlineStr">
        <is>
          <t>1.350</t>
        </is>
      </c>
    </row>
    <row r="2952">
      <c r="A2952" s="24" t="n">
        <v>46113</v>
      </c>
      <c r="B2952" t="inlineStr">
        <is>
          <t>Frete de venda</t>
        </is>
      </c>
      <c r="C2952" t="inlineStr">
        <is>
          <t>Frete de venda (para clientes)</t>
        </is>
      </c>
      <c r="D2952" t="inlineStr">
        <is>
          <t>CT-e</t>
        </is>
      </c>
      <c r="E2952" t="inlineStr">
        <is>
          <t>000006819</t>
        </is>
      </c>
      <c r="F2952" t="inlineStr">
        <is>
          <t>R&amp;R TRANSPORTE E LOGISTICA</t>
        </is>
      </c>
      <c r="G2952" s="27" t="n">
        <v>46128</v>
      </c>
      <c r="H2952" s="14" t="n">
        <v>37.04</v>
      </c>
      <c r="I2952" s="14" t="n">
        <v>0</v>
      </c>
      <c r="J2952" s="14" t="n">
        <v>0</v>
      </c>
      <c r="K2952" s="14" t="n">
        <v>0</v>
      </c>
      <c r="L2952" s="14" t="n">
        <v>0</v>
      </c>
      <c r="M2952" s="14">
        <f>IF(B2952="Frete de venda",0,(1-ISNUMBER(SEARCH("556",P2952)))*(I2952*VLOOKUP($B2952,Premissas!$A$4:$E$7,2,0)+J2952*VLOOKUP($B2952,Premissas!$A$4:$E$7,3,0))+K2952*VLOOKUP($B2952,Premissas!$A$4:$E$7,4,0)+L2952*VLOOKUP($B2952,Premissas!$A$4:$E$7,5,0))</f>
        <v/>
      </c>
      <c r="N2952" s="14">
        <f>H2952-M2952</f>
        <v/>
      </c>
      <c r="O2952" t="inlineStr">
        <is>
          <t>Não</t>
        </is>
      </c>
      <c r="P2952" t="inlineStr">
        <is>
          <t>1.350</t>
        </is>
      </c>
    </row>
    <row r="2953">
      <c r="A2953" s="24" t="n">
        <v>46113</v>
      </c>
      <c r="B2953" t="inlineStr">
        <is>
          <t>Frete de venda</t>
        </is>
      </c>
      <c r="C2953" t="inlineStr">
        <is>
          <t>Frete de venda (para clientes)</t>
        </is>
      </c>
      <c r="D2953" t="inlineStr">
        <is>
          <t>CT-e</t>
        </is>
      </c>
      <c r="E2953" t="inlineStr">
        <is>
          <t>000006781</t>
        </is>
      </c>
      <c r="F2953" t="inlineStr">
        <is>
          <t>R&amp;R TRANSPORTE E LOGISTICA</t>
        </is>
      </c>
      <c r="G2953" s="27" t="n">
        <v>46123</v>
      </c>
      <c r="H2953" s="14" t="n">
        <v>965.04</v>
      </c>
      <c r="I2953" s="14" t="n">
        <v>0</v>
      </c>
      <c r="J2953" s="14" t="n">
        <v>0</v>
      </c>
      <c r="K2953" s="14" t="n">
        <v>0</v>
      </c>
      <c r="L2953" s="14" t="n">
        <v>0</v>
      </c>
      <c r="M2953" s="14">
        <f>IF(B2953="Frete de venda",0,(1-ISNUMBER(SEARCH("556",P2953)))*(I2953*VLOOKUP($B2953,Premissas!$A$4:$E$7,2,0)+J2953*VLOOKUP($B2953,Premissas!$A$4:$E$7,3,0))+K2953*VLOOKUP($B2953,Premissas!$A$4:$E$7,4,0)+L2953*VLOOKUP($B2953,Premissas!$A$4:$E$7,5,0))</f>
        <v/>
      </c>
      <c r="N2953" s="14">
        <f>H2953-M2953</f>
        <v/>
      </c>
      <c r="O2953" t="inlineStr">
        <is>
          <t>Não</t>
        </is>
      </c>
      <c r="P2953" t="inlineStr">
        <is>
          <t>1.350</t>
        </is>
      </c>
    </row>
    <row r="2954">
      <c r="A2954" s="24" t="n">
        <v>46113</v>
      </c>
      <c r="B2954" t="inlineStr">
        <is>
          <t>Frete de venda</t>
        </is>
      </c>
      <c r="C2954" t="inlineStr">
        <is>
          <t>Frete de venda (para clientes)</t>
        </is>
      </c>
      <c r="D2954" t="inlineStr">
        <is>
          <t>CT-e</t>
        </is>
      </c>
      <c r="E2954" t="inlineStr">
        <is>
          <t>000006890</t>
        </is>
      </c>
      <c r="F2954" t="inlineStr">
        <is>
          <t>R&amp;R TRANSPORTE E LOGISTICA</t>
        </is>
      </c>
      <c r="G2954" s="27" t="n">
        <v>46137</v>
      </c>
      <c r="H2954" s="14" t="n">
        <v>16.9</v>
      </c>
      <c r="I2954" s="14" t="n">
        <v>0</v>
      </c>
      <c r="J2954" s="14" t="n">
        <v>0</v>
      </c>
      <c r="K2954" s="14" t="n">
        <v>0</v>
      </c>
      <c r="L2954" s="14" t="n">
        <v>0</v>
      </c>
      <c r="M2954" s="14">
        <f>IF(B2954="Frete de venda",0,(1-ISNUMBER(SEARCH("556",P2954)))*(I2954*VLOOKUP($B2954,Premissas!$A$4:$E$7,2,0)+J2954*VLOOKUP($B2954,Premissas!$A$4:$E$7,3,0))+K2954*VLOOKUP($B2954,Premissas!$A$4:$E$7,4,0)+L2954*VLOOKUP($B2954,Premissas!$A$4:$E$7,5,0))</f>
        <v/>
      </c>
      <c r="N2954" s="14">
        <f>H2954-M2954</f>
        <v/>
      </c>
      <c r="O2954" t="inlineStr">
        <is>
          <t>Não</t>
        </is>
      </c>
      <c r="P2954" t="inlineStr">
        <is>
          <t>1.350</t>
        </is>
      </c>
    </row>
    <row r="2955">
      <c r="A2955" s="24" t="n">
        <v>46113</v>
      </c>
      <c r="B2955" t="inlineStr">
        <is>
          <t>Frete de venda</t>
        </is>
      </c>
      <c r="C2955" t="inlineStr">
        <is>
          <t>Frete de venda (para clientes)</t>
        </is>
      </c>
      <c r="D2955" t="inlineStr">
        <is>
          <t>CT-e</t>
        </is>
      </c>
      <c r="E2955" t="inlineStr">
        <is>
          <t>000006930</t>
        </is>
      </c>
      <c r="F2955" t="inlineStr">
        <is>
          <t>R&amp;R TRANSPORTE E LOGISTICA</t>
        </is>
      </c>
      <c r="G2955" s="27" t="n">
        <v>46142</v>
      </c>
      <c r="H2955" s="14" t="n">
        <v>67.59999999999999</v>
      </c>
      <c r="I2955" s="14" t="n">
        <v>0</v>
      </c>
      <c r="J2955" s="14" t="n">
        <v>0</v>
      </c>
      <c r="K2955" s="14" t="n">
        <v>0</v>
      </c>
      <c r="L2955" s="14" t="n">
        <v>0</v>
      </c>
      <c r="M2955" s="14">
        <f>IF(B2955="Frete de venda",0,(1-ISNUMBER(SEARCH("556",P2955)))*(I2955*VLOOKUP($B2955,Premissas!$A$4:$E$7,2,0)+J2955*VLOOKUP($B2955,Premissas!$A$4:$E$7,3,0))+K2955*VLOOKUP($B2955,Premissas!$A$4:$E$7,4,0)+L2955*VLOOKUP($B2955,Premissas!$A$4:$E$7,5,0))</f>
        <v/>
      </c>
      <c r="N2955" s="14">
        <f>H2955-M2955</f>
        <v/>
      </c>
      <c r="O2955" t="inlineStr">
        <is>
          <t>Não</t>
        </is>
      </c>
      <c r="P2955" t="inlineStr">
        <is>
          <t>1.350</t>
        </is>
      </c>
    </row>
    <row r="2956">
      <c r="A2956" s="24" t="n">
        <v>46113</v>
      </c>
      <c r="B2956" t="inlineStr">
        <is>
          <t>Frete de venda</t>
        </is>
      </c>
      <c r="C2956" t="inlineStr">
        <is>
          <t>Frete de venda (para clientes)</t>
        </is>
      </c>
      <c r="D2956" t="inlineStr">
        <is>
          <t>CT-e</t>
        </is>
      </c>
      <c r="E2956" t="inlineStr">
        <is>
          <t>000006873</t>
        </is>
      </c>
      <c r="F2956" t="inlineStr">
        <is>
          <t>R&amp;R TRANSPORTE E LOGISTICA</t>
        </is>
      </c>
      <c r="G2956" s="27" t="n">
        <v>46137</v>
      </c>
      <c r="H2956" s="14" t="n">
        <v>23.93</v>
      </c>
      <c r="I2956" s="14" t="n">
        <v>0</v>
      </c>
      <c r="J2956" s="14" t="n">
        <v>0</v>
      </c>
      <c r="K2956" s="14" t="n">
        <v>0</v>
      </c>
      <c r="L2956" s="14" t="n">
        <v>0</v>
      </c>
      <c r="M2956" s="14">
        <f>IF(B2956="Frete de venda",0,(1-ISNUMBER(SEARCH("556",P2956)))*(I2956*VLOOKUP($B2956,Premissas!$A$4:$E$7,2,0)+J2956*VLOOKUP($B2956,Premissas!$A$4:$E$7,3,0))+K2956*VLOOKUP($B2956,Premissas!$A$4:$E$7,4,0)+L2956*VLOOKUP($B2956,Premissas!$A$4:$E$7,5,0))</f>
        <v/>
      </c>
      <c r="N2956" s="14">
        <f>H2956-M2956</f>
        <v/>
      </c>
      <c r="O2956" t="inlineStr">
        <is>
          <t>Não</t>
        </is>
      </c>
      <c r="P2956" t="inlineStr">
        <is>
          <t>1.350</t>
        </is>
      </c>
    </row>
    <row r="2957">
      <c r="A2957" s="24" t="n">
        <v>46113</v>
      </c>
      <c r="B2957" t="inlineStr">
        <is>
          <t>Frete de venda</t>
        </is>
      </c>
      <c r="C2957" t="inlineStr">
        <is>
          <t>Frete de venda (para clientes)</t>
        </is>
      </c>
      <c r="D2957" t="inlineStr">
        <is>
          <t>CT-e</t>
        </is>
      </c>
      <c r="E2957" t="inlineStr">
        <is>
          <t>000006804</t>
        </is>
      </c>
      <c r="F2957" t="inlineStr">
        <is>
          <t>R&amp;R TRANSPORTE E LOGISTICA</t>
        </is>
      </c>
      <c r="G2957" s="27" t="n">
        <v>46127</v>
      </c>
      <c r="H2957" s="14" t="n">
        <v>12322.62</v>
      </c>
      <c r="I2957" s="14" t="n">
        <v>0</v>
      </c>
      <c r="J2957" s="14" t="n">
        <v>0</v>
      </c>
      <c r="K2957" s="14" t="n">
        <v>0</v>
      </c>
      <c r="L2957" s="14" t="n">
        <v>0</v>
      </c>
      <c r="M2957" s="14">
        <f>IF(B2957="Frete de venda",0,(1-ISNUMBER(SEARCH("556",P2957)))*(I2957*VLOOKUP($B2957,Premissas!$A$4:$E$7,2,0)+J2957*VLOOKUP($B2957,Premissas!$A$4:$E$7,3,0))+K2957*VLOOKUP($B2957,Premissas!$A$4:$E$7,4,0)+L2957*VLOOKUP($B2957,Premissas!$A$4:$E$7,5,0))</f>
        <v/>
      </c>
      <c r="N2957" s="14">
        <f>H2957-M2957</f>
        <v/>
      </c>
      <c r="O2957" t="inlineStr">
        <is>
          <t>Não</t>
        </is>
      </c>
      <c r="P2957" t="inlineStr">
        <is>
          <t>1.350</t>
        </is>
      </c>
    </row>
    <row r="2958">
      <c r="A2958" s="24" t="n">
        <v>46113</v>
      </c>
      <c r="B2958" t="inlineStr">
        <is>
          <t>Frete de venda</t>
        </is>
      </c>
      <c r="C2958" t="inlineStr">
        <is>
          <t>Frete de venda (para clientes)</t>
        </is>
      </c>
      <c r="D2958" t="inlineStr">
        <is>
          <t>CT-e</t>
        </is>
      </c>
      <c r="E2958" t="inlineStr">
        <is>
          <t>000006737</t>
        </is>
      </c>
      <c r="F2958" t="inlineStr">
        <is>
          <t>R&amp;R TRANSPORTE E LOGISTICA</t>
        </is>
      </c>
      <c r="G2958" s="27" t="n">
        <v>46119</v>
      </c>
      <c r="H2958" s="14" t="n">
        <v>41.54</v>
      </c>
      <c r="I2958" s="14" t="n">
        <v>0</v>
      </c>
      <c r="J2958" s="14" t="n">
        <v>0</v>
      </c>
      <c r="K2958" s="14" t="n">
        <v>0</v>
      </c>
      <c r="L2958" s="14" t="n">
        <v>0</v>
      </c>
      <c r="M2958" s="14">
        <f>IF(B2958="Frete de venda",0,(1-ISNUMBER(SEARCH("556",P2958)))*(I2958*VLOOKUP($B2958,Premissas!$A$4:$E$7,2,0)+J2958*VLOOKUP($B2958,Premissas!$A$4:$E$7,3,0))+K2958*VLOOKUP($B2958,Premissas!$A$4:$E$7,4,0)+L2958*VLOOKUP($B2958,Premissas!$A$4:$E$7,5,0))</f>
        <v/>
      </c>
      <c r="N2958" s="14">
        <f>H2958-M2958</f>
        <v/>
      </c>
      <c r="O2958" t="inlineStr">
        <is>
          <t>Não</t>
        </is>
      </c>
      <c r="P2958" t="inlineStr">
        <is>
          <t>1.350</t>
        </is>
      </c>
    </row>
    <row r="2959">
      <c r="A2959" s="24" t="n">
        <v>46113</v>
      </c>
      <c r="B2959" t="inlineStr">
        <is>
          <t>Frete de venda</t>
        </is>
      </c>
      <c r="C2959" t="inlineStr">
        <is>
          <t>Frete de venda (para clientes)</t>
        </is>
      </c>
      <c r="D2959" t="inlineStr">
        <is>
          <t>CT-e</t>
        </is>
      </c>
      <c r="E2959" t="inlineStr">
        <is>
          <t>000006711</t>
        </is>
      </c>
      <c r="F2959" t="inlineStr">
        <is>
          <t>R&amp;R TRANSPORTE E LOGISTICA</t>
        </is>
      </c>
      <c r="G2959" s="27" t="n">
        <v>46114</v>
      </c>
      <c r="H2959" s="14" t="n">
        <v>159.26</v>
      </c>
      <c r="I2959" s="14" t="n">
        <v>0</v>
      </c>
      <c r="J2959" s="14" t="n">
        <v>0</v>
      </c>
      <c r="K2959" s="14" t="n">
        <v>0</v>
      </c>
      <c r="L2959" s="14" t="n">
        <v>0</v>
      </c>
      <c r="M2959" s="14">
        <f>IF(B2959="Frete de venda",0,(1-ISNUMBER(SEARCH("556",P2959)))*(I2959*VLOOKUP($B2959,Premissas!$A$4:$E$7,2,0)+J2959*VLOOKUP($B2959,Premissas!$A$4:$E$7,3,0))+K2959*VLOOKUP($B2959,Premissas!$A$4:$E$7,4,0)+L2959*VLOOKUP($B2959,Premissas!$A$4:$E$7,5,0))</f>
        <v/>
      </c>
      <c r="N2959" s="14">
        <f>H2959-M2959</f>
        <v/>
      </c>
      <c r="O2959" t="inlineStr">
        <is>
          <t>Não</t>
        </is>
      </c>
      <c r="P2959" t="inlineStr">
        <is>
          <t>1.350</t>
        </is>
      </c>
    </row>
    <row r="2960">
      <c r="A2960" s="24" t="n">
        <v>46113</v>
      </c>
      <c r="B2960" t="inlineStr">
        <is>
          <t>Frete de venda</t>
        </is>
      </c>
      <c r="C2960" t="inlineStr">
        <is>
          <t>Frete de venda (para clientes)</t>
        </is>
      </c>
      <c r="D2960" t="inlineStr">
        <is>
          <t>CT-e</t>
        </is>
      </c>
      <c r="E2960" t="inlineStr">
        <is>
          <t>000006753</t>
        </is>
      </c>
      <c r="F2960" t="inlineStr">
        <is>
          <t>R&amp;R TRANSPORTE E LOGISTICA</t>
        </is>
      </c>
      <c r="G2960" s="27" t="n">
        <v>46120</v>
      </c>
      <c r="H2960" s="14" t="n">
        <v>248.33</v>
      </c>
      <c r="I2960" s="14" t="n">
        <v>0</v>
      </c>
      <c r="J2960" s="14" t="n">
        <v>0</v>
      </c>
      <c r="K2960" s="14" t="n">
        <v>0</v>
      </c>
      <c r="L2960" s="14" t="n">
        <v>0</v>
      </c>
      <c r="M2960" s="14">
        <f>IF(B2960="Frete de venda",0,(1-ISNUMBER(SEARCH("556",P2960)))*(I2960*VLOOKUP($B2960,Premissas!$A$4:$E$7,2,0)+J2960*VLOOKUP($B2960,Premissas!$A$4:$E$7,3,0))+K2960*VLOOKUP($B2960,Premissas!$A$4:$E$7,4,0)+L2960*VLOOKUP($B2960,Premissas!$A$4:$E$7,5,0))</f>
        <v/>
      </c>
      <c r="N2960" s="14">
        <f>H2960-M2960</f>
        <v/>
      </c>
      <c r="O2960" t="inlineStr">
        <is>
          <t>Não</t>
        </is>
      </c>
      <c r="P2960" t="inlineStr">
        <is>
          <t>1.350</t>
        </is>
      </c>
    </row>
    <row r="2961">
      <c r="A2961" s="24" t="n">
        <v>46113</v>
      </c>
      <c r="B2961" t="inlineStr">
        <is>
          <t>Frete de venda</t>
        </is>
      </c>
      <c r="C2961" t="inlineStr">
        <is>
          <t>Frete de venda (para clientes)</t>
        </is>
      </c>
      <c r="D2961" t="inlineStr">
        <is>
          <t>CT-e</t>
        </is>
      </c>
      <c r="E2961" t="inlineStr">
        <is>
          <t>000006927</t>
        </is>
      </c>
      <c r="F2961" t="inlineStr">
        <is>
          <t>R&amp;R TRANSPORTE E LOGISTICA</t>
        </is>
      </c>
      <c r="G2961" s="27" t="n">
        <v>46142</v>
      </c>
      <c r="H2961" s="14" t="n">
        <v>128.39</v>
      </c>
      <c r="I2961" s="14" t="n">
        <v>0</v>
      </c>
      <c r="J2961" s="14" t="n">
        <v>0</v>
      </c>
      <c r="K2961" s="14" t="n">
        <v>0</v>
      </c>
      <c r="L2961" s="14" t="n">
        <v>0</v>
      </c>
      <c r="M2961" s="14">
        <f>IF(B2961="Frete de venda",0,(1-ISNUMBER(SEARCH("556",P2961)))*(I2961*VLOOKUP($B2961,Premissas!$A$4:$E$7,2,0)+J2961*VLOOKUP($B2961,Premissas!$A$4:$E$7,3,0))+K2961*VLOOKUP($B2961,Premissas!$A$4:$E$7,4,0)+L2961*VLOOKUP($B2961,Premissas!$A$4:$E$7,5,0))</f>
        <v/>
      </c>
      <c r="N2961" s="14">
        <f>H2961-M2961</f>
        <v/>
      </c>
      <c r="O2961" t="inlineStr">
        <is>
          <t>Não</t>
        </is>
      </c>
      <c r="P2961" t="inlineStr">
        <is>
          <t>1.350</t>
        </is>
      </c>
    </row>
    <row r="2962">
      <c r="A2962" s="24" t="n">
        <v>46113</v>
      </c>
      <c r="B2962" t="inlineStr">
        <is>
          <t>Frete de venda</t>
        </is>
      </c>
      <c r="C2962" t="inlineStr">
        <is>
          <t>Frete de venda (para clientes)</t>
        </is>
      </c>
      <c r="D2962" t="inlineStr">
        <is>
          <t>CT-e</t>
        </is>
      </c>
      <c r="E2962" t="inlineStr">
        <is>
          <t>000006870</t>
        </is>
      </c>
      <c r="F2962" t="inlineStr">
        <is>
          <t>R&amp;R TRANSPORTE E LOGISTICA</t>
        </is>
      </c>
      <c r="G2962" s="27" t="n">
        <v>46137</v>
      </c>
      <c r="H2962" s="14" t="n">
        <v>43.34</v>
      </c>
      <c r="I2962" s="14" t="n">
        <v>0</v>
      </c>
      <c r="J2962" s="14" t="n">
        <v>0</v>
      </c>
      <c r="K2962" s="14" t="n">
        <v>0</v>
      </c>
      <c r="L2962" s="14" t="n">
        <v>0</v>
      </c>
      <c r="M2962" s="14">
        <f>IF(B2962="Frete de venda",0,(1-ISNUMBER(SEARCH("556",P2962)))*(I2962*VLOOKUP($B2962,Premissas!$A$4:$E$7,2,0)+J2962*VLOOKUP($B2962,Premissas!$A$4:$E$7,3,0))+K2962*VLOOKUP($B2962,Premissas!$A$4:$E$7,4,0)+L2962*VLOOKUP($B2962,Premissas!$A$4:$E$7,5,0))</f>
        <v/>
      </c>
      <c r="N2962" s="14">
        <f>H2962-M2962</f>
        <v/>
      </c>
      <c r="O2962" t="inlineStr">
        <is>
          <t>Não</t>
        </is>
      </c>
      <c r="P2962" t="inlineStr">
        <is>
          <t>1.350</t>
        </is>
      </c>
    </row>
    <row r="2963">
      <c r="A2963" s="24" t="n">
        <v>46113</v>
      </c>
      <c r="B2963" t="inlineStr">
        <is>
          <t>Frete de venda</t>
        </is>
      </c>
      <c r="C2963" t="inlineStr">
        <is>
          <t>Frete de venda (para clientes)</t>
        </is>
      </c>
      <c r="D2963" t="inlineStr">
        <is>
          <t>CT-e</t>
        </is>
      </c>
      <c r="E2963" t="inlineStr">
        <is>
          <t>000006869</t>
        </is>
      </c>
      <c r="F2963" t="inlineStr">
        <is>
          <t>R&amp;R TRANSPORTE E LOGISTICA</t>
        </is>
      </c>
      <c r="G2963" s="27" t="n">
        <v>46137</v>
      </c>
      <c r="H2963" s="14" t="n">
        <v>20.62</v>
      </c>
      <c r="I2963" s="14" t="n">
        <v>0</v>
      </c>
      <c r="J2963" s="14" t="n">
        <v>0</v>
      </c>
      <c r="K2963" s="14" t="n">
        <v>0</v>
      </c>
      <c r="L2963" s="14" t="n">
        <v>0</v>
      </c>
      <c r="M2963" s="14">
        <f>IF(B2963="Frete de venda",0,(1-ISNUMBER(SEARCH("556",P2963)))*(I2963*VLOOKUP($B2963,Premissas!$A$4:$E$7,2,0)+J2963*VLOOKUP($B2963,Premissas!$A$4:$E$7,3,0))+K2963*VLOOKUP($B2963,Premissas!$A$4:$E$7,4,0)+L2963*VLOOKUP($B2963,Premissas!$A$4:$E$7,5,0))</f>
        <v/>
      </c>
      <c r="N2963" s="14">
        <f>H2963-M2963</f>
        <v/>
      </c>
      <c r="O2963" t="inlineStr">
        <is>
          <t>Não</t>
        </is>
      </c>
      <c r="P2963" t="inlineStr">
        <is>
          <t>1.350</t>
        </is>
      </c>
    </row>
    <row r="2964">
      <c r="A2964" s="24" t="n">
        <v>46113</v>
      </c>
      <c r="B2964" t="inlineStr">
        <is>
          <t>Frete de venda</t>
        </is>
      </c>
      <c r="C2964" t="inlineStr">
        <is>
          <t>Frete de venda (para clientes)</t>
        </is>
      </c>
      <c r="D2964" t="inlineStr">
        <is>
          <t>CT-e</t>
        </is>
      </c>
      <c r="E2964" t="inlineStr">
        <is>
          <t>000006733</t>
        </is>
      </c>
      <c r="F2964" t="inlineStr">
        <is>
          <t>R&amp;R TRANSPORTE E LOGISTICA</t>
        </is>
      </c>
      <c r="G2964" s="27" t="n">
        <v>46119</v>
      </c>
      <c r="H2964" s="14" t="n">
        <v>18.47</v>
      </c>
      <c r="I2964" s="14" t="n">
        <v>0</v>
      </c>
      <c r="J2964" s="14" t="n">
        <v>0</v>
      </c>
      <c r="K2964" s="14" t="n">
        <v>0</v>
      </c>
      <c r="L2964" s="14" t="n">
        <v>0</v>
      </c>
      <c r="M2964" s="14">
        <f>IF(B2964="Frete de venda",0,(1-ISNUMBER(SEARCH("556",P2964)))*(I2964*VLOOKUP($B2964,Premissas!$A$4:$E$7,2,0)+J2964*VLOOKUP($B2964,Premissas!$A$4:$E$7,3,0))+K2964*VLOOKUP($B2964,Premissas!$A$4:$E$7,4,0)+L2964*VLOOKUP($B2964,Premissas!$A$4:$E$7,5,0))</f>
        <v/>
      </c>
      <c r="N2964" s="14">
        <f>H2964-M2964</f>
        <v/>
      </c>
      <c r="O2964" t="inlineStr">
        <is>
          <t>Não</t>
        </is>
      </c>
      <c r="P2964" t="inlineStr">
        <is>
          <t>1.350</t>
        </is>
      </c>
    </row>
    <row r="2965">
      <c r="A2965" s="24" t="n">
        <v>46113</v>
      </c>
      <c r="B2965" t="inlineStr">
        <is>
          <t>Frete de venda</t>
        </is>
      </c>
      <c r="C2965" t="inlineStr">
        <is>
          <t>Frete de venda (para clientes)</t>
        </is>
      </c>
      <c r="D2965" t="inlineStr">
        <is>
          <t>CT-e</t>
        </is>
      </c>
      <c r="E2965" t="inlineStr">
        <is>
          <t>000006784</t>
        </is>
      </c>
      <c r="F2965" t="inlineStr">
        <is>
          <t>R&amp;R TRANSPORTE E LOGISTICA</t>
        </is>
      </c>
      <c r="G2965" s="27" t="n">
        <v>46123</v>
      </c>
      <c r="H2965" s="14" t="n">
        <v>957.72</v>
      </c>
      <c r="I2965" s="14" t="n">
        <v>0</v>
      </c>
      <c r="J2965" s="14" t="n">
        <v>0</v>
      </c>
      <c r="K2965" s="14" t="n">
        <v>0</v>
      </c>
      <c r="L2965" s="14" t="n">
        <v>0</v>
      </c>
      <c r="M2965" s="14">
        <f>IF(B2965="Frete de venda",0,(1-ISNUMBER(SEARCH("556",P2965)))*(I2965*VLOOKUP($B2965,Premissas!$A$4:$E$7,2,0)+J2965*VLOOKUP($B2965,Premissas!$A$4:$E$7,3,0))+K2965*VLOOKUP($B2965,Premissas!$A$4:$E$7,4,0)+L2965*VLOOKUP($B2965,Premissas!$A$4:$E$7,5,0))</f>
        <v/>
      </c>
      <c r="N2965" s="14">
        <f>H2965-M2965</f>
        <v/>
      </c>
      <c r="O2965" t="inlineStr">
        <is>
          <t>Não</t>
        </is>
      </c>
      <c r="P2965" t="inlineStr">
        <is>
          <t>1.350</t>
        </is>
      </c>
    </row>
    <row r="2966">
      <c r="A2966" s="24" t="n">
        <v>46113</v>
      </c>
      <c r="B2966" t="inlineStr">
        <is>
          <t>Frete de venda</t>
        </is>
      </c>
      <c r="C2966" t="inlineStr">
        <is>
          <t>Frete de venda (para clientes)</t>
        </is>
      </c>
      <c r="D2966" t="inlineStr">
        <is>
          <t>CT-e</t>
        </is>
      </c>
      <c r="E2966" t="inlineStr">
        <is>
          <t>000006771</t>
        </is>
      </c>
      <c r="F2966" t="inlineStr">
        <is>
          <t>R&amp;R TRANSPORTE E LOGISTICA</t>
        </is>
      </c>
      <c r="G2966" s="27" t="n">
        <v>46122</v>
      </c>
      <c r="H2966" s="14" t="n">
        <v>2865.3</v>
      </c>
      <c r="I2966" s="14" t="n">
        <v>0</v>
      </c>
      <c r="J2966" s="14" t="n">
        <v>0</v>
      </c>
      <c r="K2966" s="14" t="n">
        <v>0</v>
      </c>
      <c r="L2966" s="14" t="n">
        <v>0</v>
      </c>
      <c r="M2966" s="14">
        <f>IF(B2966="Frete de venda",0,(1-ISNUMBER(SEARCH("556",P2966)))*(I2966*VLOOKUP($B2966,Premissas!$A$4:$E$7,2,0)+J2966*VLOOKUP($B2966,Premissas!$A$4:$E$7,3,0))+K2966*VLOOKUP($B2966,Premissas!$A$4:$E$7,4,0)+L2966*VLOOKUP($B2966,Premissas!$A$4:$E$7,5,0))</f>
        <v/>
      </c>
      <c r="N2966" s="14">
        <f>H2966-M2966</f>
        <v/>
      </c>
      <c r="O2966" t="inlineStr">
        <is>
          <t>Não</t>
        </is>
      </c>
      <c r="P2966" t="inlineStr">
        <is>
          <t>1.350</t>
        </is>
      </c>
    </row>
    <row r="2967">
      <c r="A2967" s="24" t="n">
        <v>46113</v>
      </c>
      <c r="B2967" t="inlineStr">
        <is>
          <t>Frete de venda</t>
        </is>
      </c>
      <c r="C2967" t="inlineStr">
        <is>
          <t>Frete de venda (para clientes)</t>
        </is>
      </c>
      <c r="D2967" t="inlineStr">
        <is>
          <t>CT-e</t>
        </is>
      </c>
      <c r="E2967" t="inlineStr">
        <is>
          <t>000006708</t>
        </is>
      </c>
      <c r="F2967" t="inlineStr">
        <is>
          <t>R&amp;R TRANSPORTE E LOGISTICA</t>
        </is>
      </c>
      <c r="G2967" s="27" t="n">
        <v>46114</v>
      </c>
      <c r="H2967" s="14" t="n">
        <v>74.56999999999999</v>
      </c>
      <c r="I2967" s="14" t="n">
        <v>0</v>
      </c>
      <c r="J2967" s="14" t="n">
        <v>0</v>
      </c>
      <c r="K2967" s="14" t="n">
        <v>0</v>
      </c>
      <c r="L2967" s="14" t="n">
        <v>0</v>
      </c>
      <c r="M2967" s="14">
        <f>IF(B2967="Frete de venda",0,(1-ISNUMBER(SEARCH("556",P2967)))*(I2967*VLOOKUP($B2967,Premissas!$A$4:$E$7,2,0)+J2967*VLOOKUP($B2967,Premissas!$A$4:$E$7,3,0))+K2967*VLOOKUP($B2967,Premissas!$A$4:$E$7,4,0)+L2967*VLOOKUP($B2967,Premissas!$A$4:$E$7,5,0))</f>
        <v/>
      </c>
      <c r="N2967" s="14">
        <f>H2967-M2967</f>
        <v/>
      </c>
      <c r="O2967" t="inlineStr">
        <is>
          <t>Não</t>
        </is>
      </c>
      <c r="P2967" t="inlineStr">
        <is>
          <t>1.350</t>
        </is>
      </c>
    </row>
    <row r="2968">
      <c r="A2968" s="24" t="n">
        <v>46113</v>
      </c>
      <c r="B2968" t="inlineStr">
        <is>
          <t>Frete de venda</t>
        </is>
      </c>
      <c r="C2968" t="inlineStr">
        <is>
          <t>Frete de venda (para clientes)</t>
        </is>
      </c>
      <c r="D2968" t="inlineStr">
        <is>
          <t>CT-e</t>
        </is>
      </c>
      <c r="E2968" t="inlineStr">
        <is>
          <t>000006879</t>
        </is>
      </c>
      <c r="F2968" t="inlineStr">
        <is>
          <t>R&amp;R TRANSPORTE E LOGISTICA</t>
        </is>
      </c>
      <c r="G2968" s="27" t="n">
        <v>46137</v>
      </c>
      <c r="H2968" s="14" t="n">
        <v>16.64</v>
      </c>
      <c r="I2968" s="14" t="n">
        <v>0</v>
      </c>
      <c r="J2968" s="14" t="n">
        <v>0</v>
      </c>
      <c r="K2968" s="14" t="n">
        <v>0</v>
      </c>
      <c r="L2968" s="14" t="n">
        <v>0</v>
      </c>
      <c r="M2968" s="14">
        <f>IF(B2968="Frete de venda",0,(1-ISNUMBER(SEARCH("556",P2968)))*(I2968*VLOOKUP($B2968,Premissas!$A$4:$E$7,2,0)+J2968*VLOOKUP($B2968,Premissas!$A$4:$E$7,3,0))+K2968*VLOOKUP($B2968,Premissas!$A$4:$E$7,4,0)+L2968*VLOOKUP($B2968,Premissas!$A$4:$E$7,5,0))</f>
        <v/>
      </c>
      <c r="N2968" s="14">
        <f>H2968-M2968</f>
        <v/>
      </c>
      <c r="O2968" t="inlineStr">
        <is>
          <t>Não</t>
        </is>
      </c>
      <c r="P2968" t="inlineStr">
        <is>
          <t>1.350</t>
        </is>
      </c>
    </row>
    <row r="2969">
      <c r="A2969" s="24" t="n">
        <v>46113</v>
      </c>
      <c r="B2969" t="inlineStr">
        <is>
          <t>Frete de venda</t>
        </is>
      </c>
      <c r="C2969" t="inlineStr">
        <is>
          <t>Frete de venda (para clientes)</t>
        </is>
      </c>
      <c r="D2969" t="inlineStr">
        <is>
          <t>CT-e</t>
        </is>
      </c>
      <c r="E2969" t="inlineStr">
        <is>
          <t>000006921</t>
        </is>
      </c>
      <c r="F2969" t="inlineStr">
        <is>
          <t>R&amp;R TRANSPORTE E LOGISTICA</t>
        </is>
      </c>
      <c r="G2969" s="27" t="n">
        <v>46142</v>
      </c>
      <c r="H2969" s="14" t="n">
        <v>91.53</v>
      </c>
      <c r="I2969" s="14" t="n">
        <v>0</v>
      </c>
      <c r="J2969" s="14" t="n">
        <v>0</v>
      </c>
      <c r="K2969" s="14" t="n">
        <v>0</v>
      </c>
      <c r="L2969" s="14" t="n">
        <v>0</v>
      </c>
      <c r="M2969" s="14">
        <f>IF(B2969="Frete de venda",0,(1-ISNUMBER(SEARCH("556",P2969)))*(I2969*VLOOKUP($B2969,Premissas!$A$4:$E$7,2,0)+J2969*VLOOKUP($B2969,Premissas!$A$4:$E$7,3,0))+K2969*VLOOKUP($B2969,Premissas!$A$4:$E$7,4,0)+L2969*VLOOKUP($B2969,Premissas!$A$4:$E$7,5,0))</f>
        <v/>
      </c>
      <c r="N2969" s="14">
        <f>H2969-M2969</f>
        <v/>
      </c>
      <c r="O2969" t="inlineStr">
        <is>
          <t>Não</t>
        </is>
      </c>
      <c r="P2969" t="inlineStr">
        <is>
          <t>1.350</t>
        </is>
      </c>
    </row>
    <row r="2970">
      <c r="A2970" s="24" t="n">
        <v>46113</v>
      </c>
      <c r="B2970" t="inlineStr">
        <is>
          <t>Frete de venda</t>
        </is>
      </c>
      <c r="C2970" t="inlineStr">
        <is>
          <t>Frete de venda (para clientes)</t>
        </is>
      </c>
      <c r="D2970" t="inlineStr">
        <is>
          <t>CT-e</t>
        </is>
      </c>
      <c r="E2970" t="inlineStr">
        <is>
          <t>000006710</t>
        </is>
      </c>
      <c r="F2970" t="inlineStr">
        <is>
          <t>R&amp;R TRANSPORTE E LOGISTICA</t>
        </is>
      </c>
      <c r="G2970" s="27" t="n">
        <v>46114</v>
      </c>
      <c r="H2970" s="14" t="n">
        <v>64.12</v>
      </c>
      <c r="I2970" s="14" t="n">
        <v>0</v>
      </c>
      <c r="J2970" s="14" t="n">
        <v>0</v>
      </c>
      <c r="K2970" s="14" t="n">
        <v>0</v>
      </c>
      <c r="L2970" s="14" t="n">
        <v>0</v>
      </c>
      <c r="M2970" s="14">
        <f>IF(B2970="Frete de venda",0,(1-ISNUMBER(SEARCH("556",P2970)))*(I2970*VLOOKUP($B2970,Premissas!$A$4:$E$7,2,0)+J2970*VLOOKUP($B2970,Premissas!$A$4:$E$7,3,0))+K2970*VLOOKUP($B2970,Premissas!$A$4:$E$7,4,0)+L2970*VLOOKUP($B2970,Premissas!$A$4:$E$7,5,0))</f>
        <v/>
      </c>
      <c r="N2970" s="14">
        <f>H2970-M2970</f>
        <v/>
      </c>
      <c r="O2970" t="inlineStr">
        <is>
          <t>Não</t>
        </is>
      </c>
      <c r="P2970" t="inlineStr">
        <is>
          <t>1.350</t>
        </is>
      </c>
    </row>
    <row r="2971">
      <c r="A2971" s="24" t="n">
        <v>46113</v>
      </c>
      <c r="B2971" t="inlineStr">
        <is>
          <t>Frete de venda</t>
        </is>
      </c>
      <c r="C2971" t="inlineStr">
        <is>
          <t>Frete de venda (para clientes)</t>
        </is>
      </c>
      <c r="D2971" t="inlineStr">
        <is>
          <t>CT-e</t>
        </is>
      </c>
      <c r="E2971" t="inlineStr">
        <is>
          <t>000006895</t>
        </is>
      </c>
      <c r="F2971" t="inlineStr">
        <is>
          <t>R&amp;R TRANSPORTE E LOGISTICA</t>
        </is>
      </c>
      <c r="G2971" s="27" t="n">
        <v>46137</v>
      </c>
      <c r="H2971" s="14" t="n">
        <v>18.09</v>
      </c>
      <c r="I2971" s="14" t="n">
        <v>0</v>
      </c>
      <c r="J2971" s="14" t="n">
        <v>0</v>
      </c>
      <c r="K2971" s="14" t="n">
        <v>0</v>
      </c>
      <c r="L2971" s="14" t="n">
        <v>0</v>
      </c>
      <c r="M2971" s="14">
        <f>IF(B2971="Frete de venda",0,(1-ISNUMBER(SEARCH("556",P2971)))*(I2971*VLOOKUP($B2971,Premissas!$A$4:$E$7,2,0)+J2971*VLOOKUP($B2971,Premissas!$A$4:$E$7,3,0))+K2971*VLOOKUP($B2971,Premissas!$A$4:$E$7,4,0)+L2971*VLOOKUP($B2971,Premissas!$A$4:$E$7,5,0))</f>
        <v/>
      </c>
      <c r="N2971" s="14">
        <f>H2971-M2971</f>
        <v/>
      </c>
      <c r="O2971" t="inlineStr">
        <is>
          <t>Não</t>
        </is>
      </c>
      <c r="P2971" t="inlineStr">
        <is>
          <t>1.350</t>
        </is>
      </c>
    </row>
    <row r="2972">
      <c r="A2972" s="24" t="n">
        <v>46113</v>
      </c>
      <c r="B2972" t="inlineStr">
        <is>
          <t>Frete de venda</t>
        </is>
      </c>
      <c r="C2972" t="inlineStr">
        <is>
          <t>Frete de venda (para clientes)</t>
        </is>
      </c>
      <c r="D2972" t="inlineStr">
        <is>
          <t>CT-e</t>
        </is>
      </c>
      <c r="E2972" t="inlineStr">
        <is>
          <t>000006912</t>
        </is>
      </c>
      <c r="F2972" t="inlineStr">
        <is>
          <t>R&amp;R TRANSPORTE E LOGISTICA</t>
        </is>
      </c>
      <c r="G2972" s="27" t="n">
        <v>46140</v>
      </c>
      <c r="H2972" s="14" t="n">
        <v>111.6</v>
      </c>
      <c r="I2972" s="14" t="n">
        <v>0</v>
      </c>
      <c r="J2972" s="14" t="n">
        <v>0</v>
      </c>
      <c r="K2972" s="14" t="n">
        <v>0</v>
      </c>
      <c r="L2972" s="14" t="n">
        <v>0</v>
      </c>
      <c r="M2972" s="14">
        <f>IF(B2972="Frete de venda",0,(1-ISNUMBER(SEARCH("556",P2972)))*(I2972*VLOOKUP($B2972,Premissas!$A$4:$E$7,2,0)+J2972*VLOOKUP($B2972,Premissas!$A$4:$E$7,3,0))+K2972*VLOOKUP($B2972,Premissas!$A$4:$E$7,4,0)+L2972*VLOOKUP($B2972,Premissas!$A$4:$E$7,5,0))</f>
        <v/>
      </c>
      <c r="N2972" s="14">
        <f>H2972-M2972</f>
        <v/>
      </c>
      <c r="O2972" t="inlineStr">
        <is>
          <t>Não</t>
        </is>
      </c>
      <c r="P2972" t="inlineStr">
        <is>
          <t>1.350</t>
        </is>
      </c>
    </row>
    <row r="2973">
      <c r="A2973" s="24" t="n">
        <v>46113</v>
      </c>
      <c r="B2973" t="inlineStr">
        <is>
          <t>Frete de venda</t>
        </is>
      </c>
      <c r="C2973" t="inlineStr">
        <is>
          <t>Frete de venda (para clientes)</t>
        </is>
      </c>
      <c r="D2973" t="inlineStr">
        <is>
          <t>CT-e</t>
        </is>
      </c>
      <c r="E2973" t="inlineStr">
        <is>
          <t>000006759</t>
        </is>
      </c>
      <c r="F2973" t="inlineStr">
        <is>
          <t>R&amp;R TRANSPORTE E LOGISTICA</t>
        </is>
      </c>
      <c r="G2973" s="27" t="n">
        <v>46120</v>
      </c>
      <c r="H2973" s="14" t="n">
        <v>1033.74</v>
      </c>
      <c r="I2973" s="14" t="n">
        <v>0</v>
      </c>
      <c r="J2973" s="14" t="n">
        <v>0</v>
      </c>
      <c r="K2973" s="14" t="n">
        <v>0</v>
      </c>
      <c r="L2973" s="14" t="n">
        <v>0</v>
      </c>
      <c r="M2973" s="14">
        <f>IF(B2973="Frete de venda",0,(1-ISNUMBER(SEARCH("556",P2973)))*(I2973*VLOOKUP($B2973,Premissas!$A$4:$E$7,2,0)+J2973*VLOOKUP($B2973,Premissas!$A$4:$E$7,3,0))+K2973*VLOOKUP($B2973,Premissas!$A$4:$E$7,4,0)+L2973*VLOOKUP($B2973,Premissas!$A$4:$E$7,5,0))</f>
        <v/>
      </c>
      <c r="N2973" s="14">
        <f>H2973-M2973</f>
        <v/>
      </c>
      <c r="O2973" t="inlineStr">
        <is>
          <t>Não</t>
        </is>
      </c>
      <c r="P2973" t="inlineStr">
        <is>
          <t>1.350</t>
        </is>
      </c>
    </row>
    <row r="2974">
      <c r="A2974" s="24" t="n">
        <v>46113</v>
      </c>
      <c r="B2974" t="inlineStr">
        <is>
          <t>Frete de venda</t>
        </is>
      </c>
      <c r="C2974" t="inlineStr">
        <is>
          <t>Frete de venda (para clientes)</t>
        </is>
      </c>
      <c r="D2974" t="inlineStr">
        <is>
          <t>CT-e</t>
        </is>
      </c>
      <c r="E2974" t="inlineStr">
        <is>
          <t>000006712</t>
        </is>
      </c>
      <c r="F2974" t="inlineStr">
        <is>
          <t>R&amp;R TRANSPORTE E LOGISTICA</t>
        </is>
      </c>
      <c r="G2974" s="27" t="n">
        <v>46114</v>
      </c>
      <c r="H2974" s="14" t="n">
        <v>63.07</v>
      </c>
      <c r="I2974" s="14" t="n">
        <v>0</v>
      </c>
      <c r="J2974" s="14" t="n">
        <v>0</v>
      </c>
      <c r="K2974" s="14" t="n">
        <v>0</v>
      </c>
      <c r="L2974" s="14" t="n">
        <v>0</v>
      </c>
      <c r="M2974" s="14">
        <f>IF(B2974="Frete de venda",0,(1-ISNUMBER(SEARCH("556",P2974)))*(I2974*VLOOKUP($B2974,Premissas!$A$4:$E$7,2,0)+J2974*VLOOKUP($B2974,Premissas!$A$4:$E$7,3,0))+K2974*VLOOKUP($B2974,Premissas!$A$4:$E$7,4,0)+L2974*VLOOKUP($B2974,Premissas!$A$4:$E$7,5,0))</f>
        <v/>
      </c>
      <c r="N2974" s="14">
        <f>H2974-M2974</f>
        <v/>
      </c>
      <c r="O2974" t="inlineStr">
        <is>
          <t>Não</t>
        </is>
      </c>
      <c r="P2974" t="inlineStr">
        <is>
          <t>1.350</t>
        </is>
      </c>
    </row>
    <row r="2975">
      <c r="A2975" s="24" t="n">
        <v>46113</v>
      </c>
      <c r="B2975" t="inlineStr">
        <is>
          <t>Frete de venda</t>
        </is>
      </c>
      <c r="C2975" t="inlineStr">
        <is>
          <t>Frete de venda (para clientes)</t>
        </is>
      </c>
      <c r="D2975" t="inlineStr">
        <is>
          <t>CT-e</t>
        </is>
      </c>
      <c r="E2975" t="inlineStr">
        <is>
          <t>000006865</t>
        </is>
      </c>
      <c r="F2975" t="inlineStr">
        <is>
          <t>R&amp;R TRANSPORTE E LOGISTICA</t>
        </is>
      </c>
      <c r="G2975" s="27" t="n">
        <v>46137</v>
      </c>
      <c r="H2975" s="14" t="n">
        <v>25.19</v>
      </c>
      <c r="I2975" s="14" t="n">
        <v>0</v>
      </c>
      <c r="J2975" s="14" t="n">
        <v>0</v>
      </c>
      <c r="K2975" s="14" t="n">
        <v>0</v>
      </c>
      <c r="L2975" s="14" t="n">
        <v>0</v>
      </c>
      <c r="M2975" s="14">
        <f>IF(B2975="Frete de venda",0,(1-ISNUMBER(SEARCH("556",P2975)))*(I2975*VLOOKUP($B2975,Premissas!$A$4:$E$7,2,0)+J2975*VLOOKUP($B2975,Premissas!$A$4:$E$7,3,0))+K2975*VLOOKUP($B2975,Premissas!$A$4:$E$7,4,0)+L2975*VLOOKUP($B2975,Premissas!$A$4:$E$7,5,0))</f>
        <v/>
      </c>
      <c r="N2975" s="14">
        <f>H2975-M2975</f>
        <v/>
      </c>
      <c r="O2975" t="inlineStr">
        <is>
          <t>Não</t>
        </is>
      </c>
      <c r="P2975" t="inlineStr">
        <is>
          <t>1.350</t>
        </is>
      </c>
    </row>
    <row r="2976">
      <c r="A2976" s="24" t="n">
        <v>46113</v>
      </c>
      <c r="B2976" t="inlineStr">
        <is>
          <t>Frete de venda</t>
        </is>
      </c>
      <c r="C2976" t="inlineStr">
        <is>
          <t>Frete de venda (para clientes)</t>
        </is>
      </c>
      <c r="D2976" t="inlineStr">
        <is>
          <t>CT-e</t>
        </is>
      </c>
      <c r="E2976" t="inlineStr">
        <is>
          <t>000006751</t>
        </is>
      </c>
      <c r="F2976" t="inlineStr">
        <is>
          <t>R&amp;R TRANSPORTE E LOGISTICA</t>
        </is>
      </c>
      <c r="G2976" s="27" t="n">
        <v>46119</v>
      </c>
      <c r="H2976" s="14" t="n">
        <v>1500</v>
      </c>
      <c r="I2976" s="14" t="n">
        <v>0</v>
      </c>
      <c r="J2976" s="14" t="n">
        <v>0</v>
      </c>
      <c r="K2976" s="14" t="n">
        <v>0</v>
      </c>
      <c r="L2976" s="14" t="n">
        <v>0</v>
      </c>
      <c r="M2976" s="14">
        <f>IF(B2976="Frete de venda",0,(1-ISNUMBER(SEARCH("556",P2976)))*(I2976*VLOOKUP($B2976,Premissas!$A$4:$E$7,2,0)+J2976*VLOOKUP($B2976,Premissas!$A$4:$E$7,3,0))+K2976*VLOOKUP($B2976,Premissas!$A$4:$E$7,4,0)+L2976*VLOOKUP($B2976,Premissas!$A$4:$E$7,5,0))</f>
        <v/>
      </c>
      <c r="N2976" s="14">
        <f>H2976-M2976</f>
        <v/>
      </c>
      <c r="O2976" t="inlineStr">
        <is>
          <t>Sim</t>
        </is>
      </c>
      <c r="P2976" t="inlineStr">
        <is>
          <t>1.350</t>
        </is>
      </c>
    </row>
    <row r="2977">
      <c r="A2977" s="24" t="n">
        <v>46113</v>
      </c>
      <c r="B2977" t="inlineStr">
        <is>
          <t>Insumos e papel</t>
        </is>
      </c>
      <c r="C2977" t="inlineStr">
        <is>
          <t>2.01.03 Compra de Matéria Prima (Papel)</t>
        </is>
      </c>
      <c r="D2977" t="inlineStr">
        <is>
          <t>NF-e</t>
        </is>
      </c>
      <c r="E2977" t="inlineStr">
        <is>
          <t>000012945</t>
        </is>
      </c>
      <c r="F2977" t="inlineStr">
        <is>
          <t>CMPC Iguacu Embalagens Ltda</t>
        </is>
      </c>
      <c r="G2977" s="27" t="n">
        <v>46135</v>
      </c>
      <c r="H2977" s="14" t="n">
        <v>144361.53</v>
      </c>
      <c r="I2977" s="14" t="n">
        <v>4544.07</v>
      </c>
      <c r="J2977" s="14" t="n">
        <v>9787.23</v>
      </c>
      <c r="K2977" s="14" t="n">
        <v>2145.5</v>
      </c>
      <c r="L2977" s="14" t="n">
        <v>9882.290000000001</v>
      </c>
      <c r="M2977" s="14">
        <f>IF(B2977="Frete de venda",0,(1-ISNUMBER(SEARCH("556",P2977)))*(I2977*VLOOKUP($B2977,Premissas!$A$4:$E$7,2,0)+J2977*VLOOKUP($B2977,Premissas!$A$4:$E$7,3,0))+K2977*VLOOKUP($B2977,Premissas!$A$4:$E$7,4,0)+L2977*VLOOKUP($B2977,Premissas!$A$4:$E$7,5,0))</f>
        <v/>
      </c>
      <c r="N2977" s="14">
        <f>H2977-M2977</f>
        <v/>
      </c>
      <c r="O2977" t="inlineStr">
        <is>
          <t>Sim</t>
        </is>
      </c>
      <c r="P2977" t="inlineStr">
        <is>
          <t>2.101</t>
        </is>
      </c>
    </row>
    <row r="2978">
      <c r="A2978" s="24" t="n">
        <v>46113</v>
      </c>
      <c r="B2978" t="inlineStr">
        <is>
          <t>Insumos e papel</t>
        </is>
      </c>
      <c r="C2978" t="inlineStr">
        <is>
          <t>2.01.03 Compra de Matéria Prima (Papel)</t>
        </is>
      </c>
      <c r="D2978" t="inlineStr">
        <is>
          <t>NF-e</t>
        </is>
      </c>
      <c r="E2978" t="inlineStr">
        <is>
          <t>000012953</t>
        </is>
      </c>
      <c r="F2978" t="inlineStr">
        <is>
          <t>CMPC Iguacu Embalagens Ltda</t>
        </is>
      </c>
      <c r="G2978" s="27" t="n">
        <v>46135</v>
      </c>
      <c r="H2978" s="14" t="n">
        <v>49616.93</v>
      </c>
      <c r="I2978" s="14" t="n">
        <v>1561.79</v>
      </c>
      <c r="J2978" s="14" t="n">
        <v>3363.86</v>
      </c>
      <c r="K2978" s="14" t="n">
        <v>737.41</v>
      </c>
      <c r="L2978" s="14" t="n">
        <v>3396.54</v>
      </c>
      <c r="M2978" s="14">
        <f>IF(B2978="Frete de venda",0,(1-ISNUMBER(SEARCH("556",P2978)))*(I2978*VLOOKUP($B2978,Premissas!$A$4:$E$7,2,0)+J2978*VLOOKUP($B2978,Premissas!$A$4:$E$7,3,0))+K2978*VLOOKUP($B2978,Premissas!$A$4:$E$7,4,0)+L2978*VLOOKUP($B2978,Premissas!$A$4:$E$7,5,0))</f>
        <v/>
      </c>
      <c r="N2978" s="14">
        <f>H2978-M2978</f>
        <v/>
      </c>
      <c r="O2978" t="inlineStr">
        <is>
          <t>Sim</t>
        </is>
      </c>
      <c r="P2978" t="inlineStr">
        <is>
          <t>2.101</t>
        </is>
      </c>
    </row>
    <row r="2979">
      <c r="A2979" s="24" t="n">
        <v>46113</v>
      </c>
      <c r="B2979" t="inlineStr">
        <is>
          <t>Insumos e papel</t>
        </is>
      </c>
      <c r="C2979" t="inlineStr">
        <is>
          <t>2.01.03 Compra de Matéria Prima (Papel)</t>
        </is>
      </c>
      <c r="D2979" t="inlineStr">
        <is>
          <t>NF-e</t>
        </is>
      </c>
      <c r="E2979" t="inlineStr">
        <is>
          <t>000012955</t>
        </is>
      </c>
      <c r="F2979" t="inlineStr">
        <is>
          <t>CMPC Iguacu Embalagens Ltda</t>
        </is>
      </c>
      <c r="G2979" s="27" t="n">
        <v>46135</v>
      </c>
      <c r="H2979" s="14" t="n">
        <v>91931.45</v>
      </c>
      <c r="I2979" s="14" t="n">
        <v>2893.73</v>
      </c>
      <c r="J2979" s="14" t="n">
        <v>6232.64</v>
      </c>
      <c r="K2979" s="14" t="n">
        <v>1366.28</v>
      </c>
      <c r="L2979" s="14" t="n">
        <v>6293.19</v>
      </c>
      <c r="M2979" s="14">
        <f>IF(B2979="Frete de venda",0,(1-ISNUMBER(SEARCH("556",P2979)))*(I2979*VLOOKUP($B2979,Premissas!$A$4:$E$7,2,0)+J2979*VLOOKUP($B2979,Premissas!$A$4:$E$7,3,0))+K2979*VLOOKUP($B2979,Premissas!$A$4:$E$7,4,0)+L2979*VLOOKUP($B2979,Premissas!$A$4:$E$7,5,0))</f>
        <v/>
      </c>
      <c r="N2979" s="14">
        <f>H2979-M2979</f>
        <v/>
      </c>
      <c r="O2979" t="inlineStr">
        <is>
          <t>Sim</t>
        </is>
      </c>
      <c r="P2979" t="inlineStr">
        <is>
          <t>2.101</t>
        </is>
      </c>
    </row>
    <row r="2980">
      <c r="A2980" s="24" t="n">
        <v>46113</v>
      </c>
      <c r="B2980" t="inlineStr">
        <is>
          <t>Insumos e papel</t>
        </is>
      </c>
      <c r="C2980" t="inlineStr">
        <is>
          <t>2.01.03 Compra de Matéria Prima (Papel)</t>
        </is>
      </c>
      <c r="D2980" t="inlineStr">
        <is>
          <t>NF-e</t>
        </is>
      </c>
      <c r="E2980" t="inlineStr">
        <is>
          <t>000012967</t>
        </is>
      </c>
      <c r="F2980" t="inlineStr">
        <is>
          <t>CMPC Iguacu Embalagens Ltda</t>
        </is>
      </c>
      <c r="G2980" s="27" t="n">
        <v>46136</v>
      </c>
      <c r="H2980" s="14" t="n">
        <v>143982.53</v>
      </c>
      <c r="I2980" s="14" t="n">
        <v>4532.14</v>
      </c>
      <c r="J2980" s="14" t="n">
        <v>9761.52</v>
      </c>
      <c r="K2980" s="14" t="n">
        <v>2139.86</v>
      </c>
      <c r="L2980" s="14" t="n">
        <v>9856.35</v>
      </c>
      <c r="M2980" s="14">
        <f>IF(B2980="Frete de venda",0,(1-ISNUMBER(SEARCH("556",P2980)))*(I2980*VLOOKUP($B2980,Premissas!$A$4:$E$7,2,0)+J2980*VLOOKUP($B2980,Premissas!$A$4:$E$7,3,0))+K2980*VLOOKUP($B2980,Premissas!$A$4:$E$7,4,0)+L2980*VLOOKUP($B2980,Premissas!$A$4:$E$7,5,0))</f>
        <v/>
      </c>
      <c r="N2980" s="14">
        <f>H2980-M2980</f>
        <v/>
      </c>
      <c r="O2980" t="inlineStr">
        <is>
          <t>Sim</t>
        </is>
      </c>
      <c r="P2980" t="inlineStr">
        <is>
          <t>2.101</t>
        </is>
      </c>
    </row>
    <row r="2981">
      <c r="A2981" s="24" t="n">
        <v>46113</v>
      </c>
      <c r="B2981" t="inlineStr">
        <is>
          <t>Insumos e papel</t>
        </is>
      </c>
      <c r="C2981" t="inlineStr">
        <is>
          <t>2.01.03 Compra de Matéria Prima (Papel)</t>
        </is>
      </c>
      <c r="D2981" t="inlineStr">
        <is>
          <t>NF-e</t>
        </is>
      </c>
      <c r="E2981" t="inlineStr">
        <is>
          <t>000012997</t>
        </is>
      </c>
      <c r="F2981" t="inlineStr">
        <is>
          <t>CMPC Iguacu Embalagens Ltda</t>
        </is>
      </c>
      <c r="G2981" s="27" t="n">
        <v>46139</v>
      </c>
      <c r="H2981" s="14" t="n">
        <v>143219.19</v>
      </c>
      <c r="I2981" s="14" t="n">
        <v>4508.11</v>
      </c>
      <c r="J2981" s="14" t="n">
        <v>9709.780000000001</v>
      </c>
      <c r="K2981" s="14" t="n">
        <v>2128.52</v>
      </c>
      <c r="L2981" s="14" t="n">
        <v>9804.1</v>
      </c>
      <c r="M2981" s="14">
        <f>IF(B2981="Frete de venda",0,(1-ISNUMBER(SEARCH("556",P2981)))*(I2981*VLOOKUP($B2981,Premissas!$A$4:$E$7,2,0)+J2981*VLOOKUP($B2981,Premissas!$A$4:$E$7,3,0))+K2981*VLOOKUP($B2981,Premissas!$A$4:$E$7,4,0)+L2981*VLOOKUP($B2981,Premissas!$A$4:$E$7,5,0))</f>
        <v/>
      </c>
      <c r="N2981" s="14">
        <f>H2981-M2981</f>
        <v/>
      </c>
      <c r="O2981" t="inlineStr">
        <is>
          <t>Sim</t>
        </is>
      </c>
      <c r="P2981" t="inlineStr">
        <is>
          <t>2.101</t>
        </is>
      </c>
    </row>
    <row r="2982">
      <c r="A2982" s="24" t="n">
        <v>46113</v>
      </c>
      <c r="B2982" t="inlineStr">
        <is>
          <t>Insumos e papel</t>
        </is>
      </c>
      <c r="C2982" t="inlineStr">
        <is>
          <t>2.01.03 Compra de Matéria Prima (Papel)</t>
        </is>
      </c>
      <c r="D2982" t="inlineStr">
        <is>
          <t>NF-e</t>
        </is>
      </c>
      <c r="E2982" t="inlineStr">
        <is>
          <t>000012986</t>
        </is>
      </c>
      <c r="F2982" t="inlineStr">
        <is>
          <t>CMPC Iguacu Embalagens Ltda</t>
        </is>
      </c>
      <c r="G2982" s="27" t="n">
        <v>46139</v>
      </c>
      <c r="H2982" s="14" t="n">
        <v>143801.04</v>
      </c>
      <c r="I2982" s="14" t="n">
        <v>4526.43</v>
      </c>
      <c r="J2982" s="14" t="n">
        <v>9749.219999999999</v>
      </c>
      <c r="K2982" s="14" t="n">
        <v>2137.17</v>
      </c>
      <c r="L2982" s="14" t="n">
        <v>9843.93</v>
      </c>
      <c r="M2982" s="14">
        <f>IF(B2982="Frete de venda",0,(1-ISNUMBER(SEARCH("556",P2982)))*(I2982*VLOOKUP($B2982,Premissas!$A$4:$E$7,2,0)+J2982*VLOOKUP($B2982,Premissas!$A$4:$E$7,3,0))+K2982*VLOOKUP($B2982,Premissas!$A$4:$E$7,4,0)+L2982*VLOOKUP($B2982,Premissas!$A$4:$E$7,5,0))</f>
        <v/>
      </c>
      <c r="N2982" s="14">
        <f>H2982-M2982</f>
        <v/>
      </c>
      <c r="O2982" t="inlineStr">
        <is>
          <t>Sim</t>
        </is>
      </c>
      <c r="P2982" t="inlineStr">
        <is>
          <t>2.101</t>
        </is>
      </c>
    </row>
    <row r="2983">
      <c r="A2983" s="24" t="n">
        <v>46113</v>
      </c>
      <c r="B2983" t="inlineStr">
        <is>
          <t>Insumos e papel</t>
        </is>
      </c>
      <c r="C2983" t="inlineStr">
        <is>
          <t>2.01.03 Compra de Matéria Prima (Papel)</t>
        </is>
      </c>
      <c r="D2983" t="inlineStr">
        <is>
          <t>NF-e</t>
        </is>
      </c>
      <c r="E2983" t="inlineStr">
        <is>
          <t>000012980</t>
        </is>
      </c>
      <c r="F2983" t="inlineStr">
        <is>
          <t>CMPC Iguacu Embalagens Ltda</t>
        </is>
      </c>
      <c r="G2983" s="27" t="n">
        <v>46139</v>
      </c>
      <c r="H2983" s="14" t="n">
        <v>143785.01</v>
      </c>
      <c r="I2983" s="14" t="n">
        <v>4525.92</v>
      </c>
      <c r="J2983" s="14" t="n">
        <v>9748.139999999999</v>
      </c>
      <c r="K2983" s="14" t="n">
        <v>2136.93</v>
      </c>
      <c r="L2983" s="14" t="n">
        <v>9842.83</v>
      </c>
      <c r="M2983" s="14">
        <f>IF(B2983="Frete de venda",0,(1-ISNUMBER(SEARCH("556",P2983)))*(I2983*VLOOKUP($B2983,Premissas!$A$4:$E$7,2,0)+J2983*VLOOKUP($B2983,Premissas!$A$4:$E$7,3,0))+K2983*VLOOKUP($B2983,Premissas!$A$4:$E$7,4,0)+L2983*VLOOKUP($B2983,Premissas!$A$4:$E$7,5,0))</f>
        <v/>
      </c>
      <c r="N2983" s="14">
        <f>H2983-M2983</f>
        <v/>
      </c>
      <c r="O2983" t="inlineStr">
        <is>
          <t>Sim</t>
        </is>
      </c>
      <c r="P2983" t="inlineStr">
        <is>
          <t>2.101</t>
        </is>
      </c>
    </row>
    <row r="2984">
      <c r="A2984" s="24" t="n">
        <v>46113</v>
      </c>
      <c r="B2984" t="inlineStr">
        <is>
          <t>Insumos e papel</t>
        </is>
      </c>
      <c r="C2984" t="inlineStr">
        <is>
          <t>2.01.03 Compra de Matéria Prima (Papel)</t>
        </is>
      </c>
      <c r="D2984" t="inlineStr">
        <is>
          <t>NF-e</t>
        </is>
      </c>
      <c r="E2984" t="inlineStr">
        <is>
          <t>000012995</t>
        </is>
      </c>
      <c r="F2984" t="inlineStr">
        <is>
          <t>CMPC Iguacu Embalagens Ltda</t>
        </is>
      </c>
      <c r="G2984" s="27" t="n">
        <v>46139</v>
      </c>
      <c r="H2984" s="14" t="n">
        <v>144180.02</v>
      </c>
      <c r="I2984" s="14" t="n">
        <v>4538.35</v>
      </c>
      <c r="J2984" s="14" t="n">
        <v>9774.92</v>
      </c>
      <c r="K2984" s="14" t="n">
        <v>2142.8</v>
      </c>
      <c r="L2984" s="14" t="n">
        <v>9869.870000000001</v>
      </c>
      <c r="M2984" s="14">
        <f>IF(B2984="Frete de venda",0,(1-ISNUMBER(SEARCH("556",P2984)))*(I2984*VLOOKUP($B2984,Premissas!$A$4:$E$7,2,0)+J2984*VLOOKUP($B2984,Premissas!$A$4:$E$7,3,0))+K2984*VLOOKUP($B2984,Premissas!$A$4:$E$7,4,0)+L2984*VLOOKUP($B2984,Premissas!$A$4:$E$7,5,0))</f>
        <v/>
      </c>
      <c r="N2984" s="14">
        <f>H2984-M2984</f>
        <v/>
      </c>
      <c r="O2984" t="inlineStr">
        <is>
          <t>Sim</t>
        </is>
      </c>
      <c r="P2984" t="inlineStr">
        <is>
          <t>2.101</t>
        </is>
      </c>
    </row>
    <row r="2985">
      <c r="A2985" s="24" t="n">
        <v>46113</v>
      </c>
      <c r="B2985" t="inlineStr">
        <is>
          <t>Insumos e papel</t>
        </is>
      </c>
      <c r="C2985" t="inlineStr">
        <is>
          <t>2.01.03 Compra de Matéria Prima (Papel)</t>
        </is>
      </c>
      <c r="D2985" t="inlineStr">
        <is>
          <t>NF-e</t>
        </is>
      </c>
      <c r="E2985" t="inlineStr">
        <is>
          <t>000013001</t>
        </is>
      </c>
      <c r="F2985" t="inlineStr">
        <is>
          <t>CMPC Iguacu Embalagens Ltda</t>
        </is>
      </c>
      <c r="G2985" s="27" t="n">
        <v>46140</v>
      </c>
      <c r="H2985" s="14" t="n">
        <v>138943.43</v>
      </c>
      <c r="I2985" s="14" t="n">
        <v>4373.52</v>
      </c>
      <c r="J2985" s="14" t="n">
        <v>9419.889999999999</v>
      </c>
      <c r="K2985" s="14" t="n">
        <v>2064.98</v>
      </c>
      <c r="L2985" s="14" t="n">
        <v>9511.4</v>
      </c>
      <c r="M2985" s="14">
        <f>IF(B2985="Frete de venda",0,(1-ISNUMBER(SEARCH("556",P2985)))*(I2985*VLOOKUP($B2985,Premissas!$A$4:$E$7,2,0)+J2985*VLOOKUP($B2985,Premissas!$A$4:$E$7,3,0))+K2985*VLOOKUP($B2985,Premissas!$A$4:$E$7,4,0)+L2985*VLOOKUP($B2985,Premissas!$A$4:$E$7,5,0))</f>
        <v/>
      </c>
      <c r="N2985" s="14">
        <f>H2985-M2985</f>
        <v/>
      </c>
      <c r="O2985" t="inlineStr">
        <is>
          <t>Sim</t>
        </is>
      </c>
      <c r="P2985" t="inlineStr">
        <is>
          <t>2.101</t>
        </is>
      </c>
    </row>
    <row r="2986">
      <c r="A2986" s="24" t="n">
        <v>46113</v>
      </c>
      <c r="B2986" t="inlineStr">
        <is>
          <t>Insumos e papel</t>
        </is>
      </c>
      <c r="C2986" t="inlineStr">
        <is>
          <t>2.01.03 Compra de Matéria Prima (Papel)</t>
        </is>
      </c>
      <c r="D2986" t="inlineStr">
        <is>
          <t>NF-e</t>
        </is>
      </c>
      <c r="E2986" t="inlineStr">
        <is>
          <t>000013009</t>
        </is>
      </c>
      <c r="F2986" t="inlineStr">
        <is>
          <t>CMPC Iguacu Embalagens Ltda</t>
        </is>
      </c>
      <c r="G2986" s="27" t="n">
        <v>46140</v>
      </c>
      <c r="H2986" s="14" t="n">
        <v>145034.11</v>
      </c>
      <c r="I2986" s="14" t="n">
        <v>4565.23</v>
      </c>
      <c r="J2986" s="14" t="n">
        <v>9832.82</v>
      </c>
      <c r="K2986" s="14" t="n">
        <v>2155.49</v>
      </c>
      <c r="L2986" s="14" t="n">
        <v>9928.34</v>
      </c>
      <c r="M2986" s="14">
        <f>IF(B2986="Frete de venda",0,(1-ISNUMBER(SEARCH("556",P2986)))*(I2986*VLOOKUP($B2986,Premissas!$A$4:$E$7,2,0)+J2986*VLOOKUP($B2986,Premissas!$A$4:$E$7,3,0))+K2986*VLOOKUP($B2986,Premissas!$A$4:$E$7,4,0)+L2986*VLOOKUP($B2986,Premissas!$A$4:$E$7,5,0))</f>
        <v/>
      </c>
      <c r="N2986" s="14">
        <f>H2986-M2986</f>
        <v/>
      </c>
      <c r="O2986" t="inlineStr">
        <is>
          <t>Sim</t>
        </is>
      </c>
      <c r="P2986" t="inlineStr">
        <is>
          <t>1.556, 2.101</t>
        </is>
      </c>
    </row>
    <row r="2987">
      <c r="A2987" s="24" t="n">
        <v>46113</v>
      </c>
      <c r="B2987" t="inlineStr">
        <is>
          <t>Insumos e papel</t>
        </is>
      </c>
      <c r="C2987" t="inlineStr">
        <is>
          <t>2.01.03 Compra de Matéria Prima (Papel)</t>
        </is>
      </c>
      <c r="D2987" t="inlineStr">
        <is>
          <t>NF-e</t>
        </is>
      </c>
      <c r="E2987" t="inlineStr">
        <is>
          <t>000013015</t>
        </is>
      </c>
      <c r="F2987" t="inlineStr">
        <is>
          <t>CMPC Iguacu Embalagens Ltda</t>
        </is>
      </c>
      <c r="G2987" s="27" t="n">
        <v>46140</v>
      </c>
      <c r="H2987" s="14" t="n">
        <v>143283.25</v>
      </c>
      <c r="I2987" s="14" t="n">
        <v>4510.13</v>
      </c>
      <c r="J2987" s="14" t="n">
        <v>9714.120000000001</v>
      </c>
      <c r="K2987" s="14" t="n">
        <v>2129.47</v>
      </c>
      <c r="L2987" s="14" t="n">
        <v>9808.48</v>
      </c>
      <c r="M2987" s="14">
        <f>IF(B2987="Frete de venda",0,(1-ISNUMBER(SEARCH("556",P2987)))*(I2987*VLOOKUP($B2987,Premissas!$A$4:$E$7,2,0)+J2987*VLOOKUP($B2987,Premissas!$A$4:$E$7,3,0))+K2987*VLOOKUP($B2987,Premissas!$A$4:$E$7,4,0)+L2987*VLOOKUP($B2987,Premissas!$A$4:$E$7,5,0))</f>
        <v/>
      </c>
      <c r="N2987" s="14">
        <f>H2987-M2987</f>
        <v/>
      </c>
      <c r="O2987" t="inlineStr">
        <is>
          <t>Sim</t>
        </is>
      </c>
      <c r="P2987" t="inlineStr">
        <is>
          <t>2.101</t>
        </is>
      </c>
    </row>
    <row r="2988">
      <c r="A2988" s="24" t="n">
        <v>46113</v>
      </c>
      <c r="B2988" t="inlineStr">
        <is>
          <t>Insumos e papel</t>
        </is>
      </c>
      <c r="C2988" t="inlineStr">
        <is>
          <t>2.01.03 Compra de Matéria Prima (Papel)</t>
        </is>
      </c>
      <c r="D2988" t="inlineStr">
        <is>
          <t>NF-e</t>
        </is>
      </c>
      <c r="E2988" t="inlineStr">
        <is>
          <t>000013017</t>
        </is>
      </c>
      <c r="F2988" t="inlineStr">
        <is>
          <t>CMPC Iguacu Embalagens Ltda</t>
        </is>
      </c>
      <c r="G2988" s="27" t="n">
        <v>46140</v>
      </c>
      <c r="H2988" s="14" t="n">
        <v>141799.28</v>
      </c>
      <c r="I2988" s="14" t="n">
        <v>4463.42</v>
      </c>
      <c r="J2988" s="14" t="n">
        <v>9613.51</v>
      </c>
      <c r="K2988" s="14" t="n">
        <v>2107.42</v>
      </c>
      <c r="L2988" s="14" t="n">
        <v>9706.889999999999</v>
      </c>
      <c r="M2988" s="14">
        <f>IF(B2988="Frete de venda",0,(1-ISNUMBER(SEARCH("556",P2988)))*(I2988*VLOOKUP($B2988,Premissas!$A$4:$E$7,2,0)+J2988*VLOOKUP($B2988,Premissas!$A$4:$E$7,3,0))+K2988*VLOOKUP($B2988,Premissas!$A$4:$E$7,4,0)+L2988*VLOOKUP($B2988,Premissas!$A$4:$E$7,5,0))</f>
        <v/>
      </c>
      <c r="N2988" s="14">
        <f>H2988-M2988</f>
        <v/>
      </c>
      <c r="O2988" t="inlineStr">
        <is>
          <t>Sim</t>
        </is>
      </c>
      <c r="P2988" t="inlineStr">
        <is>
          <t>2.101</t>
        </is>
      </c>
    </row>
    <row r="2989">
      <c r="A2989" s="24" t="n">
        <v>46113</v>
      </c>
      <c r="B2989" t="inlineStr">
        <is>
          <t>Insumos e papel</t>
        </is>
      </c>
      <c r="C2989" t="inlineStr">
        <is>
          <t>2.01.03 Compra de Matéria Prima (Papel)</t>
        </is>
      </c>
      <c r="D2989" t="inlineStr">
        <is>
          <t>NF-e</t>
        </is>
      </c>
      <c r="E2989" t="inlineStr">
        <is>
          <t>000014185</t>
        </is>
      </c>
      <c r="F2989" t="inlineStr">
        <is>
          <t>NOVA CONPEL COMPANHIA NORDESTINA DE PAPEL LTDA</t>
        </is>
      </c>
      <c r="G2989" s="27" t="n">
        <v>46122</v>
      </c>
      <c r="H2989" s="14" t="n">
        <v>21670.79</v>
      </c>
      <c r="I2989" s="14" t="n">
        <v>0</v>
      </c>
      <c r="J2989" s="14" t="n">
        <v>4334.15</v>
      </c>
      <c r="K2989" s="14" t="n">
        <v>286.05</v>
      </c>
      <c r="L2989" s="14" t="n">
        <v>1317.58</v>
      </c>
      <c r="M2989" s="14">
        <f>IF(B2989="Frete de venda",0,(1-ISNUMBER(SEARCH("556",P2989)))*(I2989*VLOOKUP($B2989,Premissas!$A$4:$E$7,2,0)+J2989*VLOOKUP($B2989,Premissas!$A$4:$E$7,3,0))+K2989*VLOOKUP($B2989,Premissas!$A$4:$E$7,4,0)+L2989*VLOOKUP($B2989,Premissas!$A$4:$E$7,5,0))</f>
        <v/>
      </c>
      <c r="N2989" s="14">
        <f>H2989-M2989</f>
        <v/>
      </c>
      <c r="O2989" t="inlineStr">
        <is>
          <t>Sim</t>
        </is>
      </c>
      <c r="P2989" t="inlineStr">
        <is>
          <t>1.556</t>
        </is>
      </c>
    </row>
    <row r="2990">
      <c r="A2990" s="24" t="n">
        <v>46113</v>
      </c>
      <c r="B2990" t="inlineStr">
        <is>
          <t>Insumos e papel</t>
        </is>
      </c>
      <c r="C2990" t="inlineStr">
        <is>
          <t>2.01.83 Compra de Etiqueta Personalizada</t>
        </is>
      </c>
      <c r="D2990" t="inlineStr">
        <is>
          <t>NF-e</t>
        </is>
      </c>
      <c r="E2990" t="inlineStr">
        <is>
          <t>000016397</t>
        </is>
      </c>
      <c r="F2990" t="inlineStr">
        <is>
          <t>BR EMBALAGENS INDUSTRIA E COMERCIO LTDA</t>
        </is>
      </c>
      <c r="G2990" s="27" t="n">
        <v>46120</v>
      </c>
      <c r="H2990" s="14" t="n">
        <v>21150</v>
      </c>
      <c r="I2990" s="14" t="n">
        <v>0</v>
      </c>
      <c r="J2990" s="14" t="n">
        <v>2538</v>
      </c>
      <c r="K2990" s="14" t="n">
        <v>0</v>
      </c>
      <c r="L2990" s="14" t="n">
        <v>0</v>
      </c>
      <c r="M2990" s="14">
        <f>IF(B2990="Frete de venda",0,(1-ISNUMBER(SEARCH("556",P2990)))*(I2990*VLOOKUP($B2990,Premissas!$A$4:$E$7,2,0)+J2990*VLOOKUP($B2990,Premissas!$A$4:$E$7,3,0))+K2990*VLOOKUP($B2990,Premissas!$A$4:$E$7,4,0)+L2990*VLOOKUP($B2990,Premissas!$A$4:$E$7,5,0))</f>
        <v/>
      </c>
      <c r="N2990" s="14">
        <f>H2990-M2990</f>
        <v/>
      </c>
      <c r="O2990" t="inlineStr">
        <is>
          <t>Sim</t>
        </is>
      </c>
      <c r="P2990" t="inlineStr">
        <is>
          <t>1.102</t>
        </is>
      </c>
    </row>
    <row r="2991">
      <c r="A2991" s="24" t="n">
        <v>46113</v>
      </c>
      <c r="B2991" t="inlineStr">
        <is>
          <t>Insumos e papel</t>
        </is>
      </c>
      <c r="C2991" t="inlineStr">
        <is>
          <t>2.01.83 Compra de Etiqueta Personalizada</t>
        </is>
      </c>
      <c r="D2991" t="inlineStr">
        <is>
          <t>NF-e</t>
        </is>
      </c>
      <c r="E2991" t="inlineStr">
        <is>
          <t>000016398</t>
        </is>
      </c>
      <c r="F2991" t="inlineStr">
        <is>
          <t>BR EMBALAGENS INDUSTRIA E COMERCIO LTDA</t>
        </is>
      </c>
      <c r="G2991" s="27" t="n">
        <v>46120</v>
      </c>
      <c r="H2991" s="14" t="n">
        <v>11377.8</v>
      </c>
      <c r="I2991" s="14" t="n">
        <v>0</v>
      </c>
      <c r="J2991" s="14" t="n">
        <v>2487.24</v>
      </c>
      <c r="K2991" s="14" t="n">
        <v>0</v>
      </c>
      <c r="L2991" s="14" t="n">
        <v>0</v>
      </c>
      <c r="M2991" s="14">
        <f>IF(B2991="Frete de venda",0,(1-ISNUMBER(SEARCH("556",P2991)))*(I2991*VLOOKUP($B2991,Premissas!$A$4:$E$7,2,0)+J2991*VLOOKUP($B2991,Premissas!$A$4:$E$7,3,0))+K2991*VLOOKUP($B2991,Premissas!$A$4:$E$7,4,0)+L2991*VLOOKUP($B2991,Premissas!$A$4:$E$7,5,0))</f>
        <v/>
      </c>
      <c r="N2991" s="14">
        <f>H2991-M2991</f>
        <v/>
      </c>
      <c r="O2991" t="inlineStr">
        <is>
          <t>Sim</t>
        </is>
      </c>
      <c r="P2991" t="inlineStr">
        <is>
          <t>2.102</t>
        </is>
      </c>
    </row>
    <row r="2992">
      <c r="A2992" s="24" t="n">
        <v>46113</v>
      </c>
      <c r="B2992" t="inlineStr">
        <is>
          <t>Insumos e papel</t>
        </is>
      </c>
      <c r="C2992" t="inlineStr">
        <is>
          <t>2.01.83 Compra de Etiqueta Personalizada</t>
        </is>
      </c>
      <c r="D2992" t="inlineStr">
        <is>
          <t>NF-e</t>
        </is>
      </c>
      <c r="E2992" t="inlineStr">
        <is>
          <t>000016396</t>
        </is>
      </c>
      <c r="F2992" t="inlineStr">
        <is>
          <t>BR EMBALAGENS INDUSTRIA E COMERCIO LTDA</t>
        </is>
      </c>
      <c r="G2992" s="27" t="n">
        <v>46120</v>
      </c>
      <c r="H2992" s="14" t="n">
        <v>21150</v>
      </c>
      <c r="I2992" s="14" t="n">
        <v>0</v>
      </c>
      <c r="J2992" s="14" t="n">
        <v>2538</v>
      </c>
      <c r="K2992" s="14" t="n">
        <v>0</v>
      </c>
      <c r="L2992" s="14" t="n">
        <v>0</v>
      </c>
      <c r="M2992" s="14">
        <f>IF(B2992="Frete de venda",0,(1-ISNUMBER(SEARCH("556",P2992)))*(I2992*VLOOKUP($B2992,Premissas!$A$4:$E$7,2,0)+J2992*VLOOKUP($B2992,Premissas!$A$4:$E$7,3,0))+K2992*VLOOKUP($B2992,Premissas!$A$4:$E$7,4,0)+L2992*VLOOKUP($B2992,Premissas!$A$4:$E$7,5,0))</f>
        <v/>
      </c>
      <c r="N2992" s="14">
        <f>H2992-M2992</f>
        <v/>
      </c>
      <c r="O2992" t="inlineStr">
        <is>
          <t>Sim</t>
        </is>
      </c>
      <c r="P2992" t="inlineStr">
        <is>
          <t>2.102</t>
        </is>
      </c>
    </row>
    <row r="2993">
      <c r="A2993" s="24" t="n">
        <v>46113</v>
      </c>
      <c r="B2993" t="inlineStr">
        <is>
          <t>Insumos e papel</t>
        </is>
      </c>
      <c r="C2993" t="inlineStr">
        <is>
          <t>2.01.83 Compra de Etiqueta Personalizada</t>
        </is>
      </c>
      <c r="D2993" t="inlineStr">
        <is>
          <t>NF-e</t>
        </is>
      </c>
      <c r="E2993" t="inlineStr">
        <is>
          <t>000016621</t>
        </is>
      </c>
      <c r="F2993" t="inlineStr">
        <is>
          <t>BR EMBALAGENS INDUSTRIA E COMERCIO LTDA</t>
        </is>
      </c>
      <c r="G2993" s="27" t="n">
        <v>46141</v>
      </c>
      <c r="H2993" s="14" t="n">
        <v>21150</v>
      </c>
      <c r="I2993" s="14" t="n">
        <v>0</v>
      </c>
      <c r="J2993" s="14" t="n">
        <v>2538</v>
      </c>
      <c r="K2993" s="14" t="n">
        <v>348.98</v>
      </c>
      <c r="L2993" s="14" t="n">
        <v>1607.4</v>
      </c>
      <c r="M2993" s="14">
        <f>IF(B2993="Frete de venda",0,(1-ISNUMBER(SEARCH("556",P2993)))*(I2993*VLOOKUP($B2993,Premissas!$A$4:$E$7,2,0)+J2993*VLOOKUP($B2993,Premissas!$A$4:$E$7,3,0))+K2993*VLOOKUP($B2993,Premissas!$A$4:$E$7,4,0)+L2993*VLOOKUP($B2993,Premissas!$A$4:$E$7,5,0))</f>
        <v/>
      </c>
      <c r="N2993" s="14">
        <f>H2993-M2993</f>
        <v/>
      </c>
      <c r="O2993" t="inlineStr">
        <is>
          <t>Sim</t>
        </is>
      </c>
      <c r="P2993" t="inlineStr">
        <is>
          <t>2.102</t>
        </is>
      </c>
    </row>
    <row r="2994">
      <c r="A2994" s="24" t="n">
        <v>46113</v>
      </c>
      <c r="B2994" t="inlineStr">
        <is>
          <t>Insumos e papel</t>
        </is>
      </c>
      <c r="C2994" t="inlineStr">
        <is>
          <t>2.01.83 Compra de Etiqueta Personalizada</t>
        </is>
      </c>
      <c r="D2994" t="inlineStr">
        <is>
          <t>NF-e</t>
        </is>
      </c>
      <c r="E2994" t="inlineStr">
        <is>
          <t>000016622</t>
        </is>
      </c>
      <c r="F2994" t="inlineStr">
        <is>
          <t>BR EMBALAGENS INDUSTRIA E COMERCIO LTDA</t>
        </is>
      </c>
      <c r="G2994" s="27" t="n">
        <v>46141</v>
      </c>
      <c r="H2994" s="14" t="n">
        <v>21150</v>
      </c>
      <c r="I2994" s="14" t="n">
        <v>0</v>
      </c>
      <c r="J2994" s="14" t="n">
        <v>2538</v>
      </c>
      <c r="K2994" s="14" t="n">
        <v>348.98</v>
      </c>
      <c r="L2994" s="14" t="n">
        <v>1607.4</v>
      </c>
      <c r="M2994" s="14">
        <f>IF(B2994="Frete de venda",0,(1-ISNUMBER(SEARCH("556",P2994)))*(I2994*VLOOKUP($B2994,Premissas!$A$4:$E$7,2,0)+J2994*VLOOKUP($B2994,Premissas!$A$4:$E$7,3,0))+K2994*VLOOKUP($B2994,Premissas!$A$4:$E$7,4,0)+L2994*VLOOKUP($B2994,Premissas!$A$4:$E$7,5,0))</f>
        <v/>
      </c>
      <c r="N2994" s="14">
        <f>H2994-M2994</f>
        <v/>
      </c>
      <c r="O2994" t="inlineStr">
        <is>
          <t>Sim</t>
        </is>
      </c>
      <c r="P2994" t="inlineStr">
        <is>
          <t>2.102</t>
        </is>
      </c>
    </row>
    <row r="2995">
      <c r="A2995" s="24" t="n">
        <v>46113</v>
      </c>
      <c r="B2995" t="inlineStr">
        <is>
          <t>Insumos e papel</t>
        </is>
      </c>
      <c r="C2995" t="inlineStr">
        <is>
          <t>2.01.83 Compra de Etiqueta Personalizada</t>
        </is>
      </c>
      <c r="D2995" t="inlineStr">
        <is>
          <t>NF-e</t>
        </is>
      </c>
      <c r="E2995" t="inlineStr">
        <is>
          <t>000016623</t>
        </is>
      </c>
      <c r="F2995" t="inlineStr">
        <is>
          <t>BR EMBALAGENS INDUSTRIA E COMERCIO LTDA</t>
        </is>
      </c>
      <c r="G2995" s="27" t="n">
        <v>46141</v>
      </c>
      <c r="H2995" s="14" t="n">
        <v>21520.8</v>
      </c>
      <c r="I2995" s="14" t="n">
        <v>0</v>
      </c>
      <c r="J2995" s="14" t="n">
        <v>2582.5</v>
      </c>
      <c r="K2995" s="14" t="n">
        <v>355.09</v>
      </c>
      <c r="L2995" s="14" t="n">
        <v>1635.58</v>
      </c>
      <c r="M2995" s="14">
        <f>IF(B2995="Frete de venda",0,(1-ISNUMBER(SEARCH("556",P2995)))*(I2995*VLOOKUP($B2995,Premissas!$A$4:$E$7,2,0)+J2995*VLOOKUP($B2995,Premissas!$A$4:$E$7,3,0))+K2995*VLOOKUP($B2995,Premissas!$A$4:$E$7,4,0)+L2995*VLOOKUP($B2995,Premissas!$A$4:$E$7,5,0))</f>
        <v/>
      </c>
      <c r="N2995" s="14">
        <f>H2995-M2995</f>
        <v/>
      </c>
      <c r="O2995" t="inlineStr">
        <is>
          <t>Sim</t>
        </is>
      </c>
      <c r="P2995" t="inlineStr">
        <is>
          <t>2.102</t>
        </is>
      </c>
    </row>
    <row r="2996">
      <c r="A2996" s="24" t="n">
        <v>46113</v>
      </c>
      <c r="B2996" t="inlineStr">
        <is>
          <t>Uso e consumo</t>
        </is>
      </c>
      <c r="C2996" t="inlineStr">
        <is>
          <t>2.01.85 Compra de Uso e Consumo</t>
        </is>
      </c>
      <c r="D2996" t="inlineStr">
        <is>
          <t>NF-e</t>
        </is>
      </c>
      <c r="E2996" t="inlineStr">
        <is>
          <t>000013908</t>
        </is>
      </c>
      <c r="F2996" t="inlineStr">
        <is>
          <t>EDNA DE ARAUJO PACHECO LTDA</t>
        </is>
      </c>
      <c r="G2996" s="27" t="n">
        <v>46142</v>
      </c>
      <c r="H2996" s="14" t="n">
        <v>337.32</v>
      </c>
      <c r="I2996" s="14" t="n">
        <v>0</v>
      </c>
      <c r="J2996" s="14" t="n">
        <v>0</v>
      </c>
      <c r="K2996" s="14" t="n">
        <v>0</v>
      </c>
      <c r="L2996" s="14" t="n">
        <v>0</v>
      </c>
      <c r="M2996" s="14">
        <f>IF(B2996="Frete de venda",0,(1-ISNUMBER(SEARCH("556",P2996)))*(I2996*VLOOKUP($B2996,Premissas!$A$4:$E$7,2,0)+J2996*VLOOKUP($B2996,Premissas!$A$4:$E$7,3,0))+K2996*VLOOKUP($B2996,Premissas!$A$4:$E$7,4,0)+L2996*VLOOKUP($B2996,Premissas!$A$4:$E$7,5,0))</f>
        <v/>
      </c>
      <c r="N2996" s="14">
        <f>H2996-M2996</f>
        <v/>
      </c>
      <c r="O2996" t="inlineStr">
        <is>
          <t>Sim</t>
        </is>
      </c>
      <c r="P2996" t="inlineStr">
        <is>
          <t>1.556</t>
        </is>
      </c>
    </row>
    <row r="2997">
      <c r="A2997" s="24" t="n">
        <v>46113</v>
      </c>
      <c r="B2997" t="inlineStr">
        <is>
          <t>Uso e consumo</t>
        </is>
      </c>
      <c r="C2997" t="inlineStr">
        <is>
          <t>2.01.85 Compra de Uso e Consumo</t>
        </is>
      </c>
      <c r="D2997" t="inlineStr">
        <is>
          <t>NF-e</t>
        </is>
      </c>
      <c r="E2997" t="inlineStr">
        <is>
          <t>000793419</t>
        </is>
      </c>
      <c r="F2997" t="inlineStr">
        <is>
          <t>G5 Comercio de Madeiras Ltda ME</t>
        </is>
      </c>
      <c r="G2997" s="27" t="n">
        <v>46121</v>
      </c>
      <c r="H2997" s="14" t="n">
        <v>977.24</v>
      </c>
      <c r="I2997" s="14" t="n">
        <v>0</v>
      </c>
      <c r="J2997" s="14" t="n">
        <v>195.45</v>
      </c>
      <c r="K2997" s="14" t="n">
        <v>12.9</v>
      </c>
      <c r="L2997" s="14" t="n">
        <v>59.42</v>
      </c>
      <c r="M2997" s="14">
        <f>IF(B2997="Frete de venda",0,(1-ISNUMBER(SEARCH("556",P2997)))*(I2997*VLOOKUP($B2997,Premissas!$A$4:$E$7,2,0)+J2997*VLOOKUP($B2997,Premissas!$A$4:$E$7,3,0))+K2997*VLOOKUP($B2997,Premissas!$A$4:$E$7,4,0)+L2997*VLOOKUP($B2997,Premissas!$A$4:$E$7,5,0))</f>
        <v/>
      </c>
      <c r="N2997" s="14">
        <f>H2997-M2997</f>
        <v/>
      </c>
      <c r="O2997" t="inlineStr">
        <is>
          <t>Sim</t>
        </is>
      </c>
      <c r="P2997" t="inlineStr">
        <is>
          <t>1.556</t>
        </is>
      </c>
    </row>
    <row r="2998">
      <c r="A2998" s="24" t="n">
        <v>46113</v>
      </c>
      <c r="B2998" t="inlineStr">
        <is>
          <t>Uso e consumo</t>
        </is>
      </c>
      <c r="C2998" t="inlineStr">
        <is>
          <t>2.01.85 Compra de Uso e Consumo</t>
        </is>
      </c>
      <c r="D2998" t="inlineStr">
        <is>
          <t>NF-e</t>
        </is>
      </c>
      <c r="E2998" t="inlineStr">
        <is>
          <t>000012088</t>
        </is>
      </c>
      <c r="F2998" t="inlineStr">
        <is>
          <t>KLK INDUSTRIA E COMERCIO DE CONFECCOES LTDA</t>
        </is>
      </c>
      <c r="G2998" s="27" t="n">
        <v>46139</v>
      </c>
      <c r="H2998" s="14" t="n">
        <v>2426</v>
      </c>
      <c r="I2998" s="14" t="n">
        <v>0</v>
      </c>
      <c r="J2998" s="14" t="n">
        <v>485.2</v>
      </c>
      <c r="K2998" s="14" t="n">
        <v>15.77</v>
      </c>
      <c r="L2998" s="14" t="n">
        <v>72.78</v>
      </c>
      <c r="M2998" s="14">
        <f>IF(B2998="Frete de venda",0,(1-ISNUMBER(SEARCH("556",P2998)))*(I2998*VLOOKUP($B2998,Premissas!$A$4:$E$7,2,0)+J2998*VLOOKUP($B2998,Premissas!$A$4:$E$7,3,0))+K2998*VLOOKUP($B2998,Premissas!$A$4:$E$7,4,0)+L2998*VLOOKUP($B2998,Premissas!$A$4:$E$7,5,0))</f>
        <v/>
      </c>
      <c r="N2998" s="14">
        <f>H2998-M2998</f>
        <v/>
      </c>
      <c r="O2998" t="inlineStr">
        <is>
          <t>Sim</t>
        </is>
      </c>
      <c r="P2998" t="inlineStr">
        <is>
          <t>1.556</t>
        </is>
      </c>
    </row>
    <row r="2999">
      <c r="A2999" s="24" t="n">
        <v>46113</v>
      </c>
      <c r="B2999" t="inlineStr">
        <is>
          <t>Uso e consumo</t>
        </is>
      </c>
      <c r="C2999" t="inlineStr">
        <is>
          <t>2.01.85 Compra de Uso e Consumo</t>
        </is>
      </c>
      <c r="D2999" t="inlineStr">
        <is>
          <t>NF-e</t>
        </is>
      </c>
      <c r="E2999" t="inlineStr">
        <is>
          <t>000000988</t>
        </is>
      </c>
      <c r="F2999" t="inlineStr">
        <is>
          <t>Limptech Paper Comercio Ltda</t>
        </is>
      </c>
      <c r="G2999" s="27" t="n">
        <v>46139</v>
      </c>
      <c r="H2999" s="14" t="n">
        <v>878</v>
      </c>
      <c r="I2999" s="14" t="n">
        <v>0</v>
      </c>
      <c r="J2999" s="14" t="n">
        <v>0</v>
      </c>
      <c r="K2999" s="14" t="n">
        <v>0</v>
      </c>
      <c r="L2999" s="14" t="n">
        <v>0</v>
      </c>
      <c r="M2999" s="14">
        <f>IF(B2999="Frete de venda",0,(1-ISNUMBER(SEARCH("556",P2999)))*(I2999*VLOOKUP($B2999,Premissas!$A$4:$E$7,2,0)+J2999*VLOOKUP($B2999,Premissas!$A$4:$E$7,3,0))+K2999*VLOOKUP($B2999,Premissas!$A$4:$E$7,4,0)+L2999*VLOOKUP($B2999,Premissas!$A$4:$E$7,5,0))</f>
        <v/>
      </c>
      <c r="N2999" s="14">
        <f>H2999-M2999</f>
        <v/>
      </c>
      <c r="O2999" t="inlineStr">
        <is>
          <t>Sim</t>
        </is>
      </c>
      <c r="P2999" t="inlineStr">
        <is>
          <t>1.556</t>
        </is>
      </c>
    </row>
    <row r="3000">
      <c r="A3000" s="24" t="n">
        <v>46113</v>
      </c>
      <c r="B3000" t="inlineStr">
        <is>
          <t>Uso e consumo</t>
        </is>
      </c>
      <c r="C3000" t="inlineStr">
        <is>
          <t>2.01.85 Compra de Uso e Consumo</t>
        </is>
      </c>
      <c r="D3000" t="inlineStr">
        <is>
          <t>NF-e</t>
        </is>
      </c>
      <c r="E3000" t="inlineStr">
        <is>
          <t>000012231</t>
        </is>
      </c>
      <c r="F3000" t="inlineStr">
        <is>
          <t>MAIN COMERCIO DE DESCARTAVEIS EIRELI</t>
        </is>
      </c>
      <c r="G3000" s="27" t="n">
        <v>46134</v>
      </c>
      <c r="H3000" s="14" t="n">
        <v>315</v>
      </c>
      <c r="I3000" s="14" t="n">
        <v>0</v>
      </c>
      <c r="J3000" s="14" t="n">
        <v>0</v>
      </c>
      <c r="K3000" s="14" t="n">
        <v>0</v>
      </c>
      <c r="L3000" s="14" t="n">
        <v>0</v>
      </c>
      <c r="M3000" s="14">
        <f>IF(B3000="Frete de venda",0,(1-ISNUMBER(SEARCH("556",P3000)))*(I3000*VLOOKUP($B3000,Premissas!$A$4:$E$7,2,0)+J3000*VLOOKUP($B3000,Premissas!$A$4:$E$7,3,0))+K3000*VLOOKUP($B3000,Premissas!$A$4:$E$7,4,0)+L3000*VLOOKUP($B3000,Premissas!$A$4:$E$7,5,0))</f>
        <v/>
      </c>
      <c r="N3000" s="14">
        <f>H3000-M3000</f>
        <v/>
      </c>
      <c r="O3000" t="inlineStr">
        <is>
          <t>Sim</t>
        </is>
      </c>
      <c r="P3000" t="inlineStr">
        <is>
          <t>1.556</t>
        </is>
      </c>
    </row>
    <row r="3001">
      <c r="A3001" s="24" t="n">
        <v>46113</v>
      </c>
      <c r="B3001" t="inlineStr">
        <is>
          <t>Uso e consumo</t>
        </is>
      </c>
      <c r="C3001" t="inlineStr">
        <is>
          <t>2.01.85 Compra de Uso e Consumo</t>
        </is>
      </c>
      <c r="D3001" t="inlineStr">
        <is>
          <t>NF-e</t>
        </is>
      </c>
      <c r="E3001" t="inlineStr">
        <is>
          <t>900557689</t>
        </is>
      </c>
      <c r="F3001" t="inlineStr">
        <is>
          <t>MARCUS VINICIUS CORDEIRO DE MEDEIROS 19449826803</t>
        </is>
      </c>
      <c r="G3001" s="27" t="n">
        <v>46136</v>
      </c>
      <c r="H3001" s="14" t="n">
        <v>899.55</v>
      </c>
      <c r="I3001" s="14" t="n">
        <v>0</v>
      </c>
      <c r="J3001" s="14" t="n">
        <v>0</v>
      </c>
      <c r="K3001" s="14" t="n">
        <v>0</v>
      </c>
      <c r="L3001" s="14" t="n">
        <v>0</v>
      </c>
      <c r="M3001" s="14">
        <f>IF(B3001="Frete de venda",0,(1-ISNUMBER(SEARCH("556",P3001)))*(I3001*VLOOKUP($B3001,Premissas!$A$4:$E$7,2,0)+J3001*VLOOKUP($B3001,Premissas!$A$4:$E$7,3,0))+K3001*VLOOKUP($B3001,Premissas!$A$4:$E$7,4,0)+L3001*VLOOKUP($B3001,Premissas!$A$4:$E$7,5,0))</f>
        <v/>
      </c>
      <c r="N3001" s="14">
        <f>H3001-M3001</f>
        <v/>
      </c>
      <c r="O3001" t="inlineStr">
        <is>
          <t>Sim</t>
        </is>
      </c>
      <c r="P3001" t="inlineStr">
        <is>
          <t>1.556</t>
        </is>
      </c>
    </row>
    <row r="3002">
      <c r="A3002" s="24" t="n">
        <v>46113</v>
      </c>
      <c r="B3002" t="inlineStr">
        <is>
          <t>Uso e consumo</t>
        </is>
      </c>
      <c r="C3002" t="inlineStr">
        <is>
          <t>2.01.85 Compra de Uso e Consumo</t>
        </is>
      </c>
      <c r="D3002" t="inlineStr">
        <is>
          <t>NF-e</t>
        </is>
      </c>
      <c r="E3002" t="inlineStr">
        <is>
          <t>000007456</t>
        </is>
      </c>
      <c r="F3002" t="inlineStr">
        <is>
          <t>SUPERGASBRAS ENERGIA LTDA</t>
        </is>
      </c>
      <c r="G3002" s="27" t="n">
        <v>46118</v>
      </c>
      <c r="H3002" s="14" t="n">
        <v>472.47</v>
      </c>
      <c r="I3002" s="14" t="n">
        <v>0</v>
      </c>
      <c r="J3002" s="14" t="n">
        <v>0</v>
      </c>
      <c r="K3002" s="14" t="n">
        <v>0</v>
      </c>
      <c r="L3002" s="14" t="n">
        <v>0</v>
      </c>
      <c r="M3002" s="14">
        <f>IF(B3002="Frete de venda",0,(1-ISNUMBER(SEARCH("556",P3002)))*(I3002*VLOOKUP($B3002,Premissas!$A$4:$E$7,2,0)+J3002*VLOOKUP($B3002,Premissas!$A$4:$E$7,3,0))+K3002*VLOOKUP($B3002,Premissas!$A$4:$E$7,4,0)+L3002*VLOOKUP($B3002,Premissas!$A$4:$E$7,5,0))</f>
        <v/>
      </c>
      <c r="N3002" s="14">
        <f>H3002-M3002</f>
        <v/>
      </c>
      <c r="O3002" t="inlineStr">
        <is>
          <t>Sim</t>
        </is>
      </c>
      <c r="P3002" t="inlineStr">
        <is>
          <t>1.653</t>
        </is>
      </c>
    </row>
    <row r="3003">
      <c r="A3003" s="24" t="n">
        <v>46113</v>
      </c>
      <c r="B3003" t="inlineStr">
        <is>
          <t>Uso e consumo</t>
        </is>
      </c>
      <c r="C3003" t="inlineStr">
        <is>
          <t>2.01.85 Compra de Uso e Consumo</t>
        </is>
      </c>
      <c r="D3003" t="inlineStr">
        <is>
          <t>NF-e</t>
        </is>
      </c>
      <c r="E3003" t="inlineStr">
        <is>
          <t>000007598</t>
        </is>
      </c>
      <c r="F3003" t="inlineStr">
        <is>
          <t>SUPERGASBRAS ENERGIA LTDA</t>
        </is>
      </c>
      <c r="G3003" s="27" t="n">
        <v>46132</v>
      </c>
      <c r="H3003" s="14" t="n">
        <v>314.98</v>
      </c>
      <c r="I3003" s="14" t="n">
        <v>0</v>
      </c>
      <c r="J3003" s="14" t="n">
        <v>0</v>
      </c>
      <c r="K3003" s="14" t="n">
        <v>0</v>
      </c>
      <c r="L3003" s="14" t="n">
        <v>0</v>
      </c>
      <c r="M3003" s="14">
        <f>IF(B3003="Frete de venda",0,(1-ISNUMBER(SEARCH("556",P3003)))*(I3003*VLOOKUP($B3003,Premissas!$A$4:$E$7,2,0)+J3003*VLOOKUP($B3003,Premissas!$A$4:$E$7,3,0))+K3003*VLOOKUP($B3003,Premissas!$A$4:$E$7,4,0)+L3003*VLOOKUP($B3003,Premissas!$A$4:$E$7,5,0))</f>
        <v/>
      </c>
      <c r="N3003" s="14">
        <f>H3003-M3003</f>
        <v/>
      </c>
      <c r="O3003" t="inlineStr">
        <is>
          <t>Sim</t>
        </is>
      </c>
      <c r="P3003" t="inlineStr">
        <is>
          <t>1.653</t>
        </is>
      </c>
    </row>
    <row r="3004">
      <c r="A3004" s="24" t="n">
        <v>46113</v>
      </c>
      <c r="B3004" t="inlineStr">
        <is>
          <t>Uso e consumo</t>
        </is>
      </c>
      <c r="C3004" t="inlineStr">
        <is>
          <t>2.01.85 Compra de Uso e Consumo</t>
        </is>
      </c>
      <c r="D3004" t="inlineStr">
        <is>
          <t>NF-e</t>
        </is>
      </c>
      <c r="E3004" t="inlineStr">
        <is>
          <t>000007660</t>
        </is>
      </c>
      <c r="F3004" t="inlineStr">
        <is>
          <t>SUPERGASBRAS ENERGIA LTDA</t>
        </is>
      </c>
      <c r="G3004" s="27" t="n">
        <v>46139</v>
      </c>
      <c r="H3004" s="14" t="n">
        <v>944.9400000000001</v>
      </c>
      <c r="I3004" s="14" t="n">
        <v>0</v>
      </c>
      <c r="J3004" s="14" t="n">
        <v>0</v>
      </c>
      <c r="K3004" s="14" t="n">
        <v>0</v>
      </c>
      <c r="L3004" s="14" t="n">
        <v>0</v>
      </c>
      <c r="M3004" s="14">
        <f>IF(B3004="Frete de venda",0,(1-ISNUMBER(SEARCH("556",P3004)))*(I3004*VLOOKUP($B3004,Premissas!$A$4:$E$7,2,0)+J3004*VLOOKUP($B3004,Premissas!$A$4:$E$7,3,0))+K3004*VLOOKUP($B3004,Premissas!$A$4:$E$7,4,0)+L3004*VLOOKUP($B3004,Premissas!$A$4:$E$7,5,0))</f>
        <v/>
      </c>
      <c r="N3004" s="14">
        <f>H3004-M3004</f>
        <v/>
      </c>
      <c r="O3004" t="inlineStr">
        <is>
          <t>Sim</t>
        </is>
      </c>
      <c r="P3004" t="inlineStr">
        <is>
          <t>1.653</t>
        </is>
      </c>
    </row>
    <row r="3005">
      <c r="A3005" s="24" t="n">
        <v>46113</v>
      </c>
      <c r="B3005" t="inlineStr">
        <is>
          <t>Uso e consumo</t>
        </is>
      </c>
      <c r="C3005" t="inlineStr">
        <is>
          <t>2.01.87 Compra de Peças de Máquinas</t>
        </is>
      </c>
      <c r="D3005" t="inlineStr">
        <is>
          <t>NF-e</t>
        </is>
      </c>
      <c r="E3005" t="inlineStr">
        <is>
          <t>000013745</t>
        </is>
      </c>
      <c r="F3005" t="inlineStr">
        <is>
          <t>EDNA DE ARAUJO PACHECO LTDA</t>
        </is>
      </c>
      <c r="G3005" s="27" t="n">
        <v>46128</v>
      </c>
      <c r="H3005" s="14" t="n">
        <v>261.52</v>
      </c>
      <c r="I3005" s="14" t="n">
        <v>0</v>
      </c>
      <c r="J3005" s="14" t="n">
        <v>0</v>
      </c>
      <c r="K3005" s="14" t="n">
        <v>0</v>
      </c>
      <c r="L3005" s="14" t="n">
        <v>0</v>
      </c>
      <c r="M3005" s="14">
        <f>IF(B3005="Frete de venda",0,(1-ISNUMBER(SEARCH("556",P3005)))*(I3005*VLOOKUP($B3005,Premissas!$A$4:$E$7,2,0)+J3005*VLOOKUP($B3005,Premissas!$A$4:$E$7,3,0))+K3005*VLOOKUP($B3005,Premissas!$A$4:$E$7,4,0)+L3005*VLOOKUP($B3005,Premissas!$A$4:$E$7,5,0))</f>
        <v/>
      </c>
      <c r="N3005" s="14">
        <f>H3005-M3005</f>
        <v/>
      </c>
      <c r="O3005" t="inlineStr">
        <is>
          <t>Sim</t>
        </is>
      </c>
      <c r="P3005" t="inlineStr">
        <is>
          <t>1.102</t>
        </is>
      </c>
    </row>
    <row r="3006">
      <c r="A3006" s="24" t="n">
        <v>46113</v>
      </c>
      <c r="B3006" t="inlineStr">
        <is>
          <t>Uso e consumo</t>
        </is>
      </c>
      <c r="C3006" t="inlineStr">
        <is>
          <t>2.01.87 Compra de Peças de Máquinas</t>
        </is>
      </c>
      <c r="D3006" t="inlineStr">
        <is>
          <t>NF-e</t>
        </is>
      </c>
      <c r="E3006" t="inlineStr">
        <is>
          <t>000052201</t>
        </is>
      </c>
      <c r="F3006" t="inlineStr">
        <is>
          <t>ELETROPOLO ELETRICIDADE LTDA</t>
        </is>
      </c>
      <c r="G3006" s="27" t="n">
        <v>46127</v>
      </c>
      <c r="H3006" s="14" t="n">
        <v>12984.5</v>
      </c>
      <c r="I3006" s="14" t="n">
        <v>0</v>
      </c>
      <c r="J3006" s="14" t="n">
        <v>0</v>
      </c>
      <c r="K3006" s="14" t="n">
        <v>214.26</v>
      </c>
      <c r="L3006" s="14" t="n">
        <v>986.8200000000001</v>
      </c>
      <c r="M3006" s="14">
        <f>IF(B3006="Frete de venda",0,(1-ISNUMBER(SEARCH("556",P3006)))*(I3006*VLOOKUP($B3006,Premissas!$A$4:$E$7,2,0)+J3006*VLOOKUP($B3006,Premissas!$A$4:$E$7,3,0))+K3006*VLOOKUP($B3006,Premissas!$A$4:$E$7,4,0)+L3006*VLOOKUP($B3006,Premissas!$A$4:$E$7,5,0))</f>
        <v/>
      </c>
      <c r="N3006" s="14">
        <f>H3006-M3006</f>
        <v/>
      </c>
      <c r="O3006" t="inlineStr">
        <is>
          <t>Sim</t>
        </is>
      </c>
      <c r="P3006" t="inlineStr">
        <is>
          <t>1.556</t>
        </is>
      </c>
    </row>
    <row r="3007">
      <c r="A3007" s="24" t="n">
        <v>46113</v>
      </c>
      <c r="B3007" t="inlineStr">
        <is>
          <t>Uso e consumo</t>
        </is>
      </c>
      <c r="C3007" t="inlineStr">
        <is>
          <t>2.01.87 Compra de Peças de Máquinas</t>
        </is>
      </c>
      <c r="D3007" t="inlineStr">
        <is>
          <t>NF-e</t>
        </is>
      </c>
      <c r="E3007" t="inlineStr">
        <is>
          <t>000103552</t>
        </is>
      </c>
      <c r="F3007" t="inlineStr">
        <is>
          <t>FERGE COMERCIO DE PRODUTOS INDUSTRIAIS LTDA</t>
        </is>
      </c>
      <c r="G3007" s="27" t="n">
        <v>46130</v>
      </c>
      <c r="H3007" s="14" t="n">
        <v>418.6</v>
      </c>
      <c r="I3007" s="14" t="n">
        <v>0</v>
      </c>
      <c r="J3007" s="14" t="n">
        <v>83.72</v>
      </c>
      <c r="K3007" s="14" t="n">
        <v>0</v>
      </c>
      <c r="L3007" s="14" t="n">
        <v>0</v>
      </c>
      <c r="M3007" s="14">
        <f>IF(B3007="Frete de venda",0,(1-ISNUMBER(SEARCH("556",P3007)))*(I3007*VLOOKUP($B3007,Premissas!$A$4:$E$7,2,0)+J3007*VLOOKUP($B3007,Premissas!$A$4:$E$7,3,0))+K3007*VLOOKUP($B3007,Premissas!$A$4:$E$7,4,0)+L3007*VLOOKUP($B3007,Premissas!$A$4:$E$7,5,0))</f>
        <v/>
      </c>
      <c r="N3007" s="14">
        <f>H3007-M3007</f>
        <v/>
      </c>
      <c r="O3007" t="inlineStr">
        <is>
          <t>Sim</t>
        </is>
      </c>
      <c r="P3007" t="inlineStr">
        <is>
          <t>1.556</t>
        </is>
      </c>
    </row>
    <row r="3008">
      <c r="A3008" s="24" t="n">
        <v>46113</v>
      </c>
      <c r="B3008" t="inlineStr">
        <is>
          <t>Uso e consumo</t>
        </is>
      </c>
      <c r="C3008" t="inlineStr">
        <is>
          <t>2.01.87 Compra de Peças de Máquinas</t>
        </is>
      </c>
      <c r="D3008" t="inlineStr">
        <is>
          <t>NF-e</t>
        </is>
      </c>
      <c r="E3008" t="inlineStr">
        <is>
          <t>000006360</t>
        </is>
      </c>
      <c r="F3008" t="inlineStr">
        <is>
          <t>GF COMERCIO DE PRODUTOS INDUSTRIAIS LTDA</t>
        </is>
      </c>
      <c r="G3008" s="27" t="n">
        <v>46139</v>
      </c>
      <c r="H3008" s="14" t="n">
        <v>408</v>
      </c>
      <c r="I3008" s="14" t="n">
        <v>0</v>
      </c>
      <c r="J3008" s="14" t="n">
        <v>0</v>
      </c>
      <c r="K3008" s="14" t="n">
        <v>0</v>
      </c>
      <c r="L3008" s="14" t="n">
        <v>0</v>
      </c>
      <c r="M3008" s="14">
        <f>IF(B3008="Frete de venda",0,(1-ISNUMBER(SEARCH("556",P3008)))*(I3008*VLOOKUP($B3008,Premissas!$A$4:$E$7,2,0)+J3008*VLOOKUP($B3008,Premissas!$A$4:$E$7,3,0))+K3008*VLOOKUP($B3008,Premissas!$A$4:$E$7,4,0)+L3008*VLOOKUP($B3008,Premissas!$A$4:$E$7,5,0))</f>
        <v/>
      </c>
      <c r="N3008" s="14">
        <f>H3008-M3008</f>
        <v/>
      </c>
      <c r="O3008" t="inlineStr">
        <is>
          <t>Sim</t>
        </is>
      </c>
      <c r="P3008" t="inlineStr">
        <is>
          <t>1.556</t>
        </is>
      </c>
    </row>
    <row r="3009">
      <c r="A3009" s="24" t="n">
        <v>46113</v>
      </c>
      <c r="B3009" t="inlineStr">
        <is>
          <t>Uso e consumo</t>
        </is>
      </c>
      <c r="C3009" t="inlineStr">
        <is>
          <t>2.01.87 Compra de Peças de Máquinas</t>
        </is>
      </c>
      <c r="D3009" t="inlineStr">
        <is>
          <t>NF-e</t>
        </is>
      </c>
      <c r="E3009" t="inlineStr">
        <is>
          <t>000000398</t>
        </is>
      </c>
      <c r="F3009" t="inlineStr">
        <is>
          <t>ODAFLEXO COMERCIO DE PRODUTOS FLEXOGRAFICOS LTDA</t>
        </is>
      </c>
      <c r="G3009" s="27" t="n">
        <v>46113</v>
      </c>
      <c r="H3009" s="14" t="n">
        <v>1599</v>
      </c>
      <c r="I3009" s="14" t="n">
        <v>0</v>
      </c>
      <c r="J3009" s="14" t="n">
        <v>0</v>
      </c>
      <c r="K3009" s="14" t="n">
        <v>0</v>
      </c>
      <c r="L3009" s="14" t="n">
        <v>0</v>
      </c>
      <c r="M3009" s="14">
        <f>IF(B3009="Frete de venda",0,(1-ISNUMBER(SEARCH("556",P3009)))*(I3009*VLOOKUP($B3009,Premissas!$A$4:$E$7,2,0)+J3009*VLOOKUP($B3009,Premissas!$A$4:$E$7,3,0))+K3009*VLOOKUP($B3009,Premissas!$A$4:$E$7,4,0)+L3009*VLOOKUP($B3009,Premissas!$A$4:$E$7,5,0))</f>
        <v/>
      </c>
      <c r="N3009" s="14">
        <f>H3009-M3009</f>
        <v/>
      </c>
      <c r="O3009" t="inlineStr">
        <is>
          <t>Sim</t>
        </is>
      </c>
      <c r="P3009" t="inlineStr">
        <is>
          <t>2.102</t>
        </is>
      </c>
    </row>
    <row r="3010">
      <c r="A3010" s="24" t="n">
        <v>46113</v>
      </c>
      <c r="B3010" t="inlineStr">
        <is>
          <t>Uso e consumo</t>
        </is>
      </c>
      <c r="C3010" t="inlineStr">
        <is>
          <t>2.01.87 Compra de Peças de Máquinas</t>
        </is>
      </c>
      <c r="D3010" t="inlineStr">
        <is>
          <t>NF-e</t>
        </is>
      </c>
      <c r="E3010" t="inlineStr">
        <is>
          <t>000003329</t>
        </is>
      </c>
      <c r="F3010" t="inlineStr">
        <is>
          <t>TECHPRINT FACAS INDUSTRIAIS</t>
        </is>
      </c>
      <c r="G3010" s="27" t="n">
        <v>46122</v>
      </c>
      <c r="H3010" s="14" t="n">
        <v>1450</v>
      </c>
      <c r="I3010" s="14" t="n">
        <v>0</v>
      </c>
      <c r="J3010" s="14" t="n">
        <v>0</v>
      </c>
      <c r="K3010" s="14" t="n">
        <v>0</v>
      </c>
      <c r="L3010" s="14" t="n">
        <v>0</v>
      </c>
      <c r="M3010" s="14">
        <f>IF(B3010="Frete de venda",0,(1-ISNUMBER(SEARCH("556",P3010)))*(I3010*VLOOKUP($B3010,Premissas!$A$4:$E$7,2,0)+J3010*VLOOKUP($B3010,Premissas!$A$4:$E$7,3,0))+K3010*VLOOKUP($B3010,Premissas!$A$4:$E$7,4,0)+L3010*VLOOKUP($B3010,Premissas!$A$4:$E$7,5,0))</f>
        <v/>
      </c>
      <c r="N3010" s="14">
        <f>H3010-M3010</f>
        <v/>
      </c>
      <c r="O3010" t="inlineStr">
        <is>
          <t>Sim</t>
        </is>
      </c>
      <c r="P3010" t="inlineStr">
        <is>
          <t>2.102</t>
        </is>
      </c>
    </row>
    <row r="3011">
      <c r="A3011" s="24" t="n">
        <v>46113</v>
      </c>
      <c r="B3011" t="inlineStr">
        <is>
          <t>Insumos e papel</t>
        </is>
      </c>
      <c r="C3011" t="inlineStr">
        <is>
          <t>2.01.91 Compra de Filme Strech</t>
        </is>
      </c>
      <c r="D3011" t="inlineStr">
        <is>
          <t>NF-e</t>
        </is>
      </c>
      <c r="E3011" t="inlineStr">
        <is>
          <t>000006203</t>
        </is>
      </c>
      <c r="F3011" t="inlineStr">
        <is>
          <t>GDM INDUSTRIA E COMERCIO DE PLASTICOS LTDA.</t>
        </is>
      </c>
      <c r="G3011" s="27" t="n">
        <v>46134</v>
      </c>
      <c r="H3011" s="14" t="n">
        <v>21206.45</v>
      </c>
      <c r="I3011" s="14" t="n">
        <v>2766.06</v>
      </c>
      <c r="J3011" s="14" t="n">
        <v>2212.85</v>
      </c>
      <c r="K3011" s="14" t="n">
        <v>267.75</v>
      </c>
      <c r="L3011" s="14" t="n">
        <v>1233.29</v>
      </c>
      <c r="M3011" s="14">
        <f>IF(B3011="Frete de venda",0,(1-ISNUMBER(SEARCH("556",P3011)))*(I3011*VLOOKUP($B3011,Premissas!$A$4:$E$7,2,0)+J3011*VLOOKUP($B3011,Premissas!$A$4:$E$7,3,0))+K3011*VLOOKUP($B3011,Premissas!$A$4:$E$7,4,0)+L3011*VLOOKUP($B3011,Premissas!$A$4:$E$7,5,0))</f>
        <v/>
      </c>
      <c r="N3011" s="14">
        <f>H3011-M3011</f>
        <v/>
      </c>
      <c r="O3011" t="inlineStr">
        <is>
          <t>Sim</t>
        </is>
      </c>
      <c r="P3011" t="inlineStr">
        <is>
          <t>2.556</t>
        </is>
      </c>
    </row>
    <row r="3012">
      <c r="A3012" s="24" t="n">
        <v>46113</v>
      </c>
      <c r="B3012" t="inlineStr">
        <is>
          <t>Insumos e papel</t>
        </is>
      </c>
      <c r="C3012" t="inlineStr">
        <is>
          <t>2.01.92 Compra de Tinta</t>
        </is>
      </c>
      <c r="D3012" t="inlineStr">
        <is>
          <t>NF-e</t>
        </is>
      </c>
      <c r="E3012" t="inlineStr">
        <is>
          <t>000003203</t>
        </is>
      </c>
      <c r="F3012" t="inlineStr">
        <is>
          <t>PRODUTOS, SERVICOS E TINTAS LATINOAMERICANOS PROYSA LTDA</t>
        </is>
      </c>
      <c r="G3012" s="27" t="n">
        <v>46114</v>
      </c>
      <c r="H3012" s="14" t="n">
        <v>13890.2</v>
      </c>
      <c r="I3012" s="14" t="n">
        <v>0</v>
      </c>
      <c r="J3012" s="14" t="n">
        <v>555.61</v>
      </c>
      <c r="K3012" s="14" t="n">
        <v>220.03</v>
      </c>
      <c r="L3012" s="14" t="n">
        <v>1013.43</v>
      </c>
      <c r="M3012" s="14">
        <f>IF(B3012="Frete de venda",0,(1-ISNUMBER(SEARCH("556",P3012)))*(I3012*VLOOKUP($B3012,Premissas!$A$4:$E$7,2,0)+J3012*VLOOKUP($B3012,Premissas!$A$4:$E$7,3,0))+K3012*VLOOKUP($B3012,Premissas!$A$4:$E$7,4,0)+L3012*VLOOKUP($B3012,Premissas!$A$4:$E$7,5,0))</f>
        <v/>
      </c>
      <c r="N3012" s="14">
        <f>H3012-M3012</f>
        <v/>
      </c>
      <c r="O3012" t="inlineStr">
        <is>
          <t>Sim</t>
        </is>
      </c>
      <c r="P3012" t="inlineStr">
        <is>
          <t>1.556</t>
        </is>
      </c>
    </row>
    <row r="3013">
      <c r="A3013" s="24" t="n">
        <v>46113</v>
      </c>
      <c r="B3013" t="inlineStr">
        <is>
          <t>Insumos e papel</t>
        </is>
      </c>
      <c r="C3013" t="inlineStr">
        <is>
          <t>2.01.93 Compra de Plástico Poliolefínico</t>
        </is>
      </c>
      <c r="D3013" t="inlineStr">
        <is>
          <t>NF-e</t>
        </is>
      </c>
      <c r="E3013" t="inlineStr">
        <is>
          <t>000008475</t>
        </is>
      </c>
      <c r="F3013" t="inlineStr">
        <is>
          <t>ALSTEK SOLUCOES EM EMBALAGENS LTDA</t>
        </is>
      </c>
      <c r="G3013" s="27" t="n">
        <v>46118</v>
      </c>
      <c r="H3013" s="14" t="n">
        <v>53406.23</v>
      </c>
      <c r="I3013" s="14" t="n">
        <v>6966.03</v>
      </c>
      <c r="J3013" s="14" t="n">
        <v>1857.61</v>
      </c>
      <c r="K3013" s="14" t="n">
        <v>289.79</v>
      </c>
      <c r="L3013" s="14" t="n">
        <v>1337.48</v>
      </c>
      <c r="M3013" s="14">
        <f>IF(B3013="Frete de venda",0,(1-ISNUMBER(SEARCH("556",P3013)))*(I3013*VLOOKUP($B3013,Premissas!$A$4:$E$7,2,0)+J3013*VLOOKUP($B3013,Premissas!$A$4:$E$7,3,0))+K3013*VLOOKUP($B3013,Premissas!$A$4:$E$7,4,0)+L3013*VLOOKUP($B3013,Premissas!$A$4:$E$7,5,0))</f>
        <v/>
      </c>
      <c r="N3013" s="14">
        <f>H3013-M3013</f>
        <v/>
      </c>
      <c r="O3013" t="inlineStr">
        <is>
          <t>Sim</t>
        </is>
      </c>
      <c r="P3013" t="inlineStr">
        <is>
          <t>2.101</t>
        </is>
      </c>
    </row>
    <row r="3014">
      <c r="A3014" s="24" t="n">
        <v>46113</v>
      </c>
      <c r="B3014" t="inlineStr">
        <is>
          <t>Insumos e papel</t>
        </is>
      </c>
      <c r="C3014" t="inlineStr">
        <is>
          <t>2.01.93 Compra de Plástico Poliolefínico</t>
        </is>
      </c>
      <c r="D3014" t="inlineStr">
        <is>
          <t>NF-e</t>
        </is>
      </c>
      <c r="E3014" t="inlineStr">
        <is>
          <t>000008494</t>
        </is>
      </c>
      <c r="F3014" t="inlineStr">
        <is>
          <t>ALSTEK SOLUCOES EM EMBALAGENS LTDA</t>
        </is>
      </c>
      <c r="G3014" s="27" t="n">
        <v>46121</v>
      </c>
      <c r="H3014" s="14" t="n">
        <v>71474.78999999999</v>
      </c>
      <c r="I3014" s="14" t="n">
        <v>9322.799999999999</v>
      </c>
      <c r="J3014" s="14" t="n">
        <v>2486.08</v>
      </c>
      <c r="K3014" s="14" t="n">
        <v>387.82</v>
      </c>
      <c r="L3014" s="14" t="n">
        <v>1789.99</v>
      </c>
      <c r="M3014" s="14">
        <f>IF(B3014="Frete de venda",0,(1-ISNUMBER(SEARCH("556",P3014)))*(I3014*VLOOKUP($B3014,Premissas!$A$4:$E$7,2,0)+J3014*VLOOKUP($B3014,Premissas!$A$4:$E$7,3,0))+K3014*VLOOKUP($B3014,Premissas!$A$4:$E$7,4,0)+L3014*VLOOKUP($B3014,Premissas!$A$4:$E$7,5,0))</f>
        <v/>
      </c>
      <c r="N3014" s="14">
        <f>H3014-M3014</f>
        <v/>
      </c>
      <c r="O3014" t="inlineStr">
        <is>
          <t>Sim</t>
        </is>
      </c>
      <c r="P3014" t="inlineStr">
        <is>
          <t>2.101</t>
        </is>
      </c>
    </row>
    <row r="3015">
      <c r="A3015" s="24" t="n">
        <v>46113</v>
      </c>
      <c r="B3015" t="inlineStr">
        <is>
          <t>Insumos e papel</t>
        </is>
      </c>
      <c r="C3015" t="inlineStr">
        <is>
          <t>2.01.94 Compra de Fita Adesiva</t>
        </is>
      </c>
      <c r="D3015" t="inlineStr">
        <is>
          <t>NF-e</t>
        </is>
      </c>
      <c r="E3015" t="inlineStr">
        <is>
          <t>000045604</t>
        </is>
      </c>
      <c r="F3015" t="inlineStr">
        <is>
          <t>ADERE PRODUTOS AUTO ADESIVOS LTDA</t>
        </is>
      </c>
      <c r="G3015" s="27" t="n">
        <v>46134</v>
      </c>
      <c r="H3015" s="14" t="n">
        <v>4698.29</v>
      </c>
      <c r="I3015" s="14" t="n">
        <v>147.89</v>
      </c>
      <c r="J3015" s="14" t="n">
        <v>563.79</v>
      </c>
      <c r="K3015" s="14" t="n">
        <v>65.78</v>
      </c>
      <c r="L3015" s="14" t="n">
        <v>302.98</v>
      </c>
      <c r="M3015" s="14">
        <f>IF(B3015="Frete de venda",0,(1-ISNUMBER(SEARCH("556",P3015)))*(I3015*VLOOKUP($B3015,Premissas!$A$4:$E$7,2,0)+J3015*VLOOKUP($B3015,Premissas!$A$4:$E$7,3,0))+K3015*VLOOKUP($B3015,Premissas!$A$4:$E$7,4,0)+L3015*VLOOKUP($B3015,Premissas!$A$4:$E$7,5,0))</f>
        <v/>
      </c>
      <c r="N3015" s="14">
        <f>H3015-M3015</f>
        <v/>
      </c>
      <c r="O3015" t="inlineStr">
        <is>
          <t>Sim</t>
        </is>
      </c>
      <c r="P3015" t="inlineStr">
        <is>
          <t>1.556</t>
        </is>
      </c>
    </row>
    <row r="3016">
      <c r="A3016" s="24" t="n">
        <v>46113</v>
      </c>
      <c r="B3016" t="inlineStr">
        <is>
          <t>Insumos e papel</t>
        </is>
      </c>
      <c r="C3016" t="inlineStr">
        <is>
          <t>2.01.94 Compra de Fita Adesiva</t>
        </is>
      </c>
      <c r="D3016" t="inlineStr">
        <is>
          <t>NF-e</t>
        </is>
      </c>
      <c r="E3016" t="inlineStr">
        <is>
          <t>000005791</t>
        </is>
      </c>
      <c r="F3016" t="inlineStr">
        <is>
          <t>ASSISTENPACK COMERCIAL E INDUSTRIAL LTDA</t>
        </is>
      </c>
      <c r="G3016" s="27" t="n">
        <v>46125</v>
      </c>
      <c r="H3016" s="14" t="n">
        <v>814.2</v>
      </c>
      <c r="I3016" s="14" t="n">
        <v>0</v>
      </c>
      <c r="J3016" s="14" t="n">
        <v>0</v>
      </c>
      <c r="K3016" s="14" t="n">
        <v>0</v>
      </c>
      <c r="L3016" s="14" t="n">
        <v>0</v>
      </c>
      <c r="M3016" s="14">
        <f>IF(B3016="Frete de venda",0,(1-ISNUMBER(SEARCH("556",P3016)))*(I3016*VLOOKUP($B3016,Premissas!$A$4:$E$7,2,0)+J3016*VLOOKUP($B3016,Premissas!$A$4:$E$7,3,0))+K3016*VLOOKUP($B3016,Premissas!$A$4:$E$7,4,0)+L3016*VLOOKUP($B3016,Premissas!$A$4:$E$7,5,0))</f>
        <v/>
      </c>
      <c r="N3016" s="14">
        <f>H3016-M3016</f>
        <v/>
      </c>
      <c r="O3016" t="inlineStr">
        <is>
          <t>Sim</t>
        </is>
      </c>
      <c r="P3016" t="inlineStr">
        <is>
          <t>1.101</t>
        </is>
      </c>
    </row>
    <row r="3017">
      <c r="A3017" s="24" t="n">
        <v>46113</v>
      </c>
      <c r="B3017" t="inlineStr">
        <is>
          <t>Insumos e papel</t>
        </is>
      </c>
      <c r="C3017" t="inlineStr">
        <is>
          <t>2.01.94 Compra de Fita Adesiva</t>
        </is>
      </c>
      <c r="D3017" t="inlineStr">
        <is>
          <t>NF-e</t>
        </is>
      </c>
      <c r="E3017" t="inlineStr">
        <is>
          <t>000013908</t>
        </is>
      </c>
      <c r="F3017" t="inlineStr">
        <is>
          <t>EDNA DE ARAUJO PACHECO LTDA</t>
        </is>
      </c>
      <c r="G3017" s="27" t="n">
        <v>46142</v>
      </c>
      <c r="H3017" s="14" t="n">
        <v>323.04</v>
      </c>
      <c r="I3017" s="14" t="n">
        <v>0</v>
      </c>
      <c r="J3017" s="14" t="n">
        <v>0</v>
      </c>
      <c r="K3017" s="14" t="n">
        <v>0</v>
      </c>
      <c r="L3017" s="14" t="n">
        <v>0</v>
      </c>
      <c r="M3017" s="14">
        <f>IF(B3017="Frete de venda",0,(1-ISNUMBER(SEARCH("556",P3017)))*(I3017*VLOOKUP($B3017,Premissas!$A$4:$E$7,2,0)+J3017*VLOOKUP($B3017,Premissas!$A$4:$E$7,3,0))+K3017*VLOOKUP($B3017,Premissas!$A$4:$E$7,4,0)+L3017*VLOOKUP($B3017,Premissas!$A$4:$E$7,5,0))</f>
        <v/>
      </c>
      <c r="N3017" s="14">
        <f>H3017-M3017</f>
        <v/>
      </c>
      <c r="O3017" t="inlineStr">
        <is>
          <t>Sim</t>
        </is>
      </c>
      <c r="P3017" t="inlineStr">
        <is>
          <t>1.556</t>
        </is>
      </c>
    </row>
    <row r="3018">
      <c r="A3018" s="24" t="n">
        <v>46113</v>
      </c>
      <c r="B3018" t="inlineStr">
        <is>
          <t>Insumos e papel</t>
        </is>
      </c>
      <c r="C3018" t="inlineStr">
        <is>
          <t>2.01.94 Compra de Fita Adesiva</t>
        </is>
      </c>
      <c r="D3018" t="inlineStr">
        <is>
          <t>NF-e</t>
        </is>
      </c>
      <c r="E3018" t="inlineStr">
        <is>
          <t>000000065</t>
        </is>
      </c>
      <c r="F3018" t="inlineStr">
        <is>
          <t>José Adriano da silva</t>
        </is>
      </c>
      <c r="G3018" s="27" t="n">
        <v>46142</v>
      </c>
      <c r="H3018" s="14" t="n">
        <v>2788</v>
      </c>
      <c r="I3018" s="14" t="n">
        <v>0</v>
      </c>
      <c r="J3018" s="14" t="n">
        <v>0</v>
      </c>
      <c r="K3018" s="14" t="n">
        <v>0</v>
      </c>
      <c r="L3018" s="14" t="n">
        <v>0</v>
      </c>
      <c r="M3018" s="14">
        <f>IF(B3018="Frete de venda",0,(1-ISNUMBER(SEARCH("556",P3018)))*(I3018*VLOOKUP($B3018,Premissas!$A$4:$E$7,2,0)+J3018*VLOOKUP($B3018,Premissas!$A$4:$E$7,3,0))+K3018*VLOOKUP($B3018,Premissas!$A$4:$E$7,4,0)+L3018*VLOOKUP($B3018,Premissas!$A$4:$E$7,5,0))</f>
        <v/>
      </c>
      <c r="N3018" s="14">
        <f>H3018-M3018</f>
        <v/>
      </c>
      <c r="O3018" t="inlineStr">
        <is>
          <t>Sim</t>
        </is>
      </c>
      <c r="P3018" t="inlineStr">
        <is>
          <t>1.556</t>
        </is>
      </c>
    </row>
    <row r="3019">
      <c r="A3019" s="24" t="n">
        <v>46113</v>
      </c>
      <c r="B3019" t="inlineStr">
        <is>
          <t>Insumos e papel</t>
        </is>
      </c>
      <c r="C3019" t="inlineStr">
        <is>
          <t>2.01.94 Compra de Fita Adesiva</t>
        </is>
      </c>
      <c r="D3019" t="inlineStr">
        <is>
          <t>NF-e</t>
        </is>
      </c>
      <c r="E3019" t="inlineStr">
        <is>
          <t>000000398</t>
        </is>
      </c>
      <c r="F3019" t="inlineStr">
        <is>
          <t>ODAFLEXO COMERCIO DE PRODUTOS FLEXOGRAFICOS LTDA</t>
        </is>
      </c>
      <c r="G3019" s="27" t="n">
        <v>46113</v>
      </c>
      <c r="H3019" s="14" t="n">
        <v>1300</v>
      </c>
      <c r="I3019" s="14" t="n">
        <v>0</v>
      </c>
      <c r="J3019" s="14" t="n">
        <v>0</v>
      </c>
      <c r="K3019" s="14" t="n">
        <v>0</v>
      </c>
      <c r="L3019" s="14" t="n">
        <v>0</v>
      </c>
      <c r="M3019" s="14">
        <f>IF(B3019="Frete de venda",0,(1-ISNUMBER(SEARCH("556",P3019)))*(I3019*VLOOKUP($B3019,Premissas!$A$4:$E$7,2,0)+J3019*VLOOKUP($B3019,Premissas!$A$4:$E$7,3,0))+K3019*VLOOKUP($B3019,Premissas!$A$4:$E$7,4,0)+L3019*VLOOKUP($B3019,Premissas!$A$4:$E$7,5,0))</f>
        <v/>
      </c>
      <c r="N3019" s="14">
        <f>H3019-M3019</f>
        <v/>
      </c>
      <c r="O3019" t="inlineStr">
        <is>
          <t>Sim</t>
        </is>
      </c>
      <c r="P3019" t="inlineStr">
        <is>
          <t>2.102</t>
        </is>
      </c>
    </row>
    <row r="3020">
      <c r="A3020" s="24" t="n">
        <v>46113</v>
      </c>
      <c r="B3020" t="inlineStr">
        <is>
          <t>Insumos e papel</t>
        </is>
      </c>
      <c r="C3020" t="inlineStr">
        <is>
          <t>2.01.95 Compra de Etiqueta</t>
        </is>
      </c>
      <c r="D3020" t="inlineStr">
        <is>
          <t>NF-e</t>
        </is>
      </c>
      <c r="E3020" t="inlineStr">
        <is>
          <t>000004403</t>
        </is>
      </c>
      <c r="F3020" t="inlineStr">
        <is>
          <t>GS BOBINAS E ETIQUETAS</t>
        </is>
      </c>
      <c r="G3020" s="27" t="n">
        <v>46113</v>
      </c>
      <c r="H3020" s="14" t="n">
        <v>9545.200000000001</v>
      </c>
      <c r="I3020" s="14" t="n">
        <v>0</v>
      </c>
      <c r="J3020" s="14" t="n">
        <v>1145.42</v>
      </c>
      <c r="K3020" s="14" t="n">
        <v>0</v>
      </c>
      <c r="L3020" s="14" t="n">
        <v>0</v>
      </c>
      <c r="M3020" s="14">
        <f>IF(B3020="Frete de venda",0,(1-ISNUMBER(SEARCH("556",P3020)))*(I3020*VLOOKUP($B3020,Premissas!$A$4:$E$7,2,0)+J3020*VLOOKUP($B3020,Premissas!$A$4:$E$7,3,0))+K3020*VLOOKUP($B3020,Premissas!$A$4:$E$7,4,0)+L3020*VLOOKUP($B3020,Premissas!$A$4:$E$7,5,0))</f>
        <v/>
      </c>
      <c r="N3020" s="14">
        <f>H3020-M3020</f>
        <v/>
      </c>
      <c r="O3020" t="inlineStr">
        <is>
          <t>Sim</t>
        </is>
      </c>
      <c r="P3020" t="inlineStr">
        <is>
          <t>2.102</t>
        </is>
      </c>
    </row>
    <row r="3021">
      <c r="A3021" s="24" t="n">
        <v>46113</v>
      </c>
      <c r="B3021" t="inlineStr">
        <is>
          <t>Insumos e papel</t>
        </is>
      </c>
      <c r="C3021" t="inlineStr">
        <is>
          <t>2.01.96 Compra de Cola</t>
        </is>
      </c>
      <c r="D3021" t="inlineStr">
        <is>
          <t>NF-e</t>
        </is>
      </c>
      <c r="E3021" t="inlineStr">
        <is>
          <t>000037125</t>
        </is>
      </c>
      <c r="F3021" t="inlineStr">
        <is>
          <t>COLAMID</t>
        </is>
      </c>
      <c r="G3021" s="27" t="n">
        <v>46118</v>
      </c>
      <c r="H3021" s="14" t="n">
        <v>50750</v>
      </c>
      <c r="I3021" s="14" t="n">
        <v>0</v>
      </c>
      <c r="J3021" s="14" t="n">
        <v>6090</v>
      </c>
      <c r="K3021" s="14" t="n">
        <v>0</v>
      </c>
      <c r="L3021" s="14" t="n">
        <v>0</v>
      </c>
      <c r="M3021" s="14">
        <f>IF(B3021="Frete de venda",0,(1-ISNUMBER(SEARCH("556",P3021)))*(I3021*VLOOKUP($B3021,Premissas!$A$4:$E$7,2,0)+J3021*VLOOKUP($B3021,Premissas!$A$4:$E$7,3,0))+K3021*VLOOKUP($B3021,Premissas!$A$4:$E$7,4,0)+L3021*VLOOKUP($B3021,Premissas!$A$4:$E$7,5,0))</f>
        <v/>
      </c>
      <c r="N3021" s="14">
        <f>H3021-M3021</f>
        <v/>
      </c>
      <c r="O3021" t="inlineStr">
        <is>
          <t>Sim</t>
        </is>
      </c>
      <c r="P3021" t="inlineStr">
        <is>
          <t>2.101</t>
        </is>
      </c>
    </row>
    <row r="3022">
      <c r="A3022" s="24" t="n">
        <v>46113</v>
      </c>
      <c r="B3022" t="inlineStr">
        <is>
          <t>Insumos e papel</t>
        </is>
      </c>
      <c r="C3022" t="inlineStr">
        <is>
          <t>2.01.96 Compra de Cola</t>
        </is>
      </c>
      <c r="D3022" t="inlineStr">
        <is>
          <t>NF-e</t>
        </is>
      </c>
      <c r="E3022" t="inlineStr">
        <is>
          <t>000037276</t>
        </is>
      </c>
      <c r="F3022" t="inlineStr">
        <is>
          <t>COLAMID</t>
        </is>
      </c>
      <c r="G3022" s="27" t="n">
        <v>46136</v>
      </c>
      <c r="H3022" s="14" t="n">
        <v>25340</v>
      </c>
      <c r="I3022" s="14" t="n">
        <v>0</v>
      </c>
      <c r="J3022" s="14" t="n">
        <v>3040.8</v>
      </c>
      <c r="K3022" s="14" t="n">
        <v>0</v>
      </c>
      <c r="L3022" s="14" t="n">
        <v>0</v>
      </c>
      <c r="M3022" s="14">
        <f>IF(B3022="Frete de venda",0,(1-ISNUMBER(SEARCH("556",P3022)))*(I3022*VLOOKUP($B3022,Premissas!$A$4:$E$7,2,0)+J3022*VLOOKUP($B3022,Premissas!$A$4:$E$7,3,0))+K3022*VLOOKUP($B3022,Premissas!$A$4:$E$7,4,0)+L3022*VLOOKUP($B3022,Premissas!$A$4:$E$7,5,0))</f>
        <v/>
      </c>
      <c r="N3022" s="14">
        <f>H3022-M3022</f>
        <v/>
      </c>
      <c r="O3022" t="inlineStr">
        <is>
          <t>Sim</t>
        </is>
      </c>
      <c r="P3022" t="inlineStr">
        <is>
          <t>2.101</t>
        </is>
      </c>
    </row>
    <row r="3023">
      <c r="A3023" s="24" t="n">
        <v>46113</v>
      </c>
      <c r="B3023" t="inlineStr">
        <is>
          <t>Insumos e papel</t>
        </is>
      </c>
      <c r="C3023" t="inlineStr">
        <is>
          <t>2.01.96 Compra de Cola</t>
        </is>
      </c>
      <c r="D3023" t="inlineStr">
        <is>
          <t>NF-e</t>
        </is>
      </c>
      <c r="E3023" t="inlineStr">
        <is>
          <t>000021475</t>
        </is>
      </c>
      <c r="F3023" t="inlineStr">
        <is>
          <t>REQUIM PRODUTOS QUIMICOS LTDA</t>
        </is>
      </c>
      <c r="G3023" s="27" t="n">
        <v>46113</v>
      </c>
      <c r="H3023" s="14" t="n">
        <v>54000</v>
      </c>
      <c r="I3023" s="14" t="n">
        <v>0</v>
      </c>
      <c r="J3023" s="14" t="n">
        <v>2160</v>
      </c>
      <c r="K3023" s="14" t="n">
        <v>336.96</v>
      </c>
      <c r="L3023" s="14" t="n">
        <v>1555.2</v>
      </c>
      <c r="M3023" s="14">
        <f>IF(B3023="Frete de venda",0,(1-ISNUMBER(SEARCH("556",P3023)))*(I3023*VLOOKUP($B3023,Premissas!$A$4:$E$7,2,0)+J3023*VLOOKUP($B3023,Premissas!$A$4:$E$7,3,0))+K3023*VLOOKUP($B3023,Premissas!$A$4:$E$7,4,0)+L3023*VLOOKUP($B3023,Premissas!$A$4:$E$7,5,0))</f>
        <v/>
      </c>
      <c r="N3023" s="14">
        <f>H3023-M3023</f>
        <v/>
      </c>
      <c r="O3023" t="inlineStr">
        <is>
          <t>Sim</t>
        </is>
      </c>
      <c r="P3023" t="inlineStr">
        <is>
          <t>2.101</t>
        </is>
      </c>
    </row>
    <row r="3024">
      <c r="A3024" s="24" t="n">
        <v>46113</v>
      </c>
      <c r="B3024" t="inlineStr">
        <is>
          <t>Insumos e papel</t>
        </is>
      </c>
      <c r="C3024" t="inlineStr">
        <is>
          <t>2.01.97 Compra de Clichê</t>
        </is>
      </c>
      <c r="D3024" t="inlineStr">
        <is>
          <t>NF-e</t>
        </is>
      </c>
      <c r="E3024" t="inlineStr">
        <is>
          <t>000002825</t>
        </is>
      </c>
      <c r="F3024" t="inlineStr">
        <is>
          <t>BAHIA CLICHERIA LTDA</t>
        </is>
      </c>
      <c r="G3024" s="27" t="n">
        <v>46132</v>
      </c>
      <c r="H3024" s="14" t="n">
        <v>1340.26</v>
      </c>
      <c r="I3024" s="14" t="n">
        <v>0</v>
      </c>
      <c r="J3024" s="14" t="n">
        <v>0</v>
      </c>
      <c r="K3024" s="14" t="n">
        <v>0</v>
      </c>
      <c r="L3024" s="14" t="n">
        <v>0</v>
      </c>
      <c r="M3024" s="14">
        <f>IF(B3024="Frete de venda",0,(1-ISNUMBER(SEARCH("556",P3024)))*(I3024*VLOOKUP($B3024,Premissas!$A$4:$E$7,2,0)+J3024*VLOOKUP($B3024,Premissas!$A$4:$E$7,3,0))+K3024*VLOOKUP($B3024,Premissas!$A$4:$E$7,4,0)+L3024*VLOOKUP($B3024,Premissas!$A$4:$E$7,5,0))</f>
        <v/>
      </c>
      <c r="N3024" s="14">
        <f>H3024-M3024</f>
        <v/>
      </c>
      <c r="O3024" t="inlineStr">
        <is>
          <t>Sim</t>
        </is>
      </c>
      <c r="P3024" t="inlineStr">
        <is>
          <t>2.101</t>
        </is>
      </c>
    </row>
    <row r="3025">
      <c r="A3025" s="24" t="n">
        <v>46113</v>
      </c>
      <c r="B3025" t="inlineStr">
        <is>
          <t>Insumos e papel</t>
        </is>
      </c>
      <c r="C3025" t="inlineStr">
        <is>
          <t>2.01.97 Compra de Clichê</t>
        </is>
      </c>
      <c r="D3025" t="inlineStr">
        <is>
          <t>NF-e</t>
        </is>
      </c>
      <c r="E3025" t="inlineStr">
        <is>
          <t>000002923</t>
        </is>
      </c>
      <c r="F3025" t="inlineStr">
        <is>
          <t>BAHIA CLICHERIA LTDA</t>
        </is>
      </c>
      <c r="G3025" s="27" t="n">
        <v>46142</v>
      </c>
      <c r="H3025" s="14" t="n">
        <v>10320.44</v>
      </c>
      <c r="I3025" s="14" t="n">
        <v>0</v>
      </c>
      <c r="J3025" s="14" t="n">
        <v>0</v>
      </c>
      <c r="K3025" s="14" t="n">
        <v>0</v>
      </c>
      <c r="L3025" s="14" t="n">
        <v>0</v>
      </c>
      <c r="M3025" s="14">
        <f>IF(B3025="Frete de venda",0,(1-ISNUMBER(SEARCH("556",P3025)))*(I3025*VLOOKUP($B3025,Premissas!$A$4:$E$7,2,0)+J3025*VLOOKUP($B3025,Premissas!$A$4:$E$7,3,0))+K3025*VLOOKUP($B3025,Premissas!$A$4:$E$7,4,0)+L3025*VLOOKUP($B3025,Premissas!$A$4:$E$7,5,0))</f>
        <v/>
      </c>
      <c r="N3025" s="14">
        <f>H3025-M3025</f>
        <v/>
      </c>
      <c r="O3025" t="inlineStr">
        <is>
          <t>Sim</t>
        </is>
      </c>
      <c r="P3025" t="inlineStr">
        <is>
          <t>2.556</t>
        </is>
      </c>
    </row>
    <row r="3026">
      <c r="A3026" s="24" t="n">
        <v>46113</v>
      </c>
      <c r="B3026" t="inlineStr">
        <is>
          <t>Insumos e papel</t>
        </is>
      </c>
      <c r="C3026" t="inlineStr">
        <is>
          <t>2.01.97 Compra de Clichê</t>
        </is>
      </c>
      <c r="D3026" t="inlineStr">
        <is>
          <t>NF-e</t>
        </is>
      </c>
      <c r="E3026" t="inlineStr">
        <is>
          <t>000037625</t>
        </is>
      </c>
      <c r="F3026" t="inlineStr">
        <is>
          <t>DELINEAR BAHIA CLICHERIA LTDA</t>
        </is>
      </c>
      <c r="G3026" s="27" t="n">
        <v>46132</v>
      </c>
      <c r="H3026" s="14" t="n">
        <v>621.1</v>
      </c>
      <c r="I3026" s="14" t="n">
        <v>0</v>
      </c>
      <c r="J3026" s="14" t="n">
        <v>0</v>
      </c>
      <c r="K3026" s="14" t="n">
        <v>0</v>
      </c>
      <c r="L3026" s="14" t="n">
        <v>0</v>
      </c>
      <c r="M3026" s="14">
        <f>IF(B3026="Frete de venda",0,(1-ISNUMBER(SEARCH("556",P3026)))*(I3026*VLOOKUP($B3026,Premissas!$A$4:$E$7,2,0)+J3026*VLOOKUP($B3026,Premissas!$A$4:$E$7,3,0))+K3026*VLOOKUP($B3026,Premissas!$A$4:$E$7,4,0)+L3026*VLOOKUP($B3026,Premissas!$A$4:$E$7,5,0))</f>
        <v/>
      </c>
      <c r="N3026" s="14">
        <f>H3026-M3026</f>
        <v/>
      </c>
      <c r="O3026" t="inlineStr">
        <is>
          <t>Sim</t>
        </is>
      </c>
      <c r="P3026" t="inlineStr">
        <is>
          <t>2.101</t>
        </is>
      </c>
    </row>
    <row r="3027">
      <c r="A3027" s="24" t="n">
        <v>46113</v>
      </c>
      <c r="B3027" t="inlineStr">
        <is>
          <t>Insumos e papel</t>
        </is>
      </c>
      <c r="C3027" t="inlineStr">
        <is>
          <t>2.01.99 Compra de Caixas</t>
        </is>
      </c>
      <c r="D3027" t="inlineStr">
        <is>
          <t>NF-e</t>
        </is>
      </c>
      <c r="E3027" t="inlineStr">
        <is>
          <t>000014490</t>
        </is>
      </c>
      <c r="F3027" t="inlineStr">
        <is>
          <t>NOVA CONPEL COMPANHIA NORDESTINA DE PAPEL LTDA</t>
        </is>
      </c>
      <c r="G3027" s="27" t="n">
        <v>46135</v>
      </c>
      <c r="H3027" s="14" t="n">
        <v>9204.24</v>
      </c>
      <c r="I3027" s="14" t="n">
        <v>1200.55</v>
      </c>
      <c r="J3027" s="14" t="n">
        <v>1600.73</v>
      </c>
      <c r="K3027" s="14" t="n">
        <v>105.65</v>
      </c>
      <c r="L3027" s="14" t="n">
        <v>486.62</v>
      </c>
      <c r="M3027" s="14">
        <f>IF(B3027="Frete de venda",0,(1-ISNUMBER(SEARCH("556",P3027)))*(I3027*VLOOKUP($B3027,Premissas!$A$4:$E$7,2,0)+J3027*VLOOKUP($B3027,Premissas!$A$4:$E$7,3,0))+K3027*VLOOKUP($B3027,Premissas!$A$4:$E$7,4,0)+L3027*VLOOKUP($B3027,Premissas!$A$4:$E$7,5,0))</f>
        <v/>
      </c>
      <c r="N3027" s="14">
        <f>H3027-M3027</f>
        <v/>
      </c>
      <c r="O3027" t="inlineStr">
        <is>
          <t>Sim</t>
        </is>
      </c>
      <c r="P3027" t="inlineStr">
        <is>
          <t>1.556</t>
        </is>
      </c>
    </row>
    <row r="3028">
      <c r="A3028" s="24" t="n">
        <v>46113</v>
      </c>
      <c r="B3028" t="inlineStr">
        <is>
          <t>Insumos e papel</t>
        </is>
      </c>
      <c r="C3028" t="inlineStr">
        <is>
          <t>2.01.99 Compra de Caixas</t>
        </is>
      </c>
      <c r="D3028" t="inlineStr">
        <is>
          <t>NF-e</t>
        </is>
      </c>
      <c r="E3028" t="inlineStr">
        <is>
          <t>000014635</t>
        </is>
      </c>
      <c r="F3028" t="inlineStr">
        <is>
          <t>NOVA CONPEL COMPANHIA NORDESTINA DE PAPEL LTDA</t>
        </is>
      </c>
      <c r="G3028" s="27" t="n">
        <v>46141</v>
      </c>
      <c r="H3028" s="14" t="n">
        <v>25693.66</v>
      </c>
      <c r="I3028" s="14" t="n">
        <v>3351.34</v>
      </c>
      <c r="J3028" s="14" t="n">
        <v>4468.46</v>
      </c>
      <c r="K3028" s="14" t="n">
        <v>294.92</v>
      </c>
      <c r="L3028" s="14" t="n">
        <v>1358.41</v>
      </c>
      <c r="M3028" s="14">
        <f>IF(B3028="Frete de venda",0,(1-ISNUMBER(SEARCH("556",P3028)))*(I3028*VLOOKUP($B3028,Premissas!$A$4:$E$7,2,0)+J3028*VLOOKUP($B3028,Premissas!$A$4:$E$7,3,0))+K3028*VLOOKUP($B3028,Premissas!$A$4:$E$7,4,0)+L3028*VLOOKUP($B3028,Premissas!$A$4:$E$7,5,0))</f>
        <v/>
      </c>
      <c r="N3028" s="14">
        <f>H3028-M3028</f>
        <v/>
      </c>
      <c r="O3028" t="inlineStr">
        <is>
          <t>Sim</t>
        </is>
      </c>
      <c r="P3028" t="inlineStr">
        <is>
          <t>1.556</t>
        </is>
      </c>
    </row>
    <row r="3029">
      <c r="A3029" s="24" t="n">
        <v>46113</v>
      </c>
      <c r="B3029" t="inlineStr">
        <is>
          <t>Insumos e papel</t>
        </is>
      </c>
      <c r="C3029" t="inlineStr">
        <is>
          <t>2.01.99 Compra de Caixas</t>
        </is>
      </c>
      <c r="D3029" t="inlineStr">
        <is>
          <t>NF-e</t>
        </is>
      </c>
      <c r="E3029" t="inlineStr">
        <is>
          <t>000014642</t>
        </is>
      </c>
      <c r="F3029" t="inlineStr">
        <is>
          <t>NOVA CONPEL COMPANHIA NORDESTINA DE PAPEL LTDA</t>
        </is>
      </c>
      <c r="G3029" s="27" t="n">
        <v>46142</v>
      </c>
      <c r="H3029" s="14" t="n">
        <v>4497.7</v>
      </c>
      <c r="I3029" s="14" t="n">
        <v>586.65</v>
      </c>
      <c r="J3029" s="14" t="n">
        <v>782.21</v>
      </c>
      <c r="K3029" s="14" t="n">
        <v>51.63</v>
      </c>
      <c r="L3029" s="14" t="n">
        <v>237.79</v>
      </c>
      <c r="M3029" s="14">
        <f>IF(B3029="Frete de venda",0,(1-ISNUMBER(SEARCH("556",P3029)))*(I3029*VLOOKUP($B3029,Premissas!$A$4:$E$7,2,0)+J3029*VLOOKUP($B3029,Premissas!$A$4:$E$7,3,0))+K3029*VLOOKUP($B3029,Premissas!$A$4:$E$7,4,0)+L3029*VLOOKUP($B3029,Premissas!$A$4:$E$7,5,0))</f>
        <v/>
      </c>
      <c r="N3029" s="14">
        <f>H3029-M3029</f>
        <v/>
      </c>
      <c r="O3029" t="inlineStr">
        <is>
          <t>Sim</t>
        </is>
      </c>
      <c r="P3029" t="inlineStr">
        <is>
          <t>1.556</t>
        </is>
      </c>
    </row>
    <row r="3030">
      <c r="A3030" s="24" t="n">
        <v>46113</v>
      </c>
      <c r="B3030" t="inlineStr">
        <is>
          <t>Uso e consumo</t>
        </is>
      </c>
      <c r="C3030" t="inlineStr">
        <is>
          <t>2.03.88 Compra de Fardamento</t>
        </is>
      </c>
      <c r="D3030" t="inlineStr">
        <is>
          <t>NF-e</t>
        </is>
      </c>
      <c r="E3030" t="inlineStr">
        <is>
          <t>000771993</t>
        </is>
      </c>
      <c r="F3030" t="inlineStr">
        <is>
          <t>MIRANTE IND. E COM. EIRELI - ME</t>
        </is>
      </c>
      <c r="G3030" s="27" t="n">
        <v>46134</v>
      </c>
      <c r="H3030" s="14" t="n">
        <v>4620</v>
      </c>
      <c r="I3030" s="14" t="n">
        <v>0</v>
      </c>
      <c r="J3030" s="14" t="n">
        <v>323.4</v>
      </c>
      <c r="K3030" s="14" t="n">
        <v>27.92</v>
      </c>
      <c r="L3030" s="14" t="n">
        <v>128.9</v>
      </c>
      <c r="M3030" s="14">
        <f>IF(B3030="Frete de venda",0,(1-ISNUMBER(SEARCH("556",P3030)))*(I3030*VLOOKUP($B3030,Premissas!$A$4:$E$7,2,0)+J3030*VLOOKUP($B3030,Premissas!$A$4:$E$7,3,0))+K3030*VLOOKUP($B3030,Premissas!$A$4:$E$7,4,0)+L3030*VLOOKUP($B3030,Premissas!$A$4:$E$7,5,0))</f>
        <v/>
      </c>
      <c r="N3030" s="14">
        <f>H3030-M3030</f>
        <v/>
      </c>
      <c r="O3030" t="inlineStr">
        <is>
          <t>Sim</t>
        </is>
      </c>
      <c r="P3030" t="inlineStr">
        <is>
          <t>2.556</t>
        </is>
      </c>
    </row>
    <row r="3031">
      <c r="A3031" s="24" t="n">
        <v>46113</v>
      </c>
      <c r="B3031" t="inlineStr">
        <is>
          <t>Uso e consumo</t>
        </is>
      </c>
      <c r="C3031" t="inlineStr">
        <is>
          <t>2.03.90 Compra de EPI</t>
        </is>
      </c>
      <c r="D3031" t="inlineStr">
        <is>
          <t>NF-e</t>
        </is>
      </c>
      <c r="E3031" t="inlineStr">
        <is>
          <t>000120232</t>
        </is>
      </c>
      <c r="F3031" t="inlineStr">
        <is>
          <t>SEGURA COM DE EQUP. DE PROTECAO LTDA</t>
        </is>
      </c>
      <c r="G3031" s="27" t="n">
        <v>46114</v>
      </c>
      <c r="H3031" s="14" t="n">
        <v>2280.29</v>
      </c>
      <c r="I3031" s="14" t="n">
        <v>0</v>
      </c>
      <c r="J3031" s="14" t="n">
        <v>456.06</v>
      </c>
      <c r="K3031" s="14" t="n">
        <v>30.11</v>
      </c>
      <c r="L3031" s="14" t="n">
        <v>138.64</v>
      </c>
      <c r="M3031" s="14">
        <f>IF(B3031="Frete de venda",0,(1-ISNUMBER(SEARCH("556",P3031)))*(I3031*VLOOKUP($B3031,Premissas!$A$4:$E$7,2,0)+J3031*VLOOKUP($B3031,Premissas!$A$4:$E$7,3,0))+K3031*VLOOKUP($B3031,Premissas!$A$4:$E$7,4,0)+L3031*VLOOKUP($B3031,Premissas!$A$4:$E$7,5,0))</f>
        <v/>
      </c>
      <c r="N3031" s="14">
        <f>H3031-M3031</f>
        <v/>
      </c>
      <c r="O3031" t="inlineStr">
        <is>
          <t>Sim</t>
        </is>
      </c>
      <c r="P3031" t="inlineStr">
        <is>
          <t>1.556</t>
        </is>
      </c>
    </row>
    <row r="3032">
      <c r="A3032" s="24" t="n">
        <v>46113</v>
      </c>
      <c r="B3032" t="inlineStr">
        <is>
          <t>Uso e consumo</t>
        </is>
      </c>
      <c r="C3032" t="inlineStr">
        <is>
          <t>2.04.06 Material de Escritório</t>
        </is>
      </c>
      <c r="D3032" t="inlineStr">
        <is>
          <t>NF-e</t>
        </is>
      </c>
      <c r="E3032" t="inlineStr">
        <is>
          <t>112468375</t>
        </is>
      </c>
      <c r="F3032" t="inlineStr">
        <is>
          <t>Ebazar.com.br. ltda</t>
        </is>
      </c>
      <c r="G3032" s="27" t="n">
        <v>46114</v>
      </c>
      <c r="H3032" s="14" t="n">
        <v>284.4</v>
      </c>
      <c r="I3032" s="14" t="n">
        <v>0</v>
      </c>
      <c r="J3032" s="14" t="n">
        <v>0</v>
      </c>
      <c r="K3032" s="14" t="n">
        <v>0</v>
      </c>
      <c r="L3032" s="14" t="n">
        <v>0</v>
      </c>
      <c r="M3032" s="14">
        <f>IF(B3032="Frete de venda",0,(1-ISNUMBER(SEARCH("556",P3032)))*(I3032*VLOOKUP($B3032,Premissas!$A$4:$E$7,2,0)+J3032*VLOOKUP($B3032,Premissas!$A$4:$E$7,3,0))+K3032*VLOOKUP($B3032,Premissas!$A$4:$E$7,4,0)+L3032*VLOOKUP($B3032,Premissas!$A$4:$E$7,5,0))</f>
        <v/>
      </c>
      <c r="N3032" s="14">
        <f>H3032-M3032</f>
        <v/>
      </c>
      <c r="O3032" t="inlineStr">
        <is>
          <t>Sim</t>
        </is>
      </c>
      <c r="P3032" t="inlineStr">
        <is>
          <t>1.556</t>
        </is>
      </c>
    </row>
    <row r="3033">
      <c r="A3033" s="24" t="n">
        <v>46113</v>
      </c>
      <c r="B3033" t="inlineStr">
        <is>
          <t>Uso e consumo</t>
        </is>
      </c>
      <c r="C3033" t="inlineStr">
        <is>
          <t>2.04.06 Material de Escritório</t>
        </is>
      </c>
      <c r="D3033" t="inlineStr">
        <is>
          <t>NF-e</t>
        </is>
      </c>
      <c r="E3033" t="inlineStr">
        <is>
          <t>114476363</t>
        </is>
      </c>
      <c r="F3033" t="inlineStr">
        <is>
          <t>Ebazar.com.br. ltda</t>
        </is>
      </c>
      <c r="G3033" s="27" t="n">
        <v>46123</v>
      </c>
      <c r="H3033" s="14" t="n">
        <v>69.98</v>
      </c>
      <c r="I3033" s="14" t="n">
        <v>0</v>
      </c>
      <c r="J3033" s="14" t="n">
        <v>0</v>
      </c>
      <c r="K3033" s="14" t="n">
        <v>0</v>
      </c>
      <c r="L3033" s="14" t="n">
        <v>0</v>
      </c>
      <c r="M3033" s="14">
        <f>IF(B3033="Frete de venda",0,(1-ISNUMBER(SEARCH("556",P3033)))*(I3033*VLOOKUP($B3033,Premissas!$A$4:$E$7,2,0)+J3033*VLOOKUP($B3033,Premissas!$A$4:$E$7,3,0))+K3033*VLOOKUP($B3033,Premissas!$A$4:$E$7,4,0)+L3033*VLOOKUP($B3033,Premissas!$A$4:$E$7,5,0))</f>
        <v/>
      </c>
      <c r="N3033" s="14">
        <f>H3033-M3033</f>
        <v/>
      </c>
      <c r="O3033" t="inlineStr">
        <is>
          <t>Sim</t>
        </is>
      </c>
      <c r="P3033" t="inlineStr">
        <is>
          <t>1.556</t>
        </is>
      </c>
    </row>
    <row r="3034">
      <c r="A3034" s="24" t="n">
        <v>46113</v>
      </c>
      <c r="B3034" t="inlineStr">
        <is>
          <t>Uso e consumo</t>
        </is>
      </c>
      <c r="C3034" t="inlineStr">
        <is>
          <t>2.04.06 Material de Escritório</t>
        </is>
      </c>
      <c r="D3034" t="inlineStr">
        <is>
          <t>NF-e</t>
        </is>
      </c>
      <c r="E3034" t="inlineStr">
        <is>
          <t>000000930</t>
        </is>
      </c>
      <c r="F3034" t="inlineStr">
        <is>
          <t>Limptech Paper Comercio Ltda</t>
        </is>
      </c>
      <c r="G3034" s="27" t="n">
        <v>46119</v>
      </c>
      <c r="H3034" s="14" t="n">
        <v>1846.6</v>
      </c>
      <c r="I3034" s="14" t="n">
        <v>0</v>
      </c>
      <c r="J3034" s="14" t="n">
        <v>0</v>
      </c>
      <c r="K3034" s="14" t="n">
        <v>0</v>
      </c>
      <c r="L3034" s="14" t="n">
        <v>0</v>
      </c>
      <c r="M3034" s="14">
        <f>IF(B3034="Frete de venda",0,(1-ISNUMBER(SEARCH("556",P3034)))*(I3034*VLOOKUP($B3034,Premissas!$A$4:$E$7,2,0)+J3034*VLOOKUP($B3034,Premissas!$A$4:$E$7,3,0))+K3034*VLOOKUP($B3034,Premissas!$A$4:$E$7,4,0)+L3034*VLOOKUP($B3034,Premissas!$A$4:$E$7,5,0))</f>
        <v/>
      </c>
      <c r="N3034" s="14">
        <f>H3034-M3034</f>
        <v/>
      </c>
      <c r="O3034" t="inlineStr">
        <is>
          <t>Sim</t>
        </is>
      </c>
      <c r="P3034" t="inlineStr">
        <is>
          <t>1.556</t>
        </is>
      </c>
    </row>
    <row r="3035">
      <c r="A3035" s="24" t="n">
        <v>46113</v>
      </c>
      <c r="B3035" t="inlineStr">
        <is>
          <t>Uso e consumo</t>
        </is>
      </c>
      <c r="C3035" t="inlineStr">
        <is>
          <t>2.04.06 Material de Escritório</t>
        </is>
      </c>
      <c r="D3035" t="inlineStr">
        <is>
          <t>NF-e</t>
        </is>
      </c>
      <c r="E3035" t="inlineStr">
        <is>
          <t>000000970</t>
        </is>
      </c>
      <c r="F3035" t="inlineStr">
        <is>
          <t>Limptech Paper Comercio Ltda</t>
        </is>
      </c>
      <c r="G3035" s="27" t="n">
        <v>46132</v>
      </c>
      <c r="H3035" s="14" t="n">
        <v>1299.7</v>
      </c>
      <c r="I3035" s="14" t="n">
        <v>0</v>
      </c>
      <c r="J3035" s="14" t="n">
        <v>0</v>
      </c>
      <c r="K3035" s="14" t="n">
        <v>0</v>
      </c>
      <c r="L3035" s="14" t="n">
        <v>0</v>
      </c>
      <c r="M3035" s="14">
        <f>IF(B3035="Frete de venda",0,(1-ISNUMBER(SEARCH("556",P3035)))*(I3035*VLOOKUP($B3035,Premissas!$A$4:$E$7,2,0)+J3035*VLOOKUP($B3035,Premissas!$A$4:$E$7,3,0))+K3035*VLOOKUP($B3035,Premissas!$A$4:$E$7,4,0)+L3035*VLOOKUP($B3035,Premissas!$A$4:$E$7,5,0))</f>
        <v/>
      </c>
      <c r="N3035" s="14">
        <f>H3035-M3035</f>
        <v/>
      </c>
      <c r="O3035" t="inlineStr">
        <is>
          <t>Sim</t>
        </is>
      </c>
      <c r="P3035" t="inlineStr">
        <is>
          <t>1.102</t>
        </is>
      </c>
    </row>
    <row r="3036">
      <c r="A3036" s="24" t="n">
        <v>46113</v>
      </c>
      <c r="B3036" t="inlineStr">
        <is>
          <t>Uso e consumo</t>
        </is>
      </c>
      <c r="C3036" t="inlineStr">
        <is>
          <t>2.04.91 Compra de Material de Limpeza</t>
        </is>
      </c>
      <c r="D3036" t="inlineStr">
        <is>
          <t>NF-e</t>
        </is>
      </c>
      <c r="E3036" t="inlineStr">
        <is>
          <t>000000916</t>
        </is>
      </c>
      <c r="F3036" t="inlineStr">
        <is>
          <t>Limptech Paper Comercio Ltda</t>
        </is>
      </c>
      <c r="G3036" s="27" t="n">
        <v>46114</v>
      </c>
      <c r="H3036" s="14" t="n">
        <v>1653.8</v>
      </c>
      <c r="I3036" s="14" t="n">
        <v>0</v>
      </c>
      <c r="J3036" s="14" t="n">
        <v>0</v>
      </c>
      <c r="K3036" s="14" t="n">
        <v>0</v>
      </c>
      <c r="L3036" s="14" t="n">
        <v>0</v>
      </c>
      <c r="M3036" s="14">
        <f>IF(B3036="Frete de venda",0,(1-ISNUMBER(SEARCH("556",P3036)))*(I3036*VLOOKUP($B3036,Premissas!$A$4:$E$7,2,0)+J3036*VLOOKUP($B3036,Premissas!$A$4:$E$7,3,0))+K3036*VLOOKUP($B3036,Premissas!$A$4:$E$7,4,0)+L3036*VLOOKUP($B3036,Premissas!$A$4:$E$7,5,0))</f>
        <v/>
      </c>
      <c r="N3036" s="14">
        <f>H3036-M3036</f>
        <v/>
      </c>
      <c r="O3036" t="inlineStr">
        <is>
          <t>Sim</t>
        </is>
      </c>
      <c r="P3036" t="inlineStr">
        <is>
          <t>1.556</t>
        </is>
      </c>
    </row>
    <row r="3037">
      <c r="A3037" s="24" t="n">
        <v>46113</v>
      </c>
      <c r="B3037" t="inlineStr">
        <is>
          <t>Uso e consumo</t>
        </is>
      </c>
      <c r="C3037" t="inlineStr">
        <is>
          <t>2.04.91 Compra de Material de Limpeza</t>
        </is>
      </c>
      <c r="D3037" t="inlineStr">
        <is>
          <t>NF-e</t>
        </is>
      </c>
      <c r="E3037" t="inlineStr">
        <is>
          <t>000000918</t>
        </is>
      </c>
      <c r="F3037" t="inlineStr">
        <is>
          <t>Limptech Paper Comercio Ltda</t>
        </is>
      </c>
      <c r="G3037" s="27" t="n">
        <v>46114</v>
      </c>
      <c r="H3037" s="14" t="n">
        <v>2156.8</v>
      </c>
      <c r="I3037" s="14" t="n">
        <v>0</v>
      </c>
      <c r="J3037" s="14" t="n">
        <v>0</v>
      </c>
      <c r="K3037" s="14" t="n">
        <v>0</v>
      </c>
      <c r="L3037" s="14" t="n">
        <v>0</v>
      </c>
      <c r="M3037" s="14">
        <f>IF(B3037="Frete de venda",0,(1-ISNUMBER(SEARCH("556",P3037)))*(I3037*VLOOKUP($B3037,Premissas!$A$4:$E$7,2,0)+J3037*VLOOKUP($B3037,Premissas!$A$4:$E$7,3,0))+K3037*VLOOKUP($B3037,Premissas!$A$4:$E$7,4,0)+L3037*VLOOKUP($B3037,Premissas!$A$4:$E$7,5,0))</f>
        <v/>
      </c>
      <c r="N3037" s="14">
        <f>H3037-M3037</f>
        <v/>
      </c>
      <c r="O3037" t="inlineStr">
        <is>
          <t>Sim</t>
        </is>
      </c>
      <c r="P3037" t="inlineStr">
        <is>
          <t>1.556</t>
        </is>
      </c>
    </row>
    <row r="3038">
      <c r="A3038" s="24" t="n">
        <v>46113</v>
      </c>
      <c r="B3038" t="inlineStr">
        <is>
          <t>Uso e consumo</t>
        </is>
      </c>
      <c r="C3038" t="inlineStr">
        <is>
          <t>2.04.91 Compra de Material de Limpeza</t>
        </is>
      </c>
      <c r="D3038" t="inlineStr">
        <is>
          <t>NF-e</t>
        </is>
      </c>
      <c r="E3038" t="inlineStr">
        <is>
          <t>000000640</t>
        </is>
      </c>
      <c r="F3038" t="inlineStr">
        <is>
          <t>SUZANNY SILVINO LEMOS</t>
        </is>
      </c>
      <c r="G3038" s="27" t="n">
        <v>46142</v>
      </c>
      <c r="H3038" s="14" t="n">
        <v>208</v>
      </c>
      <c r="I3038" s="14" t="n">
        <v>0</v>
      </c>
      <c r="J3038" s="14" t="n">
        <v>0</v>
      </c>
      <c r="K3038" s="14" t="n">
        <v>0</v>
      </c>
      <c r="L3038" s="14" t="n">
        <v>0</v>
      </c>
      <c r="M3038" s="14">
        <f>IF(B3038="Frete de venda",0,(1-ISNUMBER(SEARCH("556",P3038)))*(I3038*VLOOKUP($B3038,Premissas!$A$4:$E$7,2,0)+J3038*VLOOKUP($B3038,Premissas!$A$4:$E$7,3,0))+K3038*VLOOKUP($B3038,Premissas!$A$4:$E$7,4,0)+L3038*VLOOKUP($B3038,Premissas!$A$4:$E$7,5,0))</f>
        <v/>
      </c>
      <c r="N3038" s="14">
        <f>H3038-M3038</f>
        <v/>
      </c>
      <c r="O3038" t="inlineStr">
        <is>
          <t>Sim</t>
        </is>
      </c>
      <c r="P3038" t="inlineStr">
        <is>
          <t>1.556</t>
        </is>
      </c>
    </row>
    <row r="3039">
      <c r="A3039" s="24" t="n">
        <v>46113</v>
      </c>
      <c r="B3039" t="inlineStr">
        <is>
          <t>Uso e consumo</t>
        </is>
      </c>
      <c r="C3039" t="inlineStr">
        <is>
          <t>2.04.95 Copa e Cozinha</t>
        </is>
      </c>
      <c r="D3039" t="inlineStr">
        <is>
          <t>NF-e</t>
        </is>
      </c>
      <c r="E3039" t="inlineStr">
        <is>
          <t>000000050</t>
        </is>
      </c>
      <c r="F3039" t="inlineStr">
        <is>
          <t>EMPORIO DE FATIMA INDUSTRIA E COMERCIO DE PANIFICACAO LTDA</t>
        </is>
      </c>
      <c r="G3039" s="27" t="n">
        <v>46135</v>
      </c>
      <c r="H3039" s="14" t="n">
        <v>38</v>
      </c>
      <c r="I3039" s="14" t="n">
        <v>0</v>
      </c>
      <c r="J3039" s="14" t="n">
        <v>0</v>
      </c>
      <c r="K3039" s="14" t="n">
        <v>0</v>
      </c>
      <c r="L3039" s="14" t="n">
        <v>0</v>
      </c>
      <c r="M3039" s="14">
        <f>IF(B3039="Frete de venda",0,(1-ISNUMBER(SEARCH("556",P3039)))*(I3039*VLOOKUP($B3039,Premissas!$A$4:$E$7,2,0)+J3039*VLOOKUP($B3039,Premissas!$A$4:$E$7,3,0))+K3039*VLOOKUP($B3039,Premissas!$A$4:$E$7,4,0)+L3039*VLOOKUP($B3039,Premissas!$A$4:$E$7,5,0))</f>
        <v/>
      </c>
      <c r="N3039" s="14">
        <f>H3039-M3039</f>
        <v/>
      </c>
      <c r="O3039" t="inlineStr">
        <is>
          <t>Sim</t>
        </is>
      </c>
      <c r="P3039" t="inlineStr">
        <is>
          <t>2.556</t>
        </is>
      </c>
    </row>
    <row r="3040">
      <c r="A3040" s="24" t="n">
        <v>46113</v>
      </c>
      <c r="B3040" t="inlineStr">
        <is>
          <t>Uso e consumo</t>
        </is>
      </c>
      <c r="C3040" t="inlineStr">
        <is>
          <t>2.04.95 Copa e Cozinha</t>
        </is>
      </c>
      <c r="D3040" t="inlineStr">
        <is>
          <t>NF-e</t>
        </is>
      </c>
      <c r="E3040" t="inlineStr">
        <is>
          <t>000084303</t>
        </is>
      </c>
      <c r="F3040" t="inlineStr">
        <is>
          <t>KALUNGA SA</t>
        </is>
      </c>
      <c r="G3040" s="27" t="n">
        <v>46140</v>
      </c>
      <c r="H3040" s="14" t="n">
        <v>26.1</v>
      </c>
      <c r="I3040" s="14" t="n">
        <v>0</v>
      </c>
      <c r="J3040" s="14" t="n">
        <v>53.18</v>
      </c>
      <c r="K3040" s="14" t="n">
        <v>3.51</v>
      </c>
      <c r="L3040" s="14" t="n">
        <v>16.17</v>
      </c>
      <c r="M3040" s="14">
        <f>IF(B3040="Frete de venda",0,(1-ISNUMBER(SEARCH("556",P3040)))*(I3040*VLOOKUP($B3040,Premissas!$A$4:$E$7,2,0)+J3040*VLOOKUP($B3040,Premissas!$A$4:$E$7,3,0))+K3040*VLOOKUP($B3040,Premissas!$A$4:$E$7,4,0)+L3040*VLOOKUP($B3040,Premissas!$A$4:$E$7,5,0))</f>
        <v/>
      </c>
      <c r="N3040" s="14">
        <f>H3040-M3040</f>
        <v/>
      </c>
      <c r="O3040" t="inlineStr">
        <is>
          <t>Sim</t>
        </is>
      </c>
      <c r="P3040" t="inlineStr">
        <is>
          <t>1.556</t>
        </is>
      </c>
    </row>
    <row r="3041">
      <c r="A3041" s="24" t="n">
        <v>46143</v>
      </c>
      <c r="B3041" t="inlineStr">
        <is>
          <t>Frete de compra</t>
        </is>
      </c>
      <c r="C3041" t="inlineStr">
        <is>
          <t>Frete de compra</t>
        </is>
      </c>
      <c r="D3041" t="inlineStr">
        <is>
          <t>CT-e</t>
        </is>
      </c>
      <c r="E3041" t="inlineStr">
        <is>
          <t>000196966</t>
        </is>
      </c>
      <c r="F3041" t="inlineStr">
        <is>
          <t>ALIANCA NAVEGACAO E LOGISTICA LTDA</t>
        </is>
      </c>
      <c r="G3041" s="27" t="n">
        <v>46157</v>
      </c>
      <c r="H3041" s="14" t="n">
        <v>129.03</v>
      </c>
      <c r="I3041" s="14" t="n">
        <v>0</v>
      </c>
      <c r="J3041" s="14" t="n">
        <v>9.029999999999999</v>
      </c>
      <c r="K3041" s="14" t="n">
        <v>0</v>
      </c>
      <c r="L3041" s="14" t="n">
        <v>0</v>
      </c>
      <c r="M3041" s="14">
        <f>IF(B3041="Frete de venda",0,(1-ISNUMBER(SEARCH("556",P3041)))*(I3041*VLOOKUP($B3041,Premissas!$A$4:$E$7,2,0)+J3041*VLOOKUP($B3041,Premissas!$A$4:$E$7,3,0))+K3041*VLOOKUP($B3041,Premissas!$A$4:$E$7,4,0)+L3041*VLOOKUP($B3041,Premissas!$A$4:$E$7,5,0))</f>
        <v/>
      </c>
      <c r="N3041" s="14">
        <f>H3041-M3041</f>
        <v/>
      </c>
      <c r="O3041" t="inlineStr">
        <is>
          <t>Sim</t>
        </is>
      </c>
      <c r="P3041" t="inlineStr">
        <is>
          <t>2.350</t>
        </is>
      </c>
    </row>
    <row r="3042">
      <c r="A3042" s="24" t="n">
        <v>46143</v>
      </c>
      <c r="B3042" t="inlineStr">
        <is>
          <t>Frete de compra</t>
        </is>
      </c>
      <c r="C3042" t="inlineStr">
        <is>
          <t>Frete de compra</t>
        </is>
      </c>
      <c r="D3042" t="inlineStr">
        <is>
          <t>CT-e</t>
        </is>
      </c>
      <c r="E3042" t="inlineStr">
        <is>
          <t>000196986</t>
        </is>
      </c>
      <c r="F3042" t="inlineStr">
        <is>
          <t>ALIANCA NAVEGACAO E LOGISTICA LTDA</t>
        </is>
      </c>
      <c r="G3042" s="27" t="n">
        <v>46157</v>
      </c>
      <c r="H3042" s="14" t="n">
        <v>2012.9</v>
      </c>
      <c r="I3042" s="14" t="n">
        <v>0</v>
      </c>
      <c r="J3042" s="14" t="n">
        <v>140.9</v>
      </c>
      <c r="K3042" s="14" t="n">
        <v>0</v>
      </c>
      <c r="L3042" s="14" t="n">
        <v>0</v>
      </c>
      <c r="M3042" s="14">
        <f>IF(B3042="Frete de venda",0,(1-ISNUMBER(SEARCH("556",P3042)))*(I3042*VLOOKUP($B3042,Premissas!$A$4:$E$7,2,0)+J3042*VLOOKUP($B3042,Premissas!$A$4:$E$7,3,0))+K3042*VLOOKUP($B3042,Premissas!$A$4:$E$7,4,0)+L3042*VLOOKUP($B3042,Premissas!$A$4:$E$7,5,0))</f>
        <v/>
      </c>
      <c r="N3042" s="14">
        <f>H3042-M3042</f>
        <v/>
      </c>
      <c r="O3042" t="inlineStr">
        <is>
          <t>Sim</t>
        </is>
      </c>
      <c r="P3042" t="inlineStr">
        <is>
          <t>2.350</t>
        </is>
      </c>
    </row>
    <row r="3043">
      <c r="A3043" s="24" t="n">
        <v>46143</v>
      </c>
      <c r="B3043" t="inlineStr">
        <is>
          <t>Frete de compra</t>
        </is>
      </c>
      <c r="C3043" t="inlineStr">
        <is>
          <t>Frete de compra</t>
        </is>
      </c>
      <c r="D3043" t="inlineStr">
        <is>
          <t>CT-e</t>
        </is>
      </c>
      <c r="E3043" t="inlineStr">
        <is>
          <t>000196987</t>
        </is>
      </c>
      <c r="F3043" t="inlineStr">
        <is>
          <t>ALIANCA NAVEGACAO E LOGISTICA LTDA</t>
        </is>
      </c>
      <c r="G3043" s="27" t="n">
        <v>46157</v>
      </c>
      <c r="H3043" s="14" t="n">
        <v>2709.68</v>
      </c>
      <c r="I3043" s="14" t="n">
        <v>0</v>
      </c>
      <c r="J3043" s="14" t="n">
        <v>189.68</v>
      </c>
      <c r="K3043" s="14" t="n">
        <v>0</v>
      </c>
      <c r="L3043" s="14" t="n">
        <v>0</v>
      </c>
      <c r="M3043" s="14">
        <f>IF(B3043="Frete de venda",0,(1-ISNUMBER(SEARCH("556",P3043)))*(I3043*VLOOKUP($B3043,Premissas!$A$4:$E$7,2,0)+J3043*VLOOKUP($B3043,Premissas!$A$4:$E$7,3,0))+K3043*VLOOKUP($B3043,Premissas!$A$4:$E$7,4,0)+L3043*VLOOKUP($B3043,Premissas!$A$4:$E$7,5,0))</f>
        <v/>
      </c>
      <c r="N3043" s="14">
        <f>H3043-M3043</f>
        <v/>
      </c>
      <c r="O3043" t="inlineStr">
        <is>
          <t>Sim</t>
        </is>
      </c>
      <c r="P3043" t="inlineStr">
        <is>
          <t>2.350</t>
        </is>
      </c>
    </row>
    <row r="3044">
      <c r="A3044" s="24" t="n">
        <v>46143</v>
      </c>
      <c r="B3044" t="inlineStr">
        <is>
          <t>Frete de compra</t>
        </is>
      </c>
      <c r="C3044" t="inlineStr">
        <is>
          <t>Frete de compra</t>
        </is>
      </c>
      <c r="D3044" t="inlineStr">
        <is>
          <t>CT-e</t>
        </is>
      </c>
      <c r="E3044" t="inlineStr">
        <is>
          <t>000196985</t>
        </is>
      </c>
      <c r="F3044" t="inlineStr">
        <is>
          <t>ALIANCA NAVEGACAO E LOGISTICA LTDA</t>
        </is>
      </c>
      <c r="G3044" s="27" t="n">
        <v>46157</v>
      </c>
      <c r="H3044" s="14" t="n">
        <v>1703.23</v>
      </c>
      <c r="I3044" s="14" t="n">
        <v>0</v>
      </c>
      <c r="J3044" s="14" t="n">
        <v>119.23</v>
      </c>
      <c r="K3044" s="14" t="n">
        <v>0</v>
      </c>
      <c r="L3044" s="14" t="n">
        <v>0</v>
      </c>
      <c r="M3044" s="14">
        <f>IF(B3044="Frete de venda",0,(1-ISNUMBER(SEARCH("556",P3044)))*(I3044*VLOOKUP($B3044,Premissas!$A$4:$E$7,2,0)+J3044*VLOOKUP($B3044,Premissas!$A$4:$E$7,3,0))+K3044*VLOOKUP($B3044,Premissas!$A$4:$E$7,4,0)+L3044*VLOOKUP($B3044,Premissas!$A$4:$E$7,5,0))</f>
        <v/>
      </c>
      <c r="N3044" s="14">
        <f>H3044-M3044</f>
        <v/>
      </c>
      <c r="O3044" t="inlineStr">
        <is>
          <t>Sim</t>
        </is>
      </c>
      <c r="P3044" t="inlineStr">
        <is>
          <t>2.350</t>
        </is>
      </c>
    </row>
    <row r="3045">
      <c r="A3045" s="24" t="n">
        <v>46143</v>
      </c>
      <c r="B3045" t="inlineStr">
        <is>
          <t>Frete de compra</t>
        </is>
      </c>
      <c r="C3045" t="inlineStr">
        <is>
          <t>Frete de compra</t>
        </is>
      </c>
      <c r="D3045" t="inlineStr">
        <is>
          <t>CT-e</t>
        </is>
      </c>
      <c r="E3045" t="inlineStr">
        <is>
          <t>000196988</t>
        </is>
      </c>
      <c r="F3045" t="inlineStr">
        <is>
          <t>ALIANCA NAVEGACAO E LOGISTICA LTDA</t>
        </is>
      </c>
      <c r="G3045" s="27" t="n">
        <v>46157</v>
      </c>
      <c r="H3045" s="14" t="n">
        <v>2967.74</v>
      </c>
      <c r="I3045" s="14" t="n">
        <v>0</v>
      </c>
      <c r="J3045" s="14" t="n">
        <v>207.74</v>
      </c>
      <c r="K3045" s="14" t="n">
        <v>0</v>
      </c>
      <c r="L3045" s="14" t="n">
        <v>0</v>
      </c>
      <c r="M3045" s="14">
        <f>IF(B3045="Frete de venda",0,(1-ISNUMBER(SEARCH("556",P3045)))*(I3045*VLOOKUP($B3045,Premissas!$A$4:$E$7,2,0)+J3045*VLOOKUP($B3045,Premissas!$A$4:$E$7,3,0))+K3045*VLOOKUP($B3045,Premissas!$A$4:$E$7,4,0)+L3045*VLOOKUP($B3045,Premissas!$A$4:$E$7,5,0))</f>
        <v/>
      </c>
      <c r="N3045" s="14">
        <f>H3045-M3045</f>
        <v/>
      </c>
      <c r="O3045" t="inlineStr">
        <is>
          <t>Sim</t>
        </is>
      </c>
      <c r="P3045" t="inlineStr">
        <is>
          <t>2.350</t>
        </is>
      </c>
    </row>
    <row r="3046">
      <c r="A3046" s="24" t="n">
        <v>46143</v>
      </c>
      <c r="B3046" t="inlineStr">
        <is>
          <t>Frete de compra</t>
        </is>
      </c>
      <c r="C3046" t="inlineStr">
        <is>
          <t>Frete de compra</t>
        </is>
      </c>
      <c r="D3046" t="inlineStr">
        <is>
          <t>CT-e</t>
        </is>
      </c>
      <c r="E3046" t="inlineStr">
        <is>
          <t>000080494</t>
        </is>
      </c>
      <c r="F3046" t="inlineStr">
        <is>
          <t>GOL LINHAS AEREAS S.A.</t>
        </is>
      </c>
      <c r="G3046" s="27" t="n">
        <v>46146</v>
      </c>
      <c r="H3046" s="14" t="n">
        <v>231.19</v>
      </c>
      <c r="I3046" s="14" t="n">
        <v>0</v>
      </c>
      <c r="J3046" s="14" t="n">
        <v>9.25</v>
      </c>
      <c r="K3046" s="14" t="n">
        <v>0</v>
      </c>
      <c r="L3046" s="14" t="n">
        <v>0</v>
      </c>
      <c r="M3046" s="14">
        <f>IF(B3046="Frete de venda",0,(1-ISNUMBER(SEARCH("556",P3046)))*(I3046*VLOOKUP($B3046,Premissas!$A$4:$E$7,2,0)+J3046*VLOOKUP($B3046,Premissas!$A$4:$E$7,3,0))+K3046*VLOOKUP($B3046,Premissas!$A$4:$E$7,4,0)+L3046*VLOOKUP($B3046,Premissas!$A$4:$E$7,5,0))</f>
        <v/>
      </c>
      <c r="N3046" s="14">
        <f>H3046-M3046</f>
        <v/>
      </c>
      <c r="O3046" t="inlineStr">
        <is>
          <t>Sim</t>
        </is>
      </c>
      <c r="P3046" t="inlineStr">
        <is>
          <t>1.350</t>
        </is>
      </c>
    </row>
    <row r="3047">
      <c r="A3047" s="24" t="n">
        <v>46143</v>
      </c>
      <c r="B3047" t="inlineStr">
        <is>
          <t>Frete de compra</t>
        </is>
      </c>
      <c r="C3047" t="inlineStr">
        <is>
          <t>Frete de compra</t>
        </is>
      </c>
      <c r="D3047" t="inlineStr">
        <is>
          <t>CT-e</t>
        </is>
      </c>
      <c r="E3047" t="inlineStr">
        <is>
          <t>000196245</t>
        </is>
      </c>
      <c r="F3047" t="inlineStr">
        <is>
          <t>ALIANCA NAVEGACAO E LOGISTICA LTDA</t>
        </is>
      </c>
      <c r="G3047" s="27" t="n">
        <v>46147</v>
      </c>
      <c r="H3047" s="14" t="n">
        <v>19048.61</v>
      </c>
      <c r="I3047" s="14" t="n">
        <v>0</v>
      </c>
      <c r="J3047" s="14" t="n">
        <v>1333.4</v>
      </c>
      <c r="K3047" s="14" t="n">
        <v>0</v>
      </c>
      <c r="L3047" s="14" t="n">
        <v>0</v>
      </c>
      <c r="M3047" s="14">
        <f>IF(B3047="Frete de venda",0,(1-ISNUMBER(SEARCH("556",P3047)))*(I3047*VLOOKUP($B3047,Premissas!$A$4:$E$7,2,0)+J3047*VLOOKUP($B3047,Premissas!$A$4:$E$7,3,0))+K3047*VLOOKUP($B3047,Premissas!$A$4:$E$7,4,0)+L3047*VLOOKUP($B3047,Premissas!$A$4:$E$7,5,0))</f>
        <v/>
      </c>
      <c r="N3047" s="14">
        <f>H3047-M3047</f>
        <v/>
      </c>
      <c r="O3047" t="inlineStr">
        <is>
          <t>Sim</t>
        </is>
      </c>
      <c r="P3047" t="inlineStr">
        <is>
          <t>2.350</t>
        </is>
      </c>
    </row>
    <row r="3048">
      <c r="A3048" s="24" t="n">
        <v>46143</v>
      </c>
      <c r="B3048" t="inlineStr">
        <is>
          <t>Frete de compra</t>
        </is>
      </c>
      <c r="C3048" t="inlineStr">
        <is>
          <t>Frete de compra</t>
        </is>
      </c>
      <c r="D3048" t="inlineStr">
        <is>
          <t>CT-e</t>
        </is>
      </c>
      <c r="E3048" t="inlineStr">
        <is>
          <t>000196679</t>
        </is>
      </c>
      <c r="F3048" t="inlineStr">
        <is>
          <t>ALIANCA NAVEGACAO E LOGISTICA LTDA</t>
        </is>
      </c>
      <c r="G3048" s="27" t="n">
        <v>46154</v>
      </c>
      <c r="H3048" s="14" t="n">
        <v>19044.69</v>
      </c>
      <c r="I3048" s="14" t="n">
        <v>0</v>
      </c>
      <c r="J3048" s="14" t="n">
        <v>1333.13</v>
      </c>
      <c r="K3048" s="14" t="n">
        <v>0</v>
      </c>
      <c r="L3048" s="14" t="n">
        <v>0</v>
      </c>
      <c r="M3048" s="14">
        <f>IF(B3048="Frete de venda",0,(1-ISNUMBER(SEARCH("556",P3048)))*(I3048*VLOOKUP($B3048,Premissas!$A$4:$E$7,2,0)+J3048*VLOOKUP($B3048,Premissas!$A$4:$E$7,3,0))+K3048*VLOOKUP($B3048,Premissas!$A$4:$E$7,4,0)+L3048*VLOOKUP($B3048,Premissas!$A$4:$E$7,5,0))</f>
        <v/>
      </c>
      <c r="N3048" s="14">
        <f>H3048-M3048</f>
        <v/>
      </c>
      <c r="O3048" t="inlineStr">
        <is>
          <t>Sim</t>
        </is>
      </c>
      <c r="P3048" t="inlineStr">
        <is>
          <t>2.350</t>
        </is>
      </c>
    </row>
    <row r="3049">
      <c r="A3049" s="24" t="n">
        <v>46143</v>
      </c>
      <c r="B3049" t="inlineStr">
        <is>
          <t>Frete de compra</t>
        </is>
      </c>
      <c r="C3049" t="inlineStr">
        <is>
          <t>Frete de compra</t>
        </is>
      </c>
      <c r="D3049" t="inlineStr">
        <is>
          <t>CT-e</t>
        </is>
      </c>
      <c r="E3049" t="inlineStr">
        <is>
          <t>000196675</t>
        </is>
      </c>
      <c r="F3049" t="inlineStr">
        <is>
          <t>ALIANCA NAVEGACAO E LOGISTICA LTDA</t>
        </is>
      </c>
      <c r="G3049" s="27" t="n">
        <v>46154</v>
      </c>
      <c r="H3049" s="14" t="n">
        <v>19050.4</v>
      </c>
      <c r="I3049" s="14" t="n">
        <v>0</v>
      </c>
      <c r="J3049" s="14" t="n">
        <v>1333.53</v>
      </c>
      <c r="K3049" s="14" t="n">
        <v>0</v>
      </c>
      <c r="L3049" s="14" t="n">
        <v>0</v>
      </c>
      <c r="M3049" s="14">
        <f>IF(B3049="Frete de venda",0,(1-ISNUMBER(SEARCH("556",P3049)))*(I3049*VLOOKUP($B3049,Premissas!$A$4:$E$7,2,0)+J3049*VLOOKUP($B3049,Premissas!$A$4:$E$7,3,0))+K3049*VLOOKUP($B3049,Premissas!$A$4:$E$7,4,0)+L3049*VLOOKUP($B3049,Premissas!$A$4:$E$7,5,0))</f>
        <v/>
      </c>
      <c r="N3049" s="14">
        <f>H3049-M3049</f>
        <v/>
      </c>
      <c r="O3049" t="inlineStr">
        <is>
          <t>Sim</t>
        </is>
      </c>
      <c r="P3049" t="inlineStr">
        <is>
          <t>2.305</t>
        </is>
      </c>
    </row>
    <row r="3050">
      <c r="A3050" s="24" t="n">
        <v>46143</v>
      </c>
      <c r="B3050" t="inlineStr">
        <is>
          <t>Frete de compra</t>
        </is>
      </c>
      <c r="C3050" t="inlineStr">
        <is>
          <t>Frete de compra</t>
        </is>
      </c>
      <c r="D3050" t="inlineStr">
        <is>
          <t>CT-e</t>
        </is>
      </c>
      <c r="E3050" t="inlineStr">
        <is>
          <t>000196695</t>
        </is>
      </c>
      <c r="F3050" t="inlineStr">
        <is>
          <t>ALIANCA NAVEGACAO E LOGISTICA LTDA</t>
        </is>
      </c>
      <c r="G3050" s="27" t="n">
        <v>46154</v>
      </c>
      <c r="H3050" s="14" t="n">
        <v>19042.56</v>
      </c>
      <c r="I3050" s="14" t="n">
        <v>0</v>
      </c>
      <c r="J3050" s="14" t="n">
        <v>1332.98</v>
      </c>
      <c r="K3050" s="14" t="n">
        <v>0</v>
      </c>
      <c r="L3050" s="14" t="n">
        <v>0</v>
      </c>
      <c r="M3050" s="14">
        <f>IF(B3050="Frete de venda",0,(1-ISNUMBER(SEARCH("556",P3050)))*(I3050*VLOOKUP($B3050,Premissas!$A$4:$E$7,2,0)+J3050*VLOOKUP($B3050,Premissas!$A$4:$E$7,3,0))+K3050*VLOOKUP($B3050,Premissas!$A$4:$E$7,4,0)+L3050*VLOOKUP($B3050,Premissas!$A$4:$E$7,5,0))</f>
        <v/>
      </c>
      <c r="N3050" s="14">
        <f>H3050-M3050</f>
        <v/>
      </c>
      <c r="O3050" t="inlineStr">
        <is>
          <t>Sim</t>
        </is>
      </c>
      <c r="P3050" t="inlineStr">
        <is>
          <t>2.350</t>
        </is>
      </c>
    </row>
    <row r="3051">
      <c r="A3051" s="24" t="n">
        <v>46143</v>
      </c>
      <c r="B3051" t="inlineStr">
        <is>
          <t>Frete de compra</t>
        </is>
      </c>
      <c r="C3051" t="inlineStr">
        <is>
          <t>Frete de compra</t>
        </is>
      </c>
      <c r="D3051" t="inlineStr">
        <is>
          <t>CT-e</t>
        </is>
      </c>
      <c r="E3051" t="inlineStr">
        <is>
          <t>000196708</t>
        </is>
      </c>
      <c r="F3051" t="inlineStr">
        <is>
          <t>ALIANCA NAVEGACAO E LOGISTICA LTDA</t>
        </is>
      </c>
      <c r="G3051" s="27" t="n">
        <v>46154</v>
      </c>
      <c r="H3051" s="14" t="n">
        <v>19035.9</v>
      </c>
      <c r="I3051" s="14" t="n">
        <v>0</v>
      </c>
      <c r="J3051" s="14" t="n">
        <v>1332.51</v>
      </c>
      <c r="K3051" s="14" t="n">
        <v>0</v>
      </c>
      <c r="L3051" s="14" t="n">
        <v>0</v>
      </c>
      <c r="M3051" s="14">
        <f>IF(B3051="Frete de venda",0,(1-ISNUMBER(SEARCH("556",P3051)))*(I3051*VLOOKUP($B3051,Premissas!$A$4:$E$7,2,0)+J3051*VLOOKUP($B3051,Premissas!$A$4:$E$7,3,0))+K3051*VLOOKUP($B3051,Premissas!$A$4:$E$7,4,0)+L3051*VLOOKUP($B3051,Premissas!$A$4:$E$7,5,0))</f>
        <v/>
      </c>
      <c r="N3051" s="14">
        <f>H3051-M3051</f>
        <v/>
      </c>
      <c r="O3051" t="inlineStr">
        <is>
          <t>Sim</t>
        </is>
      </c>
      <c r="P3051" t="inlineStr">
        <is>
          <t>2.350</t>
        </is>
      </c>
    </row>
    <row r="3052">
      <c r="A3052" s="24" t="n">
        <v>46143</v>
      </c>
      <c r="B3052" t="inlineStr">
        <is>
          <t>Frete de compra</t>
        </is>
      </c>
      <c r="C3052" t="inlineStr">
        <is>
          <t>Frete de compra</t>
        </is>
      </c>
      <c r="D3052" t="inlineStr">
        <is>
          <t>CT-e</t>
        </is>
      </c>
      <c r="E3052" t="inlineStr">
        <is>
          <t>000197388</t>
        </is>
      </c>
      <c r="F3052" t="inlineStr">
        <is>
          <t>ALIANCA NAVEGACAO E LOGISTICA LTDA</t>
        </is>
      </c>
      <c r="G3052" s="27" t="n">
        <v>46163</v>
      </c>
      <c r="H3052" s="14" t="n">
        <v>19296.24</v>
      </c>
      <c r="I3052" s="14" t="n">
        <v>0</v>
      </c>
      <c r="J3052" s="14" t="n">
        <v>1350.74</v>
      </c>
      <c r="K3052" s="14" t="n">
        <v>0</v>
      </c>
      <c r="L3052" s="14" t="n">
        <v>0</v>
      </c>
      <c r="M3052" s="14">
        <f>IF(B3052="Frete de venda",0,(1-ISNUMBER(SEARCH("556",P3052)))*(I3052*VLOOKUP($B3052,Premissas!$A$4:$E$7,2,0)+J3052*VLOOKUP($B3052,Premissas!$A$4:$E$7,3,0))+K3052*VLOOKUP($B3052,Premissas!$A$4:$E$7,4,0)+L3052*VLOOKUP($B3052,Premissas!$A$4:$E$7,5,0))</f>
        <v/>
      </c>
      <c r="N3052" s="14">
        <f>H3052-M3052</f>
        <v/>
      </c>
      <c r="O3052" t="inlineStr">
        <is>
          <t>Sim</t>
        </is>
      </c>
      <c r="P3052" t="inlineStr">
        <is>
          <t>2.350</t>
        </is>
      </c>
    </row>
    <row r="3053">
      <c r="A3053" s="24" t="n">
        <v>46143</v>
      </c>
      <c r="B3053" t="inlineStr">
        <is>
          <t>Frete de compra</t>
        </is>
      </c>
      <c r="C3053" t="inlineStr">
        <is>
          <t>Frete de compra</t>
        </is>
      </c>
      <c r="D3053" t="inlineStr">
        <is>
          <t>CT-e</t>
        </is>
      </c>
      <c r="E3053" t="inlineStr">
        <is>
          <t>000197392</t>
        </is>
      </c>
      <c r="F3053" t="inlineStr">
        <is>
          <t>ALIANCA NAVEGACAO E LOGISTICA LTDA</t>
        </is>
      </c>
      <c r="G3053" s="27" t="n">
        <v>46164</v>
      </c>
      <c r="H3053" s="14" t="n">
        <v>19298.74</v>
      </c>
      <c r="I3053" s="14" t="n">
        <v>0</v>
      </c>
      <c r="J3053" s="14" t="n">
        <v>1350.91</v>
      </c>
      <c r="K3053" s="14" t="n">
        <v>0</v>
      </c>
      <c r="L3053" s="14" t="n">
        <v>0</v>
      </c>
      <c r="M3053" s="14">
        <f>IF(B3053="Frete de venda",0,(1-ISNUMBER(SEARCH("556",P3053)))*(I3053*VLOOKUP($B3053,Premissas!$A$4:$E$7,2,0)+J3053*VLOOKUP($B3053,Premissas!$A$4:$E$7,3,0))+K3053*VLOOKUP($B3053,Premissas!$A$4:$E$7,4,0)+L3053*VLOOKUP($B3053,Premissas!$A$4:$E$7,5,0))</f>
        <v/>
      </c>
      <c r="N3053" s="14">
        <f>H3053-M3053</f>
        <v/>
      </c>
      <c r="O3053" t="inlineStr">
        <is>
          <t>Sim</t>
        </is>
      </c>
      <c r="P3053" t="inlineStr">
        <is>
          <t>2.350</t>
        </is>
      </c>
    </row>
    <row r="3054">
      <c r="A3054" s="24" t="n">
        <v>46143</v>
      </c>
      <c r="B3054" t="inlineStr">
        <is>
          <t>Frete de compra</t>
        </is>
      </c>
      <c r="C3054" t="inlineStr">
        <is>
          <t>Frete de compra</t>
        </is>
      </c>
      <c r="D3054" t="inlineStr">
        <is>
          <t>CT-e</t>
        </is>
      </c>
      <c r="E3054" t="inlineStr">
        <is>
          <t>000197401</t>
        </is>
      </c>
      <c r="F3054" t="inlineStr">
        <is>
          <t>ALIANCA NAVEGACAO E LOGISTICA LTDA</t>
        </is>
      </c>
      <c r="G3054" s="27" t="n">
        <v>46164</v>
      </c>
      <c r="H3054" s="14" t="n">
        <v>19297.59</v>
      </c>
      <c r="I3054" s="14" t="n">
        <v>0</v>
      </c>
      <c r="J3054" s="14" t="n">
        <v>1350.83</v>
      </c>
      <c r="K3054" s="14" t="n">
        <v>0</v>
      </c>
      <c r="L3054" s="14" t="n">
        <v>0</v>
      </c>
      <c r="M3054" s="14">
        <f>IF(B3054="Frete de venda",0,(1-ISNUMBER(SEARCH("556",P3054)))*(I3054*VLOOKUP($B3054,Premissas!$A$4:$E$7,2,0)+J3054*VLOOKUP($B3054,Premissas!$A$4:$E$7,3,0))+K3054*VLOOKUP($B3054,Premissas!$A$4:$E$7,4,0)+L3054*VLOOKUP($B3054,Premissas!$A$4:$E$7,5,0))</f>
        <v/>
      </c>
      <c r="N3054" s="14">
        <f>H3054-M3054</f>
        <v/>
      </c>
      <c r="O3054" t="inlineStr">
        <is>
          <t>Sim</t>
        </is>
      </c>
      <c r="P3054" t="inlineStr">
        <is>
          <t>2.350</t>
        </is>
      </c>
    </row>
    <row r="3055">
      <c r="A3055" s="24" t="n">
        <v>46143</v>
      </c>
      <c r="B3055" t="inlineStr">
        <is>
          <t>Frete de compra</t>
        </is>
      </c>
      <c r="C3055" t="inlineStr">
        <is>
          <t>Frete de compra</t>
        </is>
      </c>
      <c r="D3055" t="inlineStr">
        <is>
          <t>CT-e</t>
        </is>
      </c>
      <c r="E3055" t="inlineStr">
        <is>
          <t>000197470</t>
        </is>
      </c>
      <c r="F3055" t="inlineStr">
        <is>
          <t>ALIANCA NAVEGACAO E LOGISTICA LTDA</t>
        </is>
      </c>
      <c r="G3055" s="27" t="n">
        <v>46164</v>
      </c>
      <c r="H3055" s="14" t="n">
        <v>19295.96</v>
      </c>
      <c r="I3055" s="14" t="n">
        <v>0</v>
      </c>
      <c r="J3055" s="14" t="n">
        <v>1350.72</v>
      </c>
      <c r="K3055" s="14" t="n">
        <v>0</v>
      </c>
      <c r="L3055" s="14" t="n">
        <v>0</v>
      </c>
      <c r="M3055" s="14">
        <f>IF(B3055="Frete de venda",0,(1-ISNUMBER(SEARCH("556",P3055)))*(I3055*VLOOKUP($B3055,Premissas!$A$4:$E$7,2,0)+J3055*VLOOKUP($B3055,Premissas!$A$4:$E$7,3,0))+K3055*VLOOKUP($B3055,Premissas!$A$4:$E$7,4,0)+L3055*VLOOKUP($B3055,Premissas!$A$4:$E$7,5,0))</f>
        <v/>
      </c>
      <c r="N3055" s="14">
        <f>H3055-M3055</f>
        <v/>
      </c>
      <c r="O3055" t="inlineStr">
        <is>
          <t>Sim</t>
        </is>
      </c>
      <c r="P3055" t="inlineStr">
        <is>
          <t>2.350</t>
        </is>
      </c>
    </row>
    <row r="3056">
      <c r="A3056" s="24" t="n">
        <v>46143</v>
      </c>
      <c r="B3056" t="inlineStr">
        <is>
          <t>Frete de compra</t>
        </is>
      </c>
      <c r="C3056" t="inlineStr">
        <is>
          <t>Frete de compra</t>
        </is>
      </c>
      <c r="D3056" t="inlineStr">
        <is>
          <t>CT-e</t>
        </is>
      </c>
      <c r="E3056" t="inlineStr">
        <is>
          <t>000197471</t>
        </is>
      </c>
      <c r="F3056" t="inlineStr">
        <is>
          <t>ALIANCA NAVEGACAO E LOGISTICA LTDA</t>
        </is>
      </c>
      <c r="G3056" s="27" t="n">
        <v>46165</v>
      </c>
      <c r="H3056" s="14" t="n">
        <v>19295.72</v>
      </c>
      <c r="I3056" s="14" t="n">
        <v>0</v>
      </c>
      <c r="J3056" s="14" t="n">
        <v>1350.7</v>
      </c>
      <c r="K3056" s="14" t="n">
        <v>0</v>
      </c>
      <c r="L3056" s="14" t="n">
        <v>0</v>
      </c>
      <c r="M3056" s="14">
        <f>IF(B3056="Frete de venda",0,(1-ISNUMBER(SEARCH("556",P3056)))*(I3056*VLOOKUP($B3056,Premissas!$A$4:$E$7,2,0)+J3056*VLOOKUP($B3056,Premissas!$A$4:$E$7,3,0))+K3056*VLOOKUP($B3056,Premissas!$A$4:$E$7,4,0)+L3056*VLOOKUP($B3056,Premissas!$A$4:$E$7,5,0))</f>
        <v/>
      </c>
      <c r="N3056" s="14">
        <f>H3056-M3056</f>
        <v/>
      </c>
      <c r="O3056" t="inlineStr">
        <is>
          <t>Sim</t>
        </is>
      </c>
      <c r="P3056" t="inlineStr">
        <is>
          <t>2.350</t>
        </is>
      </c>
    </row>
    <row r="3057">
      <c r="A3057" s="24" t="n">
        <v>46143</v>
      </c>
      <c r="B3057" t="inlineStr">
        <is>
          <t>Frete de compra</t>
        </is>
      </c>
      <c r="C3057" t="inlineStr">
        <is>
          <t>Frete de compra</t>
        </is>
      </c>
      <c r="D3057" t="inlineStr">
        <is>
          <t>CT-e</t>
        </is>
      </c>
      <c r="E3057" t="inlineStr">
        <is>
          <t>000197560</t>
        </is>
      </c>
      <c r="F3057" t="inlineStr">
        <is>
          <t>ALIANCA NAVEGACAO E LOGISTICA LTDA</t>
        </is>
      </c>
      <c r="G3057" s="27" t="n">
        <v>46167</v>
      </c>
      <c r="H3057" s="14" t="n">
        <v>19264.9</v>
      </c>
      <c r="I3057" s="14" t="n">
        <v>0</v>
      </c>
      <c r="J3057" s="14" t="n">
        <v>1348.54</v>
      </c>
      <c r="K3057" s="14" t="n">
        <v>0</v>
      </c>
      <c r="L3057" s="14" t="n">
        <v>0</v>
      </c>
      <c r="M3057" s="14">
        <f>IF(B3057="Frete de venda",0,(1-ISNUMBER(SEARCH("556",P3057)))*(I3057*VLOOKUP($B3057,Premissas!$A$4:$E$7,2,0)+J3057*VLOOKUP($B3057,Premissas!$A$4:$E$7,3,0))+K3057*VLOOKUP($B3057,Premissas!$A$4:$E$7,4,0)+L3057*VLOOKUP($B3057,Premissas!$A$4:$E$7,5,0))</f>
        <v/>
      </c>
      <c r="N3057" s="14">
        <f>H3057-M3057</f>
        <v/>
      </c>
      <c r="O3057" t="inlineStr">
        <is>
          <t>Sim</t>
        </is>
      </c>
      <c r="P3057" t="inlineStr">
        <is>
          <t>2.350</t>
        </is>
      </c>
    </row>
    <row r="3058">
      <c r="A3058" s="24" t="n">
        <v>46143</v>
      </c>
      <c r="B3058" t="inlineStr">
        <is>
          <t>Frete de compra</t>
        </is>
      </c>
      <c r="C3058" t="inlineStr">
        <is>
          <t>Frete de compra</t>
        </is>
      </c>
      <c r="D3058" t="inlineStr">
        <is>
          <t>CT-e</t>
        </is>
      </c>
      <c r="E3058" t="inlineStr">
        <is>
          <t>000197531</t>
        </is>
      </c>
      <c r="F3058" t="inlineStr">
        <is>
          <t>ALIANCA NAVEGACAO E LOGISTICA LTDA</t>
        </is>
      </c>
      <c r="G3058" s="27" t="n">
        <v>46167</v>
      </c>
      <c r="H3058" s="14" t="n">
        <v>19275.6</v>
      </c>
      <c r="I3058" s="14" t="n">
        <v>0</v>
      </c>
      <c r="J3058" s="14" t="n">
        <v>1349.29</v>
      </c>
      <c r="K3058" s="14" t="n">
        <v>0</v>
      </c>
      <c r="L3058" s="14" t="n">
        <v>0</v>
      </c>
      <c r="M3058" s="14">
        <f>IF(B3058="Frete de venda",0,(1-ISNUMBER(SEARCH("556",P3058)))*(I3058*VLOOKUP($B3058,Premissas!$A$4:$E$7,2,0)+J3058*VLOOKUP($B3058,Premissas!$A$4:$E$7,3,0))+K3058*VLOOKUP($B3058,Premissas!$A$4:$E$7,4,0)+L3058*VLOOKUP($B3058,Premissas!$A$4:$E$7,5,0))</f>
        <v/>
      </c>
      <c r="N3058" s="14">
        <f>H3058-M3058</f>
        <v/>
      </c>
      <c r="O3058" t="inlineStr">
        <is>
          <t>Sim</t>
        </is>
      </c>
      <c r="P3058" t="inlineStr">
        <is>
          <t>2.350</t>
        </is>
      </c>
    </row>
    <row r="3059">
      <c r="A3059" s="24" t="n">
        <v>46143</v>
      </c>
      <c r="B3059" t="inlineStr">
        <is>
          <t>Frete de compra</t>
        </is>
      </c>
      <c r="C3059" t="inlineStr">
        <is>
          <t>Frete de compra</t>
        </is>
      </c>
      <c r="D3059" t="inlineStr">
        <is>
          <t>CT-e</t>
        </is>
      </c>
      <c r="E3059" t="inlineStr">
        <is>
          <t>000197580</t>
        </is>
      </c>
      <c r="F3059" t="inlineStr">
        <is>
          <t>ALIANCA NAVEGACAO E LOGISTICA LTDA</t>
        </is>
      </c>
      <c r="G3059" s="27" t="n">
        <v>46167</v>
      </c>
      <c r="H3059" s="14" t="n">
        <v>19263.78</v>
      </c>
      <c r="I3059" s="14" t="n">
        <v>0</v>
      </c>
      <c r="J3059" s="14" t="n">
        <v>1348.46</v>
      </c>
      <c r="K3059" s="14" t="n">
        <v>0</v>
      </c>
      <c r="L3059" s="14" t="n">
        <v>0</v>
      </c>
      <c r="M3059" s="14">
        <f>IF(B3059="Frete de venda",0,(1-ISNUMBER(SEARCH("556",P3059)))*(I3059*VLOOKUP($B3059,Premissas!$A$4:$E$7,2,0)+J3059*VLOOKUP($B3059,Premissas!$A$4:$E$7,3,0))+K3059*VLOOKUP($B3059,Premissas!$A$4:$E$7,4,0)+L3059*VLOOKUP($B3059,Premissas!$A$4:$E$7,5,0))</f>
        <v/>
      </c>
      <c r="N3059" s="14">
        <f>H3059-M3059</f>
        <v/>
      </c>
      <c r="O3059" t="inlineStr">
        <is>
          <t>Sim</t>
        </is>
      </c>
      <c r="P3059" t="inlineStr">
        <is>
          <t>2.350</t>
        </is>
      </c>
    </row>
    <row r="3060">
      <c r="A3060" s="24" t="n">
        <v>46143</v>
      </c>
      <c r="B3060" t="inlineStr">
        <is>
          <t>Frete de compra</t>
        </is>
      </c>
      <c r="C3060" t="inlineStr">
        <is>
          <t>Frete de compra</t>
        </is>
      </c>
      <c r="D3060" t="inlineStr">
        <is>
          <t>CT-e</t>
        </is>
      </c>
      <c r="E3060" t="inlineStr">
        <is>
          <t>000197647</t>
        </is>
      </c>
      <c r="F3060" t="inlineStr">
        <is>
          <t>ALIANCA NAVEGACAO E LOGISTICA LTDA</t>
        </is>
      </c>
      <c r="G3060" s="27" t="n">
        <v>46168</v>
      </c>
      <c r="H3060" s="14" t="n">
        <v>19297.45</v>
      </c>
      <c r="I3060" s="14" t="n">
        <v>0</v>
      </c>
      <c r="J3060" s="14" t="n">
        <v>1350.82</v>
      </c>
      <c r="K3060" s="14" t="n">
        <v>0</v>
      </c>
      <c r="L3060" s="14" t="n">
        <v>0</v>
      </c>
      <c r="M3060" s="14">
        <f>IF(B3060="Frete de venda",0,(1-ISNUMBER(SEARCH("556",P3060)))*(I3060*VLOOKUP($B3060,Premissas!$A$4:$E$7,2,0)+J3060*VLOOKUP($B3060,Premissas!$A$4:$E$7,3,0))+K3060*VLOOKUP($B3060,Premissas!$A$4:$E$7,4,0)+L3060*VLOOKUP($B3060,Premissas!$A$4:$E$7,5,0))</f>
        <v/>
      </c>
      <c r="N3060" s="14">
        <f>H3060-M3060</f>
        <v/>
      </c>
      <c r="O3060" t="inlineStr">
        <is>
          <t>Sim</t>
        </is>
      </c>
      <c r="P3060" t="inlineStr">
        <is>
          <t>2.350</t>
        </is>
      </c>
    </row>
    <row r="3061">
      <c r="A3061" s="24" t="n">
        <v>46143</v>
      </c>
      <c r="B3061" t="inlineStr">
        <is>
          <t>Frete de compra</t>
        </is>
      </c>
      <c r="C3061" t="inlineStr">
        <is>
          <t>Frete de compra</t>
        </is>
      </c>
      <c r="D3061" t="inlineStr">
        <is>
          <t>CT-e</t>
        </is>
      </c>
      <c r="E3061" t="inlineStr">
        <is>
          <t>000197676</t>
        </is>
      </c>
      <c r="F3061" t="inlineStr">
        <is>
          <t>ALIANCA NAVEGACAO E LOGISTICA LTDA</t>
        </is>
      </c>
      <c r="G3061" s="27" t="n">
        <v>46169</v>
      </c>
      <c r="H3061" s="14" t="n">
        <v>19293.29</v>
      </c>
      <c r="I3061" s="14" t="n">
        <v>0</v>
      </c>
      <c r="J3061" s="14" t="n">
        <v>1350.53</v>
      </c>
      <c r="K3061" s="14" t="n">
        <v>0</v>
      </c>
      <c r="L3061" s="14" t="n">
        <v>0</v>
      </c>
      <c r="M3061" s="14">
        <f>IF(B3061="Frete de venda",0,(1-ISNUMBER(SEARCH("556",P3061)))*(I3061*VLOOKUP($B3061,Premissas!$A$4:$E$7,2,0)+J3061*VLOOKUP($B3061,Premissas!$A$4:$E$7,3,0))+K3061*VLOOKUP($B3061,Premissas!$A$4:$E$7,4,0)+L3061*VLOOKUP($B3061,Premissas!$A$4:$E$7,5,0))</f>
        <v/>
      </c>
      <c r="N3061" s="14">
        <f>H3061-M3061</f>
        <v/>
      </c>
      <c r="O3061" t="inlineStr">
        <is>
          <t>Sim</t>
        </is>
      </c>
      <c r="P3061" t="inlineStr">
        <is>
          <t>2.350</t>
        </is>
      </c>
    </row>
    <row r="3062">
      <c r="A3062" s="24" t="n">
        <v>46143</v>
      </c>
      <c r="B3062" t="inlineStr">
        <is>
          <t>Frete de compra</t>
        </is>
      </c>
      <c r="C3062" t="inlineStr">
        <is>
          <t>Frete de compra</t>
        </is>
      </c>
      <c r="D3062" t="inlineStr">
        <is>
          <t>CT-e</t>
        </is>
      </c>
      <c r="E3062" t="inlineStr">
        <is>
          <t>000197653</t>
        </is>
      </c>
      <c r="F3062" t="inlineStr">
        <is>
          <t>ALIANCA NAVEGACAO E LOGISTICA LTDA</t>
        </is>
      </c>
      <c r="G3062" s="27" t="n">
        <v>46168</v>
      </c>
      <c r="H3062" s="14" t="n">
        <v>19297.27</v>
      </c>
      <c r="I3062" s="14" t="n">
        <v>0</v>
      </c>
      <c r="J3062" s="14" t="n">
        <v>1350.81</v>
      </c>
      <c r="K3062" s="14" t="n">
        <v>0</v>
      </c>
      <c r="L3062" s="14" t="n">
        <v>0</v>
      </c>
      <c r="M3062" s="14">
        <f>IF(B3062="Frete de venda",0,(1-ISNUMBER(SEARCH("556",P3062)))*(I3062*VLOOKUP($B3062,Premissas!$A$4:$E$7,2,0)+J3062*VLOOKUP($B3062,Premissas!$A$4:$E$7,3,0))+K3062*VLOOKUP($B3062,Premissas!$A$4:$E$7,4,0)+L3062*VLOOKUP($B3062,Premissas!$A$4:$E$7,5,0))</f>
        <v/>
      </c>
      <c r="N3062" s="14">
        <f>H3062-M3062</f>
        <v/>
      </c>
      <c r="O3062" t="inlineStr">
        <is>
          <t>Sim</t>
        </is>
      </c>
      <c r="P3062" t="inlineStr">
        <is>
          <t>2.350</t>
        </is>
      </c>
    </row>
    <row r="3063">
      <c r="A3063" s="24" t="n">
        <v>46143</v>
      </c>
      <c r="B3063" t="inlineStr">
        <is>
          <t>Frete de compra</t>
        </is>
      </c>
      <c r="C3063" t="inlineStr">
        <is>
          <t>Frete de compra</t>
        </is>
      </c>
      <c r="D3063" t="inlineStr">
        <is>
          <t>CT-e</t>
        </is>
      </c>
      <c r="E3063" t="inlineStr">
        <is>
          <t>000197791</t>
        </is>
      </c>
      <c r="F3063" t="inlineStr">
        <is>
          <t>ALIANCA NAVEGACAO E LOGISTICA LTDA</t>
        </is>
      </c>
      <c r="G3063" s="27" t="n">
        <v>46169</v>
      </c>
      <c r="H3063" s="14" t="n">
        <v>19283.05</v>
      </c>
      <c r="I3063" s="14" t="n">
        <v>0</v>
      </c>
      <c r="J3063" s="14" t="n">
        <v>1349.81</v>
      </c>
      <c r="K3063" s="14" t="n">
        <v>0</v>
      </c>
      <c r="L3063" s="14" t="n">
        <v>0</v>
      </c>
      <c r="M3063" s="14">
        <f>IF(B3063="Frete de venda",0,(1-ISNUMBER(SEARCH("556",P3063)))*(I3063*VLOOKUP($B3063,Premissas!$A$4:$E$7,2,0)+J3063*VLOOKUP($B3063,Premissas!$A$4:$E$7,3,0))+K3063*VLOOKUP($B3063,Premissas!$A$4:$E$7,4,0)+L3063*VLOOKUP($B3063,Premissas!$A$4:$E$7,5,0))</f>
        <v/>
      </c>
      <c r="N3063" s="14">
        <f>H3063-M3063</f>
        <v/>
      </c>
      <c r="O3063" t="inlineStr">
        <is>
          <t>Sim</t>
        </is>
      </c>
      <c r="P3063" t="inlineStr">
        <is>
          <t>2.350</t>
        </is>
      </c>
    </row>
    <row r="3064">
      <c r="A3064" s="24" t="n">
        <v>46143</v>
      </c>
      <c r="B3064" t="inlineStr">
        <is>
          <t>Frete de venda</t>
        </is>
      </c>
      <c r="C3064" t="inlineStr">
        <is>
          <t>Frete de venda (para clientes)</t>
        </is>
      </c>
      <c r="D3064" t="inlineStr">
        <is>
          <t>CT-e</t>
        </is>
      </c>
      <c r="E3064" t="inlineStr">
        <is>
          <t>000007007</t>
        </is>
      </c>
      <c r="F3064" t="inlineStr">
        <is>
          <t>R&amp;R TRANSPORTE E LOGISTICA</t>
        </is>
      </c>
      <c r="G3064" s="27" t="n">
        <v>46150</v>
      </c>
      <c r="H3064" s="14" t="n">
        <v>57.56</v>
      </c>
      <c r="I3064" s="14" t="n">
        <v>0</v>
      </c>
      <c r="J3064" s="14" t="n">
        <v>0</v>
      </c>
      <c r="K3064" s="14" t="n">
        <v>0</v>
      </c>
      <c r="L3064" s="14" t="n">
        <v>0</v>
      </c>
      <c r="M3064" s="14">
        <f>IF(B3064="Frete de venda",0,(1-ISNUMBER(SEARCH("556",P3064)))*(I3064*VLOOKUP($B3064,Premissas!$A$4:$E$7,2,0)+J3064*VLOOKUP($B3064,Premissas!$A$4:$E$7,3,0))+K3064*VLOOKUP($B3064,Premissas!$A$4:$E$7,4,0)+L3064*VLOOKUP($B3064,Premissas!$A$4:$E$7,5,0))</f>
        <v/>
      </c>
      <c r="N3064" s="14">
        <f>H3064-M3064</f>
        <v/>
      </c>
      <c r="O3064" t="inlineStr">
        <is>
          <t>Não</t>
        </is>
      </c>
      <c r="P3064" t="inlineStr">
        <is>
          <t>1.350</t>
        </is>
      </c>
    </row>
    <row r="3065">
      <c r="A3065" s="24" t="n">
        <v>46143</v>
      </c>
      <c r="B3065" t="inlineStr">
        <is>
          <t>Frete de venda</t>
        </is>
      </c>
      <c r="C3065" t="inlineStr">
        <is>
          <t>Frete de venda (para clientes)</t>
        </is>
      </c>
      <c r="D3065" t="inlineStr">
        <is>
          <t>CT-e</t>
        </is>
      </c>
      <c r="E3065" t="inlineStr">
        <is>
          <t>000006979</t>
        </is>
      </c>
      <c r="F3065" t="inlineStr">
        <is>
          <t>R&amp;R TRANSPORTE E LOGISTICA</t>
        </is>
      </c>
      <c r="G3065" s="27" t="n">
        <v>46147</v>
      </c>
      <c r="H3065" s="14" t="n">
        <v>31.01</v>
      </c>
      <c r="I3065" s="14" t="n">
        <v>0</v>
      </c>
      <c r="J3065" s="14" t="n">
        <v>0</v>
      </c>
      <c r="K3065" s="14" t="n">
        <v>0</v>
      </c>
      <c r="L3065" s="14" t="n">
        <v>0</v>
      </c>
      <c r="M3065" s="14">
        <f>IF(B3065="Frete de venda",0,(1-ISNUMBER(SEARCH("556",P3065)))*(I3065*VLOOKUP($B3065,Premissas!$A$4:$E$7,2,0)+J3065*VLOOKUP($B3065,Premissas!$A$4:$E$7,3,0))+K3065*VLOOKUP($B3065,Premissas!$A$4:$E$7,4,0)+L3065*VLOOKUP($B3065,Premissas!$A$4:$E$7,5,0))</f>
        <v/>
      </c>
      <c r="N3065" s="14">
        <f>H3065-M3065</f>
        <v/>
      </c>
      <c r="O3065" t="inlineStr">
        <is>
          <t>Não</t>
        </is>
      </c>
      <c r="P3065" t="inlineStr">
        <is>
          <t>1.350</t>
        </is>
      </c>
    </row>
    <row r="3066">
      <c r="A3066" s="24" t="n">
        <v>46143</v>
      </c>
      <c r="B3066" t="inlineStr">
        <is>
          <t>Frete de venda</t>
        </is>
      </c>
      <c r="C3066" t="inlineStr">
        <is>
          <t>Frete de venda (para clientes)</t>
        </is>
      </c>
      <c r="D3066" t="inlineStr">
        <is>
          <t>CT-e</t>
        </is>
      </c>
      <c r="E3066" t="inlineStr">
        <is>
          <t>000006954</t>
        </is>
      </c>
      <c r="F3066" t="inlineStr">
        <is>
          <t>R&amp;R TRANSPORTE E LOGISTICA</t>
        </is>
      </c>
      <c r="G3066" s="27" t="n">
        <v>46143</v>
      </c>
      <c r="H3066" s="14" t="n">
        <v>15.18</v>
      </c>
      <c r="I3066" s="14" t="n">
        <v>0</v>
      </c>
      <c r="J3066" s="14" t="n">
        <v>0</v>
      </c>
      <c r="K3066" s="14" t="n">
        <v>0</v>
      </c>
      <c r="L3066" s="14" t="n">
        <v>0</v>
      </c>
      <c r="M3066" s="14">
        <f>IF(B3066="Frete de venda",0,(1-ISNUMBER(SEARCH("556",P3066)))*(I3066*VLOOKUP($B3066,Premissas!$A$4:$E$7,2,0)+J3066*VLOOKUP($B3066,Premissas!$A$4:$E$7,3,0))+K3066*VLOOKUP($B3066,Premissas!$A$4:$E$7,4,0)+L3066*VLOOKUP($B3066,Premissas!$A$4:$E$7,5,0))</f>
        <v/>
      </c>
      <c r="N3066" s="14">
        <f>H3066-M3066</f>
        <v/>
      </c>
      <c r="O3066" t="inlineStr">
        <is>
          <t>Não</t>
        </is>
      </c>
      <c r="P3066" t="inlineStr">
        <is>
          <t>1.350</t>
        </is>
      </c>
    </row>
    <row r="3067">
      <c r="A3067" s="24" t="n">
        <v>46143</v>
      </c>
      <c r="B3067" t="inlineStr">
        <is>
          <t>Frete de venda</t>
        </is>
      </c>
      <c r="C3067" t="inlineStr">
        <is>
          <t>Frete de venda (para clientes)</t>
        </is>
      </c>
      <c r="D3067" t="inlineStr">
        <is>
          <t>CT-e</t>
        </is>
      </c>
      <c r="E3067" t="inlineStr">
        <is>
          <t>000007027</t>
        </is>
      </c>
      <c r="F3067" t="inlineStr">
        <is>
          <t>R&amp;R TRANSPORTE E LOGISTICA</t>
        </is>
      </c>
      <c r="G3067" s="27" t="n">
        <v>46151</v>
      </c>
      <c r="H3067" s="14" t="n">
        <v>67.22</v>
      </c>
      <c r="I3067" s="14" t="n">
        <v>0</v>
      </c>
      <c r="J3067" s="14" t="n">
        <v>0</v>
      </c>
      <c r="K3067" s="14" t="n">
        <v>0</v>
      </c>
      <c r="L3067" s="14" t="n">
        <v>0</v>
      </c>
      <c r="M3067" s="14">
        <f>IF(B3067="Frete de venda",0,(1-ISNUMBER(SEARCH("556",P3067)))*(I3067*VLOOKUP($B3067,Premissas!$A$4:$E$7,2,0)+J3067*VLOOKUP($B3067,Premissas!$A$4:$E$7,3,0))+K3067*VLOOKUP($B3067,Premissas!$A$4:$E$7,4,0)+L3067*VLOOKUP($B3067,Premissas!$A$4:$E$7,5,0))</f>
        <v/>
      </c>
      <c r="N3067" s="14">
        <f>H3067-M3067</f>
        <v/>
      </c>
      <c r="O3067" t="inlineStr">
        <is>
          <t>Não</t>
        </is>
      </c>
      <c r="P3067" t="inlineStr">
        <is>
          <t>1.350</t>
        </is>
      </c>
    </row>
    <row r="3068">
      <c r="A3068" s="24" t="n">
        <v>46143</v>
      </c>
      <c r="B3068" t="inlineStr">
        <is>
          <t>Frete de venda</t>
        </is>
      </c>
      <c r="C3068" t="inlineStr">
        <is>
          <t>Frete de venda (para clientes)</t>
        </is>
      </c>
      <c r="D3068" t="inlineStr">
        <is>
          <t>CT-e</t>
        </is>
      </c>
      <c r="E3068" t="inlineStr">
        <is>
          <t>000007122</t>
        </is>
      </c>
      <c r="F3068" t="inlineStr">
        <is>
          <t>R&amp;R TRANSPORTE E LOGISTICA</t>
        </is>
      </c>
      <c r="G3068" s="27" t="n">
        <v>46164</v>
      </c>
      <c r="H3068" s="14" t="n">
        <v>55.46</v>
      </c>
      <c r="I3068" s="14" t="n">
        <v>0</v>
      </c>
      <c r="J3068" s="14" t="n">
        <v>0</v>
      </c>
      <c r="K3068" s="14" t="n">
        <v>0</v>
      </c>
      <c r="L3068" s="14" t="n">
        <v>0</v>
      </c>
      <c r="M3068" s="14">
        <f>IF(B3068="Frete de venda",0,(1-ISNUMBER(SEARCH("556",P3068)))*(I3068*VLOOKUP($B3068,Premissas!$A$4:$E$7,2,0)+J3068*VLOOKUP($B3068,Premissas!$A$4:$E$7,3,0))+K3068*VLOOKUP($B3068,Premissas!$A$4:$E$7,4,0)+L3068*VLOOKUP($B3068,Premissas!$A$4:$E$7,5,0))</f>
        <v/>
      </c>
      <c r="N3068" s="14">
        <f>H3068-M3068</f>
        <v/>
      </c>
      <c r="O3068" t="inlineStr">
        <is>
          <t>Não</t>
        </is>
      </c>
      <c r="P3068" t="inlineStr">
        <is>
          <t>1.350</t>
        </is>
      </c>
    </row>
    <row r="3069">
      <c r="A3069" s="24" t="n">
        <v>46143</v>
      </c>
      <c r="B3069" t="inlineStr">
        <is>
          <t>Frete de venda</t>
        </is>
      </c>
      <c r="C3069" t="inlineStr">
        <is>
          <t>Frete de venda (para clientes)</t>
        </is>
      </c>
      <c r="D3069" t="inlineStr">
        <is>
          <t>CT-e</t>
        </is>
      </c>
      <c r="E3069" t="inlineStr">
        <is>
          <t>000007132</t>
        </is>
      </c>
      <c r="F3069" t="inlineStr">
        <is>
          <t>R&amp;R TRANSPORTE E LOGISTICA</t>
        </is>
      </c>
      <c r="G3069" s="27" t="n">
        <v>46165</v>
      </c>
      <c r="H3069" s="14" t="n">
        <v>68.2</v>
      </c>
      <c r="I3069" s="14" t="n">
        <v>0</v>
      </c>
      <c r="J3069" s="14" t="n">
        <v>0</v>
      </c>
      <c r="K3069" s="14" t="n">
        <v>0</v>
      </c>
      <c r="L3069" s="14" t="n">
        <v>0</v>
      </c>
      <c r="M3069" s="14">
        <f>IF(B3069="Frete de venda",0,(1-ISNUMBER(SEARCH("556",P3069)))*(I3069*VLOOKUP($B3069,Premissas!$A$4:$E$7,2,0)+J3069*VLOOKUP($B3069,Premissas!$A$4:$E$7,3,0))+K3069*VLOOKUP($B3069,Premissas!$A$4:$E$7,4,0)+L3069*VLOOKUP($B3069,Premissas!$A$4:$E$7,5,0))</f>
        <v/>
      </c>
      <c r="N3069" s="14">
        <f>H3069-M3069</f>
        <v/>
      </c>
      <c r="O3069" t="inlineStr">
        <is>
          <t>Não</t>
        </is>
      </c>
      <c r="P3069" t="inlineStr">
        <is>
          <t>1.350</t>
        </is>
      </c>
    </row>
    <row r="3070">
      <c r="A3070" s="24" t="n">
        <v>46143</v>
      </c>
      <c r="B3070" t="inlineStr">
        <is>
          <t>Frete de venda</t>
        </is>
      </c>
      <c r="C3070" t="inlineStr">
        <is>
          <t>Frete de venda (para clientes)</t>
        </is>
      </c>
      <c r="D3070" t="inlineStr">
        <is>
          <t>CT-e</t>
        </is>
      </c>
      <c r="E3070" t="inlineStr">
        <is>
          <t>000007068</t>
        </is>
      </c>
      <c r="F3070" t="inlineStr">
        <is>
          <t>R&amp;R TRANSPORTE E LOGISTICA</t>
        </is>
      </c>
      <c r="G3070" s="27" t="n">
        <v>46157</v>
      </c>
      <c r="H3070" s="14" t="n">
        <v>128.55</v>
      </c>
      <c r="I3070" s="14" t="n">
        <v>0</v>
      </c>
      <c r="J3070" s="14" t="n">
        <v>0</v>
      </c>
      <c r="K3070" s="14" t="n">
        <v>0</v>
      </c>
      <c r="L3070" s="14" t="n">
        <v>0</v>
      </c>
      <c r="M3070" s="14">
        <f>IF(B3070="Frete de venda",0,(1-ISNUMBER(SEARCH("556",P3070)))*(I3070*VLOOKUP($B3070,Premissas!$A$4:$E$7,2,0)+J3070*VLOOKUP($B3070,Premissas!$A$4:$E$7,3,0))+K3070*VLOOKUP($B3070,Premissas!$A$4:$E$7,4,0)+L3070*VLOOKUP($B3070,Premissas!$A$4:$E$7,5,0))</f>
        <v/>
      </c>
      <c r="N3070" s="14">
        <f>H3070-M3070</f>
        <v/>
      </c>
      <c r="O3070" t="inlineStr">
        <is>
          <t>Não</t>
        </is>
      </c>
      <c r="P3070" t="inlineStr">
        <is>
          <t>1.350</t>
        </is>
      </c>
    </row>
    <row r="3071">
      <c r="A3071" s="24" t="n">
        <v>46143</v>
      </c>
      <c r="B3071" t="inlineStr">
        <is>
          <t>Frete de venda</t>
        </is>
      </c>
      <c r="C3071" t="inlineStr">
        <is>
          <t>Frete de venda (para clientes)</t>
        </is>
      </c>
      <c r="D3071" t="inlineStr">
        <is>
          <t>CT-e</t>
        </is>
      </c>
      <c r="E3071" t="inlineStr">
        <is>
          <t>000003874</t>
        </is>
      </c>
      <c r="F3071" t="inlineStr">
        <is>
          <t>RAPIDO XAPURI TRANSPORTES E LOGISTICA LTDA</t>
        </is>
      </c>
      <c r="G3071" s="27" t="n">
        <v>46162</v>
      </c>
      <c r="H3071" s="14" t="n">
        <v>5466.51</v>
      </c>
      <c r="I3071" s="14" t="n">
        <v>0</v>
      </c>
      <c r="J3071" s="14" t="n">
        <v>655.98</v>
      </c>
      <c r="K3071" s="14" t="n">
        <v>0</v>
      </c>
      <c r="L3071" s="14" t="n">
        <v>0</v>
      </c>
      <c r="M3071" s="14">
        <f>IF(B3071="Frete de venda",0,(1-ISNUMBER(SEARCH("556",P3071)))*(I3071*VLOOKUP($B3071,Premissas!$A$4:$E$7,2,0)+J3071*VLOOKUP($B3071,Premissas!$A$4:$E$7,3,0))+K3071*VLOOKUP($B3071,Premissas!$A$4:$E$7,4,0)+L3071*VLOOKUP($B3071,Premissas!$A$4:$E$7,5,0))</f>
        <v/>
      </c>
      <c r="N3071" s="14">
        <f>H3071-M3071</f>
        <v/>
      </c>
      <c r="O3071" t="inlineStr">
        <is>
          <t>Sim</t>
        </is>
      </c>
      <c r="P3071" t="inlineStr">
        <is>
          <t>2.350</t>
        </is>
      </c>
    </row>
    <row r="3072">
      <c r="A3072" s="24" t="n">
        <v>46143</v>
      </c>
      <c r="B3072" t="inlineStr">
        <is>
          <t>Frete de venda</t>
        </is>
      </c>
      <c r="C3072" t="inlineStr">
        <is>
          <t>Frete de venda (para clientes)</t>
        </is>
      </c>
      <c r="D3072" t="inlineStr">
        <is>
          <t>CT-e</t>
        </is>
      </c>
      <c r="E3072" t="inlineStr">
        <is>
          <t>000007084</t>
        </is>
      </c>
      <c r="F3072" t="inlineStr">
        <is>
          <t>R&amp;R TRANSPORTE E LOGISTICA</t>
        </is>
      </c>
      <c r="G3072" s="27" t="n">
        <v>46157</v>
      </c>
      <c r="H3072" s="14" t="n">
        <v>42.21</v>
      </c>
      <c r="I3072" s="14" t="n">
        <v>0</v>
      </c>
      <c r="J3072" s="14" t="n">
        <v>0</v>
      </c>
      <c r="K3072" s="14" t="n">
        <v>0</v>
      </c>
      <c r="L3072" s="14" t="n">
        <v>0</v>
      </c>
      <c r="M3072" s="14">
        <f>IF(B3072="Frete de venda",0,(1-ISNUMBER(SEARCH("556",P3072)))*(I3072*VLOOKUP($B3072,Premissas!$A$4:$E$7,2,0)+J3072*VLOOKUP($B3072,Premissas!$A$4:$E$7,3,0))+K3072*VLOOKUP($B3072,Premissas!$A$4:$E$7,4,0)+L3072*VLOOKUP($B3072,Premissas!$A$4:$E$7,5,0))</f>
        <v/>
      </c>
      <c r="N3072" s="14">
        <f>H3072-M3072</f>
        <v/>
      </c>
      <c r="O3072" t="inlineStr">
        <is>
          <t>Não</t>
        </is>
      </c>
      <c r="P3072" t="inlineStr">
        <is>
          <t>1.350</t>
        </is>
      </c>
    </row>
    <row r="3073">
      <c r="A3073" s="24" t="n">
        <v>46143</v>
      </c>
      <c r="B3073" t="inlineStr">
        <is>
          <t>Frete de venda</t>
        </is>
      </c>
      <c r="C3073" t="inlineStr">
        <is>
          <t>Frete de venda (para clientes)</t>
        </is>
      </c>
      <c r="D3073" t="inlineStr">
        <is>
          <t>CT-e</t>
        </is>
      </c>
      <c r="E3073" t="inlineStr">
        <is>
          <t>000024667</t>
        </is>
      </c>
      <c r="F3073" t="inlineStr">
        <is>
          <t>TRANSPORTE OLIVEIRA E MELLOI - IDEALIZA TRANSPORTES</t>
        </is>
      </c>
      <c r="G3073" s="27" t="n">
        <v>46167</v>
      </c>
      <c r="H3073" s="14" t="n">
        <v>770.74</v>
      </c>
      <c r="I3073" s="14" t="n">
        <v>0</v>
      </c>
      <c r="J3073" s="14" t="n">
        <v>92.48999999999999</v>
      </c>
      <c r="K3073" s="14" t="n">
        <v>0</v>
      </c>
      <c r="L3073" s="14" t="n">
        <v>0</v>
      </c>
      <c r="M3073" s="14">
        <f>IF(B3073="Frete de venda",0,(1-ISNUMBER(SEARCH("556",P3073)))*(I3073*VLOOKUP($B3073,Premissas!$A$4:$E$7,2,0)+J3073*VLOOKUP($B3073,Premissas!$A$4:$E$7,3,0))+K3073*VLOOKUP($B3073,Premissas!$A$4:$E$7,4,0)+L3073*VLOOKUP($B3073,Premissas!$A$4:$E$7,5,0))</f>
        <v/>
      </c>
      <c r="N3073" s="14">
        <f>H3073-M3073</f>
        <v/>
      </c>
      <c r="O3073" t="inlineStr">
        <is>
          <t>Sim</t>
        </is>
      </c>
      <c r="P3073" t="inlineStr">
        <is>
          <t>2.350</t>
        </is>
      </c>
    </row>
    <row r="3074">
      <c r="A3074" s="24" t="n">
        <v>46143</v>
      </c>
      <c r="B3074" t="inlineStr">
        <is>
          <t>Frete de venda</t>
        </is>
      </c>
      <c r="C3074" t="inlineStr">
        <is>
          <t>Frete de venda (para clientes)</t>
        </is>
      </c>
      <c r="D3074" t="inlineStr">
        <is>
          <t>CT-e</t>
        </is>
      </c>
      <c r="E3074" t="inlineStr">
        <is>
          <t>000007155</t>
        </is>
      </c>
      <c r="F3074" t="inlineStr">
        <is>
          <t>R&amp;R TRANSPORTE E LOGISTICA</t>
        </is>
      </c>
      <c r="G3074" s="27" t="n">
        <v>46168</v>
      </c>
      <c r="H3074" s="14" t="n">
        <v>42.95</v>
      </c>
      <c r="I3074" s="14" t="n">
        <v>0</v>
      </c>
      <c r="J3074" s="14" t="n">
        <v>0</v>
      </c>
      <c r="K3074" s="14" t="n">
        <v>0</v>
      </c>
      <c r="L3074" s="14" t="n">
        <v>0</v>
      </c>
      <c r="M3074" s="14">
        <f>IF(B3074="Frete de venda",0,(1-ISNUMBER(SEARCH("556",P3074)))*(I3074*VLOOKUP($B3074,Premissas!$A$4:$E$7,2,0)+J3074*VLOOKUP($B3074,Premissas!$A$4:$E$7,3,0))+K3074*VLOOKUP($B3074,Premissas!$A$4:$E$7,4,0)+L3074*VLOOKUP($B3074,Premissas!$A$4:$E$7,5,0))</f>
        <v/>
      </c>
      <c r="N3074" s="14">
        <f>H3074-M3074</f>
        <v/>
      </c>
      <c r="O3074" t="inlineStr">
        <is>
          <t>Não</t>
        </is>
      </c>
      <c r="P3074" t="inlineStr">
        <is>
          <t>1.350</t>
        </is>
      </c>
    </row>
    <row r="3075">
      <c r="A3075" s="24" t="n">
        <v>46143</v>
      </c>
      <c r="B3075" t="inlineStr">
        <is>
          <t>Frete de venda</t>
        </is>
      </c>
      <c r="C3075" t="inlineStr">
        <is>
          <t>Frete de venda (para clientes)</t>
        </is>
      </c>
      <c r="D3075" t="inlineStr">
        <is>
          <t>CT-e</t>
        </is>
      </c>
      <c r="E3075" t="inlineStr">
        <is>
          <t>000007002</t>
        </is>
      </c>
      <c r="F3075" t="inlineStr">
        <is>
          <t>R&amp;R TRANSPORTE E LOGISTICA</t>
        </is>
      </c>
      <c r="G3075" s="27" t="n">
        <v>46149</v>
      </c>
      <c r="H3075" s="14" t="n">
        <v>79.40000000000001</v>
      </c>
      <c r="I3075" s="14" t="n">
        <v>0</v>
      </c>
      <c r="J3075" s="14" t="n">
        <v>0</v>
      </c>
      <c r="K3075" s="14" t="n">
        <v>0</v>
      </c>
      <c r="L3075" s="14" t="n">
        <v>0</v>
      </c>
      <c r="M3075" s="14">
        <f>IF(B3075="Frete de venda",0,(1-ISNUMBER(SEARCH("556",P3075)))*(I3075*VLOOKUP($B3075,Premissas!$A$4:$E$7,2,0)+J3075*VLOOKUP($B3075,Premissas!$A$4:$E$7,3,0))+K3075*VLOOKUP($B3075,Premissas!$A$4:$E$7,4,0)+L3075*VLOOKUP($B3075,Premissas!$A$4:$E$7,5,0))</f>
        <v/>
      </c>
      <c r="N3075" s="14">
        <f>H3075-M3075</f>
        <v/>
      </c>
      <c r="O3075" t="inlineStr">
        <is>
          <t>Não</t>
        </is>
      </c>
      <c r="P3075" t="inlineStr">
        <is>
          <t>1.350</t>
        </is>
      </c>
    </row>
    <row r="3076">
      <c r="A3076" s="24" t="n">
        <v>46143</v>
      </c>
      <c r="B3076" t="inlineStr">
        <is>
          <t>Frete de venda</t>
        </is>
      </c>
      <c r="C3076" t="inlineStr">
        <is>
          <t>Frete de venda (para clientes)</t>
        </is>
      </c>
      <c r="D3076" t="inlineStr">
        <is>
          <t>CT-e</t>
        </is>
      </c>
      <c r="E3076" t="inlineStr">
        <is>
          <t>000006983</t>
        </is>
      </c>
      <c r="F3076" t="inlineStr">
        <is>
          <t>R&amp;R TRANSPORTE E LOGISTICA</t>
        </is>
      </c>
      <c r="G3076" s="27" t="n">
        <v>46147</v>
      </c>
      <c r="H3076" s="14" t="n">
        <v>18.09</v>
      </c>
      <c r="I3076" s="14" t="n">
        <v>0</v>
      </c>
      <c r="J3076" s="14" t="n">
        <v>0</v>
      </c>
      <c r="K3076" s="14" t="n">
        <v>0</v>
      </c>
      <c r="L3076" s="14" t="n">
        <v>0</v>
      </c>
      <c r="M3076" s="14">
        <f>IF(B3076="Frete de venda",0,(1-ISNUMBER(SEARCH("556",P3076)))*(I3076*VLOOKUP($B3076,Premissas!$A$4:$E$7,2,0)+J3076*VLOOKUP($B3076,Premissas!$A$4:$E$7,3,0))+K3076*VLOOKUP($B3076,Premissas!$A$4:$E$7,4,0)+L3076*VLOOKUP($B3076,Premissas!$A$4:$E$7,5,0))</f>
        <v/>
      </c>
      <c r="N3076" s="14">
        <f>H3076-M3076</f>
        <v/>
      </c>
      <c r="O3076" t="inlineStr">
        <is>
          <t>Não</t>
        </is>
      </c>
      <c r="P3076" t="inlineStr">
        <is>
          <t>1.350</t>
        </is>
      </c>
    </row>
    <row r="3077">
      <c r="A3077" s="24" t="n">
        <v>46143</v>
      </c>
      <c r="B3077" t="inlineStr">
        <is>
          <t>Frete de venda</t>
        </is>
      </c>
      <c r="C3077" t="inlineStr">
        <is>
          <t>Frete de venda (para clientes)</t>
        </is>
      </c>
      <c r="D3077" t="inlineStr">
        <is>
          <t>CT-e</t>
        </is>
      </c>
      <c r="E3077" t="inlineStr">
        <is>
          <t>000007223</t>
        </is>
      </c>
      <c r="F3077" t="inlineStr">
        <is>
          <t>R&amp;R TRANSPORTE E LOGISTICA</t>
        </is>
      </c>
      <c r="G3077" s="27" t="n">
        <v>46172</v>
      </c>
      <c r="H3077" s="14" t="n">
        <v>49.2</v>
      </c>
      <c r="I3077" s="14" t="n">
        <v>0</v>
      </c>
      <c r="J3077" s="14" t="n">
        <v>0</v>
      </c>
      <c r="K3077" s="14" t="n">
        <v>0</v>
      </c>
      <c r="L3077" s="14" t="n">
        <v>0</v>
      </c>
      <c r="M3077" s="14">
        <f>IF(B3077="Frete de venda",0,(1-ISNUMBER(SEARCH("556",P3077)))*(I3077*VLOOKUP($B3077,Premissas!$A$4:$E$7,2,0)+J3077*VLOOKUP($B3077,Premissas!$A$4:$E$7,3,0))+K3077*VLOOKUP($B3077,Premissas!$A$4:$E$7,4,0)+L3077*VLOOKUP($B3077,Premissas!$A$4:$E$7,5,0))</f>
        <v/>
      </c>
      <c r="N3077" s="14">
        <f>H3077-M3077</f>
        <v/>
      </c>
      <c r="O3077" t="inlineStr">
        <is>
          <t>Não</t>
        </is>
      </c>
      <c r="P3077" t="inlineStr">
        <is>
          <t>2.350</t>
        </is>
      </c>
    </row>
    <row r="3078">
      <c r="A3078" s="24" t="n">
        <v>46143</v>
      </c>
      <c r="B3078" t="inlineStr">
        <is>
          <t>Frete de venda</t>
        </is>
      </c>
      <c r="C3078" t="inlineStr">
        <is>
          <t>Frete de venda (para clientes)</t>
        </is>
      </c>
      <c r="D3078" t="inlineStr">
        <is>
          <t>CT-e</t>
        </is>
      </c>
      <c r="E3078" t="inlineStr">
        <is>
          <t>000007229</t>
        </is>
      </c>
      <c r="F3078" t="inlineStr">
        <is>
          <t>R&amp;R TRANSPORTE E LOGISTICA</t>
        </is>
      </c>
      <c r="G3078" s="27" t="n">
        <v>46172</v>
      </c>
      <c r="H3078" s="14" t="n">
        <v>32</v>
      </c>
      <c r="I3078" s="14" t="n">
        <v>0</v>
      </c>
      <c r="J3078" s="14" t="n">
        <v>0</v>
      </c>
      <c r="K3078" s="14" t="n">
        <v>0</v>
      </c>
      <c r="L3078" s="14" t="n">
        <v>0</v>
      </c>
      <c r="M3078" s="14">
        <f>IF(B3078="Frete de venda",0,(1-ISNUMBER(SEARCH("556",P3078)))*(I3078*VLOOKUP($B3078,Premissas!$A$4:$E$7,2,0)+J3078*VLOOKUP($B3078,Premissas!$A$4:$E$7,3,0))+K3078*VLOOKUP($B3078,Premissas!$A$4:$E$7,4,0)+L3078*VLOOKUP($B3078,Premissas!$A$4:$E$7,5,0))</f>
        <v/>
      </c>
      <c r="N3078" s="14">
        <f>H3078-M3078</f>
        <v/>
      </c>
      <c r="O3078" t="inlineStr">
        <is>
          <t>Não</t>
        </is>
      </c>
      <c r="P3078" t="inlineStr">
        <is>
          <t>2.350</t>
        </is>
      </c>
    </row>
    <row r="3079">
      <c r="A3079" s="24" t="n">
        <v>46143</v>
      </c>
      <c r="B3079" t="inlineStr">
        <is>
          <t>Frete de venda</t>
        </is>
      </c>
      <c r="C3079" t="inlineStr">
        <is>
          <t>Frete de venda (para clientes)</t>
        </is>
      </c>
      <c r="D3079" t="inlineStr">
        <is>
          <t>CT-e</t>
        </is>
      </c>
      <c r="E3079" t="inlineStr">
        <is>
          <t>000007073</t>
        </is>
      </c>
      <c r="F3079" t="inlineStr">
        <is>
          <t>R&amp;R TRANSPORTE E LOGISTICA</t>
        </is>
      </c>
      <c r="G3079" s="27" t="n">
        <v>46157</v>
      </c>
      <c r="H3079" s="14" t="n">
        <v>34.8</v>
      </c>
      <c r="I3079" s="14" t="n">
        <v>0</v>
      </c>
      <c r="J3079" s="14" t="n">
        <v>0</v>
      </c>
      <c r="K3079" s="14" t="n">
        <v>0</v>
      </c>
      <c r="L3079" s="14" t="n">
        <v>0</v>
      </c>
      <c r="M3079" s="14">
        <f>IF(B3079="Frete de venda",0,(1-ISNUMBER(SEARCH("556",P3079)))*(I3079*VLOOKUP($B3079,Premissas!$A$4:$E$7,2,0)+J3079*VLOOKUP($B3079,Premissas!$A$4:$E$7,3,0))+K3079*VLOOKUP($B3079,Premissas!$A$4:$E$7,4,0)+L3079*VLOOKUP($B3079,Premissas!$A$4:$E$7,5,0))</f>
        <v/>
      </c>
      <c r="N3079" s="14">
        <f>H3079-M3079</f>
        <v/>
      </c>
      <c r="O3079" t="inlineStr">
        <is>
          <t>Não</t>
        </is>
      </c>
      <c r="P3079" t="inlineStr">
        <is>
          <t>1.350</t>
        </is>
      </c>
    </row>
    <row r="3080">
      <c r="A3080" s="24" t="n">
        <v>46143</v>
      </c>
      <c r="B3080" t="inlineStr">
        <is>
          <t>Frete de venda</t>
        </is>
      </c>
      <c r="C3080" t="inlineStr">
        <is>
          <t>Frete de venda (para clientes)</t>
        </is>
      </c>
      <c r="D3080" t="inlineStr">
        <is>
          <t>CT-e</t>
        </is>
      </c>
      <c r="E3080" t="inlineStr">
        <is>
          <t>000007186</t>
        </is>
      </c>
      <c r="F3080" t="inlineStr">
        <is>
          <t>R&amp;R TRANSPORTE E LOGISTICA</t>
        </is>
      </c>
      <c r="G3080" s="27" t="n">
        <v>46170</v>
      </c>
      <c r="H3080" s="14" t="n">
        <v>17.4</v>
      </c>
      <c r="I3080" s="14" t="n">
        <v>0</v>
      </c>
      <c r="J3080" s="14" t="n">
        <v>0</v>
      </c>
      <c r="K3080" s="14" t="n">
        <v>0</v>
      </c>
      <c r="L3080" s="14" t="n">
        <v>0</v>
      </c>
      <c r="M3080" s="14">
        <f>IF(B3080="Frete de venda",0,(1-ISNUMBER(SEARCH("556",P3080)))*(I3080*VLOOKUP($B3080,Premissas!$A$4:$E$7,2,0)+J3080*VLOOKUP($B3080,Premissas!$A$4:$E$7,3,0))+K3080*VLOOKUP($B3080,Premissas!$A$4:$E$7,4,0)+L3080*VLOOKUP($B3080,Premissas!$A$4:$E$7,5,0))</f>
        <v/>
      </c>
      <c r="N3080" s="14">
        <f>H3080-M3080</f>
        <v/>
      </c>
      <c r="O3080" t="inlineStr">
        <is>
          <t>Não</t>
        </is>
      </c>
      <c r="P3080" t="inlineStr">
        <is>
          <t>1.350</t>
        </is>
      </c>
    </row>
    <row r="3081">
      <c r="A3081" s="24" t="n">
        <v>46143</v>
      </c>
      <c r="B3081" t="inlineStr">
        <is>
          <t>Frete de venda</t>
        </is>
      </c>
      <c r="C3081" t="inlineStr">
        <is>
          <t>Frete de venda (para clientes)</t>
        </is>
      </c>
      <c r="D3081" t="inlineStr">
        <is>
          <t>CT-e</t>
        </is>
      </c>
      <c r="E3081" t="inlineStr">
        <is>
          <t>000007146</t>
        </is>
      </c>
      <c r="F3081" t="inlineStr">
        <is>
          <t>R&amp;R TRANSPORTE E LOGISTICA</t>
        </is>
      </c>
      <c r="G3081" s="27" t="n">
        <v>46167</v>
      </c>
      <c r="H3081" s="14" t="n">
        <v>19.11</v>
      </c>
      <c r="I3081" s="14" t="n">
        <v>0</v>
      </c>
      <c r="J3081" s="14" t="n">
        <v>0</v>
      </c>
      <c r="K3081" s="14" t="n">
        <v>0</v>
      </c>
      <c r="L3081" s="14" t="n">
        <v>0</v>
      </c>
      <c r="M3081" s="14">
        <f>IF(B3081="Frete de venda",0,(1-ISNUMBER(SEARCH("556",P3081)))*(I3081*VLOOKUP($B3081,Premissas!$A$4:$E$7,2,0)+J3081*VLOOKUP($B3081,Premissas!$A$4:$E$7,3,0))+K3081*VLOOKUP($B3081,Premissas!$A$4:$E$7,4,0)+L3081*VLOOKUP($B3081,Premissas!$A$4:$E$7,5,0))</f>
        <v/>
      </c>
      <c r="N3081" s="14">
        <f>H3081-M3081</f>
        <v/>
      </c>
      <c r="O3081" t="inlineStr">
        <is>
          <t>Não</t>
        </is>
      </c>
      <c r="P3081" t="inlineStr">
        <is>
          <t>1.350</t>
        </is>
      </c>
    </row>
    <row r="3082">
      <c r="A3082" s="24" t="n">
        <v>46143</v>
      </c>
      <c r="B3082" t="inlineStr">
        <is>
          <t>Frete de venda</t>
        </is>
      </c>
      <c r="C3082" t="inlineStr">
        <is>
          <t>Frete de venda (para clientes)</t>
        </is>
      </c>
      <c r="D3082" t="inlineStr">
        <is>
          <t>CT-e</t>
        </is>
      </c>
      <c r="E3082" t="inlineStr">
        <is>
          <t>000006993</t>
        </is>
      </c>
      <c r="F3082" t="inlineStr">
        <is>
          <t>R&amp;R TRANSPORTE E LOGISTICA</t>
        </is>
      </c>
      <c r="G3082" s="27" t="n">
        <v>46149</v>
      </c>
      <c r="H3082" s="14" t="n">
        <v>27.06</v>
      </c>
      <c r="I3082" s="14" t="n">
        <v>0</v>
      </c>
      <c r="J3082" s="14" t="n">
        <v>0</v>
      </c>
      <c r="K3082" s="14" t="n">
        <v>0</v>
      </c>
      <c r="L3082" s="14" t="n">
        <v>0</v>
      </c>
      <c r="M3082" s="14">
        <f>IF(B3082="Frete de venda",0,(1-ISNUMBER(SEARCH("556",P3082)))*(I3082*VLOOKUP($B3082,Premissas!$A$4:$E$7,2,0)+J3082*VLOOKUP($B3082,Premissas!$A$4:$E$7,3,0))+K3082*VLOOKUP($B3082,Premissas!$A$4:$E$7,4,0)+L3082*VLOOKUP($B3082,Premissas!$A$4:$E$7,5,0))</f>
        <v/>
      </c>
      <c r="N3082" s="14">
        <f>H3082-M3082</f>
        <v/>
      </c>
      <c r="O3082" t="inlineStr">
        <is>
          <t>Não</t>
        </is>
      </c>
      <c r="P3082" t="inlineStr">
        <is>
          <t>1.350</t>
        </is>
      </c>
    </row>
    <row r="3083">
      <c r="A3083" s="24" t="n">
        <v>46143</v>
      </c>
      <c r="B3083" t="inlineStr">
        <is>
          <t>Frete de venda</t>
        </is>
      </c>
      <c r="C3083" t="inlineStr">
        <is>
          <t>Frete de venda (para clientes)</t>
        </is>
      </c>
      <c r="D3083" t="inlineStr">
        <is>
          <t>CT-e</t>
        </is>
      </c>
      <c r="E3083" t="inlineStr">
        <is>
          <t>000015764</t>
        </is>
      </c>
      <c r="F3083" t="inlineStr">
        <is>
          <t>ANGELA PAULA MASSARUT ME</t>
        </is>
      </c>
      <c r="G3083" s="27" t="n">
        <v>46150</v>
      </c>
      <c r="H3083" s="14" t="n">
        <v>388.97</v>
      </c>
      <c r="I3083" s="14" t="n">
        <v>0</v>
      </c>
      <c r="J3083" s="14" t="n">
        <v>46.68</v>
      </c>
      <c r="K3083" s="14" t="n">
        <v>0</v>
      </c>
      <c r="L3083" s="14" t="n">
        <v>0</v>
      </c>
      <c r="M3083" s="14">
        <f>IF(B3083="Frete de venda",0,(1-ISNUMBER(SEARCH("556",P3083)))*(I3083*VLOOKUP($B3083,Premissas!$A$4:$E$7,2,0)+J3083*VLOOKUP($B3083,Premissas!$A$4:$E$7,3,0))+K3083*VLOOKUP($B3083,Premissas!$A$4:$E$7,4,0)+L3083*VLOOKUP($B3083,Premissas!$A$4:$E$7,5,0))</f>
        <v/>
      </c>
      <c r="N3083" s="14">
        <f>H3083-M3083</f>
        <v/>
      </c>
      <c r="O3083" t="inlineStr">
        <is>
          <t>Sim</t>
        </is>
      </c>
      <c r="P3083" t="inlineStr">
        <is>
          <t>1.350</t>
        </is>
      </c>
    </row>
    <row r="3084">
      <c r="A3084" s="24" t="n">
        <v>46143</v>
      </c>
      <c r="B3084" t="inlineStr">
        <is>
          <t>Frete de venda</t>
        </is>
      </c>
      <c r="C3084" t="inlineStr">
        <is>
          <t>Frete de venda (para clientes)</t>
        </is>
      </c>
      <c r="D3084" t="inlineStr">
        <is>
          <t>CT-e</t>
        </is>
      </c>
      <c r="E3084" t="inlineStr">
        <is>
          <t>000007224</t>
        </is>
      </c>
      <c r="F3084" t="inlineStr">
        <is>
          <t>R&amp;R TRANSPORTE E LOGISTICA</t>
        </is>
      </c>
      <c r="G3084" s="27" t="n">
        <v>46172</v>
      </c>
      <c r="H3084" s="14" t="n">
        <v>99.15000000000001</v>
      </c>
      <c r="I3084" s="14" t="n">
        <v>0</v>
      </c>
      <c r="J3084" s="14" t="n">
        <v>0</v>
      </c>
      <c r="K3084" s="14" t="n">
        <v>0</v>
      </c>
      <c r="L3084" s="14" t="n">
        <v>0</v>
      </c>
      <c r="M3084" s="14">
        <f>IF(B3084="Frete de venda",0,(1-ISNUMBER(SEARCH("556",P3084)))*(I3084*VLOOKUP($B3084,Premissas!$A$4:$E$7,2,0)+J3084*VLOOKUP($B3084,Premissas!$A$4:$E$7,3,0))+K3084*VLOOKUP($B3084,Premissas!$A$4:$E$7,4,0)+L3084*VLOOKUP($B3084,Premissas!$A$4:$E$7,5,0))</f>
        <v/>
      </c>
      <c r="N3084" s="14">
        <f>H3084-M3084</f>
        <v/>
      </c>
      <c r="O3084" t="inlineStr">
        <is>
          <t>Não</t>
        </is>
      </c>
      <c r="P3084" t="inlineStr">
        <is>
          <t>2.350</t>
        </is>
      </c>
    </row>
    <row r="3085">
      <c r="A3085" s="24" t="n">
        <v>46143</v>
      </c>
      <c r="B3085" t="inlineStr">
        <is>
          <t>Frete de venda</t>
        </is>
      </c>
      <c r="C3085" t="inlineStr">
        <is>
          <t>Frete de venda (para clientes)</t>
        </is>
      </c>
      <c r="D3085" t="inlineStr">
        <is>
          <t>CT-e</t>
        </is>
      </c>
      <c r="E3085" t="inlineStr">
        <is>
          <t>000007064</t>
        </is>
      </c>
      <c r="F3085" t="inlineStr">
        <is>
          <t>R&amp;R TRANSPORTE E LOGISTICA</t>
        </is>
      </c>
      <c r="G3085" s="27" t="n">
        <v>46157</v>
      </c>
      <c r="H3085" s="14" t="n">
        <v>31.7</v>
      </c>
      <c r="I3085" s="14" t="n">
        <v>0</v>
      </c>
      <c r="J3085" s="14" t="n">
        <v>0</v>
      </c>
      <c r="K3085" s="14" t="n">
        <v>0</v>
      </c>
      <c r="L3085" s="14" t="n">
        <v>0</v>
      </c>
      <c r="M3085" s="14">
        <f>IF(B3085="Frete de venda",0,(1-ISNUMBER(SEARCH("556",P3085)))*(I3085*VLOOKUP($B3085,Premissas!$A$4:$E$7,2,0)+J3085*VLOOKUP($B3085,Premissas!$A$4:$E$7,3,0))+K3085*VLOOKUP($B3085,Premissas!$A$4:$E$7,4,0)+L3085*VLOOKUP($B3085,Premissas!$A$4:$E$7,5,0))</f>
        <v/>
      </c>
      <c r="N3085" s="14">
        <f>H3085-M3085</f>
        <v/>
      </c>
      <c r="O3085" t="inlineStr">
        <is>
          <t>Não</t>
        </is>
      </c>
      <c r="P3085" t="inlineStr">
        <is>
          <t>1.350</t>
        </is>
      </c>
    </row>
    <row r="3086">
      <c r="A3086" s="24" t="n">
        <v>46143</v>
      </c>
      <c r="B3086" t="inlineStr">
        <is>
          <t>Frete de venda</t>
        </is>
      </c>
      <c r="C3086" t="inlineStr">
        <is>
          <t>Frete de venda (para clientes)</t>
        </is>
      </c>
      <c r="D3086" t="inlineStr">
        <is>
          <t>CT-e</t>
        </is>
      </c>
      <c r="E3086" t="inlineStr">
        <is>
          <t>000007119</t>
        </is>
      </c>
      <c r="F3086" t="inlineStr">
        <is>
          <t>R&amp;R TRANSPORTE E LOGISTICA</t>
        </is>
      </c>
      <c r="G3086" s="27" t="n">
        <v>46164</v>
      </c>
      <c r="H3086" s="14" t="n">
        <v>38.91</v>
      </c>
      <c r="I3086" s="14" t="n">
        <v>0</v>
      </c>
      <c r="J3086" s="14" t="n">
        <v>0</v>
      </c>
      <c r="K3086" s="14" t="n">
        <v>0</v>
      </c>
      <c r="L3086" s="14" t="n">
        <v>0</v>
      </c>
      <c r="M3086" s="14">
        <f>IF(B3086="Frete de venda",0,(1-ISNUMBER(SEARCH("556",P3086)))*(I3086*VLOOKUP($B3086,Premissas!$A$4:$E$7,2,0)+J3086*VLOOKUP($B3086,Premissas!$A$4:$E$7,3,0))+K3086*VLOOKUP($B3086,Premissas!$A$4:$E$7,4,0)+L3086*VLOOKUP($B3086,Premissas!$A$4:$E$7,5,0))</f>
        <v/>
      </c>
      <c r="N3086" s="14">
        <f>H3086-M3086</f>
        <v/>
      </c>
      <c r="O3086" t="inlineStr">
        <is>
          <t>Não</t>
        </is>
      </c>
      <c r="P3086" t="inlineStr">
        <is>
          <t>1.350</t>
        </is>
      </c>
    </row>
    <row r="3087">
      <c r="A3087" s="24" t="n">
        <v>46143</v>
      </c>
      <c r="B3087" t="inlineStr">
        <is>
          <t>Frete de venda</t>
        </is>
      </c>
      <c r="C3087" t="inlineStr">
        <is>
          <t>Frete de venda (para clientes)</t>
        </is>
      </c>
      <c r="D3087" t="inlineStr">
        <is>
          <t>CT-e</t>
        </is>
      </c>
      <c r="E3087" t="inlineStr">
        <is>
          <t>000007012</t>
        </is>
      </c>
      <c r="F3087" t="inlineStr">
        <is>
          <t>R&amp;R TRANSPORTE E LOGISTICA</t>
        </is>
      </c>
      <c r="G3087" s="27" t="n">
        <v>46150</v>
      </c>
      <c r="H3087" s="14" t="n">
        <v>42.8</v>
      </c>
      <c r="I3087" s="14" t="n">
        <v>0</v>
      </c>
      <c r="J3087" s="14" t="n">
        <v>0</v>
      </c>
      <c r="K3087" s="14" t="n">
        <v>0</v>
      </c>
      <c r="L3087" s="14" t="n">
        <v>0</v>
      </c>
      <c r="M3087" s="14">
        <f>IF(B3087="Frete de venda",0,(1-ISNUMBER(SEARCH("556",P3087)))*(I3087*VLOOKUP($B3087,Premissas!$A$4:$E$7,2,0)+J3087*VLOOKUP($B3087,Premissas!$A$4:$E$7,3,0))+K3087*VLOOKUP($B3087,Premissas!$A$4:$E$7,4,0)+L3087*VLOOKUP($B3087,Premissas!$A$4:$E$7,5,0))</f>
        <v/>
      </c>
      <c r="N3087" s="14">
        <f>H3087-M3087</f>
        <v/>
      </c>
      <c r="O3087" t="inlineStr">
        <is>
          <t>Não</t>
        </is>
      </c>
      <c r="P3087" t="inlineStr">
        <is>
          <t>1.350</t>
        </is>
      </c>
    </row>
    <row r="3088">
      <c r="A3088" s="24" t="n">
        <v>46143</v>
      </c>
      <c r="B3088" t="inlineStr">
        <is>
          <t>Frete de venda</t>
        </is>
      </c>
      <c r="C3088" t="inlineStr">
        <is>
          <t>Frete de venda (para clientes)</t>
        </is>
      </c>
      <c r="D3088" t="inlineStr">
        <is>
          <t>CT-e</t>
        </is>
      </c>
      <c r="E3088" t="inlineStr">
        <is>
          <t>000006978</t>
        </is>
      </c>
      <c r="F3088" t="inlineStr">
        <is>
          <t>R&amp;R TRANSPORTE E LOGISTICA</t>
        </is>
      </c>
      <c r="G3088" s="27" t="n">
        <v>46147</v>
      </c>
      <c r="H3088" s="14" t="n">
        <v>29.88</v>
      </c>
      <c r="I3088" s="14" t="n">
        <v>0</v>
      </c>
      <c r="J3088" s="14" t="n">
        <v>0</v>
      </c>
      <c r="K3088" s="14" t="n">
        <v>0</v>
      </c>
      <c r="L3088" s="14" t="n">
        <v>0</v>
      </c>
      <c r="M3088" s="14">
        <f>IF(B3088="Frete de venda",0,(1-ISNUMBER(SEARCH("556",P3088)))*(I3088*VLOOKUP($B3088,Premissas!$A$4:$E$7,2,0)+J3088*VLOOKUP($B3088,Premissas!$A$4:$E$7,3,0))+K3088*VLOOKUP($B3088,Premissas!$A$4:$E$7,4,0)+L3088*VLOOKUP($B3088,Premissas!$A$4:$E$7,5,0))</f>
        <v/>
      </c>
      <c r="N3088" s="14">
        <f>H3088-M3088</f>
        <v/>
      </c>
      <c r="O3088" t="inlineStr">
        <is>
          <t>Não</t>
        </is>
      </c>
      <c r="P3088" t="inlineStr">
        <is>
          <t>1.350</t>
        </is>
      </c>
    </row>
    <row r="3089">
      <c r="A3089" s="24" t="n">
        <v>46143</v>
      </c>
      <c r="B3089" t="inlineStr">
        <is>
          <t>Frete de venda</t>
        </is>
      </c>
      <c r="C3089" t="inlineStr">
        <is>
          <t>Frete de venda (para clientes)</t>
        </is>
      </c>
      <c r="D3089" t="inlineStr">
        <is>
          <t>CT-e</t>
        </is>
      </c>
      <c r="E3089" t="inlineStr">
        <is>
          <t>000007200</t>
        </is>
      </c>
      <c r="F3089" t="inlineStr">
        <is>
          <t>R&amp;R TRANSPORTE E LOGISTICA</t>
        </is>
      </c>
      <c r="G3089" s="27" t="n">
        <v>46170</v>
      </c>
      <c r="H3089" s="14" t="n">
        <v>40.51</v>
      </c>
      <c r="I3089" s="14" t="n">
        <v>0</v>
      </c>
      <c r="J3089" s="14" t="n">
        <v>0</v>
      </c>
      <c r="K3089" s="14" t="n">
        <v>0</v>
      </c>
      <c r="L3089" s="14" t="n">
        <v>0</v>
      </c>
      <c r="M3089" s="14">
        <f>IF(B3089="Frete de venda",0,(1-ISNUMBER(SEARCH("556",P3089)))*(I3089*VLOOKUP($B3089,Premissas!$A$4:$E$7,2,0)+J3089*VLOOKUP($B3089,Premissas!$A$4:$E$7,3,0))+K3089*VLOOKUP($B3089,Premissas!$A$4:$E$7,4,0)+L3089*VLOOKUP($B3089,Premissas!$A$4:$E$7,5,0))</f>
        <v/>
      </c>
      <c r="N3089" s="14">
        <f>H3089-M3089</f>
        <v/>
      </c>
      <c r="O3089" t="inlineStr">
        <is>
          <t>Não</t>
        </is>
      </c>
      <c r="P3089" t="inlineStr">
        <is>
          <t>1.350</t>
        </is>
      </c>
    </row>
    <row r="3090">
      <c r="A3090" s="24" t="n">
        <v>46143</v>
      </c>
      <c r="B3090" t="inlineStr">
        <is>
          <t>Frete de venda</t>
        </is>
      </c>
      <c r="C3090" t="inlineStr">
        <is>
          <t>Frete de venda (para clientes)</t>
        </is>
      </c>
      <c r="D3090" t="inlineStr">
        <is>
          <t>CT-e</t>
        </is>
      </c>
      <c r="E3090" t="inlineStr">
        <is>
          <t>000007003</t>
        </is>
      </c>
      <c r="F3090" t="inlineStr">
        <is>
          <t>R&amp;R TRANSPORTE E LOGISTICA</t>
        </is>
      </c>
      <c r="G3090" s="27" t="n">
        <v>46149</v>
      </c>
      <c r="H3090" s="14" t="n">
        <v>75.67</v>
      </c>
      <c r="I3090" s="14" t="n">
        <v>0</v>
      </c>
      <c r="J3090" s="14" t="n">
        <v>0</v>
      </c>
      <c r="K3090" s="14" t="n">
        <v>0</v>
      </c>
      <c r="L3090" s="14" t="n">
        <v>0</v>
      </c>
      <c r="M3090" s="14">
        <f>IF(B3090="Frete de venda",0,(1-ISNUMBER(SEARCH("556",P3090)))*(I3090*VLOOKUP($B3090,Premissas!$A$4:$E$7,2,0)+J3090*VLOOKUP($B3090,Premissas!$A$4:$E$7,3,0))+K3090*VLOOKUP($B3090,Premissas!$A$4:$E$7,4,0)+L3090*VLOOKUP($B3090,Premissas!$A$4:$E$7,5,0))</f>
        <v/>
      </c>
      <c r="N3090" s="14">
        <f>H3090-M3090</f>
        <v/>
      </c>
      <c r="O3090" t="inlineStr">
        <is>
          <t>Não</t>
        </is>
      </c>
      <c r="P3090" t="inlineStr">
        <is>
          <t>1.350</t>
        </is>
      </c>
    </row>
    <row r="3091">
      <c r="A3091" s="24" t="n">
        <v>46143</v>
      </c>
      <c r="B3091" t="inlineStr">
        <is>
          <t>Frete de venda</t>
        </is>
      </c>
      <c r="C3091" t="inlineStr">
        <is>
          <t>Frete de venda (para clientes)</t>
        </is>
      </c>
      <c r="D3091" t="inlineStr">
        <is>
          <t>CT-e</t>
        </is>
      </c>
      <c r="E3091" t="inlineStr">
        <is>
          <t>000006942</t>
        </is>
      </c>
      <c r="F3091" t="inlineStr">
        <is>
          <t>R&amp;R TRANSPORTE E LOGISTICA</t>
        </is>
      </c>
      <c r="G3091" s="27" t="n">
        <v>46143</v>
      </c>
      <c r="H3091" s="14" t="n">
        <v>17.7</v>
      </c>
      <c r="I3091" s="14" t="n">
        <v>0</v>
      </c>
      <c r="J3091" s="14" t="n">
        <v>0</v>
      </c>
      <c r="K3091" s="14" t="n">
        <v>0</v>
      </c>
      <c r="L3091" s="14" t="n">
        <v>0</v>
      </c>
      <c r="M3091" s="14">
        <f>IF(B3091="Frete de venda",0,(1-ISNUMBER(SEARCH("556",P3091)))*(I3091*VLOOKUP($B3091,Premissas!$A$4:$E$7,2,0)+J3091*VLOOKUP($B3091,Premissas!$A$4:$E$7,3,0))+K3091*VLOOKUP($B3091,Premissas!$A$4:$E$7,4,0)+L3091*VLOOKUP($B3091,Premissas!$A$4:$E$7,5,0))</f>
        <v/>
      </c>
      <c r="N3091" s="14">
        <f>H3091-M3091</f>
        <v/>
      </c>
      <c r="O3091" t="inlineStr">
        <is>
          <t>Não</t>
        </is>
      </c>
      <c r="P3091" t="inlineStr">
        <is>
          <t>1.350</t>
        </is>
      </c>
    </row>
    <row r="3092">
      <c r="A3092" s="24" t="n">
        <v>46143</v>
      </c>
      <c r="B3092" t="inlineStr">
        <is>
          <t>Frete de venda</t>
        </is>
      </c>
      <c r="C3092" t="inlineStr">
        <is>
          <t>Frete de venda (para clientes)</t>
        </is>
      </c>
      <c r="D3092" t="inlineStr">
        <is>
          <t>CT-e</t>
        </is>
      </c>
      <c r="E3092" t="inlineStr">
        <is>
          <t>000006947</t>
        </is>
      </c>
      <c r="F3092" t="inlineStr">
        <is>
          <t>R&amp;R TRANSPORTE E LOGISTICA</t>
        </is>
      </c>
      <c r="G3092" s="27" t="n">
        <v>46143</v>
      </c>
      <c r="H3092" s="14" t="n">
        <v>11.21</v>
      </c>
      <c r="I3092" s="14" t="n">
        <v>0</v>
      </c>
      <c r="J3092" s="14" t="n">
        <v>0</v>
      </c>
      <c r="K3092" s="14" t="n">
        <v>0</v>
      </c>
      <c r="L3092" s="14" t="n">
        <v>0</v>
      </c>
      <c r="M3092" s="14">
        <f>IF(B3092="Frete de venda",0,(1-ISNUMBER(SEARCH("556",P3092)))*(I3092*VLOOKUP($B3092,Premissas!$A$4:$E$7,2,0)+J3092*VLOOKUP($B3092,Premissas!$A$4:$E$7,3,0))+K3092*VLOOKUP($B3092,Premissas!$A$4:$E$7,4,0)+L3092*VLOOKUP($B3092,Premissas!$A$4:$E$7,5,0))</f>
        <v/>
      </c>
      <c r="N3092" s="14">
        <f>H3092-M3092</f>
        <v/>
      </c>
      <c r="O3092" t="inlineStr">
        <is>
          <t>Não</t>
        </is>
      </c>
      <c r="P3092" t="inlineStr">
        <is>
          <t>1.350</t>
        </is>
      </c>
    </row>
    <row r="3093">
      <c r="A3093" s="24" t="n">
        <v>46143</v>
      </c>
      <c r="B3093" t="inlineStr">
        <is>
          <t>Frete de venda</t>
        </is>
      </c>
      <c r="C3093" t="inlineStr">
        <is>
          <t>Frete de venda (para clientes)</t>
        </is>
      </c>
      <c r="D3093" t="inlineStr">
        <is>
          <t>CT-e</t>
        </is>
      </c>
      <c r="E3093" t="inlineStr">
        <is>
          <t>000007142</t>
        </is>
      </c>
      <c r="F3093" t="inlineStr">
        <is>
          <t>R&amp;R TRANSPORTE E LOGISTICA</t>
        </is>
      </c>
      <c r="G3093" s="27" t="n">
        <v>46167</v>
      </c>
      <c r="H3093" s="14" t="n">
        <v>13.58</v>
      </c>
      <c r="I3093" s="14" t="n">
        <v>0</v>
      </c>
      <c r="J3093" s="14" t="n">
        <v>0</v>
      </c>
      <c r="K3093" s="14" t="n">
        <v>0</v>
      </c>
      <c r="L3093" s="14" t="n">
        <v>0</v>
      </c>
      <c r="M3093" s="14">
        <f>IF(B3093="Frete de venda",0,(1-ISNUMBER(SEARCH("556",P3093)))*(I3093*VLOOKUP($B3093,Premissas!$A$4:$E$7,2,0)+J3093*VLOOKUP($B3093,Premissas!$A$4:$E$7,3,0))+K3093*VLOOKUP($B3093,Premissas!$A$4:$E$7,4,0)+L3093*VLOOKUP($B3093,Premissas!$A$4:$E$7,5,0))</f>
        <v/>
      </c>
      <c r="N3093" s="14">
        <f>H3093-M3093</f>
        <v/>
      </c>
      <c r="O3093" t="inlineStr">
        <is>
          <t>Não</t>
        </is>
      </c>
      <c r="P3093" t="inlineStr">
        <is>
          <t>1.350</t>
        </is>
      </c>
    </row>
    <row r="3094">
      <c r="A3094" s="24" t="n">
        <v>46143</v>
      </c>
      <c r="B3094" t="inlineStr">
        <is>
          <t>Frete de venda</t>
        </is>
      </c>
      <c r="C3094" t="inlineStr">
        <is>
          <t>Frete de venda (para clientes)</t>
        </is>
      </c>
      <c r="D3094" t="inlineStr">
        <is>
          <t>CT-e</t>
        </is>
      </c>
      <c r="E3094" t="inlineStr">
        <is>
          <t>000007206</t>
        </is>
      </c>
      <c r="F3094" t="inlineStr">
        <is>
          <t>R&amp;R TRANSPORTE E LOGISTICA</t>
        </is>
      </c>
      <c r="G3094" s="27" t="n">
        <v>46170</v>
      </c>
      <c r="H3094" s="14" t="n">
        <v>102.72</v>
      </c>
      <c r="I3094" s="14" t="n">
        <v>0</v>
      </c>
      <c r="J3094" s="14" t="n">
        <v>0</v>
      </c>
      <c r="K3094" s="14" t="n">
        <v>0</v>
      </c>
      <c r="L3094" s="14" t="n">
        <v>0</v>
      </c>
      <c r="M3094" s="14">
        <f>IF(B3094="Frete de venda",0,(1-ISNUMBER(SEARCH("556",P3094)))*(I3094*VLOOKUP($B3094,Premissas!$A$4:$E$7,2,0)+J3094*VLOOKUP($B3094,Premissas!$A$4:$E$7,3,0))+K3094*VLOOKUP($B3094,Premissas!$A$4:$E$7,4,0)+L3094*VLOOKUP($B3094,Premissas!$A$4:$E$7,5,0))</f>
        <v/>
      </c>
      <c r="N3094" s="14">
        <f>H3094-M3094</f>
        <v/>
      </c>
      <c r="O3094" t="inlineStr">
        <is>
          <t>Não</t>
        </is>
      </c>
      <c r="P3094" t="inlineStr">
        <is>
          <t>1.350</t>
        </is>
      </c>
    </row>
    <row r="3095">
      <c r="A3095" s="24" t="n">
        <v>46143</v>
      </c>
      <c r="B3095" t="inlineStr">
        <is>
          <t>Frete de venda</t>
        </is>
      </c>
      <c r="C3095" t="inlineStr">
        <is>
          <t>Frete de venda (para clientes)</t>
        </is>
      </c>
      <c r="D3095" t="inlineStr">
        <is>
          <t>CT-e</t>
        </is>
      </c>
      <c r="E3095" t="inlineStr">
        <is>
          <t>000007218</t>
        </is>
      </c>
      <c r="F3095" t="inlineStr">
        <is>
          <t>R&amp;R TRANSPORTE E LOGISTICA</t>
        </is>
      </c>
      <c r="G3095" s="27" t="n">
        <v>46172</v>
      </c>
      <c r="H3095" s="14" t="n">
        <v>133.8</v>
      </c>
      <c r="I3095" s="14" t="n">
        <v>0</v>
      </c>
      <c r="J3095" s="14" t="n">
        <v>0</v>
      </c>
      <c r="K3095" s="14" t="n">
        <v>0</v>
      </c>
      <c r="L3095" s="14" t="n">
        <v>0</v>
      </c>
      <c r="M3095" s="14">
        <f>IF(B3095="Frete de venda",0,(1-ISNUMBER(SEARCH("556",P3095)))*(I3095*VLOOKUP($B3095,Premissas!$A$4:$E$7,2,0)+J3095*VLOOKUP($B3095,Premissas!$A$4:$E$7,3,0))+K3095*VLOOKUP($B3095,Premissas!$A$4:$E$7,4,0)+L3095*VLOOKUP($B3095,Premissas!$A$4:$E$7,5,0))</f>
        <v/>
      </c>
      <c r="N3095" s="14">
        <f>H3095-M3095</f>
        <v/>
      </c>
      <c r="O3095" t="inlineStr">
        <is>
          <t>Não</t>
        </is>
      </c>
      <c r="P3095" t="inlineStr">
        <is>
          <t>2.350</t>
        </is>
      </c>
    </row>
    <row r="3096">
      <c r="A3096" s="24" t="n">
        <v>46143</v>
      </c>
      <c r="B3096" t="inlineStr">
        <is>
          <t>Frete de venda</t>
        </is>
      </c>
      <c r="C3096" t="inlineStr">
        <is>
          <t>Frete de venda (para clientes)</t>
        </is>
      </c>
      <c r="D3096" t="inlineStr">
        <is>
          <t>CT-e</t>
        </is>
      </c>
      <c r="E3096" t="inlineStr">
        <is>
          <t>000007176</t>
        </is>
      </c>
      <c r="F3096" t="inlineStr">
        <is>
          <t>R&amp;R TRANSPORTE E LOGISTICA</t>
        </is>
      </c>
      <c r="G3096" s="27" t="n">
        <v>46170</v>
      </c>
      <c r="H3096" s="14" t="n">
        <v>730.75</v>
      </c>
      <c r="I3096" s="14" t="n">
        <v>0</v>
      </c>
      <c r="J3096" s="14" t="n">
        <v>0</v>
      </c>
      <c r="K3096" s="14" t="n">
        <v>0</v>
      </c>
      <c r="L3096" s="14" t="n">
        <v>0</v>
      </c>
      <c r="M3096" s="14">
        <f>IF(B3096="Frete de venda",0,(1-ISNUMBER(SEARCH("556",P3096)))*(I3096*VLOOKUP($B3096,Premissas!$A$4:$E$7,2,0)+J3096*VLOOKUP($B3096,Premissas!$A$4:$E$7,3,0))+K3096*VLOOKUP($B3096,Premissas!$A$4:$E$7,4,0)+L3096*VLOOKUP($B3096,Premissas!$A$4:$E$7,5,0))</f>
        <v/>
      </c>
      <c r="N3096" s="14">
        <f>H3096-M3096</f>
        <v/>
      </c>
      <c r="O3096" t="inlineStr">
        <is>
          <t>Não</t>
        </is>
      </c>
      <c r="P3096" t="inlineStr">
        <is>
          <t>1.350</t>
        </is>
      </c>
    </row>
    <row r="3097">
      <c r="A3097" s="24" t="n">
        <v>46143</v>
      </c>
      <c r="B3097" t="inlineStr">
        <is>
          <t>Frete de venda</t>
        </is>
      </c>
      <c r="C3097" t="inlineStr">
        <is>
          <t>Frete de venda (para clientes)</t>
        </is>
      </c>
      <c r="D3097" t="inlineStr">
        <is>
          <t>CT-e</t>
        </is>
      </c>
      <c r="E3097" t="inlineStr">
        <is>
          <t>000006940</t>
        </is>
      </c>
      <c r="F3097" t="inlineStr">
        <is>
          <t>R&amp;R TRANSPORTE E LOGISTICA</t>
        </is>
      </c>
      <c r="G3097" s="27" t="n">
        <v>46143</v>
      </c>
      <c r="H3097" s="14" t="n">
        <v>13.16</v>
      </c>
      <c r="I3097" s="14" t="n">
        <v>0</v>
      </c>
      <c r="J3097" s="14" t="n">
        <v>0</v>
      </c>
      <c r="K3097" s="14" t="n">
        <v>0</v>
      </c>
      <c r="L3097" s="14" t="n">
        <v>0</v>
      </c>
      <c r="M3097" s="14">
        <f>IF(B3097="Frete de venda",0,(1-ISNUMBER(SEARCH("556",P3097)))*(I3097*VLOOKUP($B3097,Premissas!$A$4:$E$7,2,0)+J3097*VLOOKUP($B3097,Premissas!$A$4:$E$7,3,0))+K3097*VLOOKUP($B3097,Premissas!$A$4:$E$7,4,0)+L3097*VLOOKUP($B3097,Premissas!$A$4:$E$7,5,0))</f>
        <v/>
      </c>
      <c r="N3097" s="14">
        <f>H3097-M3097</f>
        <v/>
      </c>
      <c r="O3097" t="inlineStr">
        <is>
          <t>Não</t>
        </is>
      </c>
      <c r="P3097" t="inlineStr">
        <is>
          <t>1.350</t>
        </is>
      </c>
    </row>
    <row r="3098">
      <c r="A3098" s="24" t="n">
        <v>46143</v>
      </c>
      <c r="B3098" t="inlineStr">
        <is>
          <t>Frete de venda</t>
        </is>
      </c>
      <c r="C3098" t="inlineStr">
        <is>
          <t>Frete de venda (para clientes)</t>
        </is>
      </c>
      <c r="D3098" t="inlineStr">
        <is>
          <t>CT-e</t>
        </is>
      </c>
      <c r="E3098" t="inlineStr">
        <is>
          <t>000007125</t>
        </is>
      </c>
      <c r="F3098" t="inlineStr">
        <is>
          <t>R&amp;R TRANSPORTE E LOGISTICA</t>
        </is>
      </c>
      <c r="G3098" s="27" t="n">
        <v>46165</v>
      </c>
      <c r="H3098" s="14" t="n">
        <v>138.75</v>
      </c>
      <c r="I3098" s="14" t="n">
        <v>0</v>
      </c>
      <c r="J3098" s="14" t="n">
        <v>0</v>
      </c>
      <c r="K3098" s="14" t="n">
        <v>0</v>
      </c>
      <c r="L3098" s="14" t="n">
        <v>0</v>
      </c>
      <c r="M3098" s="14">
        <f>IF(B3098="Frete de venda",0,(1-ISNUMBER(SEARCH("556",P3098)))*(I3098*VLOOKUP($B3098,Premissas!$A$4:$E$7,2,0)+J3098*VLOOKUP($B3098,Premissas!$A$4:$E$7,3,0))+K3098*VLOOKUP($B3098,Premissas!$A$4:$E$7,4,0)+L3098*VLOOKUP($B3098,Premissas!$A$4:$E$7,5,0))</f>
        <v/>
      </c>
      <c r="N3098" s="14">
        <f>H3098-M3098</f>
        <v/>
      </c>
      <c r="O3098" t="inlineStr">
        <is>
          <t>Não</t>
        </is>
      </c>
      <c r="P3098" t="inlineStr">
        <is>
          <t>1.350</t>
        </is>
      </c>
    </row>
    <row r="3099">
      <c r="A3099" s="24" t="n">
        <v>46143</v>
      </c>
      <c r="B3099" t="inlineStr">
        <is>
          <t>Frete de venda</t>
        </is>
      </c>
      <c r="C3099" t="inlineStr">
        <is>
          <t>Frete de venda (para clientes)</t>
        </is>
      </c>
      <c r="D3099" t="inlineStr">
        <is>
          <t>CT-e</t>
        </is>
      </c>
      <c r="E3099" t="inlineStr">
        <is>
          <t>000007126</t>
        </is>
      </c>
      <c r="F3099" t="inlineStr">
        <is>
          <t>R&amp;R TRANSPORTE E LOGISTICA</t>
        </is>
      </c>
      <c r="G3099" s="27" t="n">
        <v>46165</v>
      </c>
      <c r="H3099" s="14" t="n">
        <v>183.65</v>
      </c>
      <c r="I3099" s="14" t="n">
        <v>0</v>
      </c>
      <c r="J3099" s="14" t="n">
        <v>0</v>
      </c>
      <c r="K3099" s="14" t="n">
        <v>0</v>
      </c>
      <c r="L3099" s="14" t="n">
        <v>0</v>
      </c>
      <c r="M3099" s="14">
        <f>IF(B3099="Frete de venda",0,(1-ISNUMBER(SEARCH("556",P3099)))*(I3099*VLOOKUP($B3099,Premissas!$A$4:$E$7,2,0)+J3099*VLOOKUP($B3099,Premissas!$A$4:$E$7,3,0))+K3099*VLOOKUP($B3099,Premissas!$A$4:$E$7,4,0)+L3099*VLOOKUP($B3099,Premissas!$A$4:$E$7,5,0))</f>
        <v/>
      </c>
      <c r="N3099" s="14">
        <f>H3099-M3099</f>
        <v/>
      </c>
      <c r="O3099" t="inlineStr">
        <is>
          <t>Não</t>
        </is>
      </c>
      <c r="P3099" t="inlineStr">
        <is>
          <t>1.350</t>
        </is>
      </c>
    </row>
    <row r="3100">
      <c r="A3100" s="24" t="n">
        <v>46143</v>
      </c>
      <c r="B3100" t="inlineStr">
        <is>
          <t>Frete de venda</t>
        </is>
      </c>
      <c r="C3100" t="inlineStr">
        <is>
          <t>Frete de venda (para clientes)</t>
        </is>
      </c>
      <c r="D3100" t="inlineStr">
        <is>
          <t>CT-e</t>
        </is>
      </c>
      <c r="E3100" t="inlineStr">
        <is>
          <t>000006999</t>
        </is>
      </c>
      <c r="F3100" t="inlineStr">
        <is>
          <t>R&amp;R TRANSPORTE E LOGISTICA</t>
        </is>
      </c>
      <c r="G3100" s="27" t="n">
        <v>46149</v>
      </c>
      <c r="H3100" s="14" t="n">
        <v>26.95</v>
      </c>
      <c r="I3100" s="14" t="n">
        <v>0</v>
      </c>
      <c r="J3100" s="14" t="n">
        <v>0</v>
      </c>
      <c r="K3100" s="14" t="n">
        <v>0</v>
      </c>
      <c r="L3100" s="14" t="n">
        <v>0</v>
      </c>
      <c r="M3100" s="14">
        <f>IF(B3100="Frete de venda",0,(1-ISNUMBER(SEARCH("556",P3100)))*(I3100*VLOOKUP($B3100,Premissas!$A$4:$E$7,2,0)+J3100*VLOOKUP($B3100,Premissas!$A$4:$E$7,3,0))+K3100*VLOOKUP($B3100,Premissas!$A$4:$E$7,4,0)+L3100*VLOOKUP($B3100,Premissas!$A$4:$E$7,5,0))</f>
        <v/>
      </c>
      <c r="N3100" s="14">
        <f>H3100-M3100</f>
        <v/>
      </c>
      <c r="O3100" t="inlineStr">
        <is>
          <t>Não</t>
        </is>
      </c>
      <c r="P3100" t="inlineStr">
        <is>
          <t>1.350</t>
        </is>
      </c>
    </row>
    <row r="3101">
      <c r="A3101" s="24" t="n">
        <v>46143</v>
      </c>
      <c r="B3101" t="inlineStr">
        <is>
          <t>Frete de venda</t>
        </is>
      </c>
      <c r="C3101" t="inlineStr">
        <is>
          <t>Frete de venda (para clientes)</t>
        </is>
      </c>
      <c r="D3101" t="inlineStr">
        <is>
          <t>CT-e</t>
        </is>
      </c>
      <c r="E3101" t="inlineStr">
        <is>
          <t>000007172</t>
        </is>
      </c>
      <c r="F3101" t="inlineStr">
        <is>
          <t>R&amp;R TRANSPORTE E LOGISTICA</t>
        </is>
      </c>
      <c r="G3101" s="27" t="n">
        <v>46170</v>
      </c>
      <c r="H3101" s="14" t="n">
        <v>28.25</v>
      </c>
      <c r="I3101" s="14" t="n">
        <v>0</v>
      </c>
      <c r="J3101" s="14" t="n">
        <v>0</v>
      </c>
      <c r="K3101" s="14" t="n">
        <v>0</v>
      </c>
      <c r="L3101" s="14" t="n">
        <v>0</v>
      </c>
      <c r="M3101" s="14">
        <f>IF(B3101="Frete de venda",0,(1-ISNUMBER(SEARCH("556",P3101)))*(I3101*VLOOKUP($B3101,Premissas!$A$4:$E$7,2,0)+J3101*VLOOKUP($B3101,Premissas!$A$4:$E$7,3,0))+K3101*VLOOKUP($B3101,Premissas!$A$4:$E$7,4,0)+L3101*VLOOKUP($B3101,Premissas!$A$4:$E$7,5,0))</f>
        <v/>
      </c>
      <c r="N3101" s="14">
        <f>H3101-M3101</f>
        <v/>
      </c>
      <c r="O3101" t="inlineStr">
        <is>
          <t>Não</t>
        </is>
      </c>
      <c r="P3101" t="inlineStr">
        <is>
          <t>1.350</t>
        </is>
      </c>
    </row>
    <row r="3102">
      <c r="A3102" s="24" t="n">
        <v>46143</v>
      </c>
      <c r="B3102" t="inlineStr">
        <is>
          <t>Frete de venda</t>
        </is>
      </c>
      <c r="C3102" t="inlineStr">
        <is>
          <t>Frete de venda (para clientes)</t>
        </is>
      </c>
      <c r="D3102" t="inlineStr">
        <is>
          <t>CT-e</t>
        </is>
      </c>
      <c r="E3102" t="inlineStr">
        <is>
          <t>000006952</t>
        </is>
      </c>
      <c r="F3102" t="inlineStr">
        <is>
          <t>R&amp;R TRANSPORTE E LOGISTICA</t>
        </is>
      </c>
      <c r="G3102" s="27" t="n">
        <v>46143</v>
      </c>
      <c r="H3102" s="14" t="n">
        <v>18.62</v>
      </c>
      <c r="I3102" s="14" t="n">
        <v>0</v>
      </c>
      <c r="J3102" s="14" t="n">
        <v>0</v>
      </c>
      <c r="K3102" s="14" t="n">
        <v>0</v>
      </c>
      <c r="L3102" s="14" t="n">
        <v>0</v>
      </c>
      <c r="M3102" s="14">
        <f>IF(B3102="Frete de venda",0,(1-ISNUMBER(SEARCH("556",P3102)))*(I3102*VLOOKUP($B3102,Premissas!$A$4:$E$7,2,0)+J3102*VLOOKUP($B3102,Premissas!$A$4:$E$7,3,0))+K3102*VLOOKUP($B3102,Premissas!$A$4:$E$7,4,0)+L3102*VLOOKUP($B3102,Premissas!$A$4:$E$7,5,0))</f>
        <v/>
      </c>
      <c r="N3102" s="14">
        <f>H3102-M3102</f>
        <v/>
      </c>
      <c r="O3102" t="inlineStr">
        <is>
          <t>Não</t>
        </is>
      </c>
      <c r="P3102" t="inlineStr">
        <is>
          <t>1.350</t>
        </is>
      </c>
    </row>
    <row r="3103">
      <c r="A3103" s="24" t="n">
        <v>46143</v>
      </c>
      <c r="B3103" t="inlineStr">
        <is>
          <t>Frete de venda</t>
        </is>
      </c>
      <c r="C3103" t="inlineStr">
        <is>
          <t>Frete de venda (para clientes)</t>
        </is>
      </c>
      <c r="D3103" t="inlineStr">
        <is>
          <t>CT-e</t>
        </is>
      </c>
      <c r="E3103" t="inlineStr">
        <is>
          <t>000007219</t>
        </is>
      </c>
      <c r="F3103" t="inlineStr">
        <is>
          <t>R&amp;R TRANSPORTE E LOGISTICA</t>
        </is>
      </c>
      <c r="G3103" s="27" t="n">
        <v>46172</v>
      </c>
      <c r="H3103" s="14" t="n">
        <v>64.45</v>
      </c>
      <c r="I3103" s="14" t="n">
        <v>0</v>
      </c>
      <c r="J3103" s="14" t="n">
        <v>0</v>
      </c>
      <c r="K3103" s="14" t="n">
        <v>0</v>
      </c>
      <c r="L3103" s="14" t="n">
        <v>0</v>
      </c>
      <c r="M3103" s="14">
        <f>IF(B3103="Frete de venda",0,(1-ISNUMBER(SEARCH("556",P3103)))*(I3103*VLOOKUP($B3103,Premissas!$A$4:$E$7,2,0)+J3103*VLOOKUP($B3103,Premissas!$A$4:$E$7,3,0))+K3103*VLOOKUP($B3103,Premissas!$A$4:$E$7,4,0)+L3103*VLOOKUP($B3103,Premissas!$A$4:$E$7,5,0))</f>
        <v/>
      </c>
      <c r="N3103" s="14">
        <f>H3103-M3103</f>
        <v/>
      </c>
      <c r="O3103" t="inlineStr">
        <is>
          <t>Não</t>
        </is>
      </c>
      <c r="P3103" t="inlineStr">
        <is>
          <t>2.350</t>
        </is>
      </c>
    </row>
    <row r="3104">
      <c r="A3104" s="24" t="n">
        <v>46143</v>
      </c>
      <c r="B3104" t="inlineStr">
        <is>
          <t>Frete de venda</t>
        </is>
      </c>
      <c r="C3104" t="inlineStr">
        <is>
          <t>Frete de venda (para clientes)</t>
        </is>
      </c>
      <c r="D3104" t="inlineStr">
        <is>
          <t>CT-e</t>
        </is>
      </c>
      <c r="E3104" t="inlineStr">
        <is>
          <t>000007120</t>
        </is>
      </c>
      <c r="F3104" t="inlineStr">
        <is>
          <t>R&amp;R TRANSPORTE E LOGISTICA</t>
        </is>
      </c>
      <c r="G3104" s="27" t="n">
        <v>46164</v>
      </c>
      <c r="H3104" s="14" t="n">
        <v>46.25</v>
      </c>
      <c r="I3104" s="14" t="n">
        <v>0</v>
      </c>
      <c r="J3104" s="14" t="n">
        <v>0</v>
      </c>
      <c r="K3104" s="14" t="n">
        <v>0</v>
      </c>
      <c r="L3104" s="14" t="n">
        <v>0</v>
      </c>
      <c r="M3104" s="14">
        <f>IF(B3104="Frete de venda",0,(1-ISNUMBER(SEARCH("556",P3104)))*(I3104*VLOOKUP($B3104,Premissas!$A$4:$E$7,2,0)+J3104*VLOOKUP($B3104,Premissas!$A$4:$E$7,3,0))+K3104*VLOOKUP($B3104,Premissas!$A$4:$E$7,4,0)+L3104*VLOOKUP($B3104,Premissas!$A$4:$E$7,5,0))</f>
        <v/>
      </c>
      <c r="N3104" s="14">
        <f>H3104-M3104</f>
        <v/>
      </c>
      <c r="O3104" t="inlineStr">
        <is>
          <t>Não</t>
        </is>
      </c>
      <c r="P3104" t="inlineStr">
        <is>
          <t>1.350</t>
        </is>
      </c>
    </row>
    <row r="3105">
      <c r="A3105" s="24" t="n">
        <v>46143</v>
      </c>
      <c r="B3105" t="inlineStr">
        <is>
          <t>Frete de venda</t>
        </is>
      </c>
      <c r="C3105" t="inlineStr">
        <is>
          <t>Frete de venda (para clientes)</t>
        </is>
      </c>
      <c r="D3105" t="inlineStr">
        <is>
          <t>CT-e</t>
        </is>
      </c>
      <c r="E3105" t="inlineStr">
        <is>
          <t>000007204</t>
        </is>
      </c>
      <c r="F3105" t="inlineStr">
        <is>
          <t>R&amp;R TRANSPORTE E LOGISTICA</t>
        </is>
      </c>
      <c r="G3105" s="27" t="n">
        <v>46170</v>
      </c>
      <c r="H3105" s="14" t="n">
        <v>27.31</v>
      </c>
      <c r="I3105" s="14" t="n">
        <v>0</v>
      </c>
      <c r="J3105" s="14" t="n">
        <v>0</v>
      </c>
      <c r="K3105" s="14" t="n">
        <v>0</v>
      </c>
      <c r="L3105" s="14" t="n">
        <v>0</v>
      </c>
      <c r="M3105" s="14">
        <f>IF(B3105="Frete de venda",0,(1-ISNUMBER(SEARCH("556",P3105)))*(I3105*VLOOKUP($B3105,Premissas!$A$4:$E$7,2,0)+J3105*VLOOKUP($B3105,Premissas!$A$4:$E$7,3,0))+K3105*VLOOKUP($B3105,Premissas!$A$4:$E$7,4,0)+L3105*VLOOKUP($B3105,Premissas!$A$4:$E$7,5,0))</f>
        <v/>
      </c>
      <c r="N3105" s="14">
        <f>H3105-M3105</f>
        <v/>
      </c>
      <c r="O3105" t="inlineStr">
        <is>
          <t>Não</t>
        </is>
      </c>
      <c r="P3105" t="inlineStr">
        <is>
          <t>1.350</t>
        </is>
      </c>
    </row>
    <row r="3106">
      <c r="A3106" s="24" t="n">
        <v>46143</v>
      </c>
      <c r="B3106" t="inlineStr">
        <is>
          <t>Frete de venda</t>
        </is>
      </c>
      <c r="C3106" t="inlineStr">
        <is>
          <t>Frete de venda (para clientes)</t>
        </is>
      </c>
      <c r="D3106" t="inlineStr">
        <is>
          <t>CT-e</t>
        </is>
      </c>
      <c r="E3106" t="inlineStr">
        <is>
          <t>000007187</t>
        </is>
      </c>
      <c r="F3106" t="inlineStr">
        <is>
          <t>R&amp;R TRANSPORTE E LOGISTICA</t>
        </is>
      </c>
      <c r="G3106" s="27" t="n">
        <v>46170</v>
      </c>
      <c r="H3106" s="14" t="n">
        <v>11.86</v>
      </c>
      <c r="I3106" s="14" t="n">
        <v>0</v>
      </c>
      <c r="J3106" s="14" t="n">
        <v>0</v>
      </c>
      <c r="K3106" s="14" t="n">
        <v>0</v>
      </c>
      <c r="L3106" s="14" t="n">
        <v>0</v>
      </c>
      <c r="M3106" s="14">
        <f>IF(B3106="Frete de venda",0,(1-ISNUMBER(SEARCH("556",P3106)))*(I3106*VLOOKUP($B3106,Premissas!$A$4:$E$7,2,0)+J3106*VLOOKUP($B3106,Premissas!$A$4:$E$7,3,0))+K3106*VLOOKUP($B3106,Premissas!$A$4:$E$7,4,0)+L3106*VLOOKUP($B3106,Premissas!$A$4:$E$7,5,0))</f>
        <v/>
      </c>
      <c r="N3106" s="14">
        <f>H3106-M3106</f>
        <v/>
      </c>
      <c r="O3106" t="inlineStr">
        <is>
          <t>Não</t>
        </is>
      </c>
      <c r="P3106" t="inlineStr">
        <is>
          <t>1.350</t>
        </is>
      </c>
    </row>
    <row r="3107">
      <c r="A3107" s="24" t="n">
        <v>46143</v>
      </c>
      <c r="B3107" t="inlineStr">
        <is>
          <t>Frete de venda</t>
        </is>
      </c>
      <c r="C3107" t="inlineStr">
        <is>
          <t>Frete de venda (para clientes)</t>
        </is>
      </c>
      <c r="D3107" t="inlineStr">
        <is>
          <t>CT-e</t>
        </is>
      </c>
      <c r="E3107" t="inlineStr">
        <is>
          <t>000006973</t>
        </is>
      </c>
      <c r="F3107" t="inlineStr">
        <is>
          <t>R&amp;R TRANSPORTE E LOGISTICA</t>
        </is>
      </c>
      <c r="G3107" s="27" t="n">
        <v>46147</v>
      </c>
      <c r="H3107" s="14" t="n">
        <v>26.69</v>
      </c>
      <c r="I3107" s="14" t="n">
        <v>0</v>
      </c>
      <c r="J3107" s="14" t="n">
        <v>0</v>
      </c>
      <c r="K3107" s="14" t="n">
        <v>0</v>
      </c>
      <c r="L3107" s="14" t="n">
        <v>0</v>
      </c>
      <c r="M3107" s="14">
        <f>IF(B3107="Frete de venda",0,(1-ISNUMBER(SEARCH("556",P3107)))*(I3107*VLOOKUP($B3107,Premissas!$A$4:$E$7,2,0)+J3107*VLOOKUP($B3107,Premissas!$A$4:$E$7,3,0))+K3107*VLOOKUP($B3107,Premissas!$A$4:$E$7,4,0)+L3107*VLOOKUP($B3107,Premissas!$A$4:$E$7,5,0))</f>
        <v/>
      </c>
      <c r="N3107" s="14">
        <f>H3107-M3107</f>
        <v/>
      </c>
      <c r="O3107" t="inlineStr">
        <is>
          <t>Não</t>
        </is>
      </c>
      <c r="P3107" t="inlineStr">
        <is>
          <t>1.350</t>
        </is>
      </c>
    </row>
    <row r="3108">
      <c r="A3108" s="24" t="n">
        <v>46143</v>
      </c>
      <c r="B3108" t="inlineStr">
        <is>
          <t>Frete de venda</t>
        </is>
      </c>
      <c r="C3108" t="inlineStr">
        <is>
          <t>Frete de venda (para clientes)</t>
        </is>
      </c>
      <c r="D3108" t="inlineStr">
        <is>
          <t>CT-e</t>
        </is>
      </c>
      <c r="E3108" t="inlineStr">
        <is>
          <t>000007112</t>
        </is>
      </c>
      <c r="F3108" t="inlineStr">
        <is>
          <t>R&amp;R TRANSPORTE E LOGISTICA</t>
        </is>
      </c>
      <c r="G3108" s="27" t="n">
        <v>46163</v>
      </c>
      <c r="H3108" s="14" t="n">
        <v>25.72</v>
      </c>
      <c r="I3108" s="14" t="n">
        <v>0</v>
      </c>
      <c r="J3108" s="14" t="n">
        <v>0</v>
      </c>
      <c r="K3108" s="14" t="n">
        <v>0</v>
      </c>
      <c r="L3108" s="14" t="n">
        <v>0</v>
      </c>
      <c r="M3108" s="14">
        <f>IF(B3108="Frete de venda",0,(1-ISNUMBER(SEARCH("556",P3108)))*(I3108*VLOOKUP($B3108,Premissas!$A$4:$E$7,2,0)+J3108*VLOOKUP($B3108,Premissas!$A$4:$E$7,3,0))+K3108*VLOOKUP($B3108,Premissas!$A$4:$E$7,4,0)+L3108*VLOOKUP($B3108,Premissas!$A$4:$E$7,5,0))</f>
        <v/>
      </c>
      <c r="N3108" s="14">
        <f>H3108-M3108</f>
        <v/>
      </c>
      <c r="O3108" t="inlineStr">
        <is>
          <t>Não</t>
        </is>
      </c>
      <c r="P3108" t="inlineStr">
        <is>
          <t>1.350</t>
        </is>
      </c>
    </row>
    <row r="3109">
      <c r="A3109" s="24" t="n">
        <v>46143</v>
      </c>
      <c r="B3109" t="inlineStr">
        <is>
          <t>Frete de venda</t>
        </is>
      </c>
      <c r="C3109" t="inlineStr">
        <is>
          <t>Frete de venda (para clientes)</t>
        </is>
      </c>
      <c r="D3109" t="inlineStr">
        <is>
          <t>CT-e</t>
        </is>
      </c>
      <c r="E3109" t="inlineStr">
        <is>
          <t>000007111</t>
        </is>
      </c>
      <c r="F3109" t="inlineStr">
        <is>
          <t>R&amp;R TRANSPORTE E LOGISTICA</t>
        </is>
      </c>
      <c r="G3109" s="27" t="n">
        <v>46163</v>
      </c>
      <c r="H3109" s="14" t="n">
        <v>22.57</v>
      </c>
      <c r="I3109" s="14" t="n">
        <v>0</v>
      </c>
      <c r="J3109" s="14" t="n">
        <v>0</v>
      </c>
      <c r="K3109" s="14" t="n">
        <v>0</v>
      </c>
      <c r="L3109" s="14" t="n">
        <v>0</v>
      </c>
      <c r="M3109" s="14">
        <f>IF(B3109="Frete de venda",0,(1-ISNUMBER(SEARCH("556",P3109)))*(I3109*VLOOKUP($B3109,Premissas!$A$4:$E$7,2,0)+J3109*VLOOKUP($B3109,Premissas!$A$4:$E$7,3,0))+K3109*VLOOKUP($B3109,Premissas!$A$4:$E$7,4,0)+L3109*VLOOKUP($B3109,Premissas!$A$4:$E$7,5,0))</f>
        <v/>
      </c>
      <c r="N3109" s="14">
        <f>H3109-M3109</f>
        <v/>
      </c>
      <c r="O3109" t="inlineStr">
        <is>
          <t>Não</t>
        </is>
      </c>
      <c r="P3109" t="inlineStr">
        <is>
          <t>1.350</t>
        </is>
      </c>
    </row>
    <row r="3110">
      <c r="A3110" s="24" t="n">
        <v>46143</v>
      </c>
      <c r="B3110" t="inlineStr">
        <is>
          <t>Frete de venda</t>
        </is>
      </c>
      <c r="C3110" t="inlineStr">
        <is>
          <t>Frete de venda (para clientes)</t>
        </is>
      </c>
      <c r="D3110" t="inlineStr">
        <is>
          <t>CT-e</t>
        </is>
      </c>
      <c r="E3110" t="inlineStr">
        <is>
          <t>000006975</t>
        </is>
      </c>
      <c r="F3110" t="inlineStr">
        <is>
          <t>R&amp;R TRANSPORTE E LOGISTICA</t>
        </is>
      </c>
      <c r="G3110" s="27" t="n">
        <v>46147</v>
      </c>
      <c r="H3110" s="14" t="n">
        <v>37.05</v>
      </c>
      <c r="I3110" s="14" t="n">
        <v>0</v>
      </c>
      <c r="J3110" s="14" t="n">
        <v>0</v>
      </c>
      <c r="K3110" s="14" t="n">
        <v>0</v>
      </c>
      <c r="L3110" s="14" t="n">
        <v>0</v>
      </c>
      <c r="M3110" s="14">
        <f>IF(B3110="Frete de venda",0,(1-ISNUMBER(SEARCH("556",P3110)))*(I3110*VLOOKUP($B3110,Premissas!$A$4:$E$7,2,0)+J3110*VLOOKUP($B3110,Premissas!$A$4:$E$7,3,0))+K3110*VLOOKUP($B3110,Premissas!$A$4:$E$7,4,0)+L3110*VLOOKUP($B3110,Premissas!$A$4:$E$7,5,0))</f>
        <v/>
      </c>
      <c r="N3110" s="14">
        <f>H3110-M3110</f>
        <v/>
      </c>
      <c r="O3110" t="inlineStr">
        <is>
          <t>Não</t>
        </is>
      </c>
      <c r="P3110" t="inlineStr">
        <is>
          <t>1.350</t>
        </is>
      </c>
    </row>
    <row r="3111">
      <c r="A3111" s="24" t="n">
        <v>46143</v>
      </c>
      <c r="B3111" t="inlineStr">
        <is>
          <t>Frete de venda</t>
        </is>
      </c>
      <c r="C3111" t="inlineStr">
        <is>
          <t>Frete de venda (para clientes)</t>
        </is>
      </c>
      <c r="D3111" t="inlineStr">
        <is>
          <t>CT-e</t>
        </is>
      </c>
      <c r="E3111" t="inlineStr">
        <is>
          <t>000006988</t>
        </is>
      </c>
      <c r="F3111" t="inlineStr">
        <is>
          <t>R&amp;R TRANSPORTE E LOGISTICA</t>
        </is>
      </c>
      <c r="G3111" s="27" t="n">
        <v>46148</v>
      </c>
      <c r="H3111" s="14" t="n">
        <v>243.32</v>
      </c>
      <c r="I3111" s="14" t="n">
        <v>0</v>
      </c>
      <c r="J3111" s="14" t="n">
        <v>0</v>
      </c>
      <c r="K3111" s="14" t="n">
        <v>0</v>
      </c>
      <c r="L3111" s="14" t="n">
        <v>0</v>
      </c>
      <c r="M3111" s="14">
        <f>IF(B3111="Frete de venda",0,(1-ISNUMBER(SEARCH("556",P3111)))*(I3111*VLOOKUP($B3111,Premissas!$A$4:$E$7,2,0)+J3111*VLOOKUP($B3111,Premissas!$A$4:$E$7,3,0))+K3111*VLOOKUP($B3111,Premissas!$A$4:$E$7,4,0)+L3111*VLOOKUP($B3111,Premissas!$A$4:$E$7,5,0))</f>
        <v/>
      </c>
      <c r="N3111" s="14">
        <f>H3111-M3111</f>
        <v/>
      </c>
      <c r="O3111" t="inlineStr">
        <is>
          <t>Não</t>
        </is>
      </c>
      <c r="P3111" t="inlineStr">
        <is>
          <t>1.350</t>
        </is>
      </c>
    </row>
    <row r="3112">
      <c r="A3112" s="24" t="n">
        <v>46143</v>
      </c>
      <c r="B3112" t="inlineStr">
        <is>
          <t>Frete de venda</t>
        </is>
      </c>
      <c r="C3112" t="inlineStr">
        <is>
          <t>Frete de venda (para clientes)</t>
        </is>
      </c>
      <c r="D3112" t="inlineStr">
        <is>
          <t>CT-e</t>
        </is>
      </c>
      <c r="E3112" t="inlineStr">
        <is>
          <t>000007196</t>
        </is>
      </c>
      <c r="F3112" t="inlineStr">
        <is>
          <t>R&amp;R TRANSPORTE E LOGISTICA</t>
        </is>
      </c>
      <c r="G3112" s="27" t="n">
        <v>46170</v>
      </c>
      <c r="H3112" s="14" t="n">
        <v>20.65</v>
      </c>
      <c r="I3112" s="14" t="n">
        <v>0</v>
      </c>
      <c r="J3112" s="14" t="n">
        <v>0</v>
      </c>
      <c r="K3112" s="14" t="n">
        <v>0</v>
      </c>
      <c r="L3112" s="14" t="n">
        <v>0</v>
      </c>
      <c r="M3112" s="14">
        <f>IF(B3112="Frete de venda",0,(1-ISNUMBER(SEARCH("556",P3112)))*(I3112*VLOOKUP($B3112,Premissas!$A$4:$E$7,2,0)+J3112*VLOOKUP($B3112,Premissas!$A$4:$E$7,3,0))+K3112*VLOOKUP($B3112,Premissas!$A$4:$E$7,4,0)+L3112*VLOOKUP($B3112,Premissas!$A$4:$E$7,5,0))</f>
        <v/>
      </c>
      <c r="N3112" s="14">
        <f>H3112-M3112</f>
        <v/>
      </c>
      <c r="O3112" t="inlineStr">
        <is>
          <t>Não</t>
        </is>
      </c>
      <c r="P3112" t="inlineStr">
        <is>
          <t>1.350</t>
        </is>
      </c>
    </row>
    <row r="3113">
      <c r="A3113" s="24" t="n">
        <v>46143</v>
      </c>
      <c r="B3113" t="inlineStr">
        <is>
          <t>Frete de venda</t>
        </is>
      </c>
      <c r="C3113" t="inlineStr">
        <is>
          <t>Frete de venda (para clientes)</t>
        </is>
      </c>
      <c r="D3113" t="inlineStr">
        <is>
          <t>CT-e</t>
        </is>
      </c>
      <c r="E3113" t="inlineStr">
        <is>
          <t>000007179</t>
        </is>
      </c>
      <c r="F3113" t="inlineStr">
        <is>
          <t>R&amp;R TRANSPORTE E LOGISTICA</t>
        </is>
      </c>
      <c r="G3113" s="27" t="n">
        <v>46170</v>
      </c>
      <c r="H3113" s="14" t="n">
        <v>28.5</v>
      </c>
      <c r="I3113" s="14" t="n">
        <v>0</v>
      </c>
      <c r="J3113" s="14" t="n">
        <v>0</v>
      </c>
      <c r="K3113" s="14" t="n">
        <v>0</v>
      </c>
      <c r="L3113" s="14" t="n">
        <v>0</v>
      </c>
      <c r="M3113" s="14">
        <f>IF(B3113="Frete de venda",0,(1-ISNUMBER(SEARCH("556",P3113)))*(I3113*VLOOKUP($B3113,Premissas!$A$4:$E$7,2,0)+J3113*VLOOKUP($B3113,Premissas!$A$4:$E$7,3,0))+K3113*VLOOKUP($B3113,Premissas!$A$4:$E$7,4,0)+L3113*VLOOKUP($B3113,Premissas!$A$4:$E$7,5,0))</f>
        <v/>
      </c>
      <c r="N3113" s="14">
        <f>H3113-M3113</f>
        <v/>
      </c>
      <c r="O3113" t="inlineStr">
        <is>
          <t>Não</t>
        </is>
      </c>
      <c r="P3113" t="inlineStr">
        <is>
          <t>1.350</t>
        </is>
      </c>
    </row>
    <row r="3114">
      <c r="A3114" s="24" t="n">
        <v>46143</v>
      </c>
      <c r="B3114" t="inlineStr">
        <is>
          <t>Frete de venda</t>
        </is>
      </c>
      <c r="C3114" t="inlineStr">
        <is>
          <t>Frete de venda (para clientes)</t>
        </is>
      </c>
      <c r="D3114" t="inlineStr">
        <is>
          <t>CT-e</t>
        </is>
      </c>
      <c r="E3114" t="inlineStr">
        <is>
          <t>000007110</t>
        </is>
      </c>
      <c r="F3114" t="inlineStr">
        <is>
          <t>R&amp;R TRANSPORTE E LOGISTICA</t>
        </is>
      </c>
      <c r="G3114" s="27" t="n">
        <v>46163</v>
      </c>
      <c r="H3114" s="14" t="n">
        <v>32.34</v>
      </c>
      <c r="I3114" s="14" t="n">
        <v>0</v>
      </c>
      <c r="J3114" s="14" t="n">
        <v>0</v>
      </c>
      <c r="K3114" s="14" t="n">
        <v>0</v>
      </c>
      <c r="L3114" s="14" t="n">
        <v>0</v>
      </c>
      <c r="M3114" s="14">
        <f>IF(B3114="Frete de venda",0,(1-ISNUMBER(SEARCH("556",P3114)))*(I3114*VLOOKUP($B3114,Premissas!$A$4:$E$7,2,0)+J3114*VLOOKUP($B3114,Premissas!$A$4:$E$7,3,0))+K3114*VLOOKUP($B3114,Premissas!$A$4:$E$7,4,0)+L3114*VLOOKUP($B3114,Premissas!$A$4:$E$7,5,0))</f>
        <v/>
      </c>
      <c r="N3114" s="14">
        <f>H3114-M3114</f>
        <v/>
      </c>
      <c r="O3114" t="inlineStr">
        <is>
          <t>Não</t>
        </is>
      </c>
      <c r="P3114" t="inlineStr">
        <is>
          <t>1.350</t>
        </is>
      </c>
    </row>
    <row r="3115">
      <c r="A3115" s="24" t="n">
        <v>46143</v>
      </c>
      <c r="B3115" t="inlineStr">
        <is>
          <t>Frete de venda</t>
        </is>
      </c>
      <c r="C3115" t="inlineStr">
        <is>
          <t>Frete de venda (para clientes)</t>
        </is>
      </c>
      <c r="D3115" t="inlineStr">
        <is>
          <t>CT-e</t>
        </is>
      </c>
      <c r="E3115" t="inlineStr">
        <is>
          <t>000006950</t>
        </is>
      </c>
      <c r="F3115" t="inlineStr">
        <is>
          <t>R&amp;R TRANSPORTE E LOGISTICA</t>
        </is>
      </c>
      <c r="G3115" s="27" t="n">
        <v>46143</v>
      </c>
      <c r="H3115" s="14" t="n">
        <v>13.15</v>
      </c>
      <c r="I3115" s="14" t="n">
        <v>0</v>
      </c>
      <c r="J3115" s="14" t="n">
        <v>0</v>
      </c>
      <c r="K3115" s="14" t="n">
        <v>0</v>
      </c>
      <c r="L3115" s="14" t="n">
        <v>0</v>
      </c>
      <c r="M3115" s="14">
        <f>IF(B3115="Frete de venda",0,(1-ISNUMBER(SEARCH("556",P3115)))*(I3115*VLOOKUP($B3115,Premissas!$A$4:$E$7,2,0)+J3115*VLOOKUP($B3115,Premissas!$A$4:$E$7,3,0))+K3115*VLOOKUP($B3115,Premissas!$A$4:$E$7,4,0)+L3115*VLOOKUP($B3115,Premissas!$A$4:$E$7,5,0))</f>
        <v/>
      </c>
      <c r="N3115" s="14">
        <f>H3115-M3115</f>
        <v/>
      </c>
      <c r="O3115" t="inlineStr">
        <is>
          <t>Não</t>
        </is>
      </c>
      <c r="P3115" t="inlineStr">
        <is>
          <t>1.350</t>
        </is>
      </c>
    </row>
    <row r="3116">
      <c r="A3116" s="24" t="n">
        <v>46143</v>
      </c>
      <c r="B3116" t="inlineStr">
        <is>
          <t>Frete de venda</t>
        </is>
      </c>
      <c r="C3116" t="inlineStr">
        <is>
          <t>Frete de venda (para clientes)</t>
        </is>
      </c>
      <c r="D3116" t="inlineStr">
        <is>
          <t>CT-e</t>
        </is>
      </c>
      <c r="E3116" t="inlineStr">
        <is>
          <t>000007185</t>
        </is>
      </c>
      <c r="F3116" t="inlineStr">
        <is>
          <t>R&amp;R TRANSPORTE E LOGISTICA</t>
        </is>
      </c>
      <c r="G3116" s="27" t="n">
        <v>46170</v>
      </c>
      <c r="H3116" s="14" t="n">
        <v>32.46</v>
      </c>
      <c r="I3116" s="14" t="n">
        <v>0</v>
      </c>
      <c r="J3116" s="14" t="n">
        <v>0</v>
      </c>
      <c r="K3116" s="14" t="n">
        <v>0</v>
      </c>
      <c r="L3116" s="14" t="n">
        <v>0</v>
      </c>
      <c r="M3116" s="14">
        <f>IF(B3116="Frete de venda",0,(1-ISNUMBER(SEARCH("556",P3116)))*(I3116*VLOOKUP($B3116,Premissas!$A$4:$E$7,2,0)+J3116*VLOOKUP($B3116,Premissas!$A$4:$E$7,3,0))+K3116*VLOOKUP($B3116,Premissas!$A$4:$E$7,4,0)+L3116*VLOOKUP($B3116,Premissas!$A$4:$E$7,5,0))</f>
        <v/>
      </c>
      <c r="N3116" s="14">
        <f>H3116-M3116</f>
        <v/>
      </c>
      <c r="O3116" t="inlineStr">
        <is>
          <t>Não</t>
        </is>
      </c>
      <c r="P3116" t="inlineStr">
        <is>
          <t>1.350</t>
        </is>
      </c>
    </row>
    <row r="3117">
      <c r="A3117" s="24" t="n">
        <v>46143</v>
      </c>
      <c r="B3117" t="inlineStr">
        <is>
          <t>Frete de venda</t>
        </is>
      </c>
      <c r="C3117" t="inlineStr">
        <is>
          <t>Frete de venda (para clientes)</t>
        </is>
      </c>
      <c r="D3117" t="inlineStr">
        <is>
          <t>CT-e</t>
        </is>
      </c>
      <c r="E3117" t="inlineStr">
        <is>
          <t>000007024</t>
        </is>
      </c>
      <c r="F3117" t="inlineStr">
        <is>
          <t>R&amp;R TRANSPORTE E LOGISTICA</t>
        </is>
      </c>
      <c r="G3117" s="27" t="n">
        <v>46151</v>
      </c>
      <c r="H3117" s="14" t="n">
        <v>22.65</v>
      </c>
      <c r="I3117" s="14" t="n">
        <v>0</v>
      </c>
      <c r="J3117" s="14" t="n">
        <v>0</v>
      </c>
      <c r="K3117" s="14" t="n">
        <v>0</v>
      </c>
      <c r="L3117" s="14" t="n">
        <v>0</v>
      </c>
      <c r="M3117" s="14">
        <f>IF(B3117="Frete de venda",0,(1-ISNUMBER(SEARCH("556",P3117)))*(I3117*VLOOKUP($B3117,Premissas!$A$4:$E$7,2,0)+J3117*VLOOKUP($B3117,Premissas!$A$4:$E$7,3,0))+K3117*VLOOKUP($B3117,Premissas!$A$4:$E$7,4,0)+L3117*VLOOKUP($B3117,Premissas!$A$4:$E$7,5,0))</f>
        <v/>
      </c>
      <c r="N3117" s="14">
        <f>H3117-M3117</f>
        <v/>
      </c>
      <c r="O3117" t="inlineStr">
        <is>
          <t>Não</t>
        </is>
      </c>
      <c r="P3117" t="inlineStr">
        <is>
          <t>1.350</t>
        </is>
      </c>
    </row>
    <row r="3118">
      <c r="A3118" s="24" t="n">
        <v>46143</v>
      </c>
      <c r="B3118" t="inlineStr">
        <is>
          <t>Frete de venda</t>
        </is>
      </c>
      <c r="C3118" t="inlineStr">
        <is>
          <t>Frete de venda (para clientes)</t>
        </is>
      </c>
      <c r="D3118" t="inlineStr">
        <is>
          <t>CT-e</t>
        </is>
      </c>
      <c r="E3118" t="inlineStr">
        <is>
          <t>000007026</t>
        </is>
      </c>
      <c r="F3118" t="inlineStr">
        <is>
          <t>R&amp;R TRANSPORTE E LOGISTICA</t>
        </is>
      </c>
      <c r="G3118" s="27" t="n">
        <v>46151</v>
      </c>
      <c r="H3118" s="14" t="n">
        <v>22.03</v>
      </c>
      <c r="I3118" s="14" t="n">
        <v>0</v>
      </c>
      <c r="J3118" s="14" t="n">
        <v>0</v>
      </c>
      <c r="K3118" s="14" t="n">
        <v>0</v>
      </c>
      <c r="L3118" s="14" t="n">
        <v>0</v>
      </c>
      <c r="M3118" s="14">
        <f>IF(B3118="Frete de venda",0,(1-ISNUMBER(SEARCH("556",P3118)))*(I3118*VLOOKUP($B3118,Premissas!$A$4:$E$7,2,0)+J3118*VLOOKUP($B3118,Premissas!$A$4:$E$7,3,0))+K3118*VLOOKUP($B3118,Premissas!$A$4:$E$7,4,0)+L3118*VLOOKUP($B3118,Premissas!$A$4:$E$7,5,0))</f>
        <v/>
      </c>
      <c r="N3118" s="14">
        <f>H3118-M3118</f>
        <v/>
      </c>
      <c r="O3118" t="inlineStr">
        <is>
          <t>Não</t>
        </is>
      </c>
      <c r="P3118" t="inlineStr">
        <is>
          <t>1.350</t>
        </is>
      </c>
    </row>
    <row r="3119">
      <c r="A3119" s="24" t="n">
        <v>46143</v>
      </c>
      <c r="B3119" t="inlineStr">
        <is>
          <t>Frete de venda</t>
        </is>
      </c>
      <c r="C3119" t="inlineStr">
        <is>
          <t>Frete de venda (para clientes)</t>
        </is>
      </c>
      <c r="D3119" t="inlineStr">
        <is>
          <t>CT-e</t>
        </is>
      </c>
      <c r="E3119" t="inlineStr">
        <is>
          <t>000007046</t>
        </is>
      </c>
      <c r="F3119" t="inlineStr">
        <is>
          <t>R&amp;R TRANSPORTE E LOGISTICA</t>
        </is>
      </c>
      <c r="G3119" s="27" t="n">
        <v>46153</v>
      </c>
      <c r="H3119" s="14" t="n">
        <v>54.78</v>
      </c>
      <c r="I3119" s="14" t="n">
        <v>0</v>
      </c>
      <c r="J3119" s="14" t="n">
        <v>0</v>
      </c>
      <c r="K3119" s="14" t="n">
        <v>0</v>
      </c>
      <c r="L3119" s="14" t="n">
        <v>0</v>
      </c>
      <c r="M3119" s="14">
        <f>IF(B3119="Frete de venda",0,(1-ISNUMBER(SEARCH("556",P3119)))*(I3119*VLOOKUP($B3119,Premissas!$A$4:$E$7,2,0)+J3119*VLOOKUP($B3119,Premissas!$A$4:$E$7,3,0))+K3119*VLOOKUP($B3119,Premissas!$A$4:$E$7,4,0)+L3119*VLOOKUP($B3119,Premissas!$A$4:$E$7,5,0))</f>
        <v/>
      </c>
      <c r="N3119" s="14">
        <f>H3119-M3119</f>
        <v/>
      </c>
      <c r="O3119" t="inlineStr">
        <is>
          <t>Não</t>
        </is>
      </c>
      <c r="P3119" t="inlineStr">
        <is>
          <t>1.350</t>
        </is>
      </c>
    </row>
    <row r="3120">
      <c r="A3120" s="24" t="n">
        <v>46143</v>
      </c>
      <c r="B3120" t="inlineStr">
        <is>
          <t>Frete de venda</t>
        </is>
      </c>
      <c r="C3120" t="inlineStr">
        <is>
          <t>Frete de venda (para clientes)</t>
        </is>
      </c>
      <c r="D3120" t="inlineStr">
        <is>
          <t>CT-e</t>
        </is>
      </c>
      <c r="E3120" t="inlineStr">
        <is>
          <t>000007217</t>
        </is>
      </c>
      <c r="F3120" t="inlineStr">
        <is>
          <t>R&amp;R TRANSPORTE E LOGISTICA</t>
        </is>
      </c>
      <c r="G3120" s="27" t="n">
        <v>46172</v>
      </c>
      <c r="H3120" s="14" t="n">
        <v>260.3</v>
      </c>
      <c r="I3120" s="14" t="n">
        <v>0</v>
      </c>
      <c r="J3120" s="14" t="n">
        <v>0</v>
      </c>
      <c r="K3120" s="14" t="n">
        <v>0</v>
      </c>
      <c r="L3120" s="14" t="n">
        <v>0</v>
      </c>
      <c r="M3120" s="14">
        <f>IF(B3120="Frete de venda",0,(1-ISNUMBER(SEARCH("556",P3120)))*(I3120*VLOOKUP($B3120,Premissas!$A$4:$E$7,2,0)+J3120*VLOOKUP($B3120,Premissas!$A$4:$E$7,3,0))+K3120*VLOOKUP($B3120,Premissas!$A$4:$E$7,4,0)+L3120*VLOOKUP($B3120,Premissas!$A$4:$E$7,5,0))</f>
        <v/>
      </c>
      <c r="N3120" s="14">
        <f>H3120-M3120</f>
        <v/>
      </c>
      <c r="O3120" t="inlineStr">
        <is>
          <t>Não</t>
        </is>
      </c>
      <c r="P3120" t="inlineStr">
        <is>
          <t>2.350</t>
        </is>
      </c>
    </row>
    <row r="3121">
      <c r="A3121" s="24" t="n">
        <v>46143</v>
      </c>
      <c r="B3121" t="inlineStr">
        <is>
          <t>Frete de venda</t>
        </is>
      </c>
      <c r="C3121" t="inlineStr">
        <is>
          <t>Frete de venda (para clientes)</t>
        </is>
      </c>
      <c r="D3121" t="inlineStr">
        <is>
          <t>CT-e</t>
        </is>
      </c>
      <c r="E3121" t="inlineStr">
        <is>
          <t>000007141</t>
        </is>
      </c>
      <c r="F3121" t="inlineStr">
        <is>
          <t>R&amp;R TRANSPORTE E LOGISTICA</t>
        </is>
      </c>
      <c r="G3121" s="27" t="n">
        <v>46167</v>
      </c>
      <c r="H3121" s="14" t="n">
        <v>20.45</v>
      </c>
      <c r="I3121" s="14" t="n">
        <v>0</v>
      </c>
      <c r="J3121" s="14" t="n">
        <v>0</v>
      </c>
      <c r="K3121" s="14" t="n">
        <v>0</v>
      </c>
      <c r="L3121" s="14" t="n">
        <v>0</v>
      </c>
      <c r="M3121" s="14">
        <f>IF(B3121="Frete de venda",0,(1-ISNUMBER(SEARCH("556",P3121)))*(I3121*VLOOKUP($B3121,Premissas!$A$4:$E$7,2,0)+J3121*VLOOKUP($B3121,Premissas!$A$4:$E$7,3,0))+K3121*VLOOKUP($B3121,Premissas!$A$4:$E$7,4,0)+L3121*VLOOKUP($B3121,Premissas!$A$4:$E$7,5,0))</f>
        <v/>
      </c>
      <c r="N3121" s="14">
        <f>H3121-M3121</f>
        <v/>
      </c>
      <c r="O3121" t="inlineStr">
        <is>
          <t>Não</t>
        </is>
      </c>
      <c r="P3121" t="inlineStr">
        <is>
          <t>1.350</t>
        </is>
      </c>
    </row>
    <row r="3122">
      <c r="A3122" s="24" t="n">
        <v>46143</v>
      </c>
      <c r="B3122" t="inlineStr">
        <is>
          <t>Frete de venda</t>
        </is>
      </c>
      <c r="C3122" t="inlineStr">
        <is>
          <t>Frete de venda (para clientes)</t>
        </is>
      </c>
      <c r="D3122" t="inlineStr">
        <is>
          <t>CT-e</t>
        </is>
      </c>
      <c r="E3122" t="inlineStr">
        <is>
          <t>000007023</t>
        </is>
      </c>
      <c r="F3122" t="inlineStr">
        <is>
          <t>R&amp;R TRANSPORTE E LOGISTICA</t>
        </is>
      </c>
      <c r="G3122" s="27" t="n">
        <v>46151</v>
      </c>
      <c r="H3122" s="14" t="n">
        <v>30.7</v>
      </c>
      <c r="I3122" s="14" t="n">
        <v>0</v>
      </c>
      <c r="J3122" s="14" t="n">
        <v>0</v>
      </c>
      <c r="K3122" s="14" t="n">
        <v>0</v>
      </c>
      <c r="L3122" s="14" t="n">
        <v>0</v>
      </c>
      <c r="M3122" s="14">
        <f>IF(B3122="Frete de venda",0,(1-ISNUMBER(SEARCH("556",P3122)))*(I3122*VLOOKUP($B3122,Premissas!$A$4:$E$7,2,0)+J3122*VLOOKUP($B3122,Premissas!$A$4:$E$7,3,0))+K3122*VLOOKUP($B3122,Premissas!$A$4:$E$7,4,0)+L3122*VLOOKUP($B3122,Premissas!$A$4:$E$7,5,0))</f>
        <v/>
      </c>
      <c r="N3122" s="14">
        <f>H3122-M3122</f>
        <v/>
      </c>
      <c r="O3122" t="inlineStr">
        <is>
          <t>Não</t>
        </is>
      </c>
      <c r="P3122" t="inlineStr">
        <is>
          <t>1.350</t>
        </is>
      </c>
    </row>
    <row r="3123">
      <c r="A3123" s="24" t="n">
        <v>46143</v>
      </c>
      <c r="B3123" t="inlineStr">
        <is>
          <t>Frete de venda</t>
        </is>
      </c>
      <c r="C3123" t="inlineStr">
        <is>
          <t>Frete de venda (para clientes)</t>
        </is>
      </c>
      <c r="D3123" t="inlineStr">
        <is>
          <t>CT-e</t>
        </is>
      </c>
      <c r="E3123" t="inlineStr">
        <is>
          <t>000007107</t>
        </is>
      </c>
      <c r="F3123" t="inlineStr">
        <is>
          <t>R&amp;R TRANSPORTE E LOGISTICA</t>
        </is>
      </c>
      <c r="G3123" s="27" t="n">
        <v>46163</v>
      </c>
      <c r="H3123" s="14" t="n">
        <v>33.27</v>
      </c>
      <c r="I3123" s="14" t="n">
        <v>0</v>
      </c>
      <c r="J3123" s="14" t="n">
        <v>0</v>
      </c>
      <c r="K3123" s="14" t="n">
        <v>0</v>
      </c>
      <c r="L3123" s="14" t="n">
        <v>0</v>
      </c>
      <c r="M3123" s="14">
        <f>IF(B3123="Frete de venda",0,(1-ISNUMBER(SEARCH("556",P3123)))*(I3123*VLOOKUP($B3123,Premissas!$A$4:$E$7,2,0)+J3123*VLOOKUP($B3123,Premissas!$A$4:$E$7,3,0))+K3123*VLOOKUP($B3123,Premissas!$A$4:$E$7,4,0)+L3123*VLOOKUP($B3123,Premissas!$A$4:$E$7,5,0))</f>
        <v/>
      </c>
      <c r="N3123" s="14">
        <f>H3123-M3123</f>
        <v/>
      </c>
      <c r="O3123" t="inlineStr">
        <is>
          <t>Não</t>
        </is>
      </c>
      <c r="P3123" t="inlineStr">
        <is>
          <t>1.350</t>
        </is>
      </c>
    </row>
    <row r="3124">
      <c r="A3124" s="24" t="n">
        <v>46143</v>
      </c>
      <c r="B3124" t="inlineStr">
        <is>
          <t>Frete de venda</t>
        </is>
      </c>
      <c r="C3124" t="inlineStr">
        <is>
          <t>Frete de venda (para clientes)</t>
        </is>
      </c>
      <c r="D3124" t="inlineStr">
        <is>
          <t>CT-e</t>
        </is>
      </c>
      <c r="E3124" t="inlineStr">
        <is>
          <t>000007228</t>
        </is>
      </c>
      <c r="F3124" t="inlineStr">
        <is>
          <t>R&amp;R TRANSPORTE E LOGISTICA</t>
        </is>
      </c>
      <c r="G3124" s="27" t="n">
        <v>46172</v>
      </c>
      <c r="H3124" s="14" t="n">
        <v>92.5</v>
      </c>
      <c r="I3124" s="14" t="n">
        <v>0</v>
      </c>
      <c r="J3124" s="14" t="n">
        <v>0</v>
      </c>
      <c r="K3124" s="14" t="n">
        <v>0</v>
      </c>
      <c r="L3124" s="14" t="n">
        <v>0</v>
      </c>
      <c r="M3124" s="14">
        <f>IF(B3124="Frete de venda",0,(1-ISNUMBER(SEARCH("556",P3124)))*(I3124*VLOOKUP($B3124,Premissas!$A$4:$E$7,2,0)+J3124*VLOOKUP($B3124,Premissas!$A$4:$E$7,3,0))+K3124*VLOOKUP($B3124,Premissas!$A$4:$E$7,4,0)+L3124*VLOOKUP($B3124,Premissas!$A$4:$E$7,5,0))</f>
        <v/>
      </c>
      <c r="N3124" s="14">
        <f>H3124-M3124</f>
        <v/>
      </c>
      <c r="O3124" t="inlineStr">
        <is>
          <t>Não</t>
        </is>
      </c>
      <c r="P3124" t="inlineStr">
        <is>
          <t>2.350</t>
        </is>
      </c>
    </row>
    <row r="3125">
      <c r="A3125" s="24" t="n">
        <v>46143</v>
      </c>
      <c r="B3125" t="inlineStr">
        <is>
          <t>Frete de venda</t>
        </is>
      </c>
      <c r="C3125" t="inlineStr">
        <is>
          <t>Frete de venda (para clientes)</t>
        </is>
      </c>
      <c r="D3125" t="inlineStr">
        <is>
          <t>CT-e</t>
        </is>
      </c>
      <c r="E3125" t="inlineStr">
        <is>
          <t>000007183</t>
        </is>
      </c>
      <c r="F3125" t="inlineStr">
        <is>
          <t>R&amp;R TRANSPORTE E LOGISTICA</t>
        </is>
      </c>
      <c r="G3125" s="27" t="n">
        <v>46170</v>
      </c>
      <c r="H3125" s="14" t="n">
        <v>17.63</v>
      </c>
      <c r="I3125" s="14" t="n">
        <v>0</v>
      </c>
      <c r="J3125" s="14" t="n">
        <v>0</v>
      </c>
      <c r="K3125" s="14" t="n">
        <v>0</v>
      </c>
      <c r="L3125" s="14" t="n">
        <v>0</v>
      </c>
      <c r="M3125" s="14">
        <f>IF(B3125="Frete de venda",0,(1-ISNUMBER(SEARCH("556",P3125)))*(I3125*VLOOKUP($B3125,Premissas!$A$4:$E$7,2,0)+J3125*VLOOKUP($B3125,Premissas!$A$4:$E$7,3,0))+K3125*VLOOKUP($B3125,Premissas!$A$4:$E$7,4,0)+L3125*VLOOKUP($B3125,Premissas!$A$4:$E$7,5,0))</f>
        <v/>
      </c>
      <c r="N3125" s="14">
        <f>H3125-M3125</f>
        <v/>
      </c>
      <c r="O3125" t="inlineStr">
        <is>
          <t>Não</t>
        </is>
      </c>
      <c r="P3125" t="inlineStr">
        <is>
          <t>1.350</t>
        </is>
      </c>
    </row>
    <row r="3126">
      <c r="A3126" s="24" t="n">
        <v>46143</v>
      </c>
      <c r="B3126" t="inlineStr">
        <is>
          <t>Frete de venda</t>
        </is>
      </c>
      <c r="C3126" t="inlineStr">
        <is>
          <t>Frete de venda (para clientes)</t>
        </is>
      </c>
      <c r="D3126" t="inlineStr">
        <is>
          <t>CT-e</t>
        </is>
      </c>
      <c r="E3126" t="inlineStr">
        <is>
          <t>000006949</t>
        </is>
      </c>
      <c r="F3126" t="inlineStr">
        <is>
          <t>R&amp;R TRANSPORTE E LOGISTICA</t>
        </is>
      </c>
      <c r="G3126" s="27" t="n">
        <v>46143</v>
      </c>
      <c r="H3126" s="14" t="n">
        <v>13.16</v>
      </c>
      <c r="I3126" s="14" t="n">
        <v>0</v>
      </c>
      <c r="J3126" s="14" t="n">
        <v>0</v>
      </c>
      <c r="K3126" s="14" t="n">
        <v>0</v>
      </c>
      <c r="L3126" s="14" t="n">
        <v>0</v>
      </c>
      <c r="M3126" s="14">
        <f>IF(B3126="Frete de venda",0,(1-ISNUMBER(SEARCH("556",P3126)))*(I3126*VLOOKUP($B3126,Premissas!$A$4:$E$7,2,0)+J3126*VLOOKUP($B3126,Premissas!$A$4:$E$7,3,0))+K3126*VLOOKUP($B3126,Premissas!$A$4:$E$7,4,0)+L3126*VLOOKUP($B3126,Premissas!$A$4:$E$7,5,0))</f>
        <v/>
      </c>
      <c r="N3126" s="14">
        <f>H3126-M3126</f>
        <v/>
      </c>
      <c r="O3126" t="inlineStr">
        <is>
          <t>Não</t>
        </is>
      </c>
      <c r="P3126" t="inlineStr">
        <is>
          <t>1.350</t>
        </is>
      </c>
    </row>
    <row r="3127">
      <c r="A3127" s="24" t="n">
        <v>46143</v>
      </c>
      <c r="B3127" t="inlineStr">
        <is>
          <t>Frete de venda</t>
        </is>
      </c>
      <c r="C3127" t="inlineStr">
        <is>
          <t>Frete de venda (para clientes)</t>
        </is>
      </c>
      <c r="D3127" t="inlineStr">
        <is>
          <t>CT-e</t>
        </is>
      </c>
      <c r="E3127" t="inlineStr">
        <is>
          <t>000007225</t>
        </is>
      </c>
      <c r="F3127" t="inlineStr">
        <is>
          <t>R&amp;R TRANSPORTE E LOGISTICA</t>
        </is>
      </c>
      <c r="G3127" s="27" t="n">
        <v>46172</v>
      </c>
      <c r="H3127" s="14" t="n">
        <v>72.40000000000001</v>
      </c>
      <c r="I3127" s="14" t="n">
        <v>0</v>
      </c>
      <c r="J3127" s="14" t="n">
        <v>0</v>
      </c>
      <c r="K3127" s="14" t="n">
        <v>0</v>
      </c>
      <c r="L3127" s="14" t="n">
        <v>0</v>
      </c>
      <c r="M3127" s="14">
        <f>IF(B3127="Frete de venda",0,(1-ISNUMBER(SEARCH("556",P3127)))*(I3127*VLOOKUP($B3127,Premissas!$A$4:$E$7,2,0)+J3127*VLOOKUP($B3127,Premissas!$A$4:$E$7,3,0))+K3127*VLOOKUP($B3127,Premissas!$A$4:$E$7,4,0)+L3127*VLOOKUP($B3127,Premissas!$A$4:$E$7,5,0))</f>
        <v/>
      </c>
      <c r="N3127" s="14">
        <f>H3127-M3127</f>
        <v/>
      </c>
      <c r="O3127" t="inlineStr">
        <is>
          <t>Não</t>
        </is>
      </c>
      <c r="P3127" t="inlineStr">
        <is>
          <t>2.350</t>
        </is>
      </c>
    </row>
    <row r="3128">
      <c r="A3128" s="24" t="n">
        <v>46143</v>
      </c>
      <c r="B3128" t="inlineStr">
        <is>
          <t>Frete de venda</t>
        </is>
      </c>
      <c r="C3128" t="inlineStr">
        <is>
          <t>Frete de venda (para clientes)</t>
        </is>
      </c>
      <c r="D3128" t="inlineStr">
        <is>
          <t>CT-e</t>
        </is>
      </c>
      <c r="E3128" t="inlineStr">
        <is>
          <t>000007022</t>
        </is>
      </c>
      <c r="F3128" t="inlineStr">
        <is>
          <t>R&amp;R TRANSPORTE E LOGISTICA</t>
        </is>
      </c>
      <c r="G3128" s="27" t="n">
        <v>46151</v>
      </c>
      <c r="H3128" s="14" t="n">
        <v>17</v>
      </c>
      <c r="I3128" s="14" t="n">
        <v>0</v>
      </c>
      <c r="J3128" s="14" t="n">
        <v>0</v>
      </c>
      <c r="K3128" s="14" t="n">
        <v>0</v>
      </c>
      <c r="L3128" s="14" t="n">
        <v>0</v>
      </c>
      <c r="M3128" s="14">
        <f>IF(B3128="Frete de venda",0,(1-ISNUMBER(SEARCH("556",P3128)))*(I3128*VLOOKUP($B3128,Premissas!$A$4:$E$7,2,0)+J3128*VLOOKUP($B3128,Premissas!$A$4:$E$7,3,0))+K3128*VLOOKUP($B3128,Premissas!$A$4:$E$7,4,0)+L3128*VLOOKUP($B3128,Premissas!$A$4:$E$7,5,0))</f>
        <v/>
      </c>
      <c r="N3128" s="14">
        <f>H3128-M3128</f>
        <v/>
      </c>
      <c r="O3128" t="inlineStr">
        <is>
          <t>Não</t>
        </is>
      </c>
      <c r="P3128" t="inlineStr">
        <is>
          <t>1.350</t>
        </is>
      </c>
    </row>
    <row r="3129">
      <c r="A3129" s="24" t="n">
        <v>46143</v>
      </c>
      <c r="B3129" t="inlineStr">
        <is>
          <t>Frete de venda</t>
        </is>
      </c>
      <c r="C3129" t="inlineStr">
        <is>
          <t>Frete de venda (para clientes)</t>
        </is>
      </c>
      <c r="D3129" t="inlineStr">
        <is>
          <t>CT-e</t>
        </is>
      </c>
      <c r="E3129" t="inlineStr">
        <is>
          <t>000007147</t>
        </is>
      </c>
      <c r="F3129" t="inlineStr">
        <is>
          <t>R&amp;R TRANSPORTE E LOGISTICA</t>
        </is>
      </c>
      <c r="G3129" s="27" t="n">
        <v>46167</v>
      </c>
      <c r="H3129" s="14" t="n">
        <v>16.25</v>
      </c>
      <c r="I3129" s="14" t="n">
        <v>0</v>
      </c>
      <c r="J3129" s="14" t="n">
        <v>0</v>
      </c>
      <c r="K3129" s="14" t="n">
        <v>0</v>
      </c>
      <c r="L3129" s="14" t="n">
        <v>0</v>
      </c>
      <c r="M3129" s="14">
        <f>IF(B3129="Frete de venda",0,(1-ISNUMBER(SEARCH("556",P3129)))*(I3129*VLOOKUP($B3129,Premissas!$A$4:$E$7,2,0)+J3129*VLOOKUP($B3129,Premissas!$A$4:$E$7,3,0))+K3129*VLOOKUP($B3129,Premissas!$A$4:$E$7,4,0)+L3129*VLOOKUP($B3129,Premissas!$A$4:$E$7,5,0))</f>
        <v/>
      </c>
      <c r="N3129" s="14">
        <f>H3129-M3129</f>
        <v/>
      </c>
      <c r="O3129" t="inlineStr">
        <is>
          <t>Não</t>
        </is>
      </c>
      <c r="P3129" t="inlineStr">
        <is>
          <t>1.350</t>
        </is>
      </c>
    </row>
    <row r="3130">
      <c r="A3130" s="24" t="n">
        <v>46143</v>
      </c>
      <c r="B3130" t="inlineStr">
        <is>
          <t>Frete de venda</t>
        </is>
      </c>
      <c r="C3130" t="inlineStr">
        <is>
          <t>Frete de venda (para clientes)</t>
        </is>
      </c>
      <c r="D3130" t="inlineStr">
        <is>
          <t>CT-e</t>
        </is>
      </c>
      <c r="E3130" t="inlineStr">
        <is>
          <t>000006977</t>
        </is>
      </c>
      <c r="F3130" t="inlineStr">
        <is>
          <t>R&amp;R TRANSPORTE E LOGISTICA</t>
        </is>
      </c>
      <c r="G3130" s="27" t="n">
        <v>46147</v>
      </c>
      <c r="H3130" s="14" t="n">
        <v>84.01000000000001</v>
      </c>
      <c r="I3130" s="14" t="n">
        <v>0</v>
      </c>
      <c r="J3130" s="14" t="n">
        <v>0</v>
      </c>
      <c r="K3130" s="14" t="n">
        <v>0</v>
      </c>
      <c r="L3130" s="14" t="n">
        <v>0</v>
      </c>
      <c r="M3130" s="14">
        <f>IF(B3130="Frete de venda",0,(1-ISNUMBER(SEARCH("556",P3130)))*(I3130*VLOOKUP($B3130,Premissas!$A$4:$E$7,2,0)+J3130*VLOOKUP($B3130,Premissas!$A$4:$E$7,3,0))+K3130*VLOOKUP($B3130,Premissas!$A$4:$E$7,4,0)+L3130*VLOOKUP($B3130,Premissas!$A$4:$E$7,5,0))</f>
        <v/>
      </c>
      <c r="N3130" s="14">
        <f>H3130-M3130</f>
        <v/>
      </c>
      <c r="O3130" t="inlineStr">
        <is>
          <t>Não</t>
        </is>
      </c>
      <c r="P3130" t="inlineStr">
        <is>
          <t>1.350</t>
        </is>
      </c>
    </row>
    <row r="3131">
      <c r="A3131" s="24" t="n">
        <v>46143</v>
      </c>
      <c r="B3131" t="inlineStr">
        <is>
          <t>Frete de venda</t>
        </is>
      </c>
      <c r="C3131" t="inlineStr">
        <is>
          <t>Frete de venda (para clientes)</t>
        </is>
      </c>
      <c r="D3131" t="inlineStr">
        <is>
          <t>CT-e</t>
        </is>
      </c>
      <c r="E3131" t="inlineStr">
        <is>
          <t>000006939</t>
        </is>
      </c>
      <c r="F3131" t="inlineStr">
        <is>
          <t>R&amp;R TRANSPORTE E LOGISTICA</t>
        </is>
      </c>
      <c r="G3131" s="27" t="n">
        <v>46143</v>
      </c>
      <c r="H3131" s="14" t="n">
        <v>32.51</v>
      </c>
      <c r="I3131" s="14" t="n">
        <v>0</v>
      </c>
      <c r="J3131" s="14" t="n">
        <v>0</v>
      </c>
      <c r="K3131" s="14" t="n">
        <v>0</v>
      </c>
      <c r="L3131" s="14" t="n">
        <v>0</v>
      </c>
      <c r="M3131" s="14">
        <f>IF(B3131="Frete de venda",0,(1-ISNUMBER(SEARCH("556",P3131)))*(I3131*VLOOKUP($B3131,Premissas!$A$4:$E$7,2,0)+J3131*VLOOKUP($B3131,Premissas!$A$4:$E$7,3,0))+K3131*VLOOKUP($B3131,Premissas!$A$4:$E$7,4,0)+L3131*VLOOKUP($B3131,Premissas!$A$4:$E$7,5,0))</f>
        <v/>
      </c>
      <c r="N3131" s="14">
        <f>H3131-M3131</f>
        <v/>
      </c>
      <c r="O3131" t="inlineStr">
        <is>
          <t>Não</t>
        </is>
      </c>
      <c r="P3131" t="inlineStr">
        <is>
          <t>1.350</t>
        </is>
      </c>
    </row>
    <row r="3132">
      <c r="A3132" s="24" t="n">
        <v>46143</v>
      </c>
      <c r="B3132" t="inlineStr">
        <is>
          <t>Frete de venda</t>
        </is>
      </c>
      <c r="C3132" t="inlineStr">
        <is>
          <t>Frete de venda (para clientes)</t>
        </is>
      </c>
      <c r="D3132" t="inlineStr">
        <is>
          <t>CT-e</t>
        </is>
      </c>
      <c r="E3132" t="inlineStr">
        <is>
          <t>000007052</t>
        </is>
      </c>
      <c r="F3132" t="inlineStr">
        <is>
          <t>R&amp;R TRANSPORTE E LOGISTICA</t>
        </is>
      </c>
      <c r="G3132" s="27" t="n">
        <v>46154</v>
      </c>
      <c r="H3132" s="14" t="n">
        <v>70</v>
      </c>
      <c r="I3132" s="14" t="n">
        <v>0</v>
      </c>
      <c r="J3132" s="14" t="n">
        <v>0</v>
      </c>
      <c r="K3132" s="14" t="n">
        <v>0</v>
      </c>
      <c r="L3132" s="14" t="n">
        <v>0</v>
      </c>
      <c r="M3132" s="14">
        <f>IF(B3132="Frete de venda",0,(1-ISNUMBER(SEARCH("556",P3132)))*(I3132*VLOOKUP($B3132,Premissas!$A$4:$E$7,2,0)+J3132*VLOOKUP($B3132,Premissas!$A$4:$E$7,3,0))+K3132*VLOOKUP($B3132,Premissas!$A$4:$E$7,4,0)+L3132*VLOOKUP($B3132,Premissas!$A$4:$E$7,5,0))</f>
        <v/>
      </c>
      <c r="N3132" s="14">
        <f>H3132-M3132</f>
        <v/>
      </c>
      <c r="O3132" t="inlineStr">
        <is>
          <t>Não</t>
        </is>
      </c>
      <c r="P3132" t="inlineStr">
        <is>
          <t>1.350</t>
        </is>
      </c>
    </row>
    <row r="3133">
      <c r="A3133" s="24" t="n">
        <v>46143</v>
      </c>
      <c r="B3133" t="inlineStr">
        <is>
          <t>Frete de venda</t>
        </is>
      </c>
      <c r="C3133" t="inlineStr">
        <is>
          <t>Frete de venda (para clientes)</t>
        </is>
      </c>
      <c r="D3133" t="inlineStr">
        <is>
          <t>CT-e</t>
        </is>
      </c>
      <c r="E3133" t="inlineStr">
        <is>
          <t>000007037</t>
        </is>
      </c>
      <c r="F3133" t="inlineStr">
        <is>
          <t>R&amp;R TRANSPORTE E LOGISTICA</t>
        </is>
      </c>
      <c r="G3133" s="27" t="n">
        <v>46151</v>
      </c>
      <c r="H3133" s="14" t="n">
        <v>61.62</v>
      </c>
      <c r="I3133" s="14" t="n">
        <v>0</v>
      </c>
      <c r="J3133" s="14" t="n">
        <v>0</v>
      </c>
      <c r="K3133" s="14" t="n">
        <v>0</v>
      </c>
      <c r="L3133" s="14" t="n">
        <v>0</v>
      </c>
      <c r="M3133" s="14">
        <f>IF(B3133="Frete de venda",0,(1-ISNUMBER(SEARCH("556",P3133)))*(I3133*VLOOKUP($B3133,Premissas!$A$4:$E$7,2,0)+J3133*VLOOKUP($B3133,Premissas!$A$4:$E$7,3,0))+K3133*VLOOKUP($B3133,Premissas!$A$4:$E$7,4,0)+L3133*VLOOKUP($B3133,Premissas!$A$4:$E$7,5,0))</f>
        <v/>
      </c>
      <c r="N3133" s="14">
        <f>H3133-M3133</f>
        <v/>
      </c>
      <c r="O3133" t="inlineStr">
        <is>
          <t>Não</t>
        </is>
      </c>
      <c r="P3133" t="inlineStr">
        <is>
          <t>1.350</t>
        </is>
      </c>
    </row>
    <row r="3134">
      <c r="A3134" s="24" t="n">
        <v>46143</v>
      </c>
      <c r="B3134" t="inlineStr">
        <is>
          <t>Frete de venda</t>
        </is>
      </c>
      <c r="C3134" t="inlineStr">
        <is>
          <t>Frete de venda (para clientes)</t>
        </is>
      </c>
      <c r="D3134" t="inlineStr">
        <is>
          <t>CT-e</t>
        </is>
      </c>
      <c r="E3134" t="inlineStr">
        <is>
          <t>000007193</t>
        </is>
      </c>
      <c r="F3134" t="inlineStr">
        <is>
          <t>R&amp;R TRANSPORTE E LOGISTICA</t>
        </is>
      </c>
      <c r="G3134" s="27" t="n">
        <v>46170</v>
      </c>
      <c r="H3134" s="14" t="n">
        <v>21.41</v>
      </c>
      <c r="I3134" s="14" t="n">
        <v>0</v>
      </c>
      <c r="J3134" s="14" t="n">
        <v>0</v>
      </c>
      <c r="K3134" s="14" t="n">
        <v>0</v>
      </c>
      <c r="L3134" s="14" t="n">
        <v>0</v>
      </c>
      <c r="M3134" s="14">
        <f>IF(B3134="Frete de venda",0,(1-ISNUMBER(SEARCH("556",P3134)))*(I3134*VLOOKUP($B3134,Premissas!$A$4:$E$7,2,0)+J3134*VLOOKUP($B3134,Premissas!$A$4:$E$7,3,0))+K3134*VLOOKUP($B3134,Premissas!$A$4:$E$7,4,0)+L3134*VLOOKUP($B3134,Premissas!$A$4:$E$7,5,0))</f>
        <v/>
      </c>
      <c r="N3134" s="14">
        <f>H3134-M3134</f>
        <v/>
      </c>
      <c r="O3134" t="inlineStr">
        <is>
          <t>Não</t>
        </is>
      </c>
      <c r="P3134" t="inlineStr">
        <is>
          <t>1.350</t>
        </is>
      </c>
    </row>
    <row r="3135">
      <c r="A3135" s="24" t="n">
        <v>46143</v>
      </c>
      <c r="B3135" t="inlineStr">
        <is>
          <t>Frete de venda</t>
        </is>
      </c>
      <c r="C3135" t="inlineStr">
        <is>
          <t>Frete de venda (para clientes)</t>
        </is>
      </c>
      <c r="D3135" t="inlineStr">
        <is>
          <t>CT-e</t>
        </is>
      </c>
      <c r="E3135" t="inlineStr">
        <is>
          <t>000007106</t>
        </is>
      </c>
      <c r="F3135" t="inlineStr">
        <is>
          <t>R&amp;R TRANSPORTE E LOGISTICA</t>
        </is>
      </c>
      <c r="G3135" s="27" t="n">
        <v>46163</v>
      </c>
      <c r="H3135" s="14" t="n">
        <v>31.65</v>
      </c>
      <c r="I3135" s="14" t="n">
        <v>0</v>
      </c>
      <c r="J3135" s="14" t="n">
        <v>0</v>
      </c>
      <c r="K3135" s="14" t="n">
        <v>0</v>
      </c>
      <c r="L3135" s="14" t="n">
        <v>0</v>
      </c>
      <c r="M3135" s="14">
        <f>IF(B3135="Frete de venda",0,(1-ISNUMBER(SEARCH("556",P3135)))*(I3135*VLOOKUP($B3135,Premissas!$A$4:$E$7,2,0)+J3135*VLOOKUP($B3135,Premissas!$A$4:$E$7,3,0))+K3135*VLOOKUP($B3135,Premissas!$A$4:$E$7,4,0)+L3135*VLOOKUP($B3135,Premissas!$A$4:$E$7,5,0))</f>
        <v/>
      </c>
      <c r="N3135" s="14">
        <f>H3135-M3135</f>
        <v/>
      </c>
      <c r="O3135" t="inlineStr">
        <is>
          <t>Não</t>
        </is>
      </c>
      <c r="P3135" t="inlineStr">
        <is>
          <t>1.350</t>
        </is>
      </c>
    </row>
    <row r="3136">
      <c r="A3136" s="24" t="n">
        <v>46143</v>
      </c>
      <c r="B3136" t="inlineStr">
        <is>
          <t>Frete de venda</t>
        </is>
      </c>
      <c r="C3136" t="inlineStr">
        <is>
          <t>Frete de venda (para clientes)</t>
        </is>
      </c>
      <c r="D3136" t="inlineStr">
        <is>
          <t>CT-e</t>
        </is>
      </c>
      <c r="E3136" t="inlineStr">
        <is>
          <t>000007069</t>
        </is>
      </c>
      <c r="F3136" t="inlineStr">
        <is>
          <t>R&amp;R TRANSPORTE E LOGISTICA</t>
        </is>
      </c>
      <c r="G3136" s="27" t="n">
        <v>46157</v>
      </c>
      <c r="H3136" s="14" t="n">
        <v>23.68</v>
      </c>
      <c r="I3136" s="14" t="n">
        <v>0</v>
      </c>
      <c r="J3136" s="14" t="n">
        <v>0</v>
      </c>
      <c r="K3136" s="14" t="n">
        <v>0</v>
      </c>
      <c r="L3136" s="14" t="n">
        <v>0</v>
      </c>
      <c r="M3136" s="14">
        <f>IF(B3136="Frete de venda",0,(1-ISNUMBER(SEARCH("556",P3136)))*(I3136*VLOOKUP($B3136,Premissas!$A$4:$E$7,2,0)+J3136*VLOOKUP($B3136,Premissas!$A$4:$E$7,3,0))+K3136*VLOOKUP($B3136,Premissas!$A$4:$E$7,4,0)+L3136*VLOOKUP($B3136,Premissas!$A$4:$E$7,5,0))</f>
        <v/>
      </c>
      <c r="N3136" s="14">
        <f>H3136-M3136</f>
        <v/>
      </c>
      <c r="O3136" t="inlineStr">
        <is>
          <t>Não</t>
        </is>
      </c>
      <c r="P3136" t="inlineStr">
        <is>
          <t>1.350</t>
        </is>
      </c>
    </row>
    <row r="3137">
      <c r="A3137" s="24" t="n">
        <v>46143</v>
      </c>
      <c r="B3137" t="inlineStr">
        <is>
          <t>Frete de venda</t>
        </is>
      </c>
      <c r="C3137" t="inlineStr">
        <is>
          <t>Frete de venda (para clientes)</t>
        </is>
      </c>
      <c r="D3137" t="inlineStr">
        <is>
          <t>CT-e</t>
        </is>
      </c>
      <c r="E3137" t="inlineStr">
        <is>
          <t>000007032</t>
        </is>
      </c>
      <c r="F3137" t="inlineStr">
        <is>
          <t>R&amp;R TRANSPORTE E LOGISTICA</t>
        </is>
      </c>
      <c r="G3137" s="27" t="n">
        <v>46151</v>
      </c>
      <c r="H3137" s="14" t="n">
        <v>46.3</v>
      </c>
      <c r="I3137" s="14" t="n">
        <v>0</v>
      </c>
      <c r="J3137" s="14" t="n">
        <v>0</v>
      </c>
      <c r="K3137" s="14" t="n">
        <v>0</v>
      </c>
      <c r="L3137" s="14" t="n">
        <v>0</v>
      </c>
      <c r="M3137" s="14">
        <f>IF(B3137="Frete de venda",0,(1-ISNUMBER(SEARCH("556",P3137)))*(I3137*VLOOKUP($B3137,Premissas!$A$4:$E$7,2,0)+J3137*VLOOKUP($B3137,Premissas!$A$4:$E$7,3,0))+K3137*VLOOKUP($B3137,Premissas!$A$4:$E$7,4,0)+L3137*VLOOKUP($B3137,Premissas!$A$4:$E$7,5,0))</f>
        <v/>
      </c>
      <c r="N3137" s="14">
        <f>H3137-M3137</f>
        <v/>
      </c>
      <c r="O3137" t="inlineStr">
        <is>
          <t>Não</t>
        </is>
      </c>
      <c r="P3137" t="inlineStr">
        <is>
          <t>1.350</t>
        </is>
      </c>
    </row>
    <row r="3138">
      <c r="A3138" s="24" t="n">
        <v>46143</v>
      </c>
      <c r="B3138" t="inlineStr">
        <is>
          <t>Frete de venda</t>
        </is>
      </c>
      <c r="C3138" t="inlineStr">
        <is>
          <t>Frete de venda (para clientes)</t>
        </is>
      </c>
      <c r="D3138" t="inlineStr">
        <is>
          <t>CT-e</t>
        </is>
      </c>
      <c r="E3138" t="inlineStr">
        <is>
          <t>000007148</t>
        </is>
      </c>
      <c r="F3138" t="inlineStr">
        <is>
          <t>R&amp;R TRANSPORTE E LOGISTICA</t>
        </is>
      </c>
      <c r="G3138" s="27" t="n">
        <v>46167</v>
      </c>
      <c r="H3138" s="14" t="n">
        <v>33.82</v>
      </c>
      <c r="I3138" s="14" t="n">
        <v>0</v>
      </c>
      <c r="J3138" s="14" t="n">
        <v>0</v>
      </c>
      <c r="K3138" s="14" t="n">
        <v>0</v>
      </c>
      <c r="L3138" s="14" t="n">
        <v>0</v>
      </c>
      <c r="M3138" s="14">
        <f>IF(B3138="Frete de venda",0,(1-ISNUMBER(SEARCH("556",P3138)))*(I3138*VLOOKUP($B3138,Premissas!$A$4:$E$7,2,0)+J3138*VLOOKUP($B3138,Premissas!$A$4:$E$7,3,0))+K3138*VLOOKUP($B3138,Premissas!$A$4:$E$7,4,0)+L3138*VLOOKUP($B3138,Premissas!$A$4:$E$7,5,0))</f>
        <v/>
      </c>
      <c r="N3138" s="14">
        <f>H3138-M3138</f>
        <v/>
      </c>
      <c r="O3138" t="inlineStr">
        <is>
          <t>Não</t>
        </is>
      </c>
      <c r="P3138" t="inlineStr">
        <is>
          <t>1.350</t>
        </is>
      </c>
    </row>
    <row r="3139">
      <c r="A3139" s="24" t="n">
        <v>46143</v>
      </c>
      <c r="B3139" t="inlineStr">
        <is>
          <t>Frete de venda</t>
        </is>
      </c>
      <c r="C3139" t="inlineStr">
        <is>
          <t>Frete de venda (para clientes)</t>
        </is>
      </c>
      <c r="D3139" t="inlineStr">
        <is>
          <t>CT-e</t>
        </is>
      </c>
      <c r="E3139" t="inlineStr">
        <is>
          <t>000007121</t>
        </is>
      </c>
      <c r="F3139" t="inlineStr">
        <is>
          <t>R&amp;R TRANSPORTE E LOGISTICA</t>
        </is>
      </c>
      <c r="G3139" s="27" t="n">
        <v>46164</v>
      </c>
      <c r="H3139" s="14" t="n">
        <v>25.95</v>
      </c>
      <c r="I3139" s="14" t="n">
        <v>0</v>
      </c>
      <c r="J3139" s="14" t="n">
        <v>0</v>
      </c>
      <c r="K3139" s="14" t="n">
        <v>0</v>
      </c>
      <c r="L3139" s="14" t="n">
        <v>0</v>
      </c>
      <c r="M3139" s="14">
        <f>IF(B3139="Frete de venda",0,(1-ISNUMBER(SEARCH("556",P3139)))*(I3139*VLOOKUP($B3139,Premissas!$A$4:$E$7,2,0)+J3139*VLOOKUP($B3139,Premissas!$A$4:$E$7,3,0))+K3139*VLOOKUP($B3139,Premissas!$A$4:$E$7,4,0)+L3139*VLOOKUP($B3139,Premissas!$A$4:$E$7,5,0))</f>
        <v/>
      </c>
      <c r="N3139" s="14">
        <f>H3139-M3139</f>
        <v/>
      </c>
      <c r="O3139" t="inlineStr">
        <is>
          <t>Não</t>
        </is>
      </c>
      <c r="P3139" t="inlineStr">
        <is>
          <t>1.350</t>
        </is>
      </c>
    </row>
    <row r="3140">
      <c r="A3140" s="24" t="n">
        <v>46143</v>
      </c>
      <c r="B3140" t="inlineStr">
        <is>
          <t>Frete de venda</t>
        </is>
      </c>
      <c r="C3140" t="inlineStr">
        <is>
          <t>Frete de venda (para clientes)</t>
        </is>
      </c>
      <c r="D3140" t="inlineStr">
        <is>
          <t>CT-e</t>
        </is>
      </c>
      <c r="E3140" t="inlineStr">
        <is>
          <t>000007042</t>
        </is>
      </c>
      <c r="F3140" t="inlineStr">
        <is>
          <t>R&amp;R TRANSPORTE E LOGISTICA</t>
        </is>
      </c>
      <c r="G3140" s="27" t="n">
        <v>46153</v>
      </c>
      <c r="H3140" s="14" t="n">
        <v>12143.14</v>
      </c>
      <c r="I3140" s="14" t="n">
        <v>0</v>
      </c>
      <c r="J3140" s="14" t="n">
        <v>0</v>
      </c>
      <c r="K3140" s="14" t="n">
        <v>0</v>
      </c>
      <c r="L3140" s="14" t="n">
        <v>0</v>
      </c>
      <c r="M3140" s="14">
        <f>IF(B3140="Frete de venda",0,(1-ISNUMBER(SEARCH("556",P3140)))*(I3140*VLOOKUP($B3140,Premissas!$A$4:$E$7,2,0)+J3140*VLOOKUP($B3140,Premissas!$A$4:$E$7,3,0))+K3140*VLOOKUP($B3140,Premissas!$A$4:$E$7,4,0)+L3140*VLOOKUP($B3140,Premissas!$A$4:$E$7,5,0))</f>
        <v/>
      </c>
      <c r="N3140" s="14">
        <f>H3140-M3140</f>
        <v/>
      </c>
      <c r="O3140" t="inlineStr">
        <is>
          <t>Não</t>
        </is>
      </c>
      <c r="P3140" t="inlineStr">
        <is>
          <t>1.350</t>
        </is>
      </c>
    </row>
    <row r="3141">
      <c r="A3141" s="24" t="n">
        <v>46143</v>
      </c>
      <c r="B3141" t="inlineStr">
        <is>
          <t>Frete de venda</t>
        </is>
      </c>
      <c r="C3141" t="inlineStr">
        <is>
          <t>Frete de venda (para clientes)</t>
        </is>
      </c>
      <c r="D3141" t="inlineStr">
        <is>
          <t>CT-e</t>
        </is>
      </c>
      <c r="E3141" t="inlineStr">
        <is>
          <t>000007115</t>
        </is>
      </c>
      <c r="F3141" t="inlineStr">
        <is>
          <t>R&amp;R TRANSPORTE E LOGISTICA</t>
        </is>
      </c>
      <c r="G3141" s="27" t="n">
        <v>46163</v>
      </c>
      <c r="H3141" s="14" t="n">
        <v>11926.02</v>
      </c>
      <c r="I3141" s="14" t="n">
        <v>0</v>
      </c>
      <c r="J3141" s="14" t="n">
        <v>0</v>
      </c>
      <c r="K3141" s="14" t="n">
        <v>0</v>
      </c>
      <c r="L3141" s="14" t="n">
        <v>0</v>
      </c>
      <c r="M3141" s="14">
        <f>IF(B3141="Frete de venda",0,(1-ISNUMBER(SEARCH("556",P3141)))*(I3141*VLOOKUP($B3141,Premissas!$A$4:$E$7,2,0)+J3141*VLOOKUP($B3141,Premissas!$A$4:$E$7,3,0))+K3141*VLOOKUP($B3141,Premissas!$A$4:$E$7,4,0)+L3141*VLOOKUP($B3141,Premissas!$A$4:$E$7,5,0))</f>
        <v/>
      </c>
      <c r="N3141" s="14">
        <f>H3141-M3141</f>
        <v/>
      </c>
      <c r="O3141" t="inlineStr">
        <is>
          <t>Não</t>
        </is>
      </c>
      <c r="P3141" t="inlineStr">
        <is>
          <t>1.350</t>
        </is>
      </c>
    </row>
    <row r="3142">
      <c r="A3142" s="24" t="n">
        <v>46143</v>
      </c>
      <c r="B3142" t="inlineStr">
        <is>
          <t>Frete de venda</t>
        </is>
      </c>
      <c r="C3142" t="inlineStr">
        <is>
          <t>Frete de venda (para clientes)</t>
        </is>
      </c>
      <c r="D3142" t="inlineStr">
        <is>
          <t>CT-e</t>
        </is>
      </c>
      <c r="E3142" t="inlineStr">
        <is>
          <t>000007191</t>
        </is>
      </c>
      <c r="F3142" t="inlineStr">
        <is>
          <t>R&amp;R TRANSPORTE E LOGISTICA</t>
        </is>
      </c>
      <c r="G3142" s="27" t="n">
        <v>46170</v>
      </c>
      <c r="H3142" s="14" t="n">
        <v>21.62</v>
      </c>
      <c r="I3142" s="14" t="n">
        <v>0</v>
      </c>
      <c r="J3142" s="14" t="n">
        <v>0</v>
      </c>
      <c r="K3142" s="14" t="n">
        <v>0</v>
      </c>
      <c r="L3142" s="14" t="n">
        <v>0</v>
      </c>
      <c r="M3142" s="14">
        <f>IF(B3142="Frete de venda",0,(1-ISNUMBER(SEARCH("556",P3142)))*(I3142*VLOOKUP($B3142,Premissas!$A$4:$E$7,2,0)+J3142*VLOOKUP($B3142,Premissas!$A$4:$E$7,3,0))+K3142*VLOOKUP($B3142,Premissas!$A$4:$E$7,4,0)+L3142*VLOOKUP($B3142,Premissas!$A$4:$E$7,5,0))</f>
        <v/>
      </c>
      <c r="N3142" s="14">
        <f>H3142-M3142</f>
        <v/>
      </c>
      <c r="O3142" t="inlineStr">
        <is>
          <t>Não</t>
        </is>
      </c>
      <c r="P3142" t="inlineStr">
        <is>
          <t>1.350</t>
        </is>
      </c>
    </row>
    <row r="3143">
      <c r="A3143" s="24" t="n">
        <v>46143</v>
      </c>
      <c r="B3143" t="inlineStr">
        <is>
          <t>Frete de venda</t>
        </is>
      </c>
      <c r="C3143" t="inlineStr">
        <is>
          <t>Frete de venda (para clientes)</t>
        </is>
      </c>
      <c r="D3143" t="inlineStr">
        <is>
          <t>CT-e</t>
        </is>
      </c>
      <c r="E3143" t="inlineStr">
        <is>
          <t>000007153</t>
        </is>
      </c>
      <c r="F3143" t="inlineStr">
        <is>
          <t>R&amp;R TRANSPORTE E LOGISTICA</t>
        </is>
      </c>
      <c r="G3143" s="27" t="n">
        <v>46168</v>
      </c>
      <c r="H3143" s="14" t="n">
        <v>46.74</v>
      </c>
      <c r="I3143" s="14" t="n">
        <v>0</v>
      </c>
      <c r="J3143" s="14" t="n">
        <v>0</v>
      </c>
      <c r="K3143" s="14" t="n">
        <v>0</v>
      </c>
      <c r="L3143" s="14" t="n">
        <v>0</v>
      </c>
      <c r="M3143" s="14">
        <f>IF(B3143="Frete de venda",0,(1-ISNUMBER(SEARCH("556",P3143)))*(I3143*VLOOKUP($B3143,Premissas!$A$4:$E$7,2,0)+J3143*VLOOKUP($B3143,Premissas!$A$4:$E$7,3,0))+K3143*VLOOKUP($B3143,Premissas!$A$4:$E$7,4,0)+L3143*VLOOKUP($B3143,Premissas!$A$4:$E$7,5,0))</f>
        <v/>
      </c>
      <c r="N3143" s="14">
        <f>H3143-M3143</f>
        <v/>
      </c>
      <c r="O3143" t="inlineStr">
        <is>
          <t>Não</t>
        </is>
      </c>
      <c r="P3143" t="inlineStr">
        <is>
          <t>1.350</t>
        </is>
      </c>
    </row>
    <row r="3144">
      <c r="A3144" s="24" t="n">
        <v>46143</v>
      </c>
      <c r="B3144" t="inlineStr">
        <is>
          <t>Frete de venda</t>
        </is>
      </c>
      <c r="C3144" t="inlineStr">
        <is>
          <t>Frete de venda (para clientes)</t>
        </is>
      </c>
      <c r="D3144" t="inlineStr">
        <is>
          <t>CT-e</t>
        </is>
      </c>
      <c r="E3144" t="inlineStr">
        <is>
          <t>000015763</t>
        </is>
      </c>
      <c r="F3144" t="inlineStr">
        <is>
          <t>ANGELA PAULA MASSARUT ME</t>
        </is>
      </c>
      <c r="G3144" s="27" t="n">
        <v>46150</v>
      </c>
      <c r="H3144" s="14" t="n">
        <v>1931.4</v>
      </c>
      <c r="I3144" s="14" t="n">
        <v>0</v>
      </c>
      <c r="J3144" s="14" t="n">
        <v>231.77</v>
      </c>
      <c r="K3144" s="14" t="n">
        <v>0</v>
      </c>
      <c r="L3144" s="14" t="n">
        <v>0</v>
      </c>
      <c r="M3144" s="14">
        <f>IF(B3144="Frete de venda",0,(1-ISNUMBER(SEARCH("556",P3144)))*(I3144*VLOOKUP($B3144,Premissas!$A$4:$E$7,2,0)+J3144*VLOOKUP($B3144,Premissas!$A$4:$E$7,3,0))+K3144*VLOOKUP($B3144,Premissas!$A$4:$E$7,4,0)+L3144*VLOOKUP($B3144,Premissas!$A$4:$E$7,5,0))</f>
        <v/>
      </c>
      <c r="N3144" s="14">
        <f>H3144-M3144</f>
        <v/>
      </c>
      <c r="O3144" t="inlineStr">
        <is>
          <t>Sim</t>
        </is>
      </c>
      <c r="P3144" t="inlineStr">
        <is>
          <t>1.350</t>
        </is>
      </c>
    </row>
    <row r="3145">
      <c r="A3145" s="24" t="n">
        <v>46143</v>
      </c>
      <c r="B3145" t="inlineStr">
        <is>
          <t>Frete de venda</t>
        </is>
      </c>
      <c r="C3145" t="inlineStr">
        <is>
          <t>Frete de venda (para clientes)</t>
        </is>
      </c>
      <c r="D3145" t="inlineStr">
        <is>
          <t>CT-e</t>
        </is>
      </c>
      <c r="E3145" t="inlineStr">
        <is>
          <t>000007035</t>
        </is>
      </c>
      <c r="F3145" t="inlineStr">
        <is>
          <t>R&amp;R TRANSPORTE E LOGISTICA</t>
        </is>
      </c>
      <c r="G3145" s="27" t="n">
        <v>46151</v>
      </c>
      <c r="H3145" s="14" t="n">
        <v>40.67</v>
      </c>
      <c r="I3145" s="14" t="n">
        <v>0</v>
      </c>
      <c r="J3145" s="14" t="n">
        <v>0</v>
      </c>
      <c r="K3145" s="14" t="n">
        <v>0</v>
      </c>
      <c r="L3145" s="14" t="n">
        <v>0</v>
      </c>
      <c r="M3145" s="14">
        <f>IF(B3145="Frete de venda",0,(1-ISNUMBER(SEARCH("556",P3145)))*(I3145*VLOOKUP($B3145,Premissas!$A$4:$E$7,2,0)+J3145*VLOOKUP($B3145,Premissas!$A$4:$E$7,3,0))+K3145*VLOOKUP($B3145,Premissas!$A$4:$E$7,4,0)+L3145*VLOOKUP($B3145,Premissas!$A$4:$E$7,5,0))</f>
        <v/>
      </c>
      <c r="N3145" s="14">
        <f>H3145-M3145</f>
        <v/>
      </c>
      <c r="O3145" t="inlineStr">
        <is>
          <t>Não</t>
        </is>
      </c>
      <c r="P3145" t="inlineStr">
        <is>
          <t>1.350</t>
        </is>
      </c>
    </row>
    <row r="3146">
      <c r="A3146" s="24" t="n">
        <v>46143</v>
      </c>
      <c r="B3146" t="inlineStr">
        <is>
          <t>Frete de venda</t>
        </is>
      </c>
      <c r="C3146" t="inlineStr">
        <is>
          <t>Frete de venda (para clientes)</t>
        </is>
      </c>
      <c r="D3146" t="inlineStr">
        <is>
          <t>CT-e</t>
        </is>
      </c>
      <c r="E3146" t="inlineStr">
        <is>
          <t>000006948</t>
        </is>
      </c>
      <c r="F3146" t="inlineStr">
        <is>
          <t>R&amp;R TRANSPORTE E LOGISTICA</t>
        </is>
      </c>
      <c r="G3146" s="27" t="n">
        <v>46143</v>
      </c>
      <c r="H3146" s="14" t="n">
        <v>15.7</v>
      </c>
      <c r="I3146" s="14" t="n">
        <v>0</v>
      </c>
      <c r="J3146" s="14" t="n">
        <v>0</v>
      </c>
      <c r="K3146" s="14" t="n">
        <v>0</v>
      </c>
      <c r="L3146" s="14" t="n">
        <v>0</v>
      </c>
      <c r="M3146" s="14">
        <f>IF(B3146="Frete de venda",0,(1-ISNUMBER(SEARCH("556",P3146)))*(I3146*VLOOKUP($B3146,Premissas!$A$4:$E$7,2,0)+J3146*VLOOKUP($B3146,Premissas!$A$4:$E$7,3,0))+K3146*VLOOKUP($B3146,Premissas!$A$4:$E$7,4,0)+L3146*VLOOKUP($B3146,Premissas!$A$4:$E$7,5,0))</f>
        <v/>
      </c>
      <c r="N3146" s="14">
        <f>H3146-M3146</f>
        <v/>
      </c>
      <c r="O3146" t="inlineStr">
        <is>
          <t>Não</t>
        </is>
      </c>
      <c r="P3146" t="inlineStr">
        <is>
          <t>1.350</t>
        </is>
      </c>
    </row>
    <row r="3147">
      <c r="A3147" s="24" t="n">
        <v>46143</v>
      </c>
      <c r="B3147" t="inlineStr">
        <is>
          <t>Frete de venda</t>
        </is>
      </c>
      <c r="C3147" t="inlineStr">
        <is>
          <t>Frete de venda (para clientes)</t>
        </is>
      </c>
      <c r="D3147" t="inlineStr">
        <is>
          <t>CT-e</t>
        </is>
      </c>
      <c r="E3147" t="inlineStr">
        <is>
          <t>000006945</t>
        </is>
      </c>
      <c r="F3147" t="inlineStr">
        <is>
          <t>R&amp;R TRANSPORTE E LOGISTICA</t>
        </is>
      </c>
      <c r="G3147" s="27" t="n">
        <v>46143</v>
      </c>
      <c r="H3147" s="14" t="n">
        <v>13.15</v>
      </c>
      <c r="I3147" s="14" t="n">
        <v>0</v>
      </c>
      <c r="J3147" s="14" t="n">
        <v>0</v>
      </c>
      <c r="K3147" s="14" t="n">
        <v>0</v>
      </c>
      <c r="L3147" s="14" t="n">
        <v>0</v>
      </c>
      <c r="M3147" s="14">
        <f>IF(B3147="Frete de venda",0,(1-ISNUMBER(SEARCH("556",P3147)))*(I3147*VLOOKUP($B3147,Premissas!$A$4:$E$7,2,0)+J3147*VLOOKUP($B3147,Premissas!$A$4:$E$7,3,0))+K3147*VLOOKUP($B3147,Premissas!$A$4:$E$7,4,0)+L3147*VLOOKUP($B3147,Premissas!$A$4:$E$7,5,0))</f>
        <v/>
      </c>
      <c r="N3147" s="14">
        <f>H3147-M3147</f>
        <v/>
      </c>
      <c r="O3147" t="inlineStr">
        <is>
          <t>Não</t>
        </is>
      </c>
      <c r="P3147" t="inlineStr">
        <is>
          <t>1.350</t>
        </is>
      </c>
    </row>
    <row r="3148">
      <c r="A3148" s="24" t="n">
        <v>46143</v>
      </c>
      <c r="B3148" t="inlineStr">
        <is>
          <t>Frete de venda</t>
        </is>
      </c>
      <c r="C3148" t="inlineStr">
        <is>
          <t>Frete de venda (para clientes)</t>
        </is>
      </c>
      <c r="D3148" t="inlineStr">
        <is>
          <t>CT-e</t>
        </is>
      </c>
      <c r="E3148" t="inlineStr">
        <is>
          <t>000007129</t>
        </is>
      </c>
      <c r="F3148" t="inlineStr">
        <is>
          <t>R&amp;R TRANSPORTE E LOGISTICA</t>
        </is>
      </c>
      <c r="G3148" s="27" t="n">
        <v>46165</v>
      </c>
      <c r="H3148" s="14" t="n">
        <v>64.06999999999999</v>
      </c>
      <c r="I3148" s="14" t="n">
        <v>0</v>
      </c>
      <c r="J3148" s="14" t="n">
        <v>0</v>
      </c>
      <c r="K3148" s="14" t="n">
        <v>0</v>
      </c>
      <c r="L3148" s="14" t="n">
        <v>0</v>
      </c>
      <c r="M3148" s="14">
        <f>IF(B3148="Frete de venda",0,(1-ISNUMBER(SEARCH("556",P3148)))*(I3148*VLOOKUP($B3148,Premissas!$A$4:$E$7,2,0)+J3148*VLOOKUP($B3148,Premissas!$A$4:$E$7,3,0))+K3148*VLOOKUP($B3148,Premissas!$A$4:$E$7,4,0)+L3148*VLOOKUP($B3148,Premissas!$A$4:$E$7,5,0))</f>
        <v/>
      </c>
      <c r="N3148" s="14">
        <f>H3148-M3148</f>
        <v/>
      </c>
      <c r="O3148" t="inlineStr">
        <is>
          <t>Não</t>
        </is>
      </c>
      <c r="P3148" t="inlineStr">
        <is>
          <t>1.350</t>
        </is>
      </c>
    </row>
    <row r="3149">
      <c r="A3149" s="24" t="n">
        <v>46143</v>
      </c>
      <c r="B3149" t="inlineStr">
        <is>
          <t>Frete de venda</t>
        </is>
      </c>
      <c r="C3149" t="inlineStr">
        <is>
          <t>Frete de venda (para clientes)</t>
        </is>
      </c>
      <c r="D3149" t="inlineStr">
        <is>
          <t>CT-e</t>
        </is>
      </c>
      <c r="E3149" t="inlineStr">
        <is>
          <t>000007226</t>
        </is>
      </c>
      <c r="F3149" t="inlineStr">
        <is>
          <t>R&amp;R TRANSPORTE E LOGISTICA</t>
        </is>
      </c>
      <c r="G3149" s="27" t="n">
        <v>46172</v>
      </c>
      <c r="H3149" s="14" t="n">
        <v>72.40000000000001</v>
      </c>
      <c r="I3149" s="14" t="n">
        <v>0</v>
      </c>
      <c r="J3149" s="14" t="n">
        <v>0</v>
      </c>
      <c r="K3149" s="14" t="n">
        <v>0</v>
      </c>
      <c r="L3149" s="14" t="n">
        <v>0</v>
      </c>
      <c r="M3149" s="14">
        <f>IF(B3149="Frete de venda",0,(1-ISNUMBER(SEARCH("556",P3149)))*(I3149*VLOOKUP($B3149,Premissas!$A$4:$E$7,2,0)+J3149*VLOOKUP($B3149,Premissas!$A$4:$E$7,3,0))+K3149*VLOOKUP($B3149,Premissas!$A$4:$E$7,4,0)+L3149*VLOOKUP($B3149,Premissas!$A$4:$E$7,5,0))</f>
        <v/>
      </c>
      <c r="N3149" s="14">
        <f>H3149-M3149</f>
        <v/>
      </c>
      <c r="O3149" t="inlineStr">
        <is>
          <t>Não</t>
        </is>
      </c>
      <c r="P3149" t="inlineStr">
        <is>
          <t>2.350</t>
        </is>
      </c>
    </row>
    <row r="3150">
      <c r="A3150" s="24" t="n">
        <v>46143</v>
      </c>
      <c r="B3150" t="inlineStr">
        <is>
          <t>Frete de venda</t>
        </is>
      </c>
      <c r="C3150" t="inlineStr">
        <is>
          <t>Frete de venda (para clientes)</t>
        </is>
      </c>
      <c r="D3150" t="inlineStr">
        <is>
          <t>CT-e</t>
        </is>
      </c>
      <c r="E3150" t="inlineStr">
        <is>
          <t>000000678</t>
        </is>
      </c>
      <c r="F3150" t="inlineStr">
        <is>
          <t>REIMAG - REINALDO DOMINGUES BARROS DA SILVA</t>
        </is>
      </c>
      <c r="G3150" s="27" t="n">
        <v>46145</v>
      </c>
      <c r="H3150" s="14" t="n">
        <v>2800</v>
      </c>
      <c r="I3150" s="14" t="n">
        <v>0</v>
      </c>
      <c r="J3150" s="14" t="n">
        <v>0</v>
      </c>
      <c r="K3150" s="14" t="n">
        <v>0</v>
      </c>
      <c r="L3150" s="14" t="n">
        <v>0</v>
      </c>
      <c r="M3150" s="14">
        <f>IF(B3150="Frete de venda",0,(1-ISNUMBER(SEARCH("556",P3150)))*(I3150*VLOOKUP($B3150,Premissas!$A$4:$E$7,2,0)+J3150*VLOOKUP($B3150,Premissas!$A$4:$E$7,3,0))+K3150*VLOOKUP($B3150,Premissas!$A$4:$E$7,4,0)+L3150*VLOOKUP($B3150,Premissas!$A$4:$E$7,5,0))</f>
        <v/>
      </c>
      <c r="N3150" s="14">
        <f>H3150-M3150</f>
        <v/>
      </c>
      <c r="O3150" t="inlineStr">
        <is>
          <t>Sim</t>
        </is>
      </c>
      <c r="P3150" t="inlineStr">
        <is>
          <t>2.350</t>
        </is>
      </c>
    </row>
    <row r="3151">
      <c r="A3151" s="24" t="n">
        <v>46143</v>
      </c>
      <c r="B3151" t="inlineStr">
        <is>
          <t>Frete de venda</t>
        </is>
      </c>
      <c r="C3151" t="inlineStr">
        <is>
          <t>Frete de venda (para clientes)</t>
        </is>
      </c>
      <c r="D3151" t="inlineStr">
        <is>
          <t>CT-e</t>
        </is>
      </c>
      <c r="E3151" t="inlineStr">
        <is>
          <t>000007019</t>
        </is>
      </c>
      <c r="F3151" t="inlineStr">
        <is>
          <t>R&amp;R TRANSPORTE E LOGISTICA</t>
        </is>
      </c>
      <c r="G3151" s="27" t="n">
        <v>46151</v>
      </c>
      <c r="H3151" s="14" t="n">
        <v>16.68</v>
      </c>
      <c r="I3151" s="14" t="n">
        <v>0</v>
      </c>
      <c r="J3151" s="14" t="n">
        <v>0</v>
      </c>
      <c r="K3151" s="14" t="n">
        <v>0</v>
      </c>
      <c r="L3151" s="14" t="n">
        <v>0</v>
      </c>
      <c r="M3151" s="14">
        <f>IF(B3151="Frete de venda",0,(1-ISNUMBER(SEARCH("556",P3151)))*(I3151*VLOOKUP($B3151,Premissas!$A$4:$E$7,2,0)+J3151*VLOOKUP($B3151,Premissas!$A$4:$E$7,3,0))+K3151*VLOOKUP($B3151,Premissas!$A$4:$E$7,4,0)+L3151*VLOOKUP($B3151,Premissas!$A$4:$E$7,5,0))</f>
        <v/>
      </c>
      <c r="N3151" s="14">
        <f>H3151-M3151</f>
        <v/>
      </c>
      <c r="O3151" t="inlineStr">
        <is>
          <t>Não</t>
        </is>
      </c>
      <c r="P3151" t="inlineStr">
        <is>
          <t>1.350</t>
        </is>
      </c>
    </row>
    <row r="3152">
      <c r="A3152" s="24" t="n">
        <v>46143</v>
      </c>
      <c r="B3152" t="inlineStr">
        <is>
          <t>Frete de venda</t>
        </is>
      </c>
      <c r="C3152" t="inlineStr">
        <is>
          <t>Frete de venda (para clientes)</t>
        </is>
      </c>
      <c r="D3152" t="inlineStr">
        <is>
          <t>CT-e</t>
        </is>
      </c>
      <c r="E3152" t="inlineStr">
        <is>
          <t>000007150</t>
        </is>
      </c>
      <c r="F3152" t="inlineStr">
        <is>
          <t>R&amp;R TRANSPORTE E LOGISTICA</t>
        </is>
      </c>
      <c r="G3152" s="27" t="n">
        <v>46167</v>
      </c>
      <c r="H3152" s="14" t="n">
        <v>21.17</v>
      </c>
      <c r="I3152" s="14" t="n">
        <v>0</v>
      </c>
      <c r="J3152" s="14" t="n">
        <v>0</v>
      </c>
      <c r="K3152" s="14" t="n">
        <v>0</v>
      </c>
      <c r="L3152" s="14" t="n">
        <v>0</v>
      </c>
      <c r="M3152" s="14">
        <f>IF(B3152="Frete de venda",0,(1-ISNUMBER(SEARCH("556",P3152)))*(I3152*VLOOKUP($B3152,Premissas!$A$4:$E$7,2,0)+J3152*VLOOKUP($B3152,Premissas!$A$4:$E$7,3,0))+K3152*VLOOKUP($B3152,Premissas!$A$4:$E$7,4,0)+L3152*VLOOKUP($B3152,Premissas!$A$4:$E$7,5,0))</f>
        <v/>
      </c>
      <c r="N3152" s="14">
        <f>H3152-M3152</f>
        <v/>
      </c>
      <c r="O3152" t="inlineStr">
        <is>
          <t>Não</t>
        </is>
      </c>
      <c r="P3152" t="inlineStr">
        <is>
          <t>1.350</t>
        </is>
      </c>
    </row>
    <row r="3153">
      <c r="A3153" s="24" t="n">
        <v>46143</v>
      </c>
      <c r="B3153" t="inlineStr">
        <is>
          <t>Frete de venda</t>
        </is>
      </c>
      <c r="C3153" t="inlineStr">
        <is>
          <t>Frete de venda (para clientes)</t>
        </is>
      </c>
      <c r="D3153" t="inlineStr">
        <is>
          <t>CT-e</t>
        </is>
      </c>
      <c r="E3153" t="inlineStr">
        <is>
          <t>000006972</t>
        </is>
      </c>
      <c r="F3153" t="inlineStr">
        <is>
          <t>R&amp;R TRANSPORTE E LOGISTICA</t>
        </is>
      </c>
      <c r="G3153" s="27" t="n">
        <v>46147</v>
      </c>
      <c r="H3153" s="14" t="n">
        <v>66.2</v>
      </c>
      <c r="I3153" s="14" t="n">
        <v>0</v>
      </c>
      <c r="J3153" s="14" t="n">
        <v>0</v>
      </c>
      <c r="K3153" s="14" t="n">
        <v>0</v>
      </c>
      <c r="L3153" s="14" t="n">
        <v>0</v>
      </c>
      <c r="M3153" s="14">
        <f>IF(B3153="Frete de venda",0,(1-ISNUMBER(SEARCH("556",P3153)))*(I3153*VLOOKUP($B3153,Premissas!$A$4:$E$7,2,0)+J3153*VLOOKUP($B3153,Premissas!$A$4:$E$7,3,0))+K3153*VLOOKUP($B3153,Premissas!$A$4:$E$7,4,0)+L3153*VLOOKUP($B3153,Premissas!$A$4:$E$7,5,0))</f>
        <v/>
      </c>
      <c r="N3153" s="14">
        <f>H3153-M3153</f>
        <v/>
      </c>
      <c r="O3153" t="inlineStr">
        <is>
          <t>Não</t>
        </is>
      </c>
      <c r="P3153" t="inlineStr">
        <is>
          <t>1.350</t>
        </is>
      </c>
    </row>
    <row r="3154">
      <c r="A3154" s="24" t="n">
        <v>46143</v>
      </c>
      <c r="B3154" t="inlineStr">
        <is>
          <t>Frete de venda</t>
        </is>
      </c>
      <c r="C3154" t="inlineStr">
        <is>
          <t>Frete de venda (para clientes)</t>
        </is>
      </c>
      <c r="D3154" t="inlineStr">
        <is>
          <t>CT-e</t>
        </is>
      </c>
      <c r="E3154" t="inlineStr">
        <is>
          <t>000007213</t>
        </is>
      </c>
      <c r="F3154" t="inlineStr">
        <is>
          <t>R&amp;R TRANSPORTE E LOGISTICA</t>
        </is>
      </c>
      <c r="G3154" s="27" t="n">
        <v>46172</v>
      </c>
      <c r="H3154" s="14" t="n">
        <v>107.4</v>
      </c>
      <c r="I3154" s="14" t="n">
        <v>0</v>
      </c>
      <c r="J3154" s="14" t="n">
        <v>0</v>
      </c>
      <c r="K3154" s="14" t="n">
        <v>0</v>
      </c>
      <c r="L3154" s="14" t="n">
        <v>0</v>
      </c>
      <c r="M3154" s="14">
        <f>IF(B3154="Frete de venda",0,(1-ISNUMBER(SEARCH("556",P3154)))*(I3154*VLOOKUP($B3154,Premissas!$A$4:$E$7,2,0)+J3154*VLOOKUP($B3154,Premissas!$A$4:$E$7,3,0))+K3154*VLOOKUP($B3154,Premissas!$A$4:$E$7,4,0)+L3154*VLOOKUP($B3154,Premissas!$A$4:$E$7,5,0))</f>
        <v/>
      </c>
      <c r="N3154" s="14">
        <f>H3154-M3154</f>
        <v/>
      </c>
      <c r="O3154" t="inlineStr">
        <is>
          <t>Não</t>
        </is>
      </c>
      <c r="P3154" t="inlineStr">
        <is>
          <t>2.350</t>
        </is>
      </c>
    </row>
    <row r="3155">
      <c r="A3155" s="24" t="n">
        <v>46143</v>
      </c>
      <c r="B3155" t="inlineStr">
        <is>
          <t>Frete de venda</t>
        </is>
      </c>
      <c r="C3155" t="inlineStr">
        <is>
          <t>Frete de venda (para clientes)</t>
        </is>
      </c>
      <c r="D3155" t="inlineStr">
        <is>
          <t>CT-e</t>
        </is>
      </c>
      <c r="E3155" t="inlineStr">
        <is>
          <t>000006981</t>
        </is>
      </c>
      <c r="F3155" t="inlineStr">
        <is>
          <t>R&amp;R TRANSPORTE E LOGISTICA</t>
        </is>
      </c>
      <c r="G3155" s="27" t="n">
        <v>46147</v>
      </c>
      <c r="H3155" s="14" t="n">
        <v>71.75</v>
      </c>
      <c r="I3155" s="14" t="n">
        <v>0</v>
      </c>
      <c r="J3155" s="14" t="n">
        <v>0</v>
      </c>
      <c r="K3155" s="14" t="n">
        <v>0</v>
      </c>
      <c r="L3155" s="14" t="n">
        <v>0</v>
      </c>
      <c r="M3155" s="14">
        <f>IF(B3155="Frete de venda",0,(1-ISNUMBER(SEARCH("556",P3155)))*(I3155*VLOOKUP($B3155,Premissas!$A$4:$E$7,2,0)+J3155*VLOOKUP($B3155,Premissas!$A$4:$E$7,3,0))+K3155*VLOOKUP($B3155,Premissas!$A$4:$E$7,4,0)+L3155*VLOOKUP($B3155,Premissas!$A$4:$E$7,5,0))</f>
        <v/>
      </c>
      <c r="N3155" s="14">
        <f>H3155-M3155</f>
        <v/>
      </c>
      <c r="O3155" t="inlineStr">
        <is>
          <t>Não</t>
        </is>
      </c>
      <c r="P3155" t="inlineStr">
        <is>
          <t>1.350</t>
        </is>
      </c>
    </row>
    <row r="3156">
      <c r="A3156" s="24" t="n">
        <v>46143</v>
      </c>
      <c r="B3156" t="inlineStr">
        <is>
          <t>Frete de venda</t>
        </is>
      </c>
      <c r="C3156" t="inlineStr">
        <is>
          <t>Frete de venda (para clientes)</t>
        </is>
      </c>
      <c r="D3156" t="inlineStr">
        <is>
          <t>CT-e</t>
        </is>
      </c>
      <c r="E3156" t="inlineStr">
        <is>
          <t>000007184</t>
        </is>
      </c>
      <c r="F3156" t="inlineStr">
        <is>
          <t>R&amp;R TRANSPORTE E LOGISTICA</t>
        </is>
      </c>
      <c r="G3156" s="27" t="n">
        <v>46170</v>
      </c>
      <c r="H3156" s="14" t="n">
        <v>16.46</v>
      </c>
      <c r="I3156" s="14" t="n">
        <v>0</v>
      </c>
      <c r="J3156" s="14" t="n">
        <v>0</v>
      </c>
      <c r="K3156" s="14" t="n">
        <v>0</v>
      </c>
      <c r="L3156" s="14" t="n">
        <v>0</v>
      </c>
      <c r="M3156" s="14">
        <f>IF(B3156="Frete de venda",0,(1-ISNUMBER(SEARCH("556",P3156)))*(I3156*VLOOKUP($B3156,Premissas!$A$4:$E$7,2,0)+J3156*VLOOKUP($B3156,Premissas!$A$4:$E$7,3,0))+K3156*VLOOKUP($B3156,Premissas!$A$4:$E$7,4,0)+L3156*VLOOKUP($B3156,Premissas!$A$4:$E$7,5,0))</f>
        <v/>
      </c>
      <c r="N3156" s="14">
        <f>H3156-M3156</f>
        <v/>
      </c>
      <c r="O3156" t="inlineStr">
        <is>
          <t>Não</t>
        </is>
      </c>
      <c r="P3156" t="inlineStr">
        <is>
          <t>1.350</t>
        </is>
      </c>
    </row>
    <row r="3157">
      <c r="A3157" s="24" t="n">
        <v>46143</v>
      </c>
      <c r="B3157" t="inlineStr">
        <is>
          <t>Frete de venda</t>
        </is>
      </c>
      <c r="C3157" t="inlineStr">
        <is>
          <t>Frete de venda (para clientes)</t>
        </is>
      </c>
      <c r="D3157" t="inlineStr">
        <is>
          <t>CT-e</t>
        </is>
      </c>
      <c r="E3157" t="inlineStr">
        <is>
          <t>000007195</t>
        </is>
      </c>
      <c r="F3157" t="inlineStr">
        <is>
          <t>R&amp;R TRANSPORTE E LOGISTICA</t>
        </is>
      </c>
      <c r="G3157" s="27" t="n">
        <v>46170</v>
      </c>
      <c r="H3157" s="14" t="n">
        <v>18.08</v>
      </c>
      <c r="I3157" s="14" t="n">
        <v>0</v>
      </c>
      <c r="J3157" s="14" t="n">
        <v>0</v>
      </c>
      <c r="K3157" s="14" t="n">
        <v>0</v>
      </c>
      <c r="L3157" s="14" t="n">
        <v>0</v>
      </c>
      <c r="M3157" s="14">
        <f>IF(B3157="Frete de venda",0,(1-ISNUMBER(SEARCH("556",P3157)))*(I3157*VLOOKUP($B3157,Premissas!$A$4:$E$7,2,0)+J3157*VLOOKUP($B3157,Premissas!$A$4:$E$7,3,0))+K3157*VLOOKUP($B3157,Premissas!$A$4:$E$7,4,0)+L3157*VLOOKUP($B3157,Premissas!$A$4:$E$7,5,0))</f>
        <v/>
      </c>
      <c r="N3157" s="14">
        <f>H3157-M3157</f>
        <v/>
      </c>
      <c r="O3157" t="inlineStr">
        <is>
          <t>Não</t>
        </is>
      </c>
      <c r="P3157" t="inlineStr">
        <is>
          <t>1.350</t>
        </is>
      </c>
    </row>
    <row r="3158">
      <c r="A3158" s="24" t="n">
        <v>46143</v>
      </c>
      <c r="B3158" t="inlineStr">
        <is>
          <t>Frete de venda</t>
        </is>
      </c>
      <c r="C3158" t="inlineStr">
        <is>
          <t>Frete de venda (para clientes)</t>
        </is>
      </c>
      <c r="D3158" t="inlineStr">
        <is>
          <t>CT-e</t>
        </is>
      </c>
      <c r="E3158" t="inlineStr">
        <is>
          <t>000007000</t>
        </is>
      </c>
      <c r="F3158" t="inlineStr">
        <is>
          <t>R&amp;R TRANSPORTE E LOGISTICA</t>
        </is>
      </c>
      <c r="G3158" s="27" t="n">
        <v>46149</v>
      </c>
      <c r="H3158" s="14" t="n">
        <v>26.97</v>
      </c>
      <c r="I3158" s="14" t="n">
        <v>0</v>
      </c>
      <c r="J3158" s="14" t="n">
        <v>0</v>
      </c>
      <c r="K3158" s="14" t="n">
        <v>0</v>
      </c>
      <c r="L3158" s="14" t="n">
        <v>0</v>
      </c>
      <c r="M3158" s="14">
        <f>IF(B3158="Frete de venda",0,(1-ISNUMBER(SEARCH("556",P3158)))*(I3158*VLOOKUP($B3158,Premissas!$A$4:$E$7,2,0)+J3158*VLOOKUP($B3158,Premissas!$A$4:$E$7,3,0))+K3158*VLOOKUP($B3158,Premissas!$A$4:$E$7,4,0)+L3158*VLOOKUP($B3158,Premissas!$A$4:$E$7,5,0))</f>
        <v/>
      </c>
      <c r="N3158" s="14">
        <f>H3158-M3158</f>
        <v/>
      </c>
      <c r="O3158" t="inlineStr">
        <is>
          <t>Não</t>
        </is>
      </c>
      <c r="P3158" t="inlineStr">
        <is>
          <t>1.350</t>
        </is>
      </c>
    </row>
    <row r="3159">
      <c r="A3159" s="24" t="n">
        <v>46143</v>
      </c>
      <c r="B3159" t="inlineStr">
        <is>
          <t>Frete de venda</t>
        </is>
      </c>
      <c r="C3159" t="inlineStr">
        <is>
          <t>Frete de venda (para clientes)</t>
        </is>
      </c>
      <c r="D3159" t="inlineStr">
        <is>
          <t>CT-e</t>
        </is>
      </c>
      <c r="E3159" t="inlineStr">
        <is>
          <t>000006998</t>
        </is>
      </c>
      <c r="F3159" t="inlineStr">
        <is>
          <t>R&amp;R TRANSPORTE E LOGISTICA</t>
        </is>
      </c>
      <c r="G3159" s="27" t="n">
        <v>46149</v>
      </c>
      <c r="H3159" s="14" t="n">
        <v>32.07</v>
      </c>
      <c r="I3159" s="14" t="n">
        <v>0</v>
      </c>
      <c r="J3159" s="14" t="n">
        <v>0</v>
      </c>
      <c r="K3159" s="14" t="n">
        <v>0</v>
      </c>
      <c r="L3159" s="14" t="n">
        <v>0</v>
      </c>
      <c r="M3159" s="14">
        <f>IF(B3159="Frete de venda",0,(1-ISNUMBER(SEARCH("556",P3159)))*(I3159*VLOOKUP($B3159,Premissas!$A$4:$E$7,2,0)+J3159*VLOOKUP($B3159,Premissas!$A$4:$E$7,3,0))+K3159*VLOOKUP($B3159,Premissas!$A$4:$E$7,4,0)+L3159*VLOOKUP($B3159,Premissas!$A$4:$E$7,5,0))</f>
        <v/>
      </c>
      <c r="N3159" s="14">
        <f>H3159-M3159</f>
        <v/>
      </c>
      <c r="O3159" t="inlineStr">
        <is>
          <t>Não</t>
        </is>
      </c>
      <c r="P3159" t="inlineStr">
        <is>
          <t>1.350</t>
        </is>
      </c>
    </row>
    <row r="3160">
      <c r="A3160" s="24" t="n">
        <v>46143</v>
      </c>
      <c r="B3160" t="inlineStr">
        <is>
          <t>Frete de venda</t>
        </is>
      </c>
      <c r="C3160" t="inlineStr">
        <is>
          <t>Frete de venda (para clientes)</t>
        </is>
      </c>
      <c r="D3160" t="inlineStr">
        <is>
          <t>CT-e</t>
        </is>
      </c>
      <c r="E3160" t="inlineStr">
        <is>
          <t>000007070</t>
        </is>
      </c>
      <c r="F3160" t="inlineStr">
        <is>
          <t>R&amp;R TRANSPORTE E LOGISTICA</t>
        </is>
      </c>
      <c r="G3160" s="27" t="n">
        <v>46157</v>
      </c>
      <c r="H3160" s="14" t="n">
        <v>61.82</v>
      </c>
      <c r="I3160" s="14" t="n">
        <v>0</v>
      </c>
      <c r="J3160" s="14" t="n">
        <v>0</v>
      </c>
      <c r="K3160" s="14" t="n">
        <v>0</v>
      </c>
      <c r="L3160" s="14" t="n">
        <v>0</v>
      </c>
      <c r="M3160" s="14">
        <f>IF(B3160="Frete de venda",0,(1-ISNUMBER(SEARCH("556",P3160)))*(I3160*VLOOKUP($B3160,Premissas!$A$4:$E$7,2,0)+J3160*VLOOKUP($B3160,Premissas!$A$4:$E$7,3,0))+K3160*VLOOKUP($B3160,Premissas!$A$4:$E$7,4,0)+L3160*VLOOKUP($B3160,Premissas!$A$4:$E$7,5,0))</f>
        <v/>
      </c>
      <c r="N3160" s="14">
        <f>H3160-M3160</f>
        <v/>
      </c>
      <c r="O3160" t="inlineStr">
        <is>
          <t>Não</t>
        </is>
      </c>
      <c r="P3160" t="inlineStr">
        <is>
          <t>1.350</t>
        </is>
      </c>
    </row>
    <row r="3161">
      <c r="A3161" s="24" t="n">
        <v>46143</v>
      </c>
      <c r="B3161" t="inlineStr">
        <is>
          <t>Frete de venda</t>
        </is>
      </c>
      <c r="C3161" t="inlineStr">
        <is>
          <t>Frete de venda (para clientes)</t>
        </is>
      </c>
      <c r="D3161" t="inlineStr">
        <is>
          <t>CT-e</t>
        </is>
      </c>
      <c r="E3161" t="inlineStr">
        <is>
          <t>000003877</t>
        </is>
      </c>
      <c r="F3161" t="inlineStr">
        <is>
          <t>RAPIDO XAPURI TRANSPORTES E LOGISTICA LTDA</t>
        </is>
      </c>
      <c r="G3161" s="27" t="n">
        <v>46162</v>
      </c>
      <c r="H3161" s="14" t="n">
        <v>3081.55</v>
      </c>
      <c r="I3161" s="14" t="n">
        <v>0</v>
      </c>
      <c r="J3161" s="14" t="n">
        <v>369.79</v>
      </c>
      <c r="K3161" s="14" t="n">
        <v>0</v>
      </c>
      <c r="L3161" s="14" t="n">
        <v>0</v>
      </c>
      <c r="M3161" s="14">
        <f>IF(B3161="Frete de venda",0,(1-ISNUMBER(SEARCH("556",P3161)))*(I3161*VLOOKUP($B3161,Premissas!$A$4:$E$7,2,0)+J3161*VLOOKUP($B3161,Premissas!$A$4:$E$7,3,0))+K3161*VLOOKUP($B3161,Premissas!$A$4:$E$7,4,0)+L3161*VLOOKUP($B3161,Premissas!$A$4:$E$7,5,0))</f>
        <v/>
      </c>
      <c r="N3161" s="14">
        <f>H3161-M3161</f>
        <v/>
      </c>
      <c r="O3161" t="inlineStr">
        <is>
          <t>Sim</t>
        </is>
      </c>
      <c r="P3161" t="inlineStr">
        <is>
          <t>2.350</t>
        </is>
      </c>
    </row>
    <row r="3162">
      <c r="A3162" s="24" t="n">
        <v>46143</v>
      </c>
      <c r="B3162" t="inlineStr">
        <is>
          <t>Frete de venda</t>
        </is>
      </c>
      <c r="C3162" t="inlineStr">
        <is>
          <t>Frete de venda (para clientes)</t>
        </is>
      </c>
      <c r="D3162" t="inlineStr">
        <is>
          <t>CT-e</t>
        </is>
      </c>
      <c r="E3162" t="inlineStr">
        <is>
          <t>000007157</t>
        </is>
      </c>
      <c r="F3162" t="inlineStr">
        <is>
          <t>R&amp;R TRANSPORTE E LOGISTICA</t>
        </is>
      </c>
      <c r="G3162" s="27" t="n">
        <v>46168</v>
      </c>
      <c r="H3162" s="14" t="n">
        <v>43.26</v>
      </c>
      <c r="I3162" s="14" t="n">
        <v>0</v>
      </c>
      <c r="J3162" s="14" t="n">
        <v>0</v>
      </c>
      <c r="K3162" s="14" t="n">
        <v>0</v>
      </c>
      <c r="L3162" s="14" t="n">
        <v>0</v>
      </c>
      <c r="M3162" s="14">
        <f>IF(B3162="Frete de venda",0,(1-ISNUMBER(SEARCH("556",P3162)))*(I3162*VLOOKUP($B3162,Premissas!$A$4:$E$7,2,0)+J3162*VLOOKUP($B3162,Premissas!$A$4:$E$7,3,0))+K3162*VLOOKUP($B3162,Premissas!$A$4:$E$7,4,0)+L3162*VLOOKUP($B3162,Premissas!$A$4:$E$7,5,0))</f>
        <v/>
      </c>
      <c r="N3162" s="14">
        <f>H3162-M3162</f>
        <v/>
      </c>
      <c r="O3162" t="inlineStr">
        <is>
          <t>Não</t>
        </is>
      </c>
      <c r="P3162" t="inlineStr">
        <is>
          <t>1.350</t>
        </is>
      </c>
    </row>
    <row r="3163">
      <c r="A3163" s="24" t="n">
        <v>46143</v>
      </c>
      <c r="B3163" t="inlineStr">
        <is>
          <t>Frete de venda</t>
        </is>
      </c>
      <c r="C3163" t="inlineStr">
        <is>
          <t>Frete de venda (para clientes)</t>
        </is>
      </c>
      <c r="D3163" t="inlineStr">
        <is>
          <t>CT-e</t>
        </is>
      </c>
      <c r="E3163" t="inlineStr">
        <is>
          <t>000007054</t>
        </is>
      </c>
      <c r="F3163" t="inlineStr">
        <is>
          <t>R&amp;R TRANSPORTE E LOGISTICA</t>
        </is>
      </c>
      <c r="G3163" s="27" t="n">
        <v>46154</v>
      </c>
      <c r="H3163" s="14" t="n">
        <v>77.28</v>
      </c>
      <c r="I3163" s="14" t="n">
        <v>0</v>
      </c>
      <c r="J3163" s="14" t="n">
        <v>0</v>
      </c>
      <c r="K3163" s="14" t="n">
        <v>0</v>
      </c>
      <c r="L3163" s="14" t="n">
        <v>0</v>
      </c>
      <c r="M3163" s="14">
        <f>IF(B3163="Frete de venda",0,(1-ISNUMBER(SEARCH("556",P3163)))*(I3163*VLOOKUP($B3163,Premissas!$A$4:$E$7,2,0)+J3163*VLOOKUP($B3163,Premissas!$A$4:$E$7,3,0))+K3163*VLOOKUP($B3163,Premissas!$A$4:$E$7,4,0)+L3163*VLOOKUP($B3163,Premissas!$A$4:$E$7,5,0))</f>
        <v/>
      </c>
      <c r="N3163" s="14">
        <f>H3163-M3163</f>
        <v/>
      </c>
      <c r="O3163" t="inlineStr">
        <is>
          <t>Não</t>
        </is>
      </c>
      <c r="P3163" t="inlineStr">
        <is>
          <t>1.350</t>
        </is>
      </c>
    </row>
    <row r="3164">
      <c r="A3164" s="24" t="n">
        <v>46143</v>
      </c>
      <c r="B3164" t="inlineStr">
        <is>
          <t>Frete de venda</t>
        </is>
      </c>
      <c r="C3164" t="inlineStr">
        <is>
          <t>Frete de venda (para clientes)</t>
        </is>
      </c>
      <c r="D3164" t="inlineStr">
        <is>
          <t>CT-e</t>
        </is>
      </c>
      <c r="E3164" t="inlineStr">
        <is>
          <t>000006951</t>
        </is>
      </c>
      <c r="F3164" t="inlineStr">
        <is>
          <t>R&amp;R TRANSPORTE E LOGISTICA</t>
        </is>
      </c>
      <c r="G3164" s="27" t="n">
        <v>46143</v>
      </c>
      <c r="H3164" s="14" t="n">
        <v>16.82</v>
      </c>
      <c r="I3164" s="14" t="n">
        <v>0</v>
      </c>
      <c r="J3164" s="14" t="n">
        <v>0</v>
      </c>
      <c r="K3164" s="14" t="n">
        <v>0</v>
      </c>
      <c r="L3164" s="14" t="n">
        <v>0</v>
      </c>
      <c r="M3164" s="14">
        <f>IF(B3164="Frete de venda",0,(1-ISNUMBER(SEARCH("556",P3164)))*(I3164*VLOOKUP($B3164,Premissas!$A$4:$E$7,2,0)+J3164*VLOOKUP($B3164,Premissas!$A$4:$E$7,3,0))+K3164*VLOOKUP($B3164,Premissas!$A$4:$E$7,4,0)+L3164*VLOOKUP($B3164,Premissas!$A$4:$E$7,5,0))</f>
        <v/>
      </c>
      <c r="N3164" s="14">
        <f>H3164-M3164</f>
        <v/>
      </c>
      <c r="O3164" t="inlineStr">
        <is>
          <t>Não</t>
        </is>
      </c>
      <c r="P3164" t="inlineStr">
        <is>
          <t>1.350</t>
        </is>
      </c>
    </row>
    <row r="3165">
      <c r="A3165" s="24" t="n">
        <v>46143</v>
      </c>
      <c r="B3165" t="inlineStr">
        <is>
          <t>Frete de venda</t>
        </is>
      </c>
      <c r="C3165" t="inlineStr">
        <is>
          <t>Frete de venda (para clientes)</t>
        </is>
      </c>
      <c r="D3165" t="inlineStr">
        <is>
          <t>CT-e</t>
        </is>
      </c>
      <c r="E3165" t="inlineStr">
        <is>
          <t>000007045</t>
        </is>
      </c>
      <c r="F3165" t="inlineStr">
        <is>
          <t>R&amp;R TRANSPORTE E LOGISTICA</t>
        </is>
      </c>
      <c r="G3165" s="27" t="n">
        <v>46153</v>
      </c>
      <c r="H3165" s="14" t="n">
        <v>107.52</v>
      </c>
      <c r="I3165" s="14" t="n">
        <v>0</v>
      </c>
      <c r="J3165" s="14" t="n">
        <v>0</v>
      </c>
      <c r="K3165" s="14" t="n">
        <v>0</v>
      </c>
      <c r="L3165" s="14" t="n">
        <v>0</v>
      </c>
      <c r="M3165" s="14">
        <f>IF(B3165="Frete de venda",0,(1-ISNUMBER(SEARCH("556",P3165)))*(I3165*VLOOKUP($B3165,Premissas!$A$4:$E$7,2,0)+J3165*VLOOKUP($B3165,Premissas!$A$4:$E$7,3,0))+K3165*VLOOKUP($B3165,Premissas!$A$4:$E$7,4,0)+L3165*VLOOKUP($B3165,Premissas!$A$4:$E$7,5,0))</f>
        <v/>
      </c>
      <c r="N3165" s="14">
        <f>H3165-M3165</f>
        <v/>
      </c>
      <c r="O3165" t="inlineStr">
        <is>
          <t>Não</t>
        </is>
      </c>
      <c r="P3165" t="inlineStr">
        <is>
          <t>1.350</t>
        </is>
      </c>
    </row>
    <row r="3166">
      <c r="A3166" s="24" t="n">
        <v>46143</v>
      </c>
      <c r="B3166" t="inlineStr">
        <is>
          <t>Frete de venda</t>
        </is>
      </c>
      <c r="C3166" t="inlineStr">
        <is>
          <t>Frete de venda (para clientes)</t>
        </is>
      </c>
      <c r="D3166" t="inlineStr">
        <is>
          <t>CT-e</t>
        </is>
      </c>
      <c r="E3166" t="inlineStr">
        <is>
          <t>000007202</t>
        </is>
      </c>
      <c r="F3166" t="inlineStr">
        <is>
          <t>R&amp;R TRANSPORTE E LOGISTICA</t>
        </is>
      </c>
      <c r="G3166" s="27" t="n">
        <v>46170</v>
      </c>
      <c r="H3166" s="14" t="n">
        <v>19.53</v>
      </c>
      <c r="I3166" s="14" t="n">
        <v>0</v>
      </c>
      <c r="J3166" s="14" t="n">
        <v>0</v>
      </c>
      <c r="K3166" s="14" t="n">
        <v>0</v>
      </c>
      <c r="L3166" s="14" t="n">
        <v>0</v>
      </c>
      <c r="M3166" s="14">
        <f>IF(B3166="Frete de venda",0,(1-ISNUMBER(SEARCH("556",P3166)))*(I3166*VLOOKUP($B3166,Premissas!$A$4:$E$7,2,0)+J3166*VLOOKUP($B3166,Premissas!$A$4:$E$7,3,0))+K3166*VLOOKUP($B3166,Premissas!$A$4:$E$7,4,0)+L3166*VLOOKUP($B3166,Premissas!$A$4:$E$7,5,0))</f>
        <v/>
      </c>
      <c r="N3166" s="14">
        <f>H3166-M3166</f>
        <v/>
      </c>
      <c r="O3166" t="inlineStr">
        <is>
          <t>Não</t>
        </is>
      </c>
      <c r="P3166" t="inlineStr">
        <is>
          <t>1.350</t>
        </is>
      </c>
    </row>
    <row r="3167">
      <c r="A3167" s="24" t="n">
        <v>46143</v>
      </c>
      <c r="B3167" t="inlineStr">
        <is>
          <t>Frete de venda</t>
        </is>
      </c>
      <c r="C3167" t="inlineStr">
        <is>
          <t>Frete de venda (para clientes)</t>
        </is>
      </c>
      <c r="D3167" t="inlineStr">
        <is>
          <t>CT-e</t>
        </is>
      </c>
      <c r="E3167" t="inlineStr">
        <is>
          <t>000006996</t>
        </is>
      </c>
      <c r="F3167" t="inlineStr">
        <is>
          <t>R&amp;R TRANSPORTE E LOGISTICA</t>
        </is>
      </c>
      <c r="G3167" s="27" t="n">
        <v>46149</v>
      </c>
      <c r="H3167" s="14" t="n">
        <v>27.06</v>
      </c>
      <c r="I3167" s="14" t="n">
        <v>0</v>
      </c>
      <c r="J3167" s="14" t="n">
        <v>0</v>
      </c>
      <c r="K3167" s="14" t="n">
        <v>0</v>
      </c>
      <c r="L3167" s="14" t="n">
        <v>0</v>
      </c>
      <c r="M3167" s="14">
        <f>IF(B3167="Frete de venda",0,(1-ISNUMBER(SEARCH("556",P3167)))*(I3167*VLOOKUP($B3167,Premissas!$A$4:$E$7,2,0)+J3167*VLOOKUP($B3167,Premissas!$A$4:$E$7,3,0))+K3167*VLOOKUP($B3167,Premissas!$A$4:$E$7,4,0)+L3167*VLOOKUP($B3167,Premissas!$A$4:$E$7,5,0))</f>
        <v/>
      </c>
      <c r="N3167" s="14">
        <f>H3167-M3167</f>
        <v/>
      </c>
      <c r="O3167" t="inlineStr">
        <is>
          <t>Não</t>
        </is>
      </c>
      <c r="P3167" t="inlineStr">
        <is>
          <t>1.350</t>
        </is>
      </c>
    </row>
    <row r="3168">
      <c r="A3168" s="24" t="n">
        <v>46143</v>
      </c>
      <c r="B3168" t="inlineStr">
        <is>
          <t>Frete de venda</t>
        </is>
      </c>
      <c r="C3168" t="inlineStr">
        <is>
          <t>Frete de venda (para clientes)</t>
        </is>
      </c>
      <c r="D3168" t="inlineStr">
        <is>
          <t>CT-e</t>
        </is>
      </c>
      <c r="E3168" t="inlineStr">
        <is>
          <t>000007033</t>
        </is>
      </c>
      <c r="F3168" t="inlineStr">
        <is>
          <t>R&amp;R TRANSPORTE E LOGISTICA</t>
        </is>
      </c>
      <c r="G3168" s="27" t="n">
        <v>46151</v>
      </c>
      <c r="H3168" s="14" t="n">
        <v>18.92</v>
      </c>
      <c r="I3168" s="14" t="n">
        <v>0</v>
      </c>
      <c r="J3168" s="14" t="n">
        <v>0</v>
      </c>
      <c r="K3168" s="14" t="n">
        <v>0</v>
      </c>
      <c r="L3168" s="14" t="n">
        <v>0</v>
      </c>
      <c r="M3168" s="14">
        <f>IF(B3168="Frete de venda",0,(1-ISNUMBER(SEARCH("556",P3168)))*(I3168*VLOOKUP($B3168,Premissas!$A$4:$E$7,2,0)+J3168*VLOOKUP($B3168,Premissas!$A$4:$E$7,3,0))+K3168*VLOOKUP($B3168,Premissas!$A$4:$E$7,4,0)+L3168*VLOOKUP($B3168,Premissas!$A$4:$E$7,5,0))</f>
        <v/>
      </c>
      <c r="N3168" s="14">
        <f>H3168-M3168</f>
        <v/>
      </c>
      <c r="O3168" t="inlineStr">
        <is>
          <t>Não</t>
        </is>
      </c>
      <c r="P3168" t="inlineStr">
        <is>
          <t>1.350</t>
        </is>
      </c>
    </row>
    <row r="3169">
      <c r="A3169" s="24" t="n">
        <v>46143</v>
      </c>
      <c r="B3169" t="inlineStr">
        <is>
          <t>Frete de venda</t>
        </is>
      </c>
      <c r="C3169" t="inlineStr">
        <is>
          <t>Frete de venda (para clientes)</t>
        </is>
      </c>
      <c r="D3169" t="inlineStr">
        <is>
          <t>CT-e</t>
        </is>
      </c>
      <c r="E3169" t="inlineStr">
        <is>
          <t>000007173</t>
        </is>
      </c>
      <c r="F3169" t="inlineStr">
        <is>
          <t>R&amp;R TRANSPORTE E LOGISTICA</t>
        </is>
      </c>
      <c r="G3169" s="27" t="n">
        <v>46170</v>
      </c>
      <c r="H3169" s="14" t="n">
        <v>103.77</v>
      </c>
      <c r="I3169" s="14" t="n">
        <v>0</v>
      </c>
      <c r="J3169" s="14" t="n">
        <v>0</v>
      </c>
      <c r="K3169" s="14" t="n">
        <v>0</v>
      </c>
      <c r="L3169" s="14" t="n">
        <v>0</v>
      </c>
      <c r="M3169" s="14">
        <f>IF(B3169="Frete de venda",0,(1-ISNUMBER(SEARCH("556",P3169)))*(I3169*VLOOKUP($B3169,Premissas!$A$4:$E$7,2,0)+J3169*VLOOKUP($B3169,Premissas!$A$4:$E$7,3,0))+K3169*VLOOKUP($B3169,Premissas!$A$4:$E$7,4,0)+L3169*VLOOKUP($B3169,Premissas!$A$4:$E$7,5,0))</f>
        <v/>
      </c>
      <c r="N3169" s="14">
        <f>H3169-M3169</f>
        <v/>
      </c>
      <c r="O3169" t="inlineStr">
        <is>
          <t>Não</t>
        </is>
      </c>
      <c r="P3169" t="inlineStr">
        <is>
          <t>1.350</t>
        </is>
      </c>
    </row>
    <row r="3170">
      <c r="A3170" s="24" t="n">
        <v>46143</v>
      </c>
      <c r="B3170" t="inlineStr">
        <is>
          <t>Frete de venda</t>
        </is>
      </c>
      <c r="C3170" t="inlineStr">
        <is>
          <t>Frete de venda (para clientes)</t>
        </is>
      </c>
      <c r="D3170" t="inlineStr">
        <is>
          <t>CT-e</t>
        </is>
      </c>
      <c r="E3170" t="inlineStr">
        <is>
          <t>000007010</t>
        </is>
      </c>
      <c r="F3170" t="inlineStr">
        <is>
          <t>R&amp;R TRANSPORTE E LOGISTICA</t>
        </is>
      </c>
      <c r="G3170" s="27" t="n">
        <v>46150</v>
      </c>
      <c r="H3170" s="14" t="n">
        <v>60.08</v>
      </c>
      <c r="I3170" s="14" t="n">
        <v>0</v>
      </c>
      <c r="J3170" s="14" t="n">
        <v>0</v>
      </c>
      <c r="K3170" s="14" t="n">
        <v>0</v>
      </c>
      <c r="L3170" s="14" t="n">
        <v>0</v>
      </c>
      <c r="M3170" s="14">
        <f>IF(B3170="Frete de venda",0,(1-ISNUMBER(SEARCH("556",P3170)))*(I3170*VLOOKUP($B3170,Premissas!$A$4:$E$7,2,0)+J3170*VLOOKUP($B3170,Premissas!$A$4:$E$7,3,0))+K3170*VLOOKUP($B3170,Premissas!$A$4:$E$7,4,0)+L3170*VLOOKUP($B3170,Premissas!$A$4:$E$7,5,0))</f>
        <v/>
      </c>
      <c r="N3170" s="14">
        <f>H3170-M3170</f>
        <v/>
      </c>
      <c r="O3170" t="inlineStr">
        <is>
          <t>Não</t>
        </is>
      </c>
      <c r="P3170" t="inlineStr">
        <is>
          <t>1.350</t>
        </is>
      </c>
    </row>
    <row r="3171">
      <c r="A3171" s="24" t="n">
        <v>46143</v>
      </c>
      <c r="B3171" t="inlineStr">
        <is>
          <t>Frete de venda</t>
        </is>
      </c>
      <c r="C3171" t="inlineStr">
        <is>
          <t>Frete de venda (para clientes)</t>
        </is>
      </c>
      <c r="D3171" t="inlineStr">
        <is>
          <t>CT-e</t>
        </is>
      </c>
      <c r="E3171" t="inlineStr">
        <is>
          <t>000007028</t>
        </is>
      </c>
      <c r="F3171" t="inlineStr">
        <is>
          <t>R&amp;R TRANSPORTE E LOGISTICA</t>
        </is>
      </c>
      <c r="G3171" s="27" t="n">
        <v>46151</v>
      </c>
      <c r="H3171" s="14" t="n">
        <v>49.23</v>
      </c>
      <c r="I3171" s="14" t="n">
        <v>0</v>
      </c>
      <c r="J3171" s="14" t="n">
        <v>0</v>
      </c>
      <c r="K3171" s="14" t="n">
        <v>0</v>
      </c>
      <c r="L3171" s="14" t="n">
        <v>0</v>
      </c>
      <c r="M3171" s="14">
        <f>IF(B3171="Frete de venda",0,(1-ISNUMBER(SEARCH("556",P3171)))*(I3171*VLOOKUP($B3171,Premissas!$A$4:$E$7,2,0)+J3171*VLOOKUP($B3171,Premissas!$A$4:$E$7,3,0))+K3171*VLOOKUP($B3171,Premissas!$A$4:$E$7,4,0)+L3171*VLOOKUP($B3171,Premissas!$A$4:$E$7,5,0))</f>
        <v/>
      </c>
      <c r="N3171" s="14">
        <f>H3171-M3171</f>
        <v/>
      </c>
      <c r="O3171" t="inlineStr">
        <is>
          <t>Não</t>
        </is>
      </c>
      <c r="P3171" t="inlineStr">
        <is>
          <t>1.350</t>
        </is>
      </c>
    </row>
    <row r="3172">
      <c r="A3172" s="24" t="n">
        <v>46143</v>
      </c>
      <c r="B3172" t="inlineStr">
        <is>
          <t>Frete de venda</t>
        </is>
      </c>
      <c r="C3172" t="inlineStr">
        <is>
          <t>Frete de venda (para clientes)</t>
        </is>
      </c>
      <c r="D3172" t="inlineStr">
        <is>
          <t>CT-e</t>
        </is>
      </c>
      <c r="E3172" t="inlineStr">
        <is>
          <t>000007216</t>
        </is>
      </c>
      <c r="F3172" t="inlineStr">
        <is>
          <t>R&amp;R TRANSPORTE E LOGISTICA</t>
        </is>
      </c>
      <c r="G3172" s="27" t="n">
        <v>46172</v>
      </c>
      <c r="H3172" s="14" t="n">
        <v>86.52</v>
      </c>
      <c r="I3172" s="14" t="n">
        <v>0</v>
      </c>
      <c r="J3172" s="14" t="n">
        <v>0</v>
      </c>
      <c r="K3172" s="14" t="n">
        <v>0</v>
      </c>
      <c r="L3172" s="14" t="n">
        <v>0</v>
      </c>
      <c r="M3172" s="14">
        <f>IF(B3172="Frete de venda",0,(1-ISNUMBER(SEARCH("556",P3172)))*(I3172*VLOOKUP($B3172,Premissas!$A$4:$E$7,2,0)+J3172*VLOOKUP($B3172,Premissas!$A$4:$E$7,3,0))+K3172*VLOOKUP($B3172,Premissas!$A$4:$E$7,4,0)+L3172*VLOOKUP($B3172,Premissas!$A$4:$E$7,5,0))</f>
        <v/>
      </c>
      <c r="N3172" s="14">
        <f>H3172-M3172</f>
        <v/>
      </c>
      <c r="O3172" t="inlineStr">
        <is>
          <t>Não</t>
        </is>
      </c>
      <c r="P3172" t="inlineStr">
        <is>
          <t>2.350</t>
        </is>
      </c>
    </row>
    <row r="3173">
      <c r="A3173" s="24" t="n">
        <v>46143</v>
      </c>
      <c r="B3173" t="inlineStr">
        <is>
          <t>Frete de venda</t>
        </is>
      </c>
      <c r="C3173" t="inlineStr">
        <is>
          <t>Frete de venda (para clientes)</t>
        </is>
      </c>
      <c r="D3173" t="inlineStr">
        <is>
          <t>CT-e</t>
        </is>
      </c>
      <c r="E3173" t="inlineStr">
        <is>
          <t>000007127</t>
        </is>
      </c>
      <c r="F3173" t="inlineStr">
        <is>
          <t>R&amp;R TRANSPORTE E LOGISTICA</t>
        </is>
      </c>
      <c r="G3173" s="27" t="n">
        <v>46165</v>
      </c>
      <c r="H3173" s="14" t="n">
        <v>182.21</v>
      </c>
      <c r="I3173" s="14" t="n">
        <v>0</v>
      </c>
      <c r="J3173" s="14" t="n">
        <v>0</v>
      </c>
      <c r="K3173" s="14" t="n">
        <v>0</v>
      </c>
      <c r="L3173" s="14" t="n">
        <v>0</v>
      </c>
      <c r="M3173" s="14">
        <f>IF(B3173="Frete de venda",0,(1-ISNUMBER(SEARCH("556",P3173)))*(I3173*VLOOKUP($B3173,Premissas!$A$4:$E$7,2,0)+J3173*VLOOKUP($B3173,Premissas!$A$4:$E$7,3,0))+K3173*VLOOKUP($B3173,Premissas!$A$4:$E$7,4,0)+L3173*VLOOKUP($B3173,Premissas!$A$4:$E$7,5,0))</f>
        <v/>
      </c>
      <c r="N3173" s="14">
        <f>H3173-M3173</f>
        <v/>
      </c>
      <c r="O3173" t="inlineStr">
        <is>
          <t>Não</t>
        </is>
      </c>
      <c r="P3173" t="inlineStr">
        <is>
          <t>1.350</t>
        </is>
      </c>
    </row>
    <row r="3174">
      <c r="A3174" s="24" t="n">
        <v>46143</v>
      </c>
      <c r="B3174" t="inlineStr">
        <is>
          <t>Frete de venda</t>
        </is>
      </c>
      <c r="C3174" t="inlineStr">
        <is>
          <t>Frete de venda (para clientes)</t>
        </is>
      </c>
      <c r="D3174" t="inlineStr">
        <is>
          <t>CT-e</t>
        </is>
      </c>
      <c r="E3174" t="inlineStr">
        <is>
          <t>000007128</t>
        </is>
      </c>
      <c r="F3174" t="inlineStr">
        <is>
          <t>R&amp;R TRANSPORTE E LOGISTICA</t>
        </is>
      </c>
      <c r="G3174" s="27" t="n">
        <v>46165</v>
      </c>
      <c r="H3174" s="14" t="n">
        <v>138.75</v>
      </c>
      <c r="I3174" s="14" t="n">
        <v>0</v>
      </c>
      <c r="J3174" s="14" t="n">
        <v>0</v>
      </c>
      <c r="K3174" s="14" t="n">
        <v>0</v>
      </c>
      <c r="L3174" s="14" t="n">
        <v>0</v>
      </c>
      <c r="M3174" s="14">
        <f>IF(B3174="Frete de venda",0,(1-ISNUMBER(SEARCH("556",P3174)))*(I3174*VLOOKUP($B3174,Premissas!$A$4:$E$7,2,0)+J3174*VLOOKUP($B3174,Premissas!$A$4:$E$7,3,0))+K3174*VLOOKUP($B3174,Premissas!$A$4:$E$7,4,0)+L3174*VLOOKUP($B3174,Premissas!$A$4:$E$7,5,0))</f>
        <v/>
      </c>
      <c r="N3174" s="14">
        <f>H3174-M3174</f>
        <v/>
      </c>
      <c r="O3174" t="inlineStr">
        <is>
          <t>Não</t>
        </is>
      </c>
      <c r="P3174" t="inlineStr">
        <is>
          <t>1.350</t>
        </is>
      </c>
    </row>
    <row r="3175">
      <c r="A3175" s="24" t="n">
        <v>46143</v>
      </c>
      <c r="B3175" t="inlineStr">
        <is>
          <t>Frete de venda</t>
        </is>
      </c>
      <c r="C3175" t="inlineStr">
        <is>
          <t>Frete de venda (para clientes)</t>
        </is>
      </c>
      <c r="D3175" t="inlineStr">
        <is>
          <t>CT-e</t>
        </is>
      </c>
      <c r="E3175" t="inlineStr">
        <is>
          <t>000006997</t>
        </is>
      </c>
      <c r="F3175" t="inlineStr">
        <is>
          <t>R&amp;R TRANSPORTE E LOGISTICA</t>
        </is>
      </c>
      <c r="G3175" s="27" t="n">
        <v>46149</v>
      </c>
      <c r="H3175" s="14" t="n">
        <v>30.28</v>
      </c>
      <c r="I3175" s="14" t="n">
        <v>0</v>
      </c>
      <c r="J3175" s="14" t="n">
        <v>0</v>
      </c>
      <c r="K3175" s="14" t="n">
        <v>0</v>
      </c>
      <c r="L3175" s="14" t="n">
        <v>0</v>
      </c>
      <c r="M3175" s="14">
        <f>IF(B3175="Frete de venda",0,(1-ISNUMBER(SEARCH("556",P3175)))*(I3175*VLOOKUP($B3175,Premissas!$A$4:$E$7,2,0)+J3175*VLOOKUP($B3175,Premissas!$A$4:$E$7,3,0))+K3175*VLOOKUP($B3175,Premissas!$A$4:$E$7,4,0)+L3175*VLOOKUP($B3175,Premissas!$A$4:$E$7,5,0))</f>
        <v/>
      </c>
      <c r="N3175" s="14">
        <f>H3175-M3175</f>
        <v/>
      </c>
      <c r="O3175" t="inlineStr">
        <is>
          <t>Não</t>
        </is>
      </c>
      <c r="P3175" t="inlineStr">
        <is>
          <t>1.350</t>
        </is>
      </c>
    </row>
    <row r="3176">
      <c r="A3176" s="24" t="n">
        <v>46143</v>
      </c>
      <c r="B3176" t="inlineStr">
        <is>
          <t>Frete de venda</t>
        </is>
      </c>
      <c r="C3176" t="inlineStr">
        <is>
          <t>Frete de venda (para clientes)</t>
        </is>
      </c>
      <c r="D3176" t="inlineStr">
        <is>
          <t>CT-e</t>
        </is>
      </c>
      <c r="E3176" t="inlineStr">
        <is>
          <t>000007205</t>
        </is>
      </c>
      <c r="F3176" t="inlineStr">
        <is>
          <t>R&amp;R TRANSPORTE E LOGISTICA</t>
        </is>
      </c>
      <c r="G3176" s="27" t="n">
        <v>46170</v>
      </c>
      <c r="H3176" s="14" t="n">
        <v>28.73</v>
      </c>
      <c r="I3176" s="14" t="n">
        <v>0</v>
      </c>
      <c r="J3176" s="14" t="n">
        <v>0</v>
      </c>
      <c r="K3176" s="14" t="n">
        <v>0</v>
      </c>
      <c r="L3176" s="14" t="n">
        <v>0</v>
      </c>
      <c r="M3176" s="14">
        <f>IF(B3176="Frete de venda",0,(1-ISNUMBER(SEARCH("556",P3176)))*(I3176*VLOOKUP($B3176,Premissas!$A$4:$E$7,2,0)+J3176*VLOOKUP($B3176,Premissas!$A$4:$E$7,3,0))+K3176*VLOOKUP($B3176,Premissas!$A$4:$E$7,4,0)+L3176*VLOOKUP($B3176,Premissas!$A$4:$E$7,5,0))</f>
        <v/>
      </c>
      <c r="N3176" s="14">
        <f>H3176-M3176</f>
        <v/>
      </c>
      <c r="O3176" t="inlineStr">
        <is>
          <t>Não</t>
        </is>
      </c>
      <c r="P3176" t="inlineStr">
        <is>
          <t>1.350</t>
        </is>
      </c>
    </row>
    <row r="3177">
      <c r="A3177" s="24" t="n">
        <v>46143</v>
      </c>
      <c r="B3177" t="inlineStr">
        <is>
          <t>Frete de venda</t>
        </is>
      </c>
      <c r="C3177" t="inlineStr">
        <is>
          <t>Frete de venda (para clientes)</t>
        </is>
      </c>
      <c r="D3177" t="inlineStr">
        <is>
          <t>CT-e</t>
        </is>
      </c>
      <c r="E3177" t="inlineStr">
        <is>
          <t>000007087</t>
        </is>
      </c>
      <c r="F3177" t="inlineStr">
        <is>
          <t>R&amp;R TRANSPORTE E LOGISTICA</t>
        </is>
      </c>
      <c r="G3177" s="27" t="n">
        <v>46157</v>
      </c>
      <c r="H3177" s="14" t="n">
        <v>66.02</v>
      </c>
      <c r="I3177" s="14" t="n">
        <v>0</v>
      </c>
      <c r="J3177" s="14" t="n">
        <v>0</v>
      </c>
      <c r="K3177" s="14" t="n">
        <v>0</v>
      </c>
      <c r="L3177" s="14" t="n">
        <v>0</v>
      </c>
      <c r="M3177" s="14">
        <f>IF(B3177="Frete de venda",0,(1-ISNUMBER(SEARCH("556",P3177)))*(I3177*VLOOKUP($B3177,Premissas!$A$4:$E$7,2,0)+J3177*VLOOKUP($B3177,Premissas!$A$4:$E$7,3,0))+K3177*VLOOKUP($B3177,Premissas!$A$4:$E$7,4,0)+L3177*VLOOKUP($B3177,Premissas!$A$4:$E$7,5,0))</f>
        <v/>
      </c>
      <c r="N3177" s="14">
        <f>H3177-M3177</f>
        <v/>
      </c>
      <c r="O3177" t="inlineStr">
        <is>
          <t>Não</t>
        </is>
      </c>
      <c r="P3177" t="inlineStr">
        <is>
          <t>1.350</t>
        </is>
      </c>
    </row>
    <row r="3178">
      <c r="A3178" s="24" t="n">
        <v>46143</v>
      </c>
      <c r="B3178" t="inlineStr">
        <is>
          <t>Frete de venda</t>
        </is>
      </c>
      <c r="C3178" t="inlineStr">
        <is>
          <t>Frete de venda (para clientes)</t>
        </is>
      </c>
      <c r="D3178" t="inlineStr">
        <is>
          <t>CT-e</t>
        </is>
      </c>
      <c r="E3178" t="inlineStr">
        <is>
          <t>000024668</t>
        </is>
      </c>
      <c r="F3178" t="inlineStr">
        <is>
          <t>TRANSPORTE OLIVEIRA E MELLOI - IDEALIZA TRANSPORTES</t>
        </is>
      </c>
      <c r="G3178" s="27" t="n">
        <v>46167</v>
      </c>
      <c r="H3178" s="14" t="n">
        <v>1584.59</v>
      </c>
      <c r="I3178" s="14" t="n">
        <v>0</v>
      </c>
      <c r="J3178" s="14" t="n">
        <v>190.15</v>
      </c>
      <c r="K3178" s="14" t="n">
        <v>0</v>
      </c>
      <c r="L3178" s="14" t="n">
        <v>0</v>
      </c>
      <c r="M3178" s="14">
        <f>IF(B3178="Frete de venda",0,(1-ISNUMBER(SEARCH("556",P3178)))*(I3178*VLOOKUP($B3178,Premissas!$A$4:$E$7,2,0)+J3178*VLOOKUP($B3178,Premissas!$A$4:$E$7,3,0))+K3178*VLOOKUP($B3178,Premissas!$A$4:$E$7,4,0)+L3178*VLOOKUP($B3178,Premissas!$A$4:$E$7,5,0))</f>
        <v/>
      </c>
      <c r="N3178" s="14">
        <f>H3178-M3178</f>
        <v/>
      </c>
      <c r="O3178" t="inlineStr">
        <is>
          <t>Sim</t>
        </is>
      </c>
      <c r="P3178" t="inlineStr">
        <is>
          <t>2.350</t>
        </is>
      </c>
    </row>
    <row r="3179">
      <c r="A3179" s="24" t="n">
        <v>46143</v>
      </c>
      <c r="B3179" t="inlineStr">
        <is>
          <t>Frete de venda</t>
        </is>
      </c>
      <c r="C3179" t="inlineStr">
        <is>
          <t>Frete de venda (para clientes)</t>
        </is>
      </c>
      <c r="D3179" t="inlineStr">
        <is>
          <t>CT-e</t>
        </is>
      </c>
      <c r="E3179" t="inlineStr">
        <is>
          <t>000007214</t>
        </is>
      </c>
      <c r="F3179" t="inlineStr">
        <is>
          <t>R&amp;R TRANSPORTE E LOGISTICA</t>
        </is>
      </c>
      <c r="G3179" s="27" t="n">
        <v>46172</v>
      </c>
      <c r="H3179" s="14" t="n">
        <v>50</v>
      </c>
      <c r="I3179" s="14" t="n">
        <v>0</v>
      </c>
      <c r="J3179" s="14" t="n">
        <v>0</v>
      </c>
      <c r="K3179" s="14" t="n">
        <v>0</v>
      </c>
      <c r="L3179" s="14" t="n">
        <v>0</v>
      </c>
      <c r="M3179" s="14">
        <f>IF(B3179="Frete de venda",0,(1-ISNUMBER(SEARCH("556",P3179)))*(I3179*VLOOKUP($B3179,Premissas!$A$4:$E$7,2,0)+J3179*VLOOKUP($B3179,Premissas!$A$4:$E$7,3,0))+K3179*VLOOKUP($B3179,Premissas!$A$4:$E$7,4,0)+L3179*VLOOKUP($B3179,Premissas!$A$4:$E$7,5,0))</f>
        <v/>
      </c>
      <c r="N3179" s="14">
        <f>H3179-M3179</f>
        <v/>
      </c>
      <c r="O3179" t="inlineStr">
        <is>
          <t>Não</t>
        </is>
      </c>
      <c r="P3179" t="inlineStr">
        <is>
          <t>2.350</t>
        </is>
      </c>
    </row>
    <row r="3180">
      <c r="A3180" s="24" t="n">
        <v>46143</v>
      </c>
      <c r="B3180" t="inlineStr">
        <is>
          <t>Frete de venda</t>
        </is>
      </c>
      <c r="C3180" t="inlineStr">
        <is>
          <t>Frete de venda (para clientes)</t>
        </is>
      </c>
      <c r="D3180" t="inlineStr">
        <is>
          <t>CT-e</t>
        </is>
      </c>
      <c r="E3180" t="inlineStr">
        <is>
          <t>000007215</t>
        </is>
      </c>
      <c r="F3180" t="inlineStr">
        <is>
          <t>R&amp;R TRANSPORTE E LOGISTICA</t>
        </is>
      </c>
      <c r="G3180" s="27" t="n">
        <v>46172</v>
      </c>
      <c r="H3180" s="14" t="n">
        <v>406.66</v>
      </c>
      <c r="I3180" s="14" t="n">
        <v>0</v>
      </c>
      <c r="J3180" s="14" t="n">
        <v>0</v>
      </c>
      <c r="K3180" s="14" t="n">
        <v>0</v>
      </c>
      <c r="L3180" s="14" t="n">
        <v>0</v>
      </c>
      <c r="M3180" s="14">
        <f>IF(B3180="Frete de venda",0,(1-ISNUMBER(SEARCH("556",P3180)))*(I3180*VLOOKUP($B3180,Premissas!$A$4:$E$7,2,0)+J3180*VLOOKUP($B3180,Premissas!$A$4:$E$7,3,0))+K3180*VLOOKUP($B3180,Premissas!$A$4:$E$7,4,0)+L3180*VLOOKUP($B3180,Premissas!$A$4:$E$7,5,0))</f>
        <v/>
      </c>
      <c r="N3180" s="14">
        <f>H3180-M3180</f>
        <v/>
      </c>
      <c r="O3180" t="inlineStr">
        <is>
          <t>Não</t>
        </is>
      </c>
      <c r="P3180" t="inlineStr">
        <is>
          <t>2.350</t>
        </is>
      </c>
    </row>
    <row r="3181">
      <c r="A3181" s="24" t="n">
        <v>46143</v>
      </c>
      <c r="B3181" t="inlineStr">
        <is>
          <t>Frete de venda</t>
        </is>
      </c>
      <c r="C3181" t="inlineStr">
        <is>
          <t>Frete de venda (para clientes)</t>
        </is>
      </c>
      <c r="D3181" t="inlineStr">
        <is>
          <t>CT-e</t>
        </is>
      </c>
      <c r="E3181" t="inlineStr">
        <is>
          <t>000007074</t>
        </is>
      </c>
      <c r="F3181" t="inlineStr">
        <is>
          <t>R&amp;R TRANSPORTE E LOGISTICA</t>
        </is>
      </c>
      <c r="G3181" s="27" t="n">
        <v>46157</v>
      </c>
      <c r="H3181" s="14" t="n">
        <v>27.49</v>
      </c>
      <c r="I3181" s="14" t="n">
        <v>0</v>
      </c>
      <c r="J3181" s="14" t="n">
        <v>0</v>
      </c>
      <c r="K3181" s="14" t="n">
        <v>0</v>
      </c>
      <c r="L3181" s="14" t="n">
        <v>0</v>
      </c>
      <c r="M3181" s="14">
        <f>IF(B3181="Frete de venda",0,(1-ISNUMBER(SEARCH("556",P3181)))*(I3181*VLOOKUP($B3181,Premissas!$A$4:$E$7,2,0)+J3181*VLOOKUP($B3181,Premissas!$A$4:$E$7,3,0))+K3181*VLOOKUP($B3181,Premissas!$A$4:$E$7,4,0)+L3181*VLOOKUP($B3181,Premissas!$A$4:$E$7,5,0))</f>
        <v/>
      </c>
      <c r="N3181" s="14">
        <f>H3181-M3181</f>
        <v/>
      </c>
      <c r="O3181" t="inlineStr">
        <is>
          <t>Não</t>
        </is>
      </c>
      <c r="P3181" t="inlineStr">
        <is>
          <t>1.350</t>
        </is>
      </c>
    </row>
    <row r="3182">
      <c r="A3182" s="24" t="n">
        <v>46143</v>
      </c>
      <c r="B3182" t="inlineStr">
        <is>
          <t>Frete de venda</t>
        </is>
      </c>
      <c r="C3182" t="inlineStr">
        <is>
          <t>Frete de venda (para clientes)</t>
        </is>
      </c>
      <c r="D3182" t="inlineStr">
        <is>
          <t>CT-e</t>
        </is>
      </c>
      <c r="E3182" t="inlineStr">
        <is>
          <t>000007038</t>
        </is>
      </c>
      <c r="F3182" t="inlineStr">
        <is>
          <t>R&amp;R TRANSPORTE E LOGISTICA</t>
        </is>
      </c>
      <c r="G3182" s="27" t="n">
        <v>46151</v>
      </c>
      <c r="H3182" s="14" t="n">
        <v>79.17</v>
      </c>
      <c r="I3182" s="14" t="n">
        <v>0</v>
      </c>
      <c r="J3182" s="14" t="n">
        <v>0</v>
      </c>
      <c r="K3182" s="14" t="n">
        <v>0</v>
      </c>
      <c r="L3182" s="14" t="n">
        <v>0</v>
      </c>
      <c r="M3182" s="14">
        <f>IF(B3182="Frete de venda",0,(1-ISNUMBER(SEARCH("556",P3182)))*(I3182*VLOOKUP($B3182,Premissas!$A$4:$E$7,2,0)+J3182*VLOOKUP($B3182,Premissas!$A$4:$E$7,3,0))+K3182*VLOOKUP($B3182,Premissas!$A$4:$E$7,4,0)+L3182*VLOOKUP($B3182,Premissas!$A$4:$E$7,5,0))</f>
        <v/>
      </c>
      <c r="N3182" s="14">
        <f>H3182-M3182</f>
        <v/>
      </c>
      <c r="O3182" t="inlineStr">
        <is>
          <t>Não</t>
        </is>
      </c>
      <c r="P3182" t="inlineStr">
        <is>
          <t>1.350</t>
        </is>
      </c>
    </row>
    <row r="3183">
      <c r="A3183" s="24" t="n">
        <v>46143</v>
      </c>
      <c r="B3183" t="inlineStr">
        <is>
          <t>Frete de venda</t>
        </is>
      </c>
      <c r="C3183" t="inlineStr">
        <is>
          <t>Frete de venda (para clientes)</t>
        </is>
      </c>
      <c r="D3183" t="inlineStr">
        <is>
          <t>CT-e</t>
        </is>
      </c>
      <c r="E3183" t="inlineStr">
        <is>
          <t>000006969</t>
        </is>
      </c>
      <c r="F3183" t="inlineStr">
        <is>
          <t>R&amp;R TRANSPORTE E LOGISTICA</t>
        </is>
      </c>
      <c r="G3183" s="27" t="n">
        <v>46147</v>
      </c>
      <c r="H3183" s="14" t="n">
        <v>32.63</v>
      </c>
      <c r="I3183" s="14" t="n">
        <v>0</v>
      </c>
      <c r="J3183" s="14" t="n">
        <v>0</v>
      </c>
      <c r="K3183" s="14" t="n">
        <v>0</v>
      </c>
      <c r="L3183" s="14" t="n">
        <v>0</v>
      </c>
      <c r="M3183" s="14">
        <f>IF(B3183="Frete de venda",0,(1-ISNUMBER(SEARCH("556",P3183)))*(I3183*VLOOKUP($B3183,Premissas!$A$4:$E$7,2,0)+J3183*VLOOKUP($B3183,Premissas!$A$4:$E$7,3,0))+K3183*VLOOKUP($B3183,Premissas!$A$4:$E$7,4,0)+L3183*VLOOKUP($B3183,Premissas!$A$4:$E$7,5,0))</f>
        <v/>
      </c>
      <c r="N3183" s="14">
        <f>H3183-M3183</f>
        <v/>
      </c>
      <c r="O3183" t="inlineStr">
        <is>
          <t>Não</t>
        </is>
      </c>
      <c r="P3183" t="inlineStr">
        <is>
          <t>1.350</t>
        </is>
      </c>
    </row>
    <row r="3184">
      <c r="A3184" s="24" t="n">
        <v>46143</v>
      </c>
      <c r="B3184" t="inlineStr">
        <is>
          <t>Frete de venda</t>
        </is>
      </c>
      <c r="C3184" t="inlineStr">
        <is>
          <t>Frete de venda (para clientes)</t>
        </is>
      </c>
      <c r="D3184" t="inlineStr">
        <is>
          <t>CT-e</t>
        </is>
      </c>
      <c r="E3184" t="inlineStr">
        <is>
          <t>000006946</t>
        </is>
      </c>
      <c r="F3184" t="inlineStr">
        <is>
          <t>R&amp;R TRANSPORTE E LOGISTICA</t>
        </is>
      </c>
      <c r="G3184" s="27" t="n">
        <v>46143</v>
      </c>
      <c r="H3184" s="14" t="n">
        <v>24.16</v>
      </c>
      <c r="I3184" s="14" t="n">
        <v>0</v>
      </c>
      <c r="J3184" s="14" t="n">
        <v>0</v>
      </c>
      <c r="K3184" s="14" t="n">
        <v>0</v>
      </c>
      <c r="L3184" s="14" t="n">
        <v>0</v>
      </c>
      <c r="M3184" s="14">
        <f>IF(B3184="Frete de venda",0,(1-ISNUMBER(SEARCH("556",P3184)))*(I3184*VLOOKUP($B3184,Premissas!$A$4:$E$7,2,0)+J3184*VLOOKUP($B3184,Premissas!$A$4:$E$7,3,0))+K3184*VLOOKUP($B3184,Premissas!$A$4:$E$7,4,0)+L3184*VLOOKUP($B3184,Premissas!$A$4:$E$7,5,0))</f>
        <v/>
      </c>
      <c r="N3184" s="14">
        <f>H3184-M3184</f>
        <v/>
      </c>
      <c r="O3184" t="inlineStr">
        <is>
          <t>Não</t>
        </is>
      </c>
      <c r="P3184" t="inlineStr">
        <is>
          <t>1.350</t>
        </is>
      </c>
    </row>
    <row r="3185">
      <c r="A3185" s="24" t="n">
        <v>46143</v>
      </c>
      <c r="B3185" t="inlineStr">
        <is>
          <t>Frete de venda</t>
        </is>
      </c>
      <c r="C3185" t="inlineStr">
        <is>
          <t>Frete de venda (para clientes)</t>
        </is>
      </c>
      <c r="D3185" t="inlineStr">
        <is>
          <t>CT-e</t>
        </is>
      </c>
      <c r="E3185" t="inlineStr">
        <is>
          <t>000007031</t>
        </is>
      </c>
      <c r="F3185" t="inlineStr">
        <is>
          <t>R&amp;R TRANSPORTE E LOGISTICA</t>
        </is>
      </c>
      <c r="G3185" s="27" t="n">
        <v>46151</v>
      </c>
      <c r="H3185" s="14" t="n">
        <v>29.55</v>
      </c>
      <c r="I3185" s="14" t="n">
        <v>0</v>
      </c>
      <c r="J3185" s="14" t="n">
        <v>0</v>
      </c>
      <c r="K3185" s="14" t="n">
        <v>0</v>
      </c>
      <c r="L3185" s="14" t="n">
        <v>0</v>
      </c>
      <c r="M3185" s="14">
        <f>IF(B3185="Frete de venda",0,(1-ISNUMBER(SEARCH("556",P3185)))*(I3185*VLOOKUP($B3185,Premissas!$A$4:$E$7,2,0)+J3185*VLOOKUP($B3185,Premissas!$A$4:$E$7,3,0))+K3185*VLOOKUP($B3185,Premissas!$A$4:$E$7,4,0)+L3185*VLOOKUP($B3185,Premissas!$A$4:$E$7,5,0))</f>
        <v/>
      </c>
      <c r="N3185" s="14">
        <f>H3185-M3185</f>
        <v/>
      </c>
      <c r="O3185" t="inlineStr">
        <is>
          <t>Não</t>
        </is>
      </c>
      <c r="P3185" t="inlineStr">
        <is>
          <t>1.350</t>
        </is>
      </c>
    </row>
    <row r="3186">
      <c r="A3186" s="24" t="n">
        <v>46143</v>
      </c>
      <c r="B3186" t="inlineStr">
        <is>
          <t>Frete de venda</t>
        </is>
      </c>
      <c r="C3186" t="inlineStr">
        <is>
          <t>Frete de venda (para clientes)</t>
        </is>
      </c>
      <c r="D3186" t="inlineStr">
        <is>
          <t>CT-e</t>
        </is>
      </c>
      <c r="E3186" t="inlineStr">
        <is>
          <t>000006944</t>
        </is>
      </c>
      <c r="F3186" t="inlineStr">
        <is>
          <t>R&amp;R TRANSPORTE E LOGISTICA</t>
        </is>
      </c>
      <c r="G3186" s="27" t="n">
        <v>46143</v>
      </c>
      <c r="H3186" s="14" t="n">
        <v>12.09</v>
      </c>
      <c r="I3186" s="14" t="n">
        <v>0</v>
      </c>
      <c r="J3186" s="14" t="n">
        <v>0</v>
      </c>
      <c r="K3186" s="14" t="n">
        <v>0</v>
      </c>
      <c r="L3186" s="14" t="n">
        <v>0</v>
      </c>
      <c r="M3186" s="14">
        <f>IF(B3186="Frete de venda",0,(1-ISNUMBER(SEARCH("556",P3186)))*(I3186*VLOOKUP($B3186,Premissas!$A$4:$E$7,2,0)+J3186*VLOOKUP($B3186,Premissas!$A$4:$E$7,3,0))+K3186*VLOOKUP($B3186,Premissas!$A$4:$E$7,4,0)+L3186*VLOOKUP($B3186,Premissas!$A$4:$E$7,5,0))</f>
        <v/>
      </c>
      <c r="N3186" s="14">
        <f>H3186-M3186</f>
        <v/>
      </c>
      <c r="O3186" t="inlineStr">
        <is>
          <t>Não</t>
        </is>
      </c>
      <c r="P3186" t="inlineStr">
        <is>
          <t>1.350</t>
        </is>
      </c>
    </row>
    <row r="3187">
      <c r="A3187" s="24" t="n">
        <v>46143</v>
      </c>
      <c r="B3187" t="inlineStr">
        <is>
          <t>Frete de venda</t>
        </is>
      </c>
      <c r="C3187" t="inlineStr">
        <is>
          <t>Frete de venda (para clientes)</t>
        </is>
      </c>
      <c r="D3187" t="inlineStr">
        <is>
          <t>CT-e</t>
        </is>
      </c>
      <c r="E3187" t="inlineStr">
        <is>
          <t>000007149</t>
        </is>
      </c>
      <c r="F3187" t="inlineStr">
        <is>
          <t>R&amp;R TRANSPORTE E LOGISTICA</t>
        </is>
      </c>
      <c r="G3187" s="27" t="n">
        <v>46167</v>
      </c>
      <c r="H3187" s="14" t="n">
        <v>13.28</v>
      </c>
      <c r="I3187" s="14" t="n">
        <v>0</v>
      </c>
      <c r="J3187" s="14" t="n">
        <v>0</v>
      </c>
      <c r="K3187" s="14" t="n">
        <v>0</v>
      </c>
      <c r="L3187" s="14" t="n">
        <v>0</v>
      </c>
      <c r="M3187" s="14">
        <f>IF(B3187="Frete de venda",0,(1-ISNUMBER(SEARCH("556",P3187)))*(I3187*VLOOKUP($B3187,Premissas!$A$4:$E$7,2,0)+J3187*VLOOKUP($B3187,Premissas!$A$4:$E$7,3,0))+K3187*VLOOKUP($B3187,Premissas!$A$4:$E$7,4,0)+L3187*VLOOKUP($B3187,Premissas!$A$4:$E$7,5,0))</f>
        <v/>
      </c>
      <c r="N3187" s="14">
        <f>H3187-M3187</f>
        <v/>
      </c>
      <c r="O3187" t="inlineStr">
        <is>
          <t>Não</t>
        </is>
      </c>
      <c r="P3187" t="inlineStr">
        <is>
          <t>1.350</t>
        </is>
      </c>
    </row>
    <row r="3188">
      <c r="A3188" s="24" t="n">
        <v>46143</v>
      </c>
      <c r="B3188" t="inlineStr">
        <is>
          <t>Frete de venda</t>
        </is>
      </c>
      <c r="C3188" t="inlineStr">
        <is>
          <t>Frete de venda (para clientes)</t>
        </is>
      </c>
      <c r="D3188" t="inlineStr">
        <is>
          <t>CT-e</t>
        </is>
      </c>
      <c r="E3188" t="inlineStr">
        <is>
          <t>000007078</t>
        </is>
      </c>
      <c r="F3188" t="inlineStr">
        <is>
          <t>R&amp;R TRANSPORTE E LOGISTICA</t>
        </is>
      </c>
      <c r="G3188" s="27" t="n">
        <v>46157</v>
      </c>
      <c r="H3188" s="14" t="n">
        <v>50.87</v>
      </c>
      <c r="I3188" s="14" t="n">
        <v>0</v>
      </c>
      <c r="J3188" s="14" t="n">
        <v>0</v>
      </c>
      <c r="K3188" s="14" t="n">
        <v>0</v>
      </c>
      <c r="L3188" s="14" t="n">
        <v>0</v>
      </c>
      <c r="M3188" s="14">
        <f>IF(B3188="Frete de venda",0,(1-ISNUMBER(SEARCH("556",P3188)))*(I3188*VLOOKUP($B3188,Premissas!$A$4:$E$7,2,0)+J3188*VLOOKUP($B3188,Premissas!$A$4:$E$7,3,0))+K3188*VLOOKUP($B3188,Premissas!$A$4:$E$7,4,0)+L3188*VLOOKUP($B3188,Premissas!$A$4:$E$7,5,0))</f>
        <v/>
      </c>
      <c r="N3188" s="14">
        <f>H3188-M3188</f>
        <v/>
      </c>
      <c r="O3188" t="inlineStr">
        <is>
          <t>Não</t>
        </is>
      </c>
      <c r="P3188" t="inlineStr">
        <is>
          <t>1.350</t>
        </is>
      </c>
    </row>
    <row r="3189">
      <c r="A3189" s="24" t="n">
        <v>46143</v>
      </c>
      <c r="B3189" t="inlineStr">
        <is>
          <t>Frete de venda</t>
        </is>
      </c>
      <c r="C3189" t="inlineStr">
        <is>
          <t>Frete de venda (para clientes)</t>
        </is>
      </c>
      <c r="D3189" t="inlineStr">
        <is>
          <t>CT-e</t>
        </is>
      </c>
      <c r="E3189" t="inlineStr">
        <is>
          <t>000007082</t>
        </is>
      </c>
      <c r="F3189" t="inlineStr">
        <is>
          <t>R&amp;R TRANSPORTE E LOGISTICA</t>
        </is>
      </c>
      <c r="G3189" s="27" t="n">
        <v>46157</v>
      </c>
      <c r="H3189" s="14" t="n">
        <v>49.15</v>
      </c>
      <c r="I3189" s="14" t="n">
        <v>0</v>
      </c>
      <c r="J3189" s="14" t="n">
        <v>0</v>
      </c>
      <c r="K3189" s="14" t="n">
        <v>0</v>
      </c>
      <c r="L3189" s="14" t="n">
        <v>0</v>
      </c>
      <c r="M3189" s="14">
        <f>IF(B3189="Frete de venda",0,(1-ISNUMBER(SEARCH("556",P3189)))*(I3189*VLOOKUP($B3189,Premissas!$A$4:$E$7,2,0)+J3189*VLOOKUP($B3189,Premissas!$A$4:$E$7,3,0))+K3189*VLOOKUP($B3189,Premissas!$A$4:$E$7,4,0)+L3189*VLOOKUP($B3189,Premissas!$A$4:$E$7,5,0))</f>
        <v/>
      </c>
      <c r="N3189" s="14">
        <f>H3189-M3189</f>
        <v/>
      </c>
      <c r="O3189" t="inlineStr">
        <is>
          <t>Não</t>
        </is>
      </c>
      <c r="P3189" t="inlineStr">
        <is>
          <t>1.350</t>
        </is>
      </c>
    </row>
    <row r="3190">
      <c r="A3190" s="24" t="n">
        <v>46143</v>
      </c>
      <c r="B3190" t="inlineStr">
        <is>
          <t>Frete de venda</t>
        </is>
      </c>
      <c r="C3190" t="inlineStr">
        <is>
          <t>Frete de venda (para clientes)</t>
        </is>
      </c>
      <c r="D3190" t="inlineStr">
        <is>
          <t>CT-e</t>
        </is>
      </c>
      <c r="E3190" t="inlineStr">
        <is>
          <t>000007079</t>
        </is>
      </c>
      <c r="F3190" t="inlineStr">
        <is>
          <t>R&amp;R TRANSPORTE E LOGISTICA</t>
        </is>
      </c>
      <c r="G3190" s="27" t="n">
        <v>46157</v>
      </c>
      <c r="H3190" s="14" t="n">
        <v>39.18</v>
      </c>
      <c r="I3190" s="14" t="n">
        <v>0</v>
      </c>
      <c r="J3190" s="14" t="n">
        <v>0</v>
      </c>
      <c r="K3190" s="14" t="n">
        <v>0</v>
      </c>
      <c r="L3190" s="14" t="n">
        <v>0</v>
      </c>
      <c r="M3190" s="14">
        <f>IF(B3190="Frete de venda",0,(1-ISNUMBER(SEARCH("556",P3190)))*(I3190*VLOOKUP($B3190,Premissas!$A$4:$E$7,2,0)+J3190*VLOOKUP($B3190,Premissas!$A$4:$E$7,3,0))+K3190*VLOOKUP($B3190,Premissas!$A$4:$E$7,4,0)+L3190*VLOOKUP($B3190,Premissas!$A$4:$E$7,5,0))</f>
        <v/>
      </c>
      <c r="N3190" s="14">
        <f>H3190-M3190</f>
        <v/>
      </c>
      <c r="O3190" t="inlineStr">
        <is>
          <t>Não</t>
        </is>
      </c>
      <c r="P3190" t="inlineStr">
        <is>
          <t>1.350</t>
        </is>
      </c>
    </row>
    <row r="3191">
      <c r="A3191" s="24" t="n">
        <v>46143</v>
      </c>
      <c r="B3191" t="inlineStr">
        <is>
          <t>Frete de venda</t>
        </is>
      </c>
      <c r="C3191" t="inlineStr">
        <is>
          <t>Frete de venda (para clientes)</t>
        </is>
      </c>
      <c r="D3191" t="inlineStr">
        <is>
          <t>CT-e</t>
        </is>
      </c>
      <c r="E3191" t="inlineStr">
        <is>
          <t>000007080</t>
        </is>
      </c>
      <c r="F3191" t="inlineStr">
        <is>
          <t>R&amp;R TRANSPORTE E LOGISTICA</t>
        </is>
      </c>
      <c r="G3191" s="27" t="n">
        <v>46157</v>
      </c>
      <c r="H3191" s="14" t="n">
        <v>47.27</v>
      </c>
      <c r="I3191" s="14" t="n">
        <v>0</v>
      </c>
      <c r="J3191" s="14" t="n">
        <v>0</v>
      </c>
      <c r="K3191" s="14" t="n">
        <v>0</v>
      </c>
      <c r="L3191" s="14" t="n">
        <v>0</v>
      </c>
      <c r="M3191" s="14">
        <f>IF(B3191="Frete de venda",0,(1-ISNUMBER(SEARCH("556",P3191)))*(I3191*VLOOKUP($B3191,Premissas!$A$4:$E$7,2,0)+J3191*VLOOKUP($B3191,Premissas!$A$4:$E$7,3,0))+K3191*VLOOKUP($B3191,Premissas!$A$4:$E$7,4,0)+L3191*VLOOKUP($B3191,Premissas!$A$4:$E$7,5,0))</f>
        <v/>
      </c>
      <c r="N3191" s="14">
        <f>H3191-M3191</f>
        <v/>
      </c>
      <c r="O3191" t="inlineStr">
        <is>
          <t>Não</t>
        </is>
      </c>
      <c r="P3191" t="inlineStr">
        <is>
          <t>1.350</t>
        </is>
      </c>
    </row>
    <row r="3192">
      <c r="A3192" s="24" t="n">
        <v>46143</v>
      </c>
      <c r="B3192" t="inlineStr">
        <is>
          <t>Frete de venda</t>
        </is>
      </c>
      <c r="C3192" t="inlineStr">
        <is>
          <t>Frete de venda (para clientes)</t>
        </is>
      </c>
      <c r="D3192" t="inlineStr">
        <is>
          <t>CT-e</t>
        </is>
      </c>
      <c r="E3192" t="inlineStr">
        <is>
          <t>000007085</t>
        </is>
      </c>
      <c r="F3192" t="inlineStr">
        <is>
          <t>R&amp;R TRANSPORTE E LOGISTICA</t>
        </is>
      </c>
      <c r="G3192" s="27" t="n">
        <v>46157</v>
      </c>
      <c r="H3192" s="14" t="n">
        <v>30.9</v>
      </c>
      <c r="I3192" s="14" t="n">
        <v>0</v>
      </c>
      <c r="J3192" s="14" t="n">
        <v>0</v>
      </c>
      <c r="K3192" s="14" t="n">
        <v>0</v>
      </c>
      <c r="L3192" s="14" t="n">
        <v>0</v>
      </c>
      <c r="M3192" s="14">
        <f>IF(B3192="Frete de venda",0,(1-ISNUMBER(SEARCH("556",P3192)))*(I3192*VLOOKUP($B3192,Premissas!$A$4:$E$7,2,0)+J3192*VLOOKUP($B3192,Premissas!$A$4:$E$7,3,0))+K3192*VLOOKUP($B3192,Premissas!$A$4:$E$7,4,0)+L3192*VLOOKUP($B3192,Premissas!$A$4:$E$7,5,0))</f>
        <v/>
      </c>
      <c r="N3192" s="14">
        <f>H3192-M3192</f>
        <v/>
      </c>
      <c r="O3192" t="inlineStr">
        <is>
          <t>Não</t>
        </is>
      </c>
      <c r="P3192" t="inlineStr">
        <is>
          <t>1.350</t>
        </is>
      </c>
    </row>
    <row r="3193">
      <c r="A3193" s="24" t="n">
        <v>46143</v>
      </c>
      <c r="B3193" t="inlineStr">
        <is>
          <t>Frete de venda</t>
        </is>
      </c>
      <c r="C3193" t="inlineStr">
        <is>
          <t>Frete de venda (para clientes)</t>
        </is>
      </c>
      <c r="D3193" t="inlineStr">
        <is>
          <t>CT-e</t>
        </is>
      </c>
      <c r="E3193" t="inlineStr">
        <is>
          <t>000007130</t>
        </is>
      </c>
      <c r="F3193" t="inlineStr">
        <is>
          <t>R&amp;R TRANSPORTE E LOGISTICA</t>
        </is>
      </c>
      <c r="G3193" s="27" t="n">
        <v>46165</v>
      </c>
      <c r="H3193" s="14" t="n">
        <v>189.4</v>
      </c>
      <c r="I3193" s="14" t="n">
        <v>0</v>
      </c>
      <c r="J3193" s="14" t="n">
        <v>0</v>
      </c>
      <c r="K3193" s="14" t="n">
        <v>0</v>
      </c>
      <c r="L3193" s="14" t="n">
        <v>0</v>
      </c>
      <c r="M3193" s="14">
        <f>IF(B3193="Frete de venda",0,(1-ISNUMBER(SEARCH("556",P3193)))*(I3193*VLOOKUP($B3193,Premissas!$A$4:$E$7,2,0)+J3193*VLOOKUP($B3193,Premissas!$A$4:$E$7,3,0))+K3193*VLOOKUP($B3193,Premissas!$A$4:$E$7,4,0)+L3193*VLOOKUP($B3193,Premissas!$A$4:$E$7,5,0))</f>
        <v/>
      </c>
      <c r="N3193" s="14">
        <f>H3193-M3193</f>
        <v/>
      </c>
      <c r="O3193" t="inlineStr">
        <is>
          <t>Não</t>
        </is>
      </c>
      <c r="P3193" t="inlineStr">
        <is>
          <t>1.350</t>
        </is>
      </c>
    </row>
    <row r="3194">
      <c r="A3194" s="24" t="n">
        <v>46143</v>
      </c>
      <c r="B3194" t="inlineStr">
        <is>
          <t>Frete de venda</t>
        </is>
      </c>
      <c r="C3194" t="inlineStr">
        <is>
          <t>Frete de venda (para clientes)</t>
        </is>
      </c>
      <c r="D3194" t="inlineStr">
        <is>
          <t>CT-e</t>
        </is>
      </c>
      <c r="E3194" t="inlineStr">
        <is>
          <t>000006982</t>
        </is>
      </c>
      <c r="F3194" t="inlineStr">
        <is>
          <t>R&amp;R TRANSPORTE E LOGISTICA</t>
        </is>
      </c>
      <c r="G3194" s="27" t="n">
        <v>46147</v>
      </c>
      <c r="H3194" s="14" t="n">
        <v>17.75</v>
      </c>
      <c r="I3194" s="14" t="n">
        <v>0</v>
      </c>
      <c r="J3194" s="14" t="n">
        <v>0</v>
      </c>
      <c r="K3194" s="14" t="n">
        <v>0</v>
      </c>
      <c r="L3194" s="14" t="n">
        <v>0</v>
      </c>
      <c r="M3194" s="14">
        <f>IF(B3194="Frete de venda",0,(1-ISNUMBER(SEARCH("556",P3194)))*(I3194*VLOOKUP($B3194,Premissas!$A$4:$E$7,2,0)+J3194*VLOOKUP($B3194,Premissas!$A$4:$E$7,3,0))+K3194*VLOOKUP($B3194,Premissas!$A$4:$E$7,4,0)+L3194*VLOOKUP($B3194,Premissas!$A$4:$E$7,5,0))</f>
        <v/>
      </c>
      <c r="N3194" s="14">
        <f>H3194-M3194</f>
        <v/>
      </c>
      <c r="O3194" t="inlineStr">
        <is>
          <t>Não</t>
        </is>
      </c>
      <c r="P3194" t="inlineStr">
        <is>
          <t>1.350</t>
        </is>
      </c>
    </row>
    <row r="3195">
      <c r="A3195" s="24" t="n">
        <v>46143</v>
      </c>
      <c r="B3195" t="inlineStr">
        <is>
          <t>Frete de venda</t>
        </is>
      </c>
      <c r="C3195" t="inlineStr">
        <is>
          <t>Frete de venda (para clientes)</t>
        </is>
      </c>
      <c r="D3195" t="inlineStr">
        <is>
          <t>CT-e</t>
        </is>
      </c>
      <c r="E3195" t="inlineStr">
        <is>
          <t>000007044</t>
        </is>
      </c>
      <c r="F3195" t="inlineStr">
        <is>
          <t>R&amp;R TRANSPORTE E LOGISTICA</t>
        </is>
      </c>
      <c r="G3195" s="27" t="n">
        <v>46153</v>
      </c>
      <c r="H3195" s="14" t="n">
        <v>57.5</v>
      </c>
      <c r="I3195" s="14" t="n">
        <v>0</v>
      </c>
      <c r="J3195" s="14" t="n">
        <v>0</v>
      </c>
      <c r="K3195" s="14" t="n">
        <v>0</v>
      </c>
      <c r="L3195" s="14" t="n">
        <v>0</v>
      </c>
      <c r="M3195" s="14">
        <f>IF(B3195="Frete de venda",0,(1-ISNUMBER(SEARCH("556",P3195)))*(I3195*VLOOKUP($B3195,Premissas!$A$4:$E$7,2,0)+J3195*VLOOKUP($B3195,Premissas!$A$4:$E$7,3,0))+K3195*VLOOKUP($B3195,Premissas!$A$4:$E$7,4,0)+L3195*VLOOKUP($B3195,Premissas!$A$4:$E$7,5,0))</f>
        <v/>
      </c>
      <c r="N3195" s="14">
        <f>H3195-M3195</f>
        <v/>
      </c>
      <c r="O3195" t="inlineStr">
        <is>
          <t>Não</t>
        </is>
      </c>
      <c r="P3195" t="inlineStr">
        <is>
          <t>1.350</t>
        </is>
      </c>
    </row>
    <row r="3196">
      <c r="A3196" s="24" t="n">
        <v>46143</v>
      </c>
      <c r="B3196" t="inlineStr">
        <is>
          <t>Frete de venda</t>
        </is>
      </c>
      <c r="C3196" t="inlineStr">
        <is>
          <t>Frete de venda (para clientes)</t>
        </is>
      </c>
      <c r="D3196" t="inlineStr">
        <is>
          <t>CT-e</t>
        </is>
      </c>
      <c r="E3196" t="inlineStr">
        <is>
          <t>000007156</t>
        </is>
      </c>
      <c r="F3196" t="inlineStr">
        <is>
          <t>R&amp;R TRANSPORTE E LOGISTICA</t>
        </is>
      </c>
      <c r="G3196" s="27" t="n">
        <v>46168</v>
      </c>
      <c r="H3196" s="14" t="n">
        <v>48.34</v>
      </c>
      <c r="I3196" s="14" t="n">
        <v>0</v>
      </c>
      <c r="J3196" s="14" t="n">
        <v>0</v>
      </c>
      <c r="K3196" s="14" t="n">
        <v>0</v>
      </c>
      <c r="L3196" s="14" t="n">
        <v>0</v>
      </c>
      <c r="M3196" s="14">
        <f>IF(B3196="Frete de venda",0,(1-ISNUMBER(SEARCH("556",P3196)))*(I3196*VLOOKUP($B3196,Premissas!$A$4:$E$7,2,0)+J3196*VLOOKUP($B3196,Premissas!$A$4:$E$7,3,0))+K3196*VLOOKUP($B3196,Premissas!$A$4:$E$7,4,0)+L3196*VLOOKUP($B3196,Premissas!$A$4:$E$7,5,0))</f>
        <v/>
      </c>
      <c r="N3196" s="14">
        <f>H3196-M3196</f>
        <v/>
      </c>
      <c r="O3196" t="inlineStr">
        <is>
          <t>Não</t>
        </is>
      </c>
      <c r="P3196" t="inlineStr">
        <is>
          <t>1.350</t>
        </is>
      </c>
    </row>
    <row r="3197">
      <c r="A3197" s="24" t="n">
        <v>46143</v>
      </c>
      <c r="B3197" t="inlineStr">
        <is>
          <t>Frete de venda</t>
        </is>
      </c>
      <c r="C3197" t="inlineStr">
        <is>
          <t>Frete de venda (para clientes)</t>
        </is>
      </c>
      <c r="D3197" t="inlineStr">
        <is>
          <t>CT-e</t>
        </is>
      </c>
      <c r="E3197" t="inlineStr">
        <is>
          <t>000006938</t>
        </is>
      </c>
      <c r="F3197" t="inlineStr">
        <is>
          <t>R&amp;R TRANSPORTE E LOGISTICA</t>
        </is>
      </c>
      <c r="G3197" s="27" t="n">
        <v>46143</v>
      </c>
      <c r="H3197" s="14" t="n">
        <v>16.9</v>
      </c>
      <c r="I3197" s="14" t="n">
        <v>0</v>
      </c>
      <c r="J3197" s="14" t="n">
        <v>0</v>
      </c>
      <c r="K3197" s="14" t="n">
        <v>0</v>
      </c>
      <c r="L3197" s="14" t="n">
        <v>0</v>
      </c>
      <c r="M3197" s="14">
        <f>IF(B3197="Frete de venda",0,(1-ISNUMBER(SEARCH("556",P3197)))*(I3197*VLOOKUP($B3197,Premissas!$A$4:$E$7,2,0)+J3197*VLOOKUP($B3197,Premissas!$A$4:$E$7,3,0))+K3197*VLOOKUP($B3197,Premissas!$A$4:$E$7,4,0)+L3197*VLOOKUP($B3197,Premissas!$A$4:$E$7,5,0))</f>
        <v/>
      </c>
      <c r="N3197" s="14">
        <f>H3197-M3197</f>
        <v/>
      </c>
      <c r="O3197" t="inlineStr">
        <is>
          <t>Não</t>
        </is>
      </c>
      <c r="P3197" t="inlineStr">
        <is>
          <t>1.350</t>
        </is>
      </c>
    </row>
    <row r="3198">
      <c r="A3198" s="24" t="n">
        <v>46143</v>
      </c>
      <c r="B3198" t="inlineStr">
        <is>
          <t>Frete de venda</t>
        </is>
      </c>
      <c r="C3198" t="inlineStr">
        <is>
          <t>Frete de venda (para clientes)</t>
        </is>
      </c>
      <c r="D3198" t="inlineStr">
        <is>
          <t>CT-e</t>
        </is>
      </c>
      <c r="E3198" t="inlineStr">
        <is>
          <t>000006970</t>
        </is>
      </c>
      <c r="F3198" t="inlineStr">
        <is>
          <t>R&amp;R TRANSPORTE E LOGISTICA</t>
        </is>
      </c>
      <c r="G3198" s="27" t="n">
        <v>46147</v>
      </c>
      <c r="H3198" s="14" t="n">
        <v>18.57</v>
      </c>
      <c r="I3198" s="14" t="n">
        <v>0</v>
      </c>
      <c r="J3198" s="14" t="n">
        <v>0</v>
      </c>
      <c r="K3198" s="14" t="n">
        <v>0</v>
      </c>
      <c r="L3198" s="14" t="n">
        <v>0</v>
      </c>
      <c r="M3198" s="14">
        <f>IF(B3198="Frete de venda",0,(1-ISNUMBER(SEARCH("556",P3198)))*(I3198*VLOOKUP($B3198,Premissas!$A$4:$E$7,2,0)+J3198*VLOOKUP($B3198,Premissas!$A$4:$E$7,3,0))+K3198*VLOOKUP($B3198,Premissas!$A$4:$E$7,4,0)+L3198*VLOOKUP($B3198,Premissas!$A$4:$E$7,5,0))</f>
        <v/>
      </c>
      <c r="N3198" s="14">
        <f>H3198-M3198</f>
        <v/>
      </c>
      <c r="O3198" t="inlineStr">
        <is>
          <t>Não</t>
        </is>
      </c>
      <c r="P3198" t="inlineStr">
        <is>
          <t>1.350</t>
        </is>
      </c>
    </row>
    <row r="3199">
      <c r="A3199" s="24" t="n">
        <v>46143</v>
      </c>
      <c r="B3199" t="inlineStr">
        <is>
          <t>Frete de venda</t>
        </is>
      </c>
      <c r="C3199" t="inlineStr">
        <is>
          <t>Frete de venda (para clientes)</t>
        </is>
      </c>
      <c r="D3199" t="inlineStr">
        <is>
          <t>CT-e</t>
        </is>
      </c>
      <c r="E3199" t="inlineStr">
        <is>
          <t>000007190</t>
        </is>
      </c>
      <c r="F3199" t="inlineStr">
        <is>
          <t>R&amp;R TRANSPORTE E LOGISTICA</t>
        </is>
      </c>
      <c r="G3199" s="27" t="n">
        <v>46170</v>
      </c>
      <c r="H3199" s="14" t="n">
        <v>22.83</v>
      </c>
      <c r="I3199" s="14" t="n">
        <v>0</v>
      </c>
      <c r="J3199" s="14" t="n">
        <v>0</v>
      </c>
      <c r="K3199" s="14" t="n">
        <v>0</v>
      </c>
      <c r="L3199" s="14" t="n">
        <v>0</v>
      </c>
      <c r="M3199" s="14">
        <f>IF(B3199="Frete de venda",0,(1-ISNUMBER(SEARCH("556",P3199)))*(I3199*VLOOKUP($B3199,Premissas!$A$4:$E$7,2,0)+J3199*VLOOKUP($B3199,Premissas!$A$4:$E$7,3,0))+K3199*VLOOKUP($B3199,Premissas!$A$4:$E$7,4,0)+L3199*VLOOKUP($B3199,Premissas!$A$4:$E$7,5,0))</f>
        <v/>
      </c>
      <c r="N3199" s="14">
        <f>H3199-M3199</f>
        <v/>
      </c>
      <c r="O3199" t="inlineStr">
        <is>
          <t>Não</t>
        </is>
      </c>
      <c r="P3199" t="inlineStr">
        <is>
          <t>1.350</t>
        </is>
      </c>
    </row>
    <row r="3200">
      <c r="A3200" s="24" t="n">
        <v>46143</v>
      </c>
      <c r="B3200" t="inlineStr">
        <is>
          <t>Frete de venda</t>
        </is>
      </c>
      <c r="C3200" t="inlineStr">
        <is>
          <t>Frete de venda (para clientes)</t>
        </is>
      </c>
      <c r="D3200" t="inlineStr">
        <is>
          <t>CT-e</t>
        </is>
      </c>
      <c r="E3200" t="inlineStr">
        <is>
          <t>000007208</t>
        </is>
      </c>
      <c r="F3200" t="inlineStr">
        <is>
          <t>R&amp;R TRANSPORTE E LOGISTICA</t>
        </is>
      </c>
      <c r="G3200" s="27" t="n">
        <v>46170</v>
      </c>
      <c r="H3200" s="14" t="n">
        <v>23.19</v>
      </c>
      <c r="I3200" s="14" t="n">
        <v>0</v>
      </c>
      <c r="J3200" s="14" t="n">
        <v>0</v>
      </c>
      <c r="K3200" s="14" t="n">
        <v>0</v>
      </c>
      <c r="L3200" s="14" t="n">
        <v>0</v>
      </c>
      <c r="M3200" s="14">
        <f>IF(B3200="Frete de venda",0,(1-ISNUMBER(SEARCH("556",P3200)))*(I3200*VLOOKUP($B3200,Premissas!$A$4:$E$7,2,0)+J3200*VLOOKUP($B3200,Premissas!$A$4:$E$7,3,0))+K3200*VLOOKUP($B3200,Premissas!$A$4:$E$7,4,0)+L3200*VLOOKUP($B3200,Premissas!$A$4:$E$7,5,0))</f>
        <v/>
      </c>
      <c r="N3200" s="14">
        <f>H3200-M3200</f>
        <v/>
      </c>
      <c r="O3200" t="inlineStr">
        <is>
          <t>Não</t>
        </is>
      </c>
      <c r="P3200" t="inlineStr">
        <is>
          <t>1.350</t>
        </is>
      </c>
    </row>
    <row r="3201">
      <c r="A3201" s="24" t="n">
        <v>46143</v>
      </c>
      <c r="B3201" t="inlineStr">
        <is>
          <t>Frete de venda</t>
        </is>
      </c>
      <c r="C3201" t="inlineStr">
        <is>
          <t>Frete de venda (para clientes)</t>
        </is>
      </c>
      <c r="D3201" t="inlineStr">
        <is>
          <t>CT-e</t>
        </is>
      </c>
      <c r="E3201" t="inlineStr">
        <is>
          <t>000007154</t>
        </is>
      </c>
      <c r="F3201" t="inlineStr">
        <is>
          <t>R&amp;R TRANSPORTE E LOGISTICA</t>
        </is>
      </c>
      <c r="G3201" s="27" t="n">
        <v>46168</v>
      </c>
      <c r="H3201" s="14" t="n">
        <v>42.29</v>
      </c>
      <c r="I3201" s="14" t="n">
        <v>0</v>
      </c>
      <c r="J3201" s="14" t="n">
        <v>0</v>
      </c>
      <c r="K3201" s="14" t="n">
        <v>0</v>
      </c>
      <c r="L3201" s="14" t="n">
        <v>0</v>
      </c>
      <c r="M3201" s="14">
        <f>IF(B3201="Frete de venda",0,(1-ISNUMBER(SEARCH("556",P3201)))*(I3201*VLOOKUP($B3201,Premissas!$A$4:$E$7,2,0)+J3201*VLOOKUP($B3201,Premissas!$A$4:$E$7,3,0))+K3201*VLOOKUP($B3201,Premissas!$A$4:$E$7,4,0)+L3201*VLOOKUP($B3201,Premissas!$A$4:$E$7,5,0))</f>
        <v/>
      </c>
      <c r="N3201" s="14">
        <f>H3201-M3201</f>
        <v/>
      </c>
      <c r="O3201" t="inlineStr">
        <is>
          <t>Não</t>
        </is>
      </c>
      <c r="P3201" t="inlineStr">
        <is>
          <t>1.350</t>
        </is>
      </c>
    </row>
    <row r="3202">
      <c r="A3202" s="24" t="n">
        <v>46143</v>
      </c>
      <c r="B3202" t="inlineStr">
        <is>
          <t>Frete de venda</t>
        </is>
      </c>
      <c r="C3202" t="inlineStr">
        <is>
          <t>Frete de venda (para clientes)</t>
        </is>
      </c>
      <c r="D3202" t="inlineStr">
        <is>
          <t>CT-e</t>
        </is>
      </c>
      <c r="E3202" t="inlineStr">
        <is>
          <t>000007201</t>
        </is>
      </c>
      <c r="F3202" t="inlineStr">
        <is>
          <t>R&amp;R TRANSPORTE E LOGISTICA</t>
        </is>
      </c>
      <c r="G3202" s="27" t="n">
        <v>46170</v>
      </c>
      <c r="H3202" s="14" t="n">
        <v>23.55</v>
      </c>
      <c r="I3202" s="14" t="n">
        <v>0</v>
      </c>
      <c r="J3202" s="14" t="n">
        <v>0</v>
      </c>
      <c r="K3202" s="14" t="n">
        <v>0</v>
      </c>
      <c r="L3202" s="14" t="n">
        <v>0</v>
      </c>
      <c r="M3202" s="14">
        <f>IF(B3202="Frete de venda",0,(1-ISNUMBER(SEARCH("556",P3202)))*(I3202*VLOOKUP($B3202,Premissas!$A$4:$E$7,2,0)+J3202*VLOOKUP($B3202,Premissas!$A$4:$E$7,3,0))+K3202*VLOOKUP($B3202,Premissas!$A$4:$E$7,4,0)+L3202*VLOOKUP($B3202,Premissas!$A$4:$E$7,5,0))</f>
        <v/>
      </c>
      <c r="N3202" s="14">
        <f>H3202-M3202</f>
        <v/>
      </c>
      <c r="O3202" t="inlineStr">
        <is>
          <t>Não</t>
        </is>
      </c>
      <c r="P3202" t="inlineStr">
        <is>
          <t>1.350</t>
        </is>
      </c>
    </row>
    <row r="3203">
      <c r="A3203" s="24" t="n">
        <v>46143</v>
      </c>
      <c r="B3203" t="inlineStr">
        <is>
          <t>Frete de venda</t>
        </is>
      </c>
      <c r="C3203" t="inlineStr">
        <is>
          <t>Frete de venda (para clientes)</t>
        </is>
      </c>
      <c r="D3203" t="inlineStr">
        <is>
          <t>CT-e</t>
        </is>
      </c>
      <c r="E3203" t="inlineStr">
        <is>
          <t>000007192</t>
        </is>
      </c>
      <c r="F3203" t="inlineStr">
        <is>
          <t>R&amp;R TRANSPORTE E LOGISTICA</t>
        </is>
      </c>
      <c r="G3203" s="27" t="n">
        <v>46170</v>
      </c>
      <c r="H3203" s="14" t="n">
        <v>28.78</v>
      </c>
      <c r="I3203" s="14" t="n">
        <v>0</v>
      </c>
      <c r="J3203" s="14" t="n">
        <v>0</v>
      </c>
      <c r="K3203" s="14" t="n">
        <v>0</v>
      </c>
      <c r="L3203" s="14" t="n">
        <v>0</v>
      </c>
      <c r="M3203" s="14">
        <f>IF(B3203="Frete de venda",0,(1-ISNUMBER(SEARCH("556",P3203)))*(I3203*VLOOKUP($B3203,Premissas!$A$4:$E$7,2,0)+J3203*VLOOKUP($B3203,Premissas!$A$4:$E$7,3,0))+K3203*VLOOKUP($B3203,Premissas!$A$4:$E$7,4,0)+L3203*VLOOKUP($B3203,Premissas!$A$4:$E$7,5,0))</f>
        <v/>
      </c>
      <c r="N3203" s="14">
        <f>H3203-M3203</f>
        <v/>
      </c>
      <c r="O3203" t="inlineStr">
        <is>
          <t>Não</t>
        </is>
      </c>
      <c r="P3203" t="inlineStr">
        <is>
          <t>1.350</t>
        </is>
      </c>
    </row>
    <row r="3204">
      <c r="A3204" s="24" t="n">
        <v>46143</v>
      </c>
      <c r="B3204" t="inlineStr">
        <is>
          <t>Frete de venda</t>
        </is>
      </c>
      <c r="C3204" t="inlineStr">
        <is>
          <t>Frete de venda (para clientes)</t>
        </is>
      </c>
      <c r="D3204" t="inlineStr">
        <is>
          <t>CT-e</t>
        </is>
      </c>
      <c r="E3204" t="inlineStr">
        <is>
          <t>000007131</t>
        </is>
      </c>
      <c r="F3204" t="inlineStr">
        <is>
          <t>R&amp;R TRANSPORTE E LOGISTICA</t>
        </is>
      </c>
      <c r="G3204" s="27" t="n">
        <v>46165</v>
      </c>
      <c r="H3204" s="14" t="n">
        <v>61.53</v>
      </c>
      <c r="I3204" s="14" t="n">
        <v>0</v>
      </c>
      <c r="J3204" s="14" t="n">
        <v>0</v>
      </c>
      <c r="K3204" s="14" t="n">
        <v>0</v>
      </c>
      <c r="L3204" s="14" t="n">
        <v>0</v>
      </c>
      <c r="M3204" s="14">
        <f>IF(B3204="Frete de venda",0,(1-ISNUMBER(SEARCH("556",P3204)))*(I3204*VLOOKUP($B3204,Premissas!$A$4:$E$7,2,0)+J3204*VLOOKUP($B3204,Premissas!$A$4:$E$7,3,0))+K3204*VLOOKUP($B3204,Premissas!$A$4:$E$7,4,0)+L3204*VLOOKUP($B3204,Premissas!$A$4:$E$7,5,0))</f>
        <v/>
      </c>
      <c r="N3204" s="14">
        <f>H3204-M3204</f>
        <v/>
      </c>
      <c r="O3204" t="inlineStr">
        <is>
          <t>Não</t>
        </is>
      </c>
      <c r="P3204" t="inlineStr">
        <is>
          <t>1.350</t>
        </is>
      </c>
    </row>
    <row r="3205">
      <c r="A3205" s="24" t="n">
        <v>46143</v>
      </c>
      <c r="B3205" t="inlineStr">
        <is>
          <t>Frete de venda</t>
        </is>
      </c>
      <c r="C3205" t="inlineStr">
        <is>
          <t>Frete de venda (para clientes)</t>
        </is>
      </c>
      <c r="D3205" t="inlineStr">
        <is>
          <t>CT-e</t>
        </is>
      </c>
      <c r="E3205" t="inlineStr">
        <is>
          <t>000007036</t>
        </is>
      </c>
      <c r="F3205" t="inlineStr">
        <is>
          <t>R&amp;R TRANSPORTE E LOGISTICA</t>
        </is>
      </c>
      <c r="G3205" s="27" t="n">
        <v>46151</v>
      </c>
      <c r="H3205" s="14" t="n">
        <v>19.86</v>
      </c>
      <c r="I3205" s="14" t="n">
        <v>0</v>
      </c>
      <c r="J3205" s="14" t="n">
        <v>0</v>
      </c>
      <c r="K3205" s="14" t="n">
        <v>0</v>
      </c>
      <c r="L3205" s="14" t="n">
        <v>0</v>
      </c>
      <c r="M3205" s="14">
        <f>IF(B3205="Frete de venda",0,(1-ISNUMBER(SEARCH("556",P3205)))*(I3205*VLOOKUP($B3205,Premissas!$A$4:$E$7,2,0)+J3205*VLOOKUP($B3205,Premissas!$A$4:$E$7,3,0))+K3205*VLOOKUP($B3205,Premissas!$A$4:$E$7,4,0)+L3205*VLOOKUP($B3205,Premissas!$A$4:$E$7,5,0))</f>
        <v/>
      </c>
      <c r="N3205" s="14">
        <f>H3205-M3205</f>
        <v/>
      </c>
      <c r="O3205" t="inlineStr">
        <is>
          <t>Não</t>
        </is>
      </c>
      <c r="P3205" t="inlineStr">
        <is>
          <t>1.350</t>
        </is>
      </c>
    </row>
    <row r="3206">
      <c r="A3206" s="24" t="n">
        <v>46143</v>
      </c>
      <c r="B3206" t="inlineStr">
        <is>
          <t>Frete de venda</t>
        </is>
      </c>
      <c r="C3206" t="inlineStr">
        <is>
          <t>Frete de venda (para clientes)</t>
        </is>
      </c>
      <c r="D3206" t="inlineStr">
        <is>
          <t>CT-e</t>
        </is>
      </c>
      <c r="E3206" t="inlineStr">
        <is>
          <t>000006995</t>
        </is>
      </c>
      <c r="F3206" t="inlineStr">
        <is>
          <t>R&amp;R TRANSPORTE E LOGISTICA</t>
        </is>
      </c>
      <c r="G3206" s="27" t="n">
        <v>46149</v>
      </c>
      <c r="H3206" s="14" t="n">
        <v>26.15</v>
      </c>
      <c r="I3206" s="14" t="n">
        <v>0</v>
      </c>
      <c r="J3206" s="14" t="n">
        <v>0</v>
      </c>
      <c r="K3206" s="14" t="n">
        <v>0</v>
      </c>
      <c r="L3206" s="14" t="n">
        <v>0</v>
      </c>
      <c r="M3206" s="14">
        <f>IF(B3206="Frete de venda",0,(1-ISNUMBER(SEARCH("556",P3206)))*(I3206*VLOOKUP($B3206,Premissas!$A$4:$E$7,2,0)+J3206*VLOOKUP($B3206,Premissas!$A$4:$E$7,3,0))+K3206*VLOOKUP($B3206,Premissas!$A$4:$E$7,4,0)+L3206*VLOOKUP($B3206,Premissas!$A$4:$E$7,5,0))</f>
        <v/>
      </c>
      <c r="N3206" s="14">
        <f>H3206-M3206</f>
        <v/>
      </c>
      <c r="O3206" t="inlineStr">
        <is>
          <t>Não</t>
        </is>
      </c>
      <c r="P3206" t="inlineStr">
        <is>
          <t>1.350</t>
        </is>
      </c>
    </row>
    <row r="3207">
      <c r="A3207" s="24" t="n">
        <v>46143</v>
      </c>
      <c r="B3207" t="inlineStr">
        <is>
          <t>Frete de venda</t>
        </is>
      </c>
      <c r="C3207" t="inlineStr">
        <is>
          <t>Frete de venda (para clientes)</t>
        </is>
      </c>
      <c r="D3207" t="inlineStr">
        <is>
          <t>CT-e</t>
        </is>
      </c>
      <c r="E3207" t="inlineStr">
        <is>
          <t>000007065</t>
        </is>
      </c>
      <c r="F3207" t="inlineStr">
        <is>
          <t>R&amp;R TRANSPORTE E LOGISTICA</t>
        </is>
      </c>
      <c r="G3207" s="27" t="n">
        <v>46157</v>
      </c>
      <c r="H3207" s="14" t="n">
        <v>59.7</v>
      </c>
      <c r="I3207" s="14" t="n">
        <v>0</v>
      </c>
      <c r="J3207" s="14" t="n">
        <v>0</v>
      </c>
      <c r="K3207" s="14" t="n">
        <v>0</v>
      </c>
      <c r="L3207" s="14" t="n">
        <v>0</v>
      </c>
      <c r="M3207" s="14">
        <f>IF(B3207="Frete de venda",0,(1-ISNUMBER(SEARCH("556",P3207)))*(I3207*VLOOKUP($B3207,Premissas!$A$4:$E$7,2,0)+J3207*VLOOKUP($B3207,Premissas!$A$4:$E$7,3,0))+K3207*VLOOKUP($B3207,Premissas!$A$4:$E$7,4,0)+L3207*VLOOKUP($B3207,Premissas!$A$4:$E$7,5,0))</f>
        <v/>
      </c>
      <c r="N3207" s="14">
        <f>H3207-M3207</f>
        <v/>
      </c>
      <c r="O3207" t="inlineStr">
        <is>
          <t>Não</t>
        </is>
      </c>
      <c r="P3207" t="inlineStr">
        <is>
          <t>1.350</t>
        </is>
      </c>
    </row>
    <row r="3208">
      <c r="A3208" s="24" t="n">
        <v>46143</v>
      </c>
      <c r="B3208" t="inlineStr">
        <is>
          <t>Frete de venda</t>
        </is>
      </c>
      <c r="C3208" t="inlineStr">
        <is>
          <t>Frete de venda (para clientes)</t>
        </is>
      </c>
      <c r="D3208" t="inlineStr">
        <is>
          <t>CT-e</t>
        </is>
      </c>
      <c r="E3208" t="inlineStr">
        <is>
          <t>000003876</t>
        </is>
      </c>
      <c r="F3208" t="inlineStr">
        <is>
          <t>RAPIDO XAPURI TRANSPORTES E LOGISTICA LTDA</t>
        </is>
      </c>
      <c r="G3208" s="27" t="n">
        <v>46162</v>
      </c>
      <c r="H3208" s="14" t="n">
        <v>1980.03</v>
      </c>
      <c r="I3208" s="14" t="n">
        <v>0</v>
      </c>
      <c r="J3208" s="14" t="n">
        <v>237.6</v>
      </c>
      <c r="K3208" s="14" t="n">
        <v>0</v>
      </c>
      <c r="L3208" s="14" t="n">
        <v>0</v>
      </c>
      <c r="M3208" s="14">
        <f>IF(B3208="Frete de venda",0,(1-ISNUMBER(SEARCH("556",P3208)))*(I3208*VLOOKUP($B3208,Premissas!$A$4:$E$7,2,0)+J3208*VLOOKUP($B3208,Premissas!$A$4:$E$7,3,0))+K3208*VLOOKUP($B3208,Premissas!$A$4:$E$7,4,0)+L3208*VLOOKUP($B3208,Premissas!$A$4:$E$7,5,0))</f>
        <v/>
      </c>
      <c r="N3208" s="14">
        <f>H3208-M3208</f>
        <v/>
      </c>
      <c r="O3208" t="inlineStr">
        <is>
          <t>Sim</t>
        </is>
      </c>
      <c r="P3208" t="inlineStr">
        <is>
          <t>2.350</t>
        </is>
      </c>
    </row>
    <row r="3209">
      <c r="A3209" s="24" t="n">
        <v>46143</v>
      </c>
      <c r="B3209" t="inlineStr">
        <is>
          <t>Frete de venda</t>
        </is>
      </c>
      <c r="C3209" t="inlineStr">
        <is>
          <t>Frete de venda (para clientes)</t>
        </is>
      </c>
      <c r="D3209" t="inlineStr">
        <is>
          <t>CT-e</t>
        </is>
      </c>
      <c r="E3209" t="inlineStr">
        <is>
          <t>000007138</t>
        </is>
      </c>
      <c r="F3209" t="inlineStr">
        <is>
          <t>R&amp;R TRANSPORTE E LOGISTICA</t>
        </is>
      </c>
      <c r="G3209" s="27" t="n">
        <v>46167</v>
      </c>
      <c r="H3209" s="14" t="n">
        <v>12.87</v>
      </c>
      <c r="I3209" s="14" t="n">
        <v>0</v>
      </c>
      <c r="J3209" s="14" t="n">
        <v>0</v>
      </c>
      <c r="K3209" s="14" t="n">
        <v>0</v>
      </c>
      <c r="L3209" s="14" t="n">
        <v>0</v>
      </c>
      <c r="M3209" s="14">
        <f>IF(B3209="Frete de venda",0,(1-ISNUMBER(SEARCH("556",P3209)))*(I3209*VLOOKUP($B3209,Premissas!$A$4:$E$7,2,0)+J3209*VLOOKUP($B3209,Premissas!$A$4:$E$7,3,0))+K3209*VLOOKUP($B3209,Premissas!$A$4:$E$7,4,0)+L3209*VLOOKUP($B3209,Premissas!$A$4:$E$7,5,0))</f>
        <v/>
      </c>
      <c r="N3209" s="14">
        <f>H3209-M3209</f>
        <v/>
      </c>
      <c r="O3209" t="inlineStr">
        <is>
          <t>Não</t>
        </is>
      </c>
      <c r="P3209" t="inlineStr">
        <is>
          <t>1.350</t>
        </is>
      </c>
    </row>
    <row r="3210">
      <c r="A3210" s="24" t="n">
        <v>46143</v>
      </c>
      <c r="B3210" t="inlineStr">
        <is>
          <t>Frete de venda</t>
        </is>
      </c>
      <c r="C3210" t="inlineStr">
        <is>
          <t>Frete de venda (para clientes)</t>
        </is>
      </c>
      <c r="D3210" t="inlineStr">
        <is>
          <t>CT-e</t>
        </is>
      </c>
      <c r="E3210" t="inlineStr">
        <is>
          <t>000007137</t>
        </is>
      </c>
      <c r="F3210" t="inlineStr">
        <is>
          <t>R&amp;R TRANSPORTE E LOGISTICA</t>
        </is>
      </c>
      <c r="G3210" s="27" t="n">
        <v>46167</v>
      </c>
      <c r="H3210" s="14" t="n">
        <v>13.47</v>
      </c>
      <c r="I3210" s="14" t="n">
        <v>0</v>
      </c>
      <c r="J3210" s="14" t="n">
        <v>0</v>
      </c>
      <c r="K3210" s="14" t="n">
        <v>0</v>
      </c>
      <c r="L3210" s="14" t="n">
        <v>0</v>
      </c>
      <c r="M3210" s="14">
        <f>IF(B3210="Frete de venda",0,(1-ISNUMBER(SEARCH("556",P3210)))*(I3210*VLOOKUP($B3210,Premissas!$A$4:$E$7,2,0)+J3210*VLOOKUP($B3210,Premissas!$A$4:$E$7,3,0))+K3210*VLOOKUP($B3210,Premissas!$A$4:$E$7,4,0)+L3210*VLOOKUP($B3210,Premissas!$A$4:$E$7,5,0))</f>
        <v/>
      </c>
      <c r="N3210" s="14">
        <f>H3210-M3210</f>
        <v/>
      </c>
      <c r="O3210" t="inlineStr">
        <is>
          <t>Não</t>
        </is>
      </c>
      <c r="P3210" t="inlineStr">
        <is>
          <t>1.350</t>
        </is>
      </c>
    </row>
    <row r="3211">
      <c r="A3211" s="24" t="n">
        <v>46143</v>
      </c>
      <c r="B3211" t="inlineStr">
        <is>
          <t>Frete de venda</t>
        </is>
      </c>
      <c r="C3211" t="inlineStr">
        <is>
          <t>Frete de venda (para clientes)</t>
        </is>
      </c>
      <c r="D3211" t="inlineStr">
        <is>
          <t>CT-e</t>
        </is>
      </c>
      <c r="E3211" t="inlineStr">
        <is>
          <t>000006971</t>
        </is>
      </c>
      <c r="F3211" t="inlineStr">
        <is>
          <t>R&amp;R TRANSPORTE E LOGISTICA</t>
        </is>
      </c>
      <c r="G3211" s="27" t="n">
        <v>46147</v>
      </c>
      <c r="H3211" s="14" t="n">
        <v>37.63</v>
      </c>
      <c r="I3211" s="14" t="n">
        <v>0</v>
      </c>
      <c r="J3211" s="14" t="n">
        <v>0</v>
      </c>
      <c r="K3211" s="14" t="n">
        <v>0</v>
      </c>
      <c r="L3211" s="14" t="n">
        <v>0</v>
      </c>
      <c r="M3211" s="14">
        <f>IF(B3211="Frete de venda",0,(1-ISNUMBER(SEARCH("556",P3211)))*(I3211*VLOOKUP($B3211,Premissas!$A$4:$E$7,2,0)+J3211*VLOOKUP($B3211,Premissas!$A$4:$E$7,3,0))+K3211*VLOOKUP($B3211,Premissas!$A$4:$E$7,4,0)+L3211*VLOOKUP($B3211,Premissas!$A$4:$E$7,5,0))</f>
        <v/>
      </c>
      <c r="N3211" s="14">
        <f>H3211-M3211</f>
        <v/>
      </c>
      <c r="O3211" t="inlineStr">
        <is>
          <t>Não</t>
        </is>
      </c>
      <c r="P3211" t="inlineStr">
        <is>
          <t>1.350</t>
        </is>
      </c>
    </row>
    <row r="3212">
      <c r="A3212" s="24" t="n">
        <v>46143</v>
      </c>
      <c r="B3212" t="inlineStr">
        <is>
          <t>Frete de venda</t>
        </is>
      </c>
      <c r="C3212" t="inlineStr">
        <is>
          <t>Frete de venda (para clientes)</t>
        </is>
      </c>
      <c r="D3212" t="inlineStr">
        <is>
          <t>CT-e</t>
        </is>
      </c>
      <c r="E3212" t="inlineStr">
        <is>
          <t>000007016</t>
        </is>
      </c>
      <c r="F3212" t="inlineStr">
        <is>
          <t>R&amp;R TRANSPORTE E LOGISTICA</t>
        </is>
      </c>
      <c r="G3212" s="27" t="n">
        <v>46151</v>
      </c>
      <c r="H3212" s="14" t="n">
        <v>50.31</v>
      </c>
      <c r="I3212" s="14" t="n">
        <v>0</v>
      </c>
      <c r="J3212" s="14" t="n">
        <v>0</v>
      </c>
      <c r="K3212" s="14" t="n">
        <v>0</v>
      </c>
      <c r="L3212" s="14" t="n">
        <v>0</v>
      </c>
      <c r="M3212" s="14">
        <f>IF(B3212="Frete de venda",0,(1-ISNUMBER(SEARCH("556",P3212)))*(I3212*VLOOKUP($B3212,Premissas!$A$4:$E$7,2,0)+J3212*VLOOKUP($B3212,Premissas!$A$4:$E$7,3,0))+K3212*VLOOKUP($B3212,Premissas!$A$4:$E$7,4,0)+L3212*VLOOKUP($B3212,Premissas!$A$4:$E$7,5,0))</f>
        <v/>
      </c>
      <c r="N3212" s="14">
        <f>H3212-M3212</f>
        <v/>
      </c>
      <c r="O3212" t="inlineStr">
        <is>
          <t>Não</t>
        </is>
      </c>
      <c r="P3212" t="inlineStr">
        <is>
          <t>1.350</t>
        </is>
      </c>
    </row>
    <row r="3213">
      <c r="A3213" s="24" t="n">
        <v>46143</v>
      </c>
      <c r="B3213" t="inlineStr">
        <is>
          <t>Frete de venda</t>
        </is>
      </c>
      <c r="C3213" t="inlineStr">
        <is>
          <t>Frete de venda (para clientes)</t>
        </is>
      </c>
      <c r="D3213" t="inlineStr">
        <is>
          <t>CT-e</t>
        </is>
      </c>
      <c r="E3213" t="inlineStr">
        <is>
          <t>000007006</t>
        </is>
      </c>
      <c r="F3213" t="inlineStr">
        <is>
          <t>R&amp;R TRANSPORTE E LOGISTICA</t>
        </is>
      </c>
      <c r="G3213" s="27" t="n">
        <v>46150</v>
      </c>
      <c r="H3213" s="14" t="n">
        <v>49.75</v>
      </c>
      <c r="I3213" s="14" t="n">
        <v>0</v>
      </c>
      <c r="J3213" s="14" t="n">
        <v>0</v>
      </c>
      <c r="K3213" s="14" t="n">
        <v>0</v>
      </c>
      <c r="L3213" s="14" t="n">
        <v>0</v>
      </c>
      <c r="M3213" s="14">
        <f>IF(B3213="Frete de venda",0,(1-ISNUMBER(SEARCH("556",P3213)))*(I3213*VLOOKUP($B3213,Premissas!$A$4:$E$7,2,0)+J3213*VLOOKUP($B3213,Premissas!$A$4:$E$7,3,0))+K3213*VLOOKUP($B3213,Premissas!$A$4:$E$7,4,0)+L3213*VLOOKUP($B3213,Premissas!$A$4:$E$7,5,0))</f>
        <v/>
      </c>
      <c r="N3213" s="14">
        <f>H3213-M3213</f>
        <v/>
      </c>
      <c r="O3213" t="inlineStr">
        <is>
          <t>Não</t>
        </is>
      </c>
      <c r="P3213" t="inlineStr">
        <is>
          <t>1.350</t>
        </is>
      </c>
    </row>
    <row r="3214">
      <c r="A3214" s="24" t="n">
        <v>46143</v>
      </c>
      <c r="B3214" t="inlineStr">
        <is>
          <t>Frete de venda</t>
        </is>
      </c>
      <c r="C3214" t="inlineStr">
        <is>
          <t>Frete de venda (para clientes)</t>
        </is>
      </c>
      <c r="D3214" t="inlineStr">
        <is>
          <t>CT-e</t>
        </is>
      </c>
      <c r="E3214" t="inlineStr">
        <is>
          <t>000007086</t>
        </is>
      </c>
      <c r="F3214" t="inlineStr">
        <is>
          <t>R&amp;R TRANSPORTE E LOGISTICA</t>
        </is>
      </c>
      <c r="G3214" s="27" t="n">
        <v>46157</v>
      </c>
      <c r="H3214" s="14" t="n">
        <v>72.45999999999999</v>
      </c>
      <c r="I3214" s="14" t="n">
        <v>0</v>
      </c>
      <c r="J3214" s="14" t="n">
        <v>0</v>
      </c>
      <c r="K3214" s="14" t="n">
        <v>0</v>
      </c>
      <c r="L3214" s="14" t="n">
        <v>0</v>
      </c>
      <c r="M3214" s="14">
        <f>IF(B3214="Frete de venda",0,(1-ISNUMBER(SEARCH("556",P3214)))*(I3214*VLOOKUP($B3214,Premissas!$A$4:$E$7,2,0)+J3214*VLOOKUP($B3214,Premissas!$A$4:$E$7,3,0))+K3214*VLOOKUP($B3214,Premissas!$A$4:$E$7,4,0)+L3214*VLOOKUP($B3214,Premissas!$A$4:$E$7,5,0))</f>
        <v/>
      </c>
      <c r="N3214" s="14">
        <f>H3214-M3214</f>
        <v/>
      </c>
      <c r="O3214" t="inlineStr">
        <is>
          <t>Não</t>
        </is>
      </c>
      <c r="P3214" t="inlineStr">
        <is>
          <t>1.350</t>
        </is>
      </c>
    </row>
    <row r="3215">
      <c r="A3215" s="24" t="n">
        <v>46143</v>
      </c>
      <c r="B3215" t="inlineStr">
        <is>
          <t>Frete de venda</t>
        </is>
      </c>
      <c r="C3215" t="inlineStr">
        <is>
          <t>Frete de venda (para clientes)</t>
        </is>
      </c>
      <c r="D3215" t="inlineStr">
        <is>
          <t>CT-e</t>
        </is>
      </c>
      <c r="E3215" t="inlineStr">
        <is>
          <t>000024665</t>
        </is>
      </c>
      <c r="F3215" t="inlineStr">
        <is>
          <t>TRANSPORTE OLIVEIRA E MELLOI - IDEALIZA TRANSPORTES</t>
        </is>
      </c>
      <c r="G3215" s="27" t="n">
        <v>46167</v>
      </c>
      <c r="H3215" s="14" t="n">
        <v>1719.11</v>
      </c>
      <c r="I3215" s="14" t="n">
        <v>0</v>
      </c>
      <c r="J3215" s="14" t="n">
        <v>206.29</v>
      </c>
      <c r="K3215" s="14" t="n">
        <v>0</v>
      </c>
      <c r="L3215" s="14" t="n">
        <v>0</v>
      </c>
      <c r="M3215" s="14">
        <f>IF(B3215="Frete de venda",0,(1-ISNUMBER(SEARCH("556",P3215)))*(I3215*VLOOKUP($B3215,Premissas!$A$4:$E$7,2,0)+J3215*VLOOKUP($B3215,Premissas!$A$4:$E$7,3,0))+K3215*VLOOKUP($B3215,Premissas!$A$4:$E$7,4,0)+L3215*VLOOKUP($B3215,Premissas!$A$4:$E$7,5,0))</f>
        <v/>
      </c>
      <c r="N3215" s="14">
        <f>H3215-M3215</f>
        <v/>
      </c>
      <c r="O3215" t="inlineStr">
        <is>
          <t>Sim</t>
        </is>
      </c>
      <c r="P3215" t="inlineStr">
        <is>
          <t>2.350</t>
        </is>
      </c>
    </row>
    <row r="3216">
      <c r="A3216" s="24" t="n">
        <v>46143</v>
      </c>
      <c r="B3216" t="inlineStr">
        <is>
          <t>Frete de venda</t>
        </is>
      </c>
      <c r="C3216" t="inlineStr">
        <is>
          <t>Frete de venda (para clientes)</t>
        </is>
      </c>
      <c r="D3216" t="inlineStr">
        <is>
          <t>CT-e</t>
        </is>
      </c>
      <c r="E3216" t="inlineStr">
        <is>
          <t>000006953</t>
        </is>
      </c>
      <c r="F3216" t="inlineStr">
        <is>
          <t>R&amp;R TRANSPORTE E LOGISTICA</t>
        </is>
      </c>
      <c r="G3216" s="27" t="n">
        <v>46143</v>
      </c>
      <c r="H3216" s="14" t="n">
        <v>30.09</v>
      </c>
      <c r="I3216" s="14" t="n">
        <v>0</v>
      </c>
      <c r="J3216" s="14" t="n">
        <v>0</v>
      </c>
      <c r="K3216" s="14" t="n">
        <v>0</v>
      </c>
      <c r="L3216" s="14" t="n">
        <v>0</v>
      </c>
      <c r="M3216" s="14">
        <f>IF(B3216="Frete de venda",0,(1-ISNUMBER(SEARCH("556",P3216)))*(I3216*VLOOKUP($B3216,Premissas!$A$4:$E$7,2,0)+J3216*VLOOKUP($B3216,Premissas!$A$4:$E$7,3,0))+K3216*VLOOKUP($B3216,Premissas!$A$4:$E$7,4,0)+L3216*VLOOKUP($B3216,Premissas!$A$4:$E$7,5,0))</f>
        <v/>
      </c>
      <c r="N3216" s="14">
        <f>H3216-M3216</f>
        <v/>
      </c>
      <c r="O3216" t="inlineStr">
        <is>
          <t>Não</t>
        </is>
      </c>
      <c r="P3216" t="inlineStr">
        <is>
          <t>1.350</t>
        </is>
      </c>
    </row>
    <row r="3217">
      <c r="A3217" s="24" t="n">
        <v>46143</v>
      </c>
      <c r="B3217" t="inlineStr">
        <is>
          <t>Frete de venda</t>
        </is>
      </c>
      <c r="C3217" t="inlineStr">
        <is>
          <t>Frete de venda (para clientes)</t>
        </is>
      </c>
      <c r="D3217" t="inlineStr">
        <is>
          <t>CT-e</t>
        </is>
      </c>
      <c r="E3217" t="inlineStr">
        <is>
          <t>000006955</t>
        </is>
      </c>
      <c r="F3217" t="inlineStr">
        <is>
          <t>R&amp;R TRANSPORTE E LOGISTICA</t>
        </is>
      </c>
      <c r="G3217" s="27" t="n">
        <v>46143</v>
      </c>
      <c r="H3217" s="14" t="n">
        <v>21.45</v>
      </c>
      <c r="I3217" s="14" t="n">
        <v>0</v>
      </c>
      <c r="J3217" s="14" t="n">
        <v>0</v>
      </c>
      <c r="K3217" s="14" t="n">
        <v>0</v>
      </c>
      <c r="L3217" s="14" t="n">
        <v>0</v>
      </c>
      <c r="M3217" s="14">
        <f>IF(B3217="Frete de venda",0,(1-ISNUMBER(SEARCH("556",P3217)))*(I3217*VLOOKUP($B3217,Premissas!$A$4:$E$7,2,0)+J3217*VLOOKUP($B3217,Premissas!$A$4:$E$7,3,0))+K3217*VLOOKUP($B3217,Premissas!$A$4:$E$7,4,0)+L3217*VLOOKUP($B3217,Premissas!$A$4:$E$7,5,0))</f>
        <v/>
      </c>
      <c r="N3217" s="14">
        <f>H3217-M3217</f>
        <v/>
      </c>
      <c r="O3217" t="inlineStr">
        <is>
          <t>Não</t>
        </is>
      </c>
      <c r="P3217" t="inlineStr">
        <is>
          <t>1.350</t>
        </is>
      </c>
    </row>
    <row r="3218">
      <c r="A3218" s="24" t="n">
        <v>46143</v>
      </c>
      <c r="B3218" t="inlineStr">
        <is>
          <t>Frete de venda</t>
        </is>
      </c>
      <c r="C3218" t="inlineStr">
        <is>
          <t>Frete de venda (para clientes)</t>
        </is>
      </c>
      <c r="D3218" t="inlineStr">
        <is>
          <t>CT-e</t>
        </is>
      </c>
      <c r="E3218" t="inlineStr">
        <is>
          <t>000007140</t>
        </is>
      </c>
      <c r="F3218" t="inlineStr">
        <is>
          <t>R&amp;R TRANSPORTE E LOGISTICA</t>
        </is>
      </c>
      <c r="G3218" s="27" t="n">
        <v>46167</v>
      </c>
      <c r="H3218" s="14" t="n">
        <v>24.08</v>
      </c>
      <c r="I3218" s="14" t="n">
        <v>0</v>
      </c>
      <c r="J3218" s="14" t="n">
        <v>0</v>
      </c>
      <c r="K3218" s="14" t="n">
        <v>0</v>
      </c>
      <c r="L3218" s="14" t="n">
        <v>0</v>
      </c>
      <c r="M3218" s="14">
        <f>IF(B3218="Frete de venda",0,(1-ISNUMBER(SEARCH("556",P3218)))*(I3218*VLOOKUP($B3218,Premissas!$A$4:$E$7,2,0)+J3218*VLOOKUP($B3218,Premissas!$A$4:$E$7,3,0))+K3218*VLOOKUP($B3218,Premissas!$A$4:$E$7,4,0)+L3218*VLOOKUP($B3218,Premissas!$A$4:$E$7,5,0))</f>
        <v/>
      </c>
      <c r="N3218" s="14">
        <f>H3218-M3218</f>
        <v/>
      </c>
      <c r="O3218" t="inlineStr">
        <is>
          <t>Não</t>
        </is>
      </c>
      <c r="P3218" t="inlineStr">
        <is>
          <t>1.350</t>
        </is>
      </c>
    </row>
    <row r="3219">
      <c r="A3219" s="24" t="n">
        <v>46143</v>
      </c>
      <c r="B3219" t="inlineStr">
        <is>
          <t>Frete de venda</t>
        </is>
      </c>
      <c r="C3219" t="inlineStr">
        <is>
          <t>Frete de venda (para clientes)</t>
        </is>
      </c>
      <c r="D3219" t="inlineStr">
        <is>
          <t>CT-e</t>
        </is>
      </c>
      <c r="E3219" t="inlineStr">
        <is>
          <t>000007152</t>
        </is>
      </c>
      <c r="F3219" t="inlineStr">
        <is>
          <t>R&amp;R TRANSPORTE E LOGISTICA</t>
        </is>
      </c>
      <c r="G3219" s="27" t="n">
        <v>46168</v>
      </c>
      <c r="H3219" s="14" t="n">
        <v>6000</v>
      </c>
      <c r="I3219" s="14" t="n">
        <v>0</v>
      </c>
      <c r="J3219" s="14" t="n">
        <v>0</v>
      </c>
      <c r="K3219" s="14" t="n">
        <v>0</v>
      </c>
      <c r="L3219" s="14" t="n">
        <v>0</v>
      </c>
      <c r="M3219" s="14">
        <f>IF(B3219="Frete de venda",0,(1-ISNUMBER(SEARCH("556",P3219)))*(I3219*VLOOKUP($B3219,Premissas!$A$4:$E$7,2,0)+J3219*VLOOKUP($B3219,Premissas!$A$4:$E$7,3,0))+K3219*VLOOKUP($B3219,Premissas!$A$4:$E$7,4,0)+L3219*VLOOKUP($B3219,Premissas!$A$4:$E$7,5,0))</f>
        <v/>
      </c>
      <c r="N3219" s="14">
        <f>H3219-M3219</f>
        <v/>
      </c>
      <c r="O3219" t="inlineStr">
        <is>
          <t>Não</t>
        </is>
      </c>
      <c r="P3219" t="inlineStr">
        <is>
          <t>1.350</t>
        </is>
      </c>
    </row>
    <row r="3220">
      <c r="A3220" s="24" t="n">
        <v>46143</v>
      </c>
      <c r="B3220" t="inlineStr">
        <is>
          <t>Frete de venda</t>
        </is>
      </c>
      <c r="C3220" t="inlineStr">
        <is>
          <t>Frete de venda (para clientes)</t>
        </is>
      </c>
      <c r="D3220" t="inlineStr">
        <is>
          <t>CT-e</t>
        </is>
      </c>
      <c r="E3220" t="inlineStr">
        <is>
          <t>000007212</t>
        </is>
      </c>
      <c r="F3220" t="inlineStr">
        <is>
          <t>R&amp;R TRANSPORTE E LOGISTICA</t>
        </is>
      </c>
      <c r="G3220" s="27" t="n">
        <v>46172</v>
      </c>
      <c r="H3220" s="14" t="n">
        <v>800</v>
      </c>
      <c r="I3220" s="14" t="n">
        <v>0</v>
      </c>
      <c r="J3220" s="14" t="n">
        <v>0</v>
      </c>
      <c r="K3220" s="14" t="n">
        <v>0</v>
      </c>
      <c r="L3220" s="14" t="n">
        <v>0</v>
      </c>
      <c r="M3220" s="14">
        <f>IF(B3220="Frete de venda",0,(1-ISNUMBER(SEARCH("556",P3220)))*(I3220*VLOOKUP($B3220,Premissas!$A$4:$E$7,2,0)+J3220*VLOOKUP($B3220,Premissas!$A$4:$E$7,3,0))+K3220*VLOOKUP($B3220,Premissas!$A$4:$E$7,4,0)+L3220*VLOOKUP($B3220,Premissas!$A$4:$E$7,5,0))</f>
        <v/>
      </c>
      <c r="N3220" s="14">
        <f>H3220-M3220</f>
        <v/>
      </c>
      <c r="O3220" t="inlineStr">
        <is>
          <t>Não</t>
        </is>
      </c>
      <c r="P3220" t="inlineStr">
        <is>
          <t>2.350</t>
        </is>
      </c>
    </row>
    <row r="3221">
      <c r="A3221" s="24" t="n">
        <v>46143</v>
      </c>
      <c r="B3221" t="inlineStr">
        <is>
          <t>Frete de venda</t>
        </is>
      </c>
      <c r="C3221" t="inlineStr">
        <is>
          <t>Frete de venda (para clientes)</t>
        </is>
      </c>
      <c r="D3221" t="inlineStr">
        <is>
          <t>CT-e</t>
        </is>
      </c>
      <c r="E3221" t="inlineStr">
        <is>
          <t>000007221</t>
        </is>
      </c>
      <c r="F3221" t="inlineStr">
        <is>
          <t>R&amp;R TRANSPORTE E LOGISTICA</t>
        </is>
      </c>
      <c r="G3221" s="27" t="n">
        <v>46172</v>
      </c>
      <c r="H3221" s="14" t="n">
        <v>30</v>
      </c>
      <c r="I3221" s="14" t="n">
        <v>0</v>
      </c>
      <c r="J3221" s="14" t="n">
        <v>0</v>
      </c>
      <c r="K3221" s="14" t="n">
        <v>0</v>
      </c>
      <c r="L3221" s="14" t="n">
        <v>0</v>
      </c>
      <c r="M3221" s="14">
        <f>IF(B3221="Frete de venda",0,(1-ISNUMBER(SEARCH("556",P3221)))*(I3221*VLOOKUP($B3221,Premissas!$A$4:$E$7,2,0)+J3221*VLOOKUP($B3221,Premissas!$A$4:$E$7,3,0))+K3221*VLOOKUP($B3221,Premissas!$A$4:$E$7,4,0)+L3221*VLOOKUP($B3221,Premissas!$A$4:$E$7,5,0))</f>
        <v/>
      </c>
      <c r="N3221" s="14">
        <f>H3221-M3221</f>
        <v/>
      </c>
      <c r="O3221" t="inlineStr">
        <is>
          <t>Não</t>
        </is>
      </c>
      <c r="P3221" t="inlineStr">
        <is>
          <t>2.350</t>
        </is>
      </c>
    </row>
    <row r="3222">
      <c r="A3222" s="24" t="n">
        <v>46143</v>
      </c>
      <c r="B3222" t="inlineStr">
        <is>
          <t>Frete de venda</t>
        </is>
      </c>
      <c r="C3222" t="inlineStr">
        <is>
          <t>Frete de venda (para clientes)</t>
        </is>
      </c>
      <c r="D3222" t="inlineStr">
        <is>
          <t>CT-e</t>
        </is>
      </c>
      <c r="E3222" t="inlineStr">
        <is>
          <t>000007081</t>
        </is>
      </c>
      <c r="F3222" t="inlineStr">
        <is>
          <t>R&amp;R TRANSPORTE E LOGISTICA</t>
        </is>
      </c>
      <c r="G3222" s="27" t="n">
        <v>46157</v>
      </c>
      <c r="H3222" s="14" t="n">
        <v>95.01000000000001</v>
      </c>
      <c r="I3222" s="14" t="n">
        <v>0</v>
      </c>
      <c r="J3222" s="14" t="n">
        <v>0</v>
      </c>
      <c r="K3222" s="14" t="n">
        <v>0</v>
      </c>
      <c r="L3222" s="14" t="n">
        <v>0</v>
      </c>
      <c r="M3222" s="14">
        <f>IF(B3222="Frete de venda",0,(1-ISNUMBER(SEARCH("556",P3222)))*(I3222*VLOOKUP($B3222,Premissas!$A$4:$E$7,2,0)+J3222*VLOOKUP($B3222,Premissas!$A$4:$E$7,3,0))+K3222*VLOOKUP($B3222,Premissas!$A$4:$E$7,4,0)+L3222*VLOOKUP($B3222,Premissas!$A$4:$E$7,5,0))</f>
        <v/>
      </c>
      <c r="N3222" s="14">
        <f>H3222-M3222</f>
        <v/>
      </c>
      <c r="O3222" t="inlineStr">
        <is>
          <t>Não</t>
        </is>
      </c>
      <c r="P3222" t="inlineStr">
        <is>
          <t>1.350</t>
        </is>
      </c>
    </row>
    <row r="3223">
      <c r="A3223" s="24" t="n">
        <v>46143</v>
      </c>
      <c r="B3223" t="inlineStr">
        <is>
          <t>Frete de venda</t>
        </is>
      </c>
      <c r="C3223" t="inlineStr">
        <is>
          <t>Frete de venda (para clientes)</t>
        </is>
      </c>
      <c r="D3223" t="inlineStr">
        <is>
          <t>CT-e</t>
        </is>
      </c>
      <c r="E3223" t="inlineStr">
        <is>
          <t>000024666</t>
        </is>
      </c>
      <c r="F3223" t="inlineStr">
        <is>
          <t>TRANSPORTE OLIVEIRA E MELLOI - IDEALIZA TRANSPORTES</t>
        </is>
      </c>
      <c r="G3223" s="27" t="n">
        <v>46167</v>
      </c>
      <c r="H3223" s="14" t="n">
        <v>2491.8</v>
      </c>
      <c r="I3223" s="14" t="n">
        <v>0</v>
      </c>
      <c r="J3223" s="14" t="n">
        <v>299.02</v>
      </c>
      <c r="K3223" s="14" t="n">
        <v>0</v>
      </c>
      <c r="L3223" s="14" t="n">
        <v>0</v>
      </c>
      <c r="M3223" s="14">
        <f>IF(B3223="Frete de venda",0,(1-ISNUMBER(SEARCH("556",P3223)))*(I3223*VLOOKUP($B3223,Premissas!$A$4:$E$7,2,0)+J3223*VLOOKUP($B3223,Premissas!$A$4:$E$7,3,0))+K3223*VLOOKUP($B3223,Premissas!$A$4:$E$7,4,0)+L3223*VLOOKUP($B3223,Premissas!$A$4:$E$7,5,0))</f>
        <v/>
      </c>
      <c r="N3223" s="14">
        <f>H3223-M3223</f>
        <v/>
      </c>
      <c r="O3223" t="inlineStr">
        <is>
          <t>Sim</t>
        </is>
      </c>
      <c r="P3223" t="inlineStr">
        <is>
          <t>2.350</t>
        </is>
      </c>
    </row>
    <row r="3224">
      <c r="A3224" s="24" t="n">
        <v>46143</v>
      </c>
      <c r="B3224" t="inlineStr">
        <is>
          <t>Frete de venda</t>
        </is>
      </c>
      <c r="C3224" t="inlineStr">
        <is>
          <t>Frete de venda (para clientes)</t>
        </is>
      </c>
      <c r="D3224" t="inlineStr">
        <is>
          <t>CT-e</t>
        </is>
      </c>
      <c r="E3224" t="inlineStr">
        <is>
          <t>000007083</t>
        </is>
      </c>
      <c r="F3224" t="inlineStr">
        <is>
          <t>R&amp;R TRANSPORTE E LOGISTICA</t>
        </is>
      </c>
      <c r="G3224" s="27" t="n">
        <v>46157</v>
      </c>
      <c r="H3224" s="14" t="n">
        <v>30.34</v>
      </c>
      <c r="I3224" s="14" t="n">
        <v>0</v>
      </c>
      <c r="J3224" s="14" t="n">
        <v>0</v>
      </c>
      <c r="K3224" s="14" t="n">
        <v>0</v>
      </c>
      <c r="L3224" s="14" t="n">
        <v>0</v>
      </c>
      <c r="M3224" s="14">
        <f>IF(B3224="Frete de venda",0,(1-ISNUMBER(SEARCH("556",P3224)))*(I3224*VLOOKUP($B3224,Premissas!$A$4:$E$7,2,0)+J3224*VLOOKUP($B3224,Premissas!$A$4:$E$7,3,0))+K3224*VLOOKUP($B3224,Premissas!$A$4:$E$7,4,0)+L3224*VLOOKUP($B3224,Premissas!$A$4:$E$7,5,0))</f>
        <v/>
      </c>
      <c r="N3224" s="14">
        <f>H3224-M3224</f>
        <v/>
      </c>
      <c r="O3224" t="inlineStr">
        <is>
          <t>Não</t>
        </is>
      </c>
      <c r="P3224" t="inlineStr">
        <is>
          <t>1.350</t>
        </is>
      </c>
    </row>
    <row r="3225">
      <c r="A3225" s="24" t="n">
        <v>46143</v>
      </c>
      <c r="B3225" t="inlineStr">
        <is>
          <t>Frete de venda</t>
        </is>
      </c>
      <c r="C3225" t="inlineStr">
        <is>
          <t>Frete de venda (para clientes)</t>
        </is>
      </c>
      <c r="D3225" t="inlineStr">
        <is>
          <t>CT-e</t>
        </is>
      </c>
      <c r="E3225" t="inlineStr">
        <is>
          <t>000024683</t>
        </is>
      </c>
      <c r="F3225" t="inlineStr">
        <is>
          <t>TRANSPORTE OLIVEIRA E MELLOI - IDEALIZA TRANSPORTES</t>
        </is>
      </c>
      <c r="G3225" s="27" t="n">
        <v>46169</v>
      </c>
      <c r="H3225" s="14" t="n">
        <v>547.84</v>
      </c>
      <c r="I3225" s="14" t="n">
        <v>0</v>
      </c>
      <c r="J3225" s="14" t="n">
        <v>65.73999999999999</v>
      </c>
      <c r="K3225" s="14" t="n">
        <v>0</v>
      </c>
      <c r="L3225" s="14" t="n">
        <v>0</v>
      </c>
      <c r="M3225" s="14">
        <f>IF(B3225="Frete de venda",0,(1-ISNUMBER(SEARCH("556",P3225)))*(I3225*VLOOKUP($B3225,Premissas!$A$4:$E$7,2,0)+J3225*VLOOKUP($B3225,Premissas!$A$4:$E$7,3,0))+K3225*VLOOKUP($B3225,Premissas!$A$4:$E$7,4,0)+L3225*VLOOKUP($B3225,Premissas!$A$4:$E$7,5,0))</f>
        <v/>
      </c>
      <c r="N3225" s="14">
        <f>H3225-M3225</f>
        <v/>
      </c>
      <c r="O3225" t="inlineStr">
        <is>
          <t>Sim</t>
        </is>
      </c>
      <c r="P3225" t="inlineStr">
        <is>
          <t>2.350</t>
        </is>
      </c>
    </row>
    <row r="3226">
      <c r="A3226" s="24" t="n">
        <v>46143</v>
      </c>
      <c r="B3226" t="inlineStr">
        <is>
          <t>Frete de venda</t>
        </is>
      </c>
      <c r="C3226" t="inlineStr">
        <is>
          <t>Frete de venda (para clientes)</t>
        </is>
      </c>
      <c r="D3226" t="inlineStr">
        <is>
          <t>CT-e</t>
        </is>
      </c>
      <c r="E3226" t="inlineStr">
        <is>
          <t>000007053</t>
        </is>
      </c>
      <c r="F3226" t="inlineStr">
        <is>
          <t>R&amp;R TRANSPORTE E LOGISTICA</t>
        </is>
      </c>
      <c r="G3226" s="27" t="n">
        <v>46154</v>
      </c>
      <c r="H3226" s="14" t="n">
        <v>95.8</v>
      </c>
      <c r="I3226" s="14" t="n">
        <v>0</v>
      </c>
      <c r="J3226" s="14" t="n">
        <v>0</v>
      </c>
      <c r="K3226" s="14" t="n">
        <v>0</v>
      </c>
      <c r="L3226" s="14" t="n">
        <v>0</v>
      </c>
      <c r="M3226" s="14">
        <f>IF(B3226="Frete de venda",0,(1-ISNUMBER(SEARCH("556",P3226)))*(I3226*VLOOKUP($B3226,Premissas!$A$4:$E$7,2,0)+J3226*VLOOKUP($B3226,Premissas!$A$4:$E$7,3,0))+K3226*VLOOKUP($B3226,Premissas!$A$4:$E$7,4,0)+L3226*VLOOKUP($B3226,Premissas!$A$4:$E$7,5,0))</f>
        <v/>
      </c>
      <c r="N3226" s="14">
        <f>H3226-M3226</f>
        <v/>
      </c>
      <c r="O3226" t="inlineStr">
        <is>
          <t>Não</t>
        </is>
      </c>
      <c r="P3226" t="inlineStr">
        <is>
          <t>1.350</t>
        </is>
      </c>
    </row>
    <row r="3227">
      <c r="A3227" s="24" t="n">
        <v>46143</v>
      </c>
      <c r="B3227" t="inlineStr">
        <is>
          <t>Frete de venda</t>
        </is>
      </c>
      <c r="C3227" t="inlineStr">
        <is>
          <t>Frete de venda (para clientes)</t>
        </is>
      </c>
      <c r="D3227" t="inlineStr">
        <is>
          <t>CT-e</t>
        </is>
      </c>
      <c r="E3227" t="inlineStr">
        <is>
          <t>001436459</t>
        </is>
      </c>
      <c r="F3227" t="inlineStr">
        <is>
          <t>PICCOLI TRANSPORTES LTDA</t>
        </is>
      </c>
      <c r="G3227" s="27" t="n">
        <v>46160</v>
      </c>
      <c r="H3227" s="14" t="n">
        <v>466.49</v>
      </c>
      <c r="I3227" s="14" t="n">
        <v>0</v>
      </c>
      <c r="J3227" s="14" t="n">
        <v>32.65</v>
      </c>
      <c r="K3227" s="14" t="n">
        <v>0</v>
      </c>
      <c r="L3227" s="14" t="n">
        <v>0</v>
      </c>
      <c r="M3227" s="14">
        <f>IF(B3227="Frete de venda",0,(1-ISNUMBER(SEARCH("556",P3227)))*(I3227*VLOOKUP($B3227,Premissas!$A$4:$E$7,2,0)+J3227*VLOOKUP($B3227,Premissas!$A$4:$E$7,3,0))+K3227*VLOOKUP($B3227,Premissas!$A$4:$E$7,4,0)+L3227*VLOOKUP($B3227,Premissas!$A$4:$E$7,5,0))</f>
        <v/>
      </c>
      <c r="N3227" s="14">
        <f>H3227-M3227</f>
        <v/>
      </c>
      <c r="O3227" t="inlineStr">
        <is>
          <t>Sim</t>
        </is>
      </c>
      <c r="P3227" t="inlineStr">
        <is>
          <t>2.350</t>
        </is>
      </c>
    </row>
    <row r="3228">
      <c r="A3228" s="24" t="n">
        <v>46143</v>
      </c>
      <c r="B3228" t="inlineStr">
        <is>
          <t>Frete de venda</t>
        </is>
      </c>
      <c r="C3228" t="inlineStr">
        <is>
          <t>Frete de venda (para clientes)</t>
        </is>
      </c>
      <c r="D3228" t="inlineStr">
        <is>
          <t>CT-e</t>
        </is>
      </c>
      <c r="E3228" t="inlineStr">
        <is>
          <t>000007136</t>
        </is>
      </c>
      <c r="F3228" t="inlineStr">
        <is>
          <t>R&amp;R TRANSPORTE E LOGISTICA</t>
        </is>
      </c>
      <c r="G3228" s="27" t="n">
        <v>46167</v>
      </c>
      <c r="H3228" s="14" t="n">
        <v>17.34</v>
      </c>
      <c r="I3228" s="14" t="n">
        <v>0</v>
      </c>
      <c r="J3228" s="14" t="n">
        <v>0</v>
      </c>
      <c r="K3228" s="14" t="n">
        <v>0</v>
      </c>
      <c r="L3228" s="14" t="n">
        <v>0</v>
      </c>
      <c r="M3228" s="14">
        <f>IF(B3228="Frete de venda",0,(1-ISNUMBER(SEARCH("556",P3228)))*(I3228*VLOOKUP($B3228,Premissas!$A$4:$E$7,2,0)+J3228*VLOOKUP($B3228,Premissas!$A$4:$E$7,3,0))+K3228*VLOOKUP($B3228,Premissas!$A$4:$E$7,4,0)+L3228*VLOOKUP($B3228,Premissas!$A$4:$E$7,5,0))</f>
        <v/>
      </c>
      <c r="N3228" s="14">
        <f>H3228-M3228</f>
        <v/>
      </c>
      <c r="O3228" t="inlineStr">
        <is>
          <t>Não</t>
        </is>
      </c>
      <c r="P3228" t="inlineStr">
        <is>
          <t>1.350</t>
        </is>
      </c>
    </row>
    <row r="3229">
      <c r="A3229" s="24" t="n">
        <v>46143</v>
      </c>
      <c r="B3229" t="inlineStr">
        <is>
          <t>Frete de venda</t>
        </is>
      </c>
      <c r="C3229" t="inlineStr">
        <is>
          <t>Frete de venda (para clientes)</t>
        </is>
      </c>
      <c r="D3229" t="inlineStr">
        <is>
          <t>CT-e</t>
        </is>
      </c>
      <c r="E3229" t="inlineStr">
        <is>
          <t>000007143</t>
        </is>
      </c>
      <c r="F3229" t="inlineStr">
        <is>
          <t>R&amp;R TRANSPORTE E LOGISTICA</t>
        </is>
      </c>
      <c r="G3229" s="27" t="n">
        <v>46167</v>
      </c>
      <c r="H3229" s="14" t="n">
        <v>15.79</v>
      </c>
      <c r="I3229" s="14" t="n">
        <v>0</v>
      </c>
      <c r="J3229" s="14" t="n">
        <v>0</v>
      </c>
      <c r="K3229" s="14" t="n">
        <v>0</v>
      </c>
      <c r="L3229" s="14" t="n">
        <v>0</v>
      </c>
      <c r="M3229" s="14">
        <f>IF(B3229="Frete de venda",0,(1-ISNUMBER(SEARCH("556",P3229)))*(I3229*VLOOKUP($B3229,Premissas!$A$4:$E$7,2,0)+J3229*VLOOKUP($B3229,Premissas!$A$4:$E$7,3,0))+K3229*VLOOKUP($B3229,Premissas!$A$4:$E$7,4,0)+L3229*VLOOKUP($B3229,Premissas!$A$4:$E$7,5,0))</f>
        <v/>
      </c>
      <c r="N3229" s="14">
        <f>H3229-M3229</f>
        <v/>
      </c>
      <c r="O3229" t="inlineStr">
        <is>
          <t>Não</t>
        </is>
      </c>
      <c r="P3229" t="inlineStr">
        <is>
          <t>1.350</t>
        </is>
      </c>
    </row>
    <row r="3230">
      <c r="A3230" s="24" t="n">
        <v>46143</v>
      </c>
      <c r="B3230" t="inlineStr">
        <is>
          <t>Frete de venda</t>
        </is>
      </c>
      <c r="C3230" t="inlineStr">
        <is>
          <t>Frete de venda (para clientes)</t>
        </is>
      </c>
      <c r="D3230" t="inlineStr">
        <is>
          <t>CT-e</t>
        </is>
      </c>
      <c r="E3230" t="inlineStr">
        <is>
          <t>000007197</t>
        </is>
      </c>
      <c r="F3230" t="inlineStr">
        <is>
          <t>R&amp;R TRANSPORTE E LOGISTICA</t>
        </is>
      </c>
      <c r="G3230" s="27" t="n">
        <v>46170</v>
      </c>
      <c r="H3230" s="14" t="n">
        <v>78.22</v>
      </c>
      <c r="I3230" s="14" t="n">
        <v>0</v>
      </c>
      <c r="J3230" s="14" t="n">
        <v>0</v>
      </c>
      <c r="K3230" s="14" t="n">
        <v>0</v>
      </c>
      <c r="L3230" s="14" t="n">
        <v>0</v>
      </c>
      <c r="M3230" s="14">
        <f>IF(B3230="Frete de venda",0,(1-ISNUMBER(SEARCH("556",P3230)))*(I3230*VLOOKUP($B3230,Premissas!$A$4:$E$7,2,0)+J3230*VLOOKUP($B3230,Premissas!$A$4:$E$7,3,0))+K3230*VLOOKUP($B3230,Premissas!$A$4:$E$7,4,0)+L3230*VLOOKUP($B3230,Premissas!$A$4:$E$7,5,0))</f>
        <v/>
      </c>
      <c r="N3230" s="14">
        <f>H3230-M3230</f>
        <v/>
      </c>
      <c r="O3230" t="inlineStr">
        <is>
          <t>Não</t>
        </is>
      </c>
      <c r="P3230" t="inlineStr">
        <is>
          <t>1.350</t>
        </is>
      </c>
    </row>
    <row r="3231">
      <c r="A3231" s="24" t="n">
        <v>46143</v>
      </c>
      <c r="B3231" t="inlineStr">
        <is>
          <t>Frete de venda</t>
        </is>
      </c>
      <c r="C3231" t="inlineStr">
        <is>
          <t>Frete de venda (para clientes)</t>
        </is>
      </c>
      <c r="D3231" t="inlineStr">
        <is>
          <t>CT-e</t>
        </is>
      </c>
      <c r="E3231" t="inlineStr">
        <is>
          <t>000007220</t>
        </is>
      </c>
      <c r="F3231" t="inlineStr">
        <is>
          <t>R&amp;R TRANSPORTE E LOGISTICA</t>
        </is>
      </c>
      <c r="G3231" s="27" t="n">
        <v>46172</v>
      </c>
      <c r="H3231" s="14" t="n">
        <v>71.34999999999999</v>
      </c>
      <c r="I3231" s="14" t="n">
        <v>0</v>
      </c>
      <c r="J3231" s="14" t="n">
        <v>0</v>
      </c>
      <c r="K3231" s="14" t="n">
        <v>0</v>
      </c>
      <c r="L3231" s="14" t="n">
        <v>0</v>
      </c>
      <c r="M3231" s="14">
        <f>IF(B3231="Frete de venda",0,(1-ISNUMBER(SEARCH("556",P3231)))*(I3231*VLOOKUP($B3231,Premissas!$A$4:$E$7,2,0)+J3231*VLOOKUP($B3231,Premissas!$A$4:$E$7,3,0))+K3231*VLOOKUP($B3231,Premissas!$A$4:$E$7,4,0)+L3231*VLOOKUP($B3231,Premissas!$A$4:$E$7,5,0))</f>
        <v/>
      </c>
      <c r="N3231" s="14">
        <f>H3231-M3231</f>
        <v/>
      </c>
      <c r="O3231" t="inlineStr">
        <is>
          <t>Não</t>
        </is>
      </c>
      <c r="P3231" t="inlineStr">
        <is>
          <t>2.350</t>
        </is>
      </c>
    </row>
    <row r="3232">
      <c r="A3232" s="24" t="n">
        <v>46143</v>
      </c>
      <c r="B3232" t="inlineStr">
        <is>
          <t>Frete de venda</t>
        </is>
      </c>
      <c r="C3232" t="inlineStr">
        <is>
          <t>Frete de venda (para clientes)</t>
        </is>
      </c>
      <c r="D3232" t="inlineStr">
        <is>
          <t>CT-e</t>
        </is>
      </c>
      <c r="E3232" t="inlineStr">
        <is>
          <t>000007175</t>
        </is>
      </c>
      <c r="F3232" t="inlineStr">
        <is>
          <t>R&amp;R TRANSPORTE E LOGISTICA</t>
        </is>
      </c>
      <c r="G3232" s="27" t="n">
        <v>46170</v>
      </c>
      <c r="H3232" s="14" t="n">
        <v>30.61</v>
      </c>
      <c r="I3232" s="14" t="n">
        <v>0</v>
      </c>
      <c r="J3232" s="14" t="n">
        <v>0</v>
      </c>
      <c r="K3232" s="14" t="n">
        <v>0</v>
      </c>
      <c r="L3232" s="14" t="n">
        <v>0</v>
      </c>
      <c r="M3232" s="14">
        <f>IF(B3232="Frete de venda",0,(1-ISNUMBER(SEARCH("556",P3232)))*(I3232*VLOOKUP($B3232,Premissas!$A$4:$E$7,2,0)+J3232*VLOOKUP($B3232,Premissas!$A$4:$E$7,3,0))+K3232*VLOOKUP($B3232,Premissas!$A$4:$E$7,4,0)+L3232*VLOOKUP($B3232,Premissas!$A$4:$E$7,5,0))</f>
        <v/>
      </c>
      <c r="N3232" s="14">
        <f>H3232-M3232</f>
        <v/>
      </c>
      <c r="O3232" t="inlineStr">
        <is>
          <t>Não</t>
        </is>
      </c>
      <c r="P3232" t="inlineStr">
        <is>
          <t>1.350</t>
        </is>
      </c>
    </row>
    <row r="3233">
      <c r="A3233" s="24" t="n">
        <v>46143</v>
      </c>
      <c r="B3233" t="inlineStr">
        <is>
          <t>Frete de venda</t>
        </is>
      </c>
      <c r="C3233" t="inlineStr">
        <is>
          <t>Frete de venda (para clientes)</t>
        </is>
      </c>
      <c r="D3233" t="inlineStr">
        <is>
          <t>CT-e</t>
        </is>
      </c>
      <c r="E3233" t="inlineStr">
        <is>
          <t>000007178</t>
        </is>
      </c>
      <c r="F3233" t="inlineStr">
        <is>
          <t>R&amp;R TRANSPORTE E LOGISTICA</t>
        </is>
      </c>
      <c r="G3233" s="27" t="n">
        <v>46170</v>
      </c>
      <c r="H3233" s="14" t="n">
        <v>27.62</v>
      </c>
      <c r="I3233" s="14" t="n">
        <v>0</v>
      </c>
      <c r="J3233" s="14" t="n">
        <v>0</v>
      </c>
      <c r="K3233" s="14" t="n">
        <v>0</v>
      </c>
      <c r="L3233" s="14" t="n">
        <v>0</v>
      </c>
      <c r="M3233" s="14">
        <f>IF(B3233="Frete de venda",0,(1-ISNUMBER(SEARCH("556",P3233)))*(I3233*VLOOKUP($B3233,Premissas!$A$4:$E$7,2,0)+J3233*VLOOKUP($B3233,Premissas!$A$4:$E$7,3,0))+K3233*VLOOKUP($B3233,Premissas!$A$4:$E$7,4,0)+L3233*VLOOKUP($B3233,Premissas!$A$4:$E$7,5,0))</f>
        <v/>
      </c>
      <c r="N3233" s="14">
        <f>H3233-M3233</f>
        <v/>
      </c>
      <c r="O3233" t="inlineStr">
        <is>
          <t>Não</t>
        </is>
      </c>
      <c r="P3233" t="inlineStr">
        <is>
          <t>1.350</t>
        </is>
      </c>
    </row>
    <row r="3234">
      <c r="A3234" s="24" t="n">
        <v>46143</v>
      </c>
      <c r="B3234" t="inlineStr">
        <is>
          <t>Frete de venda</t>
        </is>
      </c>
      <c r="C3234" t="inlineStr">
        <is>
          <t>Frete de venda (para clientes)</t>
        </is>
      </c>
      <c r="D3234" t="inlineStr">
        <is>
          <t>CT-e</t>
        </is>
      </c>
      <c r="E3234" t="inlineStr">
        <is>
          <t>000007203</t>
        </is>
      </c>
      <c r="F3234" t="inlineStr">
        <is>
          <t>R&amp;R TRANSPORTE E LOGISTICA</t>
        </is>
      </c>
      <c r="G3234" s="27" t="n">
        <v>46170</v>
      </c>
      <c r="H3234" s="14" t="n">
        <v>18.34</v>
      </c>
      <c r="I3234" s="14" t="n">
        <v>0</v>
      </c>
      <c r="J3234" s="14" t="n">
        <v>0</v>
      </c>
      <c r="K3234" s="14" t="n">
        <v>0</v>
      </c>
      <c r="L3234" s="14" t="n">
        <v>0</v>
      </c>
      <c r="M3234" s="14">
        <f>IF(B3234="Frete de venda",0,(1-ISNUMBER(SEARCH("556",P3234)))*(I3234*VLOOKUP($B3234,Premissas!$A$4:$E$7,2,0)+J3234*VLOOKUP($B3234,Premissas!$A$4:$E$7,3,0))+K3234*VLOOKUP($B3234,Premissas!$A$4:$E$7,4,0)+L3234*VLOOKUP($B3234,Premissas!$A$4:$E$7,5,0))</f>
        <v/>
      </c>
      <c r="N3234" s="14">
        <f>H3234-M3234</f>
        <v/>
      </c>
      <c r="O3234" t="inlineStr">
        <is>
          <t>Não</t>
        </is>
      </c>
      <c r="P3234" t="inlineStr">
        <is>
          <t>1.350</t>
        </is>
      </c>
    </row>
    <row r="3235">
      <c r="A3235" s="24" t="n">
        <v>46143</v>
      </c>
      <c r="B3235" t="inlineStr">
        <is>
          <t>Frete de venda</t>
        </is>
      </c>
      <c r="C3235" t="inlineStr">
        <is>
          <t>Frete de venda (para clientes)</t>
        </is>
      </c>
      <c r="D3235" t="inlineStr">
        <is>
          <t>CT-e</t>
        </is>
      </c>
      <c r="E3235" t="inlineStr">
        <is>
          <t>000007067</t>
        </is>
      </c>
      <c r="F3235" t="inlineStr">
        <is>
          <t>R&amp;R TRANSPORTE E LOGISTICA</t>
        </is>
      </c>
      <c r="G3235" s="27" t="n">
        <v>46157</v>
      </c>
      <c r="H3235" s="14" t="n">
        <v>53.07</v>
      </c>
      <c r="I3235" s="14" t="n">
        <v>0</v>
      </c>
      <c r="J3235" s="14" t="n">
        <v>0</v>
      </c>
      <c r="K3235" s="14" t="n">
        <v>0</v>
      </c>
      <c r="L3235" s="14" t="n">
        <v>0</v>
      </c>
      <c r="M3235" s="14">
        <f>IF(B3235="Frete de venda",0,(1-ISNUMBER(SEARCH("556",P3235)))*(I3235*VLOOKUP($B3235,Premissas!$A$4:$E$7,2,0)+J3235*VLOOKUP($B3235,Premissas!$A$4:$E$7,3,0))+K3235*VLOOKUP($B3235,Premissas!$A$4:$E$7,4,0)+L3235*VLOOKUP($B3235,Premissas!$A$4:$E$7,5,0))</f>
        <v/>
      </c>
      <c r="N3235" s="14">
        <f>H3235-M3235</f>
        <v/>
      </c>
      <c r="O3235" t="inlineStr">
        <is>
          <t>Não</t>
        </is>
      </c>
      <c r="P3235" t="inlineStr">
        <is>
          <t>1.350</t>
        </is>
      </c>
    </row>
    <row r="3236">
      <c r="A3236" s="24" t="n">
        <v>46143</v>
      </c>
      <c r="B3236" t="inlineStr">
        <is>
          <t>Frete de venda</t>
        </is>
      </c>
      <c r="C3236" t="inlineStr">
        <is>
          <t>Frete de venda (para clientes)</t>
        </is>
      </c>
      <c r="D3236" t="inlineStr">
        <is>
          <t>CT-e</t>
        </is>
      </c>
      <c r="E3236" t="inlineStr">
        <is>
          <t>000003875</t>
        </is>
      </c>
      <c r="F3236" t="inlineStr">
        <is>
          <t>RAPIDO XAPURI TRANSPORTES E LOGISTICA LTDA</t>
        </is>
      </c>
      <c r="G3236" s="27" t="n">
        <v>46162</v>
      </c>
      <c r="H3236" s="14" t="n">
        <v>1923.59</v>
      </c>
      <c r="I3236" s="14" t="n">
        <v>0</v>
      </c>
      <c r="J3236" s="14" t="n">
        <v>230.83</v>
      </c>
      <c r="K3236" s="14" t="n">
        <v>0</v>
      </c>
      <c r="L3236" s="14" t="n">
        <v>0</v>
      </c>
      <c r="M3236" s="14">
        <f>IF(B3236="Frete de venda",0,(1-ISNUMBER(SEARCH("556",P3236)))*(I3236*VLOOKUP($B3236,Premissas!$A$4:$E$7,2,0)+J3236*VLOOKUP($B3236,Premissas!$A$4:$E$7,3,0))+K3236*VLOOKUP($B3236,Premissas!$A$4:$E$7,4,0)+L3236*VLOOKUP($B3236,Premissas!$A$4:$E$7,5,0))</f>
        <v/>
      </c>
      <c r="N3236" s="14">
        <f>H3236-M3236</f>
        <v/>
      </c>
      <c r="O3236" t="inlineStr">
        <is>
          <t>Sim</t>
        </is>
      </c>
      <c r="P3236" t="inlineStr">
        <is>
          <t>2.350</t>
        </is>
      </c>
    </row>
    <row r="3237">
      <c r="A3237" s="24" t="n">
        <v>46143</v>
      </c>
      <c r="B3237" t="inlineStr">
        <is>
          <t>Frete de venda</t>
        </is>
      </c>
      <c r="C3237" t="inlineStr">
        <is>
          <t>Frete de venda (para clientes)</t>
        </is>
      </c>
      <c r="D3237" t="inlineStr">
        <is>
          <t>CT-e</t>
        </is>
      </c>
      <c r="E3237" t="inlineStr">
        <is>
          <t>000007047</t>
        </is>
      </c>
      <c r="F3237" t="inlineStr">
        <is>
          <t>R&amp;R TRANSPORTE E LOGISTICA</t>
        </is>
      </c>
      <c r="G3237" s="27" t="n">
        <v>46153</v>
      </c>
      <c r="H3237" s="14" t="n">
        <v>54.41</v>
      </c>
      <c r="I3237" s="14" t="n">
        <v>0</v>
      </c>
      <c r="J3237" s="14" t="n">
        <v>0</v>
      </c>
      <c r="K3237" s="14" t="n">
        <v>0</v>
      </c>
      <c r="L3237" s="14" t="n">
        <v>0</v>
      </c>
      <c r="M3237" s="14">
        <f>IF(B3237="Frete de venda",0,(1-ISNUMBER(SEARCH("556",P3237)))*(I3237*VLOOKUP($B3237,Premissas!$A$4:$E$7,2,0)+J3237*VLOOKUP($B3237,Premissas!$A$4:$E$7,3,0))+K3237*VLOOKUP($B3237,Premissas!$A$4:$E$7,4,0)+L3237*VLOOKUP($B3237,Premissas!$A$4:$E$7,5,0))</f>
        <v/>
      </c>
      <c r="N3237" s="14">
        <f>H3237-M3237</f>
        <v/>
      </c>
      <c r="O3237" t="inlineStr">
        <is>
          <t>Não</t>
        </is>
      </c>
      <c r="P3237" t="inlineStr">
        <is>
          <t>1.350</t>
        </is>
      </c>
    </row>
    <row r="3238">
      <c r="A3238" s="24" t="n">
        <v>46143</v>
      </c>
      <c r="B3238" t="inlineStr">
        <is>
          <t>Frete de venda</t>
        </is>
      </c>
      <c r="C3238" t="inlineStr">
        <is>
          <t>Frete de venda (para clientes)</t>
        </is>
      </c>
      <c r="D3238" t="inlineStr">
        <is>
          <t>CT-e</t>
        </is>
      </c>
      <c r="E3238" t="inlineStr">
        <is>
          <t>000007182</t>
        </is>
      </c>
      <c r="F3238" t="inlineStr">
        <is>
          <t>R&amp;R TRANSPORTE E LOGISTICA</t>
        </is>
      </c>
      <c r="G3238" s="27" t="n">
        <v>46170</v>
      </c>
      <c r="H3238" s="14" t="n">
        <v>20.64</v>
      </c>
      <c r="I3238" s="14" t="n">
        <v>0</v>
      </c>
      <c r="J3238" s="14" t="n">
        <v>0</v>
      </c>
      <c r="K3238" s="14" t="n">
        <v>0</v>
      </c>
      <c r="L3238" s="14" t="n">
        <v>0</v>
      </c>
      <c r="M3238" s="14">
        <f>IF(B3238="Frete de venda",0,(1-ISNUMBER(SEARCH("556",P3238)))*(I3238*VLOOKUP($B3238,Premissas!$A$4:$E$7,2,0)+J3238*VLOOKUP($B3238,Premissas!$A$4:$E$7,3,0))+K3238*VLOOKUP($B3238,Premissas!$A$4:$E$7,4,0)+L3238*VLOOKUP($B3238,Premissas!$A$4:$E$7,5,0))</f>
        <v/>
      </c>
      <c r="N3238" s="14">
        <f>H3238-M3238</f>
        <v/>
      </c>
      <c r="O3238" t="inlineStr">
        <is>
          <t>Não</t>
        </is>
      </c>
      <c r="P3238" t="inlineStr">
        <is>
          <t>1.350</t>
        </is>
      </c>
    </row>
    <row r="3239">
      <c r="A3239" s="24" t="n">
        <v>46143</v>
      </c>
      <c r="B3239" t="inlineStr">
        <is>
          <t>Frete de venda</t>
        </is>
      </c>
      <c r="C3239" t="inlineStr">
        <is>
          <t>Frete de venda (para clientes)</t>
        </is>
      </c>
      <c r="D3239" t="inlineStr">
        <is>
          <t>CT-e</t>
        </is>
      </c>
      <c r="E3239" t="inlineStr">
        <is>
          <t>000007207</t>
        </is>
      </c>
      <c r="F3239" t="inlineStr">
        <is>
          <t>R&amp;R TRANSPORTE E LOGISTICA</t>
        </is>
      </c>
      <c r="G3239" s="27" t="n">
        <v>46170</v>
      </c>
      <c r="H3239" s="14" t="n">
        <v>12.93</v>
      </c>
      <c r="I3239" s="14" t="n">
        <v>0</v>
      </c>
      <c r="J3239" s="14" t="n">
        <v>0</v>
      </c>
      <c r="K3239" s="14" t="n">
        <v>0</v>
      </c>
      <c r="L3239" s="14" t="n">
        <v>0</v>
      </c>
      <c r="M3239" s="14">
        <f>IF(B3239="Frete de venda",0,(1-ISNUMBER(SEARCH("556",P3239)))*(I3239*VLOOKUP($B3239,Premissas!$A$4:$E$7,2,0)+J3239*VLOOKUP($B3239,Premissas!$A$4:$E$7,3,0))+K3239*VLOOKUP($B3239,Premissas!$A$4:$E$7,4,0)+L3239*VLOOKUP($B3239,Premissas!$A$4:$E$7,5,0))</f>
        <v/>
      </c>
      <c r="N3239" s="14">
        <f>H3239-M3239</f>
        <v/>
      </c>
      <c r="O3239" t="inlineStr">
        <is>
          <t>Não</t>
        </is>
      </c>
      <c r="P3239" t="inlineStr">
        <is>
          <t>1.350</t>
        </is>
      </c>
    </row>
    <row r="3240">
      <c r="A3240" s="24" t="n">
        <v>46143</v>
      </c>
      <c r="B3240" t="inlineStr">
        <is>
          <t>Frete de venda</t>
        </is>
      </c>
      <c r="C3240" t="inlineStr">
        <is>
          <t>Frete de venda (para clientes)</t>
        </is>
      </c>
      <c r="D3240" t="inlineStr">
        <is>
          <t>CT-e</t>
        </is>
      </c>
      <c r="E3240" t="inlineStr">
        <is>
          <t>000007144</t>
        </is>
      </c>
      <c r="F3240" t="inlineStr">
        <is>
          <t>R&amp;R TRANSPORTE E LOGISTICA</t>
        </is>
      </c>
      <c r="G3240" s="27" t="n">
        <v>46167</v>
      </c>
      <c r="H3240" s="14" t="n">
        <v>25.55</v>
      </c>
      <c r="I3240" s="14" t="n">
        <v>0</v>
      </c>
      <c r="J3240" s="14" t="n">
        <v>0</v>
      </c>
      <c r="K3240" s="14" t="n">
        <v>0</v>
      </c>
      <c r="L3240" s="14" t="n">
        <v>0</v>
      </c>
      <c r="M3240" s="14">
        <f>IF(B3240="Frete de venda",0,(1-ISNUMBER(SEARCH("556",P3240)))*(I3240*VLOOKUP($B3240,Premissas!$A$4:$E$7,2,0)+J3240*VLOOKUP($B3240,Premissas!$A$4:$E$7,3,0))+K3240*VLOOKUP($B3240,Premissas!$A$4:$E$7,4,0)+L3240*VLOOKUP($B3240,Premissas!$A$4:$E$7,5,0))</f>
        <v/>
      </c>
      <c r="N3240" s="14">
        <f>H3240-M3240</f>
        <v/>
      </c>
      <c r="O3240" t="inlineStr">
        <is>
          <t>Não</t>
        </is>
      </c>
      <c r="P3240" t="inlineStr">
        <is>
          <t>1.350</t>
        </is>
      </c>
    </row>
    <row r="3241">
      <c r="A3241" s="24" t="n">
        <v>46143</v>
      </c>
      <c r="B3241" t="inlineStr">
        <is>
          <t>Frete de venda</t>
        </is>
      </c>
      <c r="C3241" t="inlineStr">
        <is>
          <t>Frete de venda (para clientes)</t>
        </is>
      </c>
      <c r="D3241" t="inlineStr">
        <is>
          <t>CT-e</t>
        </is>
      </c>
      <c r="E3241" t="inlineStr">
        <is>
          <t>000006980</t>
        </is>
      </c>
      <c r="F3241" t="inlineStr">
        <is>
          <t>R&amp;R TRANSPORTE E LOGISTICA</t>
        </is>
      </c>
      <c r="G3241" s="27" t="n">
        <v>46147</v>
      </c>
      <c r="H3241" s="14" t="n">
        <v>20.82</v>
      </c>
      <c r="I3241" s="14" t="n">
        <v>0</v>
      </c>
      <c r="J3241" s="14" t="n">
        <v>0</v>
      </c>
      <c r="K3241" s="14" t="n">
        <v>0</v>
      </c>
      <c r="L3241" s="14" t="n">
        <v>0</v>
      </c>
      <c r="M3241" s="14">
        <f>IF(B3241="Frete de venda",0,(1-ISNUMBER(SEARCH("556",P3241)))*(I3241*VLOOKUP($B3241,Premissas!$A$4:$E$7,2,0)+J3241*VLOOKUP($B3241,Premissas!$A$4:$E$7,3,0))+K3241*VLOOKUP($B3241,Premissas!$A$4:$E$7,4,0)+L3241*VLOOKUP($B3241,Premissas!$A$4:$E$7,5,0))</f>
        <v/>
      </c>
      <c r="N3241" s="14">
        <f>H3241-M3241</f>
        <v/>
      </c>
      <c r="O3241" t="inlineStr">
        <is>
          <t>Não</t>
        </is>
      </c>
      <c r="P3241" t="inlineStr">
        <is>
          <t>1.350</t>
        </is>
      </c>
    </row>
    <row r="3242">
      <c r="A3242" s="24" t="n">
        <v>46143</v>
      </c>
      <c r="B3242" t="inlineStr">
        <is>
          <t>Frete de venda</t>
        </is>
      </c>
      <c r="C3242" t="inlineStr">
        <is>
          <t>Frete de venda (para clientes)</t>
        </is>
      </c>
      <c r="D3242" t="inlineStr">
        <is>
          <t>CT-e</t>
        </is>
      </c>
      <c r="E3242" t="inlineStr">
        <is>
          <t>000007011</t>
        </is>
      </c>
      <c r="F3242" t="inlineStr">
        <is>
          <t>R&amp;R TRANSPORTE E LOGISTICA</t>
        </is>
      </c>
      <c r="G3242" s="27" t="n">
        <v>46150</v>
      </c>
      <c r="H3242" s="14" t="n">
        <v>41.45</v>
      </c>
      <c r="I3242" s="14" t="n">
        <v>0</v>
      </c>
      <c r="J3242" s="14" t="n">
        <v>0</v>
      </c>
      <c r="K3242" s="14" t="n">
        <v>0</v>
      </c>
      <c r="L3242" s="14" t="n">
        <v>0</v>
      </c>
      <c r="M3242" s="14">
        <f>IF(B3242="Frete de venda",0,(1-ISNUMBER(SEARCH("556",P3242)))*(I3242*VLOOKUP($B3242,Premissas!$A$4:$E$7,2,0)+J3242*VLOOKUP($B3242,Premissas!$A$4:$E$7,3,0))+K3242*VLOOKUP($B3242,Premissas!$A$4:$E$7,4,0)+L3242*VLOOKUP($B3242,Premissas!$A$4:$E$7,5,0))</f>
        <v/>
      </c>
      <c r="N3242" s="14">
        <f>H3242-M3242</f>
        <v/>
      </c>
      <c r="O3242" t="inlineStr">
        <is>
          <t>Não</t>
        </is>
      </c>
      <c r="P3242" t="inlineStr">
        <is>
          <t>1.350</t>
        </is>
      </c>
    </row>
    <row r="3243">
      <c r="A3243" s="24" t="n">
        <v>46143</v>
      </c>
      <c r="B3243" t="inlineStr">
        <is>
          <t>Frete de venda</t>
        </is>
      </c>
      <c r="C3243" t="inlineStr">
        <is>
          <t>Frete de venda (para clientes)</t>
        </is>
      </c>
      <c r="D3243" t="inlineStr">
        <is>
          <t>CT-e</t>
        </is>
      </c>
      <c r="E3243" t="inlineStr">
        <is>
          <t>000006994</t>
        </is>
      </c>
      <c r="F3243" t="inlineStr">
        <is>
          <t>R&amp;R TRANSPORTE E LOGISTICA</t>
        </is>
      </c>
      <c r="G3243" s="27" t="n">
        <v>46149</v>
      </c>
      <c r="H3243" s="14" t="n">
        <v>37.93</v>
      </c>
      <c r="I3243" s="14" t="n">
        <v>0</v>
      </c>
      <c r="J3243" s="14" t="n">
        <v>0</v>
      </c>
      <c r="K3243" s="14" t="n">
        <v>0</v>
      </c>
      <c r="L3243" s="14" t="n">
        <v>0</v>
      </c>
      <c r="M3243" s="14">
        <f>IF(B3243="Frete de venda",0,(1-ISNUMBER(SEARCH("556",P3243)))*(I3243*VLOOKUP($B3243,Premissas!$A$4:$E$7,2,0)+J3243*VLOOKUP($B3243,Premissas!$A$4:$E$7,3,0))+K3243*VLOOKUP($B3243,Premissas!$A$4:$E$7,4,0)+L3243*VLOOKUP($B3243,Premissas!$A$4:$E$7,5,0))</f>
        <v/>
      </c>
      <c r="N3243" s="14">
        <f>H3243-M3243</f>
        <v/>
      </c>
      <c r="O3243" t="inlineStr">
        <is>
          <t>Não</t>
        </is>
      </c>
      <c r="P3243" t="inlineStr">
        <is>
          <t>1.350</t>
        </is>
      </c>
    </row>
    <row r="3244">
      <c r="A3244" s="24" t="n">
        <v>46143</v>
      </c>
      <c r="B3244" t="inlineStr">
        <is>
          <t>Frete de venda</t>
        </is>
      </c>
      <c r="C3244" t="inlineStr">
        <is>
          <t>Frete de venda (para clientes)</t>
        </is>
      </c>
      <c r="D3244" t="inlineStr">
        <is>
          <t>CT-e</t>
        </is>
      </c>
      <c r="E3244" t="inlineStr">
        <is>
          <t>000007030</t>
        </is>
      </c>
      <c r="F3244" t="inlineStr">
        <is>
          <t>R&amp;R TRANSPORTE E LOGISTICA</t>
        </is>
      </c>
      <c r="G3244" s="27" t="n">
        <v>46151</v>
      </c>
      <c r="H3244" s="14" t="n">
        <v>14.67</v>
      </c>
      <c r="I3244" s="14" t="n">
        <v>0</v>
      </c>
      <c r="J3244" s="14" t="n">
        <v>0</v>
      </c>
      <c r="K3244" s="14" t="n">
        <v>0</v>
      </c>
      <c r="L3244" s="14" t="n">
        <v>0</v>
      </c>
      <c r="M3244" s="14">
        <f>IF(B3244="Frete de venda",0,(1-ISNUMBER(SEARCH("556",P3244)))*(I3244*VLOOKUP($B3244,Premissas!$A$4:$E$7,2,0)+J3244*VLOOKUP($B3244,Premissas!$A$4:$E$7,3,0))+K3244*VLOOKUP($B3244,Premissas!$A$4:$E$7,4,0)+L3244*VLOOKUP($B3244,Premissas!$A$4:$E$7,5,0))</f>
        <v/>
      </c>
      <c r="N3244" s="14">
        <f>H3244-M3244</f>
        <v/>
      </c>
      <c r="O3244" t="inlineStr">
        <is>
          <t>Não</t>
        </is>
      </c>
      <c r="P3244" t="inlineStr">
        <is>
          <t>1.350</t>
        </is>
      </c>
    </row>
    <row r="3245">
      <c r="A3245" s="24" t="n">
        <v>46143</v>
      </c>
      <c r="B3245" t="inlineStr">
        <is>
          <t>Frete de venda</t>
        </is>
      </c>
      <c r="C3245" t="inlineStr">
        <is>
          <t>Frete de venda (para clientes)</t>
        </is>
      </c>
      <c r="D3245" t="inlineStr">
        <is>
          <t>CT-e</t>
        </is>
      </c>
      <c r="E3245" t="inlineStr">
        <is>
          <t>000007124</t>
        </is>
      </c>
      <c r="F3245" t="inlineStr">
        <is>
          <t>R&amp;R TRANSPORTE E LOGISTICA</t>
        </is>
      </c>
      <c r="G3245" s="27" t="n">
        <v>46164</v>
      </c>
      <c r="H3245" s="14" t="n">
        <v>31.41</v>
      </c>
      <c r="I3245" s="14" t="n">
        <v>0</v>
      </c>
      <c r="J3245" s="14" t="n">
        <v>0</v>
      </c>
      <c r="K3245" s="14" t="n">
        <v>0</v>
      </c>
      <c r="L3245" s="14" t="n">
        <v>0</v>
      </c>
      <c r="M3245" s="14">
        <f>IF(B3245="Frete de venda",0,(1-ISNUMBER(SEARCH("556",P3245)))*(I3245*VLOOKUP($B3245,Premissas!$A$4:$E$7,2,0)+J3245*VLOOKUP($B3245,Premissas!$A$4:$E$7,3,0))+K3245*VLOOKUP($B3245,Premissas!$A$4:$E$7,4,0)+L3245*VLOOKUP($B3245,Premissas!$A$4:$E$7,5,0))</f>
        <v/>
      </c>
      <c r="N3245" s="14">
        <f>H3245-M3245</f>
        <v/>
      </c>
      <c r="O3245" t="inlineStr">
        <is>
          <t>Não</t>
        </is>
      </c>
      <c r="P3245" t="inlineStr">
        <is>
          <t>1.350</t>
        </is>
      </c>
    </row>
    <row r="3246">
      <c r="A3246" s="24" t="n">
        <v>46143</v>
      </c>
      <c r="B3246" t="inlineStr">
        <is>
          <t>Frete de venda</t>
        </is>
      </c>
      <c r="C3246" t="inlineStr">
        <is>
          <t>Frete de venda (para clientes)</t>
        </is>
      </c>
      <c r="D3246" t="inlineStr">
        <is>
          <t>CT-e</t>
        </is>
      </c>
      <c r="E3246" t="inlineStr">
        <is>
          <t>000007008</t>
        </is>
      </c>
      <c r="F3246" t="inlineStr">
        <is>
          <t>R&amp;R TRANSPORTE E LOGISTICA</t>
        </is>
      </c>
      <c r="G3246" s="27" t="n">
        <v>46150</v>
      </c>
      <c r="H3246" s="14" t="n">
        <v>42.18</v>
      </c>
      <c r="I3246" s="14" t="n">
        <v>0</v>
      </c>
      <c r="J3246" s="14" t="n">
        <v>0</v>
      </c>
      <c r="K3246" s="14" t="n">
        <v>0</v>
      </c>
      <c r="L3246" s="14" t="n">
        <v>0</v>
      </c>
      <c r="M3246" s="14">
        <f>IF(B3246="Frete de venda",0,(1-ISNUMBER(SEARCH("556",P3246)))*(I3246*VLOOKUP($B3246,Premissas!$A$4:$E$7,2,0)+J3246*VLOOKUP($B3246,Premissas!$A$4:$E$7,3,0))+K3246*VLOOKUP($B3246,Premissas!$A$4:$E$7,4,0)+L3246*VLOOKUP($B3246,Premissas!$A$4:$E$7,5,0))</f>
        <v/>
      </c>
      <c r="N3246" s="14">
        <f>H3246-M3246</f>
        <v/>
      </c>
      <c r="O3246" t="inlineStr">
        <is>
          <t>Não</t>
        </is>
      </c>
      <c r="P3246" t="inlineStr">
        <is>
          <t>1.350</t>
        </is>
      </c>
    </row>
    <row r="3247">
      <c r="A3247" s="24" t="n">
        <v>46143</v>
      </c>
      <c r="B3247" t="inlineStr">
        <is>
          <t>Frete de venda</t>
        </is>
      </c>
      <c r="C3247" t="inlineStr">
        <is>
          <t>Frete de venda (para clientes)</t>
        </is>
      </c>
      <c r="D3247" t="inlineStr">
        <is>
          <t>CT-e</t>
        </is>
      </c>
      <c r="E3247" t="inlineStr">
        <is>
          <t>000007089</t>
        </is>
      </c>
      <c r="F3247" t="inlineStr">
        <is>
          <t>R&amp;R TRANSPORTE E LOGISTICA</t>
        </is>
      </c>
      <c r="G3247" s="27" t="n">
        <v>46157</v>
      </c>
      <c r="H3247" s="14" t="n">
        <v>47.95</v>
      </c>
      <c r="I3247" s="14" t="n">
        <v>0</v>
      </c>
      <c r="J3247" s="14" t="n">
        <v>0</v>
      </c>
      <c r="K3247" s="14" t="n">
        <v>0</v>
      </c>
      <c r="L3247" s="14" t="n">
        <v>0</v>
      </c>
      <c r="M3247" s="14">
        <f>IF(B3247="Frete de venda",0,(1-ISNUMBER(SEARCH("556",P3247)))*(I3247*VLOOKUP($B3247,Premissas!$A$4:$E$7,2,0)+J3247*VLOOKUP($B3247,Premissas!$A$4:$E$7,3,0))+K3247*VLOOKUP($B3247,Premissas!$A$4:$E$7,4,0)+L3247*VLOOKUP($B3247,Premissas!$A$4:$E$7,5,0))</f>
        <v/>
      </c>
      <c r="N3247" s="14">
        <f>H3247-M3247</f>
        <v/>
      </c>
      <c r="O3247" t="inlineStr">
        <is>
          <t>Não</t>
        </is>
      </c>
      <c r="P3247" t="inlineStr">
        <is>
          <t>1.350</t>
        </is>
      </c>
    </row>
    <row r="3248">
      <c r="A3248" s="24" t="n">
        <v>46143</v>
      </c>
      <c r="B3248" t="inlineStr">
        <is>
          <t>Frete de venda</t>
        </is>
      </c>
      <c r="C3248" t="inlineStr">
        <is>
          <t>Frete de venda (para clientes)</t>
        </is>
      </c>
      <c r="D3248" t="inlineStr">
        <is>
          <t>CT-e</t>
        </is>
      </c>
      <c r="E3248" t="inlineStr">
        <is>
          <t>000024669</t>
        </is>
      </c>
      <c r="F3248" t="inlineStr">
        <is>
          <t>TRANSPORTE OLIVEIRA E MELLOI - IDEALIZA TRANSPORTES</t>
        </is>
      </c>
      <c r="G3248" s="27" t="n">
        <v>46167</v>
      </c>
      <c r="H3248" s="14" t="n">
        <v>1455.01</v>
      </c>
      <c r="I3248" s="14" t="n">
        <v>0</v>
      </c>
      <c r="J3248" s="14" t="n">
        <v>174.6</v>
      </c>
      <c r="K3248" s="14" t="n">
        <v>0</v>
      </c>
      <c r="L3248" s="14" t="n">
        <v>0</v>
      </c>
      <c r="M3248" s="14">
        <f>IF(B3248="Frete de venda",0,(1-ISNUMBER(SEARCH("556",P3248)))*(I3248*VLOOKUP($B3248,Premissas!$A$4:$E$7,2,0)+J3248*VLOOKUP($B3248,Premissas!$A$4:$E$7,3,0))+K3248*VLOOKUP($B3248,Premissas!$A$4:$E$7,4,0)+L3248*VLOOKUP($B3248,Premissas!$A$4:$E$7,5,0))</f>
        <v/>
      </c>
      <c r="N3248" s="14">
        <f>H3248-M3248</f>
        <v/>
      </c>
      <c r="O3248" t="inlineStr">
        <is>
          <t>Sim</t>
        </is>
      </c>
      <c r="P3248" t="inlineStr">
        <is>
          <t>2.350</t>
        </is>
      </c>
    </row>
    <row r="3249">
      <c r="A3249" s="24" t="n">
        <v>46143</v>
      </c>
      <c r="B3249" t="inlineStr">
        <is>
          <t>Frete de venda</t>
        </is>
      </c>
      <c r="C3249" t="inlineStr">
        <is>
          <t>Frete de venda (para clientes)</t>
        </is>
      </c>
      <c r="D3249" t="inlineStr">
        <is>
          <t>CT-e</t>
        </is>
      </c>
      <c r="E3249" t="inlineStr">
        <is>
          <t>000007108</t>
        </is>
      </c>
      <c r="F3249" t="inlineStr">
        <is>
          <t>R&amp;R TRANSPORTE E LOGISTICA</t>
        </is>
      </c>
      <c r="G3249" s="27" t="n">
        <v>46163</v>
      </c>
      <c r="H3249" s="14" t="n">
        <v>23.9</v>
      </c>
      <c r="I3249" s="14" t="n">
        <v>0</v>
      </c>
      <c r="J3249" s="14" t="n">
        <v>0</v>
      </c>
      <c r="K3249" s="14" t="n">
        <v>0</v>
      </c>
      <c r="L3249" s="14" t="n">
        <v>0</v>
      </c>
      <c r="M3249" s="14">
        <f>IF(B3249="Frete de venda",0,(1-ISNUMBER(SEARCH("556",P3249)))*(I3249*VLOOKUP($B3249,Premissas!$A$4:$E$7,2,0)+J3249*VLOOKUP($B3249,Premissas!$A$4:$E$7,3,0))+K3249*VLOOKUP($B3249,Premissas!$A$4:$E$7,4,0)+L3249*VLOOKUP($B3249,Premissas!$A$4:$E$7,5,0))</f>
        <v/>
      </c>
      <c r="N3249" s="14">
        <f>H3249-M3249</f>
        <v/>
      </c>
      <c r="O3249" t="inlineStr">
        <is>
          <t>Não</t>
        </is>
      </c>
      <c r="P3249" t="inlineStr">
        <is>
          <t>1.350</t>
        </is>
      </c>
    </row>
    <row r="3250">
      <c r="A3250" s="24" t="n">
        <v>46143</v>
      </c>
      <c r="B3250" t="inlineStr">
        <is>
          <t>Frete de venda</t>
        </is>
      </c>
      <c r="C3250" t="inlineStr">
        <is>
          <t>Frete de venda (para clientes)</t>
        </is>
      </c>
      <c r="D3250" t="inlineStr">
        <is>
          <t>CT-e</t>
        </is>
      </c>
      <c r="E3250" t="inlineStr">
        <is>
          <t>000007029</t>
        </is>
      </c>
      <c r="F3250" t="inlineStr">
        <is>
          <t>R&amp;R TRANSPORTE E LOGISTICA</t>
        </is>
      </c>
      <c r="G3250" s="27" t="n">
        <v>46151</v>
      </c>
      <c r="H3250" s="14" t="n">
        <v>26.19</v>
      </c>
      <c r="I3250" s="14" t="n">
        <v>0</v>
      </c>
      <c r="J3250" s="14" t="n">
        <v>0</v>
      </c>
      <c r="K3250" s="14" t="n">
        <v>0</v>
      </c>
      <c r="L3250" s="14" t="n">
        <v>0</v>
      </c>
      <c r="M3250" s="14">
        <f>IF(B3250="Frete de venda",0,(1-ISNUMBER(SEARCH("556",P3250)))*(I3250*VLOOKUP($B3250,Premissas!$A$4:$E$7,2,0)+J3250*VLOOKUP($B3250,Premissas!$A$4:$E$7,3,0))+K3250*VLOOKUP($B3250,Premissas!$A$4:$E$7,4,0)+L3250*VLOOKUP($B3250,Premissas!$A$4:$E$7,5,0))</f>
        <v/>
      </c>
      <c r="N3250" s="14">
        <f>H3250-M3250</f>
        <v/>
      </c>
      <c r="O3250" t="inlineStr">
        <is>
          <t>Não</t>
        </is>
      </c>
      <c r="P3250" t="inlineStr">
        <is>
          <t>1.350</t>
        </is>
      </c>
    </row>
    <row r="3251">
      <c r="A3251" s="24" t="n">
        <v>46143</v>
      </c>
      <c r="B3251" t="inlineStr">
        <is>
          <t>Frete de venda</t>
        </is>
      </c>
      <c r="C3251" t="inlineStr">
        <is>
          <t>Frete de venda (para clientes)</t>
        </is>
      </c>
      <c r="D3251" t="inlineStr">
        <is>
          <t>CT-e</t>
        </is>
      </c>
      <c r="E3251" t="inlineStr">
        <is>
          <t>000007020</t>
        </is>
      </c>
      <c r="F3251" t="inlineStr">
        <is>
          <t>R&amp;R TRANSPORTE E LOGISTICA</t>
        </is>
      </c>
      <c r="G3251" s="27" t="n">
        <v>46151</v>
      </c>
      <c r="H3251" s="14" t="n">
        <v>18.04</v>
      </c>
      <c r="I3251" s="14" t="n">
        <v>0</v>
      </c>
      <c r="J3251" s="14" t="n">
        <v>0</v>
      </c>
      <c r="K3251" s="14" t="n">
        <v>0</v>
      </c>
      <c r="L3251" s="14" t="n">
        <v>0</v>
      </c>
      <c r="M3251" s="14">
        <f>IF(B3251="Frete de venda",0,(1-ISNUMBER(SEARCH("556",P3251)))*(I3251*VLOOKUP($B3251,Premissas!$A$4:$E$7,2,0)+J3251*VLOOKUP($B3251,Premissas!$A$4:$E$7,3,0))+K3251*VLOOKUP($B3251,Premissas!$A$4:$E$7,4,0)+L3251*VLOOKUP($B3251,Premissas!$A$4:$E$7,5,0))</f>
        <v/>
      </c>
      <c r="N3251" s="14">
        <f>H3251-M3251</f>
        <v/>
      </c>
      <c r="O3251" t="inlineStr">
        <is>
          <t>Não</t>
        </is>
      </c>
      <c r="P3251" t="inlineStr">
        <is>
          <t>1.350</t>
        </is>
      </c>
    </row>
    <row r="3252">
      <c r="A3252" s="24" t="n">
        <v>46143</v>
      </c>
      <c r="B3252" t="inlineStr">
        <is>
          <t>Frete de venda</t>
        </is>
      </c>
      <c r="C3252" t="inlineStr">
        <is>
          <t>Frete de venda (para clientes)</t>
        </is>
      </c>
      <c r="D3252" t="inlineStr">
        <is>
          <t>CT-e</t>
        </is>
      </c>
      <c r="E3252" t="inlineStr">
        <is>
          <t>000007188</t>
        </is>
      </c>
      <c r="F3252" t="inlineStr">
        <is>
          <t>R&amp;R TRANSPORTE E LOGISTICA</t>
        </is>
      </c>
      <c r="G3252" s="27" t="n">
        <v>46170</v>
      </c>
      <c r="H3252" s="14" t="n">
        <v>15.72</v>
      </c>
      <c r="I3252" s="14" t="n">
        <v>0</v>
      </c>
      <c r="J3252" s="14" t="n">
        <v>0</v>
      </c>
      <c r="K3252" s="14" t="n">
        <v>0</v>
      </c>
      <c r="L3252" s="14" t="n">
        <v>0</v>
      </c>
      <c r="M3252" s="14">
        <f>IF(B3252="Frete de venda",0,(1-ISNUMBER(SEARCH("556",P3252)))*(I3252*VLOOKUP($B3252,Premissas!$A$4:$E$7,2,0)+J3252*VLOOKUP($B3252,Premissas!$A$4:$E$7,3,0))+K3252*VLOOKUP($B3252,Premissas!$A$4:$E$7,4,0)+L3252*VLOOKUP($B3252,Premissas!$A$4:$E$7,5,0))</f>
        <v/>
      </c>
      <c r="N3252" s="14">
        <f>H3252-M3252</f>
        <v/>
      </c>
      <c r="O3252" t="inlineStr">
        <is>
          <t>Não</t>
        </is>
      </c>
      <c r="P3252" t="inlineStr">
        <is>
          <t>1.350</t>
        </is>
      </c>
    </row>
    <row r="3253">
      <c r="A3253" s="24" t="n">
        <v>46143</v>
      </c>
      <c r="B3253" t="inlineStr">
        <is>
          <t>Frete de venda</t>
        </is>
      </c>
      <c r="C3253" t="inlineStr">
        <is>
          <t>Frete de venda (para clientes)</t>
        </is>
      </c>
      <c r="D3253" t="inlineStr">
        <is>
          <t>CT-e</t>
        </is>
      </c>
      <c r="E3253" t="inlineStr">
        <is>
          <t>000007133</t>
        </is>
      </c>
      <c r="F3253" t="inlineStr">
        <is>
          <t>R&amp;R TRANSPORTE E LOGISTICA</t>
        </is>
      </c>
      <c r="G3253" s="27" t="n">
        <v>46165</v>
      </c>
      <c r="H3253" s="14" t="n">
        <v>138.53</v>
      </c>
      <c r="I3253" s="14" t="n">
        <v>0</v>
      </c>
      <c r="J3253" s="14" t="n">
        <v>0</v>
      </c>
      <c r="K3253" s="14" t="n">
        <v>0</v>
      </c>
      <c r="L3253" s="14" t="n">
        <v>0</v>
      </c>
      <c r="M3253" s="14">
        <f>IF(B3253="Frete de venda",0,(1-ISNUMBER(SEARCH("556",P3253)))*(I3253*VLOOKUP($B3253,Premissas!$A$4:$E$7,2,0)+J3253*VLOOKUP($B3253,Premissas!$A$4:$E$7,3,0))+K3253*VLOOKUP($B3253,Premissas!$A$4:$E$7,4,0)+L3253*VLOOKUP($B3253,Premissas!$A$4:$E$7,5,0))</f>
        <v/>
      </c>
      <c r="N3253" s="14">
        <f>H3253-M3253</f>
        <v/>
      </c>
      <c r="O3253" t="inlineStr">
        <is>
          <t>Não</t>
        </is>
      </c>
      <c r="P3253" t="inlineStr">
        <is>
          <t>1.350</t>
        </is>
      </c>
    </row>
    <row r="3254">
      <c r="A3254" s="24" t="n">
        <v>46143</v>
      </c>
      <c r="B3254" t="inlineStr">
        <is>
          <t>Frete de venda</t>
        </is>
      </c>
      <c r="C3254" t="inlineStr">
        <is>
          <t>Frete de venda (para clientes)</t>
        </is>
      </c>
      <c r="D3254" t="inlineStr">
        <is>
          <t>CT-e</t>
        </is>
      </c>
      <c r="E3254" t="inlineStr">
        <is>
          <t>000007151</t>
        </is>
      </c>
      <c r="F3254" t="inlineStr">
        <is>
          <t>R&amp;R TRANSPORTE E LOGISTICA</t>
        </is>
      </c>
      <c r="G3254" s="27" t="n">
        <v>46167</v>
      </c>
      <c r="H3254" s="14" t="n">
        <v>13.03</v>
      </c>
      <c r="I3254" s="14" t="n">
        <v>0</v>
      </c>
      <c r="J3254" s="14" t="n">
        <v>0</v>
      </c>
      <c r="K3254" s="14" t="n">
        <v>0</v>
      </c>
      <c r="L3254" s="14" t="n">
        <v>0</v>
      </c>
      <c r="M3254" s="14">
        <f>IF(B3254="Frete de venda",0,(1-ISNUMBER(SEARCH("556",P3254)))*(I3254*VLOOKUP($B3254,Premissas!$A$4:$E$7,2,0)+J3254*VLOOKUP($B3254,Premissas!$A$4:$E$7,3,0))+K3254*VLOOKUP($B3254,Premissas!$A$4:$E$7,4,0)+L3254*VLOOKUP($B3254,Premissas!$A$4:$E$7,5,0))</f>
        <v/>
      </c>
      <c r="N3254" s="14">
        <f>H3254-M3254</f>
        <v/>
      </c>
      <c r="O3254" t="inlineStr">
        <is>
          <t>Não</t>
        </is>
      </c>
      <c r="P3254" t="inlineStr">
        <is>
          <t>1.350</t>
        </is>
      </c>
    </row>
    <row r="3255">
      <c r="A3255" s="24" t="n">
        <v>46143</v>
      </c>
      <c r="B3255" t="inlineStr">
        <is>
          <t>Frete de venda</t>
        </is>
      </c>
      <c r="C3255" t="inlineStr">
        <is>
          <t>Frete de venda (para clientes)</t>
        </is>
      </c>
      <c r="D3255" t="inlineStr">
        <is>
          <t>CT-e</t>
        </is>
      </c>
      <c r="E3255" t="inlineStr">
        <is>
          <t>000007001</t>
        </is>
      </c>
      <c r="F3255" t="inlineStr">
        <is>
          <t>R&amp;R TRANSPORTE E LOGISTICA</t>
        </is>
      </c>
      <c r="G3255" s="27" t="n">
        <v>46149</v>
      </c>
      <c r="H3255" s="14" t="n">
        <v>151.54</v>
      </c>
      <c r="I3255" s="14" t="n">
        <v>0</v>
      </c>
      <c r="J3255" s="14" t="n">
        <v>0</v>
      </c>
      <c r="K3255" s="14" t="n">
        <v>0</v>
      </c>
      <c r="L3255" s="14" t="n">
        <v>0</v>
      </c>
      <c r="M3255" s="14">
        <f>IF(B3255="Frete de venda",0,(1-ISNUMBER(SEARCH("556",P3255)))*(I3255*VLOOKUP($B3255,Premissas!$A$4:$E$7,2,0)+J3255*VLOOKUP($B3255,Premissas!$A$4:$E$7,3,0))+K3255*VLOOKUP($B3255,Premissas!$A$4:$E$7,4,0)+L3255*VLOOKUP($B3255,Premissas!$A$4:$E$7,5,0))</f>
        <v/>
      </c>
      <c r="N3255" s="14">
        <f>H3255-M3255</f>
        <v/>
      </c>
      <c r="O3255" t="inlineStr">
        <is>
          <t>Não</t>
        </is>
      </c>
      <c r="P3255" t="inlineStr">
        <is>
          <t>1.350</t>
        </is>
      </c>
    </row>
    <row r="3256">
      <c r="A3256" s="24" t="n">
        <v>46143</v>
      </c>
      <c r="B3256" t="inlineStr">
        <is>
          <t>Frete de venda</t>
        </is>
      </c>
      <c r="C3256" t="inlineStr">
        <is>
          <t>Frete de venda (para clientes)</t>
        </is>
      </c>
      <c r="D3256" t="inlineStr">
        <is>
          <t>CT-e</t>
        </is>
      </c>
      <c r="E3256" t="inlineStr">
        <is>
          <t>000007072</t>
        </is>
      </c>
      <c r="F3256" t="inlineStr">
        <is>
          <t>R&amp;R TRANSPORTE E LOGISTICA</t>
        </is>
      </c>
      <c r="G3256" s="27" t="n">
        <v>46157</v>
      </c>
      <c r="H3256" s="14" t="n">
        <v>29.69</v>
      </c>
      <c r="I3256" s="14" t="n">
        <v>0</v>
      </c>
      <c r="J3256" s="14" t="n">
        <v>0</v>
      </c>
      <c r="K3256" s="14" t="n">
        <v>0</v>
      </c>
      <c r="L3256" s="14" t="n">
        <v>0</v>
      </c>
      <c r="M3256" s="14">
        <f>IF(B3256="Frete de venda",0,(1-ISNUMBER(SEARCH("556",P3256)))*(I3256*VLOOKUP($B3256,Premissas!$A$4:$E$7,2,0)+J3256*VLOOKUP($B3256,Premissas!$A$4:$E$7,3,0))+K3256*VLOOKUP($B3256,Premissas!$A$4:$E$7,4,0)+L3256*VLOOKUP($B3256,Premissas!$A$4:$E$7,5,0))</f>
        <v/>
      </c>
      <c r="N3256" s="14">
        <f>H3256-M3256</f>
        <v/>
      </c>
      <c r="O3256" t="inlineStr">
        <is>
          <t>Não</t>
        </is>
      </c>
      <c r="P3256" t="inlineStr">
        <is>
          <t>1.350</t>
        </is>
      </c>
    </row>
    <row r="3257">
      <c r="A3257" s="24" t="n">
        <v>46143</v>
      </c>
      <c r="B3257" t="inlineStr">
        <is>
          <t>Frete de venda</t>
        </is>
      </c>
      <c r="C3257" t="inlineStr">
        <is>
          <t>Frete de venda (para clientes)</t>
        </is>
      </c>
      <c r="D3257" t="inlineStr">
        <is>
          <t>CT-e</t>
        </is>
      </c>
      <c r="E3257" t="inlineStr">
        <is>
          <t>000007118</t>
        </is>
      </c>
      <c r="F3257" t="inlineStr">
        <is>
          <t>R&amp;R TRANSPORTE E LOGISTICA</t>
        </is>
      </c>
      <c r="G3257" s="27" t="n">
        <v>46164</v>
      </c>
      <c r="H3257" s="14" t="n">
        <v>27.69</v>
      </c>
      <c r="I3257" s="14" t="n">
        <v>0</v>
      </c>
      <c r="J3257" s="14" t="n">
        <v>0</v>
      </c>
      <c r="K3257" s="14" t="n">
        <v>0</v>
      </c>
      <c r="L3257" s="14" t="n">
        <v>0</v>
      </c>
      <c r="M3257" s="14">
        <f>IF(B3257="Frete de venda",0,(1-ISNUMBER(SEARCH("556",P3257)))*(I3257*VLOOKUP($B3257,Premissas!$A$4:$E$7,2,0)+J3257*VLOOKUP($B3257,Premissas!$A$4:$E$7,3,0))+K3257*VLOOKUP($B3257,Premissas!$A$4:$E$7,4,0)+L3257*VLOOKUP($B3257,Premissas!$A$4:$E$7,5,0))</f>
        <v/>
      </c>
      <c r="N3257" s="14">
        <f>H3257-M3257</f>
        <v/>
      </c>
      <c r="O3257" t="inlineStr">
        <is>
          <t>Não</t>
        </is>
      </c>
      <c r="P3257" t="inlineStr">
        <is>
          <t>1.350</t>
        </is>
      </c>
    </row>
    <row r="3258">
      <c r="A3258" s="24" t="n">
        <v>46143</v>
      </c>
      <c r="B3258" t="inlineStr">
        <is>
          <t>Frete de venda</t>
        </is>
      </c>
      <c r="C3258" t="inlineStr">
        <is>
          <t>Frete de venda (para clientes)</t>
        </is>
      </c>
      <c r="D3258" t="inlineStr">
        <is>
          <t>CT-e</t>
        </is>
      </c>
      <c r="E3258" t="inlineStr">
        <is>
          <t>000007088</t>
        </is>
      </c>
      <c r="F3258" t="inlineStr">
        <is>
          <t>R&amp;R TRANSPORTE E LOGISTICA</t>
        </is>
      </c>
      <c r="G3258" s="27" t="n">
        <v>46157</v>
      </c>
      <c r="H3258" s="14" t="n">
        <v>32.25</v>
      </c>
      <c r="I3258" s="14" t="n">
        <v>0</v>
      </c>
      <c r="J3258" s="14" t="n">
        <v>0</v>
      </c>
      <c r="K3258" s="14" t="n">
        <v>0</v>
      </c>
      <c r="L3258" s="14" t="n">
        <v>0</v>
      </c>
      <c r="M3258" s="14">
        <f>IF(B3258="Frete de venda",0,(1-ISNUMBER(SEARCH("556",P3258)))*(I3258*VLOOKUP($B3258,Premissas!$A$4:$E$7,2,0)+J3258*VLOOKUP($B3258,Premissas!$A$4:$E$7,3,0))+K3258*VLOOKUP($B3258,Premissas!$A$4:$E$7,4,0)+L3258*VLOOKUP($B3258,Premissas!$A$4:$E$7,5,0))</f>
        <v/>
      </c>
      <c r="N3258" s="14">
        <f>H3258-M3258</f>
        <v/>
      </c>
      <c r="O3258" t="inlineStr">
        <is>
          <t>Não</t>
        </is>
      </c>
      <c r="P3258" t="inlineStr">
        <is>
          <t>1.350</t>
        </is>
      </c>
    </row>
    <row r="3259">
      <c r="A3259" s="24" t="n">
        <v>46143</v>
      </c>
      <c r="B3259" t="inlineStr">
        <is>
          <t>Frete de venda</t>
        </is>
      </c>
      <c r="C3259" t="inlineStr">
        <is>
          <t>Frete de venda (para clientes)</t>
        </is>
      </c>
      <c r="D3259" t="inlineStr">
        <is>
          <t>CT-e</t>
        </is>
      </c>
      <c r="E3259" t="inlineStr">
        <is>
          <t>000024684</t>
        </is>
      </c>
      <c r="F3259" t="inlineStr">
        <is>
          <t>TRANSPORTE OLIVEIRA E MELLOI - IDEALIZA TRANSPORTES</t>
        </is>
      </c>
      <c r="G3259" s="27" t="n">
        <v>46169</v>
      </c>
      <c r="H3259" s="14" t="n">
        <v>440.56</v>
      </c>
      <c r="I3259" s="14" t="n">
        <v>0</v>
      </c>
      <c r="J3259" s="14" t="n">
        <v>52.87</v>
      </c>
      <c r="K3259" s="14" t="n">
        <v>0</v>
      </c>
      <c r="L3259" s="14" t="n">
        <v>0</v>
      </c>
      <c r="M3259" s="14">
        <f>IF(B3259="Frete de venda",0,(1-ISNUMBER(SEARCH("556",P3259)))*(I3259*VLOOKUP($B3259,Premissas!$A$4:$E$7,2,0)+J3259*VLOOKUP($B3259,Premissas!$A$4:$E$7,3,0))+K3259*VLOOKUP($B3259,Premissas!$A$4:$E$7,4,0)+L3259*VLOOKUP($B3259,Premissas!$A$4:$E$7,5,0))</f>
        <v/>
      </c>
      <c r="N3259" s="14">
        <f>H3259-M3259</f>
        <v/>
      </c>
      <c r="O3259" t="inlineStr">
        <is>
          <t>Sim</t>
        </is>
      </c>
      <c r="P3259" t="inlineStr">
        <is>
          <t>2.350</t>
        </is>
      </c>
    </row>
    <row r="3260">
      <c r="A3260" s="24" t="n">
        <v>46143</v>
      </c>
      <c r="B3260" t="inlineStr">
        <is>
          <t>Frete de venda</t>
        </is>
      </c>
      <c r="C3260" t="inlineStr">
        <is>
          <t>Frete de venda (para clientes)</t>
        </is>
      </c>
      <c r="D3260" t="inlineStr">
        <is>
          <t>CT-e</t>
        </is>
      </c>
      <c r="E3260" t="inlineStr">
        <is>
          <t>000007139</t>
        </is>
      </c>
      <c r="F3260" t="inlineStr">
        <is>
          <t>R&amp;R TRANSPORTE E LOGISTICA</t>
        </is>
      </c>
      <c r="G3260" s="27" t="n">
        <v>46167</v>
      </c>
      <c r="H3260" s="14" t="n">
        <v>15.08</v>
      </c>
      <c r="I3260" s="14" t="n">
        <v>0</v>
      </c>
      <c r="J3260" s="14" t="n">
        <v>0</v>
      </c>
      <c r="K3260" s="14" t="n">
        <v>0</v>
      </c>
      <c r="L3260" s="14" t="n">
        <v>0</v>
      </c>
      <c r="M3260" s="14">
        <f>IF(B3260="Frete de venda",0,(1-ISNUMBER(SEARCH("556",P3260)))*(I3260*VLOOKUP($B3260,Premissas!$A$4:$E$7,2,0)+J3260*VLOOKUP($B3260,Premissas!$A$4:$E$7,3,0))+K3260*VLOOKUP($B3260,Premissas!$A$4:$E$7,4,0)+L3260*VLOOKUP($B3260,Premissas!$A$4:$E$7,5,0))</f>
        <v/>
      </c>
      <c r="N3260" s="14">
        <f>H3260-M3260</f>
        <v/>
      </c>
      <c r="O3260" t="inlineStr">
        <is>
          <t>Não</t>
        </is>
      </c>
      <c r="P3260" t="inlineStr">
        <is>
          <t>1.350</t>
        </is>
      </c>
    </row>
    <row r="3261">
      <c r="A3261" s="24" t="n">
        <v>46143</v>
      </c>
      <c r="B3261" t="inlineStr">
        <is>
          <t>Frete de venda</t>
        </is>
      </c>
      <c r="C3261" t="inlineStr">
        <is>
          <t>Frete de venda (para clientes)</t>
        </is>
      </c>
      <c r="D3261" t="inlineStr">
        <is>
          <t>CT-e</t>
        </is>
      </c>
      <c r="E3261" t="inlineStr">
        <is>
          <t>000007025</t>
        </is>
      </c>
      <c r="F3261" t="inlineStr">
        <is>
          <t>R&amp;R TRANSPORTE E LOGISTICA</t>
        </is>
      </c>
      <c r="G3261" s="27" t="n">
        <v>46151</v>
      </c>
      <c r="H3261" s="14" t="n">
        <v>18.79</v>
      </c>
      <c r="I3261" s="14" t="n">
        <v>0</v>
      </c>
      <c r="J3261" s="14" t="n">
        <v>0</v>
      </c>
      <c r="K3261" s="14" t="n">
        <v>0</v>
      </c>
      <c r="L3261" s="14" t="n">
        <v>0</v>
      </c>
      <c r="M3261" s="14">
        <f>IF(B3261="Frete de venda",0,(1-ISNUMBER(SEARCH("556",P3261)))*(I3261*VLOOKUP($B3261,Premissas!$A$4:$E$7,2,0)+J3261*VLOOKUP($B3261,Premissas!$A$4:$E$7,3,0))+K3261*VLOOKUP($B3261,Premissas!$A$4:$E$7,4,0)+L3261*VLOOKUP($B3261,Premissas!$A$4:$E$7,5,0))</f>
        <v/>
      </c>
      <c r="N3261" s="14">
        <f>H3261-M3261</f>
        <v/>
      </c>
      <c r="O3261" t="inlineStr">
        <is>
          <t>Não</t>
        </is>
      </c>
      <c r="P3261" t="inlineStr">
        <is>
          <t>1.350</t>
        </is>
      </c>
    </row>
    <row r="3262">
      <c r="A3262" s="24" t="n">
        <v>46143</v>
      </c>
      <c r="B3262" t="inlineStr">
        <is>
          <t>Frete de venda</t>
        </is>
      </c>
      <c r="C3262" t="inlineStr">
        <is>
          <t>Frete de venda (para clientes)</t>
        </is>
      </c>
      <c r="D3262" t="inlineStr">
        <is>
          <t>CT-e</t>
        </is>
      </c>
      <c r="E3262" t="inlineStr">
        <is>
          <t>000007168</t>
        </is>
      </c>
      <c r="F3262" t="inlineStr">
        <is>
          <t>R&amp;R TRANSPORTE E LOGISTICA</t>
        </is>
      </c>
      <c r="G3262" s="27" t="n">
        <v>46170</v>
      </c>
      <c r="H3262" s="14" t="n">
        <v>30.59</v>
      </c>
      <c r="I3262" s="14" t="n">
        <v>0</v>
      </c>
      <c r="J3262" s="14" t="n">
        <v>0</v>
      </c>
      <c r="K3262" s="14" t="n">
        <v>0</v>
      </c>
      <c r="L3262" s="14" t="n">
        <v>0</v>
      </c>
      <c r="M3262" s="14">
        <f>IF(B3262="Frete de venda",0,(1-ISNUMBER(SEARCH("556",P3262)))*(I3262*VLOOKUP($B3262,Premissas!$A$4:$E$7,2,0)+J3262*VLOOKUP($B3262,Premissas!$A$4:$E$7,3,0))+K3262*VLOOKUP($B3262,Premissas!$A$4:$E$7,4,0)+L3262*VLOOKUP($B3262,Premissas!$A$4:$E$7,5,0))</f>
        <v/>
      </c>
      <c r="N3262" s="14">
        <f>H3262-M3262</f>
        <v/>
      </c>
      <c r="O3262" t="inlineStr">
        <is>
          <t>Não</t>
        </is>
      </c>
      <c r="P3262" t="inlineStr">
        <is>
          <t>1.350</t>
        </is>
      </c>
    </row>
    <row r="3263">
      <c r="A3263" s="24" t="n">
        <v>46143</v>
      </c>
      <c r="B3263" t="inlineStr">
        <is>
          <t>Frete de venda</t>
        </is>
      </c>
      <c r="C3263" t="inlineStr">
        <is>
          <t>Frete de venda (para clientes)</t>
        </is>
      </c>
      <c r="D3263" t="inlineStr">
        <is>
          <t>CT-e</t>
        </is>
      </c>
      <c r="E3263" t="inlineStr">
        <is>
          <t>000006943</t>
        </is>
      </c>
      <c r="F3263" t="inlineStr">
        <is>
          <t>R&amp;R TRANSPORTE E LOGISTICA</t>
        </is>
      </c>
      <c r="G3263" s="27" t="n">
        <v>46143</v>
      </c>
      <c r="H3263" s="14" t="n">
        <v>11.26</v>
      </c>
      <c r="I3263" s="14" t="n">
        <v>0</v>
      </c>
      <c r="J3263" s="14" t="n">
        <v>0</v>
      </c>
      <c r="K3263" s="14" t="n">
        <v>0</v>
      </c>
      <c r="L3263" s="14" t="n">
        <v>0</v>
      </c>
      <c r="M3263" s="14">
        <f>IF(B3263="Frete de venda",0,(1-ISNUMBER(SEARCH("556",P3263)))*(I3263*VLOOKUP($B3263,Premissas!$A$4:$E$7,2,0)+J3263*VLOOKUP($B3263,Premissas!$A$4:$E$7,3,0))+K3263*VLOOKUP($B3263,Premissas!$A$4:$E$7,4,0)+L3263*VLOOKUP($B3263,Premissas!$A$4:$E$7,5,0))</f>
        <v/>
      </c>
      <c r="N3263" s="14">
        <f>H3263-M3263</f>
        <v/>
      </c>
      <c r="O3263" t="inlineStr">
        <is>
          <t>Não</t>
        </is>
      </c>
      <c r="P3263" t="inlineStr">
        <is>
          <t>1.350</t>
        </is>
      </c>
    </row>
    <row r="3264">
      <c r="A3264" s="24" t="n">
        <v>46143</v>
      </c>
      <c r="B3264" t="inlineStr">
        <is>
          <t>Frete de venda</t>
        </is>
      </c>
      <c r="C3264" t="inlineStr">
        <is>
          <t>Frete de venda (para clientes)</t>
        </is>
      </c>
      <c r="D3264" t="inlineStr">
        <is>
          <t>CT-e</t>
        </is>
      </c>
      <c r="E3264" t="inlineStr">
        <is>
          <t>000007009</t>
        </is>
      </c>
      <c r="F3264" t="inlineStr">
        <is>
          <t>R&amp;R TRANSPORTE E LOGISTICA</t>
        </is>
      </c>
      <c r="G3264" s="27" t="n">
        <v>46150</v>
      </c>
      <c r="H3264" s="14" t="n">
        <v>42.83</v>
      </c>
      <c r="I3264" s="14" t="n">
        <v>0</v>
      </c>
      <c r="J3264" s="14" t="n">
        <v>0</v>
      </c>
      <c r="K3264" s="14" t="n">
        <v>0</v>
      </c>
      <c r="L3264" s="14" t="n">
        <v>0</v>
      </c>
      <c r="M3264" s="14">
        <f>IF(B3264="Frete de venda",0,(1-ISNUMBER(SEARCH("556",P3264)))*(I3264*VLOOKUP($B3264,Premissas!$A$4:$E$7,2,0)+J3264*VLOOKUP($B3264,Premissas!$A$4:$E$7,3,0))+K3264*VLOOKUP($B3264,Premissas!$A$4:$E$7,4,0)+L3264*VLOOKUP($B3264,Premissas!$A$4:$E$7,5,0))</f>
        <v/>
      </c>
      <c r="N3264" s="14">
        <f>H3264-M3264</f>
        <v/>
      </c>
      <c r="O3264" t="inlineStr">
        <is>
          <t>Não</t>
        </is>
      </c>
      <c r="P3264" t="inlineStr">
        <is>
          <t>1.350</t>
        </is>
      </c>
    </row>
    <row r="3265">
      <c r="A3265" s="24" t="n">
        <v>46143</v>
      </c>
      <c r="B3265" t="inlineStr">
        <is>
          <t>Frete de venda</t>
        </is>
      </c>
      <c r="C3265" t="inlineStr">
        <is>
          <t>Frete de venda (para clientes)</t>
        </is>
      </c>
      <c r="D3265" t="inlineStr">
        <is>
          <t>CT-e</t>
        </is>
      </c>
      <c r="E3265" t="inlineStr">
        <is>
          <t>000007189</t>
        </is>
      </c>
      <c r="F3265" t="inlineStr">
        <is>
          <t>R&amp;R TRANSPORTE E LOGISTICA</t>
        </is>
      </c>
      <c r="G3265" s="27" t="n">
        <v>46170</v>
      </c>
      <c r="H3265" s="14" t="n">
        <v>13.18</v>
      </c>
      <c r="I3265" s="14" t="n">
        <v>0</v>
      </c>
      <c r="J3265" s="14" t="n">
        <v>0</v>
      </c>
      <c r="K3265" s="14" t="n">
        <v>0</v>
      </c>
      <c r="L3265" s="14" t="n">
        <v>0</v>
      </c>
      <c r="M3265" s="14">
        <f>IF(B3265="Frete de venda",0,(1-ISNUMBER(SEARCH("556",P3265)))*(I3265*VLOOKUP($B3265,Premissas!$A$4:$E$7,2,0)+J3265*VLOOKUP($B3265,Premissas!$A$4:$E$7,3,0))+K3265*VLOOKUP($B3265,Premissas!$A$4:$E$7,4,0)+L3265*VLOOKUP($B3265,Premissas!$A$4:$E$7,5,0))</f>
        <v/>
      </c>
      <c r="N3265" s="14">
        <f>H3265-M3265</f>
        <v/>
      </c>
      <c r="O3265" t="inlineStr">
        <is>
          <t>Não</t>
        </is>
      </c>
      <c r="P3265" t="inlineStr">
        <is>
          <t>1.350</t>
        </is>
      </c>
    </row>
    <row r="3266">
      <c r="A3266" s="24" t="n">
        <v>46143</v>
      </c>
      <c r="B3266" t="inlineStr">
        <is>
          <t>Frete de venda</t>
        </is>
      </c>
      <c r="C3266" t="inlineStr">
        <is>
          <t>Frete de venda (para clientes)</t>
        </is>
      </c>
      <c r="D3266" t="inlineStr">
        <is>
          <t>CT-e</t>
        </is>
      </c>
      <c r="E3266" t="inlineStr">
        <is>
          <t>000007145</t>
        </is>
      </c>
      <c r="F3266" t="inlineStr">
        <is>
          <t>R&amp;R TRANSPORTE E LOGISTICA</t>
        </is>
      </c>
      <c r="G3266" s="27" t="n">
        <v>46167</v>
      </c>
      <c r="H3266" s="14" t="n">
        <v>32.29</v>
      </c>
      <c r="I3266" s="14" t="n">
        <v>0</v>
      </c>
      <c r="J3266" s="14" t="n">
        <v>0</v>
      </c>
      <c r="K3266" s="14" t="n">
        <v>0</v>
      </c>
      <c r="L3266" s="14" t="n">
        <v>0</v>
      </c>
      <c r="M3266" s="14">
        <f>IF(B3266="Frete de venda",0,(1-ISNUMBER(SEARCH("556",P3266)))*(I3266*VLOOKUP($B3266,Premissas!$A$4:$E$7,2,0)+J3266*VLOOKUP($B3266,Premissas!$A$4:$E$7,3,0))+K3266*VLOOKUP($B3266,Premissas!$A$4:$E$7,4,0)+L3266*VLOOKUP($B3266,Premissas!$A$4:$E$7,5,0))</f>
        <v/>
      </c>
      <c r="N3266" s="14">
        <f>H3266-M3266</f>
        <v/>
      </c>
      <c r="O3266" t="inlineStr">
        <is>
          <t>Não</t>
        </is>
      </c>
      <c r="P3266" t="inlineStr">
        <is>
          <t>1.350</t>
        </is>
      </c>
    </row>
    <row r="3267">
      <c r="A3267" s="24" t="n">
        <v>46143</v>
      </c>
      <c r="B3267" t="inlineStr">
        <is>
          <t>Frete de venda</t>
        </is>
      </c>
      <c r="C3267" t="inlineStr">
        <is>
          <t>Frete de venda (para clientes)</t>
        </is>
      </c>
      <c r="D3267" t="inlineStr">
        <is>
          <t>CT-e</t>
        </is>
      </c>
      <c r="E3267" t="inlineStr">
        <is>
          <t>000007066</t>
        </is>
      </c>
      <c r="F3267" t="inlineStr">
        <is>
          <t>R&amp;R TRANSPORTE E LOGISTICA</t>
        </is>
      </c>
      <c r="G3267" s="27" t="n">
        <v>46157</v>
      </c>
      <c r="H3267" s="14" t="n">
        <v>51.67</v>
      </c>
      <c r="I3267" s="14" t="n">
        <v>0</v>
      </c>
      <c r="J3267" s="14" t="n">
        <v>0</v>
      </c>
      <c r="K3267" s="14" t="n">
        <v>0</v>
      </c>
      <c r="L3267" s="14" t="n">
        <v>0</v>
      </c>
      <c r="M3267" s="14">
        <f>IF(B3267="Frete de venda",0,(1-ISNUMBER(SEARCH("556",P3267)))*(I3267*VLOOKUP($B3267,Premissas!$A$4:$E$7,2,0)+J3267*VLOOKUP($B3267,Premissas!$A$4:$E$7,3,0))+K3267*VLOOKUP($B3267,Premissas!$A$4:$E$7,4,0)+L3267*VLOOKUP($B3267,Premissas!$A$4:$E$7,5,0))</f>
        <v/>
      </c>
      <c r="N3267" s="14">
        <f>H3267-M3267</f>
        <v/>
      </c>
      <c r="O3267" t="inlineStr">
        <is>
          <t>Não</t>
        </is>
      </c>
      <c r="P3267" t="inlineStr">
        <is>
          <t>1.350</t>
        </is>
      </c>
    </row>
    <row r="3268">
      <c r="A3268" s="24" t="n">
        <v>46143</v>
      </c>
      <c r="B3268" t="inlineStr">
        <is>
          <t>Frete de venda</t>
        </is>
      </c>
      <c r="C3268" t="inlineStr">
        <is>
          <t>Frete de venda (para clientes)</t>
        </is>
      </c>
      <c r="D3268" t="inlineStr">
        <is>
          <t>CT-e</t>
        </is>
      </c>
      <c r="E3268" t="inlineStr">
        <is>
          <t>000006985</t>
        </is>
      </c>
      <c r="F3268" t="inlineStr">
        <is>
          <t>R&amp;R TRANSPORTE E LOGISTICA</t>
        </is>
      </c>
      <c r="G3268" s="27" t="n">
        <v>46148</v>
      </c>
      <c r="H3268" s="14" t="n">
        <v>284.29</v>
      </c>
      <c r="I3268" s="14" t="n">
        <v>0</v>
      </c>
      <c r="J3268" s="14" t="n">
        <v>0</v>
      </c>
      <c r="K3268" s="14" t="n">
        <v>0</v>
      </c>
      <c r="L3268" s="14" t="n">
        <v>0</v>
      </c>
      <c r="M3268" s="14">
        <f>IF(B3268="Frete de venda",0,(1-ISNUMBER(SEARCH("556",P3268)))*(I3268*VLOOKUP($B3268,Premissas!$A$4:$E$7,2,0)+J3268*VLOOKUP($B3268,Premissas!$A$4:$E$7,3,0))+K3268*VLOOKUP($B3268,Premissas!$A$4:$E$7,4,0)+L3268*VLOOKUP($B3268,Premissas!$A$4:$E$7,5,0))</f>
        <v/>
      </c>
      <c r="N3268" s="14">
        <f>H3268-M3268</f>
        <v/>
      </c>
      <c r="O3268" t="inlineStr">
        <is>
          <t>Não</t>
        </is>
      </c>
      <c r="P3268" t="inlineStr">
        <is>
          <t>1.350</t>
        </is>
      </c>
    </row>
    <row r="3269">
      <c r="A3269" s="24" t="n">
        <v>46143</v>
      </c>
      <c r="B3269" t="inlineStr">
        <is>
          <t>Frete de venda</t>
        </is>
      </c>
      <c r="C3269" t="inlineStr">
        <is>
          <t>Frete de venda (para clientes)</t>
        </is>
      </c>
      <c r="D3269" t="inlineStr">
        <is>
          <t>CT-e</t>
        </is>
      </c>
      <c r="E3269" t="inlineStr">
        <is>
          <t>000007105</t>
        </is>
      </c>
      <c r="F3269" t="inlineStr">
        <is>
          <t>R&amp;R TRANSPORTE E LOGISTICA</t>
        </is>
      </c>
      <c r="G3269" s="27" t="n">
        <v>46163</v>
      </c>
      <c r="H3269" s="14" t="n">
        <v>268.67</v>
      </c>
      <c r="I3269" s="14" t="n">
        <v>0</v>
      </c>
      <c r="J3269" s="14" t="n">
        <v>0</v>
      </c>
      <c r="K3269" s="14" t="n">
        <v>0</v>
      </c>
      <c r="L3269" s="14" t="n">
        <v>0</v>
      </c>
      <c r="M3269" s="14">
        <f>IF(B3269="Frete de venda",0,(1-ISNUMBER(SEARCH("556",P3269)))*(I3269*VLOOKUP($B3269,Premissas!$A$4:$E$7,2,0)+J3269*VLOOKUP($B3269,Premissas!$A$4:$E$7,3,0))+K3269*VLOOKUP($B3269,Premissas!$A$4:$E$7,4,0)+L3269*VLOOKUP($B3269,Premissas!$A$4:$E$7,5,0))</f>
        <v/>
      </c>
      <c r="N3269" s="14">
        <f>H3269-M3269</f>
        <v/>
      </c>
      <c r="O3269" t="inlineStr">
        <is>
          <t>Não</t>
        </is>
      </c>
      <c r="P3269" t="inlineStr">
        <is>
          <t>1.350</t>
        </is>
      </c>
    </row>
    <row r="3270">
      <c r="A3270" s="24" t="n">
        <v>46143</v>
      </c>
      <c r="B3270" t="inlineStr">
        <is>
          <t>Frete de venda</t>
        </is>
      </c>
      <c r="C3270" t="inlineStr">
        <is>
          <t>Frete de venda (para clientes)</t>
        </is>
      </c>
      <c r="D3270" t="inlineStr">
        <is>
          <t>CT-e</t>
        </is>
      </c>
      <c r="E3270" t="inlineStr">
        <is>
          <t>000007114</t>
        </is>
      </c>
      <c r="F3270" t="inlineStr">
        <is>
          <t>R&amp;R TRANSPORTE E LOGISTICA</t>
        </is>
      </c>
      <c r="G3270" s="27" t="n">
        <v>46163</v>
      </c>
      <c r="H3270" s="14" t="n">
        <v>30.78</v>
      </c>
      <c r="I3270" s="14" t="n">
        <v>0</v>
      </c>
      <c r="J3270" s="14" t="n">
        <v>0</v>
      </c>
      <c r="K3270" s="14" t="n">
        <v>0</v>
      </c>
      <c r="L3270" s="14" t="n">
        <v>0</v>
      </c>
      <c r="M3270" s="14">
        <f>IF(B3270="Frete de venda",0,(1-ISNUMBER(SEARCH("556",P3270)))*(I3270*VLOOKUP($B3270,Premissas!$A$4:$E$7,2,0)+J3270*VLOOKUP($B3270,Premissas!$A$4:$E$7,3,0))+K3270*VLOOKUP($B3270,Premissas!$A$4:$E$7,4,0)+L3270*VLOOKUP($B3270,Premissas!$A$4:$E$7,5,0))</f>
        <v/>
      </c>
      <c r="N3270" s="14">
        <f>H3270-M3270</f>
        <v/>
      </c>
      <c r="O3270" t="inlineStr">
        <is>
          <t>Não</t>
        </is>
      </c>
      <c r="P3270" t="inlineStr">
        <is>
          <t>1.350</t>
        </is>
      </c>
    </row>
    <row r="3271">
      <c r="A3271" s="24" t="n">
        <v>46143</v>
      </c>
      <c r="B3271" t="inlineStr">
        <is>
          <t>Frete de venda</t>
        </is>
      </c>
      <c r="C3271" t="inlineStr">
        <is>
          <t>Frete de venda (para clientes)</t>
        </is>
      </c>
      <c r="D3271" t="inlineStr">
        <is>
          <t>CT-e</t>
        </is>
      </c>
      <c r="E3271" t="inlineStr">
        <is>
          <t>000007021</t>
        </is>
      </c>
      <c r="F3271" t="inlineStr">
        <is>
          <t>R&amp;R TRANSPORTE E LOGISTICA</t>
        </is>
      </c>
      <c r="G3271" s="27" t="n">
        <v>46151</v>
      </c>
      <c r="H3271" s="14" t="n">
        <v>19.79</v>
      </c>
      <c r="I3271" s="14" t="n">
        <v>0</v>
      </c>
      <c r="J3271" s="14" t="n">
        <v>0</v>
      </c>
      <c r="K3271" s="14" t="n">
        <v>0</v>
      </c>
      <c r="L3271" s="14" t="n">
        <v>0</v>
      </c>
      <c r="M3271" s="14">
        <f>IF(B3271="Frete de venda",0,(1-ISNUMBER(SEARCH("556",P3271)))*(I3271*VLOOKUP($B3271,Premissas!$A$4:$E$7,2,0)+J3271*VLOOKUP($B3271,Premissas!$A$4:$E$7,3,0))+K3271*VLOOKUP($B3271,Premissas!$A$4:$E$7,4,0)+L3271*VLOOKUP($B3271,Premissas!$A$4:$E$7,5,0))</f>
        <v/>
      </c>
      <c r="N3271" s="14">
        <f>H3271-M3271</f>
        <v/>
      </c>
      <c r="O3271" t="inlineStr">
        <is>
          <t>Não</t>
        </is>
      </c>
      <c r="P3271" t="inlineStr">
        <is>
          <t>1.350</t>
        </is>
      </c>
    </row>
    <row r="3272">
      <c r="A3272" s="24" t="n">
        <v>46143</v>
      </c>
      <c r="B3272" t="inlineStr">
        <is>
          <t>Frete de venda</t>
        </is>
      </c>
      <c r="C3272" t="inlineStr">
        <is>
          <t>Frete de venda (para clientes)</t>
        </is>
      </c>
      <c r="D3272" t="inlineStr">
        <is>
          <t>CT-e</t>
        </is>
      </c>
      <c r="E3272" t="inlineStr">
        <is>
          <t>000007199</t>
        </is>
      </c>
      <c r="F3272" t="inlineStr">
        <is>
          <t>R&amp;R TRANSPORTE E LOGISTICA</t>
        </is>
      </c>
      <c r="G3272" s="27" t="n">
        <v>46170</v>
      </c>
      <c r="H3272" s="14" t="n">
        <v>27.39</v>
      </c>
      <c r="I3272" s="14" t="n">
        <v>0</v>
      </c>
      <c r="J3272" s="14" t="n">
        <v>0</v>
      </c>
      <c r="K3272" s="14" t="n">
        <v>0</v>
      </c>
      <c r="L3272" s="14" t="n">
        <v>0</v>
      </c>
      <c r="M3272" s="14">
        <f>IF(B3272="Frete de venda",0,(1-ISNUMBER(SEARCH("556",P3272)))*(I3272*VLOOKUP($B3272,Premissas!$A$4:$E$7,2,0)+J3272*VLOOKUP($B3272,Premissas!$A$4:$E$7,3,0))+K3272*VLOOKUP($B3272,Premissas!$A$4:$E$7,4,0)+L3272*VLOOKUP($B3272,Premissas!$A$4:$E$7,5,0))</f>
        <v/>
      </c>
      <c r="N3272" s="14">
        <f>H3272-M3272</f>
        <v/>
      </c>
      <c r="O3272" t="inlineStr">
        <is>
          <t>Não</t>
        </is>
      </c>
      <c r="P3272" t="inlineStr">
        <is>
          <t>1.350</t>
        </is>
      </c>
    </row>
    <row r="3273">
      <c r="A3273" s="24" t="n">
        <v>46143</v>
      </c>
      <c r="B3273" t="inlineStr">
        <is>
          <t>Frete de venda</t>
        </is>
      </c>
      <c r="C3273" t="inlineStr">
        <is>
          <t>Frete de venda (para clientes)</t>
        </is>
      </c>
      <c r="D3273" t="inlineStr">
        <is>
          <t>CT-e</t>
        </is>
      </c>
      <c r="E3273" t="inlineStr">
        <is>
          <t>000007034</t>
        </is>
      </c>
      <c r="F3273" t="inlineStr">
        <is>
          <t>R&amp;R TRANSPORTE E LOGISTICA</t>
        </is>
      </c>
      <c r="G3273" s="27" t="n">
        <v>46151</v>
      </c>
      <c r="H3273" s="14" t="n">
        <v>17.5</v>
      </c>
      <c r="I3273" s="14" t="n">
        <v>0</v>
      </c>
      <c r="J3273" s="14" t="n">
        <v>0</v>
      </c>
      <c r="K3273" s="14" t="n">
        <v>0</v>
      </c>
      <c r="L3273" s="14" t="n">
        <v>0</v>
      </c>
      <c r="M3273" s="14">
        <f>IF(B3273="Frete de venda",0,(1-ISNUMBER(SEARCH("556",P3273)))*(I3273*VLOOKUP($B3273,Premissas!$A$4:$E$7,2,0)+J3273*VLOOKUP($B3273,Premissas!$A$4:$E$7,3,0))+K3273*VLOOKUP($B3273,Premissas!$A$4:$E$7,4,0)+L3273*VLOOKUP($B3273,Premissas!$A$4:$E$7,5,0))</f>
        <v/>
      </c>
      <c r="N3273" s="14">
        <f>H3273-M3273</f>
        <v/>
      </c>
      <c r="O3273" t="inlineStr">
        <is>
          <t>Não</t>
        </is>
      </c>
      <c r="P3273" t="inlineStr">
        <is>
          <t>1.350</t>
        </is>
      </c>
    </row>
    <row r="3274">
      <c r="A3274" s="24" t="n">
        <v>46143</v>
      </c>
      <c r="B3274" t="inlineStr">
        <is>
          <t>Frete de venda</t>
        </is>
      </c>
      <c r="C3274" t="inlineStr">
        <is>
          <t>Frete de venda (para clientes)</t>
        </is>
      </c>
      <c r="D3274" t="inlineStr">
        <is>
          <t>CT-e</t>
        </is>
      </c>
      <c r="E3274" t="inlineStr">
        <is>
          <t>000006976</t>
        </is>
      </c>
      <c r="F3274" t="inlineStr">
        <is>
          <t>R&amp;R TRANSPORTE E LOGISTICA</t>
        </is>
      </c>
      <c r="G3274" s="27" t="n">
        <v>46147</v>
      </c>
      <c r="H3274" s="14" t="n">
        <v>44.28</v>
      </c>
      <c r="I3274" s="14" t="n">
        <v>0</v>
      </c>
      <c r="J3274" s="14" t="n">
        <v>0</v>
      </c>
      <c r="K3274" s="14" t="n">
        <v>0</v>
      </c>
      <c r="L3274" s="14" t="n">
        <v>0</v>
      </c>
      <c r="M3274" s="14">
        <f>IF(B3274="Frete de venda",0,(1-ISNUMBER(SEARCH("556",P3274)))*(I3274*VLOOKUP($B3274,Premissas!$A$4:$E$7,2,0)+J3274*VLOOKUP($B3274,Premissas!$A$4:$E$7,3,0))+K3274*VLOOKUP($B3274,Premissas!$A$4:$E$7,4,0)+L3274*VLOOKUP($B3274,Premissas!$A$4:$E$7,5,0))</f>
        <v/>
      </c>
      <c r="N3274" s="14">
        <f>H3274-M3274</f>
        <v/>
      </c>
      <c r="O3274" t="inlineStr">
        <is>
          <t>Não</t>
        </is>
      </c>
      <c r="P3274" t="inlineStr">
        <is>
          <t>1.350</t>
        </is>
      </c>
    </row>
    <row r="3275">
      <c r="A3275" s="24" t="n">
        <v>46143</v>
      </c>
      <c r="B3275" t="inlineStr">
        <is>
          <t>Frete de venda</t>
        </is>
      </c>
      <c r="C3275" t="inlineStr">
        <is>
          <t>Frete de venda (para clientes)</t>
        </is>
      </c>
      <c r="D3275" t="inlineStr">
        <is>
          <t>CT-e</t>
        </is>
      </c>
      <c r="E3275" t="inlineStr">
        <is>
          <t>000006957</t>
        </is>
      </c>
      <c r="F3275" t="inlineStr">
        <is>
          <t>R&amp;R TRANSPORTE E LOGISTICA</t>
        </is>
      </c>
      <c r="G3275" s="27" t="n">
        <v>46143</v>
      </c>
      <c r="H3275" s="14" t="n">
        <v>522.5700000000001</v>
      </c>
      <c r="I3275" s="14" t="n">
        <v>0</v>
      </c>
      <c r="J3275" s="14" t="n">
        <v>0</v>
      </c>
      <c r="K3275" s="14" t="n">
        <v>0</v>
      </c>
      <c r="L3275" s="14" t="n">
        <v>0</v>
      </c>
      <c r="M3275" s="14">
        <f>IF(B3275="Frete de venda",0,(1-ISNUMBER(SEARCH("556",P3275)))*(I3275*VLOOKUP($B3275,Premissas!$A$4:$E$7,2,0)+J3275*VLOOKUP($B3275,Premissas!$A$4:$E$7,3,0))+K3275*VLOOKUP($B3275,Premissas!$A$4:$E$7,4,0)+L3275*VLOOKUP($B3275,Premissas!$A$4:$E$7,5,0))</f>
        <v/>
      </c>
      <c r="N3275" s="14">
        <f>H3275-M3275</f>
        <v/>
      </c>
      <c r="O3275" t="inlineStr">
        <is>
          <t>Não</t>
        </is>
      </c>
      <c r="P3275" t="inlineStr">
        <is>
          <t>1.350</t>
        </is>
      </c>
    </row>
    <row r="3276">
      <c r="A3276" s="24" t="n">
        <v>46143</v>
      </c>
      <c r="B3276" t="inlineStr">
        <is>
          <t>Frete de venda</t>
        </is>
      </c>
      <c r="C3276" t="inlineStr">
        <is>
          <t>Frete de venda (para clientes)</t>
        </is>
      </c>
      <c r="D3276" t="inlineStr">
        <is>
          <t>CT-e</t>
        </is>
      </c>
      <c r="E3276" t="inlineStr">
        <is>
          <t>000007062</t>
        </is>
      </c>
      <c r="F3276" t="inlineStr">
        <is>
          <t>R&amp;R TRANSPORTE E LOGISTICA</t>
        </is>
      </c>
      <c r="G3276" s="27" t="n">
        <v>46156</v>
      </c>
      <c r="H3276" s="14" t="n">
        <v>648.51</v>
      </c>
      <c r="I3276" s="14" t="n">
        <v>0</v>
      </c>
      <c r="J3276" s="14" t="n">
        <v>0</v>
      </c>
      <c r="K3276" s="14" t="n">
        <v>0</v>
      </c>
      <c r="L3276" s="14" t="n">
        <v>0</v>
      </c>
      <c r="M3276" s="14">
        <f>IF(B3276="Frete de venda",0,(1-ISNUMBER(SEARCH("556",P3276)))*(I3276*VLOOKUP($B3276,Premissas!$A$4:$E$7,2,0)+J3276*VLOOKUP($B3276,Premissas!$A$4:$E$7,3,0))+K3276*VLOOKUP($B3276,Premissas!$A$4:$E$7,4,0)+L3276*VLOOKUP($B3276,Premissas!$A$4:$E$7,5,0))</f>
        <v/>
      </c>
      <c r="N3276" s="14">
        <f>H3276-M3276</f>
        <v/>
      </c>
      <c r="O3276" t="inlineStr">
        <is>
          <t>Não</t>
        </is>
      </c>
      <c r="P3276" t="inlineStr">
        <is>
          <t>1.350</t>
        </is>
      </c>
    </row>
    <row r="3277">
      <c r="A3277" s="24" t="n">
        <v>46143</v>
      </c>
      <c r="B3277" t="inlineStr">
        <is>
          <t>Frete de venda</t>
        </is>
      </c>
      <c r="C3277" t="inlineStr">
        <is>
          <t>Frete de venda (para clientes)</t>
        </is>
      </c>
      <c r="D3277" t="inlineStr">
        <is>
          <t>CT-e</t>
        </is>
      </c>
      <c r="E3277" t="inlineStr">
        <is>
          <t>000007177</t>
        </is>
      </c>
      <c r="F3277" t="inlineStr">
        <is>
          <t>R&amp;R TRANSPORTE E LOGISTICA</t>
        </is>
      </c>
      <c r="G3277" s="27" t="n">
        <v>46170</v>
      </c>
      <c r="H3277" s="14" t="n">
        <v>33.31</v>
      </c>
      <c r="I3277" s="14" t="n">
        <v>0</v>
      </c>
      <c r="J3277" s="14" t="n">
        <v>0</v>
      </c>
      <c r="K3277" s="14" t="n">
        <v>0</v>
      </c>
      <c r="L3277" s="14" t="n">
        <v>0</v>
      </c>
      <c r="M3277" s="14">
        <f>IF(B3277="Frete de venda",0,(1-ISNUMBER(SEARCH("556",P3277)))*(I3277*VLOOKUP($B3277,Premissas!$A$4:$E$7,2,0)+J3277*VLOOKUP($B3277,Premissas!$A$4:$E$7,3,0))+K3277*VLOOKUP($B3277,Premissas!$A$4:$E$7,4,0)+L3277*VLOOKUP($B3277,Premissas!$A$4:$E$7,5,0))</f>
        <v/>
      </c>
      <c r="N3277" s="14">
        <f>H3277-M3277</f>
        <v/>
      </c>
      <c r="O3277" t="inlineStr">
        <is>
          <t>Não</t>
        </is>
      </c>
      <c r="P3277" t="inlineStr">
        <is>
          <t>1.350</t>
        </is>
      </c>
    </row>
    <row r="3278">
      <c r="A3278" s="24" t="n">
        <v>46143</v>
      </c>
      <c r="B3278" t="inlineStr">
        <is>
          <t>Frete de venda</t>
        </is>
      </c>
      <c r="C3278" t="inlineStr">
        <is>
          <t>Frete de venda (para clientes)</t>
        </is>
      </c>
      <c r="D3278" t="inlineStr">
        <is>
          <t>CT-e</t>
        </is>
      </c>
      <c r="E3278" t="inlineStr">
        <is>
          <t>000007113</t>
        </is>
      </c>
      <c r="F3278" t="inlineStr">
        <is>
          <t>R&amp;R TRANSPORTE E LOGISTICA</t>
        </is>
      </c>
      <c r="G3278" s="27" t="n">
        <v>46163</v>
      </c>
      <c r="H3278" s="14" t="n">
        <v>38.65</v>
      </c>
      <c r="I3278" s="14" t="n">
        <v>0</v>
      </c>
      <c r="J3278" s="14" t="n">
        <v>0</v>
      </c>
      <c r="K3278" s="14" t="n">
        <v>0</v>
      </c>
      <c r="L3278" s="14" t="n">
        <v>0</v>
      </c>
      <c r="M3278" s="14">
        <f>IF(B3278="Frete de venda",0,(1-ISNUMBER(SEARCH("556",P3278)))*(I3278*VLOOKUP($B3278,Premissas!$A$4:$E$7,2,0)+J3278*VLOOKUP($B3278,Premissas!$A$4:$E$7,3,0))+K3278*VLOOKUP($B3278,Premissas!$A$4:$E$7,4,0)+L3278*VLOOKUP($B3278,Premissas!$A$4:$E$7,5,0))</f>
        <v/>
      </c>
      <c r="N3278" s="14">
        <f>H3278-M3278</f>
        <v/>
      </c>
      <c r="O3278" t="inlineStr">
        <is>
          <t>Não</t>
        </is>
      </c>
      <c r="P3278" t="inlineStr">
        <is>
          <t>1.350</t>
        </is>
      </c>
    </row>
    <row r="3279">
      <c r="A3279" s="24" t="n">
        <v>46143</v>
      </c>
      <c r="B3279" t="inlineStr">
        <is>
          <t>Frete de venda</t>
        </is>
      </c>
      <c r="C3279" t="inlineStr">
        <is>
          <t>Frete de venda (para clientes)</t>
        </is>
      </c>
      <c r="D3279" t="inlineStr">
        <is>
          <t>CT-e</t>
        </is>
      </c>
      <c r="E3279" t="inlineStr">
        <is>
          <t>000007123</t>
        </is>
      </c>
      <c r="F3279" t="inlineStr">
        <is>
          <t>R&amp;R TRANSPORTE E LOGISTICA</t>
        </is>
      </c>
      <c r="G3279" s="27" t="n">
        <v>46164</v>
      </c>
      <c r="H3279" s="14" t="n">
        <v>96.73999999999999</v>
      </c>
      <c r="I3279" s="14" t="n">
        <v>0</v>
      </c>
      <c r="J3279" s="14" t="n">
        <v>0</v>
      </c>
      <c r="K3279" s="14" t="n">
        <v>0</v>
      </c>
      <c r="L3279" s="14" t="n">
        <v>0</v>
      </c>
      <c r="M3279" s="14">
        <f>IF(B3279="Frete de venda",0,(1-ISNUMBER(SEARCH("556",P3279)))*(I3279*VLOOKUP($B3279,Premissas!$A$4:$E$7,2,0)+J3279*VLOOKUP($B3279,Premissas!$A$4:$E$7,3,0))+K3279*VLOOKUP($B3279,Premissas!$A$4:$E$7,4,0)+L3279*VLOOKUP($B3279,Premissas!$A$4:$E$7,5,0))</f>
        <v/>
      </c>
      <c r="N3279" s="14">
        <f>H3279-M3279</f>
        <v/>
      </c>
      <c r="O3279" t="inlineStr">
        <is>
          <t>Não</t>
        </is>
      </c>
      <c r="P3279" t="inlineStr">
        <is>
          <t>1.350</t>
        </is>
      </c>
    </row>
    <row r="3280">
      <c r="A3280" s="24" t="n">
        <v>46143</v>
      </c>
      <c r="B3280" t="inlineStr">
        <is>
          <t>Frete de venda</t>
        </is>
      </c>
      <c r="C3280" t="inlineStr">
        <is>
          <t>Frete de venda (para clientes)</t>
        </is>
      </c>
      <c r="D3280" t="inlineStr">
        <is>
          <t>CT-e</t>
        </is>
      </c>
      <c r="E3280" t="inlineStr">
        <is>
          <t>000045352</t>
        </is>
      </c>
      <c r="F3280" t="inlineStr">
        <is>
          <t>TRANSFORRECHI TRANSPORTES LTDA</t>
        </is>
      </c>
      <c r="G3280" s="27" t="n">
        <v>46171</v>
      </c>
      <c r="H3280" s="14" t="n">
        <v>1720</v>
      </c>
      <c r="I3280" s="14" t="n">
        <v>0</v>
      </c>
      <c r="J3280" s="14" t="n">
        <v>206.4</v>
      </c>
      <c r="K3280" s="14" t="n">
        <v>0</v>
      </c>
      <c r="L3280" s="14" t="n">
        <v>0</v>
      </c>
      <c r="M3280" s="14">
        <f>IF(B3280="Frete de venda",0,(1-ISNUMBER(SEARCH("556",P3280)))*(I3280*VLOOKUP($B3280,Premissas!$A$4:$E$7,2,0)+J3280*VLOOKUP($B3280,Premissas!$A$4:$E$7,3,0))+K3280*VLOOKUP($B3280,Premissas!$A$4:$E$7,4,0)+L3280*VLOOKUP($B3280,Premissas!$A$4:$E$7,5,0))</f>
        <v/>
      </c>
      <c r="N3280" s="14">
        <f>H3280-M3280</f>
        <v/>
      </c>
      <c r="O3280" t="inlineStr">
        <is>
          <t>Sim</t>
        </is>
      </c>
      <c r="P3280" t="inlineStr">
        <is>
          <t>2.350</t>
        </is>
      </c>
    </row>
    <row r="3281">
      <c r="A3281" s="24" t="n">
        <v>46143</v>
      </c>
      <c r="B3281" t="inlineStr">
        <is>
          <t>Frete de venda</t>
        </is>
      </c>
      <c r="C3281" t="inlineStr">
        <is>
          <t>Frete de venda (para clientes)</t>
        </is>
      </c>
      <c r="D3281" t="inlineStr">
        <is>
          <t>CT-e</t>
        </is>
      </c>
      <c r="E3281" t="inlineStr">
        <is>
          <t>000045353</t>
        </is>
      </c>
      <c r="F3281" t="inlineStr">
        <is>
          <t>TRANSFORRECHI TRANSPORTES LTDA</t>
        </is>
      </c>
      <c r="G3281" s="27" t="n">
        <v>46171</v>
      </c>
      <c r="H3281" s="14" t="n">
        <v>60</v>
      </c>
      <c r="I3281" s="14" t="n">
        <v>0</v>
      </c>
      <c r="J3281" s="14" t="n">
        <v>7.2</v>
      </c>
      <c r="K3281" s="14" t="n">
        <v>0</v>
      </c>
      <c r="L3281" s="14" t="n">
        <v>0</v>
      </c>
      <c r="M3281" s="14">
        <f>IF(B3281="Frete de venda",0,(1-ISNUMBER(SEARCH("556",P3281)))*(I3281*VLOOKUP($B3281,Premissas!$A$4:$E$7,2,0)+J3281*VLOOKUP($B3281,Premissas!$A$4:$E$7,3,0))+K3281*VLOOKUP($B3281,Premissas!$A$4:$E$7,4,0)+L3281*VLOOKUP($B3281,Premissas!$A$4:$E$7,5,0))</f>
        <v/>
      </c>
      <c r="N3281" s="14">
        <f>H3281-M3281</f>
        <v/>
      </c>
      <c r="O3281" t="inlineStr">
        <is>
          <t>Sim</t>
        </is>
      </c>
      <c r="P3281" t="inlineStr">
        <is>
          <t>2.350</t>
        </is>
      </c>
    </row>
    <row r="3282">
      <c r="A3282" s="24" t="n">
        <v>46143</v>
      </c>
      <c r="B3282" t="inlineStr">
        <is>
          <t>Frete de venda</t>
        </is>
      </c>
      <c r="C3282" t="inlineStr">
        <is>
          <t>Frete de venda (para clientes)</t>
        </is>
      </c>
      <c r="D3282" t="inlineStr">
        <is>
          <t>CT-e</t>
        </is>
      </c>
      <c r="E3282" t="inlineStr">
        <is>
          <t>000007018</t>
        </is>
      </c>
      <c r="F3282" t="inlineStr">
        <is>
          <t>R&amp;R TRANSPORTE E LOGISTICA</t>
        </is>
      </c>
      <c r="G3282" s="27" t="n">
        <v>46151</v>
      </c>
      <c r="H3282" s="14" t="n">
        <v>26.84</v>
      </c>
      <c r="I3282" s="14" t="n">
        <v>0</v>
      </c>
      <c r="J3282" s="14" t="n">
        <v>0</v>
      </c>
      <c r="K3282" s="14" t="n">
        <v>0</v>
      </c>
      <c r="L3282" s="14" t="n">
        <v>0</v>
      </c>
      <c r="M3282" s="14">
        <f>IF(B3282="Frete de venda",0,(1-ISNUMBER(SEARCH("556",P3282)))*(I3282*VLOOKUP($B3282,Premissas!$A$4:$E$7,2,0)+J3282*VLOOKUP($B3282,Premissas!$A$4:$E$7,3,0))+K3282*VLOOKUP($B3282,Premissas!$A$4:$E$7,4,0)+L3282*VLOOKUP($B3282,Premissas!$A$4:$E$7,5,0))</f>
        <v/>
      </c>
      <c r="N3282" s="14">
        <f>H3282-M3282</f>
        <v/>
      </c>
      <c r="O3282" t="inlineStr">
        <is>
          <t>Não</t>
        </is>
      </c>
      <c r="P3282" t="inlineStr">
        <is>
          <t>1.350</t>
        </is>
      </c>
    </row>
    <row r="3283">
      <c r="A3283" s="24" t="n">
        <v>46143</v>
      </c>
      <c r="B3283" t="inlineStr">
        <is>
          <t>Frete de venda</t>
        </is>
      </c>
      <c r="C3283" t="inlineStr">
        <is>
          <t>Frete de venda (para clientes)</t>
        </is>
      </c>
      <c r="D3283" t="inlineStr">
        <is>
          <t>CT-e</t>
        </is>
      </c>
      <c r="E3283" t="inlineStr">
        <is>
          <t>000006984</t>
        </is>
      </c>
      <c r="F3283" t="inlineStr">
        <is>
          <t>R&amp;R TRANSPORTE E LOGISTICA</t>
        </is>
      </c>
      <c r="G3283" s="27" t="n">
        <v>46147</v>
      </c>
      <c r="H3283" s="14" t="n">
        <v>81.29000000000001</v>
      </c>
      <c r="I3283" s="14" t="n">
        <v>0</v>
      </c>
      <c r="J3283" s="14" t="n">
        <v>0</v>
      </c>
      <c r="K3283" s="14" t="n">
        <v>0</v>
      </c>
      <c r="L3283" s="14" t="n">
        <v>0</v>
      </c>
      <c r="M3283" s="14">
        <f>IF(B3283="Frete de venda",0,(1-ISNUMBER(SEARCH("556",P3283)))*(I3283*VLOOKUP($B3283,Premissas!$A$4:$E$7,2,0)+J3283*VLOOKUP($B3283,Premissas!$A$4:$E$7,3,0))+K3283*VLOOKUP($B3283,Premissas!$A$4:$E$7,4,0)+L3283*VLOOKUP($B3283,Premissas!$A$4:$E$7,5,0))</f>
        <v/>
      </c>
      <c r="N3283" s="14">
        <f>H3283-M3283</f>
        <v/>
      </c>
      <c r="O3283" t="inlineStr">
        <is>
          <t>Não</t>
        </is>
      </c>
      <c r="P3283" t="inlineStr">
        <is>
          <t>1.350</t>
        </is>
      </c>
    </row>
    <row r="3284">
      <c r="A3284" s="24" t="n">
        <v>46143</v>
      </c>
      <c r="B3284" t="inlineStr">
        <is>
          <t>Frete de venda</t>
        </is>
      </c>
      <c r="C3284" t="inlineStr">
        <is>
          <t>Frete de venda (para clientes)</t>
        </is>
      </c>
      <c r="D3284" t="inlineStr">
        <is>
          <t>CT-e</t>
        </is>
      </c>
      <c r="E3284" t="inlineStr">
        <is>
          <t>000007227</t>
        </is>
      </c>
      <c r="F3284" t="inlineStr">
        <is>
          <t>R&amp;R TRANSPORTE E LOGISTICA</t>
        </is>
      </c>
      <c r="G3284" s="27" t="n">
        <v>46172</v>
      </c>
      <c r="H3284" s="14" t="n">
        <v>36.4</v>
      </c>
      <c r="I3284" s="14" t="n">
        <v>0</v>
      </c>
      <c r="J3284" s="14" t="n">
        <v>0</v>
      </c>
      <c r="K3284" s="14" t="n">
        <v>0</v>
      </c>
      <c r="L3284" s="14" t="n">
        <v>0</v>
      </c>
      <c r="M3284" s="14">
        <f>IF(B3284="Frete de venda",0,(1-ISNUMBER(SEARCH("556",P3284)))*(I3284*VLOOKUP($B3284,Premissas!$A$4:$E$7,2,0)+J3284*VLOOKUP($B3284,Premissas!$A$4:$E$7,3,0))+K3284*VLOOKUP($B3284,Premissas!$A$4:$E$7,4,0)+L3284*VLOOKUP($B3284,Premissas!$A$4:$E$7,5,0))</f>
        <v/>
      </c>
      <c r="N3284" s="14">
        <f>H3284-M3284</f>
        <v/>
      </c>
      <c r="O3284" t="inlineStr">
        <is>
          <t>Não</t>
        </is>
      </c>
      <c r="P3284" t="inlineStr">
        <is>
          <t>2.350</t>
        </is>
      </c>
    </row>
    <row r="3285">
      <c r="A3285" s="24" t="n">
        <v>46143</v>
      </c>
      <c r="B3285" t="inlineStr">
        <is>
          <t>Frete de venda</t>
        </is>
      </c>
      <c r="C3285" t="inlineStr">
        <is>
          <t>Frete de venda (para clientes)</t>
        </is>
      </c>
      <c r="D3285" t="inlineStr">
        <is>
          <t>CT-e</t>
        </is>
      </c>
      <c r="E3285" t="inlineStr">
        <is>
          <t>000007194</t>
        </is>
      </c>
      <c r="F3285" t="inlineStr">
        <is>
          <t>R&amp;R TRANSPORTE E LOGISTICA</t>
        </is>
      </c>
      <c r="G3285" s="27" t="n">
        <v>46170</v>
      </c>
      <c r="H3285" s="14" t="n">
        <v>20.09</v>
      </c>
      <c r="I3285" s="14" t="n">
        <v>0</v>
      </c>
      <c r="J3285" s="14" t="n">
        <v>0</v>
      </c>
      <c r="K3285" s="14" t="n">
        <v>0</v>
      </c>
      <c r="L3285" s="14" t="n">
        <v>0</v>
      </c>
      <c r="M3285" s="14">
        <f>IF(B3285="Frete de venda",0,(1-ISNUMBER(SEARCH("556",P3285)))*(I3285*VLOOKUP($B3285,Premissas!$A$4:$E$7,2,0)+J3285*VLOOKUP($B3285,Premissas!$A$4:$E$7,3,0))+K3285*VLOOKUP($B3285,Premissas!$A$4:$E$7,4,0)+L3285*VLOOKUP($B3285,Premissas!$A$4:$E$7,5,0))</f>
        <v/>
      </c>
      <c r="N3285" s="14">
        <f>H3285-M3285</f>
        <v/>
      </c>
      <c r="O3285" t="inlineStr">
        <is>
          <t>Não</t>
        </is>
      </c>
      <c r="P3285" t="inlineStr">
        <is>
          <t>1.350</t>
        </is>
      </c>
    </row>
    <row r="3286">
      <c r="A3286" s="24" t="n">
        <v>46143</v>
      </c>
      <c r="B3286" t="inlineStr">
        <is>
          <t>Frete de venda</t>
        </is>
      </c>
      <c r="C3286" t="inlineStr">
        <is>
          <t>Frete de venda (para clientes)</t>
        </is>
      </c>
      <c r="D3286" t="inlineStr">
        <is>
          <t>CT-e</t>
        </is>
      </c>
      <c r="E3286" t="inlineStr">
        <is>
          <t>000007071</t>
        </is>
      </c>
      <c r="F3286" t="inlineStr">
        <is>
          <t>R&amp;R TRANSPORTE E LOGISTICA</t>
        </is>
      </c>
      <c r="G3286" s="27" t="n">
        <v>46157</v>
      </c>
      <c r="H3286" s="14" t="n">
        <v>50.97</v>
      </c>
      <c r="I3286" s="14" t="n">
        <v>0</v>
      </c>
      <c r="J3286" s="14" t="n">
        <v>0</v>
      </c>
      <c r="K3286" s="14" t="n">
        <v>0</v>
      </c>
      <c r="L3286" s="14" t="n">
        <v>0</v>
      </c>
      <c r="M3286" s="14">
        <f>IF(B3286="Frete de venda",0,(1-ISNUMBER(SEARCH("556",P3286)))*(I3286*VLOOKUP($B3286,Premissas!$A$4:$E$7,2,0)+J3286*VLOOKUP($B3286,Premissas!$A$4:$E$7,3,0))+K3286*VLOOKUP($B3286,Premissas!$A$4:$E$7,4,0)+L3286*VLOOKUP($B3286,Premissas!$A$4:$E$7,5,0))</f>
        <v/>
      </c>
      <c r="N3286" s="14">
        <f>H3286-M3286</f>
        <v/>
      </c>
      <c r="O3286" t="inlineStr">
        <is>
          <t>Não</t>
        </is>
      </c>
      <c r="P3286" t="inlineStr">
        <is>
          <t>1.350</t>
        </is>
      </c>
    </row>
    <row r="3287">
      <c r="A3287" s="24" t="n">
        <v>46143</v>
      </c>
      <c r="B3287" t="inlineStr">
        <is>
          <t>Frete de venda</t>
        </is>
      </c>
      <c r="C3287" t="inlineStr">
        <is>
          <t>Frete de venda (para clientes)</t>
        </is>
      </c>
      <c r="D3287" t="inlineStr">
        <is>
          <t>CT-e</t>
        </is>
      </c>
      <c r="E3287" t="inlineStr">
        <is>
          <t>000006937</t>
        </is>
      </c>
      <c r="F3287" t="inlineStr">
        <is>
          <t>R&amp;R TRANSPORTE E LOGISTICA</t>
        </is>
      </c>
      <c r="G3287" s="27" t="n">
        <v>46143</v>
      </c>
      <c r="H3287" s="14" t="n">
        <v>15.54</v>
      </c>
      <c r="I3287" s="14" t="n">
        <v>0</v>
      </c>
      <c r="J3287" s="14" t="n">
        <v>0</v>
      </c>
      <c r="K3287" s="14" t="n">
        <v>0</v>
      </c>
      <c r="L3287" s="14" t="n">
        <v>0</v>
      </c>
      <c r="M3287" s="14">
        <f>IF(B3287="Frete de venda",0,(1-ISNUMBER(SEARCH("556",P3287)))*(I3287*VLOOKUP($B3287,Premissas!$A$4:$E$7,2,0)+J3287*VLOOKUP($B3287,Premissas!$A$4:$E$7,3,0))+K3287*VLOOKUP($B3287,Premissas!$A$4:$E$7,4,0)+L3287*VLOOKUP($B3287,Premissas!$A$4:$E$7,5,0))</f>
        <v/>
      </c>
      <c r="N3287" s="14">
        <f>H3287-M3287</f>
        <v/>
      </c>
      <c r="O3287" t="inlineStr">
        <is>
          <t>Não</t>
        </is>
      </c>
      <c r="P3287" t="inlineStr">
        <is>
          <t>1.350</t>
        </is>
      </c>
    </row>
    <row r="3288">
      <c r="A3288" s="24" t="n">
        <v>46143</v>
      </c>
      <c r="B3288" t="inlineStr">
        <is>
          <t>Frete de venda</t>
        </is>
      </c>
      <c r="C3288" t="inlineStr">
        <is>
          <t>Frete de venda (para clientes)</t>
        </is>
      </c>
      <c r="D3288" t="inlineStr">
        <is>
          <t>CT-e</t>
        </is>
      </c>
      <c r="E3288" t="inlineStr">
        <is>
          <t>000006974</t>
        </is>
      </c>
      <c r="F3288" t="inlineStr">
        <is>
          <t>R&amp;R TRANSPORTE E LOGISTICA</t>
        </is>
      </c>
      <c r="G3288" s="27" t="n">
        <v>46147</v>
      </c>
      <c r="H3288" s="14" t="n">
        <v>73.84</v>
      </c>
      <c r="I3288" s="14" t="n">
        <v>0</v>
      </c>
      <c r="J3288" s="14" t="n">
        <v>0</v>
      </c>
      <c r="K3288" s="14" t="n">
        <v>0</v>
      </c>
      <c r="L3288" s="14" t="n">
        <v>0</v>
      </c>
      <c r="M3288" s="14">
        <f>IF(B3288="Frete de venda",0,(1-ISNUMBER(SEARCH("556",P3288)))*(I3288*VLOOKUP($B3288,Premissas!$A$4:$E$7,2,0)+J3288*VLOOKUP($B3288,Premissas!$A$4:$E$7,3,0))+K3288*VLOOKUP($B3288,Premissas!$A$4:$E$7,4,0)+L3288*VLOOKUP($B3288,Premissas!$A$4:$E$7,5,0))</f>
        <v/>
      </c>
      <c r="N3288" s="14">
        <f>H3288-M3288</f>
        <v/>
      </c>
      <c r="O3288" t="inlineStr">
        <is>
          <t>Não</t>
        </is>
      </c>
      <c r="P3288" t="inlineStr">
        <is>
          <t>1.350</t>
        </is>
      </c>
    </row>
    <row r="3289">
      <c r="A3289" s="24" t="n">
        <v>46143</v>
      </c>
      <c r="B3289" t="inlineStr">
        <is>
          <t>Frete de venda</t>
        </is>
      </c>
      <c r="C3289" t="inlineStr">
        <is>
          <t>Frete de venda (para clientes)</t>
        </is>
      </c>
      <c r="D3289" t="inlineStr">
        <is>
          <t>CT-e</t>
        </is>
      </c>
      <c r="E3289" t="inlineStr">
        <is>
          <t>000007198</t>
        </is>
      </c>
      <c r="F3289" t="inlineStr">
        <is>
          <t>R&amp;R TRANSPORTE E LOGISTICA</t>
        </is>
      </c>
      <c r="G3289" s="27" t="n">
        <v>46170</v>
      </c>
      <c r="H3289" s="14" t="n">
        <v>11.13</v>
      </c>
      <c r="I3289" s="14" t="n">
        <v>0</v>
      </c>
      <c r="J3289" s="14" t="n">
        <v>0</v>
      </c>
      <c r="K3289" s="14" t="n">
        <v>0</v>
      </c>
      <c r="L3289" s="14" t="n">
        <v>0</v>
      </c>
      <c r="M3289" s="14">
        <f>IF(B3289="Frete de venda",0,(1-ISNUMBER(SEARCH("556",P3289)))*(I3289*VLOOKUP($B3289,Premissas!$A$4:$E$7,2,0)+J3289*VLOOKUP($B3289,Premissas!$A$4:$E$7,3,0))+K3289*VLOOKUP($B3289,Premissas!$A$4:$E$7,4,0)+L3289*VLOOKUP($B3289,Premissas!$A$4:$E$7,5,0))</f>
        <v/>
      </c>
      <c r="N3289" s="14">
        <f>H3289-M3289</f>
        <v/>
      </c>
      <c r="O3289" t="inlineStr">
        <is>
          <t>Não</t>
        </is>
      </c>
      <c r="P3289" t="inlineStr">
        <is>
          <t>1.350</t>
        </is>
      </c>
    </row>
    <row r="3290">
      <c r="A3290" s="24" t="n">
        <v>46143</v>
      </c>
      <c r="B3290" t="inlineStr">
        <is>
          <t>Frete de venda</t>
        </is>
      </c>
      <c r="C3290" t="inlineStr">
        <is>
          <t>Frete de venda (para clientes)</t>
        </is>
      </c>
      <c r="D3290" t="inlineStr">
        <is>
          <t>CT-e</t>
        </is>
      </c>
      <c r="E3290" t="inlineStr">
        <is>
          <t>000007017</t>
        </is>
      </c>
      <c r="F3290" t="inlineStr">
        <is>
          <t>R&amp;R TRANSPORTE E LOGISTICA</t>
        </is>
      </c>
      <c r="G3290" s="27" t="n">
        <v>46151</v>
      </c>
      <c r="H3290" s="14" t="n">
        <v>64.86</v>
      </c>
      <c r="I3290" s="14" t="n">
        <v>0</v>
      </c>
      <c r="J3290" s="14" t="n">
        <v>0</v>
      </c>
      <c r="K3290" s="14" t="n">
        <v>0</v>
      </c>
      <c r="L3290" s="14" t="n">
        <v>0</v>
      </c>
      <c r="M3290" s="14">
        <f>IF(B3290="Frete de venda",0,(1-ISNUMBER(SEARCH("556",P3290)))*(I3290*VLOOKUP($B3290,Premissas!$A$4:$E$7,2,0)+J3290*VLOOKUP($B3290,Premissas!$A$4:$E$7,3,0))+K3290*VLOOKUP($B3290,Premissas!$A$4:$E$7,4,0)+L3290*VLOOKUP($B3290,Premissas!$A$4:$E$7,5,0))</f>
        <v/>
      </c>
      <c r="N3290" s="14">
        <f>H3290-M3290</f>
        <v/>
      </c>
      <c r="O3290" t="inlineStr">
        <is>
          <t>Não</t>
        </is>
      </c>
      <c r="P3290" t="inlineStr">
        <is>
          <t>1.350</t>
        </is>
      </c>
    </row>
    <row r="3291">
      <c r="A3291" s="24" t="n">
        <v>46143</v>
      </c>
      <c r="B3291" t="inlineStr">
        <is>
          <t>Frete de venda</t>
        </is>
      </c>
      <c r="C3291" t="inlineStr">
        <is>
          <t>Frete de venda (para clientes)</t>
        </is>
      </c>
      <c r="D3291" t="inlineStr">
        <is>
          <t>CT-e</t>
        </is>
      </c>
      <c r="E3291" t="inlineStr">
        <is>
          <t>000006956</t>
        </is>
      </c>
      <c r="F3291" t="inlineStr">
        <is>
          <t>R&amp;R TRANSPORTE E LOGISTICA</t>
        </is>
      </c>
      <c r="G3291" s="27" t="n">
        <v>46143</v>
      </c>
      <c r="H3291" s="14" t="n">
        <v>12.89</v>
      </c>
      <c r="I3291" s="14" t="n">
        <v>0</v>
      </c>
      <c r="J3291" s="14" t="n">
        <v>0</v>
      </c>
      <c r="K3291" s="14" t="n">
        <v>0</v>
      </c>
      <c r="L3291" s="14" t="n">
        <v>0</v>
      </c>
      <c r="M3291" s="14">
        <f>IF(B3291="Frete de venda",0,(1-ISNUMBER(SEARCH("556",P3291)))*(I3291*VLOOKUP($B3291,Premissas!$A$4:$E$7,2,0)+J3291*VLOOKUP($B3291,Premissas!$A$4:$E$7,3,0))+K3291*VLOOKUP($B3291,Premissas!$A$4:$E$7,4,0)+L3291*VLOOKUP($B3291,Premissas!$A$4:$E$7,5,0))</f>
        <v/>
      </c>
      <c r="N3291" s="14">
        <f>H3291-M3291</f>
        <v/>
      </c>
      <c r="O3291" t="inlineStr">
        <is>
          <t>Não</t>
        </is>
      </c>
      <c r="P3291" t="inlineStr">
        <is>
          <t>1.350</t>
        </is>
      </c>
    </row>
    <row r="3292">
      <c r="A3292" s="24" t="n">
        <v>46143</v>
      </c>
      <c r="B3292" t="inlineStr">
        <is>
          <t>Frete de venda</t>
        </is>
      </c>
      <c r="C3292" t="inlineStr">
        <is>
          <t>Frete de venda (para clientes)</t>
        </is>
      </c>
      <c r="D3292" t="inlineStr">
        <is>
          <t>CT-e</t>
        </is>
      </c>
      <c r="E3292" t="inlineStr">
        <is>
          <t>000006941</t>
        </is>
      </c>
      <c r="F3292" t="inlineStr">
        <is>
          <t>R&amp;R TRANSPORTE E LOGISTICA</t>
        </is>
      </c>
      <c r="G3292" s="27" t="n">
        <v>46143</v>
      </c>
      <c r="H3292" s="14" t="n">
        <v>14.19</v>
      </c>
      <c r="I3292" s="14" t="n">
        <v>0</v>
      </c>
      <c r="J3292" s="14" t="n">
        <v>0</v>
      </c>
      <c r="K3292" s="14" t="n">
        <v>0</v>
      </c>
      <c r="L3292" s="14" t="n">
        <v>0</v>
      </c>
      <c r="M3292" s="14">
        <f>IF(B3292="Frete de venda",0,(1-ISNUMBER(SEARCH("556",P3292)))*(I3292*VLOOKUP($B3292,Premissas!$A$4:$E$7,2,0)+J3292*VLOOKUP($B3292,Premissas!$A$4:$E$7,3,0))+K3292*VLOOKUP($B3292,Premissas!$A$4:$E$7,4,0)+L3292*VLOOKUP($B3292,Premissas!$A$4:$E$7,5,0))</f>
        <v/>
      </c>
      <c r="N3292" s="14">
        <f>H3292-M3292</f>
        <v/>
      </c>
      <c r="O3292" t="inlineStr">
        <is>
          <t>Não</t>
        </is>
      </c>
      <c r="P3292" t="inlineStr">
        <is>
          <t>1.350</t>
        </is>
      </c>
    </row>
    <row r="3293">
      <c r="A3293" s="24" t="n">
        <v>46143</v>
      </c>
      <c r="B3293" t="inlineStr">
        <is>
          <t>Frete de venda</t>
        </is>
      </c>
      <c r="C3293" t="inlineStr">
        <is>
          <t>Frete de venda (para clientes)</t>
        </is>
      </c>
      <c r="D3293" t="inlineStr">
        <is>
          <t>CT-e</t>
        </is>
      </c>
      <c r="E3293" t="inlineStr">
        <is>
          <t>000007109</t>
        </is>
      </c>
      <c r="F3293" t="inlineStr">
        <is>
          <t>R&amp;R TRANSPORTE E LOGISTICA</t>
        </is>
      </c>
      <c r="G3293" s="27" t="n">
        <v>46163</v>
      </c>
      <c r="H3293" s="14" t="n">
        <v>36.86</v>
      </c>
      <c r="I3293" s="14" t="n">
        <v>0</v>
      </c>
      <c r="J3293" s="14" t="n">
        <v>0</v>
      </c>
      <c r="K3293" s="14" t="n">
        <v>0</v>
      </c>
      <c r="L3293" s="14" t="n">
        <v>0</v>
      </c>
      <c r="M3293" s="14">
        <f>IF(B3293="Frete de venda",0,(1-ISNUMBER(SEARCH("556",P3293)))*(I3293*VLOOKUP($B3293,Premissas!$A$4:$E$7,2,0)+J3293*VLOOKUP($B3293,Premissas!$A$4:$E$7,3,0))+K3293*VLOOKUP($B3293,Premissas!$A$4:$E$7,4,0)+L3293*VLOOKUP($B3293,Premissas!$A$4:$E$7,5,0))</f>
        <v/>
      </c>
      <c r="N3293" s="14">
        <f>H3293-M3293</f>
        <v/>
      </c>
      <c r="O3293" t="inlineStr">
        <is>
          <t>Não</t>
        </is>
      </c>
      <c r="P3293" t="inlineStr">
        <is>
          <t>1.350</t>
        </is>
      </c>
    </row>
    <row r="3294">
      <c r="A3294" s="24" t="n">
        <v>46143</v>
      </c>
      <c r="B3294" t="inlineStr">
        <is>
          <t>Frete de venda</t>
        </is>
      </c>
      <c r="C3294" t="inlineStr">
        <is>
          <t>Frete de venda (para clientes)</t>
        </is>
      </c>
      <c r="D3294" t="inlineStr">
        <is>
          <t>CT-e</t>
        </is>
      </c>
      <c r="E3294" t="inlineStr">
        <is>
          <t>000007057</t>
        </is>
      </c>
      <c r="F3294" t="inlineStr">
        <is>
          <t>R&amp;R TRANSPORTE E LOGISTICA</t>
        </is>
      </c>
      <c r="G3294" s="27" t="n">
        <v>46156</v>
      </c>
      <c r="H3294" s="14" t="n">
        <v>300</v>
      </c>
      <c r="I3294" s="14" t="n">
        <v>0</v>
      </c>
      <c r="J3294" s="14" t="n">
        <v>0</v>
      </c>
      <c r="K3294" s="14" t="n">
        <v>0</v>
      </c>
      <c r="L3294" s="14" t="n">
        <v>0</v>
      </c>
      <c r="M3294" s="14">
        <f>IF(B3294="Frete de venda",0,(1-ISNUMBER(SEARCH("556",P3294)))*(I3294*VLOOKUP($B3294,Premissas!$A$4:$E$7,2,0)+J3294*VLOOKUP($B3294,Premissas!$A$4:$E$7,3,0))+K3294*VLOOKUP($B3294,Premissas!$A$4:$E$7,4,0)+L3294*VLOOKUP($B3294,Premissas!$A$4:$E$7,5,0))</f>
        <v/>
      </c>
      <c r="N3294" s="14">
        <f>H3294-M3294</f>
        <v/>
      </c>
      <c r="O3294" t="inlineStr">
        <is>
          <t>Não</t>
        </is>
      </c>
      <c r="P3294" t="inlineStr">
        <is>
          <t>1.350</t>
        </is>
      </c>
    </row>
    <row r="3295">
      <c r="A3295" s="24" t="n">
        <v>46143</v>
      </c>
      <c r="B3295" t="inlineStr">
        <is>
          <t>Frete de venda</t>
        </is>
      </c>
      <c r="C3295" t="inlineStr">
        <is>
          <t>Frete de venda (para clientes)</t>
        </is>
      </c>
      <c r="D3295" t="inlineStr">
        <is>
          <t>CT-e</t>
        </is>
      </c>
      <c r="E3295" t="inlineStr">
        <is>
          <t>000007058</t>
        </is>
      </c>
      <c r="F3295" t="inlineStr">
        <is>
          <t>R&amp;R TRANSPORTE E LOGISTICA</t>
        </is>
      </c>
      <c r="G3295" s="27" t="n">
        <v>46156</v>
      </c>
      <c r="H3295" s="14" t="n">
        <v>300</v>
      </c>
      <c r="I3295" s="14" t="n">
        <v>0</v>
      </c>
      <c r="J3295" s="14" t="n">
        <v>0</v>
      </c>
      <c r="K3295" s="14" t="n">
        <v>0</v>
      </c>
      <c r="L3295" s="14" t="n">
        <v>0</v>
      </c>
      <c r="M3295" s="14">
        <f>IF(B3295="Frete de venda",0,(1-ISNUMBER(SEARCH("556",P3295)))*(I3295*VLOOKUP($B3295,Premissas!$A$4:$E$7,2,0)+J3295*VLOOKUP($B3295,Premissas!$A$4:$E$7,3,0))+K3295*VLOOKUP($B3295,Premissas!$A$4:$E$7,4,0)+L3295*VLOOKUP($B3295,Premissas!$A$4:$E$7,5,0))</f>
        <v/>
      </c>
      <c r="N3295" s="14">
        <f>H3295-M3295</f>
        <v/>
      </c>
      <c r="O3295" t="inlineStr">
        <is>
          <t>Não</t>
        </is>
      </c>
      <c r="P3295" t="inlineStr">
        <is>
          <t>1.350</t>
        </is>
      </c>
    </row>
    <row r="3296">
      <c r="A3296" s="24" t="n">
        <v>46143</v>
      </c>
      <c r="B3296" t="inlineStr">
        <is>
          <t>Frete de venda</t>
        </is>
      </c>
      <c r="C3296" t="inlineStr">
        <is>
          <t>Frete de venda (para clientes)</t>
        </is>
      </c>
      <c r="D3296" t="inlineStr">
        <is>
          <t>CT-e</t>
        </is>
      </c>
      <c r="E3296" t="inlineStr">
        <is>
          <t>000007059</t>
        </is>
      </c>
      <c r="F3296" t="inlineStr">
        <is>
          <t>R&amp;R TRANSPORTE E LOGISTICA</t>
        </is>
      </c>
      <c r="G3296" s="27" t="n">
        <v>46156</v>
      </c>
      <c r="H3296" s="14" t="n">
        <v>300</v>
      </c>
      <c r="I3296" s="14" t="n">
        <v>0</v>
      </c>
      <c r="J3296" s="14" t="n">
        <v>0</v>
      </c>
      <c r="K3296" s="14" t="n">
        <v>0</v>
      </c>
      <c r="L3296" s="14" t="n">
        <v>0</v>
      </c>
      <c r="M3296" s="14">
        <f>IF(B3296="Frete de venda",0,(1-ISNUMBER(SEARCH("556",P3296)))*(I3296*VLOOKUP($B3296,Premissas!$A$4:$E$7,2,0)+J3296*VLOOKUP($B3296,Premissas!$A$4:$E$7,3,0))+K3296*VLOOKUP($B3296,Premissas!$A$4:$E$7,4,0)+L3296*VLOOKUP($B3296,Premissas!$A$4:$E$7,5,0))</f>
        <v/>
      </c>
      <c r="N3296" s="14">
        <f>H3296-M3296</f>
        <v/>
      </c>
      <c r="O3296" t="inlineStr">
        <is>
          <t>Não</t>
        </is>
      </c>
      <c r="P3296" t="inlineStr">
        <is>
          <t>1.350</t>
        </is>
      </c>
    </row>
    <row r="3297">
      <c r="A3297" s="24" t="n">
        <v>46143</v>
      </c>
      <c r="B3297" t="inlineStr">
        <is>
          <t>Frete de venda</t>
        </is>
      </c>
      <c r="C3297" t="inlineStr">
        <is>
          <t>Frete de venda (para clientes)</t>
        </is>
      </c>
      <c r="D3297" t="inlineStr">
        <is>
          <t>CT-e</t>
        </is>
      </c>
      <c r="E3297" t="inlineStr">
        <is>
          <t>000007060</t>
        </is>
      </c>
      <c r="F3297" t="inlineStr">
        <is>
          <t>R&amp;R TRANSPORTE E LOGISTICA</t>
        </is>
      </c>
      <c r="G3297" s="27" t="n">
        <v>46156</v>
      </c>
      <c r="H3297" s="14" t="n">
        <v>300</v>
      </c>
      <c r="I3297" s="14" t="n">
        <v>0</v>
      </c>
      <c r="J3297" s="14" t="n">
        <v>0</v>
      </c>
      <c r="K3297" s="14" t="n">
        <v>0</v>
      </c>
      <c r="L3297" s="14" t="n">
        <v>0</v>
      </c>
      <c r="M3297" s="14">
        <f>IF(B3297="Frete de venda",0,(1-ISNUMBER(SEARCH("556",P3297)))*(I3297*VLOOKUP($B3297,Premissas!$A$4:$E$7,2,0)+J3297*VLOOKUP($B3297,Premissas!$A$4:$E$7,3,0))+K3297*VLOOKUP($B3297,Premissas!$A$4:$E$7,4,0)+L3297*VLOOKUP($B3297,Premissas!$A$4:$E$7,5,0))</f>
        <v/>
      </c>
      <c r="N3297" s="14">
        <f>H3297-M3297</f>
        <v/>
      </c>
      <c r="O3297" t="inlineStr">
        <is>
          <t>Não</t>
        </is>
      </c>
      <c r="P3297" t="inlineStr">
        <is>
          <t>1.350</t>
        </is>
      </c>
    </row>
    <row r="3298">
      <c r="A3298" s="24" t="n">
        <v>46143</v>
      </c>
      <c r="B3298" t="inlineStr">
        <is>
          <t>Frete de venda</t>
        </is>
      </c>
      <c r="C3298" t="inlineStr">
        <is>
          <t>Frete de venda (para clientes)</t>
        </is>
      </c>
      <c r="D3298" t="inlineStr">
        <is>
          <t>CT-e</t>
        </is>
      </c>
      <c r="E3298" t="inlineStr">
        <is>
          <t>000007061</t>
        </is>
      </c>
      <c r="F3298" t="inlineStr">
        <is>
          <t>R&amp;R TRANSPORTE E LOGISTICA</t>
        </is>
      </c>
      <c r="G3298" s="27" t="n">
        <v>46156</v>
      </c>
      <c r="H3298" s="14" t="n">
        <v>300</v>
      </c>
      <c r="I3298" s="14" t="n">
        <v>0</v>
      </c>
      <c r="J3298" s="14" t="n">
        <v>0</v>
      </c>
      <c r="K3298" s="14" t="n">
        <v>0</v>
      </c>
      <c r="L3298" s="14" t="n">
        <v>0</v>
      </c>
      <c r="M3298" s="14">
        <f>IF(B3298="Frete de venda",0,(1-ISNUMBER(SEARCH("556",P3298)))*(I3298*VLOOKUP($B3298,Premissas!$A$4:$E$7,2,0)+J3298*VLOOKUP($B3298,Premissas!$A$4:$E$7,3,0))+K3298*VLOOKUP($B3298,Premissas!$A$4:$E$7,4,0)+L3298*VLOOKUP($B3298,Premissas!$A$4:$E$7,5,0))</f>
        <v/>
      </c>
      <c r="N3298" s="14">
        <f>H3298-M3298</f>
        <v/>
      </c>
      <c r="O3298" t="inlineStr">
        <is>
          <t>Não</t>
        </is>
      </c>
      <c r="P3298" t="inlineStr">
        <is>
          <t>1.350</t>
        </is>
      </c>
    </row>
    <row r="3299">
      <c r="A3299" s="24" t="n">
        <v>46143</v>
      </c>
      <c r="B3299" t="inlineStr">
        <is>
          <t>Frete de venda</t>
        </is>
      </c>
      <c r="C3299" t="inlineStr">
        <is>
          <t>Frete de venda (para clientes)</t>
        </is>
      </c>
      <c r="D3299" t="inlineStr">
        <is>
          <t>CT-e</t>
        </is>
      </c>
      <c r="E3299" t="inlineStr">
        <is>
          <t>000007076</t>
        </is>
      </c>
      <c r="F3299" t="inlineStr">
        <is>
          <t>R&amp;R TRANSPORTE E LOGISTICA</t>
        </is>
      </c>
      <c r="G3299" s="27" t="n">
        <v>46157</v>
      </c>
      <c r="H3299" s="14" t="n">
        <v>700</v>
      </c>
      <c r="I3299" s="14" t="n">
        <v>0</v>
      </c>
      <c r="J3299" s="14" t="n">
        <v>0</v>
      </c>
      <c r="K3299" s="14" t="n">
        <v>0</v>
      </c>
      <c r="L3299" s="14" t="n">
        <v>0</v>
      </c>
      <c r="M3299" s="14">
        <f>IF(B3299="Frete de venda",0,(1-ISNUMBER(SEARCH("556",P3299)))*(I3299*VLOOKUP($B3299,Premissas!$A$4:$E$7,2,0)+J3299*VLOOKUP($B3299,Premissas!$A$4:$E$7,3,0))+K3299*VLOOKUP($B3299,Premissas!$A$4:$E$7,4,0)+L3299*VLOOKUP($B3299,Premissas!$A$4:$E$7,5,0))</f>
        <v/>
      </c>
      <c r="N3299" s="14">
        <f>H3299-M3299</f>
        <v/>
      </c>
      <c r="O3299" t="inlineStr">
        <is>
          <t>Não</t>
        </is>
      </c>
      <c r="P3299" t="inlineStr">
        <is>
          <t>1.350</t>
        </is>
      </c>
    </row>
    <row r="3300">
      <c r="A3300" s="24" t="n">
        <v>46143</v>
      </c>
      <c r="B3300" t="inlineStr">
        <is>
          <t>Insumos e papel</t>
        </is>
      </c>
      <c r="C3300" t="inlineStr">
        <is>
          <t>2.01.03 Compra de Matéria Prima (Papel)</t>
        </is>
      </c>
      <c r="D3300" t="inlineStr">
        <is>
          <t>NF-e</t>
        </is>
      </c>
      <c r="E3300" t="inlineStr">
        <is>
          <t>000013140</t>
        </is>
      </c>
      <c r="F3300" t="inlineStr">
        <is>
          <t>CMPC Iguacu Embalagens Ltda</t>
        </is>
      </c>
      <c r="G3300" s="27" t="n">
        <v>46154</v>
      </c>
      <c r="H3300" s="14" t="n">
        <v>144313.49</v>
      </c>
      <c r="I3300" s="14" t="n">
        <v>4542.56</v>
      </c>
      <c r="J3300" s="14" t="n">
        <v>9783.969999999999</v>
      </c>
      <c r="K3300" s="14" t="n">
        <v>2144.78</v>
      </c>
      <c r="L3300" s="14" t="n">
        <v>9879.01</v>
      </c>
      <c r="M3300" s="14">
        <f>IF(B3300="Frete de venda",0,(1-ISNUMBER(SEARCH("556",P3300)))*(I3300*VLOOKUP($B3300,Premissas!$A$4:$E$7,2,0)+J3300*VLOOKUP($B3300,Premissas!$A$4:$E$7,3,0))+K3300*VLOOKUP($B3300,Premissas!$A$4:$E$7,4,0)+L3300*VLOOKUP($B3300,Premissas!$A$4:$E$7,5,0))</f>
        <v/>
      </c>
      <c r="N3300" s="14">
        <f>H3300-M3300</f>
        <v/>
      </c>
      <c r="O3300" t="inlineStr">
        <is>
          <t>Sim</t>
        </is>
      </c>
      <c r="P3300" t="inlineStr">
        <is>
          <t>2.101</t>
        </is>
      </c>
    </row>
    <row r="3301">
      <c r="A3301" s="24" t="n">
        <v>46143</v>
      </c>
      <c r="B3301" t="inlineStr">
        <is>
          <t>Insumos e papel</t>
        </is>
      </c>
      <c r="C3301" t="inlineStr">
        <is>
          <t>2.01.03 Compra de Matéria Prima (Papel)</t>
        </is>
      </c>
      <c r="D3301" t="inlineStr">
        <is>
          <t>NF-e</t>
        </is>
      </c>
      <c r="E3301" t="inlineStr">
        <is>
          <t>000013143</t>
        </is>
      </c>
      <c r="F3301" t="inlineStr">
        <is>
          <t>CMPC Iguacu Embalagens Ltda</t>
        </is>
      </c>
      <c r="G3301" s="27" t="n">
        <v>46154</v>
      </c>
      <c r="H3301" s="14" t="n">
        <v>142621.32</v>
      </c>
      <c r="I3301" s="14" t="n">
        <v>4489.29</v>
      </c>
      <c r="J3301" s="14" t="n">
        <v>9669.25</v>
      </c>
      <c r="K3301" s="14" t="n">
        <v>2119.63</v>
      </c>
      <c r="L3301" s="14" t="n">
        <v>9763.18</v>
      </c>
      <c r="M3301" s="14">
        <f>IF(B3301="Frete de venda",0,(1-ISNUMBER(SEARCH("556",P3301)))*(I3301*VLOOKUP($B3301,Premissas!$A$4:$E$7,2,0)+J3301*VLOOKUP($B3301,Premissas!$A$4:$E$7,3,0))+K3301*VLOOKUP($B3301,Premissas!$A$4:$E$7,4,0)+L3301*VLOOKUP($B3301,Premissas!$A$4:$E$7,5,0))</f>
        <v/>
      </c>
      <c r="N3301" s="14">
        <f>H3301-M3301</f>
        <v/>
      </c>
      <c r="O3301" t="inlineStr">
        <is>
          <t>Sim</t>
        </is>
      </c>
      <c r="P3301" t="inlineStr">
        <is>
          <t>2.101</t>
        </is>
      </c>
    </row>
    <row r="3302">
      <c r="A3302" s="24" t="n">
        <v>46143</v>
      </c>
      <c r="B3302" t="inlineStr">
        <is>
          <t>Insumos e papel</t>
        </is>
      </c>
      <c r="C3302" t="inlineStr">
        <is>
          <t>2.01.03 Compra de Matéria Prima (Papel)</t>
        </is>
      </c>
      <c r="D3302" t="inlineStr">
        <is>
          <t>NF-e</t>
        </is>
      </c>
      <c r="E3302" t="inlineStr">
        <is>
          <t>000013163</t>
        </is>
      </c>
      <c r="F3302" t="inlineStr">
        <is>
          <t>CMPC Iguacu Embalagens Ltda</t>
        </is>
      </c>
      <c r="G3302" s="27" t="n">
        <v>46154</v>
      </c>
      <c r="H3302" s="14" t="n">
        <v>140016.38</v>
      </c>
      <c r="I3302" s="14" t="n">
        <v>4407.3</v>
      </c>
      <c r="J3302" s="14" t="n">
        <v>9492.639999999999</v>
      </c>
      <c r="K3302" s="14" t="n">
        <v>2080.92</v>
      </c>
      <c r="L3302" s="14" t="n">
        <v>9584.85</v>
      </c>
      <c r="M3302" s="14">
        <f>IF(B3302="Frete de venda",0,(1-ISNUMBER(SEARCH("556",P3302)))*(I3302*VLOOKUP($B3302,Premissas!$A$4:$E$7,2,0)+J3302*VLOOKUP($B3302,Premissas!$A$4:$E$7,3,0))+K3302*VLOOKUP($B3302,Premissas!$A$4:$E$7,4,0)+L3302*VLOOKUP($B3302,Premissas!$A$4:$E$7,5,0))</f>
        <v/>
      </c>
      <c r="N3302" s="14">
        <f>H3302-M3302</f>
        <v/>
      </c>
      <c r="O3302" t="inlineStr">
        <is>
          <t>Sim</t>
        </is>
      </c>
      <c r="P3302" t="inlineStr">
        <is>
          <t>1.556</t>
        </is>
      </c>
    </row>
    <row r="3303">
      <c r="A3303" s="24" t="n">
        <v>46143</v>
      </c>
      <c r="B3303" t="inlineStr">
        <is>
          <t>Insumos e papel</t>
        </is>
      </c>
      <c r="C3303" t="inlineStr">
        <is>
          <t>2.01.03 Compra de Matéria Prima (Papel)</t>
        </is>
      </c>
      <c r="D3303" t="inlineStr">
        <is>
          <t>NF-e</t>
        </is>
      </c>
      <c r="E3303" t="inlineStr">
        <is>
          <t>000013159</t>
        </is>
      </c>
      <c r="F3303" t="inlineStr">
        <is>
          <t>CMPC Iguacu Embalagens Ltda</t>
        </is>
      </c>
      <c r="G3303" s="27" t="n">
        <v>46154</v>
      </c>
      <c r="H3303" s="14" t="n">
        <v>141991.44</v>
      </c>
      <c r="I3303" s="14" t="n">
        <v>4469.46</v>
      </c>
      <c r="J3303" s="14" t="n">
        <v>9626.540000000001</v>
      </c>
      <c r="K3303" s="14" t="n">
        <v>2110.27</v>
      </c>
      <c r="L3303" s="14" t="n">
        <v>9720.049999999999</v>
      </c>
      <c r="M3303" s="14">
        <f>IF(B3303="Frete de venda",0,(1-ISNUMBER(SEARCH("556",P3303)))*(I3303*VLOOKUP($B3303,Premissas!$A$4:$E$7,2,0)+J3303*VLOOKUP($B3303,Premissas!$A$4:$E$7,3,0))+K3303*VLOOKUP($B3303,Premissas!$A$4:$E$7,4,0)+L3303*VLOOKUP($B3303,Premissas!$A$4:$E$7,5,0))</f>
        <v/>
      </c>
      <c r="N3303" s="14">
        <f>H3303-M3303</f>
        <v/>
      </c>
      <c r="O3303" t="inlineStr">
        <is>
          <t>Sim</t>
        </is>
      </c>
      <c r="P3303" t="inlineStr">
        <is>
          <t>1.556</t>
        </is>
      </c>
    </row>
    <row r="3304">
      <c r="A3304" s="24" t="n">
        <v>46143</v>
      </c>
      <c r="B3304" t="inlineStr">
        <is>
          <t>Insumos e papel</t>
        </is>
      </c>
      <c r="C3304" t="inlineStr">
        <is>
          <t>2.01.03 Compra de Matéria Prima (Papel)</t>
        </is>
      </c>
      <c r="D3304" t="inlineStr">
        <is>
          <t>NF-e</t>
        </is>
      </c>
      <c r="E3304" t="inlineStr">
        <is>
          <t>000013262</t>
        </is>
      </c>
      <c r="F3304" t="inlineStr">
        <is>
          <t>CMPC Iguacu Embalagens Ltda</t>
        </is>
      </c>
      <c r="G3304" s="27" t="n">
        <v>46163</v>
      </c>
      <c r="H3304" s="14" t="n">
        <v>143982.53</v>
      </c>
      <c r="I3304" s="14" t="n">
        <v>4532.14</v>
      </c>
      <c r="J3304" s="14" t="n">
        <v>9761.52</v>
      </c>
      <c r="K3304" s="14" t="n">
        <v>2139.86</v>
      </c>
      <c r="L3304" s="14" t="n">
        <v>9856.35</v>
      </c>
      <c r="M3304" s="14">
        <f>IF(B3304="Frete de venda",0,(1-ISNUMBER(SEARCH("556",P3304)))*(I3304*VLOOKUP($B3304,Premissas!$A$4:$E$7,2,0)+J3304*VLOOKUP($B3304,Premissas!$A$4:$E$7,3,0))+K3304*VLOOKUP($B3304,Premissas!$A$4:$E$7,4,0)+L3304*VLOOKUP($B3304,Premissas!$A$4:$E$7,5,0))</f>
        <v/>
      </c>
      <c r="N3304" s="14">
        <f>H3304-M3304</f>
        <v/>
      </c>
      <c r="O3304" t="inlineStr">
        <is>
          <t>Sim</t>
        </is>
      </c>
      <c r="P3304" t="inlineStr">
        <is>
          <t>2.101</t>
        </is>
      </c>
    </row>
    <row r="3305">
      <c r="A3305" s="24" t="n">
        <v>46143</v>
      </c>
      <c r="B3305" t="inlineStr">
        <is>
          <t>Insumos e papel</t>
        </is>
      </c>
      <c r="C3305" t="inlineStr">
        <is>
          <t>2.01.03 Compra de Matéria Prima (Papel)</t>
        </is>
      </c>
      <c r="D3305" t="inlineStr">
        <is>
          <t>NF-e</t>
        </is>
      </c>
      <c r="E3305" t="inlineStr">
        <is>
          <t>000013268</t>
        </is>
      </c>
      <c r="F3305" t="inlineStr">
        <is>
          <t>CMPC Iguacu Embalagens Ltda</t>
        </is>
      </c>
      <c r="G3305" s="27" t="n">
        <v>46163</v>
      </c>
      <c r="H3305" s="14" t="n">
        <v>143240.55</v>
      </c>
      <c r="I3305" s="14" t="n">
        <v>4508.78</v>
      </c>
      <c r="J3305" s="14" t="n">
        <v>9711.23</v>
      </c>
      <c r="K3305" s="14" t="n">
        <v>2128.84</v>
      </c>
      <c r="L3305" s="14" t="n">
        <v>9805.559999999999</v>
      </c>
      <c r="M3305" s="14">
        <f>IF(B3305="Frete de venda",0,(1-ISNUMBER(SEARCH("556",P3305)))*(I3305*VLOOKUP($B3305,Premissas!$A$4:$E$7,2,0)+J3305*VLOOKUP($B3305,Premissas!$A$4:$E$7,3,0))+K3305*VLOOKUP($B3305,Premissas!$A$4:$E$7,4,0)+L3305*VLOOKUP($B3305,Premissas!$A$4:$E$7,5,0))</f>
        <v/>
      </c>
      <c r="N3305" s="14">
        <f>H3305-M3305</f>
        <v/>
      </c>
      <c r="O3305" t="inlineStr">
        <is>
          <t>Sim</t>
        </is>
      </c>
      <c r="P3305" t="inlineStr">
        <is>
          <t>2.101</t>
        </is>
      </c>
    </row>
    <row r="3306">
      <c r="A3306" s="24" t="n">
        <v>46143</v>
      </c>
      <c r="B3306" t="inlineStr">
        <is>
          <t>Insumos e papel</t>
        </is>
      </c>
      <c r="C3306" t="inlineStr">
        <is>
          <t>2.01.03 Compra de Matéria Prima (Papel)</t>
        </is>
      </c>
      <c r="D3306" t="inlineStr">
        <is>
          <t>NF-e</t>
        </is>
      </c>
      <c r="E3306" t="inlineStr">
        <is>
          <t>000013279</t>
        </is>
      </c>
      <c r="F3306" t="inlineStr">
        <is>
          <t>CMPC Iguacu Embalagens Ltda</t>
        </is>
      </c>
      <c r="G3306" s="27" t="n">
        <v>46164</v>
      </c>
      <c r="H3306" s="14" t="n">
        <v>143640.89</v>
      </c>
      <c r="I3306" s="14" t="n">
        <v>4521.38</v>
      </c>
      <c r="J3306" s="14" t="n">
        <v>9738.370000000001</v>
      </c>
      <c r="K3306" s="14" t="n">
        <v>2134.79</v>
      </c>
      <c r="L3306" s="14" t="n">
        <v>9832.969999999999</v>
      </c>
      <c r="M3306" s="14">
        <f>IF(B3306="Frete de venda",0,(1-ISNUMBER(SEARCH("556",P3306)))*(I3306*VLOOKUP($B3306,Premissas!$A$4:$E$7,2,0)+J3306*VLOOKUP($B3306,Premissas!$A$4:$E$7,3,0))+K3306*VLOOKUP($B3306,Premissas!$A$4:$E$7,4,0)+L3306*VLOOKUP($B3306,Premissas!$A$4:$E$7,5,0))</f>
        <v/>
      </c>
      <c r="N3306" s="14">
        <f>H3306-M3306</f>
        <v/>
      </c>
      <c r="O3306" t="inlineStr">
        <is>
          <t>Sim</t>
        </is>
      </c>
      <c r="P3306" t="inlineStr">
        <is>
          <t>2.101</t>
        </is>
      </c>
    </row>
    <row r="3307">
      <c r="A3307" s="24" t="n">
        <v>46143</v>
      </c>
      <c r="B3307" t="inlineStr">
        <is>
          <t>Insumos e papel</t>
        </is>
      </c>
      <c r="C3307" t="inlineStr">
        <is>
          <t>2.01.03 Compra de Matéria Prima (Papel)</t>
        </is>
      </c>
      <c r="D3307" t="inlineStr">
        <is>
          <t>NF-e</t>
        </is>
      </c>
      <c r="E3307" t="inlineStr">
        <is>
          <t>000013296</t>
        </is>
      </c>
      <c r="F3307" t="inlineStr">
        <is>
          <t>CMPC Iguacu Embalagens Ltda</t>
        </is>
      </c>
      <c r="G3307" s="27" t="n">
        <v>46164</v>
      </c>
      <c r="H3307" s="14" t="n">
        <v>143155.12</v>
      </c>
      <c r="I3307" s="14" t="n">
        <v>4506.09</v>
      </c>
      <c r="J3307" s="14" t="n">
        <v>9705.42</v>
      </c>
      <c r="K3307" s="14" t="n">
        <v>2127.57</v>
      </c>
      <c r="L3307" s="14" t="n">
        <v>9799.709999999999</v>
      </c>
      <c r="M3307" s="14">
        <f>IF(B3307="Frete de venda",0,(1-ISNUMBER(SEARCH("556",P3307)))*(I3307*VLOOKUP($B3307,Premissas!$A$4:$E$7,2,0)+J3307*VLOOKUP($B3307,Premissas!$A$4:$E$7,3,0))+K3307*VLOOKUP($B3307,Premissas!$A$4:$E$7,4,0)+L3307*VLOOKUP($B3307,Premissas!$A$4:$E$7,5,0))</f>
        <v/>
      </c>
      <c r="N3307" s="14">
        <f>H3307-M3307</f>
        <v/>
      </c>
      <c r="O3307" t="inlineStr">
        <is>
          <t>Sim</t>
        </is>
      </c>
      <c r="P3307" t="inlineStr">
        <is>
          <t>2.101</t>
        </is>
      </c>
    </row>
    <row r="3308">
      <c r="A3308" s="24" t="n">
        <v>46143</v>
      </c>
      <c r="B3308" t="inlineStr">
        <is>
          <t>Insumos e papel</t>
        </is>
      </c>
      <c r="C3308" t="inlineStr">
        <is>
          <t>2.01.03 Compra de Matéria Prima (Papel)</t>
        </is>
      </c>
      <c r="D3308" t="inlineStr">
        <is>
          <t>NF-e</t>
        </is>
      </c>
      <c r="E3308" t="inlineStr">
        <is>
          <t>000013306</t>
        </is>
      </c>
      <c r="F3308" t="inlineStr">
        <is>
          <t>CMPC Iguacu Embalagens Ltda</t>
        </is>
      </c>
      <c r="G3308" s="27" t="n">
        <v>46164</v>
      </c>
      <c r="H3308" s="14" t="n">
        <v>143085.74</v>
      </c>
      <c r="I3308" s="14" t="n">
        <v>4503.91</v>
      </c>
      <c r="J3308" s="14" t="n">
        <v>9700.73</v>
      </c>
      <c r="K3308" s="14" t="n">
        <v>2126.54</v>
      </c>
      <c r="L3308" s="14" t="n">
        <v>9794.959999999999</v>
      </c>
      <c r="M3308" s="14">
        <f>IF(B3308="Frete de venda",0,(1-ISNUMBER(SEARCH("556",P3308)))*(I3308*VLOOKUP($B3308,Premissas!$A$4:$E$7,2,0)+J3308*VLOOKUP($B3308,Premissas!$A$4:$E$7,3,0))+K3308*VLOOKUP($B3308,Premissas!$A$4:$E$7,4,0)+L3308*VLOOKUP($B3308,Premissas!$A$4:$E$7,5,0))</f>
        <v/>
      </c>
      <c r="N3308" s="14">
        <f>H3308-M3308</f>
        <v/>
      </c>
      <c r="O3308" t="inlineStr">
        <is>
          <t>Sim</t>
        </is>
      </c>
      <c r="P3308" t="inlineStr">
        <is>
          <t>2.101</t>
        </is>
      </c>
    </row>
    <row r="3309">
      <c r="A3309" s="24" t="n">
        <v>46143</v>
      </c>
      <c r="B3309" t="inlineStr">
        <is>
          <t>Insumos e papel</t>
        </is>
      </c>
      <c r="C3309" t="inlineStr">
        <is>
          <t>2.01.03 Compra de Matéria Prima (Papel)</t>
        </is>
      </c>
      <c r="D3309" t="inlineStr">
        <is>
          <t>NF-e</t>
        </is>
      </c>
      <c r="E3309" t="inlineStr">
        <is>
          <t>000013323</t>
        </is>
      </c>
      <c r="F3309" t="inlineStr">
        <is>
          <t>CMPC Iguacu Embalagens Ltda</t>
        </is>
      </c>
      <c r="G3309" s="27" t="n">
        <v>46167</v>
      </c>
      <c r="H3309" s="14" t="n">
        <v>137123.16</v>
      </c>
      <c r="I3309" s="14" t="n">
        <v>4316.23</v>
      </c>
      <c r="J3309" s="14" t="n">
        <v>9296.49</v>
      </c>
      <c r="K3309" s="14" t="n">
        <v>2037.92</v>
      </c>
      <c r="L3309" s="14" t="n">
        <v>9386.799999999999</v>
      </c>
      <c r="M3309" s="14">
        <f>IF(B3309="Frete de venda",0,(1-ISNUMBER(SEARCH("556",P3309)))*(I3309*VLOOKUP($B3309,Premissas!$A$4:$E$7,2,0)+J3309*VLOOKUP($B3309,Premissas!$A$4:$E$7,3,0))+K3309*VLOOKUP($B3309,Premissas!$A$4:$E$7,4,0)+L3309*VLOOKUP($B3309,Premissas!$A$4:$E$7,5,0))</f>
        <v/>
      </c>
      <c r="N3309" s="14">
        <f>H3309-M3309</f>
        <v/>
      </c>
      <c r="O3309" t="inlineStr">
        <is>
          <t>Sim</t>
        </is>
      </c>
      <c r="P3309" t="inlineStr">
        <is>
          <t>2.101</t>
        </is>
      </c>
    </row>
    <row r="3310">
      <c r="A3310" s="24" t="n">
        <v>46143</v>
      </c>
      <c r="B3310" t="inlineStr">
        <is>
          <t>Insumos e papel</t>
        </is>
      </c>
      <c r="C3310" t="inlineStr">
        <is>
          <t>2.01.03 Compra de Matéria Prima (Papel)</t>
        </is>
      </c>
      <c r="D3310" t="inlineStr">
        <is>
          <t>NF-e</t>
        </is>
      </c>
      <c r="E3310" t="inlineStr">
        <is>
          <t>000013325</t>
        </is>
      </c>
      <c r="F3310" t="inlineStr">
        <is>
          <t>CMPC Iguacu Embalagens Ltda</t>
        </is>
      </c>
      <c r="G3310" s="27" t="n">
        <v>46167</v>
      </c>
      <c r="H3310" s="14" t="n">
        <v>133952.38</v>
      </c>
      <c r="I3310" s="14" t="n">
        <v>4216.42</v>
      </c>
      <c r="J3310" s="14" t="n">
        <v>9081.52</v>
      </c>
      <c r="K3310" s="14" t="n">
        <v>1990.8</v>
      </c>
      <c r="L3310" s="14" t="n">
        <v>9169.74</v>
      </c>
      <c r="M3310" s="14">
        <f>IF(B3310="Frete de venda",0,(1-ISNUMBER(SEARCH("556",P3310)))*(I3310*VLOOKUP($B3310,Premissas!$A$4:$E$7,2,0)+J3310*VLOOKUP($B3310,Premissas!$A$4:$E$7,3,0))+K3310*VLOOKUP($B3310,Premissas!$A$4:$E$7,4,0)+L3310*VLOOKUP($B3310,Premissas!$A$4:$E$7,5,0))</f>
        <v/>
      </c>
      <c r="N3310" s="14">
        <f>H3310-M3310</f>
        <v/>
      </c>
      <c r="O3310" t="inlineStr">
        <is>
          <t>Sim</t>
        </is>
      </c>
      <c r="P3310" t="inlineStr">
        <is>
          <t>2.101</t>
        </is>
      </c>
    </row>
    <row r="3311">
      <c r="A3311" s="24" t="n">
        <v>46143</v>
      </c>
      <c r="B3311" t="inlineStr">
        <is>
          <t>Insumos e papel</t>
        </is>
      </c>
      <c r="C3311" t="inlineStr">
        <is>
          <t>2.01.03 Compra de Matéria Prima (Papel)</t>
        </is>
      </c>
      <c r="D3311" t="inlineStr">
        <is>
          <t>NF-e</t>
        </is>
      </c>
      <c r="E3311" t="inlineStr">
        <is>
          <t>000013330</t>
        </is>
      </c>
      <c r="F3311" t="inlineStr">
        <is>
          <t>CMPC Iguacu Embalagens Ltda</t>
        </is>
      </c>
      <c r="G3311" s="27" t="n">
        <v>46167</v>
      </c>
      <c r="H3311" s="14" t="n">
        <v>133621.42</v>
      </c>
      <c r="I3311" s="14" t="n">
        <v>4206</v>
      </c>
      <c r="J3311" s="14" t="n">
        <v>9059.08</v>
      </c>
      <c r="K3311" s="14" t="n">
        <v>1985.88</v>
      </c>
      <c r="L3311" s="14" t="n">
        <v>9147.08</v>
      </c>
      <c r="M3311" s="14">
        <f>IF(B3311="Frete de venda",0,(1-ISNUMBER(SEARCH("556",P3311)))*(I3311*VLOOKUP($B3311,Premissas!$A$4:$E$7,2,0)+J3311*VLOOKUP($B3311,Premissas!$A$4:$E$7,3,0))+K3311*VLOOKUP($B3311,Premissas!$A$4:$E$7,4,0)+L3311*VLOOKUP($B3311,Premissas!$A$4:$E$7,5,0))</f>
        <v/>
      </c>
      <c r="N3311" s="14">
        <f>H3311-M3311</f>
        <v/>
      </c>
      <c r="O3311" t="inlineStr">
        <is>
          <t>Sim</t>
        </is>
      </c>
      <c r="P3311" t="inlineStr">
        <is>
          <t>2.101</t>
        </is>
      </c>
    </row>
    <row r="3312">
      <c r="A3312" s="24" t="n">
        <v>46143</v>
      </c>
      <c r="B3312" t="inlineStr">
        <is>
          <t>Insumos e papel</t>
        </is>
      </c>
      <c r="C3312" t="inlineStr">
        <is>
          <t>2.01.03 Compra de Matéria Prima (Papel)</t>
        </is>
      </c>
      <c r="D3312" t="inlineStr">
        <is>
          <t>NF-e</t>
        </is>
      </c>
      <c r="E3312" t="inlineStr">
        <is>
          <t>000013354</t>
        </is>
      </c>
      <c r="F3312" t="inlineStr">
        <is>
          <t>CMPC Iguacu Embalagens Ltda</t>
        </is>
      </c>
      <c r="G3312" s="27" t="n">
        <v>46168</v>
      </c>
      <c r="H3312" s="14" t="n">
        <v>143598.19</v>
      </c>
      <c r="I3312" s="14" t="n">
        <v>4520.04</v>
      </c>
      <c r="J3312" s="14" t="n">
        <v>9735.469999999999</v>
      </c>
      <c r="K3312" s="14" t="n">
        <v>2134.16</v>
      </c>
      <c r="L3312" s="14" t="n">
        <v>9830.040000000001</v>
      </c>
      <c r="M3312" s="14">
        <f>IF(B3312="Frete de venda",0,(1-ISNUMBER(SEARCH("556",P3312)))*(I3312*VLOOKUP($B3312,Premissas!$A$4:$E$7,2,0)+J3312*VLOOKUP($B3312,Premissas!$A$4:$E$7,3,0))+K3312*VLOOKUP($B3312,Premissas!$A$4:$E$7,4,0)+L3312*VLOOKUP($B3312,Premissas!$A$4:$E$7,5,0))</f>
        <v/>
      </c>
      <c r="N3312" s="14">
        <f>H3312-M3312</f>
        <v/>
      </c>
      <c r="O3312" t="inlineStr">
        <is>
          <t>Sim</t>
        </is>
      </c>
      <c r="P3312" t="inlineStr">
        <is>
          <t>2.101</t>
        </is>
      </c>
    </row>
    <row r="3313">
      <c r="A3313" s="24" t="n">
        <v>46143</v>
      </c>
      <c r="B3313" t="inlineStr">
        <is>
          <t>Insumos e papel</t>
        </is>
      </c>
      <c r="C3313" t="inlineStr">
        <is>
          <t>2.01.03 Compra de Matéria Prima (Papel)</t>
        </is>
      </c>
      <c r="D3313" t="inlineStr">
        <is>
          <t>NF-e</t>
        </is>
      </c>
      <c r="E3313" t="inlineStr">
        <is>
          <t>000013360</t>
        </is>
      </c>
      <c r="F3313" t="inlineStr">
        <is>
          <t>CMPC Iguacu Embalagens Ltda</t>
        </is>
      </c>
      <c r="G3313" s="27" t="n">
        <v>46168</v>
      </c>
      <c r="H3313" s="14" t="n">
        <v>143544.82</v>
      </c>
      <c r="I3313" s="14" t="n">
        <v>4518.36</v>
      </c>
      <c r="J3313" s="14" t="n">
        <v>9731.85</v>
      </c>
      <c r="K3313" s="14" t="n">
        <v>2133.36</v>
      </c>
      <c r="L3313" s="14" t="n">
        <v>9826.389999999999</v>
      </c>
      <c r="M3313" s="14">
        <f>IF(B3313="Frete de venda",0,(1-ISNUMBER(SEARCH("556",P3313)))*(I3313*VLOOKUP($B3313,Premissas!$A$4:$E$7,2,0)+J3313*VLOOKUP($B3313,Premissas!$A$4:$E$7,3,0))+K3313*VLOOKUP($B3313,Premissas!$A$4:$E$7,4,0)+L3313*VLOOKUP($B3313,Premissas!$A$4:$E$7,5,0))</f>
        <v/>
      </c>
      <c r="N3313" s="14">
        <f>H3313-M3313</f>
        <v/>
      </c>
      <c r="O3313" t="inlineStr">
        <is>
          <t>Sim</t>
        </is>
      </c>
      <c r="P3313" t="inlineStr">
        <is>
          <t>2.101</t>
        </is>
      </c>
    </row>
    <row r="3314">
      <c r="A3314" s="24" t="n">
        <v>46143</v>
      </c>
      <c r="B3314" t="inlineStr">
        <is>
          <t>Insumos e papel</t>
        </is>
      </c>
      <c r="C3314" t="inlineStr">
        <is>
          <t>2.01.03 Compra de Matéria Prima (Papel)</t>
        </is>
      </c>
      <c r="D3314" t="inlineStr">
        <is>
          <t>NF-e</t>
        </is>
      </c>
      <c r="E3314" t="inlineStr">
        <is>
          <t>000013369</t>
        </is>
      </c>
      <c r="F3314" t="inlineStr">
        <is>
          <t>CMPC Iguacu Embalagens Ltda</t>
        </is>
      </c>
      <c r="G3314" s="27" t="n">
        <v>46168</v>
      </c>
      <c r="H3314" s="14" t="n">
        <v>142365.1</v>
      </c>
      <c r="I3314" s="14" t="n">
        <v>4481.23</v>
      </c>
      <c r="J3314" s="14" t="n">
        <v>9651.870000000001</v>
      </c>
      <c r="K3314" s="14" t="n">
        <v>2115.83</v>
      </c>
      <c r="L3314" s="14" t="n">
        <v>9745.629999999999</v>
      </c>
      <c r="M3314" s="14">
        <f>IF(B3314="Frete de venda",0,(1-ISNUMBER(SEARCH("556",P3314)))*(I3314*VLOOKUP($B3314,Premissas!$A$4:$E$7,2,0)+J3314*VLOOKUP($B3314,Premissas!$A$4:$E$7,3,0))+K3314*VLOOKUP($B3314,Premissas!$A$4:$E$7,4,0)+L3314*VLOOKUP($B3314,Premissas!$A$4:$E$7,5,0))</f>
        <v/>
      </c>
      <c r="N3314" s="14">
        <f>H3314-M3314</f>
        <v/>
      </c>
      <c r="O3314" t="inlineStr">
        <is>
          <t>Sim</t>
        </is>
      </c>
      <c r="P3314" t="inlineStr">
        <is>
          <t>2.101</t>
        </is>
      </c>
    </row>
    <row r="3315">
      <c r="A3315" s="24" t="n">
        <v>46143</v>
      </c>
      <c r="B3315" t="inlineStr">
        <is>
          <t>Insumos e papel</t>
        </is>
      </c>
      <c r="C3315" t="inlineStr">
        <is>
          <t>2.01.03 Compra de Matéria Prima (Papel)</t>
        </is>
      </c>
      <c r="D3315" t="inlineStr">
        <is>
          <t>NF-e</t>
        </is>
      </c>
      <c r="E3315" t="inlineStr">
        <is>
          <t>000013387</t>
        </is>
      </c>
      <c r="F3315" t="inlineStr">
        <is>
          <t>CMPC Iguacu Embalagens Ltda</t>
        </is>
      </c>
      <c r="G3315" s="27" t="n">
        <v>46169</v>
      </c>
      <c r="H3315" s="14" t="n">
        <v>139333.09</v>
      </c>
      <c r="I3315" s="14" t="n">
        <v>4385.78</v>
      </c>
      <c r="J3315" s="14" t="n">
        <v>9446.32</v>
      </c>
      <c r="K3315" s="14" t="n">
        <v>2070.76</v>
      </c>
      <c r="L3315" s="14" t="n">
        <v>9538.07</v>
      </c>
      <c r="M3315" s="14">
        <f>IF(B3315="Frete de venda",0,(1-ISNUMBER(SEARCH("556",P3315)))*(I3315*VLOOKUP($B3315,Premissas!$A$4:$E$7,2,0)+J3315*VLOOKUP($B3315,Premissas!$A$4:$E$7,3,0))+K3315*VLOOKUP($B3315,Premissas!$A$4:$E$7,4,0)+L3315*VLOOKUP($B3315,Premissas!$A$4:$E$7,5,0))</f>
        <v/>
      </c>
      <c r="N3315" s="14">
        <f>H3315-M3315</f>
        <v/>
      </c>
      <c r="O3315" t="inlineStr">
        <is>
          <t>Sim</t>
        </is>
      </c>
      <c r="P3315" t="inlineStr">
        <is>
          <t>2.101</t>
        </is>
      </c>
    </row>
    <row r="3316">
      <c r="A3316" s="24" t="n">
        <v>46143</v>
      </c>
      <c r="B3316" t="inlineStr">
        <is>
          <t>Insumos e papel</t>
        </is>
      </c>
      <c r="C3316" t="inlineStr">
        <is>
          <t>2.01.03 Compra de Matéria Prima (Papel)</t>
        </is>
      </c>
      <c r="D3316" t="inlineStr">
        <is>
          <t>NF-e</t>
        </is>
      </c>
      <c r="E3316" t="inlineStr">
        <is>
          <t>000177503</t>
        </is>
      </c>
      <c r="F3316" t="inlineStr">
        <is>
          <t>SANTA MARIA CIA DE PAPEL E CELULOSE</t>
        </is>
      </c>
      <c r="G3316" s="27" t="n">
        <v>46172</v>
      </c>
      <c r="H3316" s="14" t="n">
        <v>288235.47</v>
      </c>
      <c r="I3316" s="14" t="n">
        <v>9072.790000000001</v>
      </c>
      <c r="J3316" s="14" t="n">
        <v>19541.38</v>
      </c>
      <c r="K3316" s="14" t="n">
        <v>4283.75</v>
      </c>
      <c r="L3316" s="14" t="n">
        <v>19731.21</v>
      </c>
      <c r="M3316" s="14">
        <f>IF(B3316="Frete de venda",0,(1-ISNUMBER(SEARCH("556",P3316)))*(I3316*VLOOKUP($B3316,Premissas!$A$4:$E$7,2,0)+J3316*VLOOKUP($B3316,Premissas!$A$4:$E$7,3,0))+K3316*VLOOKUP($B3316,Premissas!$A$4:$E$7,4,0)+L3316*VLOOKUP($B3316,Premissas!$A$4:$E$7,5,0))</f>
        <v/>
      </c>
      <c r="N3316" s="14">
        <f>H3316-M3316</f>
        <v/>
      </c>
      <c r="O3316" t="inlineStr">
        <is>
          <t>Sim</t>
        </is>
      </c>
      <c r="P3316" t="inlineStr">
        <is>
          <t>2.101</t>
        </is>
      </c>
    </row>
    <row r="3317">
      <c r="A3317" s="24" t="n">
        <v>46143</v>
      </c>
      <c r="B3317" t="inlineStr">
        <is>
          <t>Insumos e papel</t>
        </is>
      </c>
      <c r="C3317" t="inlineStr">
        <is>
          <t>2.01.79 Compra de Gás</t>
        </is>
      </c>
      <c r="D3317" t="inlineStr">
        <is>
          <t>NF-e</t>
        </is>
      </c>
      <c r="E3317" t="inlineStr">
        <is>
          <t>000007739</t>
        </is>
      </c>
      <c r="F3317" t="inlineStr">
        <is>
          <t>SUPERGASBRAS ENERGIA LTDA</t>
        </is>
      </c>
      <c r="G3317" s="27" t="n">
        <v>46147</v>
      </c>
      <c r="H3317" s="14" t="n">
        <v>787.45</v>
      </c>
      <c r="I3317" s="14" t="n">
        <v>0</v>
      </c>
      <c r="J3317" s="14" t="n">
        <v>0</v>
      </c>
      <c r="K3317" s="14" t="n">
        <v>0</v>
      </c>
      <c r="L3317" s="14" t="n">
        <v>0</v>
      </c>
      <c r="M3317" s="14">
        <f>IF(B3317="Frete de venda",0,(1-ISNUMBER(SEARCH("556",P3317)))*(I3317*VLOOKUP($B3317,Premissas!$A$4:$E$7,2,0)+J3317*VLOOKUP($B3317,Premissas!$A$4:$E$7,3,0))+K3317*VLOOKUP($B3317,Premissas!$A$4:$E$7,4,0)+L3317*VLOOKUP($B3317,Premissas!$A$4:$E$7,5,0))</f>
        <v/>
      </c>
      <c r="N3317" s="14">
        <f>H3317-M3317</f>
        <v/>
      </c>
      <c r="O3317" t="inlineStr">
        <is>
          <t>Sim</t>
        </is>
      </c>
      <c r="P3317" t="inlineStr">
        <is>
          <t>1.556</t>
        </is>
      </c>
    </row>
    <row r="3318">
      <c r="A3318" s="24" t="n">
        <v>46143</v>
      </c>
      <c r="B3318" t="inlineStr">
        <is>
          <t>Insumos e papel</t>
        </is>
      </c>
      <c r="C3318" t="inlineStr">
        <is>
          <t>2.01.79 Compra de Gás</t>
        </is>
      </c>
      <c r="D3318" t="inlineStr">
        <is>
          <t>NF-e</t>
        </is>
      </c>
      <c r="E3318" t="inlineStr">
        <is>
          <t>000007808</t>
        </is>
      </c>
      <c r="F3318" t="inlineStr">
        <is>
          <t>SUPERGASBRAS ENERGIA LTDA</t>
        </is>
      </c>
      <c r="G3318" s="27" t="n">
        <v>46154</v>
      </c>
      <c r="H3318" s="14" t="n">
        <v>629.96</v>
      </c>
      <c r="I3318" s="14" t="n">
        <v>0</v>
      </c>
      <c r="J3318" s="14" t="n">
        <v>0</v>
      </c>
      <c r="K3318" s="14" t="n">
        <v>0</v>
      </c>
      <c r="L3318" s="14" t="n">
        <v>0</v>
      </c>
      <c r="M3318" s="14">
        <f>IF(B3318="Frete de venda",0,(1-ISNUMBER(SEARCH("556",P3318)))*(I3318*VLOOKUP($B3318,Premissas!$A$4:$E$7,2,0)+J3318*VLOOKUP($B3318,Premissas!$A$4:$E$7,3,0))+K3318*VLOOKUP($B3318,Premissas!$A$4:$E$7,4,0)+L3318*VLOOKUP($B3318,Premissas!$A$4:$E$7,5,0))</f>
        <v/>
      </c>
      <c r="N3318" s="14">
        <f>H3318-M3318</f>
        <v/>
      </c>
      <c r="O3318" t="inlineStr">
        <is>
          <t>Sim</t>
        </is>
      </c>
      <c r="P3318" t="inlineStr">
        <is>
          <t>1.556</t>
        </is>
      </c>
    </row>
    <row r="3319">
      <c r="A3319" s="24" t="n">
        <v>46143</v>
      </c>
      <c r="B3319" t="inlineStr">
        <is>
          <t>Insumos e papel</t>
        </is>
      </c>
      <c r="C3319" t="inlineStr">
        <is>
          <t>2.01.79 Compra de Gás</t>
        </is>
      </c>
      <c r="D3319" t="inlineStr">
        <is>
          <t>NF-e</t>
        </is>
      </c>
      <c r="E3319" t="inlineStr">
        <is>
          <t>000007874</t>
        </is>
      </c>
      <c r="F3319" t="inlineStr">
        <is>
          <t>SUPERGASBRAS ENERGIA LTDA</t>
        </is>
      </c>
      <c r="G3319" s="27" t="n">
        <v>46161</v>
      </c>
      <c r="H3319" s="14" t="n">
        <v>629.96</v>
      </c>
      <c r="I3319" s="14" t="n">
        <v>0</v>
      </c>
      <c r="J3319" s="14" t="n">
        <v>0</v>
      </c>
      <c r="K3319" s="14" t="n">
        <v>0</v>
      </c>
      <c r="L3319" s="14" t="n">
        <v>0</v>
      </c>
      <c r="M3319" s="14">
        <f>IF(B3319="Frete de venda",0,(1-ISNUMBER(SEARCH("556",P3319)))*(I3319*VLOOKUP($B3319,Premissas!$A$4:$E$7,2,0)+J3319*VLOOKUP($B3319,Premissas!$A$4:$E$7,3,0))+K3319*VLOOKUP($B3319,Premissas!$A$4:$E$7,4,0)+L3319*VLOOKUP($B3319,Premissas!$A$4:$E$7,5,0))</f>
        <v/>
      </c>
      <c r="N3319" s="14">
        <f>H3319-M3319</f>
        <v/>
      </c>
      <c r="O3319" t="inlineStr">
        <is>
          <t>Sim</t>
        </is>
      </c>
      <c r="P3319" t="inlineStr">
        <is>
          <t>1.556</t>
        </is>
      </c>
    </row>
    <row r="3320">
      <c r="A3320" s="24" t="n">
        <v>46143</v>
      </c>
      <c r="B3320" t="inlineStr">
        <is>
          <t>Insumos e papel</t>
        </is>
      </c>
      <c r="C3320" t="inlineStr">
        <is>
          <t>2.01.79 Compra de Gás</t>
        </is>
      </c>
      <c r="D3320" t="inlineStr">
        <is>
          <t>NF-e</t>
        </is>
      </c>
      <c r="E3320" t="inlineStr">
        <is>
          <t>000007945</t>
        </is>
      </c>
      <c r="F3320" t="inlineStr">
        <is>
          <t>SUPERGASBRAS ENERGIA LTDA</t>
        </is>
      </c>
      <c r="G3320" s="27" t="n">
        <v>46168</v>
      </c>
      <c r="H3320" s="14" t="n">
        <v>472.47</v>
      </c>
      <c r="I3320" s="14" t="n">
        <v>0</v>
      </c>
      <c r="J3320" s="14" t="n">
        <v>0</v>
      </c>
      <c r="K3320" s="14" t="n">
        <v>0</v>
      </c>
      <c r="L3320" s="14" t="n">
        <v>0</v>
      </c>
      <c r="M3320" s="14">
        <f>IF(B3320="Frete de venda",0,(1-ISNUMBER(SEARCH("556",P3320)))*(I3320*VLOOKUP($B3320,Premissas!$A$4:$E$7,2,0)+J3320*VLOOKUP($B3320,Premissas!$A$4:$E$7,3,0))+K3320*VLOOKUP($B3320,Premissas!$A$4:$E$7,4,0)+L3320*VLOOKUP($B3320,Premissas!$A$4:$E$7,5,0))</f>
        <v/>
      </c>
      <c r="N3320" s="14">
        <f>H3320-M3320</f>
        <v/>
      </c>
      <c r="O3320" t="inlineStr">
        <is>
          <t>Sim</t>
        </is>
      </c>
      <c r="P3320" t="inlineStr">
        <is>
          <t>1.653</t>
        </is>
      </c>
    </row>
    <row r="3321">
      <c r="A3321" s="24" t="n">
        <v>46143</v>
      </c>
      <c r="B3321" t="inlineStr">
        <is>
          <t>Uso e consumo</t>
        </is>
      </c>
      <c r="C3321" t="inlineStr">
        <is>
          <t>2.01.85 Compra de Uso e Consumo</t>
        </is>
      </c>
      <c r="D3321" t="inlineStr">
        <is>
          <t>NF-e</t>
        </is>
      </c>
      <c r="E3321" t="inlineStr">
        <is>
          <t>000013973</t>
        </is>
      </c>
      <c r="F3321" t="inlineStr">
        <is>
          <t>EDNA DE ARAUJO PACHECO LTDA</t>
        </is>
      </c>
      <c r="G3321" s="27" t="n">
        <v>46149</v>
      </c>
      <c r="H3321" s="14" t="n">
        <v>2224.2</v>
      </c>
      <c r="I3321" s="14" t="n">
        <v>0</v>
      </c>
      <c r="J3321" s="14" t="n">
        <v>0</v>
      </c>
      <c r="K3321" s="14" t="n">
        <v>0</v>
      </c>
      <c r="L3321" s="14" t="n">
        <v>0</v>
      </c>
      <c r="M3321" s="14">
        <f>IF(B3321="Frete de venda",0,(1-ISNUMBER(SEARCH("556",P3321)))*(I3321*VLOOKUP($B3321,Premissas!$A$4:$E$7,2,0)+J3321*VLOOKUP($B3321,Premissas!$A$4:$E$7,3,0))+K3321*VLOOKUP($B3321,Premissas!$A$4:$E$7,4,0)+L3321*VLOOKUP($B3321,Premissas!$A$4:$E$7,5,0))</f>
        <v/>
      </c>
      <c r="N3321" s="14">
        <f>H3321-M3321</f>
        <v/>
      </c>
      <c r="O3321" t="inlineStr">
        <is>
          <t>Sim</t>
        </is>
      </c>
      <c r="P3321" t="inlineStr">
        <is>
          <t>1.556</t>
        </is>
      </c>
    </row>
    <row r="3322">
      <c r="A3322" s="24" t="n">
        <v>46143</v>
      </c>
      <c r="B3322" t="inlineStr">
        <is>
          <t>Uso e consumo</t>
        </is>
      </c>
      <c r="C3322" t="inlineStr">
        <is>
          <t>2.01.85 Compra de Uso e Consumo</t>
        </is>
      </c>
      <c r="D3322" t="inlineStr">
        <is>
          <t>NF-e</t>
        </is>
      </c>
      <c r="E3322" t="inlineStr">
        <is>
          <t>000014027</t>
        </is>
      </c>
      <c r="F3322" t="inlineStr">
        <is>
          <t>EDNA DE ARAUJO PACHECO LTDA</t>
        </is>
      </c>
      <c r="G3322" s="27" t="n">
        <v>46154</v>
      </c>
      <c r="H3322" s="14" t="n">
        <v>303</v>
      </c>
      <c r="I3322" s="14" t="n">
        <v>0</v>
      </c>
      <c r="J3322" s="14" t="n">
        <v>0</v>
      </c>
      <c r="K3322" s="14" t="n">
        <v>0</v>
      </c>
      <c r="L3322" s="14" t="n">
        <v>0</v>
      </c>
      <c r="M3322" s="14">
        <f>IF(B3322="Frete de venda",0,(1-ISNUMBER(SEARCH("556",P3322)))*(I3322*VLOOKUP($B3322,Premissas!$A$4:$E$7,2,0)+J3322*VLOOKUP($B3322,Premissas!$A$4:$E$7,3,0))+K3322*VLOOKUP($B3322,Premissas!$A$4:$E$7,4,0)+L3322*VLOOKUP($B3322,Premissas!$A$4:$E$7,5,0))</f>
        <v/>
      </c>
      <c r="N3322" s="14">
        <f>H3322-M3322</f>
        <v/>
      </c>
      <c r="O3322" t="inlineStr">
        <is>
          <t>Sim</t>
        </is>
      </c>
      <c r="P3322" t="inlineStr">
        <is>
          <t>1.556</t>
        </is>
      </c>
    </row>
    <row r="3323">
      <c r="A3323" s="24" t="n">
        <v>46143</v>
      </c>
      <c r="B3323" t="inlineStr">
        <is>
          <t>Uso e consumo</t>
        </is>
      </c>
      <c r="C3323" t="inlineStr">
        <is>
          <t>2.01.85 Compra de Uso e Consumo</t>
        </is>
      </c>
      <c r="D3323" t="inlineStr">
        <is>
          <t>NF-e</t>
        </is>
      </c>
      <c r="E3323" t="inlineStr">
        <is>
          <t>000000274</t>
        </is>
      </c>
      <c r="F3323" t="inlineStr">
        <is>
          <t>INFORPOINT SERVICOS E COMERCIO EM TECNOLOGIA LTDA</t>
        </is>
      </c>
      <c r="G3323" s="27" t="n">
        <v>46157</v>
      </c>
      <c r="H3323" s="14" t="n">
        <v>250</v>
      </c>
      <c r="I3323" s="14" t="n">
        <v>0</v>
      </c>
      <c r="J3323" s="14" t="n">
        <v>0</v>
      </c>
      <c r="K3323" s="14" t="n">
        <v>0</v>
      </c>
      <c r="L3323" s="14" t="n">
        <v>0</v>
      </c>
      <c r="M3323" s="14">
        <f>IF(B3323="Frete de venda",0,(1-ISNUMBER(SEARCH("556",P3323)))*(I3323*VLOOKUP($B3323,Premissas!$A$4:$E$7,2,0)+J3323*VLOOKUP($B3323,Premissas!$A$4:$E$7,3,0))+K3323*VLOOKUP($B3323,Premissas!$A$4:$E$7,4,0)+L3323*VLOOKUP($B3323,Premissas!$A$4:$E$7,5,0))</f>
        <v/>
      </c>
      <c r="N3323" s="14">
        <f>H3323-M3323</f>
        <v/>
      </c>
      <c r="O3323" t="inlineStr">
        <is>
          <t>Sim</t>
        </is>
      </c>
      <c r="P3323" t="inlineStr">
        <is>
          <t>1.102</t>
        </is>
      </c>
    </row>
    <row r="3324">
      <c r="A3324" s="24" t="n">
        <v>46143</v>
      </c>
      <c r="B3324" t="inlineStr">
        <is>
          <t>Uso e consumo</t>
        </is>
      </c>
      <c r="C3324" t="inlineStr">
        <is>
          <t>2.01.85 Compra de Uso e Consumo</t>
        </is>
      </c>
      <c r="D3324" t="inlineStr">
        <is>
          <t>NF-e</t>
        </is>
      </c>
      <c r="E3324" t="inlineStr">
        <is>
          <t>000000764</t>
        </is>
      </c>
      <c r="F3324" t="inlineStr">
        <is>
          <t>WILLAMS SALES DOS SANTOS</t>
        </is>
      </c>
      <c r="G3324" s="27" t="n">
        <v>46149</v>
      </c>
      <c r="H3324" s="14" t="n">
        <v>555</v>
      </c>
      <c r="I3324" s="14" t="n">
        <v>0</v>
      </c>
      <c r="J3324" s="14" t="n">
        <v>0</v>
      </c>
      <c r="K3324" s="14" t="n">
        <v>0</v>
      </c>
      <c r="L3324" s="14" t="n">
        <v>0</v>
      </c>
      <c r="M3324" s="14">
        <f>IF(B3324="Frete de venda",0,(1-ISNUMBER(SEARCH("556",P3324)))*(I3324*VLOOKUP($B3324,Premissas!$A$4:$E$7,2,0)+J3324*VLOOKUP($B3324,Premissas!$A$4:$E$7,3,0))+K3324*VLOOKUP($B3324,Premissas!$A$4:$E$7,4,0)+L3324*VLOOKUP($B3324,Premissas!$A$4:$E$7,5,0))</f>
        <v/>
      </c>
      <c r="N3324" s="14">
        <f>H3324-M3324</f>
        <v/>
      </c>
      <c r="O3324" t="inlineStr">
        <is>
          <t>Sim</t>
        </is>
      </c>
      <c r="P3324" t="inlineStr">
        <is>
          <t>1.102</t>
        </is>
      </c>
    </row>
    <row r="3325">
      <c r="A3325" s="24" t="n">
        <v>46143</v>
      </c>
      <c r="B3325" t="inlineStr">
        <is>
          <t>Uso e consumo</t>
        </is>
      </c>
      <c r="C3325" t="inlineStr">
        <is>
          <t>2.01.87 Compra de Peças de Máquinas</t>
        </is>
      </c>
      <c r="D3325" t="inlineStr">
        <is>
          <t>NF-e</t>
        </is>
      </c>
      <c r="E3325" t="inlineStr">
        <is>
          <t>000002200</t>
        </is>
      </c>
      <c r="F3325" t="inlineStr">
        <is>
          <t>AI TEM - COMERCIO VAREJISTA DE PRODUTOS EM ACO INOX LTDA.</t>
        </is>
      </c>
      <c r="G3325" s="27" t="n">
        <v>46164</v>
      </c>
      <c r="H3325" s="14" t="n">
        <v>50</v>
      </c>
      <c r="I3325" s="14" t="n">
        <v>0</v>
      </c>
      <c r="J3325" s="14" t="n">
        <v>0</v>
      </c>
      <c r="K3325" s="14" t="n">
        <v>0</v>
      </c>
      <c r="L3325" s="14" t="n">
        <v>0</v>
      </c>
      <c r="M3325" s="14">
        <f>IF(B3325="Frete de venda",0,(1-ISNUMBER(SEARCH("556",P3325)))*(I3325*VLOOKUP($B3325,Premissas!$A$4:$E$7,2,0)+J3325*VLOOKUP($B3325,Premissas!$A$4:$E$7,3,0))+K3325*VLOOKUP($B3325,Premissas!$A$4:$E$7,4,0)+L3325*VLOOKUP($B3325,Premissas!$A$4:$E$7,5,0))</f>
        <v/>
      </c>
      <c r="N3325" s="14">
        <f>H3325-M3325</f>
        <v/>
      </c>
      <c r="O3325" t="inlineStr">
        <is>
          <t>Sim</t>
        </is>
      </c>
      <c r="P3325" t="inlineStr">
        <is>
          <t>1.556</t>
        </is>
      </c>
    </row>
    <row r="3326">
      <c r="A3326" s="24" t="n">
        <v>46143</v>
      </c>
      <c r="B3326" t="inlineStr">
        <is>
          <t>Uso e consumo</t>
        </is>
      </c>
      <c r="C3326" t="inlineStr">
        <is>
          <t>2.01.87 Compra de Peças de Máquinas</t>
        </is>
      </c>
      <c r="D3326" t="inlineStr">
        <is>
          <t>NF-e</t>
        </is>
      </c>
      <c r="E3326" t="inlineStr">
        <is>
          <t>000014133</t>
        </is>
      </c>
      <c r="F3326" t="inlineStr">
        <is>
          <t>EDNA DE ARAUJO PACHECO LTDA</t>
        </is>
      </c>
      <c r="G3326" s="27" t="n">
        <v>46164</v>
      </c>
      <c r="H3326" s="14" t="n">
        <v>459.48</v>
      </c>
      <c r="I3326" s="14" t="n">
        <v>0</v>
      </c>
      <c r="J3326" s="14" t="n">
        <v>0</v>
      </c>
      <c r="K3326" s="14" t="n">
        <v>0</v>
      </c>
      <c r="L3326" s="14" t="n">
        <v>0</v>
      </c>
      <c r="M3326" s="14">
        <f>IF(B3326="Frete de venda",0,(1-ISNUMBER(SEARCH("556",P3326)))*(I3326*VLOOKUP($B3326,Premissas!$A$4:$E$7,2,0)+J3326*VLOOKUP($B3326,Premissas!$A$4:$E$7,3,0))+K3326*VLOOKUP($B3326,Premissas!$A$4:$E$7,4,0)+L3326*VLOOKUP($B3326,Premissas!$A$4:$E$7,5,0))</f>
        <v/>
      </c>
      <c r="N3326" s="14">
        <f>H3326-M3326</f>
        <v/>
      </c>
      <c r="O3326" t="inlineStr">
        <is>
          <t>Sim</t>
        </is>
      </c>
      <c r="P3326" t="inlineStr">
        <is>
          <t>1.102</t>
        </is>
      </c>
    </row>
    <row r="3327">
      <c r="A3327" s="24" t="n">
        <v>46143</v>
      </c>
      <c r="B3327" t="inlineStr">
        <is>
          <t>Uso e consumo</t>
        </is>
      </c>
      <c r="C3327" t="inlineStr">
        <is>
          <t>2.01.87 Compra de Peças de Máquinas</t>
        </is>
      </c>
      <c r="D3327" t="inlineStr">
        <is>
          <t>NF-e</t>
        </is>
      </c>
      <c r="E3327" t="inlineStr">
        <is>
          <t>000103891</t>
        </is>
      </c>
      <c r="F3327" t="inlineStr">
        <is>
          <t>FERGE COMERCIO DE PRODUTOS INDUSTRIAIS LTDA</t>
        </is>
      </c>
      <c r="G3327" s="27" t="n">
        <v>46146</v>
      </c>
      <c r="H3327" s="14" t="n">
        <v>1179.9</v>
      </c>
      <c r="I3327" s="14" t="n">
        <v>0</v>
      </c>
      <c r="J3327" s="14" t="n">
        <v>235.98</v>
      </c>
      <c r="K3327" s="14" t="n">
        <v>0</v>
      </c>
      <c r="L3327" s="14" t="n">
        <v>0</v>
      </c>
      <c r="M3327" s="14">
        <f>IF(B3327="Frete de venda",0,(1-ISNUMBER(SEARCH("556",P3327)))*(I3327*VLOOKUP($B3327,Premissas!$A$4:$E$7,2,0)+J3327*VLOOKUP($B3327,Premissas!$A$4:$E$7,3,0))+K3327*VLOOKUP($B3327,Premissas!$A$4:$E$7,4,0)+L3327*VLOOKUP($B3327,Premissas!$A$4:$E$7,5,0))</f>
        <v/>
      </c>
      <c r="N3327" s="14">
        <f>H3327-M3327</f>
        <v/>
      </c>
      <c r="O3327" t="inlineStr">
        <is>
          <t>Sim</t>
        </is>
      </c>
      <c r="P3327" t="inlineStr">
        <is>
          <t>1.556</t>
        </is>
      </c>
    </row>
    <row r="3328">
      <c r="A3328" s="24" t="n">
        <v>46143</v>
      </c>
      <c r="B3328" t="inlineStr">
        <is>
          <t>Uso e consumo</t>
        </is>
      </c>
      <c r="C3328" t="inlineStr">
        <is>
          <t>2.01.87 Compra de Peças de Máquinas</t>
        </is>
      </c>
      <c r="D3328" t="inlineStr">
        <is>
          <t>NF-e</t>
        </is>
      </c>
      <c r="E3328" t="inlineStr">
        <is>
          <t>000104196</t>
        </is>
      </c>
      <c r="F3328" t="inlineStr">
        <is>
          <t>FERGE COMERCIO DE PRODUTOS INDUSTRIAIS LTDA</t>
        </is>
      </c>
      <c r="G3328" s="27" t="n">
        <v>46156</v>
      </c>
      <c r="H3328" s="14" t="n">
        <v>300</v>
      </c>
      <c r="I3328" s="14" t="n">
        <v>0</v>
      </c>
      <c r="J3328" s="14" t="n">
        <v>60</v>
      </c>
      <c r="K3328" s="14" t="n">
        <v>0</v>
      </c>
      <c r="L3328" s="14" t="n">
        <v>0</v>
      </c>
      <c r="M3328" s="14">
        <f>IF(B3328="Frete de venda",0,(1-ISNUMBER(SEARCH("556",P3328)))*(I3328*VLOOKUP($B3328,Premissas!$A$4:$E$7,2,0)+J3328*VLOOKUP($B3328,Premissas!$A$4:$E$7,3,0))+K3328*VLOOKUP($B3328,Premissas!$A$4:$E$7,4,0)+L3328*VLOOKUP($B3328,Premissas!$A$4:$E$7,5,0))</f>
        <v/>
      </c>
      <c r="N3328" s="14">
        <f>H3328-M3328</f>
        <v/>
      </c>
      <c r="O3328" t="inlineStr">
        <is>
          <t>Sim</t>
        </is>
      </c>
      <c r="P3328" t="inlineStr">
        <is>
          <t>1.556</t>
        </is>
      </c>
    </row>
    <row r="3329">
      <c r="A3329" s="24" t="n">
        <v>46143</v>
      </c>
      <c r="B3329" t="inlineStr">
        <is>
          <t>Uso e consumo</t>
        </is>
      </c>
      <c r="C3329" t="inlineStr">
        <is>
          <t>2.01.87 Compra de Peças de Máquinas</t>
        </is>
      </c>
      <c r="D3329" t="inlineStr">
        <is>
          <t>NF-e</t>
        </is>
      </c>
      <c r="E3329" t="inlineStr">
        <is>
          <t>000006450</t>
        </is>
      </c>
      <c r="F3329" t="inlineStr">
        <is>
          <t>GF COMERCIO DE PRODUTOS INDUSTRIAIS LTDA</t>
        </is>
      </c>
      <c r="G3329" s="27" t="n">
        <v>46150</v>
      </c>
      <c r="H3329" s="14" t="n">
        <v>200</v>
      </c>
      <c r="I3329" s="14" t="n">
        <v>0</v>
      </c>
      <c r="J3329" s="14" t="n">
        <v>0</v>
      </c>
      <c r="K3329" s="14" t="n">
        <v>0</v>
      </c>
      <c r="L3329" s="14" t="n">
        <v>0</v>
      </c>
      <c r="M3329" s="14">
        <f>IF(B3329="Frete de venda",0,(1-ISNUMBER(SEARCH("556",P3329)))*(I3329*VLOOKUP($B3329,Premissas!$A$4:$E$7,2,0)+J3329*VLOOKUP($B3329,Premissas!$A$4:$E$7,3,0))+K3329*VLOOKUP($B3329,Premissas!$A$4:$E$7,4,0)+L3329*VLOOKUP($B3329,Premissas!$A$4:$E$7,5,0))</f>
        <v/>
      </c>
      <c r="N3329" s="14">
        <f>H3329-M3329</f>
        <v/>
      </c>
      <c r="O3329" t="inlineStr">
        <is>
          <t>Sim</t>
        </is>
      </c>
      <c r="P3329" t="inlineStr">
        <is>
          <t>1.556</t>
        </is>
      </c>
    </row>
    <row r="3330">
      <c r="A3330" s="24" t="n">
        <v>46143</v>
      </c>
      <c r="B3330" t="inlineStr">
        <is>
          <t>Uso e consumo</t>
        </is>
      </c>
      <c r="C3330" t="inlineStr">
        <is>
          <t>2.01.87 Compra de Peças de Máquinas</t>
        </is>
      </c>
      <c r="D3330" t="inlineStr">
        <is>
          <t>NF-e</t>
        </is>
      </c>
      <c r="E3330" t="inlineStr">
        <is>
          <t>000006480</t>
        </is>
      </c>
      <c r="F3330" t="inlineStr">
        <is>
          <t>GF COMERCIO DE PRODUTOS INDUSTRIAIS LTDA</t>
        </is>
      </c>
      <c r="G3330" s="27" t="n">
        <v>46154</v>
      </c>
      <c r="H3330" s="14" t="n">
        <v>1110.2</v>
      </c>
      <c r="I3330" s="14" t="n">
        <v>0</v>
      </c>
      <c r="J3330" s="14" t="n">
        <v>0</v>
      </c>
      <c r="K3330" s="14" t="n">
        <v>0</v>
      </c>
      <c r="L3330" s="14" t="n">
        <v>0</v>
      </c>
      <c r="M3330" s="14">
        <f>IF(B3330="Frete de venda",0,(1-ISNUMBER(SEARCH("556",P3330)))*(I3330*VLOOKUP($B3330,Premissas!$A$4:$E$7,2,0)+J3330*VLOOKUP($B3330,Premissas!$A$4:$E$7,3,0))+K3330*VLOOKUP($B3330,Premissas!$A$4:$E$7,4,0)+L3330*VLOOKUP($B3330,Premissas!$A$4:$E$7,5,0))</f>
        <v/>
      </c>
      <c r="N3330" s="14">
        <f>H3330-M3330</f>
        <v/>
      </c>
      <c r="O3330" t="inlineStr">
        <is>
          <t>Sim</t>
        </is>
      </c>
      <c r="P3330" t="inlineStr">
        <is>
          <t>1.102, 1.403, 1.556</t>
        </is>
      </c>
    </row>
    <row r="3331">
      <c r="A3331" s="24" t="n">
        <v>46143</v>
      </c>
      <c r="B3331" t="inlineStr">
        <is>
          <t>Uso e consumo</t>
        </is>
      </c>
      <c r="C3331" t="inlineStr">
        <is>
          <t>2.01.87 Compra de Peças de Máquinas</t>
        </is>
      </c>
      <c r="D3331" t="inlineStr">
        <is>
          <t>NF-e</t>
        </is>
      </c>
      <c r="E3331" t="inlineStr">
        <is>
          <t>000006572</t>
        </is>
      </c>
      <c r="F3331" t="inlineStr">
        <is>
          <t>GF COMERCIO DE PRODUTOS INDUSTRIAIS LTDA</t>
        </is>
      </c>
      <c r="G3331" s="27" t="n">
        <v>46162</v>
      </c>
      <c r="H3331" s="14" t="n">
        <v>240</v>
      </c>
      <c r="I3331" s="14" t="n">
        <v>0</v>
      </c>
      <c r="J3331" s="14" t="n">
        <v>0</v>
      </c>
      <c r="K3331" s="14" t="n">
        <v>0</v>
      </c>
      <c r="L3331" s="14" t="n">
        <v>0</v>
      </c>
      <c r="M3331" s="14">
        <f>IF(B3331="Frete de venda",0,(1-ISNUMBER(SEARCH("556",P3331)))*(I3331*VLOOKUP($B3331,Premissas!$A$4:$E$7,2,0)+J3331*VLOOKUP($B3331,Premissas!$A$4:$E$7,3,0))+K3331*VLOOKUP($B3331,Premissas!$A$4:$E$7,4,0)+L3331*VLOOKUP($B3331,Premissas!$A$4:$E$7,5,0))</f>
        <v/>
      </c>
      <c r="N3331" s="14">
        <f>H3331-M3331</f>
        <v/>
      </c>
      <c r="O3331" t="inlineStr">
        <is>
          <t>Sim</t>
        </is>
      </c>
      <c r="P3331" t="inlineStr">
        <is>
          <t>1.556</t>
        </is>
      </c>
    </row>
    <row r="3332">
      <c r="A3332" s="24" t="n">
        <v>46143</v>
      </c>
      <c r="B3332" t="inlineStr">
        <is>
          <t>Uso e consumo</t>
        </is>
      </c>
      <c r="C3332" t="inlineStr">
        <is>
          <t>2.01.87 Compra de Peças de Máquinas</t>
        </is>
      </c>
      <c r="D3332" t="inlineStr">
        <is>
          <t>NF-e</t>
        </is>
      </c>
      <c r="E3332" t="inlineStr">
        <is>
          <t>000006661</t>
        </is>
      </c>
      <c r="F3332" t="inlineStr">
        <is>
          <t>GF COMERCIO DE PRODUTOS INDUSTRIAIS LTDA</t>
        </is>
      </c>
      <c r="G3332" s="27" t="n">
        <v>46169</v>
      </c>
      <c r="H3332" s="14" t="n">
        <v>4803.08</v>
      </c>
      <c r="I3332" s="14" t="n">
        <v>0</v>
      </c>
      <c r="J3332" s="14" t="n">
        <v>0</v>
      </c>
      <c r="K3332" s="14" t="n">
        <v>0</v>
      </c>
      <c r="L3332" s="14" t="n">
        <v>0</v>
      </c>
      <c r="M3332" s="14">
        <f>IF(B3332="Frete de venda",0,(1-ISNUMBER(SEARCH("556",P3332)))*(I3332*VLOOKUP($B3332,Premissas!$A$4:$E$7,2,0)+J3332*VLOOKUP($B3332,Premissas!$A$4:$E$7,3,0))+K3332*VLOOKUP($B3332,Premissas!$A$4:$E$7,4,0)+L3332*VLOOKUP($B3332,Premissas!$A$4:$E$7,5,0))</f>
        <v/>
      </c>
      <c r="N3332" s="14">
        <f>H3332-M3332</f>
        <v/>
      </c>
      <c r="O3332" t="inlineStr">
        <is>
          <t>Sim</t>
        </is>
      </c>
      <c r="P3332" t="inlineStr">
        <is>
          <t>1.102, 1.403</t>
        </is>
      </c>
    </row>
    <row r="3333">
      <c r="A3333" s="24" t="n">
        <v>46143</v>
      </c>
      <c r="B3333" t="inlineStr">
        <is>
          <t>Uso e consumo</t>
        </is>
      </c>
      <c r="C3333" t="inlineStr">
        <is>
          <t>2.01.87 Compra de Peças de Máquinas</t>
        </is>
      </c>
      <c r="D3333" t="inlineStr">
        <is>
          <t>NF-e</t>
        </is>
      </c>
      <c r="E3333" t="inlineStr">
        <is>
          <t>000010613</t>
        </is>
      </c>
      <c r="F3333" t="inlineStr">
        <is>
          <t>KADISA INDUSTRIA E COMERCIO LTDA - ME (FILIAL PB)</t>
        </is>
      </c>
      <c r="G3333" s="27" t="n">
        <v>46160</v>
      </c>
      <c r="H3333" s="14" t="n">
        <v>1200</v>
      </c>
      <c r="I3333" s="14" t="n">
        <v>0</v>
      </c>
      <c r="J3333" s="14" t="n">
        <v>240</v>
      </c>
      <c r="K3333" s="14" t="n">
        <v>0</v>
      </c>
      <c r="L3333" s="14" t="n">
        <v>0</v>
      </c>
      <c r="M3333" s="14">
        <f>IF(B3333="Frete de venda",0,(1-ISNUMBER(SEARCH("556",P3333)))*(I3333*VLOOKUP($B3333,Premissas!$A$4:$E$7,2,0)+J3333*VLOOKUP($B3333,Premissas!$A$4:$E$7,3,0))+K3333*VLOOKUP($B3333,Premissas!$A$4:$E$7,4,0)+L3333*VLOOKUP($B3333,Premissas!$A$4:$E$7,5,0))</f>
        <v/>
      </c>
      <c r="N3333" s="14">
        <f>H3333-M3333</f>
        <v/>
      </c>
      <c r="O3333" t="inlineStr">
        <is>
          <t>Sim</t>
        </is>
      </c>
      <c r="P3333" t="inlineStr">
        <is>
          <t>1.556</t>
        </is>
      </c>
    </row>
    <row r="3334">
      <c r="A3334" s="24" t="n">
        <v>46143</v>
      </c>
      <c r="B3334" t="inlineStr">
        <is>
          <t>Uso e consumo</t>
        </is>
      </c>
      <c r="C3334" t="inlineStr">
        <is>
          <t>2.01.87 Compra de Peças de Máquinas</t>
        </is>
      </c>
      <c r="D3334" t="inlineStr">
        <is>
          <t>NF-e</t>
        </is>
      </c>
      <c r="E3334" t="inlineStr">
        <is>
          <t>000003417</t>
        </is>
      </c>
      <c r="F3334" t="inlineStr">
        <is>
          <t>TECHPRINT FACAS INDUSTRIAIS</t>
        </is>
      </c>
      <c r="G3334" s="27" t="n">
        <v>46171</v>
      </c>
      <c r="H3334" s="14" t="n">
        <v>4461.24</v>
      </c>
      <c r="I3334" s="14" t="n">
        <v>0</v>
      </c>
      <c r="J3334" s="14" t="n">
        <v>0</v>
      </c>
      <c r="K3334" s="14" t="n">
        <v>0</v>
      </c>
      <c r="L3334" s="14" t="n">
        <v>0</v>
      </c>
      <c r="M3334" s="14">
        <f>IF(B3334="Frete de venda",0,(1-ISNUMBER(SEARCH("556",P3334)))*(I3334*VLOOKUP($B3334,Premissas!$A$4:$E$7,2,0)+J3334*VLOOKUP($B3334,Premissas!$A$4:$E$7,3,0))+K3334*VLOOKUP($B3334,Premissas!$A$4:$E$7,4,0)+L3334*VLOOKUP($B3334,Premissas!$A$4:$E$7,5,0))</f>
        <v/>
      </c>
      <c r="N3334" s="14">
        <f>H3334-M3334</f>
        <v/>
      </c>
      <c r="O3334" t="inlineStr">
        <is>
          <t>Sim</t>
        </is>
      </c>
      <c r="P3334" t="inlineStr">
        <is>
          <t>2.102</t>
        </is>
      </c>
    </row>
    <row r="3335">
      <c r="A3335" s="24" t="n">
        <v>46143</v>
      </c>
      <c r="B3335" t="inlineStr">
        <is>
          <t>Insumos e papel</t>
        </is>
      </c>
      <c r="C3335" t="inlineStr">
        <is>
          <t>2.01.89 Compra de Pallet</t>
        </is>
      </c>
      <c r="D3335" t="inlineStr">
        <is>
          <t>NF-e</t>
        </is>
      </c>
      <c r="E3335" t="inlineStr">
        <is>
          <t>000003190</t>
        </is>
      </c>
      <c r="F3335" t="inlineStr">
        <is>
          <t>ANA MARIA BRITO DE SOUZA LTDA</t>
        </is>
      </c>
      <c r="G3335" s="27" t="n">
        <v>46169</v>
      </c>
      <c r="H3335" s="14" t="n">
        <v>1800</v>
      </c>
      <c r="I3335" s="14" t="n">
        <v>0</v>
      </c>
      <c r="J3335" s="14" t="n">
        <v>360</v>
      </c>
      <c r="K3335" s="14" t="n">
        <v>11.7</v>
      </c>
      <c r="L3335" s="14" t="n">
        <v>54</v>
      </c>
      <c r="M3335" s="14">
        <f>IF(B3335="Frete de venda",0,(1-ISNUMBER(SEARCH("556",P3335)))*(I3335*VLOOKUP($B3335,Premissas!$A$4:$E$7,2,0)+J3335*VLOOKUP($B3335,Premissas!$A$4:$E$7,3,0))+K3335*VLOOKUP($B3335,Premissas!$A$4:$E$7,4,0)+L3335*VLOOKUP($B3335,Premissas!$A$4:$E$7,5,0))</f>
        <v/>
      </c>
      <c r="N3335" s="14">
        <f>H3335-M3335</f>
        <v/>
      </c>
      <c r="O3335" t="inlineStr">
        <is>
          <t>Sim</t>
        </is>
      </c>
      <c r="P3335" t="inlineStr">
        <is>
          <t>1.102</t>
        </is>
      </c>
    </row>
    <row r="3336">
      <c r="A3336" s="24" t="n">
        <v>46143</v>
      </c>
      <c r="B3336" t="inlineStr">
        <is>
          <t>Insumos e papel</t>
        </is>
      </c>
      <c r="C3336" t="inlineStr">
        <is>
          <t>2.01.91 Compra de Filme Strech</t>
        </is>
      </c>
      <c r="D3336" t="inlineStr">
        <is>
          <t>NF-e</t>
        </is>
      </c>
      <c r="E3336" t="inlineStr">
        <is>
          <t>000008692</t>
        </is>
      </c>
      <c r="F3336" t="inlineStr">
        <is>
          <t>ALSTEK SOLUCOES EM EMBALAGENS LTDA</t>
        </is>
      </c>
      <c r="G3336" s="27" t="n">
        <v>46153</v>
      </c>
      <c r="H3336" s="14" t="n">
        <v>61033.73</v>
      </c>
      <c r="I3336" s="14" t="n">
        <v>7960.93</v>
      </c>
      <c r="J3336" s="14" t="n">
        <v>2122.92</v>
      </c>
      <c r="K3336" s="14" t="n">
        <v>331.17</v>
      </c>
      <c r="L3336" s="14" t="n">
        <v>1528.5</v>
      </c>
      <c r="M3336" s="14">
        <f>IF(B3336="Frete de venda",0,(1-ISNUMBER(SEARCH("556",P3336)))*(I3336*VLOOKUP($B3336,Premissas!$A$4:$E$7,2,0)+J3336*VLOOKUP($B3336,Premissas!$A$4:$E$7,3,0))+K3336*VLOOKUP($B3336,Premissas!$A$4:$E$7,4,0)+L3336*VLOOKUP($B3336,Premissas!$A$4:$E$7,5,0))</f>
        <v/>
      </c>
      <c r="N3336" s="14">
        <f>H3336-M3336</f>
        <v/>
      </c>
      <c r="O3336" t="inlineStr">
        <is>
          <t>Sim</t>
        </is>
      </c>
      <c r="P3336" t="inlineStr">
        <is>
          <t>2.101, 2.102</t>
        </is>
      </c>
    </row>
    <row r="3337">
      <c r="A3337" s="24" t="n">
        <v>46143</v>
      </c>
      <c r="B3337" t="inlineStr">
        <is>
          <t>Insumos e papel</t>
        </is>
      </c>
      <c r="C3337" t="inlineStr">
        <is>
          <t>2.01.91 Compra de Filme Strech</t>
        </is>
      </c>
      <c r="D3337" t="inlineStr">
        <is>
          <t>NF-e</t>
        </is>
      </c>
      <c r="E3337" t="inlineStr">
        <is>
          <t>000006360</t>
        </is>
      </c>
      <c r="F3337" t="inlineStr">
        <is>
          <t>GDM INDUSTRIA E COMERCIO DE PLASTICOS LTDA.</t>
        </is>
      </c>
      <c r="G3337" s="27" t="n">
        <v>46169</v>
      </c>
      <c r="H3337" s="14" t="n">
        <v>25574.71</v>
      </c>
      <c r="I3337" s="14" t="n">
        <v>3335.83</v>
      </c>
      <c r="J3337" s="14" t="n">
        <v>2668.67</v>
      </c>
      <c r="K3337" s="14" t="n">
        <v>322.91</v>
      </c>
      <c r="L3337" s="14" t="n">
        <v>1487.34</v>
      </c>
      <c r="M3337" s="14">
        <f>IF(B3337="Frete de venda",0,(1-ISNUMBER(SEARCH("556",P3337)))*(I3337*VLOOKUP($B3337,Premissas!$A$4:$E$7,2,0)+J3337*VLOOKUP($B3337,Premissas!$A$4:$E$7,3,0))+K3337*VLOOKUP($B3337,Premissas!$A$4:$E$7,4,0)+L3337*VLOOKUP($B3337,Premissas!$A$4:$E$7,5,0))</f>
        <v/>
      </c>
      <c r="N3337" s="14">
        <f>H3337-M3337</f>
        <v/>
      </c>
      <c r="O3337" t="inlineStr">
        <is>
          <t>Sim</t>
        </is>
      </c>
      <c r="P3337" t="inlineStr">
        <is>
          <t>2.102</t>
        </is>
      </c>
    </row>
    <row r="3338">
      <c r="A3338" s="24" t="n">
        <v>46143</v>
      </c>
      <c r="B3338" t="inlineStr">
        <is>
          <t>Insumos e papel</t>
        </is>
      </c>
      <c r="C3338" t="inlineStr">
        <is>
          <t>2.01.92 Compra de Tinta</t>
        </is>
      </c>
      <c r="D3338" t="inlineStr">
        <is>
          <t>NF-e</t>
        </is>
      </c>
      <c r="E3338" t="inlineStr">
        <is>
          <t>000003307</t>
        </is>
      </c>
      <c r="F3338" t="inlineStr">
        <is>
          <t>PRODUTOS, SERVICOS E TINTAS LATINOAMERICANOS PROYSA LTDA</t>
        </is>
      </c>
      <c r="G3338" s="27" t="n">
        <v>46171</v>
      </c>
      <c r="H3338" s="14" t="n">
        <v>2267.6</v>
      </c>
      <c r="I3338" s="14" t="n">
        <v>0</v>
      </c>
      <c r="J3338" s="14" t="n">
        <v>90.7</v>
      </c>
      <c r="K3338" s="14" t="n">
        <v>35.92</v>
      </c>
      <c r="L3338" s="14" t="n">
        <v>165.44</v>
      </c>
      <c r="M3338" s="14">
        <f>IF(B3338="Frete de venda",0,(1-ISNUMBER(SEARCH("556",P3338)))*(I3338*VLOOKUP($B3338,Premissas!$A$4:$E$7,2,0)+J3338*VLOOKUP($B3338,Premissas!$A$4:$E$7,3,0))+K3338*VLOOKUP($B3338,Premissas!$A$4:$E$7,4,0)+L3338*VLOOKUP($B3338,Premissas!$A$4:$E$7,5,0))</f>
        <v/>
      </c>
      <c r="N3338" s="14">
        <f>H3338-M3338</f>
        <v/>
      </c>
      <c r="O3338" t="inlineStr">
        <is>
          <t>Sim</t>
        </is>
      </c>
      <c r="P3338" t="inlineStr">
        <is>
          <t>2.102</t>
        </is>
      </c>
    </row>
    <row r="3339">
      <c r="A3339" s="24" t="n">
        <v>46143</v>
      </c>
      <c r="B3339" t="inlineStr">
        <is>
          <t>Insumos e papel</t>
        </is>
      </c>
      <c r="C3339" t="inlineStr">
        <is>
          <t>2.01.94 Compra de Fita Adesiva</t>
        </is>
      </c>
      <c r="D3339" t="inlineStr">
        <is>
          <t>NF-e</t>
        </is>
      </c>
      <c r="E3339" t="inlineStr">
        <is>
          <t>000000068</t>
        </is>
      </c>
      <c r="F3339" t="inlineStr">
        <is>
          <t>José Adriano da silva</t>
        </is>
      </c>
      <c r="G3339" s="27" t="n">
        <v>46155</v>
      </c>
      <c r="H3339" s="14" t="n">
        <v>2788</v>
      </c>
      <c r="I3339" s="14" t="n">
        <v>0</v>
      </c>
      <c r="J3339" s="14" t="n">
        <v>0</v>
      </c>
      <c r="K3339" s="14" t="n">
        <v>0</v>
      </c>
      <c r="L3339" s="14" t="n">
        <v>0</v>
      </c>
      <c r="M3339" s="14">
        <f>IF(B3339="Frete de venda",0,(1-ISNUMBER(SEARCH("556",P3339)))*(I3339*VLOOKUP($B3339,Premissas!$A$4:$E$7,2,0)+J3339*VLOOKUP($B3339,Premissas!$A$4:$E$7,3,0))+K3339*VLOOKUP($B3339,Premissas!$A$4:$E$7,4,0)+L3339*VLOOKUP($B3339,Premissas!$A$4:$E$7,5,0))</f>
        <v/>
      </c>
      <c r="N3339" s="14">
        <f>H3339-M3339</f>
        <v/>
      </c>
      <c r="O3339" t="inlineStr">
        <is>
          <t>Sim</t>
        </is>
      </c>
      <c r="P3339" t="inlineStr">
        <is>
          <t>1.102</t>
        </is>
      </c>
    </row>
    <row r="3340">
      <c r="A3340" s="24" t="n">
        <v>46143</v>
      </c>
      <c r="B3340" t="inlineStr">
        <is>
          <t>Insumos e papel</t>
        </is>
      </c>
      <c r="C3340" t="inlineStr">
        <is>
          <t>2.01.94 Compra de Fita Adesiva</t>
        </is>
      </c>
      <c r="D3340" t="inlineStr">
        <is>
          <t>NF-e</t>
        </is>
      </c>
      <c r="E3340" t="inlineStr">
        <is>
          <t>000000071</t>
        </is>
      </c>
      <c r="F3340" t="inlineStr">
        <is>
          <t>José Adriano da silva</t>
        </is>
      </c>
      <c r="G3340" s="27" t="n">
        <v>46170</v>
      </c>
      <c r="H3340" s="14" t="n">
        <v>5018.4</v>
      </c>
      <c r="I3340" s="14" t="n">
        <v>0</v>
      </c>
      <c r="J3340" s="14" t="n">
        <v>0</v>
      </c>
      <c r="K3340" s="14" t="n">
        <v>0</v>
      </c>
      <c r="L3340" s="14" t="n">
        <v>0</v>
      </c>
      <c r="M3340" s="14">
        <f>IF(B3340="Frete de venda",0,(1-ISNUMBER(SEARCH("556",P3340)))*(I3340*VLOOKUP($B3340,Premissas!$A$4:$E$7,2,0)+J3340*VLOOKUP($B3340,Premissas!$A$4:$E$7,3,0))+K3340*VLOOKUP($B3340,Premissas!$A$4:$E$7,4,0)+L3340*VLOOKUP($B3340,Premissas!$A$4:$E$7,5,0))</f>
        <v/>
      </c>
      <c r="N3340" s="14">
        <f>H3340-M3340</f>
        <v/>
      </c>
      <c r="O3340" t="inlineStr">
        <is>
          <t>Sim</t>
        </is>
      </c>
      <c r="P3340" t="inlineStr">
        <is>
          <t>1.556</t>
        </is>
      </c>
    </row>
    <row r="3341">
      <c r="A3341" s="24" t="n">
        <v>46143</v>
      </c>
      <c r="B3341" t="inlineStr">
        <is>
          <t>Insumos e papel</t>
        </is>
      </c>
      <c r="C3341" t="inlineStr">
        <is>
          <t>2.01.94 Compra de Fita Adesiva</t>
        </is>
      </c>
      <c r="D3341" t="inlineStr">
        <is>
          <t>NF-e</t>
        </is>
      </c>
      <c r="E3341" t="inlineStr">
        <is>
          <t>000000417</t>
        </is>
      </c>
      <c r="F3341" t="inlineStr">
        <is>
          <t>ODAFLEXO COMERCIO DE PRODUTOS FLEXOGRAFICOS LTDA</t>
        </is>
      </c>
      <c r="G3341" s="27" t="n">
        <v>46168</v>
      </c>
      <c r="H3341" s="14" t="n">
        <v>4050</v>
      </c>
      <c r="I3341" s="14" t="n">
        <v>0</v>
      </c>
      <c r="J3341" s="14" t="n">
        <v>0</v>
      </c>
      <c r="K3341" s="14" t="n">
        <v>0</v>
      </c>
      <c r="L3341" s="14" t="n">
        <v>0</v>
      </c>
      <c r="M3341" s="14">
        <f>IF(B3341="Frete de venda",0,(1-ISNUMBER(SEARCH("556",P3341)))*(I3341*VLOOKUP($B3341,Premissas!$A$4:$E$7,2,0)+J3341*VLOOKUP($B3341,Premissas!$A$4:$E$7,3,0))+K3341*VLOOKUP($B3341,Premissas!$A$4:$E$7,4,0)+L3341*VLOOKUP($B3341,Premissas!$A$4:$E$7,5,0))</f>
        <v/>
      </c>
      <c r="N3341" s="14">
        <f>H3341-M3341</f>
        <v/>
      </c>
      <c r="O3341" t="inlineStr">
        <is>
          <t>Sim</t>
        </is>
      </c>
      <c r="P3341" t="inlineStr">
        <is>
          <t>2.102</t>
        </is>
      </c>
    </row>
    <row r="3342">
      <c r="A3342" s="24" t="n">
        <v>46143</v>
      </c>
      <c r="B3342" t="inlineStr">
        <is>
          <t>Insumos e papel</t>
        </is>
      </c>
      <c r="C3342" t="inlineStr">
        <is>
          <t>2.01.95 Compra de Etiqueta</t>
        </is>
      </c>
      <c r="D3342" t="inlineStr">
        <is>
          <t>NF-e</t>
        </is>
      </c>
      <c r="E3342" t="inlineStr">
        <is>
          <t>000003906</t>
        </is>
      </c>
      <c r="F3342" t="inlineStr">
        <is>
          <t>FLEXOPEL LTDA</t>
        </is>
      </c>
      <c r="G3342" s="27" t="n">
        <v>46154</v>
      </c>
      <c r="H3342" s="14" t="n">
        <v>4320</v>
      </c>
      <c r="I3342" s="14" t="n">
        <v>0</v>
      </c>
      <c r="J3342" s="14" t="n">
        <v>864</v>
      </c>
      <c r="K3342" s="14" t="n">
        <v>57.02</v>
      </c>
      <c r="L3342" s="14" t="n">
        <v>262.66</v>
      </c>
      <c r="M3342" s="14">
        <f>IF(B3342="Frete de venda",0,(1-ISNUMBER(SEARCH("556",P3342)))*(I3342*VLOOKUP($B3342,Premissas!$A$4:$E$7,2,0)+J3342*VLOOKUP($B3342,Premissas!$A$4:$E$7,3,0))+K3342*VLOOKUP($B3342,Premissas!$A$4:$E$7,4,0)+L3342*VLOOKUP($B3342,Premissas!$A$4:$E$7,5,0))</f>
        <v/>
      </c>
      <c r="N3342" s="14">
        <f>H3342-M3342</f>
        <v/>
      </c>
      <c r="O3342" t="inlineStr">
        <is>
          <t>Sim</t>
        </is>
      </c>
      <c r="P3342" t="inlineStr">
        <is>
          <t>1.556</t>
        </is>
      </c>
    </row>
    <row r="3343">
      <c r="A3343" s="24" t="n">
        <v>46143</v>
      </c>
      <c r="B3343" t="inlineStr">
        <is>
          <t>Insumos e papel</t>
        </is>
      </c>
      <c r="C3343" t="inlineStr">
        <is>
          <t>2.01.95 Compra de Etiqueta</t>
        </is>
      </c>
      <c r="D3343" t="inlineStr">
        <is>
          <t>NF-e</t>
        </is>
      </c>
      <c r="E3343" t="inlineStr">
        <is>
          <t>000004068</t>
        </is>
      </c>
      <c r="F3343" t="inlineStr">
        <is>
          <t>FLEXOPEL LTDA</t>
        </is>
      </c>
      <c r="G3343" s="27" t="n">
        <v>46163</v>
      </c>
      <c r="H3343" s="14" t="n">
        <v>2936</v>
      </c>
      <c r="I3343" s="14" t="n">
        <v>0</v>
      </c>
      <c r="J3343" s="14" t="n">
        <v>587.2</v>
      </c>
      <c r="K3343" s="14" t="n">
        <v>38.76</v>
      </c>
      <c r="L3343" s="14" t="n">
        <v>178.51</v>
      </c>
      <c r="M3343" s="14">
        <f>IF(B3343="Frete de venda",0,(1-ISNUMBER(SEARCH("556",P3343)))*(I3343*VLOOKUP($B3343,Premissas!$A$4:$E$7,2,0)+J3343*VLOOKUP($B3343,Premissas!$A$4:$E$7,3,0))+K3343*VLOOKUP($B3343,Premissas!$A$4:$E$7,4,0)+L3343*VLOOKUP($B3343,Premissas!$A$4:$E$7,5,0))</f>
        <v/>
      </c>
      <c r="N3343" s="14">
        <f>H3343-M3343</f>
        <v/>
      </c>
      <c r="O3343" t="inlineStr">
        <is>
          <t>Sim</t>
        </is>
      </c>
      <c r="P3343" t="inlineStr">
        <is>
          <t>1.102</t>
        </is>
      </c>
    </row>
    <row r="3344">
      <c r="A3344" s="24" t="n">
        <v>46143</v>
      </c>
      <c r="B3344" t="inlineStr">
        <is>
          <t>Insumos e papel</t>
        </is>
      </c>
      <c r="C3344" t="inlineStr">
        <is>
          <t>2.01.95 Compra de Etiqueta</t>
        </is>
      </c>
      <c r="D3344" t="inlineStr">
        <is>
          <t>NF-e</t>
        </is>
      </c>
      <c r="E3344" t="inlineStr">
        <is>
          <t>000004516</t>
        </is>
      </c>
      <c r="F3344" t="inlineStr">
        <is>
          <t>GS BOBINAS E ETIQUETAS</t>
        </is>
      </c>
      <c r="G3344" s="27" t="n">
        <v>46149</v>
      </c>
      <c r="H3344" s="14" t="n">
        <v>7060.7</v>
      </c>
      <c r="I3344" s="14" t="n">
        <v>0</v>
      </c>
      <c r="J3344" s="14" t="n">
        <v>847.28</v>
      </c>
      <c r="K3344" s="14" t="n">
        <v>0</v>
      </c>
      <c r="L3344" s="14" t="n">
        <v>0</v>
      </c>
      <c r="M3344" s="14">
        <f>IF(B3344="Frete de venda",0,(1-ISNUMBER(SEARCH("556",P3344)))*(I3344*VLOOKUP($B3344,Premissas!$A$4:$E$7,2,0)+J3344*VLOOKUP($B3344,Premissas!$A$4:$E$7,3,0))+K3344*VLOOKUP($B3344,Premissas!$A$4:$E$7,4,0)+L3344*VLOOKUP($B3344,Premissas!$A$4:$E$7,5,0))</f>
        <v/>
      </c>
      <c r="N3344" s="14">
        <f>H3344-M3344</f>
        <v/>
      </c>
      <c r="O3344" t="inlineStr">
        <is>
          <t>Sim</t>
        </is>
      </c>
      <c r="P3344" t="inlineStr">
        <is>
          <t>2.556</t>
        </is>
      </c>
    </row>
    <row r="3345">
      <c r="A3345" s="24" t="n">
        <v>46143</v>
      </c>
      <c r="B3345" t="inlineStr">
        <is>
          <t>Insumos e papel</t>
        </is>
      </c>
      <c r="C3345" t="inlineStr">
        <is>
          <t>2.01.95 Compra de Etiqueta</t>
        </is>
      </c>
      <c r="D3345" t="inlineStr">
        <is>
          <t>NF-e</t>
        </is>
      </c>
      <c r="E3345" t="inlineStr">
        <is>
          <t>000353246</t>
        </is>
      </c>
      <c r="F3345" t="inlineStr">
        <is>
          <t>PARAIBA PLAST COMERCIAL EIRELI</t>
        </is>
      </c>
      <c r="G3345" s="27" t="n">
        <v>46146</v>
      </c>
      <c r="H3345" s="14" t="n">
        <v>492</v>
      </c>
      <c r="I3345" s="14" t="n">
        <v>0</v>
      </c>
      <c r="J3345" s="14" t="n">
        <v>98.40000000000001</v>
      </c>
      <c r="K3345" s="14" t="n">
        <v>6.46</v>
      </c>
      <c r="L3345" s="14" t="n">
        <v>29.76</v>
      </c>
      <c r="M3345" s="14">
        <f>IF(B3345="Frete de venda",0,(1-ISNUMBER(SEARCH("556",P3345)))*(I3345*VLOOKUP($B3345,Premissas!$A$4:$E$7,2,0)+J3345*VLOOKUP($B3345,Premissas!$A$4:$E$7,3,0))+K3345*VLOOKUP($B3345,Premissas!$A$4:$E$7,4,0)+L3345*VLOOKUP($B3345,Premissas!$A$4:$E$7,5,0))</f>
        <v/>
      </c>
      <c r="N3345" s="14">
        <f>H3345-M3345</f>
        <v/>
      </c>
      <c r="O3345" t="inlineStr">
        <is>
          <t>Sim</t>
        </is>
      </c>
      <c r="P3345" t="inlineStr">
        <is>
          <t>1.102</t>
        </is>
      </c>
    </row>
    <row r="3346">
      <c r="A3346" s="24" t="n">
        <v>46143</v>
      </c>
      <c r="B3346" t="inlineStr">
        <is>
          <t>Insumos e papel</t>
        </is>
      </c>
      <c r="C3346" t="inlineStr">
        <is>
          <t>2.01.96 Compra de Cola</t>
        </is>
      </c>
      <c r="D3346" t="inlineStr">
        <is>
          <t>NF-e</t>
        </is>
      </c>
      <c r="E3346" t="inlineStr">
        <is>
          <t>000037359</t>
        </is>
      </c>
      <c r="F3346" t="inlineStr">
        <is>
          <t>COLAMID</t>
        </is>
      </c>
      <c r="G3346" s="27" t="n">
        <v>46148</v>
      </c>
      <c r="H3346" s="14" t="n">
        <v>7270</v>
      </c>
      <c r="I3346" s="14" t="n">
        <v>0</v>
      </c>
      <c r="J3346" s="14" t="n">
        <v>872.4</v>
      </c>
      <c r="K3346" s="14" t="n">
        <v>0</v>
      </c>
      <c r="L3346" s="14" t="n">
        <v>0</v>
      </c>
      <c r="M3346" s="14">
        <f>IF(B3346="Frete de venda",0,(1-ISNUMBER(SEARCH("556",P3346)))*(I3346*VLOOKUP($B3346,Premissas!$A$4:$E$7,2,0)+J3346*VLOOKUP($B3346,Premissas!$A$4:$E$7,3,0))+K3346*VLOOKUP($B3346,Premissas!$A$4:$E$7,4,0)+L3346*VLOOKUP($B3346,Premissas!$A$4:$E$7,5,0))</f>
        <v/>
      </c>
      <c r="N3346" s="14">
        <f>H3346-M3346</f>
        <v/>
      </c>
      <c r="O3346" t="inlineStr">
        <is>
          <t>Sim</t>
        </is>
      </c>
      <c r="P3346" t="inlineStr">
        <is>
          <t>2.101</t>
        </is>
      </c>
    </row>
    <row r="3347">
      <c r="A3347" s="24" t="n">
        <v>46143</v>
      </c>
      <c r="B3347" t="inlineStr">
        <is>
          <t>Insumos e papel</t>
        </is>
      </c>
      <c r="C3347" t="inlineStr">
        <is>
          <t>2.01.96 Compra de Cola</t>
        </is>
      </c>
      <c r="D3347" t="inlineStr">
        <is>
          <t>NF-e</t>
        </is>
      </c>
      <c r="E3347" t="inlineStr">
        <is>
          <t>000037369</t>
        </is>
      </c>
      <c r="F3347" t="inlineStr">
        <is>
          <t>COLAMID</t>
        </is>
      </c>
      <c r="G3347" s="27" t="n">
        <v>46149</v>
      </c>
      <c r="H3347" s="14" t="n">
        <v>57950</v>
      </c>
      <c r="I3347" s="14" t="n">
        <v>0</v>
      </c>
      <c r="J3347" s="14" t="n">
        <v>6954</v>
      </c>
      <c r="K3347" s="14" t="n">
        <v>0</v>
      </c>
      <c r="L3347" s="14" t="n">
        <v>0</v>
      </c>
      <c r="M3347" s="14">
        <f>IF(B3347="Frete de venda",0,(1-ISNUMBER(SEARCH("556",P3347)))*(I3347*VLOOKUP($B3347,Premissas!$A$4:$E$7,2,0)+J3347*VLOOKUP($B3347,Premissas!$A$4:$E$7,3,0))+K3347*VLOOKUP($B3347,Premissas!$A$4:$E$7,4,0)+L3347*VLOOKUP($B3347,Premissas!$A$4:$E$7,5,0))</f>
        <v/>
      </c>
      <c r="N3347" s="14">
        <f>H3347-M3347</f>
        <v/>
      </c>
      <c r="O3347" t="inlineStr">
        <is>
          <t>Sim</t>
        </is>
      </c>
      <c r="P3347" t="inlineStr">
        <is>
          <t>2.101</t>
        </is>
      </c>
    </row>
    <row r="3348">
      <c r="A3348" s="24" t="n">
        <v>46143</v>
      </c>
      <c r="B3348" t="inlineStr">
        <is>
          <t>Insumos e papel</t>
        </is>
      </c>
      <c r="C3348" t="inlineStr">
        <is>
          <t>2.01.96 Compra de Cola</t>
        </is>
      </c>
      <c r="D3348" t="inlineStr">
        <is>
          <t>NF-e</t>
        </is>
      </c>
      <c r="E3348" t="inlineStr">
        <is>
          <t>000037404</t>
        </is>
      </c>
      <c r="F3348" t="inlineStr">
        <is>
          <t>COLAMID</t>
        </is>
      </c>
      <c r="G3348" s="27" t="n">
        <v>46155</v>
      </c>
      <c r="H3348" s="14" t="n">
        <v>29010</v>
      </c>
      <c r="I3348" s="14" t="n">
        <v>0</v>
      </c>
      <c r="J3348" s="14" t="n">
        <v>3481.2</v>
      </c>
      <c r="K3348" s="14" t="n">
        <v>0</v>
      </c>
      <c r="L3348" s="14" t="n">
        <v>0</v>
      </c>
      <c r="M3348" s="14">
        <f>IF(B3348="Frete de venda",0,(1-ISNUMBER(SEARCH("556",P3348)))*(I3348*VLOOKUP($B3348,Premissas!$A$4:$E$7,2,0)+J3348*VLOOKUP($B3348,Premissas!$A$4:$E$7,3,0))+K3348*VLOOKUP($B3348,Premissas!$A$4:$E$7,4,0)+L3348*VLOOKUP($B3348,Premissas!$A$4:$E$7,5,0))</f>
        <v/>
      </c>
      <c r="N3348" s="14">
        <f>H3348-M3348</f>
        <v/>
      </c>
      <c r="O3348" t="inlineStr">
        <is>
          <t>Sim</t>
        </is>
      </c>
      <c r="P3348" t="inlineStr">
        <is>
          <t>2.101</t>
        </is>
      </c>
    </row>
    <row r="3349">
      <c r="A3349" s="24" t="n">
        <v>46143</v>
      </c>
      <c r="B3349" t="inlineStr">
        <is>
          <t>Insumos e papel</t>
        </is>
      </c>
      <c r="C3349" t="inlineStr">
        <is>
          <t>2.01.96 Compra de Cola</t>
        </is>
      </c>
      <c r="D3349" t="inlineStr">
        <is>
          <t>NF-e</t>
        </is>
      </c>
      <c r="E3349" t="inlineStr">
        <is>
          <t>000037532</t>
        </is>
      </c>
      <c r="F3349" t="inlineStr">
        <is>
          <t>COLAMID</t>
        </is>
      </c>
      <c r="G3349" s="27" t="n">
        <v>46171</v>
      </c>
      <c r="H3349" s="14" t="n">
        <v>79450</v>
      </c>
      <c r="I3349" s="14" t="n">
        <v>0</v>
      </c>
      <c r="J3349" s="14" t="n">
        <v>9534</v>
      </c>
      <c r="K3349" s="14" t="n">
        <v>0</v>
      </c>
      <c r="L3349" s="14" t="n">
        <v>0</v>
      </c>
      <c r="M3349" s="14">
        <f>IF(B3349="Frete de venda",0,(1-ISNUMBER(SEARCH("556",P3349)))*(I3349*VLOOKUP($B3349,Premissas!$A$4:$E$7,2,0)+J3349*VLOOKUP($B3349,Premissas!$A$4:$E$7,3,0))+K3349*VLOOKUP($B3349,Premissas!$A$4:$E$7,4,0)+L3349*VLOOKUP($B3349,Premissas!$A$4:$E$7,5,0))</f>
        <v/>
      </c>
      <c r="N3349" s="14">
        <f>H3349-M3349</f>
        <v/>
      </c>
      <c r="O3349" t="inlineStr">
        <is>
          <t>Sim</t>
        </is>
      </c>
      <c r="P3349" t="inlineStr">
        <is>
          <t>2.101</t>
        </is>
      </c>
    </row>
    <row r="3350">
      <c r="A3350" s="24" t="n">
        <v>46143</v>
      </c>
      <c r="B3350" t="inlineStr">
        <is>
          <t>Insumos e papel</t>
        </is>
      </c>
      <c r="C3350" t="inlineStr">
        <is>
          <t>2.01.96 Compra de Cola</t>
        </is>
      </c>
      <c r="D3350" t="inlineStr">
        <is>
          <t>NF-e</t>
        </is>
      </c>
      <c r="E3350" t="inlineStr">
        <is>
          <t>000021736</t>
        </is>
      </c>
      <c r="F3350" t="inlineStr">
        <is>
          <t>REQUIM PRODUTOS QUIMICOS LTDA</t>
        </is>
      </c>
      <c r="G3350" s="27" t="n">
        <v>46156</v>
      </c>
      <c r="H3350" s="14" t="n">
        <v>59400</v>
      </c>
      <c r="I3350" s="14" t="n">
        <v>0</v>
      </c>
      <c r="J3350" s="14" t="n">
        <v>2376</v>
      </c>
      <c r="K3350" s="14" t="n">
        <v>370.66</v>
      </c>
      <c r="L3350" s="14" t="n">
        <v>1710.72</v>
      </c>
      <c r="M3350" s="14">
        <f>IF(B3350="Frete de venda",0,(1-ISNUMBER(SEARCH("556",P3350)))*(I3350*VLOOKUP($B3350,Premissas!$A$4:$E$7,2,0)+J3350*VLOOKUP($B3350,Premissas!$A$4:$E$7,3,0))+K3350*VLOOKUP($B3350,Premissas!$A$4:$E$7,4,0)+L3350*VLOOKUP($B3350,Premissas!$A$4:$E$7,5,0))</f>
        <v/>
      </c>
      <c r="N3350" s="14">
        <f>H3350-M3350</f>
        <v/>
      </c>
      <c r="O3350" t="inlineStr">
        <is>
          <t>Sim</t>
        </is>
      </c>
      <c r="P3350" t="inlineStr">
        <is>
          <t>2.101</t>
        </is>
      </c>
    </row>
    <row r="3351">
      <c r="A3351" s="24" t="n">
        <v>46143</v>
      </c>
      <c r="B3351" t="inlineStr">
        <is>
          <t>Insumos e papel</t>
        </is>
      </c>
      <c r="C3351" t="inlineStr">
        <is>
          <t>2.01.99 Compra de Caixas</t>
        </is>
      </c>
      <c r="D3351" t="inlineStr">
        <is>
          <t>NF-e</t>
        </is>
      </c>
      <c r="E3351" t="inlineStr">
        <is>
          <t>000014666</t>
        </is>
      </c>
      <c r="F3351" t="inlineStr">
        <is>
          <t>NOVA CONPEL COMPANHIA NORDESTINA DE PAPEL LTDA</t>
        </is>
      </c>
      <c r="G3351" s="27" t="n">
        <v>46144</v>
      </c>
      <c r="H3351" s="14" t="n">
        <v>17249.98</v>
      </c>
      <c r="I3351" s="14" t="n">
        <v>2249.99</v>
      </c>
      <c r="J3351" s="14" t="n">
        <v>2999.99</v>
      </c>
      <c r="K3351" s="14" t="n">
        <v>198</v>
      </c>
      <c r="L3351" s="14" t="n">
        <v>912</v>
      </c>
      <c r="M3351" s="14">
        <f>IF(B3351="Frete de venda",0,(1-ISNUMBER(SEARCH("556",P3351)))*(I3351*VLOOKUP($B3351,Premissas!$A$4:$E$7,2,0)+J3351*VLOOKUP($B3351,Premissas!$A$4:$E$7,3,0))+K3351*VLOOKUP($B3351,Premissas!$A$4:$E$7,4,0)+L3351*VLOOKUP($B3351,Premissas!$A$4:$E$7,5,0))</f>
        <v/>
      </c>
      <c r="N3351" s="14">
        <f>H3351-M3351</f>
        <v/>
      </c>
      <c r="O3351" t="inlineStr">
        <is>
          <t>Sim</t>
        </is>
      </c>
      <c r="P3351" t="inlineStr">
        <is>
          <t>1.556</t>
        </is>
      </c>
    </row>
    <row r="3352">
      <c r="A3352" s="24" t="n">
        <v>46143</v>
      </c>
      <c r="B3352" t="inlineStr">
        <is>
          <t>Insumos e papel</t>
        </is>
      </c>
      <c r="C3352" t="inlineStr">
        <is>
          <t>2.01.99 Compra de Caixas</t>
        </is>
      </c>
      <c r="D3352" t="inlineStr">
        <is>
          <t>NF-e</t>
        </is>
      </c>
      <c r="E3352" t="inlineStr">
        <is>
          <t>000014672</t>
        </is>
      </c>
      <c r="F3352" t="inlineStr">
        <is>
          <t>NOVA CONPEL COMPANHIA NORDESTINA DE PAPEL LTDA</t>
        </is>
      </c>
      <c r="G3352" s="27" t="n">
        <v>46144</v>
      </c>
      <c r="H3352" s="14" t="n">
        <v>7496.04</v>
      </c>
      <c r="I3352" s="14" t="n">
        <v>977.74</v>
      </c>
      <c r="J3352" s="14" t="n">
        <v>1303.66</v>
      </c>
      <c r="K3352" s="14" t="n">
        <v>86.04000000000001</v>
      </c>
      <c r="L3352" s="14" t="n">
        <v>396.32</v>
      </c>
      <c r="M3352" s="14">
        <f>IF(B3352="Frete de venda",0,(1-ISNUMBER(SEARCH("556",P3352)))*(I3352*VLOOKUP($B3352,Premissas!$A$4:$E$7,2,0)+J3352*VLOOKUP($B3352,Premissas!$A$4:$E$7,3,0))+K3352*VLOOKUP($B3352,Premissas!$A$4:$E$7,4,0)+L3352*VLOOKUP($B3352,Premissas!$A$4:$E$7,5,0))</f>
        <v/>
      </c>
      <c r="N3352" s="14">
        <f>H3352-M3352</f>
        <v/>
      </c>
      <c r="O3352" t="inlineStr">
        <is>
          <t>Sim</t>
        </is>
      </c>
      <c r="P3352" t="inlineStr">
        <is>
          <t>1.102, 1.556</t>
        </is>
      </c>
    </row>
    <row r="3353">
      <c r="A3353" s="24" t="n">
        <v>46143</v>
      </c>
      <c r="B3353" t="inlineStr">
        <is>
          <t>Insumos e papel</t>
        </is>
      </c>
      <c r="C3353" t="inlineStr">
        <is>
          <t>2.01.99 Compra de Caixas</t>
        </is>
      </c>
      <c r="D3353" t="inlineStr">
        <is>
          <t>NF-e</t>
        </is>
      </c>
      <c r="E3353" t="inlineStr">
        <is>
          <t>000014906</t>
        </is>
      </c>
      <c r="F3353" t="inlineStr">
        <is>
          <t>NOVA CONPEL COMPANHIA NORDESTINA DE PAPEL LTDA</t>
        </is>
      </c>
      <c r="G3353" s="27" t="n">
        <v>46153</v>
      </c>
      <c r="H3353" s="14" t="n">
        <v>4806.86</v>
      </c>
      <c r="I3353" s="14" t="n">
        <v>626.97</v>
      </c>
      <c r="J3353" s="14" t="n">
        <v>835.97</v>
      </c>
      <c r="K3353" s="14" t="n">
        <v>55.18</v>
      </c>
      <c r="L3353" s="14" t="n">
        <v>254.13</v>
      </c>
      <c r="M3353" s="14">
        <f>IF(B3353="Frete de venda",0,(1-ISNUMBER(SEARCH("556",P3353)))*(I3353*VLOOKUP($B3353,Premissas!$A$4:$E$7,2,0)+J3353*VLOOKUP($B3353,Premissas!$A$4:$E$7,3,0))+K3353*VLOOKUP($B3353,Premissas!$A$4:$E$7,4,0)+L3353*VLOOKUP($B3353,Premissas!$A$4:$E$7,5,0))</f>
        <v/>
      </c>
      <c r="N3353" s="14">
        <f>H3353-M3353</f>
        <v/>
      </c>
      <c r="O3353" t="inlineStr">
        <is>
          <t>Sim</t>
        </is>
      </c>
      <c r="P3353" t="inlineStr">
        <is>
          <t>1.556</t>
        </is>
      </c>
    </row>
    <row r="3354">
      <c r="A3354" s="24" t="n">
        <v>46143</v>
      </c>
      <c r="B3354" t="inlineStr">
        <is>
          <t>Insumos e papel</t>
        </is>
      </c>
      <c r="C3354" t="inlineStr">
        <is>
          <t>2.01.99 Compra de Caixas</t>
        </is>
      </c>
      <c r="D3354" t="inlineStr">
        <is>
          <t>NF-e</t>
        </is>
      </c>
      <c r="E3354" t="inlineStr">
        <is>
          <t>000014942</t>
        </is>
      </c>
      <c r="F3354" t="inlineStr">
        <is>
          <t>NOVA CONPEL COMPANHIA NORDESTINA DE PAPEL LTDA</t>
        </is>
      </c>
      <c r="G3354" s="27" t="n">
        <v>46154</v>
      </c>
      <c r="H3354" s="14" t="n">
        <v>64073</v>
      </c>
      <c r="I3354" s="14" t="n">
        <v>8357.34</v>
      </c>
      <c r="J3354" s="14" t="n">
        <v>11143.13</v>
      </c>
      <c r="K3354" s="14" t="n">
        <v>735.45</v>
      </c>
      <c r="L3354" s="14" t="n">
        <v>3387.51</v>
      </c>
      <c r="M3354" s="14">
        <f>IF(B3354="Frete de venda",0,(1-ISNUMBER(SEARCH("556",P3354)))*(I3354*VLOOKUP($B3354,Premissas!$A$4:$E$7,2,0)+J3354*VLOOKUP($B3354,Premissas!$A$4:$E$7,3,0))+K3354*VLOOKUP($B3354,Premissas!$A$4:$E$7,4,0)+L3354*VLOOKUP($B3354,Premissas!$A$4:$E$7,5,0))</f>
        <v/>
      </c>
      <c r="N3354" s="14">
        <f>H3354-M3354</f>
        <v/>
      </c>
      <c r="O3354" t="inlineStr">
        <is>
          <t>Sim</t>
        </is>
      </c>
      <c r="P3354" t="inlineStr">
        <is>
          <t>1.556</t>
        </is>
      </c>
    </row>
    <row r="3355">
      <c r="A3355" s="24" t="n">
        <v>46143</v>
      </c>
      <c r="B3355" t="inlineStr">
        <is>
          <t>Insumos e papel</t>
        </is>
      </c>
      <c r="C3355" t="inlineStr">
        <is>
          <t>2.01.99 Compra de Caixas</t>
        </is>
      </c>
      <c r="D3355" t="inlineStr">
        <is>
          <t>NF-e</t>
        </is>
      </c>
      <c r="E3355" t="inlineStr">
        <is>
          <t>000014952</t>
        </is>
      </c>
      <c r="F3355" t="inlineStr">
        <is>
          <t>NOVA CONPEL COMPANHIA NORDESTINA DE PAPEL LTDA</t>
        </is>
      </c>
      <c r="G3355" s="27" t="n">
        <v>46154</v>
      </c>
      <c r="H3355" s="14" t="n">
        <v>63324.1</v>
      </c>
      <c r="I3355" s="14" t="n">
        <v>8259.66</v>
      </c>
      <c r="J3355" s="14" t="n">
        <v>11012.88</v>
      </c>
      <c r="K3355" s="14" t="n">
        <v>726.85</v>
      </c>
      <c r="L3355" s="14" t="n">
        <v>3347.92</v>
      </c>
      <c r="M3355" s="14">
        <f>IF(B3355="Frete de venda",0,(1-ISNUMBER(SEARCH("556",P3355)))*(I3355*VLOOKUP($B3355,Premissas!$A$4:$E$7,2,0)+J3355*VLOOKUP($B3355,Premissas!$A$4:$E$7,3,0))+K3355*VLOOKUP($B3355,Premissas!$A$4:$E$7,4,0)+L3355*VLOOKUP($B3355,Premissas!$A$4:$E$7,5,0))</f>
        <v/>
      </c>
      <c r="N3355" s="14">
        <f>H3355-M3355</f>
        <v/>
      </c>
      <c r="O3355" t="inlineStr">
        <is>
          <t>Sim</t>
        </is>
      </c>
      <c r="P3355" t="inlineStr">
        <is>
          <t>1.556</t>
        </is>
      </c>
    </row>
    <row r="3356">
      <c r="A3356" s="24" t="n">
        <v>46143</v>
      </c>
      <c r="B3356" t="inlineStr">
        <is>
          <t>Insumos e papel</t>
        </is>
      </c>
      <c r="C3356" t="inlineStr">
        <is>
          <t>2.01.99 Compra de Caixas</t>
        </is>
      </c>
      <c r="D3356" t="inlineStr">
        <is>
          <t>NF-e</t>
        </is>
      </c>
      <c r="E3356" t="inlineStr">
        <is>
          <t>000014939</t>
        </is>
      </c>
      <c r="F3356" t="inlineStr">
        <is>
          <t>NOVA CONPEL COMPANHIA NORDESTINA DE PAPEL LTDA</t>
        </is>
      </c>
      <c r="G3356" s="27" t="n">
        <v>46154</v>
      </c>
      <c r="H3356" s="14" t="n">
        <v>61992.71</v>
      </c>
      <c r="I3356" s="14" t="n">
        <v>8086</v>
      </c>
      <c r="J3356" s="14" t="n">
        <v>10781.34</v>
      </c>
      <c r="K3356" s="14" t="n">
        <v>711.5700000000001</v>
      </c>
      <c r="L3356" s="14" t="n">
        <v>3277.53</v>
      </c>
      <c r="M3356" s="14">
        <f>IF(B3356="Frete de venda",0,(1-ISNUMBER(SEARCH("556",P3356)))*(I3356*VLOOKUP($B3356,Premissas!$A$4:$E$7,2,0)+J3356*VLOOKUP($B3356,Premissas!$A$4:$E$7,3,0))+K3356*VLOOKUP($B3356,Premissas!$A$4:$E$7,4,0)+L3356*VLOOKUP($B3356,Premissas!$A$4:$E$7,5,0))</f>
        <v/>
      </c>
      <c r="N3356" s="14">
        <f>H3356-M3356</f>
        <v/>
      </c>
      <c r="O3356" t="inlineStr">
        <is>
          <t>Sim</t>
        </is>
      </c>
      <c r="P3356" t="inlineStr">
        <is>
          <t>1.556</t>
        </is>
      </c>
    </row>
    <row r="3357">
      <c r="A3357" s="24" t="n">
        <v>46143</v>
      </c>
      <c r="B3357" t="inlineStr">
        <is>
          <t>Insumos e papel</t>
        </is>
      </c>
      <c r="C3357" t="inlineStr">
        <is>
          <t>2.01.99 Compra de Caixas</t>
        </is>
      </c>
      <c r="D3357" t="inlineStr">
        <is>
          <t>NF-e</t>
        </is>
      </c>
      <c r="E3357" t="inlineStr">
        <is>
          <t>000014945</t>
        </is>
      </c>
      <c r="F3357" t="inlineStr">
        <is>
          <t>NOVA CONPEL COMPANHIA NORDESTINA DE PAPEL LTDA</t>
        </is>
      </c>
      <c r="G3357" s="27" t="n">
        <v>46154</v>
      </c>
      <c r="H3357" s="14" t="n">
        <v>63656.95</v>
      </c>
      <c r="I3357" s="14" t="n">
        <v>8303.08</v>
      </c>
      <c r="J3357" s="14" t="n">
        <v>11070.77</v>
      </c>
      <c r="K3357" s="14" t="n">
        <v>730.67</v>
      </c>
      <c r="L3357" s="14" t="n">
        <v>3365.52</v>
      </c>
      <c r="M3357" s="14">
        <f>IF(B3357="Frete de venda",0,(1-ISNUMBER(SEARCH("556",P3357)))*(I3357*VLOOKUP($B3357,Premissas!$A$4:$E$7,2,0)+J3357*VLOOKUP($B3357,Premissas!$A$4:$E$7,3,0))+K3357*VLOOKUP($B3357,Premissas!$A$4:$E$7,4,0)+L3357*VLOOKUP($B3357,Premissas!$A$4:$E$7,5,0))</f>
        <v/>
      </c>
      <c r="N3357" s="14">
        <f>H3357-M3357</f>
        <v/>
      </c>
      <c r="O3357" t="inlineStr">
        <is>
          <t>Sim</t>
        </is>
      </c>
      <c r="P3357" t="inlineStr">
        <is>
          <t>1.556</t>
        </is>
      </c>
    </row>
    <row r="3358">
      <c r="A3358" s="24" t="n">
        <v>46143</v>
      </c>
      <c r="B3358" t="inlineStr">
        <is>
          <t>Insumos e papel</t>
        </is>
      </c>
      <c r="C3358" t="inlineStr">
        <is>
          <t>2.01.99 Compra de Caixas</t>
        </is>
      </c>
      <c r="D3358" t="inlineStr">
        <is>
          <t>NF-e</t>
        </is>
      </c>
      <c r="E3358" t="inlineStr">
        <is>
          <t>000014938</t>
        </is>
      </c>
      <c r="F3358" t="inlineStr">
        <is>
          <t>NOVA CONPEL COMPANHIA NORDESTINA DE PAPEL LTDA</t>
        </is>
      </c>
      <c r="G3358" s="27" t="n">
        <v>46154</v>
      </c>
      <c r="H3358" s="14" t="n">
        <v>62408.77</v>
      </c>
      <c r="I3358" s="14" t="n">
        <v>8140.27</v>
      </c>
      <c r="J3358" s="14" t="n">
        <v>10853.7</v>
      </c>
      <c r="K3358" s="14" t="n">
        <v>716.34</v>
      </c>
      <c r="L3358" s="14" t="n">
        <v>3299.52</v>
      </c>
      <c r="M3358" s="14">
        <f>IF(B3358="Frete de venda",0,(1-ISNUMBER(SEARCH("556",P3358)))*(I3358*VLOOKUP($B3358,Premissas!$A$4:$E$7,2,0)+J3358*VLOOKUP($B3358,Premissas!$A$4:$E$7,3,0))+K3358*VLOOKUP($B3358,Premissas!$A$4:$E$7,4,0)+L3358*VLOOKUP($B3358,Premissas!$A$4:$E$7,5,0))</f>
        <v/>
      </c>
      <c r="N3358" s="14">
        <f>H3358-M3358</f>
        <v/>
      </c>
      <c r="O3358" t="inlineStr">
        <is>
          <t>Sim</t>
        </is>
      </c>
      <c r="P3358" t="inlineStr">
        <is>
          <t>1.556</t>
        </is>
      </c>
    </row>
    <row r="3359">
      <c r="A3359" s="24" t="n">
        <v>46143</v>
      </c>
      <c r="B3359" t="inlineStr">
        <is>
          <t>Insumos e papel</t>
        </is>
      </c>
      <c r="C3359" t="inlineStr">
        <is>
          <t>2.01.99 Compra de Caixas</t>
        </is>
      </c>
      <c r="D3359" t="inlineStr">
        <is>
          <t>NF-e</t>
        </is>
      </c>
      <c r="E3359" t="inlineStr">
        <is>
          <t>000014949</t>
        </is>
      </c>
      <c r="F3359" t="inlineStr">
        <is>
          <t>NOVA CONPEL COMPANHIA NORDESTINA DE PAPEL LTDA</t>
        </is>
      </c>
      <c r="G3359" s="27" t="n">
        <v>46154</v>
      </c>
      <c r="H3359" s="14" t="n">
        <v>63740.16</v>
      </c>
      <c r="I3359" s="14" t="n">
        <v>8313.93</v>
      </c>
      <c r="J3359" s="14" t="n">
        <v>11085.24</v>
      </c>
      <c r="K3359" s="14" t="n">
        <v>731.63</v>
      </c>
      <c r="L3359" s="14" t="n">
        <v>3369.92</v>
      </c>
      <c r="M3359" s="14">
        <f>IF(B3359="Frete de venda",0,(1-ISNUMBER(SEARCH("556",P3359)))*(I3359*VLOOKUP($B3359,Premissas!$A$4:$E$7,2,0)+J3359*VLOOKUP($B3359,Premissas!$A$4:$E$7,3,0))+K3359*VLOOKUP($B3359,Premissas!$A$4:$E$7,4,0)+L3359*VLOOKUP($B3359,Premissas!$A$4:$E$7,5,0))</f>
        <v/>
      </c>
      <c r="N3359" s="14">
        <f>H3359-M3359</f>
        <v/>
      </c>
      <c r="O3359" t="inlineStr">
        <is>
          <t>Sim</t>
        </is>
      </c>
      <c r="P3359" t="inlineStr">
        <is>
          <t>1.556</t>
        </is>
      </c>
    </row>
    <row r="3360">
      <c r="A3360" s="24" t="n">
        <v>46143</v>
      </c>
      <c r="B3360" t="inlineStr">
        <is>
          <t>Insumos e papel</t>
        </is>
      </c>
      <c r="C3360" t="inlineStr">
        <is>
          <t>2.01.99 Compra de Caixas</t>
        </is>
      </c>
      <c r="D3360" t="inlineStr">
        <is>
          <t>NF-e</t>
        </is>
      </c>
      <c r="E3360" t="inlineStr">
        <is>
          <t>000014947</t>
        </is>
      </c>
      <c r="F3360" t="inlineStr">
        <is>
          <t>NOVA CONPEL COMPANHIA NORDESTINA DE PAPEL LTDA</t>
        </is>
      </c>
      <c r="G3360" s="27" t="n">
        <v>46154</v>
      </c>
      <c r="H3360" s="14" t="n">
        <v>61160.59</v>
      </c>
      <c r="I3360" s="14" t="n">
        <v>7977.46</v>
      </c>
      <c r="J3360" s="14" t="n">
        <v>10636.62</v>
      </c>
      <c r="K3360" s="14" t="n">
        <v>702.02</v>
      </c>
      <c r="L3360" s="14" t="n">
        <v>3233.53</v>
      </c>
      <c r="M3360" s="14">
        <f>IF(B3360="Frete de venda",0,(1-ISNUMBER(SEARCH("556",P3360)))*(I3360*VLOOKUP($B3360,Premissas!$A$4:$E$7,2,0)+J3360*VLOOKUP($B3360,Premissas!$A$4:$E$7,3,0))+K3360*VLOOKUP($B3360,Premissas!$A$4:$E$7,4,0)+L3360*VLOOKUP($B3360,Premissas!$A$4:$E$7,5,0))</f>
        <v/>
      </c>
      <c r="N3360" s="14">
        <f>H3360-M3360</f>
        <v/>
      </c>
      <c r="O3360" t="inlineStr">
        <is>
          <t>Sim</t>
        </is>
      </c>
      <c r="P3360" t="inlineStr">
        <is>
          <t>1.556</t>
        </is>
      </c>
    </row>
    <row r="3361">
      <c r="A3361" s="24" t="n">
        <v>46143</v>
      </c>
      <c r="B3361" t="inlineStr">
        <is>
          <t>Insumos e papel</t>
        </is>
      </c>
      <c r="C3361" t="inlineStr">
        <is>
          <t>2.01.99 Compra de Caixas</t>
        </is>
      </c>
      <c r="D3361" t="inlineStr">
        <is>
          <t>NF-e</t>
        </is>
      </c>
      <c r="E3361" t="inlineStr">
        <is>
          <t>000014946</t>
        </is>
      </c>
      <c r="F3361" t="inlineStr">
        <is>
          <t>NOVA CONPEL COMPANHIA NORDESTINA DE PAPEL LTDA</t>
        </is>
      </c>
      <c r="G3361" s="27" t="n">
        <v>46154</v>
      </c>
      <c r="H3361" s="14" t="n">
        <v>63240.89</v>
      </c>
      <c r="I3361" s="14" t="n">
        <v>8248.809999999999</v>
      </c>
      <c r="J3361" s="14" t="n">
        <v>10998.41</v>
      </c>
      <c r="K3361" s="14" t="n">
        <v>725.9</v>
      </c>
      <c r="L3361" s="14" t="n">
        <v>3343.52</v>
      </c>
      <c r="M3361" s="14">
        <f>IF(B3361="Frete de venda",0,(1-ISNUMBER(SEARCH("556",P3361)))*(I3361*VLOOKUP($B3361,Premissas!$A$4:$E$7,2,0)+J3361*VLOOKUP($B3361,Premissas!$A$4:$E$7,3,0))+K3361*VLOOKUP($B3361,Premissas!$A$4:$E$7,4,0)+L3361*VLOOKUP($B3361,Premissas!$A$4:$E$7,5,0))</f>
        <v/>
      </c>
      <c r="N3361" s="14">
        <f>H3361-M3361</f>
        <v/>
      </c>
      <c r="O3361" t="inlineStr">
        <is>
          <t>Sim</t>
        </is>
      </c>
      <c r="P3361" t="inlineStr">
        <is>
          <t>1.556</t>
        </is>
      </c>
    </row>
    <row r="3362">
      <c r="A3362" s="24" t="n">
        <v>46143</v>
      </c>
      <c r="B3362" t="inlineStr">
        <is>
          <t>Insumos e papel</t>
        </is>
      </c>
      <c r="C3362" t="inlineStr">
        <is>
          <t>2.01.99 Compra de Caixas</t>
        </is>
      </c>
      <c r="D3362" t="inlineStr">
        <is>
          <t>NF-e</t>
        </is>
      </c>
      <c r="E3362" t="inlineStr">
        <is>
          <t>000014951</t>
        </is>
      </c>
      <c r="F3362" t="inlineStr">
        <is>
          <t>NOVA CONPEL COMPANHIA NORDESTINA DE PAPEL LTDA</t>
        </is>
      </c>
      <c r="G3362" s="27" t="n">
        <v>46154</v>
      </c>
      <c r="H3362" s="14" t="n">
        <v>60744.54</v>
      </c>
      <c r="I3362" s="14" t="n">
        <v>7923.2</v>
      </c>
      <c r="J3362" s="14" t="n">
        <v>10564.26</v>
      </c>
      <c r="K3362" s="14" t="n">
        <v>697.24</v>
      </c>
      <c r="L3362" s="14" t="n">
        <v>3211.54</v>
      </c>
      <c r="M3362" s="14">
        <f>IF(B3362="Frete de venda",0,(1-ISNUMBER(SEARCH("556",P3362)))*(I3362*VLOOKUP($B3362,Premissas!$A$4:$E$7,2,0)+J3362*VLOOKUP($B3362,Premissas!$A$4:$E$7,3,0))+K3362*VLOOKUP($B3362,Premissas!$A$4:$E$7,4,0)+L3362*VLOOKUP($B3362,Premissas!$A$4:$E$7,5,0))</f>
        <v/>
      </c>
      <c r="N3362" s="14">
        <f>H3362-M3362</f>
        <v/>
      </c>
      <c r="O3362" t="inlineStr">
        <is>
          <t>Sim</t>
        </is>
      </c>
      <c r="P3362" t="inlineStr">
        <is>
          <t>1.556</t>
        </is>
      </c>
    </row>
    <row r="3363">
      <c r="A3363" s="24" t="n">
        <v>46143</v>
      </c>
      <c r="B3363" t="inlineStr">
        <is>
          <t>Insumos e papel</t>
        </is>
      </c>
      <c r="C3363" t="inlineStr">
        <is>
          <t>2.01.99 Compra de Caixas</t>
        </is>
      </c>
      <c r="D3363" t="inlineStr">
        <is>
          <t>NF-e</t>
        </is>
      </c>
      <c r="E3363" t="inlineStr">
        <is>
          <t>000014953</t>
        </is>
      </c>
      <c r="F3363" t="inlineStr">
        <is>
          <t>NOVA CONPEL COMPANHIA NORDESTINA DE PAPEL LTDA</t>
        </is>
      </c>
      <c r="G3363" s="27" t="n">
        <v>46154</v>
      </c>
      <c r="H3363" s="14" t="n">
        <v>61576.65</v>
      </c>
      <c r="I3363" s="14" t="n">
        <v>8031.73</v>
      </c>
      <c r="J3363" s="14" t="n">
        <v>10708.98</v>
      </c>
      <c r="K3363" s="14" t="n">
        <v>706.79</v>
      </c>
      <c r="L3363" s="14" t="n">
        <v>3255.53</v>
      </c>
      <c r="M3363" s="14">
        <f>IF(B3363="Frete de venda",0,(1-ISNUMBER(SEARCH("556",P3363)))*(I3363*VLOOKUP($B3363,Premissas!$A$4:$E$7,2,0)+J3363*VLOOKUP($B3363,Premissas!$A$4:$E$7,3,0))+K3363*VLOOKUP($B3363,Premissas!$A$4:$E$7,4,0)+L3363*VLOOKUP($B3363,Premissas!$A$4:$E$7,5,0))</f>
        <v/>
      </c>
      <c r="N3363" s="14">
        <f>H3363-M3363</f>
        <v/>
      </c>
      <c r="O3363" t="inlineStr">
        <is>
          <t>Sim</t>
        </is>
      </c>
      <c r="P3363" t="inlineStr">
        <is>
          <t>1.556</t>
        </is>
      </c>
    </row>
    <row r="3364">
      <c r="A3364" s="24" t="n">
        <v>46143</v>
      </c>
      <c r="B3364" t="inlineStr">
        <is>
          <t>Insumos e papel</t>
        </is>
      </c>
      <c r="C3364" t="inlineStr">
        <is>
          <t>2.01.99 Compra de Caixas</t>
        </is>
      </c>
      <c r="D3364" t="inlineStr">
        <is>
          <t>NF-e</t>
        </is>
      </c>
      <c r="E3364" t="inlineStr">
        <is>
          <t>000014940</t>
        </is>
      </c>
      <c r="F3364" t="inlineStr">
        <is>
          <t>NOVA CONPEL COMPANHIA NORDESTINA DE PAPEL LTDA</t>
        </is>
      </c>
      <c r="G3364" s="27" t="n">
        <v>46154</v>
      </c>
      <c r="H3364" s="14" t="n">
        <v>65737.24000000001</v>
      </c>
      <c r="I3364" s="14" t="n">
        <v>8574.42</v>
      </c>
      <c r="J3364" s="14" t="n">
        <v>11432.56</v>
      </c>
      <c r="K3364" s="14" t="n">
        <v>754.55</v>
      </c>
      <c r="L3364" s="14" t="n">
        <v>3475.5</v>
      </c>
      <c r="M3364" s="14">
        <f>IF(B3364="Frete de venda",0,(1-ISNUMBER(SEARCH("556",P3364)))*(I3364*VLOOKUP($B3364,Premissas!$A$4:$E$7,2,0)+J3364*VLOOKUP($B3364,Premissas!$A$4:$E$7,3,0))+K3364*VLOOKUP($B3364,Premissas!$A$4:$E$7,4,0)+L3364*VLOOKUP($B3364,Premissas!$A$4:$E$7,5,0))</f>
        <v/>
      </c>
      <c r="N3364" s="14">
        <f>H3364-M3364</f>
        <v/>
      </c>
      <c r="O3364" t="inlineStr">
        <is>
          <t>Sim</t>
        </is>
      </c>
      <c r="P3364" t="inlineStr">
        <is>
          <t>1.556</t>
        </is>
      </c>
    </row>
    <row r="3365">
      <c r="A3365" s="24" t="n">
        <v>46143</v>
      </c>
      <c r="B3365" t="inlineStr">
        <is>
          <t>Insumos e papel</t>
        </is>
      </c>
      <c r="C3365" t="inlineStr">
        <is>
          <t>2.01.99 Compra de Caixas</t>
        </is>
      </c>
      <c r="D3365" t="inlineStr">
        <is>
          <t>NF-e</t>
        </is>
      </c>
      <c r="E3365" t="inlineStr">
        <is>
          <t>000014944</t>
        </is>
      </c>
      <c r="F3365" t="inlineStr">
        <is>
          <t>NOVA CONPEL COMPANHIA NORDESTINA DE PAPEL LTDA</t>
        </is>
      </c>
      <c r="G3365" s="27" t="n">
        <v>46154</v>
      </c>
      <c r="H3365" s="14" t="n">
        <v>57832.13</v>
      </c>
      <c r="I3365" s="14" t="n">
        <v>7543.32</v>
      </c>
      <c r="J3365" s="14" t="n">
        <v>10057.76</v>
      </c>
      <c r="K3365" s="14" t="n">
        <v>663.8099999999999</v>
      </c>
      <c r="L3365" s="14" t="n">
        <v>3057.56</v>
      </c>
      <c r="M3365" s="14">
        <f>IF(B3365="Frete de venda",0,(1-ISNUMBER(SEARCH("556",P3365)))*(I3365*VLOOKUP($B3365,Premissas!$A$4:$E$7,2,0)+J3365*VLOOKUP($B3365,Premissas!$A$4:$E$7,3,0))+K3365*VLOOKUP($B3365,Premissas!$A$4:$E$7,4,0)+L3365*VLOOKUP($B3365,Premissas!$A$4:$E$7,5,0))</f>
        <v/>
      </c>
      <c r="N3365" s="14">
        <f>H3365-M3365</f>
        <v/>
      </c>
      <c r="O3365" t="inlineStr">
        <is>
          <t>Sim</t>
        </is>
      </c>
      <c r="P3365" t="inlineStr">
        <is>
          <t>1.556</t>
        </is>
      </c>
    </row>
    <row r="3366">
      <c r="A3366" s="24" t="n">
        <v>46143</v>
      </c>
      <c r="B3366" t="inlineStr">
        <is>
          <t>Insumos e papel</t>
        </is>
      </c>
      <c r="C3366" t="inlineStr">
        <is>
          <t>2.01.99 Compra de Caixas</t>
        </is>
      </c>
      <c r="D3366" t="inlineStr">
        <is>
          <t>NF-e</t>
        </is>
      </c>
      <c r="E3366" t="inlineStr">
        <is>
          <t>000014941</t>
        </is>
      </c>
      <c r="F3366" t="inlineStr">
        <is>
          <t>NOVA CONPEL COMPANHIA NORDESTINA DE PAPEL LTDA</t>
        </is>
      </c>
      <c r="G3366" s="27" t="n">
        <v>46154</v>
      </c>
      <c r="H3366" s="14" t="n">
        <v>61992.71</v>
      </c>
      <c r="I3366" s="14" t="n">
        <v>8086</v>
      </c>
      <c r="J3366" s="14" t="n">
        <v>10781.34</v>
      </c>
      <c r="K3366" s="14" t="n">
        <v>711.5700000000001</v>
      </c>
      <c r="L3366" s="14" t="n">
        <v>3277.53</v>
      </c>
      <c r="M3366" s="14">
        <f>IF(B3366="Frete de venda",0,(1-ISNUMBER(SEARCH("556",P3366)))*(I3366*VLOOKUP($B3366,Premissas!$A$4:$E$7,2,0)+J3366*VLOOKUP($B3366,Premissas!$A$4:$E$7,3,0))+K3366*VLOOKUP($B3366,Premissas!$A$4:$E$7,4,0)+L3366*VLOOKUP($B3366,Premissas!$A$4:$E$7,5,0))</f>
        <v/>
      </c>
      <c r="N3366" s="14">
        <f>H3366-M3366</f>
        <v/>
      </c>
      <c r="O3366" t="inlineStr">
        <is>
          <t>Sim</t>
        </is>
      </c>
      <c r="P3366" t="inlineStr">
        <is>
          <t>1.556</t>
        </is>
      </c>
    </row>
    <row r="3367">
      <c r="A3367" s="24" t="n">
        <v>46143</v>
      </c>
      <c r="B3367" t="inlineStr">
        <is>
          <t>Insumos e papel</t>
        </is>
      </c>
      <c r="C3367" t="inlineStr">
        <is>
          <t>2.01.99 Compra de Caixas</t>
        </is>
      </c>
      <c r="D3367" t="inlineStr">
        <is>
          <t>NF-e</t>
        </is>
      </c>
      <c r="E3367" t="inlineStr">
        <is>
          <t>000014943</t>
        </is>
      </c>
      <c r="F3367" t="inlineStr">
        <is>
          <t>NOVA CONPEL COMPANHIA NORDESTINA DE PAPEL LTDA</t>
        </is>
      </c>
      <c r="G3367" s="27" t="n">
        <v>46154</v>
      </c>
      <c r="H3367" s="14" t="n">
        <v>60328.48</v>
      </c>
      <c r="I3367" s="14" t="n">
        <v>7868.93</v>
      </c>
      <c r="J3367" s="14" t="n">
        <v>10491.91</v>
      </c>
      <c r="K3367" s="14" t="n">
        <v>692.47</v>
      </c>
      <c r="L3367" s="14" t="n">
        <v>3189.54</v>
      </c>
      <c r="M3367" s="14">
        <f>IF(B3367="Frete de venda",0,(1-ISNUMBER(SEARCH("556",P3367)))*(I3367*VLOOKUP($B3367,Premissas!$A$4:$E$7,2,0)+J3367*VLOOKUP($B3367,Premissas!$A$4:$E$7,3,0))+K3367*VLOOKUP($B3367,Premissas!$A$4:$E$7,4,0)+L3367*VLOOKUP($B3367,Premissas!$A$4:$E$7,5,0))</f>
        <v/>
      </c>
      <c r="N3367" s="14">
        <f>H3367-M3367</f>
        <v/>
      </c>
      <c r="O3367" t="inlineStr">
        <is>
          <t>Sim</t>
        </is>
      </c>
      <c r="P3367" t="inlineStr">
        <is>
          <t>1.556</t>
        </is>
      </c>
    </row>
    <row r="3368">
      <c r="A3368" s="24" t="n">
        <v>46143</v>
      </c>
      <c r="B3368" t="inlineStr">
        <is>
          <t>Insumos e papel</t>
        </is>
      </c>
      <c r="C3368" t="inlineStr">
        <is>
          <t>2.01.99 Compra de Caixas</t>
        </is>
      </c>
      <c r="D3368" t="inlineStr">
        <is>
          <t>NF-e</t>
        </is>
      </c>
      <c r="E3368" t="inlineStr">
        <is>
          <t>000014948</t>
        </is>
      </c>
      <c r="F3368" t="inlineStr">
        <is>
          <t>NOVA CONPEL COMPANHIA NORDESTINA DE PAPEL LTDA</t>
        </is>
      </c>
      <c r="G3368" s="27" t="n">
        <v>46154</v>
      </c>
      <c r="H3368" s="14" t="n">
        <v>64405.85</v>
      </c>
      <c r="I3368" s="14" t="n">
        <v>8400.76</v>
      </c>
      <c r="J3368" s="14" t="n">
        <v>11201.01</v>
      </c>
      <c r="K3368" s="14" t="n">
        <v>739.27</v>
      </c>
      <c r="L3368" s="14" t="n">
        <v>3405.11</v>
      </c>
      <c r="M3368" s="14">
        <f>IF(B3368="Frete de venda",0,(1-ISNUMBER(SEARCH("556",P3368)))*(I3368*VLOOKUP($B3368,Premissas!$A$4:$E$7,2,0)+J3368*VLOOKUP($B3368,Premissas!$A$4:$E$7,3,0))+K3368*VLOOKUP($B3368,Premissas!$A$4:$E$7,4,0)+L3368*VLOOKUP($B3368,Premissas!$A$4:$E$7,5,0))</f>
        <v/>
      </c>
      <c r="N3368" s="14">
        <f>H3368-M3368</f>
        <v/>
      </c>
      <c r="O3368" t="inlineStr">
        <is>
          <t>Sim</t>
        </is>
      </c>
      <c r="P3368" t="inlineStr">
        <is>
          <t>1.556</t>
        </is>
      </c>
    </row>
    <row r="3369">
      <c r="A3369" s="24" t="n">
        <v>46143</v>
      </c>
      <c r="B3369" t="inlineStr">
        <is>
          <t>Insumos e papel</t>
        </is>
      </c>
      <c r="C3369" t="inlineStr">
        <is>
          <t>2.01.99 Compra de Caixas</t>
        </is>
      </c>
      <c r="D3369" t="inlineStr">
        <is>
          <t>NF-e</t>
        </is>
      </c>
      <c r="E3369" t="inlineStr">
        <is>
          <t>000014950</t>
        </is>
      </c>
      <c r="F3369" t="inlineStr">
        <is>
          <t>NOVA CONPEL COMPANHIA NORDESTINA DE PAPEL LTDA</t>
        </is>
      </c>
      <c r="G3369" s="27" t="n">
        <v>46154</v>
      </c>
      <c r="H3369" s="14" t="n">
        <v>64197.83</v>
      </c>
      <c r="I3369" s="14" t="n">
        <v>8373.629999999999</v>
      </c>
      <c r="J3369" s="14" t="n">
        <v>11164.84</v>
      </c>
      <c r="K3369" s="14" t="n">
        <v>736.88</v>
      </c>
      <c r="L3369" s="14" t="n">
        <v>3394.11</v>
      </c>
      <c r="M3369" s="14">
        <f>IF(B3369="Frete de venda",0,(1-ISNUMBER(SEARCH("556",P3369)))*(I3369*VLOOKUP($B3369,Premissas!$A$4:$E$7,2,0)+J3369*VLOOKUP($B3369,Premissas!$A$4:$E$7,3,0))+K3369*VLOOKUP($B3369,Premissas!$A$4:$E$7,4,0)+L3369*VLOOKUP($B3369,Premissas!$A$4:$E$7,5,0))</f>
        <v/>
      </c>
      <c r="N3369" s="14">
        <f>H3369-M3369</f>
        <v/>
      </c>
      <c r="O3369" t="inlineStr">
        <is>
          <t>Sim</t>
        </is>
      </c>
      <c r="P3369" t="inlineStr">
        <is>
          <t>1.556</t>
        </is>
      </c>
    </row>
    <row r="3370">
      <c r="A3370" s="24" t="n">
        <v>46143</v>
      </c>
      <c r="B3370" t="inlineStr">
        <is>
          <t>Uso e consumo</t>
        </is>
      </c>
      <c r="C3370" t="inlineStr">
        <is>
          <t>2.03.88 Compra de Fardamento</t>
        </is>
      </c>
      <c r="D3370" t="inlineStr">
        <is>
          <t>NF-e</t>
        </is>
      </c>
      <c r="E3370" t="inlineStr">
        <is>
          <t>000003153</t>
        </is>
      </c>
      <c r="F3370" t="inlineStr">
        <is>
          <t>R M FARDAMENTOS LTDA</t>
        </is>
      </c>
      <c r="G3370" s="27" t="n">
        <v>46167</v>
      </c>
      <c r="H3370" s="14" t="n">
        <v>4799.46</v>
      </c>
      <c r="I3370" s="14" t="n">
        <v>0</v>
      </c>
      <c r="J3370" s="14" t="n">
        <v>0</v>
      </c>
      <c r="K3370" s="14" t="n">
        <v>0</v>
      </c>
      <c r="L3370" s="14" t="n">
        <v>0</v>
      </c>
      <c r="M3370" s="14">
        <f>IF(B3370="Frete de venda",0,(1-ISNUMBER(SEARCH("556",P3370)))*(I3370*VLOOKUP($B3370,Premissas!$A$4:$E$7,2,0)+J3370*VLOOKUP($B3370,Premissas!$A$4:$E$7,3,0))+K3370*VLOOKUP($B3370,Premissas!$A$4:$E$7,4,0)+L3370*VLOOKUP($B3370,Premissas!$A$4:$E$7,5,0))</f>
        <v/>
      </c>
      <c r="N3370" s="14">
        <f>H3370-M3370</f>
        <v/>
      </c>
      <c r="O3370" t="inlineStr">
        <is>
          <t>Sim</t>
        </is>
      </c>
      <c r="P3370" t="inlineStr">
        <is>
          <t>1.556</t>
        </is>
      </c>
    </row>
    <row r="3371">
      <c r="A3371" s="24" t="n">
        <v>46143</v>
      </c>
      <c r="B3371" t="inlineStr">
        <is>
          <t>Uso e consumo</t>
        </is>
      </c>
      <c r="C3371" t="inlineStr">
        <is>
          <t>2.03.90 Compra de EPI</t>
        </is>
      </c>
      <c r="D3371" t="inlineStr">
        <is>
          <t>NF-e</t>
        </is>
      </c>
      <c r="E3371" t="inlineStr">
        <is>
          <t>000099460</t>
        </is>
      </c>
      <c r="F3371" t="inlineStr">
        <is>
          <t>PERNAMBUCO DISTRIBUIDORA ATAC EPIS, INS IND e MRO LTDA</t>
        </is>
      </c>
      <c r="G3371" s="27" t="n">
        <v>46147</v>
      </c>
      <c r="H3371" s="14" t="n">
        <v>2639.8</v>
      </c>
      <c r="I3371" s="14" t="n">
        <v>0</v>
      </c>
      <c r="J3371" s="14" t="n">
        <v>527.96</v>
      </c>
      <c r="K3371" s="14" t="n">
        <v>34.84</v>
      </c>
      <c r="L3371" s="14" t="n">
        <v>160.49</v>
      </c>
      <c r="M3371" s="14">
        <f>IF(B3371="Frete de venda",0,(1-ISNUMBER(SEARCH("556",P3371)))*(I3371*VLOOKUP($B3371,Premissas!$A$4:$E$7,2,0)+J3371*VLOOKUP($B3371,Premissas!$A$4:$E$7,3,0))+K3371*VLOOKUP($B3371,Premissas!$A$4:$E$7,4,0)+L3371*VLOOKUP($B3371,Premissas!$A$4:$E$7,5,0))</f>
        <v/>
      </c>
      <c r="N3371" s="14">
        <f>H3371-M3371</f>
        <v/>
      </c>
      <c r="O3371" t="inlineStr">
        <is>
          <t>Sim</t>
        </is>
      </c>
      <c r="P3371" t="inlineStr">
        <is>
          <t>1.556</t>
        </is>
      </c>
    </row>
    <row r="3372">
      <c r="A3372" s="24" t="n">
        <v>46143</v>
      </c>
      <c r="B3372" t="inlineStr">
        <is>
          <t>Uso e consumo</t>
        </is>
      </c>
      <c r="C3372" t="inlineStr">
        <is>
          <t>2.03.90 Compra de EPI</t>
        </is>
      </c>
      <c r="D3372" t="inlineStr">
        <is>
          <t>NF-e</t>
        </is>
      </c>
      <c r="E3372" t="inlineStr">
        <is>
          <t>000100274</t>
        </is>
      </c>
      <c r="F3372" t="inlineStr">
        <is>
          <t>PERNAMBUCO DISTRIBUIDORA ATAC EPIS, INS IND e MRO LTDA</t>
        </is>
      </c>
      <c r="G3372" s="27" t="n">
        <v>46157</v>
      </c>
      <c r="H3372" s="14" t="n">
        <v>2237.2</v>
      </c>
      <c r="I3372" s="14" t="n">
        <v>0</v>
      </c>
      <c r="J3372" s="14" t="n">
        <v>447.44</v>
      </c>
      <c r="K3372" s="14" t="n">
        <v>29.52</v>
      </c>
      <c r="L3372" s="14" t="n">
        <v>136.01</v>
      </c>
      <c r="M3372" s="14">
        <f>IF(B3372="Frete de venda",0,(1-ISNUMBER(SEARCH("556",P3372)))*(I3372*VLOOKUP($B3372,Premissas!$A$4:$E$7,2,0)+J3372*VLOOKUP($B3372,Premissas!$A$4:$E$7,3,0))+K3372*VLOOKUP($B3372,Premissas!$A$4:$E$7,4,0)+L3372*VLOOKUP($B3372,Premissas!$A$4:$E$7,5,0))</f>
        <v/>
      </c>
      <c r="N3372" s="14">
        <f>H3372-M3372</f>
        <v/>
      </c>
      <c r="O3372" t="inlineStr">
        <is>
          <t>Sim</t>
        </is>
      </c>
      <c r="P3372" t="inlineStr">
        <is>
          <t>1.102</t>
        </is>
      </c>
    </row>
    <row r="3373">
      <c r="A3373" s="24" t="n">
        <v>46143</v>
      </c>
      <c r="B3373" t="inlineStr">
        <is>
          <t>Uso e consumo</t>
        </is>
      </c>
      <c r="C3373" t="inlineStr">
        <is>
          <t>2.03.90 Compra de EPI</t>
        </is>
      </c>
      <c r="D3373" t="inlineStr">
        <is>
          <t>NF-e</t>
        </is>
      </c>
      <c r="E3373" t="inlineStr">
        <is>
          <t>000101309</t>
        </is>
      </c>
      <c r="F3373" t="inlineStr">
        <is>
          <t>PERNAMBUCO DISTRIBUIDORA ATAC EPIS, INS IND e MRO LTDA</t>
        </is>
      </c>
      <c r="G3373" s="27" t="n">
        <v>46170</v>
      </c>
      <c r="H3373" s="14" t="n">
        <v>1312.4</v>
      </c>
      <c r="I3373" s="14" t="n">
        <v>0</v>
      </c>
      <c r="J3373" s="14" t="n">
        <v>262.48</v>
      </c>
      <c r="K3373" s="14" t="n">
        <v>17.31</v>
      </c>
      <c r="L3373" s="14" t="n">
        <v>79.78</v>
      </c>
      <c r="M3373" s="14">
        <f>IF(B3373="Frete de venda",0,(1-ISNUMBER(SEARCH("556",P3373)))*(I3373*VLOOKUP($B3373,Premissas!$A$4:$E$7,2,0)+J3373*VLOOKUP($B3373,Premissas!$A$4:$E$7,3,0))+K3373*VLOOKUP($B3373,Premissas!$A$4:$E$7,4,0)+L3373*VLOOKUP($B3373,Premissas!$A$4:$E$7,5,0))</f>
        <v/>
      </c>
      <c r="N3373" s="14">
        <f>H3373-M3373</f>
        <v/>
      </c>
      <c r="O3373" t="inlineStr">
        <is>
          <t>Sim</t>
        </is>
      </c>
      <c r="P3373" t="inlineStr">
        <is>
          <t>1.102</t>
        </is>
      </c>
    </row>
    <row r="3374">
      <c r="A3374" s="24" t="n">
        <v>46143</v>
      </c>
      <c r="B3374" t="inlineStr">
        <is>
          <t>Uso e consumo</t>
        </is>
      </c>
      <c r="C3374" t="inlineStr">
        <is>
          <t>2.04.06 Material de Escritório</t>
        </is>
      </c>
      <c r="D3374" t="inlineStr">
        <is>
          <t>NF-e</t>
        </is>
      </c>
      <c r="E3374" t="inlineStr">
        <is>
          <t>000001037</t>
        </is>
      </c>
      <c r="F3374" t="inlineStr">
        <is>
          <t>Limptech Paper Comercio Ltda</t>
        </is>
      </c>
      <c r="G3374" s="27" t="n">
        <v>46149</v>
      </c>
      <c r="H3374" s="14" t="n">
        <v>72.59999999999999</v>
      </c>
      <c r="I3374" s="14" t="n">
        <v>0</v>
      </c>
      <c r="J3374" s="14" t="n">
        <v>0</v>
      </c>
      <c r="K3374" s="14" t="n">
        <v>0</v>
      </c>
      <c r="L3374" s="14" t="n">
        <v>0</v>
      </c>
      <c r="M3374" s="14">
        <f>IF(B3374="Frete de venda",0,(1-ISNUMBER(SEARCH("556",P3374)))*(I3374*VLOOKUP($B3374,Premissas!$A$4:$E$7,2,0)+J3374*VLOOKUP($B3374,Premissas!$A$4:$E$7,3,0))+K3374*VLOOKUP($B3374,Premissas!$A$4:$E$7,4,0)+L3374*VLOOKUP($B3374,Premissas!$A$4:$E$7,5,0))</f>
        <v/>
      </c>
      <c r="N3374" s="14">
        <f>H3374-M3374</f>
        <v/>
      </c>
      <c r="O3374" t="inlineStr">
        <is>
          <t>Sim</t>
        </is>
      </c>
      <c r="P3374" t="inlineStr">
        <is>
          <t>1.556</t>
        </is>
      </c>
    </row>
    <row r="3375">
      <c r="A3375" s="24" t="n">
        <v>46143</v>
      </c>
      <c r="B3375" t="inlineStr">
        <is>
          <t>Uso e consumo</t>
        </is>
      </c>
      <c r="C3375" t="inlineStr">
        <is>
          <t>2.04.06 Material de Escritório</t>
        </is>
      </c>
      <c r="D3375" t="inlineStr">
        <is>
          <t>NF-e</t>
        </is>
      </c>
      <c r="E3375" t="inlineStr">
        <is>
          <t>000001043</t>
        </is>
      </c>
      <c r="F3375" t="inlineStr">
        <is>
          <t>Limptech Paper Comercio Ltda</t>
        </is>
      </c>
      <c r="G3375" s="27" t="n">
        <v>46150</v>
      </c>
      <c r="H3375" s="14" t="n">
        <v>1520.95</v>
      </c>
      <c r="I3375" s="14" t="n">
        <v>0</v>
      </c>
      <c r="J3375" s="14" t="n">
        <v>0</v>
      </c>
      <c r="K3375" s="14" t="n">
        <v>0</v>
      </c>
      <c r="L3375" s="14" t="n">
        <v>0</v>
      </c>
      <c r="M3375" s="14">
        <f>IF(B3375="Frete de venda",0,(1-ISNUMBER(SEARCH("556",P3375)))*(I3375*VLOOKUP($B3375,Premissas!$A$4:$E$7,2,0)+J3375*VLOOKUP($B3375,Premissas!$A$4:$E$7,3,0))+K3375*VLOOKUP($B3375,Premissas!$A$4:$E$7,4,0)+L3375*VLOOKUP($B3375,Premissas!$A$4:$E$7,5,0))</f>
        <v/>
      </c>
      <c r="N3375" s="14">
        <f>H3375-M3375</f>
        <v/>
      </c>
      <c r="O3375" t="inlineStr">
        <is>
          <t>Sim</t>
        </is>
      </c>
      <c r="P3375" t="inlineStr">
        <is>
          <t>1.556</t>
        </is>
      </c>
    </row>
    <row r="3376">
      <c r="A3376" s="24" t="n">
        <v>46143</v>
      </c>
      <c r="B3376" t="inlineStr">
        <is>
          <t>Uso e consumo</t>
        </is>
      </c>
      <c r="C3376" t="inlineStr">
        <is>
          <t>2.04.06 Material de Escritório</t>
        </is>
      </c>
      <c r="D3376" t="inlineStr">
        <is>
          <t>NF-e</t>
        </is>
      </c>
      <c r="E3376" t="inlineStr">
        <is>
          <t>000018476</t>
        </is>
      </c>
      <c r="F3376" t="inlineStr">
        <is>
          <t>MISTER TEM COMERCIO DE ACOS E METAIS LTDA</t>
        </is>
      </c>
      <c r="G3376" s="27" t="n">
        <v>46164</v>
      </c>
      <c r="H3376" s="14" t="n">
        <v>140</v>
      </c>
      <c r="I3376" s="14" t="n">
        <v>0</v>
      </c>
      <c r="J3376" s="14" t="n">
        <v>28</v>
      </c>
      <c r="K3376" s="14" t="n">
        <v>0.91</v>
      </c>
      <c r="L3376" s="14" t="n">
        <v>4.2</v>
      </c>
      <c r="M3376" s="14">
        <f>IF(B3376="Frete de venda",0,(1-ISNUMBER(SEARCH("556",P3376)))*(I3376*VLOOKUP($B3376,Premissas!$A$4:$E$7,2,0)+J3376*VLOOKUP($B3376,Premissas!$A$4:$E$7,3,0))+K3376*VLOOKUP($B3376,Premissas!$A$4:$E$7,4,0)+L3376*VLOOKUP($B3376,Premissas!$A$4:$E$7,5,0))</f>
        <v/>
      </c>
      <c r="N3376" s="14">
        <f>H3376-M3376</f>
        <v/>
      </c>
      <c r="O3376" t="inlineStr">
        <is>
          <t>Sim</t>
        </is>
      </c>
      <c r="P3376" t="inlineStr">
        <is>
          <t>1.102</t>
        </is>
      </c>
    </row>
    <row r="3377">
      <c r="A3377" s="24" t="n">
        <v>46143</v>
      </c>
      <c r="B3377" t="inlineStr">
        <is>
          <t>Uso e consumo</t>
        </is>
      </c>
      <c r="C3377" t="inlineStr">
        <is>
          <t>2.04.91 Compra de Material de Limpeza</t>
        </is>
      </c>
      <c r="D3377" t="inlineStr">
        <is>
          <t>NF-e</t>
        </is>
      </c>
      <c r="E3377" t="inlineStr">
        <is>
          <t>000001036</t>
        </is>
      </c>
      <c r="F3377" t="inlineStr">
        <is>
          <t>Limptech Paper Comercio Ltda</t>
        </is>
      </c>
      <c r="G3377" s="27" t="n">
        <v>46149</v>
      </c>
      <c r="H3377" s="14" t="n">
        <v>1617.6</v>
      </c>
      <c r="I3377" s="14" t="n">
        <v>0</v>
      </c>
      <c r="J3377" s="14" t="n">
        <v>0</v>
      </c>
      <c r="K3377" s="14" t="n">
        <v>0</v>
      </c>
      <c r="L3377" s="14" t="n">
        <v>0</v>
      </c>
      <c r="M3377" s="14">
        <f>IF(B3377="Frete de venda",0,(1-ISNUMBER(SEARCH("556",P3377)))*(I3377*VLOOKUP($B3377,Premissas!$A$4:$E$7,2,0)+J3377*VLOOKUP($B3377,Premissas!$A$4:$E$7,3,0))+K3377*VLOOKUP($B3377,Premissas!$A$4:$E$7,4,0)+L3377*VLOOKUP($B3377,Premissas!$A$4:$E$7,5,0))</f>
        <v/>
      </c>
      <c r="N3377" s="14">
        <f>H3377-M3377</f>
        <v/>
      </c>
      <c r="O3377" t="inlineStr">
        <is>
          <t>Sim</t>
        </is>
      </c>
      <c r="P3377" t="inlineStr">
        <is>
          <t>1.102, 1.556</t>
        </is>
      </c>
    </row>
    <row r="3378">
      <c r="A3378" s="24" t="n">
        <v>46143</v>
      </c>
      <c r="B3378" t="inlineStr">
        <is>
          <t>Uso e consumo</t>
        </is>
      </c>
      <c r="C3378" t="inlineStr">
        <is>
          <t>2.04.91 Compra de Material de Limpeza</t>
        </is>
      </c>
      <c r="D3378" t="inlineStr">
        <is>
          <t>NF-e</t>
        </is>
      </c>
      <c r="E3378" t="inlineStr">
        <is>
          <t>000001035</t>
        </is>
      </c>
      <c r="F3378" t="inlineStr">
        <is>
          <t>Limptech Paper Comercio Ltda</t>
        </is>
      </c>
      <c r="G3378" s="27" t="n">
        <v>46149</v>
      </c>
      <c r="H3378" s="14" t="n">
        <v>1255.05</v>
      </c>
      <c r="I3378" s="14" t="n">
        <v>0</v>
      </c>
      <c r="J3378" s="14" t="n">
        <v>0</v>
      </c>
      <c r="K3378" s="14" t="n">
        <v>0</v>
      </c>
      <c r="L3378" s="14" t="n">
        <v>0</v>
      </c>
      <c r="M3378" s="14">
        <f>IF(B3378="Frete de venda",0,(1-ISNUMBER(SEARCH("556",P3378)))*(I3378*VLOOKUP($B3378,Premissas!$A$4:$E$7,2,0)+J3378*VLOOKUP($B3378,Premissas!$A$4:$E$7,3,0))+K3378*VLOOKUP($B3378,Premissas!$A$4:$E$7,4,0)+L3378*VLOOKUP($B3378,Premissas!$A$4:$E$7,5,0))</f>
        <v/>
      </c>
      <c r="N3378" s="14">
        <f>H3378-M3378</f>
        <v/>
      </c>
      <c r="O3378" t="inlineStr">
        <is>
          <t>Sim</t>
        </is>
      </c>
      <c r="P3378" t="inlineStr">
        <is>
          <t>1.102, 1.556</t>
        </is>
      </c>
    </row>
    <row r="3379">
      <c r="A3379" s="24" t="n">
        <v>46143</v>
      </c>
      <c r="B3379" t="inlineStr">
        <is>
          <t>Uso e consumo</t>
        </is>
      </c>
      <c r="C3379" t="inlineStr">
        <is>
          <t>2.04.91 Compra de Material de Limpeza</t>
        </is>
      </c>
      <c r="D3379" t="inlineStr">
        <is>
          <t>NF-e</t>
        </is>
      </c>
      <c r="E3379" t="inlineStr">
        <is>
          <t>000001106</t>
        </is>
      </c>
      <c r="F3379" t="inlineStr">
        <is>
          <t>Limptech Paper Comercio Ltda</t>
        </is>
      </c>
      <c r="G3379" s="27" t="n">
        <v>46170</v>
      </c>
      <c r="H3379" s="14" t="n">
        <v>3620.8</v>
      </c>
      <c r="I3379" s="14" t="n">
        <v>0</v>
      </c>
      <c r="J3379" s="14" t="n">
        <v>0</v>
      </c>
      <c r="K3379" s="14" t="n">
        <v>0</v>
      </c>
      <c r="L3379" s="14" t="n">
        <v>0</v>
      </c>
      <c r="M3379" s="14">
        <f>IF(B3379="Frete de venda",0,(1-ISNUMBER(SEARCH("556",P3379)))*(I3379*VLOOKUP($B3379,Premissas!$A$4:$E$7,2,0)+J3379*VLOOKUP($B3379,Premissas!$A$4:$E$7,3,0))+K3379*VLOOKUP($B3379,Premissas!$A$4:$E$7,4,0)+L3379*VLOOKUP($B3379,Premissas!$A$4:$E$7,5,0))</f>
        <v/>
      </c>
      <c r="N3379" s="14">
        <f>H3379-M3379</f>
        <v/>
      </c>
      <c r="O3379" t="inlineStr">
        <is>
          <t>Sim</t>
        </is>
      </c>
      <c r="P3379" t="inlineStr">
        <is>
          <t>1.556</t>
        </is>
      </c>
    </row>
    <row r="3380">
      <c r="A3380" s="24" t="n">
        <v>46143</v>
      </c>
      <c r="B3380" t="inlineStr">
        <is>
          <t>Uso e consumo</t>
        </is>
      </c>
      <c r="C3380" t="inlineStr">
        <is>
          <t>2.04.91 Compra de Material de Limpeza</t>
        </is>
      </c>
      <c r="D3380" t="inlineStr">
        <is>
          <t>NF-e</t>
        </is>
      </c>
      <c r="E3380" t="inlineStr">
        <is>
          <t>000001107</t>
        </is>
      </c>
      <c r="F3380" t="inlineStr">
        <is>
          <t>Limptech Paper Comercio Ltda</t>
        </is>
      </c>
      <c r="G3380" s="27" t="n">
        <v>46170</v>
      </c>
      <c r="H3380" s="14" t="n">
        <v>1025.1</v>
      </c>
      <c r="I3380" s="14" t="n">
        <v>0</v>
      </c>
      <c r="J3380" s="14" t="n">
        <v>0</v>
      </c>
      <c r="K3380" s="14" t="n">
        <v>0</v>
      </c>
      <c r="L3380" s="14" t="n">
        <v>0</v>
      </c>
      <c r="M3380" s="14">
        <f>IF(B3380="Frete de venda",0,(1-ISNUMBER(SEARCH("556",P3380)))*(I3380*VLOOKUP($B3380,Premissas!$A$4:$E$7,2,0)+J3380*VLOOKUP($B3380,Premissas!$A$4:$E$7,3,0))+K3380*VLOOKUP($B3380,Premissas!$A$4:$E$7,4,0)+L3380*VLOOKUP($B3380,Premissas!$A$4:$E$7,5,0))</f>
        <v/>
      </c>
      <c r="N3380" s="14">
        <f>H3380-M3380</f>
        <v/>
      </c>
      <c r="O3380" t="inlineStr">
        <is>
          <t>Sim</t>
        </is>
      </c>
      <c r="P3380" t="inlineStr">
        <is>
          <t>1.102, 1.556</t>
        </is>
      </c>
    </row>
    <row r="3381">
      <c r="A3381" s="24" t="n">
        <v>46143</v>
      </c>
      <c r="B3381" t="inlineStr">
        <is>
          <t>Uso e consumo</t>
        </is>
      </c>
      <c r="C3381" t="inlineStr">
        <is>
          <t>2.04.91 Compra de Material de Limpeza</t>
        </is>
      </c>
      <c r="D3381" t="inlineStr">
        <is>
          <t>NF-e</t>
        </is>
      </c>
      <c r="E3381" t="inlineStr">
        <is>
          <t>000358284</t>
        </is>
      </c>
      <c r="F3381" t="inlineStr">
        <is>
          <t>PARAIBA PLAST COMERCIAL EIRELI</t>
        </is>
      </c>
      <c r="G3381" s="27" t="n">
        <v>46163</v>
      </c>
      <c r="H3381" s="14" t="n">
        <v>242</v>
      </c>
      <c r="I3381" s="14" t="n">
        <v>0</v>
      </c>
      <c r="J3381" s="14" t="n">
        <v>48.4</v>
      </c>
      <c r="K3381" s="14" t="n">
        <v>3.16</v>
      </c>
      <c r="L3381" s="14" t="n">
        <v>14.56</v>
      </c>
      <c r="M3381" s="14">
        <f>IF(B3381="Frete de venda",0,(1-ISNUMBER(SEARCH("556",P3381)))*(I3381*VLOOKUP($B3381,Premissas!$A$4:$E$7,2,0)+J3381*VLOOKUP($B3381,Premissas!$A$4:$E$7,3,0))+K3381*VLOOKUP($B3381,Premissas!$A$4:$E$7,4,0)+L3381*VLOOKUP($B3381,Premissas!$A$4:$E$7,5,0))</f>
        <v/>
      </c>
      <c r="N3381" s="14">
        <f>H3381-M3381</f>
        <v/>
      </c>
      <c r="O3381" t="inlineStr">
        <is>
          <t>Sim</t>
        </is>
      </c>
      <c r="P3381" t="inlineStr">
        <is>
          <t>1.556</t>
        </is>
      </c>
    </row>
    <row r="3382">
      <c r="A3382" s="24" t="n">
        <v>46174</v>
      </c>
      <c r="B3382" t="inlineStr">
        <is>
          <t>Frete de venda</t>
        </is>
      </c>
      <c r="C3382" t="inlineStr">
        <is>
          <t>Frete de venda (para clientes)</t>
        </is>
      </c>
      <c r="D3382" t="inlineStr">
        <is>
          <t>CT-e</t>
        </is>
      </c>
      <c r="E3382" t="inlineStr">
        <is>
          <t>000223648</t>
        </is>
      </c>
      <c r="F3382" t="inlineStr">
        <is>
          <t>CAZAN TRANSPORTES LTDA</t>
        </is>
      </c>
      <c r="G3382" s="27" t="n">
        <v>46176</v>
      </c>
      <c r="H3382" s="14" t="n">
        <v>145.91</v>
      </c>
      <c r="I3382" s="14" t="n">
        <v>0</v>
      </c>
      <c r="J3382" s="14" t="n">
        <v>10.21</v>
      </c>
      <c r="K3382" s="14" t="n">
        <v>0</v>
      </c>
      <c r="L3382" s="14" t="n">
        <v>0</v>
      </c>
      <c r="M3382" s="14">
        <f>IF(B3382="Frete de venda",0,(1-ISNUMBER(SEARCH("556",P3382)))*(I3382*VLOOKUP($B3382,Premissas!$A$4:$E$7,2,0)+J3382*VLOOKUP($B3382,Premissas!$A$4:$E$7,3,0))+K3382*VLOOKUP($B3382,Premissas!$A$4:$E$7,4,0)+L3382*VLOOKUP($B3382,Premissas!$A$4:$E$7,5,0))</f>
        <v/>
      </c>
      <c r="N3382" s="14">
        <f>H3382-M3382</f>
        <v/>
      </c>
      <c r="O3382" t="inlineStr">
        <is>
          <t>Sim</t>
        </is>
      </c>
      <c r="P3382" t="inlineStr">
        <is>
          <t>1.350</t>
        </is>
      </c>
    </row>
    <row r="3383">
      <c r="A3383" s="24" t="n">
        <v>46174</v>
      </c>
      <c r="B3383" t="inlineStr">
        <is>
          <t>Frete de compra</t>
        </is>
      </c>
      <c r="C3383" t="inlineStr">
        <is>
          <t>Frete de compra</t>
        </is>
      </c>
      <c r="D3383" t="inlineStr">
        <is>
          <t>CT-e</t>
        </is>
      </c>
      <c r="E3383" t="inlineStr">
        <is>
          <t>000198406</t>
        </is>
      </c>
      <c r="F3383" t="inlineStr">
        <is>
          <t>ALIANCA NAVEGACAO E LOGISTICA LTDA</t>
        </is>
      </c>
      <c r="G3383" s="27" t="n">
        <v>46178</v>
      </c>
      <c r="H3383" s="14" t="n">
        <v>464.52</v>
      </c>
      <c r="I3383" s="14" t="n">
        <v>0</v>
      </c>
      <c r="J3383" s="14" t="n">
        <v>32.52</v>
      </c>
      <c r="K3383" s="14" t="n">
        <v>0</v>
      </c>
      <c r="L3383" s="14" t="n">
        <v>0</v>
      </c>
      <c r="M3383" s="14">
        <f>IF(B3383="Frete de venda",0,(1-ISNUMBER(SEARCH("556",P3383)))*(I3383*VLOOKUP($B3383,Premissas!$A$4:$E$7,2,0)+J3383*VLOOKUP($B3383,Premissas!$A$4:$E$7,3,0))+K3383*VLOOKUP($B3383,Premissas!$A$4:$E$7,4,0)+L3383*VLOOKUP($B3383,Premissas!$A$4:$E$7,5,0))</f>
        <v/>
      </c>
      <c r="N3383" s="14">
        <f>H3383-M3383</f>
        <v/>
      </c>
      <c r="O3383" t="inlineStr">
        <is>
          <t>Sim</t>
        </is>
      </c>
      <c r="P3383" t="inlineStr">
        <is>
          <t>2.350</t>
        </is>
      </c>
    </row>
    <row r="3384">
      <c r="A3384" s="24" t="n">
        <v>46174</v>
      </c>
      <c r="B3384" t="inlineStr">
        <is>
          <t>Frete de compra</t>
        </is>
      </c>
      <c r="C3384" t="inlineStr">
        <is>
          <t>Frete de compra</t>
        </is>
      </c>
      <c r="D3384" t="inlineStr">
        <is>
          <t>CT-e</t>
        </is>
      </c>
      <c r="E3384" t="inlineStr">
        <is>
          <t>000198419</t>
        </is>
      </c>
      <c r="F3384" t="inlineStr">
        <is>
          <t>ALIANCA NAVEGACAO E LOGISTICA LTDA</t>
        </is>
      </c>
      <c r="G3384" s="27" t="n">
        <v>46178</v>
      </c>
      <c r="H3384" s="14" t="n">
        <v>774.1900000000001</v>
      </c>
      <c r="I3384" s="14" t="n">
        <v>0</v>
      </c>
      <c r="J3384" s="14" t="n">
        <v>54.19</v>
      </c>
      <c r="K3384" s="14" t="n">
        <v>0</v>
      </c>
      <c r="L3384" s="14" t="n">
        <v>0</v>
      </c>
      <c r="M3384" s="14">
        <f>IF(B3384="Frete de venda",0,(1-ISNUMBER(SEARCH("556",P3384)))*(I3384*VLOOKUP($B3384,Premissas!$A$4:$E$7,2,0)+J3384*VLOOKUP($B3384,Premissas!$A$4:$E$7,3,0))+K3384*VLOOKUP($B3384,Premissas!$A$4:$E$7,4,0)+L3384*VLOOKUP($B3384,Premissas!$A$4:$E$7,5,0))</f>
        <v/>
      </c>
      <c r="N3384" s="14">
        <f>H3384-M3384</f>
        <v/>
      </c>
      <c r="O3384" t="inlineStr">
        <is>
          <t>Sim</t>
        </is>
      </c>
      <c r="P3384" t="inlineStr">
        <is>
          <t>2.350</t>
        </is>
      </c>
    </row>
    <row r="3385">
      <c r="A3385" s="24" t="n">
        <v>46174</v>
      </c>
      <c r="B3385" t="inlineStr">
        <is>
          <t>Frete de compra</t>
        </is>
      </c>
      <c r="C3385" t="inlineStr">
        <is>
          <t>Frete de compra</t>
        </is>
      </c>
      <c r="D3385" t="inlineStr">
        <is>
          <t>CT-e</t>
        </is>
      </c>
      <c r="E3385" t="inlineStr">
        <is>
          <t>000198391</t>
        </is>
      </c>
      <c r="F3385" t="inlineStr">
        <is>
          <t>ALIANCA NAVEGACAO E LOGISTICA LTDA</t>
        </is>
      </c>
      <c r="G3385" s="27" t="n">
        <v>46178</v>
      </c>
      <c r="H3385" s="14" t="n">
        <v>154.84</v>
      </c>
      <c r="I3385" s="14" t="n">
        <v>0</v>
      </c>
      <c r="J3385" s="14" t="n">
        <v>10.84</v>
      </c>
      <c r="K3385" s="14" t="n">
        <v>0</v>
      </c>
      <c r="L3385" s="14" t="n">
        <v>0</v>
      </c>
      <c r="M3385" s="14">
        <f>IF(B3385="Frete de venda",0,(1-ISNUMBER(SEARCH("556",P3385)))*(I3385*VLOOKUP($B3385,Premissas!$A$4:$E$7,2,0)+J3385*VLOOKUP($B3385,Premissas!$A$4:$E$7,3,0))+K3385*VLOOKUP($B3385,Premissas!$A$4:$E$7,4,0)+L3385*VLOOKUP($B3385,Premissas!$A$4:$E$7,5,0))</f>
        <v/>
      </c>
      <c r="N3385" s="14">
        <f>H3385-M3385</f>
        <v/>
      </c>
      <c r="O3385" t="inlineStr">
        <is>
          <t>Sim</t>
        </is>
      </c>
      <c r="P3385" t="inlineStr">
        <is>
          <t>2.350</t>
        </is>
      </c>
    </row>
    <row r="3386">
      <c r="A3386" s="24" t="n">
        <v>46174</v>
      </c>
      <c r="B3386" t="inlineStr">
        <is>
          <t>Frete de compra</t>
        </is>
      </c>
      <c r="C3386" t="inlineStr">
        <is>
          <t>Frete de compra</t>
        </is>
      </c>
      <c r="D3386" t="inlineStr">
        <is>
          <t>CT-e</t>
        </is>
      </c>
      <c r="E3386" t="inlineStr">
        <is>
          <t>000082137</t>
        </is>
      </c>
      <c r="F3386" t="inlineStr">
        <is>
          <t>GOL LINHAS AEREAS S.A.</t>
        </is>
      </c>
      <c r="G3386" s="27" t="n">
        <v>46184</v>
      </c>
      <c r="H3386" s="14" t="n">
        <v>132.37</v>
      </c>
      <c r="I3386" s="14" t="n">
        <v>0</v>
      </c>
      <c r="J3386" s="14" t="n">
        <v>5.29</v>
      </c>
      <c r="K3386" s="14" t="n">
        <v>0</v>
      </c>
      <c r="L3386" s="14" t="n">
        <v>0</v>
      </c>
      <c r="M3386" s="14">
        <f>IF(B3386="Frete de venda",0,(1-ISNUMBER(SEARCH("556",P3386)))*(I3386*VLOOKUP($B3386,Premissas!$A$4:$E$7,2,0)+J3386*VLOOKUP($B3386,Premissas!$A$4:$E$7,3,0))+K3386*VLOOKUP($B3386,Premissas!$A$4:$E$7,4,0)+L3386*VLOOKUP($B3386,Premissas!$A$4:$E$7,5,0))</f>
        <v/>
      </c>
      <c r="N3386" s="14">
        <f>H3386-M3386</f>
        <v/>
      </c>
      <c r="O3386" t="inlineStr">
        <is>
          <t>Sim</t>
        </is>
      </c>
      <c r="P3386" t="inlineStr">
        <is>
          <t>1.350</t>
        </is>
      </c>
    </row>
    <row r="3387">
      <c r="A3387" s="24" t="n">
        <v>46174</v>
      </c>
      <c r="B3387" t="inlineStr">
        <is>
          <t>Frete de compra</t>
        </is>
      </c>
      <c r="C3387" t="inlineStr">
        <is>
          <t>Frete de compra</t>
        </is>
      </c>
      <c r="D3387" t="inlineStr">
        <is>
          <t>CT-e</t>
        </is>
      </c>
      <c r="E3387" t="inlineStr">
        <is>
          <t>000082133</t>
        </is>
      </c>
      <c r="F3387" t="inlineStr">
        <is>
          <t>GOL LINHAS AEREAS S.A.</t>
        </is>
      </c>
      <c r="G3387" s="27" t="n">
        <v>46184</v>
      </c>
      <c r="H3387" s="14" t="n">
        <v>539.78</v>
      </c>
      <c r="I3387" s="14" t="n">
        <v>0</v>
      </c>
      <c r="J3387" s="14" t="n">
        <v>21.59</v>
      </c>
      <c r="K3387" s="14" t="n">
        <v>0</v>
      </c>
      <c r="L3387" s="14" t="n">
        <v>0</v>
      </c>
      <c r="M3387" s="14">
        <f>IF(B3387="Frete de venda",0,(1-ISNUMBER(SEARCH("556",P3387)))*(I3387*VLOOKUP($B3387,Premissas!$A$4:$E$7,2,0)+J3387*VLOOKUP($B3387,Premissas!$A$4:$E$7,3,0))+K3387*VLOOKUP($B3387,Premissas!$A$4:$E$7,4,0)+L3387*VLOOKUP($B3387,Premissas!$A$4:$E$7,5,0))</f>
        <v/>
      </c>
      <c r="N3387" s="14">
        <f>H3387-M3387</f>
        <v/>
      </c>
      <c r="O3387" t="inlineStr">
        <is>
          <t>Sim</t>
        </is>
      </c>
      <c r="P3387" t="inlineStr">
        <is>
          <t>1.350</t>
        </is>
      </c>
    </row>
    <row r="3388">
      <c r="A3388" s="24" t="n">
        <v>46174</v>
      </c>
      <c r="B3388" t="inlineStr">
        <is>
          <t>Frete de compra</t>
        </is>
      </c>
      <c r="C3388" t="inlineStr">
        <is>
          <t>Frete de compra</t>
        </is>
      </c>
      <c r="D3388" t="inlineStr">
        <is>
          <t>CT-e</t>
        </is>
      </c>
      <c r="E3388" t="inlineStr">
        <is>
          <t>000082287</t>
        </is>
      </c>
      <c r="F3388" t="inlineStr">
        <is>
          <t>GOL LINHAS AEREAS S.A.</t>
        </is>
      </c>
      <c r="G3388" s="27" t="n">
        <v>46188</v>
      </c>
      <c r="H3388" s="14" t="n">
        <v>645.74</v>
      </c>
      <c r="I3388" s="14" t="n">
        <v>0</v>
      </c>
      <c r="J3388" s="14" t="n">
        <v>25.83</v>
      </c>
      <c r="K3388" s="14" t="n">
        <v>0</v>
      </c>
      <c r="L3388" s="14" t="n">
        <v>0</v>
      </c>
      <c r="M3388" s="14">
        <f>IF(B3388="Frete de venda",0,(1-ISNUMBER(SEARCH("556",P3388)))*(I3388*VLOOKUP($B3388,Premissas!$A$4:$E$7,2,0)+J3388*VLOOKUP($B3388,Premissas!$A$4:$E$7,3,0))+K3388*VLOOKUP($B3388,Premissas!$A$4:$E$7,4,0)+L3388*VLOOKUP($B3388,Premissas!$A$4:$E$7,5,0))</f>
        <v/>
      </c>
      <c r="N3388" s="14">
        <f>H3388-M3388</f>
        <v/>
      </c>
      <c r="O3388" t="inlineStr">
        <is>
          <t>Sim</t>
        </is>
      </c>
      <c r="P3388" t="inlineStr">
        <is>
          <t>1.350</t>
        </is>
      </c>
    </row>
    <row r="3389">
      <c r="A3389" s="24" t="n">
        <v>46174</v>
      </c>
      <c r="B3389" t="inlineStr">
        <is>
          <t>Frete de compra</t>
        </is>
      </c>
      <c r="C3389" t="inlineStr">
        <is>
          <t>Frete de compra</t>
        </is>
      </c>
      <c r="D3389" t="inlineStr">
        <is>
          <t>CT-e</t>
        </is>
      </c>
      <c r="E3389" t="inlineStr">
        <is>
          <t>000082011</t>
        </is>
      </c>
      <c r="F3389" t="inlineStr">
        <is>
          <t>GOL LINHAS AEREAS S.A.</t>
        </is>
      </c>
      <c r="G3389" s="27" t="n">
        <v>46182</v>
      </c>
      <c r="H3389" s="14" t="n">
        <v>181.8</v>
      </c>
      <c r="I3389" s="14" t="n">
        <v>0</v>
      </c>
      <c r="J3389" s="14" t="n">
        <v>7.27</v>
      </c>
      <c r="K3389" s="14" t="n">
        <v>0</v>
      </c>
      <c r="L3389" s="14" t="n">
        <v>0</v>
      </c>
      <c r="M3389" s="14">
        <f>IF(B3389="Frete de venda",0,(1-ISNUMBER(SEARCH("556",P3389)))*(I3389*VLOOKUP($B3389,Premissas!$A$4:$E$7,2,0)+J3389*VLOOKUP($B3389,Premissas!$A$4:$E$7,3,0))+K3389*VLOOKUP($B3389,Premissas!$A$4:$E$7,4,0)+L3389*VLOOKUP($B3389,Premissas!$A$4:$E$7,5,0))</f>
        <v/>
      </c>
      <c r="N3389" s="14">
        <f>H3389-M3389</f>
        <v/>
      </c>
      <c r="O3389" t="inlineStr">
        <is>
          <t>Sim</t>
        </is>
      </c>
      <c r="P3389" t="inlineStr">
        <is>
          <t>1.350</t>
        </is>
      </c>
    </row>
    <row r="3390">
      <c r="A3390" s="24" t="n">
        <v>46174</v>
      </c>
      <c r="B3390" t="inlineStr">
        <is>
          <t>Frete de compra</t>
        </is>
      </c>
      <c r="C3390" t="inlineStr">
        <is>
          <t>Frete de compra</t>
        </is>
      </c>
      <c r="D3390" t="inlineStr">
        <is>
          <t>CT-e</t>
        </is>
      </c>
      <c r="E3390" t="inlineStr">
        <is>
          <t>000082139</t>
        </is>
      </c>
      <c r="F3390" t="inlineStr">
        <is>
          <t>GOL LINHAS AEREAS S.A.</t>
        </is>
      </c>
      <c r="G3390" s="27" t="n">
        <v>46184</v>
      </c>
      <c r="H3390" s="14" t="n">
        <v>485.7</v>
      </c>
      <c r="I3390" s="14" t="n">
        <v>0</v>
      </c>
      <c r="J3390" s="14" t="n">
        <v>19.43</v>
      </c>
      <c r="K3390" s="14" t="n">
        <v>0</v>
      </c>
      <c r="L3390" s="14" t="n">
        <v>0</v>
      </c>
      <c r="M3390" s="14">
        <f>IF(B3390="Frete de venda",0,(1-ISNUMBER(SEARCH("556",P3390)))*(I3390*VLOOKUP($B3390,Premissas!$A$4:$E$7,2,0)+J3390*VLOOKUP($B3390,Premissas!$A$4:$E$7,3,0))+K3390*VLOOKUP($B3390,Premissas!$A$4:$E$7,4,0)+L3390*VLOOKUP($B3390,Premissas!$A$4:$E$7,5,0))</f>
        <v/>
      </c>
      <c r="N3390" s="14">
        <f>H3390-M3390</f>
        <v/>
      </c>
      <c r="O3390" t="inlineStr">
        <is>
          <t>Sim</t>
        </is>
      </c>
      <c r="P3390" t="inlineStr">
        <is>
          <t>1.350</t>
        </is>
      </c>
    </row>
    <row r="3391">
      <c r="A3391" s="24" t="n">
        <v>46174</v>
      </c>
      <c r="B3391" t="inlineStr">
        <is>
          <t>Frete de compra</t>
        </is>
      </c>
      <c r="C3391" t="inlineStr">
        <is>
          <t>Frete de compra</t>
        </is>
      </c>
      <c r="D3391" t="inlineStr">
        <is>
          <t>CT-e</t>
        </is>
      </c>
      <c r="E3391" t="inlineStr">
        <is>
          <t>000082123</t>
        </is>
      </c>
      <c r="F3391" t="inlineStr">
        <is>
          <t>GOL LINHAS AEREAS S.A.</t>
        </is>
      </c>
      <c r="G3391" s="27" t="n">
        <v>46184</v>
      </c>
      <c r="H3391" s="14" t="n">
        <v>539.78</v>
      </c>
      <c r="I3391" s="14" t="n">
        <v>0</v>
      </c>
      <c r="J3391" s="14" t="n">
        <v>21.59</v>
      </c>
      <c r="K3391" s="14" t="n">
        <v>0</v>
      </c>
      <c r="L3391" s="14" t="n">
        <v>0</v>
      </c>
      <c r="M3391" s="14">
        <f>IF(B3391="Frete de venda",0,(1-ISNUMBER(SEARCH("556",P3391)))*(I3391*VLOOKUP($B3391,Premissas!$A$4:$E$7,2,0)+J3391*VLOOKUP($B3391,Premissas!$A$4:$E$7,3,0))+K3391*VLOOKUP($B3391,Premissas!$A$4:$E$7,4,0)+L3391*VLOOKUP($B3391,Premissas!$A$4:$E$7,5,0))</f>
        <v/>
      </c>
      <c r="N3391" s="14">
        <f>H3391-M3391</f>
        <v/>
      </c>
      <c r="O3391" t="inlineStr">
        <is>
          <t>Sim</t>
        </is>
      </c>
      <c r="P3391" t="inlineStr">
        <is>
          <t>1.350</t>
        </is>
      </c>
    </row>
    <row r="3392">
      <c r="A3392" s="24" t="n">
        <v>46174</v>
      </c>
      <c r="B3392" t="inlineStr">
        <is>
          <t>Frete de compra</t>
        </is>
      </c>
      <c r="C3392" t="inlineStr">
        <is>
          <t>Frete de compra</t>
        </is>
      </c>
      <c r="D3392" t="inlineStr">
        <is>
          <t>CT-e</t>
        </is>
      </c>
      <c r="E3392" t="inlineStr">
        <is>
          <t>000082134</t>
        </is>
      </c>
      <c r="F3392" t="inlineStr">
        <is>
          <t>GOL LINHAS AEREAS S.A.</t>
        </is>
      </c>
      <c r="G3392" s="27" t="n">
        <v>46184</v>
      </c>
      <c r="H3392" s="14" t="n">
        <v>251.45</v>
      </c>
      <c r="I3392" s="14" t="n">
        <v>0</v>
      </c>
      <c r="J3392" s="14" t="n">
        <v>10.06</v>
      </c>
      <c r="K3392" s="14" t="n">
        <v>0</v>
      </c>
      <c r="L3392" s="14" t="n">
        <v>0</v>
      </c>
      <c r="M3392" s="14">
        <f>IF(B3392="Frete de venda",0,(1-ISNUMBER(SEARCH("556",P3392)))*(I3392*VLOOKUP($B3392,Premissas!$A$4:$E$7,2,0)+J3392*VLOOKUP($B3392,Premissas!$A$4:$E$7,3,0))+K3392*VLOOKUP($B3392,Premissas!$A$4:$E$7,4,0)+L3392*VLOOKUP($B3392,Premissas!$A$4:$E$7,5,0))</f>
        <v/>
      </c>
      <c r="N3392" s="14">
        <f>H3392-M3392</f>
        <v/>
      </c>
      <c r="O3392" t="inlineStr">
        <is>
          <t>Sim</t>
        </is>
      </c>
      <c r="P3392" t="inlineStr">
        <is>
          <t>1.350</t>
        </is>
      </c>
    </row>
    <row r="3393">
      <c r="A3393" s="24" t="n">
        <v>46174</v>
      </c>
      <c r="B3393" t="inlineStr">
        <is>
          <t>Frete de compra</t>
        </is>
      </c>
      <c r="C3393" t="inlineStr">
        <is>
          <t>Frete de compra</t>
        </is>
      </c>
      <c r="D3393" t="inlineStr">
        <is>
          <t>CT-e</t>
        </is>
      </c>
      <c r="E3393" t="inlineStr">
        <is>
          <t>000082013</t>
        </is>
      </c>
      <c r="F3393" t="inlineStr">
        <is>
          <t>GOL LINHAS AEREAS S.A.</t>
        </is>
      </c>
      <c r="G3393" s="27" t="n">
        <v>46182</v>
      </c>
      <c r="H3393" s="14" t="n">
        <v>138.67</v>
      </c>
      <c r="I3393" s="14" t="n">
        <v>0</v>
      </c>
      <c r="J3393" s="14" t="n">
        <v>5.55</v>
      </c>
      <c r="K3393" s="14" t="n">
        <v>0</v>
      </c>
      <c r="L3393" s="14" t="n">
        <v>0</v>
      </c>
      <c r="M3393" s="14">
        <f>IF(B3393="Frete de venda",0,(1-ISNUMBER(SEARCH("556",P3393)))*(I3393*VLOOKUP($B3393,Premissas!$A$4:$E$7,2,0)+J3393*VLOOKUP($B3393,Premissas!$A$4:$E$7,3,0))+K3393*VLOOKUP($B3393,Premissas!$A$4:$E$7,4,0)+L3393*VLOOKUP($B3393,Premissas!$A$4:$E$7,5,0))</f>
        <v/>
      </c>
      <c r="N3393" s="14">
        <f>H3393-M3393</f>
        <v/>
      </c>
      <c r="O3393" t="inlineStr">
        <is>
          <t>Sim</t>
        </is>
      </c>
      <c r="P3393" t="inlineStr">
        <is>
          <t>1.350</t>
        </is>
      </c>
    </row>
    <row r="3394">
      <c r="A3394" s="24" t="n">
        <v>46174</v>
      </c>
      <c r="B3394" t="inlineStr">
        <is>
          <t>Frete de compra</t>
        </is>
      </c>
      <c r="C3394" t="inlineStr">
        <is>
          <t>Frete de compra</t>
        </is>
      </c>
      <c r="D3394" t="inlineStr">
        <is>
          <t>CT-e</t>
        </is>
      </c>
      <c r="E3394" t="inlineStr">
        <is>
          <t>000082140</t>
        </is>
      </c>
      <c r="F3394" t="inlineStr">
        <is>
          <t>GOL LINHAS AEREAS S.A.</t>
        </is>
      </c>
      <c r="G3394" s="27" t="n">
        <v>46184</v>
      </c>
      <c r="H3394" s="14" t="n">
        <v>132.37</v>
      </c>
      <c r="I3394" s="14" t="n">
        <v>0</v>
      </c>
      <c r="J3394" s="14" t="n">
        <v>5.29</v>
      </c>
      <c r="K3394" s="14" t="n">
        <v>0</v>
      </c>
      <c r="L3394" s="14" t="n">
        <v>0</v>
      </c>
      <c r="M3394" s="14">
        <f>IF(B3394="Frete de venda",0,(1-ISNUMBER(SEARCH("556",P3394)))*(I3394*VLOOKUP($B3394,Premissas!$A$4:$E$7,2,0)+J3394*VLOOKUP($B3394,Premissas!$A$4:$E$7,3,0))+K3394*VLOOKUP($B3394,Premissas!$A$4:$E$7,4,0)+L3394*VLOOKUP($B3394,Premissas!$A$4:$E$7,5,0))</f>
        <v/>
      </c>
      <c r="N3394" s="14">
        <f>H3394-M3394</f>
        <v/>
      </c>
      <c r="O3394" t="inlineStr">
        <is>
          <t>Sim</t>
        </is>
      </c>
      <c r="P3394" t="inlineStr">
        <is>
          <t>1.350</t>
        </is>
      </c>
    </row>
    <row r="3395">
      <c r="A3395" s="24" t="n">
        <v>46174</v>
      </c>
      <c r="B3395" t="inlineStr">
        <is>
          <t>Frete de compra</t>
        </is>
      </c>
      <c r="C3395" t="inlineStr">
        <is>
          <t>Frete de compra</t>
        </is>
      </c>
      <c r="D3395" t="inlineStr">
        <is>
          <t>CT-e</t>
        </is>
      </c>
      <c r="E3395" t="inlineStr">
        <is>
          <t>000082135</t>
        </is>
      </c>
      <c r="F3395" t="inlineStr">
        <is>
          <t>GOL LINHAS AEREAS S.A.</t>
        </is>
      </c>
      <c r="G3395" s="27" t="n">
        <v>46184</v>
      </c>
      <c r="H3395" s="14" t="n">
        <v>132.37</v>
      </c>
      <c r="I3395" s="14" t="n">
        <v>0</v>
      </c>
      <c r="J3395" s="14" t="n">
        <v>5.29</v>
      </c>
      <c r="K3395" s="14" t="n">
        <v>0</v>
      </c>
      <c r="L3395" s="14" t="n">
        <v>0</v>
      </c>
      <c r="M3395" s="14">
        <f>IF(B3395="Frete de venda",0,(1-ISNUMBER(SEARCH("556",P3395)))*(I3395*VLOOKUP($B3395,Premissas!$A$4:$E$7,2,0)+J3395*VLOOKUP($B3395,Premissas!$A$4:$E$7,3,0))+K3395*VLOOKUP($B3395,Premissas!$A$4:$E$7,4,0)+L3395*VLOOKUP($B3395,Premissas!$A$4:$E$7,5,0))</f>
        <v/>
      </c>
      <c r="N3395" s="14">
        <f>H3395-M3395</f>
        <v/>
      </c>
      <c r="O3395" t="inlineStr">
        <is>
          <t>Sim</t>
        </is>
      </c>
      <c r="P3395" t="inlineStr">
        <is>
          <t>1.350</t>
        </is>
      </c>
    </row>
    <row r="3396">
      <c r="A3396" s="24" t="n">
        <v>46174</v>
      </c>
      <c r="B3396" t="inlineStr">
        <is>
          <t>Frete de compra</t>
        </is>
      </c>
      <c r="C3396" t="inlineStr">
        <is>
          <t>Frete de compra</t>
        </is>
      </c>
      <c r="D3396" t="inlineStr">
        <is>
          <t>CT-e</t>
        </is>
      </c>
      <c r="E3396" t="inlineStr">
        <is>
          <t>000082138</t>
        </is>
      </c>
      <c r="F3396" t="inlineStr">
        <is>
          <t>GOL LINHAS AEREAS S.A.</t>
        </is>
      </c>
      <c r="G3396" s="27" t="n">
        <v>46184</v>
      </c>
      <c r="H3396" s="14" t="n">
        <v>228.72</v>
      </c>
      <c r="I3396" s="14" t="n">
        <v>0</v>
      </c>
      <c r="J3396" s="14" t="n">
        <v>9.15</v>
      </c>
      <c r="K3396" s="14" t="n">
        <v>0</v>
      </c>
      <c r="L3396" s="14" t="n">
        <v>0</v>
      </c>
      <c r="M3396" s="14">
        <f>IF(B3396="Frete de venda",0,(1-ISNUMBER(SEARCH("556",P3396)))*(I3396*VLOOKUP($B3396,Premissas!$A$4:$E$7,2,0)+J3396*VLOOKUP($B3396,Premissas!$A$4:$E$7,3,0))+K3396*VLOOKUP($B3396,Premissas!$A$4:$E$7,4,0)+L3396*VLOOKUP($B3396,Premissas!$A$4:$E$7,5,0))</f>
        <v/>
      </c>
      <c r="N3396" s="14">
        <f>H3396-M3396</f>
        <v/>
      </c>
      <c r="O3396" t="inlineStr">
        <is>
          <t>Sim</t>
        </is>
      </c>
      <c r="P3396" t="inlineStr">
        <is>
          <t>1.350</t>
        </is>
      </c>
    </row>
    <row r="3397">
      <c r="A3397" s="24" t="n">
        <v>46174</v>
      </c>
      <c r="B3397" t="inlineStr">
        <is>
          <t>Frete de compra</t>
        </is>
      </c>
      <c r="C3397" t="inlineStr">
        <is>
          <t>Frete de compra</t>
        </is>
      </c>
      <c r="D3397" t="inlineStr">
        <is>
          <t>CT-e</t>
        </is>
      </c>
      <c r="E3397" t="inlineStr">
        <is>
          <t>000082012</t>
        </is>
      </c>
      <c r="F3397" t="inlineStr">
        <is>
          <t>GOL LINHAS AEREAS S.A.</t>
        </is>
      </c>
      <c r="G3397" s="27" t="n">
        <v>46182</v>
      </c>
      <c r="H3397" s="14" t="n">
        <v>754.27</v>
      </c>
      <c r="I3397" s="14" t="n">
        <v>0</v>
      </c>
      <c r="J3397" s="14" t="n">
        <v>30.17</v>
      </c>
      <c r="K3397" s="14" t="n">
        <v>0</v>
      </c>
      <c r="L3397" s="14" t="n">
        <v>0</v>
      </c>
      <c r="M3397" s="14">
        <f>IF(B3397="Frete de venda",0,(1-ISNUMBER(SEARCH("556",P3397)))*(I3397*VLOOKUP($B3397,Premissas!$A$4:$E$7,2,0)+J3397*VLOOKUP($B3397,Premissas!$A$4:$E$7,3,0))+K3397*VLOOKUP($B3397,Premissas!$A$4:$E$7,4,0)+L3397*VLOOKUP($B3397,Premissas!$A$4:$E$7,5,0))</f>
        <v/>
      </c>
      <c r="N3397" s="14">
        <f>H3397-M3397</f>
        <v/>
      </c>
      <c r="O3397" t="inlineStr">
        <is>
          <t>Sim</t>
        </is>
      </c>
      <c r="P3397" t="inlineStr">
        <is>
          <t>1.350</t>
        </is>
      </c>
    </row>
    <row r="3398">
      <c r="A3398" s="24" t="n">
        <v>46174</v>
      </c>
      <c r="B3398" t="inlineStr">
        <is>
          <t>Frete de compra</t>
        </is>
      </c>
      <c r="C3398" t="inlineStr">
        <is>
          <t>Frete de compra</t>
        </is>
      </c>
      <c r="D3398" t="inlineStr">
        <is>
          <t>CT-e</t>
        </is>
      </c>
      <c r="E3398" t="inlineStr">
        <is>
          <t>000082009</t>
        </is>
      </c>
      <c r="F3398" t="inlineStr">
        <is>
          <t>GOL LINHAS AEREAS S.A.</t>
        </is>
      </c>
      <c r="G3398" s="27" t="n">
        <v>46182</v>
      </c>
      <c r="H3398" s="14" t="n">
        <v>138.67</v>
      </c>
      <c r="I3398" s="14" t="n">
        <v>0</v>
      </c>
      <c r="J3398" s="14" t="n">
        <v>5.55</v>
      </c>
      <c r="K3398" s="14" t="n">
        <v>0</v>
      </c>
      <c r="L3398" s="14" t="n">
        <v>0</v>
      </c>
      <c r="M3398" s="14">
        <f>IF(B3398="Frete de venda",0,(1-ISNUMBER(SEARCH("556",P3398)))*(I3398*VLOOKUP($B3398,Premissas!$A$4:$E$7,2,0)+J3398*VLOOKUP($B3398,Premissas!$A$4:$E$7,3,0))+K3398*VLOOKUP($B3398,Premissas!$A$4:$E$7,4,0)+L3398*VLOOKUP($B3398,Premissas!$A$4:$E$7,5,0))</f>
        <v/>
      </c>
      <c r="N3398" s="14">
        <f>H3398-M3398</f>
        <v/>
      </c>
      <c r="O3398" t="inlineStr">
        <is>
          <t>Sim</t>
        </is>
      </c>
      <c r="P3398" t="inlineStr">
        <is>
          <t>1.350</t>
        </is>
      </c>
    </row>
    <row r="3399">
      <c r="A3399" s="24" t="n">
        <v>46174</v>
      </c>
      <c r="B3399" t="inlineStr">
        <is>
          <t>Frete de compra</t>
        </is>
      </c>
      <c r="C3399" t="inlineStr">
        <is>
          <t>Frete de compra</t>
        </is>
      </c>
      <c r="D3399" t="inlineStr">
        <is>
          <t>CT-e</t>
        </is>
      </c>
      <c r="E3399" t="inlineStr">
        <is>
          <t>000082136</t>
        </is>
      </c>
      <c r="F3399" t="inlineStr">
        <is>
          <t>GOL LINHAS AEREAS S.A.</t>
        </is>
      </c>
      <c r="G3399" s="27" t="n">
        <v>46184</v>
      </c>
      <c r="H3399" s="14" t="n">
        <v>149.46</v>
      </c>
      <c r="I3399" s="14" t="n">
        <v>0</v>
      </c>
      <c r="J3399" s="14" t="n">
        <v>5.98</v>
      </c>
      <c r="K3399" s="14" t="n">
        <v>0</v>
      </c>
      <c r="L3399" s="14" t="n">
        <v>0</v>
      </c>
      <c r="M3399" s="14">
        <f>IF(B3399="Frete de venda",0,(1-ISNUMBER(SEARCH("556",P3399)))*(I3399*VLOOKUP($B3399,Premissas!$A$4:$E$7,2,0)+J3399*VLOOKUP($B3399,Premissas!$A$4:$E$7,3,0))+K3399*VLOOKUP($B3399,Premissas!$A$4:$E$7,4,0)+L3399*VLOOKUP($B3399,Premissas!$A$4:$E$7,5,0))</f>
        <v/>
      </c>
      <c r="N3399" s="14">
        <f>H3399-M3399</f>
        <v/>
      </c>
      <c r="O3399" t="inlineStr">
        <is>
          <t>Sim</t>
        </is>
      </c>
      <c r="P3399" t="inlineStr">
        <is>
          <t>1.350</t>
        </is>
      </c>
    </row>
    <row r="3400">
      <c r="A3400" s="24" t="n">
        <v>46174</v>
      </c>
      <c r="B3400" t="inlineStr">
        <is>
          <t>Frete de venda</t>
        </is>
      </c>
      <c r="C3400" t="inlineStr">
        <is>
          <t>Frete de venda (para clientes)</t>
        </is>
      </c>
      <c r="D3400" t="inlineStr">
        <is>
          <t>CT-e</t>
        </is>
      </c>
      <c r="E3400" t="inlineStr">
        <is>
          <t>000224769</t>
        </is>
      </c>
      <c r="F3400" t="inlineStr">
        <is>
          <t>CAZAN TRANSPORTES LTDA</t>
        </is>
      </c>
      <c r="G3400" s="27" t="n">
        <v>46190</v>
      </c>
      <c r="H3400" s="14" t="n">
        <v>5779.38</v>
      </c>
      <c r="I3400" s="14" t="n">
        <v>0</v>
      </c>
      <c r="J3400" s="14" t="n">
        <v>404.56</v>
      </c>
      <c r="K3400" s="14" t="n">
        <v>0</v>
      </c>
      <c r="L3400" s="14" t="n">
        <v>0</v>
      </c>
      <c r="M3400" s="14">
        <f>IF(B3400="Frete de venda",0,(1-ISNUMBER(SEARCH("556",P3400)))*(I3400*VLOOKUP($B3400,Premissas!$A$4:$E$7,2,0)+J3400*VLOOKUP($B3400,Premissas!$A$4:$E$7,3,0))+K3400*VLOOKUP($B3400,Premissas!$A$4:$E$7,4,0)+L3400*VLOOKUP($B3400,Premissas!$A$4:$E$7,5,0))</f>
        <v/>
      </c>
      <c r="N3400" s="14">
        <f>H3400-M3400</f>
        <v/>
      </c>
      <c r="O3400" t="inlineStr">
        <is>
          <t>Sim</t>
        </is>
      </c>
      <c r="P3400" t="inlineStr">
        <is>
          <t>2.350</t>
        </is>
      </c>
    </row>
    <row r="3401">
      <c r="A3401" s="24" t="n">
        <v>46174</v>
      </c>
      <c r="B3401" t="inlineStr">
        <is>
          <t>Frete de venda</t>
        </is>
      </c>
      <c r="C3401" t="inlineStr">
        <is>
          <t>Frete de venda (para clientes)</t>
        </is>
      </c>
      <c r="D3401" t="inlineStr">
        <is>
          <t>CT-e</t>
        </is>
      </c>
      <c r="E3401" t="inlineStr">
        <is>
          <t>000115343</t>
        </is>
      </c>
      <c r="F3401" t="inlineStr">
        <is>
          <t>CAMPINENSE TRANSPORTE DE CARGAS E LOCACOES LT</t>
        </is>
      </c>
      <c r="G3401" s="27" t="n">
        <v>46188</v>
      </c>
      <c r="H3401" s="14" t="n">
        <v>150.35</v>
      </c>
      <c r="I3401" s="14" t="n">
        <v>0</v>
      </c>
      <c r="J3401" s="14" t="n">
        <v>10.52</v>
      </c>
      <c r="K3401" s="14" t="n">
        <v>0</v>
      </c>
      <c r="L3401" s="14" t="n">
        <v>0</v>
      </c>
      <c r="M3401" s="14">
        <f>IF(B3401="Frete de venda",0,(1-ISNUMBER(SEARCH("556",P3401)))*(I3401*VLOOKUP($B3401,Premissas!$A$4:$E$7,2,0)+J3401*VLOOKUP($B3401,Premissas!$A$4:$E$7,3,0))+K3401*VLOOKUP($B3401,Premissas!$A$4:$E$7,4,0)+L3401*VLOOKUP($B3401,Premissas!$A$4:$E$7,5,0))</f>
        <v/>
      </c>
      <c r="N3401" s="14">
        <f>H3401-M3401</f>
        <v/>
      </c>
      <c r="O3401" t="inlineStr">
        <is>
          <t>Sim</t>
        </is>
      </c>
      <c r="P3401" t="inlineStr">
        <is>
          <t>2.350</t>
        </is>
      </c>
    </row>
    <row r="3402">
      <c r="A3402" s="24" t="n">
        <v>46174</v>
      </c>
      <c r="B3402" t="inlineStr">
        <is>
          <t>Frete de compra</t>
        </is>
      </c>
      <c r="C3402" t="inlineStr">
        <is>
          <t>Frete de compra</t>
        </is>
      </c>
      <c r="D3402" t="inlineStr">
        <is>
          <t>CT-e</t>
        </is>
      </c>
      <c r="E3402" t="inlineStr">
        <is>
          <t>000199268</t>
        </is>
      </c>
      <c r="F3402" t="inlineStr">
        <is>
          <t>ALIANCA NAVEGACAO E LOGISTICA LTDA</t>
        </is>
      </c>
      <c r="G3402" s="27" t="n">
        <v>46195</v>
      </c>
      <c r="H3402" s="14" t="n">
        <v>23543.85</v>
      </c>
      <c r="I3402" s="14" t="n">
        <v>0</v>
      </c>
      <c r="J3402" s="14" t="n">
        <v>1648.07</v>
      </c>
      <c r="K3402" s="14" t="n">
        <v>0</v>
      </c>
      <c r="L3402" s="14" t="n">
        <v>0</v>
      </c>
      <c r="M3402" s="14">
        <f>IF(B3402="Frete de venda",0,(1-ISNUMBER(SEARCH("556",P3402)))*(I3402*VLOOKUP($B3402,Premissas!$A$4:$E$7,2,0)+J3402*VLOOKUP($B3402,Premissas!$A$4:$E$7,3,0))+K3402*VLOOKUP($B3402,Premissas!$A$4:$E$7,4,0)+L3402*VLOOKUP($B3402,Premissas!$A$4:$E$7,5,0))</f>
        <v/>
      </c>
      <c r="N3402" s="14">
        <f>H3402-M3402</f>
        <v/>
      </c>
      <c r="O3402" t="inlineStr">
        <is>
          <t>Sim</t>
        </is>
      </c>
      <c r="P3402" t="inlineStr">
        <is>
          <t>2.350</t>
        </is>
      </c>
    </row>
    <row r="3403">
      <c r="A3403" s="24" t="n">
        <v>46174</v>
      </c>
      <c r="B3403" t="inlineStr">
        <is>
          <t>Frete de compra</t>
        </is>
      </c>
      <c r="C3403" t="inlineStr">
        <is>
          <t>Frete de compra</t>
        </is>
      </c>
      <c r="D3403" t="inlineStr">
        <is>
          <t>CT-e</t>
        </is>
      </c>
      <c r="E3403" t="inlineStr">
        <is>
          <t>000199293</t>
        </is>
      </c>
      <c r="F3403" t="inlineStr">
        <is>
          <t>ALIANCA NAVEGACAO E LOGISTICA LTDA</t>
        </is>
      </c>
      <c r="G3403" s="27" t="n">
        <v>46195</v>
      </c>
      <c r="H3403" s="14" t="n">
        <v>23542.89</v>
      </c>
      <c r="I3403" s="14" t="n">
        <v>0</v>
      </c>
      <c r="J3403" s="14" t="n">
        <v>1648</v>
      </c>
      <c r="K3403" s="14" t="n">
        <v>0</v>
      </c>
      <c r="L3403" s="14" t="n">
        <v>0</v>
      </c>
      <c r="M3403" s="14">
        <f>IF(B3403="Frete de venda",0,(1-ISNUMBER(SEARCH("556",P3403)))*(I3403*VLOOKUP($B3403,Premissas!$A$4:$E$7,2,0)+J3403*VLOOKUP($B3403,Premissas!$A$4:$E$7,3,0))+K3403*VLOOKUP($B3403,Premissas!$A$4:$E$7,4,0)+L3403*VLOOKUP($B3403,Premissas!$A$4:$E$7,5,0))</f>
        <v/>
      </c>
      <c r="N3403" s="14">
        <f>H3403-M3403</f>
        <v/>
      </c>
      <c r="O3403" t="inlineStr">
        <is>
          <t>Sim</t>
        </is>
      </c>
      <c r="P3403" t="inlineStr">
        <is>
          <t>2.350</t>
        </is>
      </c>
    </row>
    <row r="3404">
      <c r="A3404" s="24" t="n">
        <v>46174</v>
      </c>
      <c r="B3404" t="inlineStr">
        <is>
          <t>Frete de compra</t>
        </is>
      </c>
      <c r="C3404" t="inlineStr">
        <is>
          <t>Frete de compra</t>
        </is>
      </c>
      <c r="D3404" t="inlineStr">
        <is>
          <t>CT-e</t>
        </is>
      </c>
      <c r="E3404" t="inlineStr">
        <is>
          <t>000199299</t>
        </is>
      </c>
      <c r="F3404" t="inlineStr">
        <is>
          <t>ALIANCA NAVEGACAO E LOGISTICA LTDA</t>
        </is>
      </c>
      <c r="G3404" s="27" t="n">
        <v>46195</v>
      </c>
      <c r="H3404" s="14" t="n">
        <v>23545.13</v>
      </c>
      <c r="I3404" s="14" t="n">
        <v>0</v>
      </c>
      <c r="J3404" s="14" t="n">
        <v>1648.16</v>
      </c>
      <c r="K3404" s="14" t="n">
        <v>0</v>
      </c>
      <c r="L3404" s="14" t="n">
        <v>0</v>
      </c>
      <c r="M3404" s="14">
        <f>IF(B3404="Frete de venda",0,(1-ISNUMBER(SEARCH("556",P3404)))*(I3404*VLOOKUP($B3404,Premissas!$A$4:$E$7,2,0)+J3404*VLOOKUP($B3404,Premissas!$A$4:$E$7,3,0))+K3404*VLOOKUP($B3404,Premissas!$A$4:$E$7,4,0)+L3404*VLOOKUP($B3404,Premissas!$A$4:$E$7,5,0))</f>
        <v/>
      </c>
      <c r="N3404" s="14">
        <f>H3404-M3404</f>
        <v/>
      </c>
      <c r="O3404" t="inlineStr">
        <is>
          <t>Sim</t>
        </is>
      </c>
      <c r="P3404" t="inlineStr">
        <is>
          <t>2.350</t>
        </is>
      </c>
    </row>
    <row r="3405">
      <c r="A3405" s="24" t="n">
        <v>46174</v>
      </c>
      <c r="B3405" t="inlineStr">
        <is>
          <t>Frete de compra</t>
        </is>
      </c>
      <c r="C3405" t="inlineStr">
        <is>
          <t>Frete de compra</t>
        </is>
      </c>
      <c r="D3405" t="inlineStr">
        <is>
          <t>CT-e</t>
        </is>
      </c>
      <c r="E3405" t="inlineStr">
        <is>
          <t>000199362</t>
        </is>
      </c>
      <c r="F3405" t="inlineStr">
        <is>
          <t>ALIANCA NAVEGACAO E LOGISTICA LTDA</t>
        </is>
      </c>
      <c r="G3405" s="27" t="n">
        <v>46196</v>
      </c>
      <c r="H3405" s="14" t="n">
        <v>23541.62</v>
      </c>
      <c r="I3405" s="14" t="n">
        <v>0</v>
      </c>
      <c r="J3405" s="14" t="n">
        <v>1647.91</v>
      </c>
      <c r="K3405" s="14" t="n">
        <v>0</v>
      </c>
      <c r="L3405" s="14" t="n">
        <v>0</v>
      </c>
      <c r="M3405" s="14">
        <f>IF(B3405="Frete de venda",0,(1-ISNUMBER(SEARCH("556",P3405)))*(I3405*VLOOKUP($B3405,Premissas!$A$4:$E$7,2,0)+J3405*VLOOKUP($B3405,Premissas!$A$4:$E$7,3,0))+K3405*VLOOKUP($B3405,Premissas!$A$4:$E$7,4,0)+L3405*VLOOKUP($B3405,Premissas!$A$4:$E$7,5,0))</f>
        <v/>
      </c>
      <c r="N3405" s="14">
        <f>H3405-M3405</f>
        <v/>
      </c>
      <c r="O3405" t="inlineStr">
        <is>
          <t>Sim</t>
        </is>
      </c>
      <c r="P3405" t="inlineStr">
        <is>
          <t>2.350</t>
        </is>
      </c>
    </row>
    <row r="3406">
      <c r="A3406" s="24" t="n">
        <v>46174</v>
      </c>
      <c r="B3406" t="inlineStr">
        <is>
          <t>Frete de compra</t>
        </is>
      </c>
      <c r="C3406" t="inlineStr">
        <is>
          <t>Frete de compra</t>
        </is>
      </c>
      <c r="D3406" t="inlineStr">
        <is>
          <t>CT-e</t>
        </is>
      </c>
      <c r="E3406" t="inlineStr">
        <is>
          <t>000199382</t>
        </is>
      </c>
      <c r="F3406" t="inlineStr">
        <is>
          <t>ALIANCA NAVEGACAO E LOGISTICA LTDA</t>
        </is>
      </c>
      <c r="G3406" s="27" t="n">
        <v>46196</v>
      </c>
      <c r="H3406" s="14" t="n">
        <v>12079.68</v>
      </c>
      <c r="I3406" s="14" t="n">
        <v>0</v>
      </c>
      <c r="J3406" s="14" t="n">
        <v>845.58</v>
      </c>
      <c r="K3406" s="14" t="n">
        <v>0</v>
      </c>
      <c r="L3406" s="14" t="n">
        <v>0</v>
      </c>
      <c r="M3406" s="14">
        <f>IF(B3406="Frete de venda",0,(1-ISNUMBER(SEARCH("556",P3406)))*(I3406*VLOOKUP($B3406,Premissas!$A$4:$E$7,2,0)+J3406*VLOOKUP($B3406,Premissas!$A$4:$E$7,3,0))+K3406*VLOOKUP($B3406,Premissas!$A$4:$E$7,4,0)+L3406*VLOOKUP($B3406,Premissas!$A$4:$E$7,5,0))</f>
        <v/>
      </c>
      <c r="N3406" s="14">
        <f>H3406-M3406</f>
        <v/>
      </c>
      <c r="O3406" t="inlineStr">
        <is>
          <t>Sim</t>
        </is>
      </c>
      <c r="P3406" t="inlineStr">
        <is>
          <t>2.350</t>
        </is>
      </c>
    </row>
    <row r="3407">
      <c r="A3407" s="24" t="n">
        <v>46174</v>
      </c>
      <c r="B3407" t="inlineStr">
        <is>
          <t>Frete de compra</t>
        </is>
      </c>
      <c r="C3407" t="inlineStr">
        <is>
          <t>Frete de compra</t>
        </is>
      </c>
      <c r="D3407" t="inlineStr">
        <is>
          <t>CT-e</t>
        </is>
      </c>
      <c r="E3407" t="inlineStr">
        <is>
          <t>000199383</t>
        </is>
      </c>
      <c r="F3407" t="inlineStr">
        <is>
          <t>ALIANCA NAVEGACAO E LOGISTICA LTDA</t>
        </is>
      </c>
      <c r="G3407" s="27" t="n">
        <v>46196</v>
      </c>
      <c r="H3407" s="14" t="n">
        <v>12022.06</v>
      </c>
      <c r="I3407" s="14" t="n">
        <v>0</v>
      </c>
      <c r="J3407" s="14" t="n">
        <v>841.54</v>
      </c>
      <c r="K3407" s="14" t="n">
        <v>0</v>
      </c>
      <c r="L3407" s="14" t="n">
        <v>0</v>
      </c>
      <c r="M3407" s="14">
        <f>IF(B3407="Frete de venda",0,(1-ISNUMBER(SEARCH("556",P3407)))*(I3407*VLOOKUP($B3407,Premissas!$A$4:$E$7,2,0)+J3407*VLOOKUP($B3407,Premissas!$A$4:$E$7,3,0))+K3407*VLOOKUP($B3407,Premissas!$A$4:$E$7,4,0)+L3407*VLOOKUP($B3407,Premissas!$A$4:$E$7,5,0))</f>
        <v/>
      </c>
      <c r="N3407" s="14">
        <f>H3407-M3407</f>
        <v/>
      </c>
      <c r="O3407" t="inlineStr">
        <is>
          <t>Sim</t>
        </is>
      </c>
      <c r="P3407" t="inlineStr">
        <is>
          <t>2.350</t>
        </is>
      </c>
    </row>
    <row r="3408">
      <c r="A3408" s="24" t="n">
        <v>46174</v>
      </c>
      <c r="B3408" t="inlineStr">
        <is>
          <t>Frete de compra</t>
        </is>
      </c>
      <c r="C3408" t="inlineStr">
        <is>
          <t>Frete de compra</t>
        </is>
      </c>
      <c r="D3408" t="inlineStr">
        <is>
          <t>CT-e</t>
        </is>
      </c>
      <c r="E3408" t="inlineStr">
        <is>
          <t>000199418</t>
        </is>
      </c>
      <c r="F3408" t="inlineStr">
        <is>
          <t>ALIANCA NAVEGACAO E LOGISTICA LTDA</t>
        </is>
      </c>
      <c r="G3408" s="27" t="n">
        <v>46196</v>
      </c>
      <c r="H3408" s="14" t="n">
        <v>23545.66</v>
      </c>
      <c r="I3408" s="14" t="n">
        <v>0</v>
      </c>
      <c r="J3408" s="14" t="n">
        <v>1648.2</v>
      </c>
      <c r="K3408" s="14" t="n">
        <v>0</v>
      </c>
      <c r="L3408" s="14" t="n">
        <v>0</v>
      </c>
      <c r="M3408" s="14">
        <f>IF(B3408="Frete de venda",0,(1-ISNUMBER(SEARCH("556",P3408)))*(I3408*VLOOKUP($B3408,Premissas!$A$4:$E$7,2,0)+J3408*VLOOKUP($B3408,Premissas!$A$4:$E$7,3,0))+K3408*VLOOKUP($B3408,Premissas!$A$4:$E$7,4,0)+L3408*VLOOKUP($B3408,Premissas!$A$4:$E$7,5,0))</f>
        <v/>
      </c>
      <c r="N3408" s="14">
        <f>H3408-M3408</f>
        <v/>
      </c>
      <c r="O3408" t="inlineStr">
        <is>
          <t>Sim</t>
        </is>
      </c>
      <c r="P3408" t="inlineStr">
        <is>
          <t>2.350</t>
        </is>
      </c>
    </row>
    <row r="3409">
      <c r="A3409" s="24" t="n">
        <v>46174</v>
      </c>
      <c r="B3409" t="inlineStr">
        <is>
          <t>Frete de compra</t>
        </is>
      </c>
      <c r="C3409" t="inlineStr">
        <is>
          <t>Frete de compra</t>
        </is>
      </c>
      <c r="D3409" t="inlineStr">
        <is>
          <t>CT-e</t>
        </is>
      </c>
      <c r="E3409" t="inlineStr">
        <is>
          <t>000199513</t>
        </is>
      </c>
      <c r="F3409" t="inlineStr">
        <is>
          <t>ALIANCA NAVEGACAO E LOGISTICA LTDA</t>
        </is>
      </c>
      <c r="G3409" s="27" t="n">
        <v>46197</v>
      </c>
      <c r="H3409" s="14" t="n">
        <v>23537.84</v>
      </c>
      <c r="I3409" s="14" t="n">
        <v>0</v>
      </c>
      <c r="J3409" s="14" t="n">
        <v>1647.65</v>
      </c>
      <c r="K3409" s="14" t="n">
        <v>0</v>
      </c>
      <c r="L3409" s="14" t="n">
        <v>0</v>
      </c>
      <c r="M3409" s="14">
        <f>IF(B3409="Frete de venda",0,(1-ISNUMBER(SEARCH("556",P3409)))*(I3409*VLOOKUP($B3409,Premissas!$A$4:$E$7,2,0)+J3409*VLOOKUP($B3409,Premissas!$A$4:$E$7,3,0))+K3409*VLOOKUP($B3409,Premissas!$A$4:$E$7,4,0)+L3409*VLOOKUP($B3409,Premissas!$A$4:$E$7,5,0))</f>
        <v/>
      </c>
      <c r="N3409" s="14">
        <f>H3409-M3409</f>
        <v/>
      </c>
      <c r="O3409" t="inlineStr">
        <is>
          <t>Sim</t>
        </is>
      </c>
      <c r="P3409" t="inlineStr">
        <is>
          <t>2.350</t>
        </is>
      </c>
    </row>
    <row r="3410">
      <c r="A3410" s="24" t="n">
        <v>46174</v>
      </c>
      <c r="B3410" t="inlineStr">
        <is>
          <t>Frete de compra</t>
        </is>
      </c>
      <c r="C3410" t="inlineStr">
        <is>
          <t>Frete de compra</t>
        </is>
      </c>
      <c r="D3410" t="inlineStr">
        <is>
          <t>CT-e</t>
        </is>
      </c>
      <c r="E3410" t="inlineStr">
        <is>
          <t>000199515</t>
        </is>
      </c>
      <c r="F3410" t="inlineStr">
        <is>
          <t>ALIANCA NAVEGACAO E LOGISTICA LTDA</t>
        </is>
      </c>
      <c r="G3410" s="27" t="n">
        <v>46197</v>
      </c>
      <c r="H3410" s="14" t="n">
        <v>23544.89</v>
      </c>
      <c r="I3410" s="14" t="n">
        <v>0</v>
      </c>
      <c r="J3410" s="14" t="n">
        <v>1648.14</v>
      </c>
      <c r="K3410" s="14" t="n">
        <v>0</v>
      </c>
      <c r="L3410" s="14" t="n">
        <v>0</v>
      </c>
      <c r="M3410" s="14">
        <f>IF(B3410="Frete de venda",0,(1-ISNUMBER(SEARCH("556",P3410)))*(I3410*VLOOKUP($B3410,Premissas!$A$4:$E$7,2,0)+J3410*VLOOKUP($B3410,Premissas!$A$4:$E$7,3,0))+K3410*VLOOKUP($B3410,Premissas!$A$4:$E$7,4,0)+L3410*VLOOKUP($B3410,Premissas!$A$4:$E$7,5,0))</f>
        <v/>
      </c>
      <c r="N3410" s="14">
        <f>H3410-M3410</f>
        <v/>
      </c>
      <c r="O3410" t="inlineStr">
        <is>
          <t>Sim</t>
        </is>
      </c>
      <c r="P3410" t="inlineStr">
        <is>
          <t>2.350</t>
        </is>
      </c>
    </row>
    <row r="3411">
      <c r="A3411" s="24" t="n">
        <v>46174</v>
      </c>
      <c r="B3411" t="inlineStr">
        <is>
          <t>Frete de compra</t>
        </is>
      </c>
      <c r="C3411" t="inlineStr">
        <is>
          <t>Frete de compra</t>
        </is>
      </c>
      <c r="D3411" t="inlineStr">
        <is>
          <t>CT-e</t>
        </is>
      </c>
      <c r="E3411" t="inlineStr">
        <is>
          <t>000199608</t>
        </is>
      </c>
      <c r="F3411" t="inlineStr">
        <is>
          <t>ALIANCA NAVEGACAO E LOGISTICA LTDA</t>
        </is>
      </c>
      <c r="G3411" s="27" t="n">
        <v>46199</v>
      </c>
      <c r="H3411" s="14" t="n">
        <v>23546.12</v>
      </c>
      <c r="I3411" s="14" t="n">
        <v>0</v>
      </c>
      <c r="J3411" s="14" t="n">
        <v>1648.23</v>
      </c>
      <c r="K3411" s="14" t="n">
        <v>0</v>
      </c>
      <c r="L3411" s="14" t="n">
        <v>0</v>
      </c>
      <c r="M3411" s="14">
        <f>IF(B3411="Frete de venda",0,(1-ISNUMBER(SEARCH("556",P3411)))*(I3411*VLOOKUP($B3411,Premissas!$A$4:$E$7,2,0)+J3411*VLOOKUP($B3411,Premissas!$A$4:$E$7,3,0))+K3411*VLOOKUP($B3411,Premissas!$A$4:$E$7,4,0)+L3411*VLOOKUP($B3411,Premissas!$A$4:$E$7,5,0))</f>
        <v/>
      </c>
      <c r="N3411" s="14">
        <f>H3411-M3411</f>
        <v/>
      </c>
      <c r="O3411" t="inlineStr">
        <is>
          <t>Sim</t>
        </is>
      </c>
      <c r="P3411" t="inlineStr">
        <is>
          <t>2.350</t>
        </is>
      </c>
    </row>
    <row r="3412">
      <c r="A3412" s="24" t="n">
        <v>46174</v>
      </c>
      <c r="B3412" t="inlineStr">
        <is>
          <t>Frete de compra</t>
        </is>
      </c>
      <c r="C3412" t="inlineStr">
        <is>
          <t>Frete de compra</t>
        </is>
      </c>
      <c r="D3412" t="inlineStr">
        <is>
          <t>CT-e</t>
        </is>
      </c>
      <c r="E3412" t="inlineStr">
        <is>
          <t>000199748</t>
        </is>
      </c>
      <c r="F3412" t="inlineStr">
        <is>
          <t>ALIANCA NAVEGACAO E LOGISTICA LTDA</t>
        </is>
      </c>
      <c r="G3412" s="27" t="n">
        <v>46202</v>
      </c>
      <c r="H3412" s="14" t="n">
        <v>23539.31</v>
      </c>
      <c r="I3412" s="14" t="n">
        <v>0</v>
      </c>
      <c r="J3412" s="14" t="n">
        <v>1647.75</v>
      </c>
      <c r="K3412" s="14" t="n">
        <v>0</v>
      </c>
      <c r="L3412" s="14" t="n">
        <v>0</v>
      </c>
      <c r="M3412" s="14">
        <f>IF(B3412="Frete de venda",0,(1-ISNUMBER(SEARCH("556",P3412)))*(I3412*VLOOKUP($B3412,Premissas!$A$4:$E$7,2,0)+J3412*VLOOKUP($B3412,Premissas!$A$4:$E$7,3,0))+K3412*VLOOKUP($B3412,Premissas!$A$4:$E$7,4,0)+L3412*VLOOKUP($B3412,Premissas!$A$4:$E$7,5,0))</f>
        <v/>
      </c>
      <c r="N3412" s="14">
        <f>H3412-M3412</f>
        <v/>
      </c>
      <c r="O3412" t="inlineStr">
        <is>
          <t>Sim</t>
        </is>
      </c>
      <c r="P3412" t="inlineStr">
        <is>
          <t>2.350</t>
        </is>
      </c>
    </row>
    <row r="3413">
      <c r="A3413" s="24" t="n">
        <v>46174</v>
      </c>
      <c r="B3413" t="inlineStr">
        <is>
          <t>Frete de compra</t>
        </is>
      </c>
      <c r="C3413" t="inlineStr">
        <is>
          <t>Frete de compra</t>
        </is>
      </c>
      <c r="D3413" t="inlineStr">
        <is>
          <t>CT-e</t>
        </is>
      </c>
      <c r="E3413" t="inlineStr">
        <is>
          <t>000199749</t>
        </is>
      </c>
      <c r="F3413" t="inlineStr">
        <is>
          <t>ALIANCA NAVEGACAO E LOGISTICA LTDA</t>
        </is>
      </c>
      <c r="G3413" s="27" t="n">
        <v>46203</v>
      </c>
      <c r="H3413" s="14" t="n">
        <v>23544.08</v>
      </c>
      <c r="I3413" s="14" t="n">
        <v>0</v>
      </c>
      <c r="J3413" s="14" t="n">
        <v>1648.09</v>
      </c>
      <c r="K3413" s="14" t="n">
        <v>0</v>
      </c>
      <c r="L3413" s="14" t="n">
        <v>0</v>
      </c>
      <c r="M3413" s="14">
        <f>IF(B3413="Frete de venda",0,(1-ISNUMBER(SEARCH("556",P3413)))*(I3413*VLOOKUP($B3413,Premissas!$A$4:$E$7,2,0)+J3413*VLOOKUP($B3413,Premissas!$A$4:$E$7,3,0))+K3413*VLOOKUP($B3413,Premissas!$A$4:$E$7,4,0)+L3413*VLOOKUP($B3413,Premissas!$A$4:$E$7,5,0))</f>
        <v/>
      </c>
      <c r="N3413" s="14">
        <f>H3413-M3413</f>
        <v/>
      </c>
      <c r="O3413" t="inlineStr">
        <is>
          <t>Sim</t>
        </is>
      </c>
      <c r="P3413" t="inlineStr">
        <is>
          <t>2.350</t>
        </is>
      </c>
    </row>
    <row r="3414">
      <c r="A3414" s="24" t="n">
        <v>46174</v>
      </c>
      <c r="B3414" t="inlineStr">
        <is>
          <t>Frete de compra</t>
        </is>
      </c>
      <c r="C3414" t="inlineStr">
        <is>
          <t>Frete de compra</t>
        </is>
      </c>
      <c r="D3414" t="inlineStr">
        <is>
          <t>CT-e</t>
        </is>
      </c>
      <c r="E3414" t="inlineStr">
        <is>
          <t>000199755</t>
        </is>
      </c>
      <c r="F3414" t="inlineStr">
        <is>
          <t>ALIANCA NAVEGACAO E LOGISTICA LTDA</t>
        </is>
      </c>
      <c r="G3414" s="27" t="n">
        <v>46203</v>
      </c>
      <c r="H3414" s="14" t="n">
        <v>23547.25</v>
      </c>
      <c r="I3414" s="14" t="n">
        <v>0</v>
      </c>
      <c r="J3414" s="14" t="n">
        <v>1648.31</v>
      </c>
      <c r="K3414" s="14" t="n">
        <v>0</v>
      </c>
      <c r="L3414" s="14" t="n">
        <v>0</v>
      </c>
      <c r="M3414" s="14">
        <f>IF(B3414="Frete de venda",0,(1-ISNUMBER(SEARCH("556",P3414)))*(I3414*VLOOKUP($B3414,Premissas!$A$4:$E$7,2,0)+J3414*VLOOKUP($B3414,Premissas!$A$4:$E$7,3,0))+K3414*VLOOKUP($B3414,Premissas!$A$4:$E$7,4,0)+L3414*VLOOKUP($B3414,Premissas!$A$4:$E$7,5,0))</f>
        <v/>
      </c>
      <c r="N3414" s="14">
        <f>H3414-M3414</f>
        <v/>
      </c>
      <c r="O3414" t="inlineStr">
        <is>
          <t>Sim</t>
        </is>
      </c>
      <c r="P3414" t="inlineStr">
        <is>
          <t>2.350</t>
        </is>
      </c>
    </row>
    <row r="3415">
      <c r="A3415" s="24" t="n">
        <v>46174</v>
      </c>
      <c r="B3415" t="inlineStr">
        <is>
          <t>Frete de compra</t>
        </is>
      </c>
      <c r="C3415" t="inlineStr">
        <is>
          <t>Frete de compra</t>
        </is>
      </c>
      <c r="D3415" t="inlineStr">
        <is>
          <t>CT-e</t>
        </is>
      </c>
      <c r="E3415" t="inlineStr">
        <is>
          <t>000199794</t>
        </is>
      </c>
      <c r="F3415" t="inlineStr">
        <is>
          <t>ALIANCA NAVEGACAO E LOGISTICA LTDA</t>
        </is>
      </c>
      <c r="G3415" s="27" t="n">
        <v>46203</v>
      </c>
      <c r="H3415" s="14" t="n">
        <v>23551.46</v>
      </c>
      <c r="I3415" s="14" t="n">
        <v>0</v>
      </c>
      <c r="J3415" s="14" t="n">
        <v>1648.6</v>
      </c>
      <c r="K3415" s="14" t="n">
        <v>0</v>
      </c>
      <c r="L3415" s="14" t="n">
        <v>0</v>
      </c>
      <c r="M3415" s="14">
        <f>IF(B3415="Frete de venda",0,(1-ISNUMBER(SEARCH("556",P3415)))*(I3415*VLOOKUP($B3415,Premissas!$A$4:$E$7,2,0)+J3415*VLOOKUP($B3415,Premissas!$A$4:$E$7,3,0))+K3415*VLOOKUP($B3415,Premissas!$A$4:$E$7,4,0)+L3415*VLOOKUP($B3415,Premissas!$A$4:$E$7,5,0))</f>
        <v/>
      </c>
      <c r="N3415" s="14">
        <f>H3415-M3415</f>
        <v/>
      </c>
      <c r="O3415" t="inlineStr">
        <is>
          <t>Sim</t>
        </is>
      </c>
      <c r="P3415" t="inlineStr">
        <is>
          <t>2.350</t>
        </is>
      </c>
    </row>
    <row r="3416">
      <c r="A3416" s="24" t="n">
        <v>46174</v>
      </c>
      <c r="B3416" t="inlineStr">
        <is>
          <t>Frete de compra</t>
        </is>
      </c>
      <c r="C3416" t="inlineStr">
        <is>
          <t>Frete de compra</t>
        </is>
      </c>
      <c r="D3416" t="inlineStr">
        <is>
          <t>CT-e</t>
        </is>
      </c>
      <c r="E3416" t="inlineStr">
        <is>
          <t>000199796</t>
        </is>
      </c>
      <c r="F3416" t="inlineStr">
        <is>
          <t>ALIANCA NAVEGACAO E LOGISTICA LTDA</t>
        </is>
      </c>
      <c r="G3416" s="27" t="n">
        <v>46203</v>
      </c>
      <c r="H3416" s="14" t="n">
        <v>23543.33</v>
      </c>
      <c r="I3416" s="14" t="n">
        <v>0</v>
      </c>
      <c r="J3416" s="14" t="n">
        <v>1648.03</v>
      </c>
      <c r="K3416" s="14" t="n">
        <v>0</v>
      </c>
      <c r="L3416" s="14" t="n">
        <v>0</v>
      </c>
      <c r="M3416" s="14">
        <f>IF(B3416="Frete de venda",0,(1-ISNUMBER(SEARCH("556",P3416)))*(I3416*VLOOKUP($B3416,Premissas!$A$4:$E$7,2,0)+J3416*VLOOKUP($B3416,Premissas!$A$4:$E$7,3,0))+K3416*VLOOKUP($B3416,Premissas!$A$4:$E$7,4,0)+L3416*VLOOKUP($B3416,Premissas!$A$4:$E$7,5,0))</f>
        <v/>
      </c>
      <c r="N3416" s="14">
        <f>H3416-M3416</f>
        <v/>
      </c>
      <c r="O3416" t="inlineStr">
        <is>
          <t>Sim</t>
        </is>
      </c>
      <c r="P3416" t="inlineStr">
        <is>
          <t>2.350</t>
        </is>
      </c>
    </row>
    <row r="3417">
      <c r="A3417" s="24" t="n">
        <v>46174</v>
      </c>
      <c r="B3417" t="inlineStr">
        <is>
          <t>Frete de venda</t>
        </is>
      </c>
      <c r="C3417" t="inlineStr">
        <is>
          <t>Frete de venda (para clientes)</t>
        </is>
      </c>
      <c r="D3417" t="inlineStr">
        <is>
          <t>CT-e</t>
        </is>
      </c>
      <c r="E3417" t="inlineStr">
        <is>
          <t>000225183</t>
        </is>
      </c>
      <c r="F3417" t="inlineStr">
        <is>
          <t>CAZAN TRANSPORTES LTDA</t>
        </is>
      </c>
      <c r="G3417" s="27" t="n">
        <v>46196</v>
      </c>
      <c r="H3417" s="14" t="n">
        <v>145.91</v>
      </c>
      <c r="I3417" s="14" t="n">
        <v>0</v>
      </c>
      <c r="J3417" s="14" t="n">
        <v>10.21</v>
      </c>
      <c r="K3417" s="14" t="n">
        <v>0</v>
      </c>
      <c r="L3417" s="14" t="n">
        <v>0</v>
      </c>
      <c r="M3417" s="14">
        <f>IF(B3417="Frete de venda",0,(1-ISNUMBER(SEARCH("556",P3417)))*(I3417*VLOOKUP($B3417,Premissas!$A$4:$E$7,2,0)+J3417*VLOOKUP($B3417,Premissas!$A$4:$E$7,3,0))+K3417*VLOOKUP($B3417,Premissas!$A$4:$E$7,4,0)+L3417*VLOOKUP($B3417,Premissas!$A$4:$E$7,5,0))</f>
        <v/>
      </c>
      <c r="N3417" s="14">
        <f>H3417-M3417</f>
        <v/>
      </c>
      <c r="O3417" t="inlineStr">
        <is>
          <t>Sim</t>
        </is>
      </c>
      <c r="P3417" t="inlineStr">
        <is>
          <t>2.350</t>
        </is>
      </c>
    </row>
    <row r="3418">
      <c r="A3418" s="24" t="n">
        <v>46174</v>
      </c>
      <c r="B3418" t="inlineStr">
        <is>
          <t>Frete de venda</t>
        </is>
      </c>
      <c r="C3418" t="inlineStr">
        <is>
          <t>Frete de venda (para clientes)</t>
        </is>
      </c>
      <c r="D3418" t="inlineStr">
        <is>
          <t>CT-e</t>
        </is>
      </c>
      <c r="E3418" t="inlineStr">
        <is>
          <t>000049042</t>
        </is>
      </c>
      <c r="F3418" t="inlineStr">
        <is>
          <t>GLOBAL AIR CARGO LTDA</t>
        </is>
      </c>
      <c r="G3418" s="27" t="n">
        <v>46197</v>
      </c>
      <c r="H3418" s="14" t="n">
        <v>288.23</v>
      </c>
      <c r="I3418" s="14" t="n">
        <v>0</v>
      </c>
      <c r="J3418" s="14" t="n">
        <v>20.18</v>
      </c>
      <c r="K3418" s="14" t="n">
        <v>0</v>
      </c>
      <c r="L3418" s="14" t="n">
        <v>0</v>
      </c>
      <c r="M3418" s="14">
        <f>IF(B3418="Frete de venda",0,(1-ISNUMBER(SEARCH("556",P3418)))*(I3418*VLOOKUP($B3418,Premissas!$A$4:$E$7,2,0)+J3418*VLOOKUP($B3418,Premissas!$A$4:$E$7,3,0))+K3418*VLOOKUP($B3418,Premissas!$A$4:$E$7,4,0)+L3418*VLOOKUP($B3418,Premissas!$A$4:$E$7,5,0))</f>
        <v/>
      </c>
      <c r="N3418" s="14">
        <f>H3418-M3418</f>
        <v/>
      </c>
      <c r="O3418" t="inlineStr">
        <is>
          <t>Sim</t>
        </is>
      </c>
      <c r="P3418" t="inlineStr">
        <is>
          <t>2.350</t>
        </is>
      </c>
    </row>
    <row r="3419">
      <c r="A3419" s="24" t="n">
        <v>46174</v>
      </c>
      <c r="B3419" t="inlineStr">
        <is>
          <t>Frete de venda</t>
        </is>
      </c>
      <c r="C3419" t="inlineStr">
        <is>
          <t>Frete de venda (para clientes)</t>
        </is>
      </c>
      <c r="D3419" t="inlineStr">
        <is>
          <t>CT-e</t>
        </is>
      </c>
      <c r="E3419" t="inlineStr">
        <is>
          <t>000007387</t>
        </is>
      </c>
      <c r="F3419" t="inlineStr">
        <is>
          <t>R&amp;R TRANSPORTE E LOGISTICA</t>
        </is>
      </c>
      <c r="G3419" s="27" t="n">
        <v>46190</v>
      </c>
      <c r="H3419" s="14" t="n">
        <v>42.87</v>
      </c>
      <c r="I3419" s="14" t="n">
        <v>0</v>
      </c>
      <c r="J3419" s="14" t="n">
        <v>0</v>
      </c>
      <c r="K3419" s="14" t="n">
        <v>0</v>
      </c>
      <c r="L3419" s="14" t="n">
        <v>0</v>
      </c>
      <c r="M3419" s="14">
        <f>IF(B3419="Frete de venda",0,(1-ISNUMBER(SEARCH("556",P3419)))*(I3419*VLOOKUP($B3419,Premissas!$A$4:$E$7,2,0)+J3419*VLOOKUP($B3419,Premissas!$A$4:$E$7,3,0))+K3419*VLOOKUP($B3419,Premissas!$A$4:$E$7,4,0)+L3419*VLOOKUP($B3419,Premissas!$A$4:$E$7,5,0))</f>
        <v/>
      </c>
      <c r="N3419" s="14">
        <f>H3419-M3419</f>
        <v/>
      </c>
      <c r="O3419" t="inlineStr">
        <is>
          <t>Não</t>
        </is>
      </c>
      <c r="P3419" t="inlineStr">
        <is>
          <t>1.350</t>
        </is>
      </c>
    </row>
    <row r="3420">
      <c r="A3420" s="24" t="n">
        <v>46174</v>
      </c>
      <c r="B3420" t="inlineStr">
        <is>
          <t>Frete de venda</t>
        </is>
      </c>
      <c r="C3420" t="inlineStr">
        <is>
          <t>Frete de venda (para clientes)</t>
        </is>
      </c>
      <c r="D3420" t="inlineStr">
        <is>
          <t>CT-e</t>
        </is>
      </c>
      <c r="E3420" t="inlineStr">
        <is>
          <t>000007463</t>
        </is>
      </c>
      <c r="F3420" t="inlineStr">
        <is>
          <t>R&amp;R TRANSPORTE E LOGISTICA</t>
        </is>
      </c>
      <c r="G3420" s="27" t="n">
        <v>46198</v>
      </c>
      <c r="H3420" s="14" t="n">
        <v>40.75</v>
      </c>
      <c r="I3420" s="14" t="n">
        <v>0</v>
      </c>
      <c r="J3420" s="14" t="n">
        <v>0</v>
      </c>
      <c r="K3420" s="14" t="n">
        <v>0</v>
      </c>
      <c r="L3420" s="14" t="n">
        <v>0</v>
      </c>
      <c r="M3420" s="14">
        <f>IF(B3420="Frete de venda",0,(1-ISNUMBER(SEARCH("556",P3420)))*(I3420*VLOOKUP($B3420,Premissas!$A$4:$E$7,2,0)+J3420*VLOOKUP($B3420,Premissas!$A$4:$E$7,3,0))+K3420*VLOOKUP($B3420,Premissas!$A$4:$E$7,4,0)+L3420*VLOOKUP($B3420,Premissas!$A$4:$E$7,5,0))</f>
        <v/>
      </c>
      <c r="N3420" s="14">
        <f>H3420-M3420</f>
        <v/>
      </c>
      <c r="O3420" t="inlineStr">
        <is>
          <t>Não</t>
        </is>
      </c>
      <c r="P3420" t="inlineStr">
        <is>
          <t>1.350</t>
        </is>
      </c>
    </row>
    <row r="3421">
      <c r="A3421" s="24" t="n">
        <v>46174</v>
      </c>
      <c r="B3421" t="inlineStr">
        <is>
          <t>Frete de venda</t>
        </is>
      </c>
      <c r="C3421" t="inlineStr">
        <is>
          <t>Frete de venda (para clientes)</t>
        </is>
      </c>
      <c r="D3421" t="inlineStr">
        <is>
          <t>CT-e</t>
        </is>
      </c>
      <c r="E3421" t="inlineStr">
        <is>
          <t>000007321</t>
        </is>
      </c>
      <c r="F3421" t="inlineStr">
        <is>
          <t>R&amp;R TRANSPORTE E LOGISTICA</t>
        </is>
      </c>
      <c r="G3421" s="27" t="n">
        <v>46186</v>
      </c>
      <c r="H3421" s="14" t="n">
        <v>16.79</v>
      </c>
      <c r="I3421" s="14" t="n">
        <v>0</v>
      </c>
      <c r="J3421" s="14" t="n">
        <v>0</v>
      </c>
      <c r="K3421" s="14" t="n">
        <v>0</v>
      </c>
      <c r="L3421" s="14" t="n">
        <v>0</v>
      </c>
      <c r="M3421" s="14">
        <f>IF(B3421="Frete de venda",0,(1-ISNUMBER(SEARCH("556",P3421)))*(I3421*VLOOKUP($B3421,Premissas!$A$4:$E$7,2,0)+J3421*VLOOKUP($B3421,Premissas!$A$4:$E$7,3,0))+K3421*VLOOKUP($B3421,Premissas!$A$4:$E$7,4,0)+L3421*VLOOKUP($B3421,Premissas!$A$4:$E$7,5,0))</f>
        <v/>
      </c>
      <c r="N3421" s="14">
        <f>H3421-M3421</f>
        <v/>
      </c>
      <c r="O3421" t="inlineStr">
        <is>
          <t>Não</t>
        </is>
      </c>
      <c r="P3421" t="inlineStr">
        <is>
          <t>1.350</t>
        </is>
      </c>
    </row>
    <row r="3422">
      <c r="A3422" s="24" t="n">
        <v>46174</v>
      </c>
      <c r="B3422" t="inlineStr">
        <is>
          <t>Frete de venda</t>
        </is>
      </c>
      <c r="C3422" t="inlineStr">
        <is>
          <t>Frete de venda (para clientes)</t>
        </is>
      </c>
      <c r="D3422" t="inlineStr">
        <is>
          <t>CT-e</t>
        </is>
      </c>
      <c r="E3422" t="inlineStr">
        <is>
          <t>000007302</t>
        </is>
      </c>
      <c r="F3422" t="inlineStr">
        <is>
          <t>R&amp;R TRANSPORTE E LOGISTICA</t>
        </is>
      </c>
      <c r="G3422" s="27" t="n">
        <v>46184</v>
      </c>
      <c r="H3422" s="14" t="n">
        <v>32.05</v>
      </c>
      <c r="I3422" s="14" t="n">
        <v>0</v>
      </c>
      <c r="J3422" s="14" t="n">
        <v>0</v>
      </c>
      <c r="K3422" s="14" t="n">
        <v>0</v>
      </c>
      <c r="L3422" s="14" t="n">
        <v>0</v>
      </c>
      <c r="M3422" s="14">
        <f>IF(B3422="Frete de venda",0,(1-ISNUMBER(SEARCH("556",P3422)))*(I3422*VLOOKUP($B3422,Premissas!$A$4:$E$7,2,0)+J3422*VLOOKUP($B3422,Premissas!$A$4:$E$7,3,0))+K3422*VLOOKUP($B3422,Premissas!$A$4:$E$7,4,0)+L3422*VLOOKUP($B3422,Premissas!$A$4:$E$7,5,0))</f>
        <v/>
      </c>
      <c r="N3422" s="14">
        <f>H3422-M3422</f>
        <v/>
      </c>
      <c r="O3422" t="inlineStr">
        <is>
          <t>Não</t>
        </is>
      </c>
      <c r="P3422" t="inlineStr">
        <is>
          <t>1.350</t>
        </is>
      </c>
    </row>
    <row r="3423">
      <c r="A3423" s="24" t="n">
        <v>46174</v>
      </c>
      <c r="B3423" t="inlineStr">
        <is>
          <t>Frete de venda</t>
        </is>
      </c>
      <c r="C3423" t="inlineStr">
        <is>
          <t>Frete de venda (para clientes)</t>
        </is>
      </c>
      <c r="D3423" t="inlineStr">
        <is>
          <t>CT-e</t>
        </is>
      </c>
      <c r="E3423" t="inlineStr">
        <is>
          <t>000000692</t>
        </is>
      </c>
      <c r="F3423" t="inlineStr">
        <is>
          <t>REIMAG - REINALDO DOMINGUES BARROS DA SILVA</t>
        </is>
      </c>
      <c r="G3423" s="27" t="n">
        <v>46182</v>
      </c>
      <c r="H3423" s="14" t="n">
        <v>275</v>
      </c>
      <c r="I3423" s="14" t="n">
        <v>0</v>
      </c>
      <c r="J3423" s="14" t="n">
        <v>0</v>
      </c>
      <c r="K3423" s="14" t="n">
        <v>0</v>
      </c>
      <c r="L3423" s="14" t="n">
        <v>0</v>
      </c>
      <c r="M3423" s="14">
        <f>IF(B3423="Frete de venda",0,(1-ISNUMBER(SEARCH("556",P3423)))*(I3423*VLOOKUP($B3423,Premissas!$A$4:$E$7,2,0)+J3423*VLOOKUP($B3423,Premissas!$A$4:$E$7,3,0))+K3423*VLOOKUP($B3423,Premissas!$A$4:$E$7,4,0)+L3423*VLOOKUP($B3423,Premissas!$A$4:$E$7,5,0))</f>
        <v/>
      </c>
      <c r="N3423" s="14">
        <f>H3423-M3423</f>
        <v/>
      </c>
      <c r="O3423" t="inlineStr">
        <is>
          <t>Sim</t>
        </is>
      </c>
      <c r="P3423" t="inlineStr">
        <is>
          <t>1.350</t>
        </is>
      </c>
    </row>
    <row r="3424">
      <c r="A3424" s="24" t="n">
        <v>46174</v>
      </c>
      <c r="B3424" t="inlineStr">
        <is>
          <t>Frete de venda</t>
        </is>
      </c>
      <c r="C3424" t="inlineStr">
        <is>
          <t>Frete de venda (para clientes)</t>
        </is>
      </c>
      <c r="D3424" t="inlineStr">
        <is>
          <t>CT-e</t>
        </is>
      </c>
      <c r="E3424" t="inlineStr">
        <is>
          <t>000007245</t>
        </is>
      </c>
      <c r="F3424" t="inlineStr">
        <is>
          <t>R&amp;R TRANSPORTE E LOGISTICA</t>
        </is>
      </c>
      <c r="G3424" s="27" t="n">
        <v>46174</v>
      </c>
      <c r="H3424" s="14" t="n">
        <v>43</v>
      </c>
      <c r="I3424" s="14" t="n">
        <v>0</v>
      </c>
      <c r="J3424" s="14" t="n">
        <v>0</v>
      </c>
      <c r="K3424" s="14" t="n">
        <v>0</v>
      </c>
      <c r="L3424" s="14" t="n">
        <v>0</v>
      </c>
      <c r="M3424" s="14">
        <f>IF(B3424="Frete de venda",0,(1-ISNUMBER(SEARCH("556",P3424)))*(I3424*VLOOKUP($B3424,Premissas!$A$4:$E$7,2,0)+J3424*VLOOKUP($B3424,Premissas!$A$4:$E$7,3,0))+K3424*VLOOKUP($B3424,Premissas!$A$4:$E$7,4,0)+L3424*VLOOKUP($B3424,Premissas!$A$4:$E$7,5,0))</f>
        <v/>
      </c>
      <c r="N3424" s="14">
        <f>H3424-M3424</f>
        <v/>
      </c>
      <c r="O3424" t="inlineStr">
        <is>
          <t>Não</t>
        </is>
      </c>
      <c r="P3424" t="inlineStr">
        <is>
          <t>2.350</t>
        </is>
      </c>
    </row>
    <row r="3425">
      <c r="A3425" s="24" t="n">
        <v>46174</v>
      </c>
      <c r="B3425" t="inlineStr">
        <is>
          <t>Frete de venda</t>
        </is>
      </c>
      <c r="C3425" t="inlineStr">
        <is>
          <t>Frete de venda (para clientes)</t>
        </is>
      </c>
      <c r="D3425" t="inlineStr">
        <is>
          <t>CT-e</t>
        </is>
      </c>
      <c r="E3425" t="inlineStr">
        <is>
          <t>000024791</t>
        </is>
      </c>
      <c r="F3425" t="inlineStr">
        <is>
          <t>TRANSPORTE OLIVEIRA E MELLOI - IDEALIZA TRANSPORTES</t>
        </is>
      </c>
      <c r="G3425" s="27" t="n">
        <v>46185</v>
      </c>
      <c r="H3425" s="14" t="n">
        <v>1017.08</v>
      </c>
      <c r="I3425" s="14" t="n">
        <v>0</v>
      </c>
      <c r="J3425" s="14" t="n">
        <v>122.05</v>
      </c>
      <c r="K3425" s="14" t="n">
        <v>0</v>
      </c>
      <c r="L3425" s="14" t="n">
        <v>0</v>
      </c>
      <c r="M3425" s="14">
        <f>IF(B3425="Frete de venda",0,(1-ISNUMBER(SEARCH("556",P3425)))*(I3425*VLOOKUP($B3425,Premissas!$A$4:$E$7,2,0)+J3425*VLOOKUP($B3425,Premissas!$A$4:$E$7,3,0))+K3425*VLOOKUP($B3425,Premissas!$A$4:$E$7,4,0)+L3425*VLOOKUP($B3425,Premissas!$A$4:$E$7,5,0))</f>
        <v/>
      </c>
      <c r="N3425" s="14">
        <f>H3425-M3425</f>
        <v/>
      </c>
      <c r="O3425" t="inlineStr">
        <is>
          <t>Sim</t>
        </is>
      </c>
      <c r="P3425" t="inlineStr">
        <is>
          <t>1.350</t>
        </is>
      </c>
    </row>
    <row r="3426">
      <c r="A3426" s="24" t="n">
        <v>46174</v>
      </c>
      <c r="B3426" t="inlineStr">
        <is>
          <t>Frete de venda</t>
        </is>
      </c>
      <c r="C3426" t="inlineStr">
        <is>
          <t>Frete de venda (para clientes)</t>
        </is>
      </c>
      <c r="D3426" t="inlineStr">
        <is>
          <t>CT-e</t>
        </is>
      </c>
      <c r="E3426" t="inlineStr">
        <is>
          <t>000007291</t>
        </is>
      </c>
      <c r="F3426" t="inlineStr">
        <is>
          <t>R&amp;R TRANSPORTE E LOGISTICA</t>
        </is>
      </c>
      <c r="G3426" s="27" t="n">
        <v>46184</v>
      </c>
      <c r="H3426" s="14" t="n">
        <v>750</v>
      </c>
      <c r="I3426" s="14" t="n">
        <v>0</v>
      </c>
      <c r="J3426" s="14" t="n">
        <v>0</v>
      </c>
      <c r="K3426" s="14" t="n">
        <v>0</v>
      </c>
      <c r="L3426" s="14" t="n">
        <v>0</v>
      </c>
      <c r="M3426" s="14">
        <f>IF(B3426="Frete de venda",0,(1-ISNUMBER(SEARCH("556",P3426)))*(I3426*VLOOKUP($B3426,Premissas!$A$4:$E$7,2,0)+J3426*VLOOKUP($B3426,Premissas!$A$4:$E$7,3,0))+K3426*VLOOKUP($B3426,Premissas!$A$4:$E$7,4,0)+L3426*VLOOKUP($B3426,Premissas!$A$4:$E$7,5,0))</f>
        <v/>
      </c>
      <c r="N3426" s="14">
        <f>H3426-M3426</f>
        <v/>
      </c>
      <c r="O3426" t="inlineStr">
        <is>
          <t>Não</t>
        </is>
      </c>
      <c r="P3426" t="inlineStr">
        <is>
          <t>1.350</t>
        </is>
      </c>
    </row>
    <row r="3427">
      <c r="A3427" s="24" t="n">
        <v>46174</v>
      </c>
      <c r="B3427" t="inlineStr">
        <is>
          <t>Frete de venda</t>
        </is>
      </c>
      <c r="C3427" t="inlineStr">
        <is>
          <t>Frete de venda (para clientes)</t>
        </is>
      </c>
      <c r="D3427" t="inlineStr">
        <is>
          <t>CT-e</t>
        </is>
      </c>
      <c r="E3427" t="inlineStr">
        <is>
          <t>000007382</t>
        </is>
      </c>
      <c r="F3427" t="inlineStr">
        <is>
          <t>R&amp;R TRANSPORTE E LOGISTICA</t>
        </is>
      </c>
      <c r="G3427" s="27" t="n">
        <v>46190</v>
      </c>
      <c r="H3427" s="14" t="n">
        <v>39.48</v>
      </c>
      <c r="I3427" s="14" t="n">
        <v>0</v>
      </c>
      <c r="J3427" s="14" t="n">
        <v>0</v>
      </c>
      <c r="K3427" s="14" t="n">
        <v>0</v>
      </c>
      <c r="L3427" s="14" t="n">
        <v>0</v>
      </c>
      <c r="M3427" s="14">
        <f>IF(B3427="Frete de venda",0,(1-ISNUMBER(SEARCH("556",P3427)))*(I3427*VLOOKUP($B3427,Premissas!$A$4:$E$7,2,0)+J3427*VLOOKUP($B3427,Premissas!$A$4:$E$7,3,0))+K3427*VLOOKUP($B3427,Premissas!$A$4:$E$7,4,0)+L3427*VLOOKUP($B3427,Premissas!$A$4:$E$7,5,0))</f>
        <v/>
      </c>
      <c r="N3427" s="14">
        <f>H3427-M3427</f>
        <v/>
      </c>
      <c r="O3427" t="inlineStr">
        <is>
          <t>Não</t>
        </is>
      </c>
      <c r="P3427" t="inlineStr">
        <is>
          <t>1.350</t>
        </is>
      </c>
    </row>
    <row r="3428">
      <c r="A3428" s="24" t="n">
        <v>46174</v>
      </c>
      <c r="B3428" t="inlineStr">
        <is>
          <t>Frete de venda</t>
        </is>
      </c>
      <c r="C3428" t="inlineStr">
        <is>
          <t>Frete de venda (para clientes)</t>
        </is>
      </c>
      <c r="D3428" t="inlineStr">
        <is>
          <t>CT-e</t>
        </is>
      </c>
      <c r="E3428" t="inlineStr">
        <is>
          <t>000007343</t>
        </is>
      </c>
      <c r="F3428" t="inlineStr">
        <is>
          <t>R&amp;R TRANSPORTE E LOGISTICA</t>
        </is>
      </c>
      <c r="G3428" s="27" t="n">
        <v>46186</v>
      </c>
      <c r="H3428" s="14" t="n">
        <v>540</v>
      </c>
      <c r="I3428" s="14" t="n">
        <v>0</v>
      </c>
      <c r="J3428" s="14" t="n">
        <v>0</v>
      </c>
      <c r="K3428" s="14" t="n">
        <v>0</v>
      </c>
      <c r="L3428" s="14" t="n">
        <v>0</v>
      </c>
      <c r="M3428" s="14">
        <f>IF(B3428="Frete de venda",0,(1-ISNUMBER(SEARCH("556",P3428)))*(I3428*VLOOKUP($B3428,Premissas!$A$4:$E$7,2,0)+J3428*VLOOKUP($B3428,Premissas!$A$4:$E$7,3,0))+K3428*VLOOKUP($B3428,Premissas!$A$4:$E$7,4,0)+L3428*VLOOKUP($B3428,Premissas!$A$4:$E$7,5,0))</f>
        <v/>
      </c>
      <c r="N3428" s="14">
        <f>H3428-M3428</f>
        <v/>
      </c>
      <c r="O3428" t="inlineStr">
        <is>
          <t>Não</t>
        </is>
      </c>
      <c r="P3428" t="inlineStr">
        <is>
          <t>1.350</t>
        </is>
      </c>
    </row>
    <row r="3429">
      <c r="A3429" s="24" t="n">
        <v>46174</v>
      </c>
      <c r="B3429" t="inlineStr">
        <is>
          <t>Frete de venda</t>
        </is>
      </c>
      <c r="C3429" t="inlineStr">
        <is>
          <t>Frete de venda (para clientes)</t>
        </is>
      </c>
      <c r="D3429" t="inlineStr">
        <is>
          <t>CT-e</t>
        </is>
      </c>
      <c r="E3429" t="inlineStr">
        <is>
          <t>000007341</t>
        </is>
      </c>
      <c r="F3429" t="inlineStr">
        <is>
          <t>R&amp;R TRANSPORTE E LOGISTICA</t>
        </is>
      </c>
      <c r="G3429" s="27" t="n">
        <v>46186</v>
      </c>
      <c r="H3429" s="14" t="n">
        <v>540</v>
      </c>
      <c r="I3429" s="14" t="n">
        <v>0</v>
      </c>
      <c r="J3429" s="14" t="n">
        <v>0</v>
      </c>
      <c r="K3429" s="14" t="n">
        <v>0</v>
      </c>
      <c r="L3429" s="14" t="n">
        <v>0</v>
      </c>
      <c r="M3429" s="14">
        <f>IF(B3429="Frete de venda",0,(1-ISNUMBER(SEARCH("556",P3429)))*(I3429*VLOOKUP($B3429,Premissas!$A$4:$E$7,2,0)+J3429*VLOOKUP($B3429,Premissas!$A$4:$E$7,3,0))+K3429*VLOOKUP($B3429,Premissas!$A$4:$E$7,4,0)+L3429*VLOOKUP($B3429,Premissas!$A$4:$E$7,5,0))</f>
        <v/>
      </c>
      <c r="N3429" s="14">
        <f>H3429-M3429</f>
        <v/>
      </c>
      <c r="O3429" t="inlineStr">
        <is>
          <t>Não</t>
        </is>
      </c>
      <c r="P3429" t="inlineStr">
        <is>
          <t>1.350</t>
        </is>
      </c>
    </row>
    <row r="3430">
      <c r="A3430" s="24" t="n">
        <v>46174</v>
      </c>
      <c r="B3430" t="inlineStr">
        <is>
          <t>Frete de venda</t>
        </is>
      </c>
      <c r="C3430" t="inlineStr">
        <is>
          <t>Frete de venda (para clientes)</t>
        </is>
      </c>
      <c r="D3430" t="inlineStr">
        <is>
          <t>CT-e</t>
        </is>
      </c>
      <c r="E3430" t="inlineStr">
        <is>
          <t>000007342</t>
        </is>
      </c>
      <c r="F3430" t="inlineStr">
        <is>
          <t>R&amp;R TRANSPORTE E LOGISTICA</t>
        </is>
      </c>
      <c r="G3430" s="27" t="n">
        <v>46186</v>
      </c>
      <c r="H3430" s="14" t="n">
        <v>540</v>
      </c>
      <c r="I3430" s="14" t="n">
        <v>0</v>
      </c>
      <c r="J3430" s="14" t="n">
        <v>0</v>
      </c>
      <c r="K3430" s="14" t="n">
        <v>0</v>
      </c>
      <c r="L3430" s="14" t="n">
        <v>0</v>
      </c>
      <c r="M3430" s="14">
        <f>IF(B3430="Frete de venda",0,(1-ISNUMBER(SEARCH("556",P3430)))*(I3430*VLOOKUP($B3430,Premissas!$A$4:$E$7,2,0)+J3430*VLOOKUP($B3430,Premissas!$A$4:$E$7,3,0))+K3430*VLOOKUP($B3430,Premissas!$A$4:$E$7,4,0)+L3430*VLOOKUP($B3430,Premissas!$A$4:$E$7,5,0))</f>
        <v/>
      </c>
      <c r="N3430" s="14">
        <f>H3430-M3430</f>
        <v/>
      </c>
      <c r="O3430" t="inlineStr">
        <is>
          <t>Não</t>
        </is>
      </c>
      <c r="P3430" t="inlineStr">
        <is>
          <t>1.350</t>
        </is>
      </c>
    </row>
    <row r="3431">
      <c r="A3431" s="24" t="n">
        <v>46174</v>
      </c>
      <c r="B3431" t="inlineStr">
        <is>
          <t>Frete de venda</t>
        </is>
      </c>
      <c r="C3431" t="inlineStr">
        <is>
          <t>Frete de venda (para clientes)</t>
        </is>
      </c>
      <c r="D3431" t="inlineStr">
        <is>
          <t>CT-e</t>
        </is>
      </c>
      <c r="E3431" t="inlineStr">
        <is>
          <t>000007451</t>
        </is>
      </c>
      <c r="F3431" t="inlineStr">
        <is>
          <t>R&amp;R TRANSPORTE E LOGISTICA</t>
        </is>
      </c>
      <c r="G3431" s="27" t="n">
        <v>46196</v>
      </c>
      <c r="H3431" s="14" t="n">
        <v>200</v>
      </c>
      <c r="I3431" s="14" t="n">
        <v>0</v>
      </c>
      <c r="J3431" s="14" t="n">
        <v>0</v>
      </c>
      <c r="K3431" s="14" t="n">
        <v>0</v>
      </c>
      <c r="L3431" s="14" t="n">
        <v>0</v>
      </c>
      <c r="M3431" s="14">
        <f>IF(B3431="Frete de venda",0,(1-ISNUMBER(SEARCH("556",P3431)))*(I3431*VLOOKUP($B3431,Premissas!$A$4:$E$7,2,0)+J3431*VLOOKUP($B3431,Premissas!$A$4:$E$7,3,0))+K3431*VLOOKUP($B3431,Premissas!$A$4:$E$7,4,0)+L3431*VLOOKUP($B3431,Premissas!$A$4:$E$7,5,0))</f>
        <v/>
      </c>
      <c r="N3431" s="14">
        <f>H3431-M3431</f>
        <v/>
      </c>
      <c r="O3431" t="inlineStr">
        <is>
          <t>Não</t>
        </is>
      </c>
      <c r="P3431" t="inlineStr">
        <is>
          <t>1.350</t>
        </is>
      </c>
    </row>
    <row r="3432">
      <c r="A3432" s="24" t="n">
        <v>46174</v>
      </c>
      <c r="B3432" t="inlineStr">
        <is>
          <t>Frete de venda</t>
        </is>
      </c>
      <c r="C3432" t="inlineStr">
        <is>
          <t>Frete de venda (para clientes)</t>
        </is>
      </c>
      <c r="D3432" t="inlineStr">
        <is>
          <t>CT-e</t>
        </is>
      </c>
      <c r="E3432" t="inlineStr">
        <is>
          <t>000007407</t>
        </is>
      </c>
      <c r="F3432" t="inlineStr">
        <is>
          <t>R&amp;R TRANSPORTE E LOGISTICA</t>
        </is>
      </c>
      <c r="G3432" s="27" t="n">
        <v>46192</v>
      </c>
      <c r="H3432" s="14" t="n">
        <v>56.61</v>
      </c>
      <c r="I3432" s="14" t="n">
        <v>0</v>
      </c>
      <c r="J3432" s="14" t="n">
        <v>0</v>
      </c>
      <c r="K3432" s="14" t="n">
        <v>0</v>
      </c>
      <c r="L3432" s="14" t="n">
        <v>0</v>
      </c>
      <c r="M3432" s="14">
        <f>IF(B3432="Frete de venda",0,(1-ISNUMBER(SEARCH("556",P3432)))*(I3432*VLOOKUP($B3432,Premissas!$A$4:$E$7,2,0)+J3432*VLOOKUP($B3432,Premissas!$A$4:$E$7,3,0))+K3432*VLOOKUP($B3432,Premissas!$A$4:$E$7,4,0)+L3432*VLOOKUP($B3432,Premissas!$A$4:$E$7,5,0))</f>
        <v/>
      </c>
      <c r="N3432" s="14">
        <f>H3432-M3432</f>
        <v/>
      </c>
      <c r="O3432" t="inlineStr">
        <is>
          <t>Não</t>
        </is>
      </c>
      <c r="P3432" t="inlineStr">
        <is>
          <t>1.350</t>
        </is>
      </c>
    </row>
    <row r="3433">
      <c r="A3433" s="24" t="n">
        <v>46174</v>
      </c>
      <c r="B3433" t="inlineStr">
        <is>
          <t>Frete de venda</t>
        </is>
      </c>
      <c r="C3433" t="inlineStr">
        <is>
          <t>Frete de venda (para clientes)</t>
        </is>
      </c>
      <c r="D3433" t="inlineStr">
        <is>
          <t>CT-e</t>
        </is>
      </c>
      <c r="E3433" t="inlineStr">
        <is>
          <t>000007293</t>
        </is>
      </c>
      <c r="F3433" t="inlineStr">
        <is>
          <t>R&amp;R TRANSPORTE E LOGISTICA</t>
        </is>
      </c>
      <c r="G3433" s="27" t="n">
        <v>46184</v>
      </c>
      <c r="H3433" s="14" t="n">
        <v>29.65</v>
      </c>
      <c r="I3433" s="14" t="n">
        <v>0</v>
      </c>
      <c r="J3433" s="14" t="n">
        <v>0</v>
      </c>
      <c r="K3433" s="14" t="n">
        <v>0</v>
      </c>
      <c r="L3433" s="14" t="n">
        <v>0</v>
      </c>
      <c r="M3433" s="14">
        <f>IF(B3433="Frete de venda",0,(1-ISNUMBER(SEARCH("556",P3433)))*(I3433*VLOOKUP($B3433,Premissas!$A$4:$E$7,2,0)+J3433*VLOOKUP($B3433,Premissas!$A$4:$E$7,3,0))+K3433*VLOOKUP($B3433,Premissas!$A$4:$E$7,4,0)+L3433*VLOOKUP($B3433,Premissas!$A$4:$E$7,5,0))</f>
        <v/>
      </c>
      <c r="N3433" s="14">
        <f>H3433-M3433</f>
        <v/>
      </c>
      <c r="O3433" t="inlineStr">
        <is>
          <t>Não</t>
        </is>
      </c>
      <c r="P3433" t="inlineStr">
        <is>
          <t>1.350</t>
        </is>
      </c>
    </row>
    <row r="3434">
      <c r="A3434" s="24" t="n">
        <v>46174</v>
      </c>
      <c r="B3434" t="inlineStr">
        <is>
          <t>Frete de venda</t>
        </is>
      </c>
      <c r="C3434" t="inlineStr">
        <is>
          <t>Frete de venda (para clientes)</t>
        </is>
      </c>
      <c r="D3434" t="inlineStr">
        <is>
          <t>CT-e</t>
        </is>
      </c>
      <c r="E3434" t="inlineStr">
        <is>
          <t>000007325</t>
        </is>
      </c>
      <c r="F3434" t="inlineStr">
        <is>
          <t>R&amp;R TRANSPORTE E LOGISTICA</t>
        </is>
      </c>
      <c r="G3434" s="27" t="n">
        <v>46186</v>
      </c>
      <c r="H3434" s="14" t="n">
        <v>19.7</v>
      </c>
      <c r="I3434" s="14" t="n">
        <v>0</v>
      </c>
      <c r="J3434" s="14" t="n">
        <v>0</v>
      </c>
      <c r="K3434" s="14" t="n">
        <v>0</v>
      </c>
      <c r="L3434" s="14" t="n">
        <v>0</v>
      </c>
      <c r="M3434" s="14">
        <f>IF(B3434="Frete de venda",0,(1-ISNUMBER(SEARCH("556",P3434)))*(I3434*VLOOKUP($B3434,Premissas!$A$4:$E$7,2,0)+J3434*VLOOKUP($B3434,Premissas!$A$4:$E$7,3,0))+K3434*VLOOKUP($B3434,Premissas!$A$4:$E$7,4,0)+L3434*VLOOKUP($B3434,Premissas!$A$4:$E$7,5,0))</f>
        <v/>
      </c>
      <c r="N3434" s="14">
        <f>H3434-M3434</f>
        <v/>
      </c>
      <c r="O3434" t="inlineStr">
        <is>
          <t>Não</t>
        </is>
      </c>
      <c r="P3434" t="inlineStr">
        <is>
          <t>1.350</t>
        </is>
      </c>
    </row>
    <row r="3435">
      <c r="A3435" s="24" t="n">
        <v>46174</v>
      </c>
      <c r="B3435" t="inlineStr">
        <is>
          <t>Frete de venda</t>
        </is>
      </c>
      <c r="C3435" t="inlineStr">
        <is>
          <t>Frete de venda (para clientes)</t>
        </is>
      </c>
      <c r="D3435" t="inlineStr">
        <is>
          <t>CT-e</t>
        </is>
      </c>
      <c r="E3435" t="inlineStr">
        <is>
          <t>000007432</t>
        </is>
      </c>
      <c r="F3435" t="inlineStr">
        <is>
          <t>R&amp;R TRANSPORTE E LOGISTICA</t>
        </is>
      </c>
      <c r="G3435" s="27" t="n">
        <v>46193</v>
      </c>
      <c r="H3435" s="14" t="n">
        <v>68.48</v>
      </c>
      <c r="I3435" s="14" t="n">
        <v>0</v>
      </c>
      <c r="J3435" s="14" t="n">
        <v>0</v>
      </c>
      <c r="K3435" s="14" t="n">
        <v>0</v>
      </c>
      <c r="L3435" s="14" t="n">
        <v>0</v>
      </c>
      <c r="M3435" s="14">
        <f>IF(B3435="Frete de venda",0,(1-ISNUMBER(SEARCH("556",P3435)))*(I3435*VLOOKUP($B3435,Premissas!$A$4:$E$7,2,0)+J3435*VLOOKUP($B3435,Premissas!$A$4:$E$7,3,0))+K3435*VLOOKUP($B3435,Premissas!$A$4:$E$7,4,0)+L3435*VLOOKUP($B3435,Premissas!$A$4:$E$7,5,0))</f>
        <v/>
      </c>
      <c r="N3435" s="14">
        <f>H3435-M3435</f>
        <v/>
      </c>
      <c r="O3435" t="inlineStr">
        <is>
          <t>Não</t>
        </is>
      </c>
      <c r="P3435" t="inlineStr">
        <is>
          <t>1.350</t>
        </is>
      </c>
    </row>
    <row r="3436">
      <c r="A3436" s="24" t="n">
        <v>46174</v>
      </c>
      <c r="B3436" t="inlineStr">
        <is>
          <t>Frete de venda</t>
        </is>
      </c>
      <c r="C3436" t="inlineStr">
        <is>
          <t>Frete de venda (para clientes)</t>
        </is>
      </c>
      <c r="D3436" t="inlineStr">
        <is>
          <t>CT-e</t>
        </is>
      </c>
      <c r="E3436" t="inlineStr">
        <is>
          <t>000007356</t>
        </is>
      </c>
      <c r="F3436" t="inlineStr">
        <is>
          <t>R&amp;R TRANSPORTE E LOGISTICA</t>
        </is>
      </c>
      <c r="G3436" s="27" t="n">
        <v>46189</v>
      </c>
      <c r="H3436" s="14" t="n">
        <v>22.36</v>
      </c>
      <c r="I3436" s="14" t="n">
        <v>0</v>
      </c>
      <c r="J3436" s="14" t="n">
        <v>0</v>
      </c>
      <c r="K3436" s="14" t="n">
        <v>0</v>
      </c>
      <c r="L3436" s="14" t="n">
        <v>0</v>
      </c>
      <c r="M3436" s="14">
        <f>IF(B3436="Frete de venda",0,(1-ISNUMBER(SEARCH("556",P3436)))*(I3436*VLOOKUP($B3436,Premissas!$A$4:$E$7,2,0)+J3436*VLOOKUP($B3436,Premissas!$A$4:$E$7,3,0))+K3436*VLOOKUP($B3436,Premissas!$A$4:$E$7,4,0)+L3436*VLOOKUP($B3436,Premissas!$A$4:$E$7,5,0))</f>
        <v/>
      </c>
      <c r="N3436" s="14">
        <f>H3436-M3436</f>
        <v/>
      </c>
      <c r="O3436" t="inlineStr">
        <is>
          <t>Não</t>
        </is>
      </c>
      <c r="P3436" t="inlineStr">
        <is>
          <t>1.350</t>
        </is>
      </c>
    </row>
    <row r="3437">
      <c r="A3437" s="24" t="n">
        <v>46174</v>
      </c>
      <c r="B3437" t="inlineStr">
        <is>
          <t>Frete de venda</t>
        </is>
      </c>
      <c r="C3437" t="inlineStr">
        <is>
          <t>Frete de venda (para clientes)</t>
        </is>
      </c>
      <c r="D3437" t="inlineStr">
        <is>
          <t>CT-e</t>
        </is>
      </c>
      <c r="E3437" t="inlineStr">
        <is>
          <t>000007258</t>
        </is>
      </c>
      <c r="F3437" t="inlineStr">
        <is>
          <t>R&amp;R TRANSPORTE E LOGISTICA</t>
        </is>
      </c>
      <c r="G3437" s="27" t="n">
        <v>46176</v>
      </c>
      <c r="H3437" s="14" t="n">
        <v>53</v>
      </c>
      <c r="I3437" s="14" t="n">
        <v>0</v>
      </c>
      <c r="J3437" s="14" t="n">
        <v>0</v>
      </c>
      <c r="K3437" s="14" t="n">
        <v>0</v>
      </c>
      <c r="L3437" s="14" t="n">
        <v>0</v>
      </c>
      <c r="M3437" s="14">
        <f>IF(B3437="Frete de venda",0,(1-ISNUMBER(SEARCH("556",P3437)))*(I3437*VLOOKUP($B3437,Premissas!$A$4:$E$7,2,0)+J3437*VLOOKUP($B3437,Premissas!$A$4:$E$7,3,0))+K3437*VLOOKUP($B3437,Premissas!$A$4:$E$7,4,0)+L3437*VLOOKUP($B3437,Premissas!$A$4:$E$7,5,0))</f>
        <v/>
      </c>
      <c r="N3437" s="14">
        <f>H3437-M3437</f>
        <v/>
      </c>
      <c r="O3437" t="inlineStr">
        <is>
          <t>Não</t>
        </is>
      </c>
      <c r="P3437" t="inlineStr">
        <is>
          <t>1.350</t>
        </is>
      </c>
    </row>
    <row r="3438">
      <c r="A3438" s="24" t="n">
        <v>46174</v>
      </c>
      <c r="B3438" t="inlineStr">
        <is>
          <t>Frete de venda</t>
        </is>
      </c>
      <c r="C3438" t="inlineStr">
        <is>
          <t>Frete de venda (para clientes)</t>
        </is>
      </c>
      <c r="D3438" t="inlineStr">
        <is>
          <t>CT-e</t>
        </is>
      </c>
      <c r="E3438" t="inlineStr">
        <is>
          <t>000007363</t>
        </is>
      </c>
      <c r="F3438" t="inlineStr">
        <is>
          <t>R&amp;R TRANSPORTE E LOGISTICA</t>
        </is>
      </c>
      <c r="G3438" s="27" t="n">
        <v>46189</v>
      </c>
      <c r="H3438" s="14" t="n">
        <v>31.58</v>
      </c>
      <c r="I3438" s="14" t="n">
        <v>0</v>
      </c>
      <c r="J3438" s="14" t="n">
        <v>0</v>
      </c>
      <c r="K3438" s="14" t="n">
        <v>0</v>
      </c>
      <c r="L3438" s="14" t="n">
        <v>0</v>
      </c>
      <c r="M3438" s="14">
        <f>IF(B3438="Frete de venda",0,(1-ISNUMBER(SEARCH("556",P3438)))*(I3438*VLOOKUP($B3438,Premissas!$A$4:$E$7,2,0)+J3438*VLOOKUP($B3438,Premissas!$A$4:$E$7,3,0))+K3438*VLOOKUP($B3438,Premissas!$A$4:$E$7,4,0)+L3438*VLOOKUP($B3438,Premissas!$A$4:$E$7,5,0))</f>
        <v/>
      </c>
      <c r="N3438" s="14">
        <f>H3438-M3438</f>
        <v/>
      </c>
      <c r="O3438" t="inlineStr">
        <is>
          <t>Não</t>
        </is>
      </c>
      <c r="P3438" t="inlineStr">
        <is>
          <t>1.350</t>
        </is>
      </c>
    </row>
    <row r="3439">
      <c r="A3439" s="24" t="n">
        <v>46174</v>
      </c>
      <c r="B3439" t="inlineStr">
        <is>
          <t>Frete de venda</t>
        </is>
      </c>
      <c r="C3439" t="inlineStr">
        <is>
          <t>Frete de venda (para clientes)</t>
        </is>
      </c>
      <c r="D3439" t="inlineStr">
        <is>
          <t>CT-e</t>
        </is>
      </c>
      <c r="E3439" t="inlineStr">
        <is>
          <t>000007295</t>
        </is>
      </c>
      <c r="F3439" t="inlineStr">
        <is>
          <t>R&amp;R TRANSPORTE E LOGISTICA</t>
        </is>
      </c>
      <c r="G3439" s="27" t="n">
        <v>46184</v>
      </c>
      <c r="H3439" s="14" t="n">
        <v>29.65</v>
      </c>
      <c r="I3439" s="14" t="n">
        <v>0</v>
      </c>
      <c r="J3439" s="14" t="n">
        <v>0</v>
      </c>
      <c r="K3439" s="14" t="n">
        <v>0</v>
      </c>
      <c r="L3439" s="14" t="n">
        <v>0</v>
      </c>
      <c r="M3439" s="14">
        <f>IF(B3439="Frete de venda",0,(1-ISNUMBER(SEARCH("556",P3439)))*(I3439*VLOOKUP($B3439,Premissas!$A$4:$E$7,2,0)+J3439*VLOOKUP($B3439,Premissas!$A$4:$E$7,3,0))+K3439*VLOOKUP($B3439,Premissas!$A$4:$E$7,4,0)+L3439*VLOOKUP($B3439,Premissas!$A$4:$E$7,5,0))</f>
        <v/>
      </c>
      <c r="N3439" s="14">
        <f>H3439-M3439</f>
        <v/>
      </c>
      <c r="O3439" t="inlineStr">
        <is>
          <t>Não</t>
        </is>
      </c>
      <c r="P3439" t="inlineStr">
        <is>
          <t>1.350</t>
        </is>
      </c>
    </row>
    <row r="3440">
      <c r="A3440" s="24" t="n">
        <v>46174</v>
      </c>
      <c r="B3440" t="inlineStr">
        <is>
          <t>Frete de venda</t>
        </is>
      </c>
      <c r="C3440" t="inlineStr">
        <is>
          <t>Frete de venda (para clientes)</t>
        </is>
      </c>
      <c r="D3440" t="inlineStr">
        <is>
          <t>CT-e</t>
        </is>
      </c>
      <c r="E3440" t="inlineStr">
        <is>
          <t>000007263</t>
        </is>
      </c>
      <c r="F3440" t="inlineStr">
        <is>
          <t>R&amp;R TRANSPORTE E LOGISTICA</t>
        </is>
      </c>
      <c r="G3440" s="27" t="n">
        <v>46176</v>
      </c>
      <c r="H3440" s="14" t="n">
        <v>53</v>
      </c>
      <c r="I3440" s="14" t="n">
        <v>0</v>
      </c>
      <c r="J3440" s="14" t="n">
        <v>0</v>
      </c>
      <c r="K3440" s="14" t="n">
        <v>0</v>
      </c>
      <c r="L3440" s="14" t="n">
        <v>0</v>
      </c>
      <c r="M3440" s="14">
        <f>IF(B3440="Frete de venda",0,(1-ISNUMBER(SEARCH("556",P3440)))*(I3440*VLOOKUP($B3440,Premissas!$A$4:$E$7,2,0)+J3440*VLOOKUP($B3440,Premissas!$A$4:$E$7,3,0))+K3440*VLOOKUP($B3440,Premissas!$A$4:$E$7,4,0)+L3440*VLOOKUP($B3440,Premissas!$A$4:$E$7,5,0))</f>
        <v/>
      </c>
      <c r="N3440" s="14">
        <f>H3440-M3440</f>
        <v/>
      </c>
      <c r="O3440" t="inlineStr">
        <is>
          <t>Não</t>
        </is>
      </c>
      <c r="P3440" t="inlineStr">
        <is>
          <t>1.350</t>
        </is>
      </c>
    </row>
    <row r="3441">
      <c r="A3441" s="24" t="n">
        <v>46174</v>
      </c>
      <c r="B3441" t="inlineStr">
        <is>
          <t>Frete de venda</t>
        </is>
      </c>
      <c r="C3441" t="inlineStr">
        <is>
          <t>Frete de venda (para clientes)</t>
        </is>
      </c>
      <c r="D3441" t="inlineStr">
        <is>
          <t>CT-e</t>
        </is>
      </c>
      <c r="E3441" t="inlineStr">
        <is>
          <t>000007385</t>
        </is>
      </c>
      <c r="F3441" t="inlineStr">
        <is>
          <t>R&amp;R TRANSPORTE E LOGISTICA</t>
        </is>
      </c>
      <c r="G3441" s="27" t="n">
        <v>46190</v>
      </c>
      <c r="H3441" s="14" t="n">
        <v>40.91</v>
      </c>
      <c r="I3441" s="14" t="n">
        <v>0</v>
      </c>
      <c r="J3441" s="14" t="n">
        <v>0</v>
      </c>
      <c r="K3441" s="14" t="n">
        <v>0</v>
      </c>
      <c r="L3441" s="14" t="n">
        <v>0</v>
      </c>
      <c r="M3441" s="14">
        <f>IF(B3441="Frete de venda",0,(1-ISNUMBER(SEARCH("556",P3441)))*(I3441*VLOOKUP($B3441,Premissas!$A$4:$E$7,2,0)+J3441*VLOOKUP($B3441,Premissas!$A$4:$E$7,3,0))+K3441*VLOOKUP($B3441,Premissas!$A$4:$E$7,4,0)+L3441*VLOOKUP($B3441,Premissas!$A$4:$E$7,5,0))</f>
        <v/>
      </c>
      <c r="N3441" s="14">
        <f>H3441-M3441</f>
        <v/>
      </c>
      <c r="O3441" t="inlineStr">
        <is>
          <t>Não</t>
        </is>
      </c>
      <c r="P3441" t="inlineStr">
        <is>
          <t>1.350</t>
        </is>
      </c>
    </row>
    <row r="3442">
      <c r="A3442" s="24" t="n">
        <v>46174</v>
      </c>
      <c r="B3442" t="inlineStr">
        <is>
          <t>Frete de venda</t>
        </is>
      </c>
      <c r="C3442" t="inlineStr">
        <is>
          <t>Frete de venda (para clientes)</t>
        </is>
      </c>
      <c r="D3442" t="inlineStr">
        <is>
          <t>CT-e</t>
        </is>
      </c>
      <c r="E3442" t="inlineStr">
        <is>
          <t>000007322</t>
        </is>
      </c>
      <c r="F3442" t="inlineStr">
        <is>
          <t>R&amp;R TRANSPORTE E LOGISTICA</t>
        </is>
      </c>
      <c r="G3442" s="27" t="n">
        <v>46186</v>
      </c>
      <c r="H3442" s="14" t="n">
        <v>16.24</v>
      </c>
      <c r="I3442" s="14" t="n">
        <v>0</v>
      </c>
      <c r="J3442" s="14" t="n">
        <v>0</v>
      </c>
      <c r="K3442" s="14" t="n">
        <v>0</v>
      </c>
      <c r="L3442" s="14" t="n">
        <v>0</v>
      </c>
      <c r="M3442" s="14">
        <f>IF(B3442="Frete de venda",0,(1-ISNUMBER(SEARCH("556",P3442)))*(I3442*VLOOKUP($B3442,Premissas!$A$4:$E$7,2,0)+J3442*VLOOKUP($B3442,Premissas!$A$4:$E$7,3,0))+K3442*VLOOKUP($B3442,Premissas!$A$4:$E$7,4,0)+L3442*VLOOKUP($B3442,Premissas!$A$4:$E$7,5,0))</f>
        <v/>
      </c>
      <c r="N3442" s="14">
        <f>H3442-M3442</f>
        <v/>
      </c>
      <c r="O3442" t="inlineStr">
        <is>
          <t>Não</t>
        </is>
      </c>
      <c r="P3442" t="inlineStr">
        <is>
          <t>1.350</t>
        </is>
      </c>
    </row>
    <row r="3443">
      <c r="A3443" s="24" t="n">
        <v>46174</v>
      </c>
      <c r="B3443" t="inlineStr">
        <is>
          <t>Frete de venda</t>
        </is>
      </c>
      <c r="C3443" t="inlineStr">
        <is>
          <t>Frete de venda (para clientes)</t>
        </is>
      </c>
      <c r="D3443" t="inlineStr">
        <is>
          <t>CT-e</t>
        </is>
      </c>
      <c r="E3443" t="inlineStr">
        <is>
          <t>000007408</t>
        </is>
      </c>
      <c r="F3443" t="inlineStr">
        <is>
          <t>R&amp;R TRANSPORTE E LOGISTICA</t>
        </is>
      </c>
      <c r="G3443" s="27" t="n">
        <v>46192</v>
      </c>
      <c r="H3443" s="14" t="n">
        <v>37.2</v>
      </c>
      <c r="I3443" s="14" t="n">
        <v>0</v>
      </c>
      <c r="J3443" s="14" t="n">
        <v>0</v>
      </c>
      <c r="K3443" s="14" t="n">
        <v>0</v>
      </c>
      <c r="L3443" s="14" t="n">
        <v>0</v>
      </c>
      <c r="M3443" s="14">
        <f>IF(B3443="Frete de venda",0,(1-ISNUMBER(SEARCH("556",P3443)))*(I3443*VLOOKUP($B3443,Premissas!$A$4:$E$7,2,0)+J3443*VLOOKUP($B3443,Premissas!$A$4:$E$7,3,0))+K3443*VLOOKUP($B3443,Premissas!$A$4:$E$7,4,0)+L3443*VLOOKUP($B3443,Premissas!$A$4:$E$7,5,0))</f>
        <v/>
      </c>
      <c r="N3443" s="14">
        <f>H3443-M3443</f>
        <v/>
      </c>
      <c r="O3443" t="inlineStr">
        <is>
          <t>Não</t>
        </is>
      </c>
      <c r="P3443" t="inlineStr">
        <is>
          <t>1.350</t>
        </is>
      </c>
    </row>
    <row r="3444">
      <c r="A3444" s="24" t="n">
        <v>46174</v>
      </c>
      <c r="B3444" t="inlineStr">
        <is>
          <t>Frete de venda</t>
        </is>
      </c>
      <c r="C3444" t="inlineStr">
        <is>
          <t>Frete de venda (para clientes)</t>
        </is>
      </c>
      <c r="D3444" t="inlineStr">
        <is>
          <t>CT-e</t>
        </is>
      </c>
      <c r="E3444" t="inlineStr">
        <is>
          <t>001442016</t>
        </is>
      </c>
      <c r="F3444" t="inlineStr">
        <is>
          <t>PICCOLI TRANSPORTES LTDA</t>
        </is>
      </c>
      <c r="G3444" s="27" t="n">
        <v>46176</v>
      </c>
      <c r="H3444" s="14" t="n">
        <v>0.1</v>
      </c>
      <c r="I3444" s="14" t="n">
        <v>0</v>
      </c>
      <c r="J3444" s="14" t="n">
        <v>0.01</v>
      </c>
      <c r="K3444" s="14" t="n">
        <v>0</v>
      </c>
      <c r="L3444" s="14" t="n">
        <v>0</v>
      </c>
      <c r="M3444" s="14">
        <f>IF(B3444="Frete de venda",0,(1-ISNUMBER(SEARCH("556",P3444)))*(I3444*VLOOKUP($B3444,Premissas!$A$4:$E$7,2,0)+J3444*VLOOKUP($B3444,Premissas!$A$4:$E$7,3,0))+K3444*VLOOKUP($B3444,Premissas!$A$4:$E$7,4,0)+L3444*VLOOKUP($B3444,Premissas!$A$4:$E$7,5,0))</f>
        <v/>
      </c>
      <c r="N3444" s="14">
        <f>H3444-M3444</f>
        <v/>
      </c>
      <c r="O3444" t="inlineStr">
        <is>
          <t>Não</t>
        </is>
      </c>
      <c r="P3444" t="inlineStr">
        <is>
          <t>2.350</t>
        </is>
      </c>
    </row>
    <row r="3445">
      <c r="A3445" s="24" t="n">
        <v>46174</v>
      </c>
      <c r="B3445" t="inlineStr">
        <is>
          <t>Frete de venda</t>
        </is>
      </c>
      <c r="C3445" t="inlineStr">
        <is>
          <t>Frete de venda (para clientes)</t>
        </is>
      </c>
      <c r="D3445" t="inlineStr">
        <is>
          <t>CT-e</t>
        </is>
      </c>
      <c r="E3445" t="inlineStr">
        <is>
          <t>001442543</t>
        </is>
      </c>
      <c r="F3445" t="inlineStr">
        <is>
          <t>PICCOLI TRANSPORTES LTDA</t>
        </is>
      </c>
      <c r="G3445" s="27" t="n">
        <v>46178</v>
      </c>
      <c r="H3445" s="14" t="n">
        <v>1856.73</v>
      </c>
      <c r="I3445" s="14" t="n">
        <v>0</v>
      </c>
      <c r="J3445" s="14" t="n">
        <v>129.97</v>
      </c>
      <c r="K3445" s="14" t="n">
        <v>0</v>
      </c>
      <c r="L3445" s="14" t="n">
        <v>0</v>
      </c>
      <c r="M3445" s="14">
        <f>IF(B3445="Frete de venda",0,(1-ISNUMBER(SEARCH("556",P3445)))*(I3445*VLOOKUP($B3445,Premissas!$A$4:$E$7,2,0)+J3445*VLOOKUP($B3445,Premissas!$A$4:$E$7,3,0))+K3445*VLOOKUP($B3445,Premissas!$A$4:$E$7,4,0)+L3445*VLOOKUP($B3445,Premissas!$A$4:$E$7,5,0))</f>
        <v/>
      </c>
      <c r="N3445" s="14">
        <f>H3445-M3445</f>
        <v/>
      </c>
      <c r="O3445" t="inlineStr">
        <is>
          <t>Sim</t>
        </is>
      </c>
      <c r="P3445" t="inlineStr">
        <is>
          <t>1.350</t>
        </is>
      </c>
    </row>
    <row r="3446">
      <c r="A3446" s="24" t="n">
        <v>46174</v>
      </c>
      <c r="B3446" t="inlineStr">
        <is>
          <t>Frete de venda</t>
        </is>
      </c>
      <c r="C3446" t="inlineStr">
        <is>
          <t>Frete de venda (para clientes)</t>
        </is>
      </c>
      <c r="D3446" t="inlineStr">
        <is>
          <t>CT-e</t>
        </is>
      </c>
      <c r="E3446" t="inlineStr">
        <is>
          <t>000007297</t>
        </is>
      </c>
      <c r="F3446" t="inlineStr">
        <is>
          <t>R&amp;R TRANSPORTE E LOGISTICA</t>
        </is>
      </c>
      <c r="G3446" s="27" t="n">
        <v>46184</v>
      </c>
      <c r="H3446" s="14" t="n">
        <v>57.42</v>
      </c>
      <c r="I3446" s="14" t="n">
        <v>0</v>
      </c>
      <c r="J3446" s="14" t="n">
        <v>0</v>
      </c>
      <c r="K3446" s="14" t="n">
        <v>0</v>
      </c>
      <c r="L3446" s="14" t="n">
        <v>0</v>
      </c>
      <c r="M3446" s="14">
        <f>IF(B3446="Frete de venda",0,(1-ISNUMBER(SEARCH("556",P3446)))*(I3446*VLOOKUP($B3446,Premissas!$A$4:$E$7,2,0)+J3446*VLOOKUP($B3446,Premissas!$A$4:$E$7,3,0))+K3446*VLOOKUP($B3446,Premissas!$A$4:$E$7,4,0)+L3446*VLOOKUP($B3446,Premissas!$A$4:$E$7,5,0))</f>
        <v/>
      </c>
      <c r="N3446" s="14">
        <f>H3446-M3446</f>
        <v/>
      </c>
      <c r="O3446" t="inlineStr">
        <is>
          <t>Não</t>
        </is>
      </c>
      <c r="P3446" t="inlineStr">
        <is>
          <t>1.350</t>
        </is>
      </c>
    </row>
    <row r="3447">
      <c r="A3447" s="24" t="n">
        <v>46174</v>
      </c>
      <c r="B3447" t="inlineStr">
        <is>
          <t>Frete de venda</t>
        </is>
      </c>
      <c r="C3447" t="inlineStr">
        <is>
          <t>Frete de venda (para clientes)</t>
        </is>
      </c>
      <c r="D3447" t="inlineStr">
        <is>
          <t>CT-e</t>
        </is>
      </c>
      <c r="E3447" t="inlineStr">
        <is>
          <t>000007314</t>
        </is>
      </c>
      <c r="F3447" t="inlineStr">
        <is>
          <t>R&amp;R TRANSPORTE E LOGISTICA</t>
        </is>
      </c>
      <c r="G3447" s="27" t="n">
        <v>46186</v>
      </c>
      <c r="H3447" s="14" t="n">
        <v>21.11</v>
      </c>
      <c r="I3447" s="14" t="n">
        <v>0</v>
      </c>
      <c r="J3447" s="14" t="n">
        <v>0</v>
      </c>
      <c r="K3447" s="14" t="n">
        <v>0</v>
      </c>
      <c r="L3447" s="14" t="n">
        <v>0</v>
      </c>
      <c r="M3447" s="14">
        <f>IF(B3447="Frete de venda",0,(1-ISNUMBER(SEARCH("556",P3447)))*(I3447*VLOOKUP($B3447,Premissas!$A$4:$E$7,2,0)+J3447*VLOOKUP($B3447,Premissas!$A$4:$E$7,3,0))+K3447*VLOOKUP($B3447,Premissas!$A$4:$E$7,4,0)+L3447*VLOOKUP($B3447,Premissas!$A$4:$E$7,5,0))</f>
        <v/>
      </c>
      <c r="N3447" s="14">
        <f>H3447-M3447</f>
        <v/>
      </c>
      <c r="O3447" t="inlineStr">
        <is>
          <t>Não</t>
        </is>
      </c>
      <c r="P3447" t="inlineStr">
        <is>
          <t>1.350</t>
        </is>
      </c>
    </row>
    <row r="3448">
      <c r="A3448" s="24" t="n">
        <v>46174</v>
      </c>
      <c r="B3448" t="inlineStr">
        <is>
          <t>Frete de venda</t>
        </is>
      </c>
      <c r="C3448" t="inlineStr">
        <is>
          <t>Frete de venda (para clientes)</t>
        </is>
      </c>
      <c r="D3448" t="inlineStr">
        <is>
          <t>CT-e</t>
        </is>
      </c>
      <c r="E3448" t="inlineStr">
        <is>
          <t>000007329</t>
        </is>
      </c>
      <c r="F3448" t="inlineStr">
        <is>
          <t>R&amp;R TRANSPORTE E LOGISTICA</t>
        </is>
      </c>
      <c r="G3448" s="27" t="n">
        <v>46186</v>
      </c>
      <c r="H3448" s="14" t="n">
        <v>14.74</v>
      </c>
      <c r="I3448" s="14" t="n">
        <v>0</v>
      </c>
      <c r="J3448" s="14" t="n">
        <v>0</v>
      </c>
      <c r="K3448" s="14" t="n">
        <v>0</v>
      </c>
      <c r="L3448" s="14" t="n">
        <v>0</v>
      </c>
      <c r="M3448" s="14">
        <f>IF(B3448="Frete de venda",0,(1-ISNUMBER(SEARCH("556",P3448)))*(I3448*VLOOKUP($B3448,Premissas!$A$4:$E$7,2,0)+J3448*VLOOKUP($B3448,Premissas!$A$4:$E$7,3,0))+K3448*VLOOKUP($B3448,Premissas!$A$4:$E$7,4,0)+L3448*VLOOKUP($B3448,Premissas!$A$4:$E$7,5,0))</f>
        <v/>
      </c>
      <c r="N3448" s="14">
        <f>H3448-M3448</f>
        <v/>
      </c>
      <c r="O3448" t="inlineStr">
        <is>
          <t>Não</t>
        </is>
      </c>
      <c r="P3448" t="inlineStr">
        <is>
          <t>1.350</t>
        </is>
      </c>
    </row>
    <row r="3449">
      <c r="A3449" s="24" t="n">
        <v>46174</v>
      </c>
      <c r="B3449" t="inlineStr">
        <is>
          <t>Frete de venda</t>
        </is>
      </c>
      <c r="C3449" t="inlineStr">
        <is>
          <t>Frete de venda (para clientes)</t>
        </is>
      </c>
      <c r="D3449" t="inlineStr">
        <is>
          <t>CT-e</t>
        </is>
      </c>
      <c r="E3449" t="inlineStr">
        <is>
          <t>000007347</t>
        </is>
      </c>
      <c r="F3449" t="inlineStr">
        <is>
          <t>R&amp;R TRANSPORTE E LOGISTICA</t>
        </is>
      </c>
      <c r="G3449" s="27" t="n">
        <v>46186</v>
      </c>
      <c r="H3449" s="14" t="n">
        <v>225.69</v>
      </c>
      <c r="I3449" s="14" t="n">
        <v>0</v>
      </c>
      <c r="J3449" s="14" t="n">
        <v>0</v>
      </c>
      <c r="K3449" s="14" t="n">
        <v>0</v>
      </c>
      <c r="L3449" s="14" t="n">
        <v>0</v>
      </c>
      <c r="M3449" s="14">
        <f>IF(B3449="Frete de venda",0,(1-ISNUMBER(SEARCH("556",P3449)))*(I3449*VLOOKUP($B3449,Premissas!$A$4:$E$7,2,0)+J3449*VLOOKUP($B3449,Premissas!$A$4:$E$7,3,0))+K3449*VLOOKUP($B3449,Premissas!$A$4:$E$7,4,0)+L3449*VLOOKUP($B3449,Premissas!$A$4:$E$7,5,0))</f>
        <v/>
      </c>
      <c r="N3449" s="14">
        <f>H3449-M3449</f>
        <v/>
      </c>
      <c r="O3449" t="inlineStr">
        <is>
          <t>Não</t>
        </is>
      </c>
      <c r="P3449" t="inlineStr">
        <is>
          <t>1.350</t>
        </is>
      </c>
    </row>
    <row r="3450">
      <c r="A3450" s="24" t="n">
        <v>46174</v>
      </c>
      <c r="B3450" t="inlineStr">
        <is>
          <t>Frete de venda</t>
        </is>
      </c>
      <c r="C3450" t="inlineStr">
        <is>
          <t>Frete de venda (para clientes)</t>
        </is>
      </c>
      <c r="D3450" t="inlineStr">
        <is>
          <t>CT-e</t>
        </is>
      </c>
      <c r="E3450" t="inlineStr">
        <is>
          <t>000007281</t>
        </is>
      </c>
      <c r="F3450" t="inlineStr">
        <is>
          <t>R&amp;R TRANSPORTE E LOGISTICA</t>
        </is>
      </c>
      <c r="G3450" s="27" t="n">
        <v>46181</v>
      </c>
      <c r="H3450" s="14" t="n">
        <v>500</v>
      </c>
      <c r="I3450" s="14" t="n">
        <v>0</v>
      </c>
      <c r="J3450" s="14" t="n">
        <v>0</v>
      </c>
      <c r="K3450" s="14" t="n">
        <v>0</v>
      </c>
      <c r="L3450" s="14" t="n">
        <v>0</v>
      </c>
      <c r="M3450" s="14">
        <f>IF(B3450="Frete de venda",0,(1-ISNUMBER(SEARCH("556",P3450)))*(I3450*VLOOKUP($B3450,Premissas!$A$4:$E$7,2,0)+J3450*VLOOKUP($B3450,Premissas!$A$4:$E$7,3,0))+K3450*VLOOKUP($B3450,Premissas!$A$4:$E$7,4,0)+L3450*VLOOKUP($B3450,Premissas!$A$4:$E$7,5,0))</f>
        <v/>
      </c>
      <c r="N3450" s="14">
        <f>H3450-M3450</f>
        <v/>
      </c>
      <c r="O3450" t="inlineStr">
        <is>
          <t>Não</t>
        </is>
      </c>
      <c r="P3450" t="inlineStr">
        <is>
          <t>1.350</t>
        </is>
      </c>
    </row>
    <row r="3451">
      <c r="A3451" s="24" t="n">
        <v>46174</v>
      </c>
      <c r="B3451" t="inlineStr">
        <is>
          <t>Frete de venda</t>
        </is>
      </c>
      <c r="C3451" t="inlineStr">
        <is>
          <t>Frete de venda (para clientes)</t>
        </is>
      </c>
      <c r="D3451" t="inlineStr">
        <is>
          <t>CT-e</t>
        </is>
      </c>
      <c r="E3451" t="inlineStr">
        <is>
          <t>000007285</t>
        </is>
      </c>
      <c r="F3451" t="inlineStr">
        <is>
          <t>R&amp;R TRANSPORTE E LOGISTICA</t>
        </is>
      </c>
      <c r="G3451" s="27" t="n">
        <v>46183</v>
      </c>
      <c r="H3451" s="14" t="n">
        <v>1305</v>
      </c>
      <c r="I3451" s="14" t="n">
        <v>0</v>
      </c>
      <c r="J3451" s="14" t="n">
        <v>0</v>
      </c>
      <c r="K3451" s="14" t="n">
        <v>0</v>
      </c>
      <c r="L3451" s="14" t="n">
        <v>0</v>
      </c>
      <c r="M3451" s="14">
        <f>IF(B3451="Frete de venda",0,(1-ISNUMBER(SEARCH("556",P3451)))*(I3451*VLOOKUP($B3451,Premissas!$A$4:$E$7,2,0)+J3451*VLOOKUP($B3451,Premissas!$A$4:$E$7,3,0))+K3451*VLOOKUP($B3451,Premissas!$A$4:$E$7,4,0)+L3451*VLOOKUP($B3451,Premissas!$A$4:$E$7,5,0))</f>
        <v/>
      </c>
      <c r="N3451" s="14">
        <f>H3451-M3451</f>
        <v/>
      </c>
      <c r="O3451" t="inlineStr">
        <is>
          <t>Não</t>
        </is>
      </c>
      <c r="P3451" t="inlineStr">
        <is>
          <t>1.350</t>
        </is>
      </c>
    </row>
    <row r="3452">
      <c r="A3452" s="24" t="n">
        <v>46174</v>
      </c>
      <c r="B3452" t="inlineStr">
        <is>
          <t>Frete de venda</t>
        </is>
      </c>
      <c r="C3452" t="inlineStr">
        <is>
          <t>Frete de venda (para clientes)</t>
        </is>
      </c>
      <c r="D3452" t="inlineStr">
        <is>
          <t>CT-e</t>
        </is>
      </c>
      <c r="E3452" t="inlineStr">
        <is>
          <t>001441974</t>
        </is>
      </c>
      <c r="F3452" t="inlineStr">
        <is>
          <t>PICCOLI TRANSPORTES LTDA</t>
        </is>
      </c>
      <c r="G3452" s="27" t="n">
        <v>46176</v>
      </c>
      <c r="H3452" s="14" t="n">
        <v>0.1</v>
      </c>
      <c r="I3452" s="14" t="n">
        <v>0</v>
      </c>
      <c r="J3452" s="14" t="n">
        <v>0.01</v>
      </c>
      <c r="K3452" s="14" t="n">
        <v>0</v>
      </c>
      <c r="L3452" s="14" t="n">
        <v>0</v>
      </c>
      <c r="M3452" s="14">
        <f>IF(B3452="Frete de venda",0,(1-ISNUMBER(SEARCH("556",P3452)))*(I3452*VLOOKUP($B3452,Premissas!$A$4:$E$7,2,0)+J3452*VLOOKUP($B3452,Premissas!$A$4:$E$7,3,0))+K3452*VLOOKUP($B3452,Premissas!$A$4:$E$7,4,0)+L3452*VLOOKUP($B3452,Premissas!$A$4:$E$7,5,0))</f>
        <v/>
      </c>
      <c r="N3452" s="14">
        <f>H3452-M3452</f>
        <v/>
      </c>
      <c r="O3452" t="inlineStr">
        <is>
          <t>Não</t>
        </is>
      </c>
      <c r="P3452" t="inlineStr">
        <is>
          <t>2.350</t>
        </is>
      </c>
    </row>
    <row r="3453">
      <c r="A3453" s="24" t="n">
        <v>46174</v>
      </c>
      <c r="B3453" t="inlineStr">
        <is>
          <t>Frete de venda</t>
        </is>
      </c>
      <c r="C3453" t="inlineStr">
        <is>
          <t>Frete de venda (para clientes)</t>
        </is>
      </c>
      <c r="D3453" t="inlineStr">
        <is>
          <t>CT-e</t>
        </is>
      </c>
      <c r="E3453" t="inlineStr">
        <is>
          <t>001442542</t>
        </is>
      </c>
      <c r="F3453" t="inlineStr">
        <is>
          <t>PICCOLI TRANSPORTES LTDA</t>
        </is>
      </c>
      <c r="G3453" s="27" t="n">
        <v>46178</v>
      </c>
      <c r="H3453" s="14" t="n">
        <v>492.97</v>
      </c>
      <c r="I3453" s="14" t="n">
        <v>0</v>
      </c>
      <c r="J3453" s="14" t="n">
        <v>34.51</v>
      </c>
      <c r="K3453" s="14" t="n">
        <v>0</v>
      </c>
      <c r="L3453" s="14" t="n">
        <v>0</v>
      </c>
      <c r="M3453" s="14">
        <f>IF(B3453="Frete de venda",0,(1-ISNUMBER(SEARCH("556",P3453)))*(I3453*VLOOKUP($B3453,Premissas!$A$4:$E$7,2,0)+J3453*VLOOKUP($B3453,Premissas!$A$4:$E$7,3,0))+K3453*VLOOKUP($B3453,Premissas!$A$4:$E$7,4,0)+L3453*VLOOKUP($B3453,Premissas!$A$4:$E$7,5,0))</f>
        <v/>
      </c>
      <c r="N3453" s="14">
        <f>H3453-M3453</f>
        <v/>
      </c>
      <c r="O3453" t="inlineStr">
        <is>
          <t>Sim</t>
        </is>
      </c>
      <c r="P3453" t="inlineStr">
        <is>
          <t>1.350</t>
        </is>
      </c>
    </row>
    <row r="3454">
      <c r="A3454" s="24" t="n">
        <v>46174</v>
      </c>
      <c r="B3454" t="inlineStr">
        <is>
          <t>Frete de venda</t>
        </is>
      </c>
      <c r="C3454" t="inlineStr">
        <is>
          <t>Frete de venda (para clientes)</t>
        </is>
      </c>
      <c r="D3454" t="inlineStr">
        <is>
          <t>CT-e</t>
        </is>
      </c>
      <c r="E3454" t="inlineStr">
        <is>
          <t>000007309</t>
        </is>
      </c>
      <c r="F3454" t="inlineStr">
        <is>
          <t>R&amp;R TRANSPORTE E LOGISTICA</t>
        </is>
      </c>
      <c r="G3454" s="27" t="n">
        <v>46186</v>
      </c>
      <c r="H3454" s="14" t="n">
        <v>21.69</v>
      </c>
      <c r="I3454" s="14" t="n">
        <v>0</v>
      </c>
      <c r="J3454" s="14" t="n">
        <v>0</v>
      </c>
      <c r="K3454" s="14" t="n">
        <v>0</v>
      </c>
      <c r="L3454" s="14" t="n">
        <v>0</v>
      </c>
      <c r="M3454" s="14">
        <f>IF(B3454="Frete de venda",0,(1-ISNUMBER(SEARCH("556",P3454)))*(I3454*VLOOKUP($B3454,Premissas!$A$4:$E$7,2,0)+J3454*VLOOKUP($B3454,Premissas!$A$4:$E$7,3,0))+K3454*VLOOKUP($B3454,Premissas!$A$4:$E$7,4,0)+L3454*VLOOKUP($B3454,Premissas!$A$4:$E$7,5,0))</f>
        <v/>
      </c>
      <c r="N3454" s="14">
        <f>H3454-M3454</f>
        <v/>
      </c>
      <c r="O3454" t="inlineStr">
        <is>
          <t>Não</t>
        </is>
      </c>
      <c r="P3454" t="inlineStr">
        <is>
          <t>1.350</t>
        </is>
      </c>
    </row>
    <row r="3455">
      <c r="A3455" s="24" t="n">
        <v>46174</v>
      </c>
      <c r="B3455" t="inlineStr">
        <is>
          <t>Frete de venda</t>
        </is>
      </c>
      <c r="C3455" t="inlineStr">
        <is>
          <t>Frete de venda (para clientes)</t>
        </is>
      </c>
      <c r="D3455" t="inlineStr">
        <is>
          <t>CT-e</t>
        </is>
      </c>
      <c r="E3455" t="inlineStr">
        <is>
          <t>000007493</t>
        </is>
      </c>
      <c r="F3455" t="inlineStr">
        <is>
          <t>R&amp;R TRANSPORTE E LOGISTICA</t>
        </is>
      </c>
      <c r="G3455" s="27" t="n">
        <v>46199</v>
      </c>
      <c r="H3455" s="14" t="n">
        <v>27.47</v>
      </c>
      <c r="I3455" s="14" t="n">
        <v>0</v>
      </c>
      <c r="J3455" s="14" t="n">
        <v>0</v>
      </c>
      <c r="K3455" s="14" t="n">
        <v>0</v>
      </c>
      <c r="L3455" s="14" t="n">
        <v>0</v>
      </c>
      <c r="M3455" s="14">
        <f>IF(B3455="Frete de venda",0,(1-ISNUMBER(SEARCH("556",P3455)))*(I3455*VLOOKUP($B3455,Premissas!$A$4:$E$7,2,0)+J3455*VLOOKUP($B3455,Premissas!$A$4:$E$7,3,0))+K3455*VLOOKUP($B3455,Premissas!$A$4:$E$7,4,0)+L3455*VLOOKUP($B3455,Premissas!$A$4:$E$7,5,0))</f>
        <v/>
      </c>
      <c r="N3455" s="14">
        <f>H3455-M3455</f>
        <v/>
      </c>
      <c r="O3455" t="inlineStr">
        <is>
          <t>Não</t>
        </is>
      </c>
      <c r="P3455" t="inlineStr">
        <is>
          <t>1.350</t>
        </is>
      </c>
    </row>
    <row r="3456">
      <c r="A3456" s="24" t="n">
        <v>46174</v>
      </c>
      <c r="B3456" t="inlineStr">
        <is>
          <t>Frete de venda</t>
        </is>
      </c>
      <c r="C3456" t="inlineStr">
        <is>
          <t>Frete de venda (para clientes)</t>
        </is>
      </c>
      <c r="D3456" t="inlineStr">
        <is>
          <t>CT-e</t>
        </is>
      </c>
      <c r="E3456" t="inlineStr">
        <is>
          <t>000007294</t>
        </is>
      </c>
      <c r="F3456" t="inlineStr">
        <is>
          <t>R&amp;R TRANSPORTE E LOGISTICA</t>
        </is>
      </c>
      <c r="G3456" s="27" t="n">
        <v>46184</v>
      </c>
      <c r="H3456" s="14" t="n">
        <v>26.54</v>
      </c>
      <c r="I3456" s="14" t="n">
        <v>0</v>
      </c>
      <c r="J3456" s="14" t="n">
        <v>0</v>
      </c>
      <c r="K3456" s="14" t="n">
        <v>0</v>
      </c>
      <c r="L3456" s="14" t="n">
        <v>0</v>
      </c>
      <c r="M3456" s="14">
        <f>IF(B3456="Frete de venda",0,(1-ISNUMBER(SEARCH("556",P3456)))*(I3456*VLOOKUP($B3456,Premissas!$A$4:$E$7,2,0)+J3456*VLOOKUP($B3456,Premissas!$A$4:$E$7,3,0))+K3456*VLOOKUP($B3456,Premissas!$A$4:$E$7,4,0)+L3456*VLOOKUP($B3456,Premissas!$A$4:$E$7,5,0))</f>
        <v/>
      </c>
      <c r="N3456" s="14">
        <f>H3456-M3456</f>
        <v/>
      </c>
      <c r="O3456" t="inlineStr">
        <is>
          <t>Não</t>
        </is>
      </c>
      <c r="P3456" t="inlineStr">
        <is>
          <t>1.350</t>
        </is>
      </c>
    </row>
    <row r="3457">
      <c r="A3457" s="24" t="n">
        <v>46174</v>
      </c>
      <c r="B3457" t="inlineStr">
        <is>
          <t>Frete de venda</t>
        </is>
      </c>
      <c r="C3457" t="inlineStr">
        <is>
          <t>Frete de venda (para clientes)</t>
        </is>
      </c>
      <c r="D3457" t="inlineStr">
        <is>
          <t>CT-e</t>
        </is>
      </c>
      <c r="E3457" t="inlineStr">
        <is>
          <t>000007446</t>
        </is>
      </c>
      <c r="F3457" t="inlineStr">
        <is>
          <t>R&amp;R TRANSPORTE E LOGISTICA</t>
        </is>
      </c>
      <c r="G3457" s="27" t="n">
        <v>46196</v>
      </c>
      <c r="H3457" s="14" t="n">
        <v>33.48</v>
      </c>
      <c r="I3457" s="14" t="n">
        <v>0</v>
      </c>
      <c r="J3457" s="14" t="n">
        <v>0</v>
      </c>
      <c r="K3457" s="14" t="n">
        <v>0</v>
      </c>
      <c r="L3457" s="14" t="n">
        <v>0</v>
      </c>
      <c r="M3457" s="14">
        <f>IF(B3457="Frete de venda",0,(1-ISNUMBER(SEARCH("556",P3457)))*(I3457*VLOOKUP($B3457,Premissas!$A$4:$E$7,2,0)+J3457*VLOOKUP($B3457,Premissas!$A$4:$E$7,3,0))+K3457*VLOOKUP($B3457,Premissas!$A$4:$E$7,4,0)+L3457*VLOOKUP($B3457,Premissas!$A$4:$E$7,5,0))</f>
        <v/>
      </c>
      <c r="N3457" s="14">
        <f>H3457-M3457</f>
        <v/>
      </c>
      <c r="O3457" t="inlineStr">
        <is>
          <t>Não</t>
        </is>
      </c>
      <c r="P3457" t="inlineStr">
        <is>
          <t>1.350</t>
        </is>
      </c>
    </row>
    <row r="3458">
      <c r="A3458" s="24" t="n">
        <v>46174</v>
      </c>
      <c r="B3458" t="inlineStr">
        <is>
          <t>Frete de venda</t>
        </is>
      </c>
      <c r="C3458" t="inlineStr">
        <is>
          <t>Frete de venda (para clientes)</t>
        </is>
      </c>
      <c r="D3458" t="inlineStr">
        <is>
          <t>CT-e</t>
        </is>
      </c>
      <c r="E3458" t="inlineStr">
        <is>
          <t>000007494</t>
        </is>
      </c>
      <c r="F3458" t="inlineStr">
        <is>
          <t>R&amp;R TRANSPORTE E LOGISTICA</t>
        </is>
      </c>
      <c r="G3458" s="27" t="n">
        <v>46199</v>
      </c>
      <c r="H3458" s="14" t="n">
        <v>38.83</v>
      </c>
      <c r="I3458" s="14" t="n">
        <v>0</v>
      </c>
      <c r="J3458" s="14" t="n">
        <v>0</v>
      </c>
      <c r="K3458" s="14" t="n">
        <v>0</v>
      </c>
      <c r="L3458" s="14" t="n">
        <v>0</v>
      </c>
      <c r="M3458" s="14">
        <f>IF(B3458="Frete de venda",0,(1-ISNUMBER(SEARCH("556",P3458)))*(I3458*VLOOKUP($B3458,Premissas!$A$4:$E$7,2,0)+J3458*VLOOKUP($B3458,Premissas!$A$4:$E$7,3,0))+K3458*VLOOKUP($B3458,Premissas!$A$4:$E$7,4,0)+L3458*VLOOKUP($B3458,Premissas!$A$4:$E$7,5,0))</f>
        <v/>
      </c>
      <c r="N3458" s="14">
        <f>H3458-M3458</f>
        <v/>
      </c>
      <c r="O3458" t="inlineStr">
        <is>
          <t>Não</t>
        </is>
      </c>
      <c r="P3458" t="inlineStr">
        <is>
          <t>1.350</t>
        </is>
      </c>
    </row>
    <row r="3459">
      <c r="A3459" s="24" t="n">
        <v>46174</v>
      </c>
      <c r="B3459" t="inlineStr">
        <is>
          <t>Frete de venda</t>
        </is>
      </c>
      <c r="C3459" t="inlineStr">
        <is>
          <t>Frete de venda (para clientes)</t>
        </is>
      </c>
      <c r="D3459" t="inlineStr">
        <is>
          <t>CT-e</t>
        </is>
      </c>
      <c r="E3459" t="inlineStr">
        <is>
          <t>000007416</t>
        </is>
      </c>
      <c r="F3459" t="inlineStr">
        <is>
          <t>R&amp;R TRANSPORTE E LOGISTICA</t>
        </is>
      </c>
      <c r="G3459" s="27" t="n">
        <v>46192</v>
      </c>
      <c r="H3459" s="14" t="n">
        <v>13.52</v>
      </c>
      <c r="I3459" s="14" t="n">
        <v>0</v>
      </c>
      <c r="J3459" s="14" t="n">
        <v>0</v>
      </c>
      <c r="K3459" s="14" t="n">
        <v>0</v>
      </c>
      <c r="L3459" s="14" t="n">
        <v>0</v>
      </c>
      <c r="M3459" s="14">
        <f>IF(B3459="Frete de venda",0,(1-ISNUMBER(SEARCH("556",P3459)))*(I3459*VLOOKUP($B3459,Premissas!$A$4:$E$7,2,0)+J3459*VLOOKUP($B3459,Premissas!$A$4:$E$7,3,0))+K3459*VLOOKUP($B3459,Premissas!$A$4:$E$7,4,0)+L3459*VLOOKUP($B3459,Premissas!$A$4:$E$7,5,0))</f>
        <v/>
      </c>
      <c r="N3459" s="14">
        <f>H3459-M3459</f>
        <v/>
      </c>
      <c r="O3459" t="inlineStr">
        <is>
          <t>Não</t>
        </is>
      </c>
      <c r="P3459" t="inlineStr">
        <is>
          <t>1.350</t>
        </is>
      </c>
    </row>
    <row r="3460">
      <c r="A3460" s="24" t="n">
        <v>46174</v>
      </c>
      <c r="B3460" t="inlineStr">
        <is>
          <t>Frete de venda</t>
        </is>
      </c>
      <c r="C3460" t="inlineStr">
        <is>
          <t>Frete de venda (para clientes)</t>
        </is>
      </c>
      <c r="D3460" t="inlineStr">
        <is>
          <t>CT-e</t>
        </is>
      </c>
      <c r="E3460" t="inlineStr">
        <is>
          <t>000007374</t>
        </is>
      </c>
      <c r="F3460" t="inlineStr">
        <is>
          <t>R&amp;R TRANSPORTE E LOGISTICA</t>
        </is>
      </c>
      <c r="G3460" s="27" t="n">
        <v>46190</v>
      </c>
      <c r="H3460" s="14" t="n">
        <v>51.63</v>
      </c>
      <c r="I3460" s="14" t="n">
        <v>0</v>
      </c>
      <c r="J3460" s="14" t="n">
        <v>0</v>
      </c>
      <c r="K3460" s="14" t="n">
        <v>0</v>
      </c>
      <c r="L3460" s="14" t="n">
        <v>0</v>
      </c>
      <c r="M3460" s="14">
        <f>IF(B3460="Frete de venda",0,(1-ISNUMBER(SEARCH("556",P3460)))*(I3460*VLOOKUP($B3460,Premissas!$A$4:$E$7,2,0)+J3460*VLOOKUP($B3460,Premissas!$A$4:$E$7,3,0))+K3460*VLOOKUP($B3460,Premissas!$A$4:$E$7,4,0)+L3460*VLOOKUP($B3460,Premissas!$A$4:$E$7,5,0))</f>
        <v/>
      </c>
      <c r="N3460" s="14">
        <f>H3460-M3460</f>
        <v/>
      </c>
      <c r="O3460" t="inlineStr">
        <is>
          <t>Não</t>
        </is>
      </c>
      <c r="P3460" t="inlineStr">
        <is>
          <t>1.350</t>
        </is>
      </c>
    </row>
    <row r="3461">
      <c r="A3461" s="24" t="n">
        <v>46174</v>
      </c>
      <c r="B3461" t="inlineStr">
        <is>
          <t>Frete de venda</t>
        </is>
      </c>
      <c r="C3461" t="inlineStr">
        <is>
          <t>Frete de venda (para clientes)</t>
        </is>
      </c>
      <c r="D3461" t="inlineStr">
        <is>
          <t>CT-e</t>
        </is>
      </c>
      <c r="E3461" t="inlineStr">
        <is>
          <t>000007251</t>
        </is>
      </c>
      <c r="F3461" t="inlineStr">
        <is>
          <t>R&amp;R TRANSPORTE E LOGISTICA</t>
        </is>
      </c>
      <c r="G3461" s="27" t="n">
        <v>46176</v>
      </c>
      <c r="H3461" s="14" t="n">
        <v>53</v>
      </c>
      <c r="I3461" s="14" t="n">
        <v>0</v>
      </c>
      <c r="J3461" s="14" t="n">
        <v>0</v>
      </c>
      <c r="K3461" s="14" t="n">
        <v>0</v>
      </c>
      <c r="L3461" s="14" t="n">
        <v>0</v>
      </c>
      <c r="M3461" s="14">
        <f>IF(B3461="Frete de venda",0,(1-ISNUMBER(SEARCH("556",P3461)))*(I3461*VLOOKUP($B3461,Premissas!$A$4:$E$7,2,0)+J3461*VLOOKUP($B3461,Premissas!$A$4:$E$7,3,0))+K3461*VLOOKUP($B3461,Premissas!$A$4:$E$7,4,0)+L3461*VLOOKUP($B3461,Premissas!$A$4:$E$7,5,0))</f>
        <v/>
      </c>
      <c r="N3461" s="14">
        <f>H3461-M3461</f>
        <v/>
      </c>
      <c r="O3461" t="inlineStr">
        <is>
          <t>Não</t>
        </is>
      </c>
      <c r="P3461" t="inlineStr">
        <is>
          <t>1.350</t>
        </is>
      </c>
    </row>
    <row r="3462">
      <c r="A3462" s="24" t="n">
        <v>46174</v>
      </c>
      <c r="B3462" t="inlineStr">
        <is>
          <t>Frete de venda</t>
        </is>
      </c>
      <c r="C3462" t="inlineStr">
        <is>
          <t>Frete de venda (para clientes)</t>
        </is>
      </c>
      <c r="D3462" t="inlineStr">
        <is>
          <t>CT-e</t>
        </is>
      </c>
      <c r="E3462" t="inlineStr">
        <is>
          <t>000004103</t>
        </is>
      </c>
      <c r="F3462" t="inlineStr">
        <is>
          <t>RAPIDO XAPURI TRANSPORTES E LOGISTICA LTDA</t>
        </is>
      </c>
      <c r="G3462" s="27" t="n">
        <v>46181</v>
      </c>
      <c r="H3462" s="14" t="n">
        <v>1841.5</v>
      </c>
      <c r="I3462" s="14" t="n">
        <v>0</v>
      </c>
      <c r="J3462" s="14" t="n">
        <v>220.98</v>
      </c>
      <c r="K3462" s="14" t="n">
        <v>0</v>
      </c>
      <c r="L3462" s="14" t="n">
        <v>0</v>
      </c>
      <c r="M3462" s="14">
        <f>IF(B3462="Frete de venda",0,(1-ISNUMBER(SEARCH("556",P3462)))*(I3462*VLOOKUP($B3462,Premissas!$A$4:$E$7,2,0)+J3462*VLOOKUP($B3462,Premissas!$A$4:$E$7,3,0))+K3462*VLOOKUP($B3462,Premissas!$A$4:$E$7,4,0)+L3462*VLOOKUP($B3462,Premissas!$A$4:$E$7,5,0))</f>
        <v/>
      </c>
      <c r="N3462" s="14">
        <f>H3462-M3462</f>
        <v/>
      </c>
      <c r="O3462" t="inlineStr">
        <is>
          <t>Sim</t>
        </is>
      </c>
      <c r="P3462" t="inlineStr">
        <is>
          <t>1.350</t>
        </is>
      </c>
    </row>
    <row r="3463">
      <c r="A3463" s="24" t="n">
        <v>46174</v>
      </c>
      <c r="B3463" t="inlineStr">
        <is>
          <t>Frete de venda</t>
        </is>
      </c>
      <c r="C3463" t="inlineStr">
        <is>
          <t>Frete de venda (para clientes)</t>
        </is>
      </c>
      <c r="D3463" t="inlineStr">
        <is>
          <t>CT-e</t>
        </is>
      </c>
      <c r="E3463" t="inlineStr">
        <is>
          <t>000007386</t>
        </is>
      </c>
      <c r="F3463" t="inlineStr">
        <is>
          <t>R&amp;R TRANSPORTE E LOGISTICA</t>
        </is>
      </c>
      <c r="G3463" s="27" t="n">
        <v>46190</v>
      </c>
      <c r="H3463" s="14" t="n">
        <v>59.09</v>
      </c>
      <c r="I3463" s="14" t="n">
        <v>0</v>
      </c>
      <c r="J3463" s="14" t="n">
        <v>0</v>
      </c>
      <c r="K3463" s="14" t="n">
        <v>0</v>
      </c>
      <c r="L3463" s="14" t="n">
        <v>0</v>
      </c>
      <c r="M3463" s="14">
        <f>IF(B3463="Frete de venda",0,(1-ISNUMBER(SEARCH("556",P3463)))*(I3463*VLOOKUP($B3463,Premissas!$A$4:$E$7,2,0)+J3463*VLOOKUP($B3463,Premissas!$A$4:$E$7,3,0))+K3463*VLOOKUP($B3463,Premissas!$A$4:$E$7,4,0)+L3463*VLOOKUP($B3463,Premissas!$A$4:$E$7,5,0))</f>
        <v/>
      </c>
      <c r="N3463" s="14">
        <f>H3463-M3463</f>
        <v/>
      </c>
      <c r="O3463" t="inlineStr">
        <is>
          <t>Não</t>
        </is>
      </c>
      <c r="P3463" t="inlineStr">
        <is>
          <t>1.350</t>
        </is>
      </c>
    </row>
    <row r="3464">
      <c r="A3464" s="24" t="n">
        <v>46174</v>
      </c>
      <c r="B3464" t="inlineStr">
        <is>
          <t>Frete de venda</t>
        </is>
      </c>
      <c r="C3464" t="inlineStr">
        <is>
          <t>Frete de venda (para clientes)</t>
        </is>
      </c>
      <c r="D3464" t="inlineStr">
        <is>
          <t>CT-e</t>
        </is>
      </c>
      <c r="E3464" t="inlineStr">
        <is>
          <t>000007331</t>
        </is>
      </c>
      <c r="F3464" t="inlineStr">
        <is>
          <t>R&amp;R TRANSPORTE E LOGISTICA</t>
        </is>
      </c>
      <c r="G3464" s="27" t="n">
        <v>46186</v>
      </c>
      <c r="H3464" s="14" t="n">
        <v>15.16</v>
      </c>
      <c r="I3464" s="14" t="n">
        <v>0</v>
      </c>
      <c r="J3464" s="14" t="n">
        <v>0</v>
      </c>
      <c r="K3464" s="14" t="n">
        <v>0</v>
      </c>
      <c r="L3464" s="14" t="n">
        <v>0</v>
      </c>
      <c r="M3464" s="14">
        <f>IF(B3464="Frete de venda",0,(1-ISNUMBER(SEARCH("556",P3464)))*(I3464*VLOOKUP($B3464,Premissas!$A$4:$E$7,2,0)+J3464*VLOOKUP($B3464,Premissas!$A$4:$E$7,3,0))+K3464*VLOOKUP($B3464,Premissas!$A$4:$E$7,4,0)+L3464*VLOOKUP($B3464,Premissas!$A$4:$E$7,5,0))</f>
        <v/>
      </c>
      <c r="N3464" s="14">
        <f>H3464-M3464</f>
        <v/>
      </c>
      <c r="O3464" t="inlineStr">
        <is>
          <t>Não</t>
        </is>
      </c>
      <c r="P3464" t="inlineStr">
        <is>
          <t>1.350</t>
        </is>
      </c>
    </row>
    <row r="3465">
      <c r="A3465" s="24" t="n">
        <v>46174</v>
      </c>
      <c r="B3465" t="inlineStr">
        <is>
          <t>Frete de venda</t>
        </is>
      </c>
      <c r="C3465" t="inlineStr">
        <is>
          <t>Frete de venda (para clientes)</t>
        </is>
      </c>
      <c r="D3465" t="inlineStr">
        <is>
          <t>CT-e</t>
        </is>
      </c>
      <c r="E3465" t="inlineStr">
        <is>
          <t>000007397</t>
        </is>
      </c>
      <c r="F3465" t="inlineStr">
        <is>
          <t>R&amp;R TRANSPORTE E LOGISTICA</t>
        </is>
      </c>
      <c r="G3465" s="27" t="n">
        <v>46192</v>
      </c>
      <c r="H3465" s="14" t="n">
        <v>13.71</v>
      </c>
      <c r="I3465" s="14" t="n">
        <v>0</v>
      </c>
      <c r="J3465" s="14" t="n">
        <v>0</v>
      </c>
      <c r="K3465" s="14" t="n">
        <v>0</v>
      </c>
      <c r="L3465" s="14" t="n">
        <v>0</v>
      </c>
      <c r="M3465" s="14">
        <f>IF(B3465="Frete de venda",0,(1-ISNUMBER(SEARCH("556",P3465)))*(I3465*VLOOKUP($B3465,Premissas!$A$4:$E$7,2,0)+J3465*VLOOKUP($B3465,Premissas!$A$4:$E$7,3,0))+K3465*VLOOKUP($B3465,Premissas!$A$4:$E$7,4,0)+L3465*VLOOKUP($B3465,Premissas!$A$4:$E$7,5,0))</f>
        <v/>
      </c>
      <c r="N3465" s="14">
        <f>H3465-M3465</f>
        <v/>
      </c>
      <c r="O3465" t="inlineStr">
        <is>
          <t>Não</t>
        </is>
      </c>
      <c r="P3465" t="inlineStr">
        <is>
          <t>1.350</t>
        </is>
      </c>
    </row>
    <row r="3466">
      <c r="A3466" s="24" t="n">
        <v>46174</v>
      </c>
      <c r="B3466" t="inlineStr">
        <is>
          <t>Frete de venda</t>
        </is>
      </c>
      <c r="C3466" t="inlineStr">
        <is>
          <t>Frete de venda (para clientes)</t>
        </is>
      </c>
      <c r="D3466" t="inlineStr">
        <is>
          <t>CT-e</t>
        </is>
      </c>
      <c r="E3466" t="inlineStr">
        <is>
          <t>000007324</t>
        </is>
      </c>
      <c r="F3466" t="inlineStr">
        <is>
          <t>R&amp;R TRANSPORTE E LOGISTICA</t>
        </is>
      </c>
      <c r="G3466" s="27" t="n">
        <v>46186</v>
      </c>
      <c r="H3466" s="14" t="n">
        <v>14.79</v>
      </c>
      <c r="I3466" s="14" t="n">
        <v>0</v>
      </c>
      <c r="J3466" s="14" t="n">
        <v>0</v>
      </c>
      <c r="K3466" s="14" t="n">
        <v>0</v>
      </c>
      <c r="L3466" s="14" t="n">
        <v>0</v>
      </c>
      <c r="M3466" s="14">
        <f>IF(B3466="Frete de venda",0,(1-ISNUMBER(SEARCH("556",P3466)))*(I3466*VLOOKUP($B3466,Premissas!$A$4:$E$7,2,0)+J3466*VLOOKUP($B3466,Premissas!$A$4:$E$7,3,0))+K3466*VLOOKUP($B3466,Premissas!$A$4:$E$7,4,0)+L3466*VLOOKUP($B3466,Premissas!$A$4:$E$7,5,0))</f>
        <v/>
      </c>
      <c r="N3466" s="14">
        <f>H3466-M3466</f>
        <v/>
      </c>
      <c r="O3466" t="inlineStr">
        <is>
          <t>Não</t>
        </is>
      </c>
      <c r="P3466" t="inlineStr">
        <is>
          <t>1.350</t>
        </is>
      </c>
    </row>
    <row r="3467">
      <c r="A3467" s="24" t="n">
        <v>46174</v>
      </c>
      <c r="B3467" t="inlineStr">
        <is>
          <t>Frete de venda</t>
        </is>
      </c>
      <c r="C3467" t="inlineStr">
        <is>
          <t>Frete de venda (para clientes)</t>
        </is>
      </c>
      <c r="D3467" t="inlineStr">
        <is>
          <t>CT-e</t>
        </is>
      </c>
      <c r="E3467" t="inlineStr">
        <is>
          <t>000000693</t>
        </is>
      </c>
      <c r="F3467" t="inlineStr">
        <is>
          <t>REIMAG - REINALDO DOMINGUES BARROS DA SILVA</t>
        </is>
      </c>
      <c r="G3467" s="27" t="n">
        <v>46182</v>
      </c>
      <c r="H3467" s="14" t="n">
        <v>275</v>
      </c>
      <c r="I3467" s="14" t="n">
        <v>0</v>
      </c>
      <c r="J3467" s="14" t="n">
        <v>0</v>
      </c>
      <c r="K3467" s="14" t="n">
        <v>0</v>
      </c>
      <c r="L3467" s="14" t="n">
        <v>0</v>
      </c>
      <c r="M3467" s="14">
        <f>IF(B3467="Frete de venda",0,(1-ISNUMBER(SEARCH("556",P3467)))*(I3467*VLOOKUP($B3467,Premissas!$A$4:$E$7,2,0)+J3467*VLOOKUP($B3467,Premissas!$A$4:$E$7,3,0))+K3467*VLOOKUP($B3467,Premissas!$A$4:$E$7,4,0)+L3467*VLOOKUP($B3467,Premissas!$A$4:$E$7,5,0))</f>
        <v/>
      </c>
      <c r="N3467" s="14">
        <f>H3467-M3467</f>
        <v/>
      </c>
      <c r="O3467" t="inlineStr">
        <is>
          <t>Sim</t>
        </is>
      </c>
      <c r="P3467" t="inlineStr">
        <is>
          <t>1.350</t>
        </is>
      </c>
    </row>
    <row r="3468">
      <c r="A3468" s="24" t="n">
        <v>46174</v>
      </c>
      <c r="B3468" t="inlineStr">
        <is>
          <t>Frete de venda</t>
        </is>
      </c>
      <c r="C3468" t="inlineStr">
        <is>
          <t>Frete de venda (para clientes)</t>
        </is>
      </c>
      <c r="D3468" t="inlineStr">
        <is>
          <t>CT-e</t>
        </is>
      </c>
      <c r="E3468" t="inlineStr">
        <is>
          <t>000007464</t>
        </is>
      </c>
      <c r="F3468" t="inlineStr">
        <is>
          <t>R&amp;R TRANSPORTE E LOGISTICA</t>
        </is>
      </c>
      <c r="G3468" s="27" t="n">
        <v>46198</v>
      </c>
      <c r="H3468" s="14" t="n">
        <v>27.33</v>
      </c>
      <c r="I3468" s="14" t="n">
        <v>0</v>
      </c>
      <c r="J3468" s="14" t="n">
        <v>0</v>
      </c>
      <c r="K3468" s="14" t="n">
        <v>0</v>
      </c>
      <c r="L3468" s="14" t="n">
        <v>0</v>
      </c>
      <c r="M3468" s="14">
        <f>IF(B3468="Frete de venda",0,(1-ISNUMBER(SEARCH("556",P3468)))*(I3468*VLOOKUP($B3468,Premissas!$A$4:$E$7,2,0)+J3468*VLOOKUP($B3468,Premissas!$A$4:$E$7,3,0))+K3468*VLOOKUP($B3468,Premissas!$A$4:$E$7,4,0)+L3468*VLOOKUP($B3468,Premissas!$A$4:$E$7,5,0))</f>
        <v/>
      </c>
      <c r="N3468" s="14">
        <f>H3468-M3468</f>
        <v/>
      </c>
      <c r="O3468" t="inlineStr">
        <is>
          <t>Não</t>
        </is>
      </c>
      <c r="P3468" t="inlineStr">
        <is>
          <t>1.350</t>
        </is>
      </c>
    </row>
    <row r="3469">
      <c r="A3469" s="24" t="n">
        <v>46174</v>
      </c>
      <c r="B3469" t="inlineStr">
        <is>
          <t>Frete de venda</t>
        </is>
      </c>
      <c r="C3469" t="inlineStr">
        <is>
          <t>Frete de venda (para clientes)</t>
        </is>
      </c>
      <c r="D3469" t="inlineStr">
        <is>
          <t>CT-e</t>
        </is>
      </c>
      <c r="E3469" t="inlineStr">
        <is>
          <t>000007458</t>
        </is>
      </c>
      <c r="F3469" t="inlineStr">
        <is>
          <t>R&amp;R TRANSPORTE E LOGISTICA</t>
        </is>
      </c>
      <c r="G3469" s="27" t="n">
        <v>46198</v>
      </c>
      <c r="H3469" s="14" t="n">
        <v>98.70999999999999</v>
      </c>
      <c r="I3469" s="14" t="n">
        <v>0</v>
      </c>
      <c r="J3469" s="14" t="n">
        <v>0</v>
      </c>
      <c r="K3469" s="14" t="n">
        <v>0</v>
      </c>
      <c r="L3469" s="14" t="n">
        <v>0</v>
      </c>
      <c r="M3469" s="14">
        <f>IF(B3469="Frete de venda",0,(1-ISNUMBER(SEARCH("556",P3469)))*(I3469*VLOOKUP($B3469,Premissas!$A$4:$E$7,2,0)+J3469*VLOOKUP($B3469,Premissas!$A$4:$E$7,3,0))+K3469*VLOOKUP($B3469,Premissas!$A$4:$E$7,4,0)+L3469*VLOOKUP($B3469,Premissas!$A$4:$E$7,5,0))</f>
        <v/>
      </c>
      <c r="N3469" s="14">
        <f>H3469-M3469</f>
        <v/>
      </c>
      <c r="O3469" t="inlineStr">
        <is>
          <t>Não</t>
        </is>
      </c>
      <c r="P3469" t="inlineStr">
        <is>
          <t>1.350</t>
        </is>
      </c>
    </row>
    <row r="3470">
      <c r="A3470" s="24" t="n">
        <v>46174</v>
      </c>
      <c r="B3470" t="inlineStr">
        <is>
          <t>Frete de venda</t>
        </is>
      </c>
      <c r="C3470" t="inlineStr">
        <is>
          <t>Frete de venda (para clientes)</t>
        </is>
      </c>
      <c r="D3470" t="inlineStr">
        <is>
          <t>CT-e</t>
        </is>
      </c>
      <c r="E3470" t="inlineStr">
        <is>
          <t>000007326</t>
        </is>
      </c>
      <c r="F3470" t="inlineStr">
        <is>
          <t>R&amp;R TRANSPORTE E LOGISTICA</t>
        </is>
      </c>
      <c r="G3470" s="27" t="n">
        <v>46186</v>
      </c>
      <c r="H3470" s="14" t="n">
        <v>15.37</v>
      </c>
      <c r="I3470" s="14" t="n">
        <v>0</v>
      </c>
      <c r="J3470" s="14" t="n">
        <v>0</v>
      </c>
      <c r="K3470" s="14" t="n">
        <v>0</v>
      </c>
      <c r="L3470" s="14" t="n">
        <v>0</v>
      </c>
      <c r="M3470" s="14">
        <f>IF(B3470="Frete de venda",0,(1-ISNUMBER(SEARCH("556",P3470)))*(I3470*VLOOKUP($B3470,Premissas!$A$4:$E$7,2,0)+J3470*VLOOKUP($B3470,Premissas!$A$4:$E$7,3,0))+K3470*VLOOKUP($B3470,Premissas!$A$4:$E$7,4,0)+L3470*VLOOKUP($B3470,Premissas!$A$4:$E$7,5,0))</f>
        <v/>
      </c>
      <c r="N3470" s="14">
        <f>H3470-M3470</f>
        <v/>
      </c>
      <c r="O3470" t="inlineStr">
        <is>
          <t>Não</t>
        </is>
      </c>
      <c r="P3470" t="inlineStr">
        <is>
          <t>1.350</t>
        </is>
      </c>
    </row>
    <row r="3471">
      <c r="A3471" s="24" t="n">
        <v>46174</v>
      </c>
      <c r="B3471" t="inlineStr">
        <is>
          <t>Frete de venda</t>
        </is>
      </c>
      <c r="C3471" t="inlineStr">
        <is>
          <t>Frete de venda (para clientes)</t>
        </is>
      </c>
      <c r="D3471" t="inlineStr">
        <is>
          <t>CT-e</t>
        </is>
      </c>
      <c r="E3471" t="inlineStr">
        <is>
          <t>000007243</t>
        </is>
      </c>
      <c r="F3471" t="inlineStr">
        <is>
          <t>R&amp;R TRANSPORTE E LOGISTICA</t>
        </is>
      </c>
      <c r="G3471" s="27" t="n">
        <v>46174</v>
      </c>
      <c r="H3471" s="14" t="n">
        <v>29.15</v>
      </c>
      <c r="I3471" s="14" t="n">
        <v>0</v>
      </c>
      <c r="J3471" s="14" t="n">
        <v>0</v>
      </c>
      <c r="K3471" s="14" t="n">
        <v>0</v>
      </c>
      <c r="L3471" s="14" t="n">
        <v>0</v>
      </c>
      <c r="M3471" s="14">
        <f>IF(B3471="Frete de venda",0,(1-ISNUMBER(SEARCH("556",P3471)))*(I3471*VLOOKUP($B3471,Premissas!$A$4:$E$7,2,0)+J3471*VLOOKUP($B3471,Premissas!$A$4:$E$7,3,0))+K3471*VLOOKUP($B3471,Premissas!$A$4:$E$7,4,0)+L3471*VLOOKUP($B3471,Premissas!$A$4:$E$7,5,0))</f>
        <v/>
      </c>
      <c r="N3471" s="14">
        <f>H3471-M3471</f>
        <v/>
      </c>
      <c r="O3471" t="inlineStr">
        <is>
          <t>Não</t>
        </is>
      </c>
      <c r="P3471" t="inlineStr">
        <is>
          <t>2.350</t>
        </is>
      </c>
    </row>
    <row r="3472">
      <c r="A3472" s="24" t="n">
        <v>46174</v>
      </c>
      <c r="B3472" t="inlineStr">
        <is>
          <t>Frete de venda</t>
        </is>
      </c>
      <c r="C3472" t="inlineStr">
        <is>
          <t>Frete de venda (para clientes)</t>
        </is>
      </c>
      <c r="D3472" t="inlineStr">
        <is>
          <t>CT-e</t>
        </is>
      </c>
      <c r="E3472" t="inlineStr">
        <is>
          <t>000007468</t>
        </is>
      </c>
      <c r="F3472" t="inlineStr">
        <is>
          <t>R&amp;R TRANSPORTE E LOGISTICA</t>
        </is>
      </c>
      <c r="G3472" s="27" t="n">
        <v>46198</v>
      </c>
      <c r="H3472" s="14" t="n">
        <v>42.34</v>
      </c>
      <c r="I3472" s="14" t="n">
        <v>0</v>
      </c>
      <c r="J3472" s="14" t="n">
        <v>0</v>
      </c>
      <c r="K3472" s="14" t="n">
        <v>0</v>
      </c>
      <c r="L3472" s="14" t="n">
        <v>0</v>
      </c>
      <c r="M3472" s="14">
        <f>IF(B3472="Frete de venda",0,(1-ISNUMBER(SEARCH("556",P3472)))*(I3472*VLOOKUP($B3472,Premissas!$A$4:$E$7,2,0)+J3472*VLOOKUP($B3472,Premissas!$A$4:$E$7,3,0))+K3472*VLOOKUP($B3472,Premissas!$A$4:$E$7,4,0)+L3472*VLOOKUP($B3472,Premissas!$A$4:$E$7,5,0))</f>
        <v/>
      </c>
      <c r="N3472" s="14">
        <f>H3472-M3472</f>
        <v/>
      </c>
      <c r="O3472" t="inlineStr">
        <is>
          <t>Não</t>
        </is>
      </c>
      <c r="P3472" t="inlineStr">
        <is>
          <t>1.350</t>
        </is>
      </c>
    </row>
    <row r="3473">
      <c r="A3473" s="24" t="n">
        <v>46174</v>
      </c>
      <c r="B3473" t="inlineStr">
        <is>
          <t>Frete de venda</t>
        </is>
      </c>
      <c r="C3473" t="inlineStr">
        <is>
          <t>Frete de venda (para clientes)</t>
        </is>
      </c>
      <c r="D3473" t="inlineStr">
        <is>
          <t>CT-e</t>
        </is>
      </c>
      <c r="E3473" t="inlineStr">
        <is>
          <t>000007292</t>
        </is>
      </c>
      <c r="F3473" t="inlineStr">
        <is>
          <t>R&amp;R TRANSPORTE E LOGISTICA</t>
        </is>
      </c>
      <c r="G3473" s="27" t="n">
        <v>46184</v>
      </c>
      <c r="H3473" s="14" t="n">
        <v>750</v>
      </c>
      <c r="I3473" s="14" t="n">
        <v>0</v>
      </c>
      <c r="J3473" s="14" t="n">
        <v>0</v>
      </c>
      <c r="K3473" s="14" t="n">
        <v>0</v>
      </c>
      <c r="L3473" s="14" t="n">
        <v>0</v>
      </c>
      <c r="M3473" s="14">
        <f>IF(B3473="Frete de venda",0,(1-ISNUMBER(SEARCH("556",P3473)))*(I3473*VLOOKUP($B3473,Premissas!$A$4:$E$7,2,0)+J3473*VLOOKUP($B3473,Premissas!$A$4:$E$7,3,0))+K3473*VLOOKUP($B3473,Premissas!$A$4:$E$7,4,0)+L3473*VLOOKUP($B3473,Premissas!$A$4:$E$7,5,0))</f>
        <v/>
      </c>
      <c r="N3473" s="14">
        <f>H3473-M3473</f>
        <v/>
      </c>
      <c r="O3473" t="inlineStr">
        <is>
          <t>Não</t>
        </is>
      </c>
      <c r="P3473" t="inlineStr">
        <is>
          <t>1.350</t>
        </is>
      </c>
    </row>
    <row r="3474">
      <c r="A3474" s="24" t="n">
        <v>46174</v>
      </c>
      <c r="B3474" t="inlineStr">
        <is>
          <t>Frete de venda</t>
        </is>
      </c>
      <c r="C3474" t="inlineStr">
        <is>
          <t>Frete de venda (para clientes)</t>
        </is>
      </c>
      <c r="D3474" t="inlineStr">
        <is>
          <t>CT-e</t>
        </is>
      </c>
      <c r="E3474" t="inlineStr">
        <is>
          <t>000007500</t>
        </is>
      </c>
      <c r="F3474" t="inlineStr">
        <is>
          <t>R&amp;R TRANSPORTE E LOGISTICA</t>
        </is>
      </c>
      <c r="G3474" s="27" t="n">
        <v>46200</v>
      </c>
      <c r="H3474" s="14" t="n">
        <v>700</v>
      </c>
      <c r="I3474" s="14" t="n">
        <v>0</v>
      </c>
      <c r="J3474" s="14" t="n">
        <v>0</v>
      </c>
      <c r="K3474" s="14" t="n">
        <v>0</v>
      </c>
      <c r="L3474" s="14" t="n">
        <v>0</v>
      </c>
      <c r="M3474" s="14">
        <f>IF(B3474="Frete de venda",0,(1-ISNUMBER(SEARCH("556",P3474)))*(I3474*VLOOKUP($B3474,Premissas!$A$4:$E$7,2,0)+J3474*VLOOKUP($B3474,Premissas!$A$4:$E$7,3,0))+K3474*VLOOKUP($B3474,Premissas!$A$4:$E$7,4,0)+L3474*VLOOKUP($B3474,Premissas!$A$4:$E$7,5,0))</f>
        <v/>
      </c>
      <c r="N3474" s="14">
        <f>H3474-M3474</f>
        <v/>
      </c>
      <c r="O3474" t="inlineStr">
        <is>
          <t>Não</t>
        </is>
      </c>
      <c r="P3474" t="inlineStr">
        <is>
          <t>1.350</t>
        </is>
      </c>
    </row>
    <row r="3475">
      <c r="A3475" s="24" t="n">
        <v>46174</v>
      </c>
      <c r="B3475" t="inlineStr">
        <is>
          <t>Frete de venda</t>
        </is>
      </c>
      <c r="C3475" t="inlineStr">
        <is>
          <t>Frete de venda (para clientes)</t>
        </is>
      </c>
      <c r="D3475" t="inlineStr">
        <is>
          <t>CT-e</t>
        </is>
      </c>
      <c r="E3475" t="inlineStr">
        <is>
          <t>000007254</t>
        </is>
      </c>
      <c r="F3475" t="inlineStr">
        <is>
          <t>R&amp;R TRANSPORTE E LOGISTICA</t>
        </is>
      </c>
      <c r="G3475" s="27" t="n">
        <v>46176</v>
      </c>
      <c r="H3475" s="14" t="n">
        <v>53</v>
      </c>
      <c r="I3475" s="14" t="n">
        <v>0</v>
      </c>
      <c r="J3475" s="14" t="n">
        <v>0</v>
      </c>
      <c r="K3475" s="14" t="n">
        <v>0</v>
      </c>
      <c r="L3475" s="14" t="n">
        <v>0</v>
      </c>
      <c r="M3475" s="14">
        <f>IF(B3475="Frete de venda",0,(1-ISNUMBER(SEARCH("556",P3475)))*(I3475*VLOOKUP($B3475,Premissas!$A$4:$E$7,2,0)+J3475*VLOOKUP($B3475,Premissas!$A$4:$E$7,3,0))+K3475*VLOOKUP($B3475,Premissas!$A$4:$E$7,4,0)+L3475*VLOOKUP($B3475,Premissas!$A$4:$E$7,5,0))</f>
        <v/>
      </c>
      <c r="N3475" s="14">
        <f>H3475-M3475</f>
        <v/>
      </c>
      <c r="O3475" t="inlineStr">
        <is>
          <t>Não</t>
        </is>
      </c>
      <c r="P3475" t="inlineStr">
        <is>
          <t>1.350</t>
        </is>
      </c>
    </row>
    <row r="3476">
      <c r="A3476" s="24" t="n">
        <v>46174</v>
      </c>
      <c r="B3476" t="inlineStr">
        <is>
          <t>Frete de venda</t>
        </is>
      </c>
      <c r="C3476" t="inlineStr">
        <is>
          <t>Frete de venda (para clientes)</t>
        </is>
      </c>
      <c r="D3476" t="inlineStr">
        <is>
          <t>CT-e</t>
        </is>
      </c>
      <c r="E3476" t="inlineStr">
        <is>
          <t>000004099</t>
        </is>
      </c>
      <c r="F3476" t="inlineStr">
        <is>
          <t>RAPIDO XAPURI TRANSPORTES E LOGISTICA LTDA</t>
        </is>
      </c>
      <c r="G3476" s="27" t="n">
        <v>46181</v>
      </c>
      <c r="H3476" s="14" t="n">
        <v>1799.31</v>
      </c>
      <c r="I3476" s="14" t="n">
        <v>0</v>
      </c>
      <c r="J3476" s="14" t="n">
        <v>215.92</v>
      </c>
      <c r="K3476" s="14" t="n">
        <v>0</v>
      </c>
      <c r="L3476" s="14" t="n">
        <v>0</v>
      </c>
      <c r="M3476" s="14">
        <f>IF(B3476="Frete de venda",0,(1-ISNUMBER(SEARCH("556",P3476)))*(I3476*VLOOKUP($B3476,Premissas!$A$4:$E$7,2,0)+J3476*VLOOKUP($B3476,Premissas!$A$4:$E$7,3,0))+K3476*VLOOKUP($B3476,Premissas!$A$4:$E$7,4,0)+L3476*VLOOKUP($B3476,Premissas!$A$4:$E$7,5,0))</f>
        <v/>
      </c>
      <c r="N3476" s="14">
        <f>H3476-M3476</f>
        <v/>
      </c>
      <c r="O3476" t="inlineStr">
        <is>
          <t>Sim</t>
        </is>
      </c>
      <c r="P3476" t="inlineStr">
        <is>
          <t>1.350</t>
        </is>
      </c>
    </row>
    <row r="3477">
      <c r="A3477" s="24" t="n">
        <v>46174</v>
      </c>
      <c r="B3477" t="inlineStr">
        <is>
          <t>Frete de venda</t>
        </is>
      </c>
      <c r="C3477" t="inlineStr">
        <is>
          <t>Frete de venda (para clientes)</t>
        </is>
      </c>
      <c r="D3477" t="inlineStr">
        <is>
          <t>CT-e</t>
        </is>
      </c>
      <c r="E3477" t="inlineStr">
        <is>
          <t>000007406</t>
        </is>
      </c>
      <c r="F3477" t="inlineStr">
        <is>
          <t>R&amp;R TRANSPORTE E LOGISTICA</t>
        </is>
      </c>
      <c r="G3477" s="27" t="n">
        <v>46192</v>
      </c>
      <c r="H3477" s="14" t="n">
        <v>26.25</v>
      </c>
      <c r="I3477" s="14" t="n">
        <v>0</v>
      </c>
      <c r="J3477" s="14" t="n">
        <v>0</v>
      </c>
      <c r="K3477" s="14" t="n">
        <v>0</v>
      </c>
      <c r="L3477" s="14" t="n">
        <v>0</v>
      </c>
      <c r="M3477" s="14">
        <f>IF(B3477="Frete de venda",0,(1-ISNUMBER(SEARCH("556",P3477)))*(I3477*VLOOKUP($B3477,Premissas!$A$4:$E$7,2,0)+J3477*VLOOKUP($B3477,Premissas!$A$4:$E$7,3,0))+K3477*VLOOKUP($B3477,Premissas!$A$4:$E$7,4,0)+L3477*VLOOKUP($B3477,Premissas!$A$4:$E$7,5,0))</f>
        <v/>
      </c>
      <c r="N3477" s="14">
        <f>H3477-M3477</f>
        <v/>
      </c>
      <c r="O3477" t="inlineStr">
        <is>
          <t>Não</t>
        </is>
      </c>
      <c r="P3477" t="inlineStr">
        <is>
          <t>1.350</t>
        </is>
      </c>
    </row>
    <row r="3478">
      <c r="A3478" s="24" t="n">
        <v>46174</v>
      </c>
      <c r="B3478" t="inlineStr">
        <is>
          <t>Frete de venda</t>
        </is>
      </c>
      <c r="C3478" t="inlineStr">
        <is>
          <t>Frete de venda (para clientes)</t>
        </is>
      </c>
      <c r="D3478" t="inlineStr">
        <is>
          <t>CT-e</t>
        </is>
      </c>
      <c r="E3478" t="inlineStr">
        <is>
          <t>000007361</t>
        </is>
      </c>
      <c r="F3478" t="inlineStr">
        <is>
          <t>R&amp;R TRANSPORTE E LOGISTICA</t>
        </is>
      </c>
      <c r="G3478" s="27" t="n">
        <v>46189</v>
      </c>
      <c r="H3478" s="14" t="n">
        <v>41.37</v>
      </c>
      <c r="I3478" s="14" t="n">
        <v>0</v>
      </c>
      <c r="J3478" s="14" t="n">
        <v>0</v>
      </c>
      <c r="K3478" s="14" t="n">
        <v>0</v>
      </c>
      <c r="L3478" s="14" t="n">
        <v>0</v>
      </c>
      <c r="M3478" s="14">
        <f>IF(B3478="Frete de venda",0,(1-ISNUMBER(SEARCH("556",P3478)))*(I3478*VLOOKUP($B3478,Premissas!$A$4:$E$7,2,0)+J3478*VLOOKUP($B3478,Premissas!$A$4:$E$7,3,0))+K3478*VLOOKUP($B3478,Premissas!$A$4:$E$7,4,0)+L3478*VLOOKUP($B3478,Premissas!$A$4:$E$7,5,0))</f>
        <v/>
      </c>
      <c r="N3478" s="14">
        <f>H3478-M3478</f>
        <v/>
      </c>
      <c r="O3478" t="inlineStr">
        <is>
          <t>Não</t>
        </is>
      </c>
      <c r="P3478" t="inlineStr">
        <is>
          <t>1.350</t>
        </is>
      </c>
    </row>
    <row r="3479">
      <c r="A3479" s="24" t="n">
        <v>46174</v>
      </c>
      <c r="B3479" t="inlineStr">
        <is>
          <t>Frete de venda</t>
        </is>
      </c>
      <c r="C3479" t="inlineStr">
        <is>
          <t>Frete de venda (para clientes)</t>
        </is>
      </c>
      <c r="D3479" t="inlineStr">
        <is>
          <t>CT-e</t>
        </is>
      </c>
      <c r="E3479" t="inlineStr">
        <is>
          <t>000007335</t>
        </is>
      </c>
      <c r="F3479" t="inlineStr">
        <is>
          <t>R&amp;R TRANSPORTE E LOGISTICA</t>
        </is>
      </c>
      <c r="G3479" s="27" t="n">
        <v>46186</v>
      </c>
      <c r="H3479" s="14" t="n">
        <v>15.58</v>
      </c>
      <c r="I3479" s="14" t="n">
        <v>0</v>
      </c>
      <c r="J3479" s="14" t="n">
        <v>0</v>
      </c>
      <c r="K3479" s="14" t="n">
        <v>0</v>
      </c>
      <c r="L3479" s="14" t="n">
        <v>0</v>
      </c>
      <c r="M3479" s="14">
        <f>IF(B3479="Frete de venda",0,(1-ISNUMBER(SEARCH("556",P3479)))*(I3479*VLOOKUP($B3479,Premissas!$A$4:$E$7,2,0)+J3479*VLOOKUP($B3479,Premissas!$A$4:$E$7,3,0))+K3479*VLOOKUP($B3479,Premissas!$A$4:$E$7,4,0)+L3479*VLOOKUP($B3479,Premissas!$A$4:$E$7,5,0))</f>
        <v/>
      </c>
      <c r="N3479" s="14">
        <f>H3479-M3479</f>
        <v/>
      </c>
      <c r="O3479" t="inlineStr">
        <is>
          <t>Não</t>
        </is>
      </c>
      <c r="P3479" t="inlineStr">
        <is>
          <t>1.350</t>
        </is>
      </c>
    </row>
    <row r="3480">
      <c r="A3480" s="24" t="n">
        <v>46174</v>
      </c>
      <c r="B3480" t="inlineStr">
        <is>
          <t>Frete de venda</t>
        </is>
      </c>
      <c r="C3480" t="inlineStr">
        <is>
          <t>Frete de venda (para clientes)</t>
        </is>
      </c>
      <c r="D3480" t="inlineStr">
        <is>
          <t>CT-e</t>
        </is>
      </c>
      <c r="E3480" t="inlineStr">
        <is>
          <t>000007419</t>
        </is>
      </c>
      <c r="F3480" t="inlineStr">
        <is>
          <t>R&amp;R TRANSPORTE E LOGISTICA</t>
        </is>
      </c>
      <c r="G3480" s="27" t="n">
        <v>46192</v>
      </c>
      <c r="H3480" s="14" t="n">
        <v>15.48</v>
      </c>
      <c r="I3480" s="14" t="n">
        <v>0</v>
      </c>
      <c r="J3480" s="14" t="n">
        <v>0</v>
      </c>
      <c r="K3480" s="14" t="n">
        <v>0</v>
      </c>
      <c r="L3480" s="14" t="n">
        <v>0</v>
      </c>
      <c r="M3480" s="14">
        <f>IF(B3480="Frete de venda",0,(1-ISNUMBER(SEARCH("556",P3480)))*(I3480*VLOOKUP($B3480,Premissas!$A$4:$E$7,2,0)+J3480*VLOOKUP($B3480,Premissas!$A$4:$E$7,3,0))+K3480*VLOOKUP($B3480,Premissas!$A$4:$E$7,4,0)+L3480*VLOOKUP($B3480,Premissas!$A$4:$E$7,5,0))</f>
        <v/>
      </c>
      <c r="N3480" s="14">
        <f>H3480-M3480</f>
        <v/>
      </c>
      <c r="O3480" t="inlineStr">
        <is>
          <t>Não</t>
        </is>
      </c>
      <c r="P3480" t="inlineStr">
        <is>
          <t>1.350</t>
        </is>
      </c>
    </row>
    <row r="3481">
      <c r="A3481" s="24" t="n">
        <v>46174</v>
      </c>
      <c r="B3481" t="inlineStr">
        <is>
          <t>Frete de venda</t>
        </is>
      </c>
      <c r="C3481" t="inlineStr">
        <is>
          <t>Frete de venda (para clientes)</t>
        </is>
      </c>
      <c r="D3481" t="inlineStr">
        <is>
          <t>CT-e</t>
        </is>
      </c>
      <c r="E3481" t="inlineStr">
        <is>
          <t>000007452</t>
        </is>
      </c>
      <c r="F3481" t="inlineStr">
        <is>
          <t>R&amp;R TRANSPORTE E LOGISTICA</t>
        </is>
      </c>
      <c r="G3481" s="27" t="n">
        <v>46196</v>
      </c>
      <c r="H3481" s="14" t="n">
        <v>200</v>
      </c>
      <c r="I3481" s="14" t="n">
        <v>0</v>
      </c>
      <c r="J3481" s="14" t="n">
        <v>0</v>
      </c>
      <c r="K3481" s="14" t="n">
        <v>0</v>
      </c>
      <c r="L3481" s="14" t="n">
        <v>0</v>
      </c>
      <c r="M3481" s="14">
        <f>IF(B3481="Frete de venda",0,(1-ISNUMBER(SEARCH("556",P3481)))*(I3481*VLOOKUP($B3481,Premissas!$A$4:$E$7,2,0)+J3481*VLOOKUP($B3481,Premissas!$A$4:$E$7,3,0))+K3481*VLOOKUP($B3481,Premissas!$A$4:$E$7,4,0)+L3481*VLOOKUP($B3481,Premissas!$A$4:$E$7,5,0))</f>
        <v/>
      </c>
      <c r="N3481" s="14">
        <f>H3481-M3481</f>
        <v/>
      </c>
      <c r="O3481" t="inlineStr">
        <is>
          <t>Não</t>
        </is>
      </c>
      <c r="P3481" t="inlineStr">
        <is>
          <t>1.350</t>
        </is>
      </c>
    </row>
    <row r="3482">
      <c r="A3482" s="24" t="n">
        <v>46174</v>
      </c>
      <c r="B3482" t="inlineStr">
        <is>
          <t>Frete de venda</t>
        </is>
      </c>
      <c r="C3482" t="inlineStr">
        <is>
          <t>Frete de venda (para clientes)</t>
        </is>
      </c>
      <c r="D3482" t="inlineStr">
        <is>
          <t>CT-e</t>
        </is>
      </c>
      <c r="E3482" t="inlineStr">
        <is>
          <t>000007418</t>
        </is>
      </c>
      <c r="F3482" t="inlineStr">
        <is>
          <t>R&amp;R TRANSPORTE E LOGISTICA</t>
        </is>
      </c>
      <c r="G3482" s="27" t="n">
        <v>46192</v>
      </c>
      <c r="H3482" s="14" t="n">
        <v>25.71</v>
      </c>
      <c r="I3482" s="14" t="n">
        <v>0</v>
      </c>
      <c r="J3482" s="14" t="n">
        <v>0</v>
      </c>
      <c r="K3482" s="14" t="n">
        <v>0</v>
      </c>
      <c r="L3482" s="14" t="n">
        <v>0</v>
      </c>
      <c r="M3482" s="14">
        <f>IF(B3482="Frete de venda",0,(1-ISNUMBER(SEARCH("556",P3482)))*(I3482*VLOOKUP($B3482,Premissas!$A$4:$E$7,2,0)+J3482*VLOOKUP($B3482,Premissas!$A$4:$E$7,3,0))+K3482*VLOOKUP($B3482,Premissas!$A$4:$E$7,4,0)+L3482*VLOOKUP($B3482,Premissas!$A$4:$E$7,5,0))</f>
        <v/>
      </c>
      <c r="N3482" s="14">
        <f>H3482-M3482</f>
        <v/>
      </c>
      <c r="O3482" t="inlineStr">
        <is>
          <t>Não</t>
        </is>
      </c>
      <c r="P3482" t="inlineStr">
        <is>
          <t>1.350</t>
        </is>
      </c>
    </row>
    <row r="3483">
      <c r="A3483" s="24" t="n">
        <v>46174</v>
      </c>
      <c r="B3483" t="inlineStr">
        <is>
          <t>Frete de venda</t>
        </is>
      </c>
      <c r="C3483" t="inlineStr">
        <is>
          <t>Frete de venda (para clientes)</t>
        </is>
      </c>
      <c r="D3483" t="inlineStr">
        <is>
          <t>CT-e</t>
        </is>
      </c>
      <c r="E3483" t="inlineStr">
        <is>
          <t>000007460</t>
        </is>
      </c>
      <c r="F3483" t="inlineStr">
        <is>
          <t>R&amp;R TRANSPORTE E LOGISTICA</t>
        </is>
      </c>
      <c r="G3483" s="27" t="n">
        <v>46198</v>
      </c>
      <c r="H3483" s="14" t="n">
        <v>140.78</v>
      </c>
      <c r="I3483" s="14" t="n">
        <v>0</v>
      </c>
      <c r="J3483" s="14" t="n">
        <v>0</v>
      </c>
      <c r="K3483" s="14" t="n">
        <v>0</v>
      </c>
      <c r="L3483" s="14" t="n">
        <v>0</v>
      </c>
      <c r="M3483" s="14">
        <f>IF(B3483="Frete de venda",0,(1-ISNUMBER(SEARCH("556",P3483)))*(I3483*VLOOKUP($B3483,Premissas!$A$4:$E$7,2,0)+J3483*VLOOKUP($B3483,Premissas!$A$4:$E$7,3,0))+K3483*VLOOKUP($B3483,Premissas!$A$4:$E$7,4,0)+L3483*VLOOKUP($B3483,Premissas!$A$4:$E$7,5,0))</f>
        <v/>
      </c>
      <c r="N3483" s="14">
        <f>H3483-M3483</f>
        <v/>
      </c>
      <c r="O3483" t="inlineStr">
        <is>
          <t>Não</t>
        </is>
      </c>
      <c r="P3483" t="inlineStr">
        <is>
          <t>1.350</t>
        </is>
      </c>
    </row>
    <row r="3484">
      <c r="A3484" s="24" t="n">
        <v>46174</v>
      </c>
      <c r="B3484" t="inlineStr">
        <is>
          <t>Frete de venda</t>
        </is>
      </c>
      <c r="C3484" t="inlineStr">
        <is>
          <t>Frete de venda (para clientes)</t>
        </is>
      </c>
      <c r="D3484" t="inlineStr">
        <is>
          <t>CT-e</t>
        </is>
      </c>
      <c r="E3484" t="inlineStr">
        <is>
          <t>000007492</t>
        </is>
      </c>
      <c r="F3484" t="inlineStr">
        <is>
          <t>R&amp;R TRANSPORTE E LOGISTICA</t>
        </is>
      </c>
      <c r="G3484" s="27" t="n">
        <v>46199</v>
      </c>
      <c r="H3484" s="14" t="n">
        <v>31.29</v>
      </c>
      <c r="I3484" s="14" t="n">
        <v>0</v>
      </c>
      <c r="J3484" s="14" t="n">
        <v>0</v>
      </c>
      <c r="K3484" s="14" t="n">
        <v>0</v>
      </c>
      <c r="L3484" s="14" t="n">
        <v>0</v>
      </c>
      <c r="M3484" s="14">
        <f>IF(B3484="Frete de venda",0,(1-ISNUMBER(SEARCH("556",P3484)))*(I3484*VLOOKUP($B3484,Premissas!$A$4:$E$7,2,0)+J3484*VLOOKUP($B3484,Premissas!$A$4:$E$7,3,0))+K3484*VLOOKUP($B3484,Premissas!$A$4:$E$7,4,0)+L3484*VLOOKUP($B3484,Premissas!$A$4:$E$7,5,0))</f>
        <v/>
      </c>
      <c r="N3484" s="14">
        <f>H3484-M3484</f>
        <v/>
      </c>
      <c r="O3484" t="inlineStr">
        <is>
          <t>Não</t>
        </is>
      </c>
      <c r="P3484" t="inlineStr">
        <is>
          <t>1.350</t>
        </is>
      </c>
    </row>
    <row r="3485">
      <c r="A3485" s="24" t="n">
        <v>46174</v>
      </c>
      <c r="B3485" t="inlineStr">
        <is>
          <t>Frete de venda</t>
        </is>
      </c>
      <c r="C3485" t="inlineStr">
        <is>
          <t>Frete de venda (para clientes)</t>
        </is>
      </c>
      <c r="D3485" t="inlineStr">
        <is>
          <t>CT-e</t>
        </is>
      </c>
      <c r="E3485" t="inlineStr">
        <is>
          <t>000007466</t>
        </is>
      </c>
      <c r="F3485" t="inlineStr">
        <is>
          <t>R&amp;R TRANSPORTE E LOGISTICA</t>
        </is>
      </c>
      <c r="G3485" s="27" t="n">
        <v>46198</v>
      </c>
      <c r="H3485" s="14" t="n">
        <v>27.84</v>
      </c>
      <c r="I3485" s="14" t="n">
        <v>0</v>
      </c>
      <c r="J3485" s="14" t="n">
        <v>0</v>
      </c>
      <c r="K3485" s="14" t="n">
        <v>0</v>
      </c>
      <c r="L3485" s="14" t="n">
        <v>0</v>
      </c>
      <c r="M3485" s="14">
        <f>IF(B3485="Frete de venda",0,(1-ISNUMBER(SEARCH("556",P3485)))*(I3485*VLOOKUP($B3485,Premissas!$A$4:$E$7,2,0)+J3485*VLOOKUP($B3485,Premissas!$A$4:$E$7,3,0))+K3485*VLOOKUP($B3485,Premissas!$A$4:$E$7,4,0)+L3485*VLOOKUP($B3485,Premissas!$A$4:$E$7,5,0))</f>
        <v/>
      </c>
      <c r="N3485" s="14">
        <f>H3485-M3485</f>
        <v/>
      </c>
      <c r="O3485" t="inlineStr">
        <is>
          <t>Não</t>
        </is>
      </c>
      <c r="P3485" t="inlineStr">
        <is>
          <t>1.350</t>
        </is>
      </c>
    </row>
    <row r="3486">
      <c r="A3486" s="24" t="n">
        <v>46174</v>
      </c>
      <c r="B3486" t="inlineStr">
        <is>
          <t>Frete de venda</t>
        </is>
      </c>
      <c r="C3486" t="inlineStr">
        <is>
          <t>Frete de venda (para clientes)</t>
        </is>
      </c>
      <c r="D3486" t="inlineStr">
        <is>
          <t>CT-e</t>
        </is>
      </c>
      <c r="E3486" t="inlineStr">
        <is>
          <t>000007465</t>
        </is>
      </c>
      <c r="F3486" t="inlineStr">
        <is>
          <t>R&amp;R TRANSPORTE E LOGISTICA</t>
        </is>
      </c>
      <c r="G3486" s="27" t="n">
        <v>46198</v>
      </c>
      <c r="H3486" s="14" t="n">
        <v>22.08</v>
      </c>
      <c r="I3486" s="14" t="n">
        <v>0</v>
      </c>
      <c r="J3486" s="14" t="n">
        <v>0</v>
      </c>
      <c r="K3486" s="14" t="n">
        <v>0</v>
      </c>
      <c r="L3486" s="14" t="n">
        <v>0</v>
      </c>
      <c r="M3486" s="14">
        <f>IF(B3486="Frete de venda",0,(1-ISNUMBER(SEARCH("556",P3486)))*(I3486*VLOOKUP($B3486,Premissas!$A$4:$E$7,2,0)+J3486*VLOOKUP($B3486,Premissas!$A$4:$E$7,3,0))+K3486*VLOOKUP($B3486,Premissas!$A$4:$E$7,4,0)+L3486*VLOOKUP($B3486,Premissas!$A$4:$E$7,5,0))</f>
        <v/>
      </c>
      <c r="N3486" s="14">
        <f>H3486-M3486</f>
        <v/>
      </c>
      <c r="O3486" t="inlineStr">
        <is>
          <t>Não</t>
        </is>
      </c>
      <c r="P3486" t="inlineStr">
        <is>
          <t>1.350</t>
        </is>
      </c>
    </row>
    <row r="3487">
      <c r="A3487" s="24" t="n">
        <v>46174</v>
      </c>
      <c r="B3487" t="inlineStr">
        <is>
          <t>Frete de venda</t>
        </is>
      </c>
      <c r="C3487" t="inlineStr">
        <is>
          <t>Frete de venda (para clientes)</t>
        </is>
      </c>
      <c r="D3487" t="inlineStr">
        <is>
          <t>CT-e</t>
        </is>
      </c>
      <c r="E3487" t="inlineStr">
        <is>
          <t>000007375</t>
        </is>
      </c>
      <c r="F3487" t="inlineStr">
        <is>
          <t>R&amp;R TRANSPORTE E LOGISTICA</t>
        </is>
      </c>
      <c r="G3487" s="27" t="n">
        <v>46190</v>
      </c>
      <c r="H3487" s="14" t="n">
        <v>49.59</v>
      </c>
      <c r="I3487" s="14" t="n">
        <v>0</v>
      </c>
      <c r="J3487" s="14" t="n">
        <v>0</v>
      </c>
      <c r="K3487" s="14" t="n">
        <v>0</v>
      </c>
      <c r="L3487" s="14" t="n">
        <v>0</v>
      </c>
      <c r="M3487" s="14">
        <f>IF(B3487="Frete de venda",0,(1-ISNUMBER(SEARCH("556",P3487)))*(I3487*VLOOKUP($B3487,Premissas!$A$4:$E$7,2,0)+J3487*VLOOKUP($B3487,Premissas!$A$4:$E$7,3,0))+K3487*VLOOKUP($B3487,Premissas!$A$4:$E$7,4,0)+L3487*VLOOKUP($B3487,Premissas!$A$4:$E$7,5,0))</f>
        <v/>
      </c>
      <c r="N3487" s="14">
        <f>H3487-M3487</f>
        <v/>
      </c>
      <c r="O3487" t="inlineStr">
        <is>
          <t>Não</t>
        </is>
      </c>
      <c r="P3487" t="inlineStr">
        <is>
          <t>1.350</t>
        </is>
      </c>
    </row>
    <row r="3488">
      <c r="A3488" s="24" t="n">
        <v>46174</v>
      </c>
      <c r="B3488" t="inlineStr">
        <is>
          <t>Frete de venda</t>
        </is>
      </c>
      <c r="C3488" t="inlineStr">
        <is>
          <t>Frete de venda (para clientes)</t>
        </is>
      </c>
      <c r="D3488" t="inlineStr">
        <is>
          <t>CT-e</t>
        </is>
      </c>
      <c r="E3488" t="inlineStr">
        <is>
          <t>000007340</t>
        </is>
      </c>
      <c r="F3488" t="inlineStr">
        <is>
          <t>R&amp;R TRANSPORTE E LOGISTICA</t>
        </is>
      </c>
      <c r="G3488" s="27" t="n">
        <v>46186</v>
      </c>
      <c r="H3488" s="14" t="n">
        <v>540</v>
      </c>
      <c r="I3488" s="14" t="n">
        <v>0</v>
      </c>
      <c r="J3488" s="14" t="n">
        <v>0</v>
      </c>
      <c r="K3488" s="14" t="n">
        <v>0</v>
      </c>
      <c r="L3488" s="14" t="n">
        <v>0</v>
      </c>
      <c r="M3488" s="14">
        <f>IF(B3488="Frete de venda",0,(1-ISNUMBER(SEARCH("556",P3488)))*(I3488*VLOOKUP($B3488,Premissas!$A$4:$E$7,2,0)+J3488*VLOOKUP($B3488,Premissas!$A$4:$E$7,3,0))+K3488*VLOOKUP($B3488,Premissas!$A$4:$E$7,4,0)+L3488*VLOOKUP($B3488,Premissas!$A$4:$E$7,5,0))</f>
        <v/>
      </c>
      <c r="N3488" s="14">
        <f>H3488-M3488</f>
        <v/>
      </c>
      <c r="O3488" t="inlineStr">
        <is>
          <t>Não</t>
        </is>
      </c>
      <c r="P3488" t="inlineStr">
        <is>
          <t>1.350</t>
        </is>
      </c>
    </row>
    <row r="3489">
      <c r="A3489" s="24" t="n">
        <v>46174</v>
      </c>
      <c r="B3489" t="inlineStr">
        <is>
          <t>Frete de venda</t>
        </is>
      </c>
      <c r="C3489" t="inlineStr">
        <is>
          <t>Frete de venda (para clientes)</t>
        </is>
      </c>
      <c r="D3489" t="inlineStr">
        <is>
          <t>CT-e</t>
        </is>
      </c>
      <c r="E3489" t="inlineStr">
        <is>
          <t>000007267</t>
        </is>
      </c>
      <c r="F3489" t="inlineStr">
        <is>
          <t>R&amp;R TRANSPORTE E LOGISTICA</t>
        </is>
      </c>
      <c r="G3489" s="27" t="n">
        <v>46177</v>
      </c>
      <c r="H3489" s="14" t="n">
        <v>12044.57</v>
      </c>
      <c r="I3489" s="14" t="n">
        <v>0</v>
      </c>
      <c r="J3489" s="14" t="n">
        <v>0</v>
      </c>
      <c r="K3489" s="14" t="n">
        <v>0</v>
      </c>
      <c r="L3489" s="14" t="n">
        <v>0</v>
      </c>
      <c r="M3489" s="14">
        <f>IF(B3489="Frete de venda",0,(1-ISNUMBER(SEARCH("556",P3489)))*(I3489*VLOOKUP($B3489,Premissas!$A$4:$E$7,2,0)+J3489*VLOOKUP($B3489,Premissas!$A$4:$E$7,3,0))+K3489*VLOOKUP($B3489,Premissas!$A$4:$E$7,4,0)+L3489*VLOOKUP($B3489,Premissas!$A$4:$E$7,5,0))</f>
        <v/>
      </c>
      <c r="N3489" s="14">
        <f>H3489-M3489</f>
        <v/>
      </c>
      <c r="O3489" t="inlineStr">
        <is>
          <t>Não</t>
        </is>
      </c>
      <c r="P3489" t="inlineStr">
        <is>
          <t>1.350</t>
        </is>
      </c>
    </row>
    <row r="3490">
      <c r="A3490" s="24" t="n">
        <v>46174</v>
      </c>
      <c r="B3490" t="inlineStr">
        <is>
          <t>Frete de venda</t>
        </is>
      </c>
      <c r="C3490" t="inlineStr">
        <is>
          <t>Frete de venda (para clientes)</t>
        </is>
      </c>
      <c r="D3490" t="inlineStr">
        <is>
          <t>CT-e</t>
        </is>
      </c>
      <c r="E3490" t="inlineStr">
        <is>
          <t>000007276</t>
        </is>
      </c>
      <c r="F3490" t="inlineStr">
        <is>
          <t>R&amp;R TRANSPORTE E LOGISTICA</t>
        </is>
      </c>
      <c r="G3490" s="27" t="n">
        <v>46179</v>
      </c>
      <c r="H3490" s="14" t="n">
        <v>685</v>
      </c>
      <c r="I3490" s="14" t="n">
        <v>0</v>
      </c>
      <c r="J3490" s="14" t="n">
        <v>0</v>
      </c>
      <c r="K3490" s="14" t="n">
        <v>0</v>
      </c>
      <c r="L3490" s="14" t="n">
        <v>0</v>
      </c>
      <c r="M3490" s="14">
        <f>IF(B3490="Frete de venda",0,(1-ISNUMBER(SEARCH("556",P3490)))*(I3490*VLOOKUP($B3490,Premissas!$A$4:$E$7,2,0)+J3490*VLOOKUP($B3490,Premissas!$A$4:$E$7,3,0))+K3490*VLOOKUP($B3490,Premissas!$A$4:$E$7,4,0)+L3490*VLOOKUP($B3490,Premissas!$A$4:$E$7,5,0))</f>
        <v/>
      </c>
      <c r="N3490" s="14">
        <f>H3490-M3490</f>
        <v/>
      </c>
      <c r="O3490" t="inlineStr">
        <is>
          <t>Não</t>
        </is>
      </c>
      <c r="P3490" t="inlineStr">
        <is>
          <t>1.350</t>
        </is>
      </c>
    </row>
    <row r="3491">
      <c r="A3491" s="24" t="n">
        <v>46174</v>
      </c>
      <c r="B3491" t="inlineStr">
        <is>
          <t>Frete de venda</t>
        </is>
      </c>
      <c r="C3491" t="inlineStr">
        <is>
          <t>Frete de venda (para clientes)</t>
        </is>
      </c>
      <c r="D3491" t="inlineStr">
        <is>
          <t>CT-e</t>
        </is>
      </c>
      <c r="E3491" t="inlineStr">
        <is>
          <t>000007437</t>
        </is>
      </c>
      <c r="F3491" t="inlineStr">
        <is>
          <t>R&amp;R TRANSPORTE E LOGISTICA</t>
        </is>
      </c>
      <c r="G3491" s="27" t="n">
        <v>46193</v>
      </c>
      <c r="H3491" s="14" t="n">
        <v>535.48</v>
      </c>
      <c r="I3491" s="14" t="n">
        <v>0</v>
      </c>
      <c r="J3491" s="14" t="n">
        <v>0</v>
      </c>
      <c r="K3491" s="14" t="n">
        <v>0</v>
      </c>
      <c r="L3491" s="14" t="n">
        <v>0</v>
      </c>
      <c r="M3491" s="14">
        <f>IF(B3491="Frete de venda",0,(1-ISNUMBER(SEARCH("556",P3491)))*(I3491*VLOOKUP($B3491,Premissas!$A$4:$E$7,2,0)+J3491*VLOOKUP($B3491,Premissas!$A$4:$E$7,3,0))+K3491*VLOOKUP($B3491,Premissas!$A$4:$E$7,4,0)+L3491*VLOOKUP($B3491,Premissas!$A$4:$E$7,5,0))</f>
        <v/>
      </c>
      <c r="N3491" s="14">
        <f>H3491-M3491</f>
        <v/>
      </c>
      <c r="O3491" t="inlineStr">
        <is>
          <t>Não</t>
        </is>
      </c>
      <c r="P3491" t="inlineStr">
        <is>
          <t>1.350</t>
        </is>
      </c>
    </row>
    <row r="3492">
      <c r="A3492" s="24" t="n">
        <v>46174</v>
      </c>
      <c r="B3492" t="inlineStr">
        <is>
          <t>Frete de venda</t>
        </is>
      </c>
      <c r="C3492" t="inlineStr">
        <is>
          <t>Frete de venda (para clientes)</t>
        </is>
      </c>
      <c r="D3492" t="inlineStr">
        <is>
          <t>CT-e</t>
        </is>
      </c>
      <c r="E3492" t="inlineStr">
        <is>
          <t>000007424</t>
        </is>
      </c>
      <c r="F3492" t="inlineStr">
        <is>
          <t>R&amp;R TRANSPORTE E LOGISTICA</t>
        </is>
      </c>
      <c r="G3492" s="27" t="n">
        <v>46192</v>
      </c>
      <c r="H3492" s="14" t="n">
        <v>32.7</v>
      </c>
      <c r="I3492" s="14" t="n">
        <v>0</v>
      </c>
      <c r="J3492" s="14" t="n">
        <v>0</v>
      </c>
      <c r="K3492" s="14" t="n">
        <v>0</v>
      </c>
      <c r="L3492" s="14" t="n">
        <v>0</v>
      </c>
      <c r="M3492" s="14">
        <f>IF(B3492="Frete de venda",0,(1-ISNUMBER(SEARCH("556",P3492)))*(I3492*VLOOKUP($B3492,Premissas!$A$4:$E$7,2,0)+J3492*VLOOKUP($B3492,Premissas!$A$4:$E$7,3,0))+K3492*VLOOKUP($B3492,Premissas!$A$4:$E$7,4,0)+L3492*VLOOKUP($B3492,Premissas!$A$4:$E$7,5,0))</f>
        <v/>
      </c>
      <c r="N3492" s="14">
        <f>H3492-M3492</f>
        <v/>
      </c>
      <c r="O3492" t="inlineStr">
        <is>
          <t>Não</t>
        </is>
      </c>
      <c r="P3492" t="inlineStr">
        <is>
          <t>1.350</t>
        </is>
      </c>
    </row>
    <row r="3493">
      <c r="A3493" s="24" t="n">
        <v>46174</v>
      </c>
      <c r="B3493" t="inlineStr">
        <is>
          <t>Frete de venda</t>
        </is>
      </c>
      <c r="C3493" t="inlineStr">
        <is>
          <t>Frete de venda (para clientes)</t>
        </is>
      </c>
      <c r="D3493" t="inlineStr">
        <is>
          <t>CT-e</t>
        </is>
      </c>
      <c r="E3493" t="inlineStr">
        <is>
          <t>000007425</t>
        </is>
      </c>
      <c r="F3493" t="inlineStr">
        <is>
          <t>R&amp;R TRANSPORTE E LOGISTICA</t>
        </is>
      </c>
      <c r="G3493" s="27" t="n">
        <v>46192</v>
      </c>
      <c r="H3493" s="14" t="n">
        <v>33.7</v>
      </c>
      <c r="I3493" s="14" t="n">
        <v>0</v>
      </c>
      <c r="J3493" s="14" t="n">
        <v>0</v>
      </c>
      <c r="K3493" s="14" t="n">
        <v>0</v>
      </c>
      <c r="L3493" s="14" t="n">
        <v>0</v>
      </c>
      <c r="M3493" s="14">
        <f>IF(B3493="Frete de venda",0,(1-ISNUMBER(SEARCH("556",P3493)))*(I3493*VLOOKUP($B3493,Premissas!$A$4:$E$7,2,0)+J3493*VLOOKUP($B3493,Premissas!$A$4:$E$7,3,0))+K3493*VLOOKUP($B3493,Premissas!$A$4:$E$7,4,0)+L3493*VLOOKUP($B3493,Premissas!$A$4:$E$7,5,0))</f>
        <v/>
      </c>
      <c r="N3493" s="14">
        <f>H3493-M3493</f>
        <v/>
      </c>
      <c r="O3493" t="inlineStr">
        <is>
          <t>Não</t>
        </is>
      </c>
      <c r="P3493" t="inlineStr">
        <is>
          <t>1.350</t>
        </is>
      </c>
    </row>
    <row r="3494">
      <c r="A3494" s="24" t="n">
        <v>46174</v>
      </c>
      <c r="B3494" t="inlineStr">
        <is>
          <t>Frete de venda</t>
        </is>
      </c>
      <c r="C3494" t="inlineStr">
        <is>
          <t>Frete de venda (para clientes)</t>
        </is>
      </c>
      <c r="D3494" t="inlineStr">
        <is>
          <t>CT-e</t>
        </is>
      </c>
      <c r="E3494" t="inlineStr">
        <is>
          <t>000007379</t>
        </is>
      </c>
      <c r="F3494" t="inlineStr">
        <is>
          <t>R&amp;R TRANSPORTE E LOGISTICA</t>
        </is>
      </c>
      <c r="G3494" s="27" t="n">
        <v>46190</v>
      </c>
      <c r="H3494" s="14" t="n">
        <v>43.56</v>
      </c>
      <c r="I3494" s="14" t="n">
        <v>0</v>
      </c>
      <c r="J3494" s="14" t="n">
        <v>0</v>
      </c>
      <c r="K3494" s="14" t="n">
        <v>0</v>
      </c>
      <c r="L3494" s="14" t="n">
        <v>0</v>
      </c>
      <c r="M3494" s="14">
        <f>IF(B3494="Frete de venda",0,(1-ISNUMBER(SEARCH("556",P3494)))*(I3494*VLOOKUP($B3494,Premissas!$A$4:$E$7,2,0)+J3494*VLOOKUP($B3494,Premissas!$A$4:$E$7,3,0))+K3494*VLOOKUP($B3494,Premissas!$A$4:$E$7,4,0)+L3494*VLOOKUP($B3494,Premissas!$A$4:$E$7,5,0))</f>
        <v/>
      </c>
      <c r="N3494" s="14">
        <f>H3494-M3494</f>
        <v/>
      </c>
      <c r="O3494" t="inlineStr">
        <is>
          <t>Não</t>
        </is>
      </c>
      <c r="P3494" t="inlineStr">
        <is>
          <t>1.350</t>
        </is>
      </c>
    </row>
    <row r="3495">
      <c r="A3495" s="24" t="n">
        <v>46174</v>
      </c>
      <c r="B3495" t="inlineStr">
        <is>
          <t>Frete de venda</t>
        </is>
      </c>
      <c r="C3495" t="inlineStr">
        <is>
          <t>Frete de venda (para clientes)</t>
        </is>
      </c>
      <c r="D3495" t="inlineStr">
        <is>
          <t>CT-e</t>
        </is>
      </c>
      <c r="E3495" t="inlineStr">
        <is>
          <t>000007256</t>
        </is>
      </c>
      <c r="F3495" t="inlineStr">
        <is>
          <t>R&amp;R TRANSPORTE E LOGISTICA</t>
        </is>
      </c>
      <c r="G3495" s="27" t="n">
        <v>46176</v>
      </c>
      <c r="H3495" s="14" t="n">
        <v>53</v>
      </c>
      <c r="I3495" s="14" t="n">
        <v>0</v>
      </c>
      <c r="J3495" s="14" t="n">
        <v>0</v>
      </c>
      <c r="K3495" s="14" t="n">
        <v>0</v>
      </c>
      <c r="L3495" s="14" t="n">
        <v>0</v>
      </c>
      <c r="M3495" s="14">
        <f>IF(B3495="Frete de venda",0,(1-ISNUMBER(SEARCH("556",P3495)))*(I3495*VLOOKUP($B3495,Premissas!$A$4:$E$7,2,0)+J3495*VLOOKUP($B3495,Premissas!$A$4:$E$7,3,0))+K3495*VLOOKUP($B3495,Premissas!$A$4:$E$7,4,0)+L3495*VLOOKUP($B3495,Premissas!$A$4:$E$7,5,0))</f>
        <v/>
      </c>
      <c r="N3495" s="14">
        <f>H3495-M3495</f>
        <v/>
      </c>
      <c r="O3495" t="inlineStr">
        <is>
          <t>Não</t>
        </is>
      </c>
      <c r="P3495" t="inlineStr">
        <is>
          <t>1.350</t>
        </is>
      </c>
    </row>
    <row r="3496">
      <c r="A3496" s="24" t="n">
        <v>46174</v>
      </c>
      <c r="B3496" t="inlineStr">
        <is>
          <t>Frete de venda</t>
        </is>
      </c>
      <c r="C3496" t="inlineStr">
        <is>
          <t>Frete de venda (para clientes)</t>
        </is>
      </c>
      <c r="D3496" t="inlineStr">
        <is>
          <t>CT-e</t>
        </is>
      </c>
      <c r="E3496" t="inlineStr">
        <is>
          <t>000007430</t>
        </is>
      </c>
      <c r="F3496" t="inlineStr">
        <is>
          <t>R&amp;R TRANSPORTE E LOGISTICA</t>
        </is>
      </c>
      <c r="G3496" s="27" t="n">
        <v>46192</v>
      </c>
      <c r="H3496" s="14" t="n">
        <v>470</v>
      </c>
      <c r="I3496" s="14" t="n">
        <v>0</v>
      </c>
      <c r="J3496" s="14" t="n">
        <v>0</v>
      </c>
      <c r="K3496" s="14" t="n">
        <v>0</v>
      </c>
      <c r="L3496" s="14" t="n">
        <v>0</v>
      </c>
      <c r="M3496" s="14">
        <f>IF(B3496="Frete de venda",0,(1-ISNUMBER(SEARCH("556",P3496)))*(I3496*VLOOKUP($B3496,Premissas!$A$4:$E$7,2,0)+J3496*VLOOKUP($B3496,Premissas!$A$4:$E$7,3,0))+K3496*VLOOKUP($B3496,Premissas!$A$4:$E$7,4,0)+L3496*VLOOKUP($B3496,Premissas!$A$4:$E$7,5,0))</f>
        <v/>
      </c>
      <c r="N3496" s="14">
        <f>H3496-M3496</f>
        <v/>
      </c>
      <c r="O3496" t="inlineStr">
        <is>
          <t>Não</t>
        </is>
      </c>
      <c r="P3496" t="inlineStr">
        <is>
          <t>1.350</t>
        </is>
      </c>
    </row>
    <row r="3497">
      <c r="A3497" s="24" t="n">
        <v>46174</v>
      </c>
      <c r="B3497" t="inlineStr">
        <is>
          <t>Frete de venda</t>
        </is>
      </c>
      <c r="C3497" t="inlineStr">
        <is>
          <t>Frete de venda (para clientes)</t>
        </is>
      </c>
      <c r="D3497" t="inlineStr">
        <is>
          <t>CT-e</t>
        </is>
      </c>
      <c r="E3497" t="inlineStr">
        <is>
          <t>000007327</t>
        </is>
      </c>
      <c r="F3497" t="inlineStr">
        <is>
          <t>R&amp;R TRANSPORTE E LOGISTICA</t>
        </is>
      </c>
      <c r="G3497" s="27" t="n">
        <v>46186</v>
      </c>
      <c r="H3497" s="14" t="n">
        <v>19.43</v>
      </c>
      <c r="I3497" s="14" t="n">
        <v>0</v>
      </c>
      <c r="J3497" s="14" t="n">
        <v>0</v>
      </c>
      <c r="K3497" s="14" t="n">
        <v>0</v>
      </c>
      <c r="L3497" s="14" t="n">
        <v>0</v>
      </c>
      <c r="M3497" s="14">
        <f>IF(B3497="Frete de venda",0,(1-ISNUMBER(SEARCH("556",P3497)))*(I3497*VLOOKUP($B3497,Premissas!$A$4:$E$7,2,0)+J3497*VLOOKUP($B3497,Premissas!$A$4:$E$7,3,0))+K3497*VLOOKUP($B3497,Premissas!$A$4:$E$7,4,0)+L3497*VLOOKUP($B3497,Premissas!$A$4:$E$7,5,0))</f>
        <v/>
      </c>
      <c r="N3497" s="14">
        <f>H3497-M3497</f>
        <v/>
      </c>
      <c r="O3497" t="inlineStr">
        <is>
          <t>Não</t>
        </is>
      </c>
      <c r="P3497" t="inlineStr">
        <is>
          <t>1.350</t>
        </is>
      </c>
    </row>
    <row r="3498">
      <c r="A3498" s="24" t="n">
        <v>46174</v>
      </c>
      <c r="B3498" t="inlineStr">
        <is>
          <t>Frete de venda</t>
        </is>
      </c>
      <c r="C3498" t="inlineStr">
        <is>
          <t>Frete de venda (para clientes)</t>
        </is>
      </c>
      <c r="D3498" t="inlineStr">
        <is>
          <t>CT-e</t>
        </is>
      </c>
      <c r="E3498" t="inlineStr">
        <is>
          <t>000007272</t>
        </is>
      </c>
      <c r="F3498" t="inlineStr">
        <is>
          <t>R&amp;R TRANSPORTE E LOGISTICA</t>
        </is>
      </c>
      <c r="G3498" s="27" t="n">
        <v>46178</v>
      </c>
      <c r="H3498" s="14" t="n">
        <v>160.5</v>
      </c>
      <c r="I3498" s="14" t="n">
        <v>0</v>
      </c>
      <c r="J3498" s="14" t="n">
        <v>0</v>
      </c>
      <c r="K3498" s="14" t="n">
        <v>0</v>
      </c>
      <c r="L3498" s="14" t="n">
        <v>0</v>
      </c>
      <c r="M3498" s="14">
        <f>IF(B3498="Frete de venda",0,(1-ISNUMBER(SEARCH("556",P3498)))*(I3498*VLOOKUP($B3498,Premissas!$A$4:$E$7,2,0)+J3498*VLOOKUP($B3498,Premissas!$A$4:$E$7,3,0))+K3498*VLOOKUP($B3498,Premissas!$A$4:$E$7,4,0)+L3498*VLOOKUP($B3498,Premissas!$A$4:$E$7,5,0))</f>
        <v/>
      </c>
      <c r="N3498" s="14">
        <f>H3498-M3498</f>
        <v/>
      </c>
      <c r="O3498" t="inlineStr">
        <is>
          <t>Não</t>
        </is>
      </c>
      <c r="P3498" t="inlineStr">
        <is>
          <t>1.350</t>
        </is>
      </c>
    </row>
    <row r="3499">
      <c r="A3499" s="24" t="n">
        <v>46174</v>
      </c>
      <c r="B3499" t="inlineStr">
        <is>
          <t>Frete de venda</t>
        </is>
      </c>
      <c r="C3499" t="inlineStr">
        <is>
          <t>Frete de venda (para clientes)</t>
        </is>
      </c>
      <c r="D3499" t="inlineStr">
        <is>
          <t>CT-e</t>
        </is>
      </c>
      <c r="E3499" t="inlineStr">
        <is>
          <t>000008880</t>
        </is>
      </c>
      <c r="F3499" t="inlineStr">
        <is>
          <t>BEM TRANSPORTES E LOGISTICA</t>
        </is>
      </c>
      <c r="G3499" s="27" t="n">
        <v>46185</v>
      </c>
      <c r="H3499" s="14" t="n">
        <v>5812.5</v>
      </c>
      <c r="I3499" s="14" t="n">
        <v>0</v>
      </c>
      <c r="J3499" s="14" t="n">
        <v>0</v>
      </c>
      <c r="K3499" s="14" t="n">
        <v>0</v>
      </c>
      <c r="L3499" s="14" t="n">
        <v>0</v>
      </c>
      <c r="M3499" s="14">
        <f>IF(B3499="Frete de venda",0,(1-ISNUMBER(SEARCH("556",P3499)))*(I3499*VLOOKUP($B3499,Premissas!$A$4:$E$7,2,0)+J3499*VLOOKUP($B3499,Premissas!$A$4:$E$7,3,0))+K3499*VLOOKUP($B3499,Premissas!$A$4:$E$7,4,0)+L3499*VLOOKUP($B3499,Premissas!$A$4:$E$7,5,0))</f>
        <v/>
      </c>
      <c r="N3499" s="14">
        <f>H3499-M3499</f>
        <v/>
      </c>
      <c r="O3499" t="inlineStr">
        <is>
          <t>Sim</t>
        </is>
      </c>
      <c r="P3499" t="inlineStr">
        <is>
          <t>2.350</t>
        </is>
      </c>
    </row>
    <row r="3500">
      <c r="A3500" s="24" t="n">
        <v>46174</v>
      </c>
      <c r="B3500" t="inlineStr">
        <is>
          <t>Frete de venda</t>
        </is>
      </c>
      <c r="C3500" t="inlineStr">
        <is>
          <t>Frete de venda (para clientes)</t>
        </is>
      </c>
      <c r="D3500" t="inlineStr">
        <is>
          <t>CT-e</t>
        </is>
      </c>
      <c r="E3500" t="inlineStr">
        <is>
          <t>000007357</t>
        </is>
      </c>
      <c r="F3500" t="inlineStr">
        <is>
          <t>R&amp;R TRANSPORTE E LOGISTICA</t>
        </is>
      </c>
      <c r="G3500" s="27" t="n">
        <v>46189</v>
      </c>
      <c r="H3500" s="14" t="n">
        <v>29.29</v>
      </c>
      <c r="I3500" s="14" t="n">
        <v>0</v>
      </c>
      <c r="J3500" s="14" t="n">
        <v>0</v>
      </c>
      <c r="K3500" s="14" t="n">
        <v>0</v>
      </c>
      <c r="L3500" s="14" t="n">
        <v>0</v>
      </c>
      <c r="M3500" s="14">
        <f>IF(B3500="Frete de venda",0,(1-ISNUMBER(SEARCH("556",P3500)))*(I3500*VLOOKUP($B3500,Premissas!$A$4:$E$7,2,0)+J3500*VLOOKUP($B3500,Premissas!$A$4:$E$7,3,0))+K3500*VLOOKUP($B3500,Premissas!$A$4:$E$7,4,0)+L3500*VLOOKUP($B3500,Premissas!$A$4:$E$7,5,0))</f>
        <v/>
      </c>
      <c r="N3500" s="14">
        <f>H3500-M3500</f>
        <v/>
      </c>
      <c r="O3500" t="inlineStr">
        <is>
          <t>Não</t>
        </is>
      </c>
      <c r="P3500" t="inlineStr">
        <is>
          <t>1.350</t>
        </is>
      </c>
    </row>
    <row r="3501">
      <c r="A3501" s="24" t="n">
        <v>46174</v>
      </c>
      <c r="B3501" t="inlineStr">
        <is>
          <t>Frete de venda</t>
        </is>
      </c>
      <c r="C3501" t="inlineStr">
        <is>
          <t>Frete de venda (para clientes)</t>
        </is>
      </c>
      <c r="D3501" t="inlineStr">
        <is>
          <t>CT-e</t>
        </is>
      </c>
      <c r="E3501" t="inlineStr">
        <is>
          <t>000004258</t>
        </is>
      </c>
      <c r="F3501" t="inlineStr">
        <is>
          <t>RAPIDO XAPURI TRANSPORTES E LOGISTICA LTDA</t>
        </is>
      </c>
      <c r="G3501" s="27" t="n">
        <v>46192</v>
      </c>
      <c r="H3501" s="14" t="n">
        <v>1414.66</v>
      </c>
      <c r="I3501" s="14" t="n">
        <v>0</v>
      </c>
      <c r="J3501" s="14" t="n">
        <v>169.76</v>
      </c>
      <c r="K3501" s="14" t="n">
        <v>0</v>
      </c>
      <c r="L3501" s="14" t="n">
        <v>0</v>
      </c>
      <c r="M3501" s="14">
        <f>IF(B3501="Frete de venda",0,(1-ISNUMBER(SEARCH("556",P3501)))*(I3501*VLOOKUP($B3501,Premissas!$A$4:$E$7,2,0)+J3501*VLOOKUP($B3501,Premissas!$A$4:$E$7,3,0))+K3501*VLOOKUP($B3501,Premissas!$A$4:$E$7,4,0)+L3501*VLOOKUP($B3501,Premissas!$A$4:$E$7,5,0))</f>
        <v/>
      </c>
      <c r="N3501" s="14">
        <f>H3501-M3501</f>
        <v/>
      </c>
      <c r="O3501" t="inlineStr">
        <is>
          <t>Sim</t>
        </is>
      </c>
      <c r="P3501" t="inlineStr">
        <is>
          <t>2.350</t>
        </is>
      </c>
    </row>
    <row r="3502">
      <c r="A3502" s="24" t="n">
        <v>46174</v>
      </c>
      <c r="B3502" t="inlineStr">
        <is>
          <t>Frete de venda</t>
        </is>
      </c>
      <c r="C3502" t="inlineStr">
        <is>
          <t>Frete de venda (para clientes)</t>
        </is>
      </c>
      <c r="D3502" t="inlineStr">
        <is>
          <t>CT-e</t>
        </is>
      </c>
      <c r="E3502" t="inlineStr">
        <is>
          <t>000007447</t>
        </is>
      </c>
      <c r="F3502" t="inlineStr">
        <is>
          <t>R&amp;R TRANSPORTE E LOGISTICA</t>
        </is>
      </c>
      <c r="G3502" s="27" t="n">
        <v>46196</v>
      </c>
      <c r="H3502" s="14" t="n">
        <v>43.07</v>
      </c>
      <c r="I3502" s="14" t="n">
        <v>0</v>
      </c>
      <c r="J3502" s="14" t="n">
        <v>0</v>
      </c>
      <c r="K3502" s="14" t="n">
        <v>0</v>
      </c>
      <c r="L3502" s="14" t="n">
        <v>0</v>
      </c>
      <c r="M3502" s="14">
        <f>IF(B3502="Frete de venda",0,(1-ISNUMBER(SEARCH("556",P3502)))*(I3502*VLOOKUP($B3502,Premissas!$A$4:$E$7,2,0)+J3502*VLOOKUP($B3502,Premissas!$A$4:$E$7,3,0))+K3502*VLOOKUP($B3502,Premissas!$A$4:$E$7,4,0)+L3502*VLOOKUP($B3502,Premissas!$A$4:$E$7,5,0))</f>
        <v/>
      </c>
      <c r="N3502" s="14">
        <f>H3502-M3502</f>
        <v/>
      </c>
      <c r="O3502" t="inlineStr">
        <is>
          <t>Não</t>
        </is>
      </c>
      <c r="P3502" t="inlineStr">
        <is>
          <t>1.350</t>
        </is>
      </c>
    </row>
    <row r="3503">
      <c r="A3503" s="24" t="n">
        <v>46174</v>
      </c>
      <c r="B3503" t="inlineStr">
        <is>
          <t>Frete de venda</t>
        </is>
      </c>
      <c r="C3503" t="inlineStr">
        <is>
          <t>Frete de venda (para clientes)</t>
        </is>
      </c>
      <c r="D3503" t="inlineStr">
        <is>
          <t>CT-e</t>
        </is>
      </c>
      <c r="E3503" t="inlineStr">
        <is>
          <t>000007337</t>
        </is>
      </c>
      <c r="F3503" t="inlineStr">
        <is>
          <t>R&amp;R TRANSPORTE E LOGISTICA</t>
        </is>
      </c>
      <c r="G3503" s="27" t="n">
        <v>46186</v>
      </c>
      <c r="H3503" s="14" t="n">
        <v>540</v>
      </c>
      <c r="I3503" s="14" t="n">
        <v>0</v>
      </c>
      <c r="J3503" s="14" t="n">
        <v>0</v>
      </c>
      <c r="K3503" s="14" t="n">
        <v>0</v>
      </c>
      <c r="L3503" s="14" t="n">
        <v>0</v>
      </c>
      <c r="M3503" s="14">
        <f>IF(B3503="Frete de venda",0,(1-ISNUMBER(SEARCH("556",P3503)))*(I3503*VLOOKUP($B3503,Premissas!$A$4:$E$7,2,0)+J3503*VLOOKUP($B3503,Premissas!$A$4:$E$7,3,0))+K3503*VLOOKUP($B3503,Premissas!$A$4:$E$7,4,0)+L3503*VLOOKUP($B3503,Premissas!$A$4:$E$7,5,0))</f>
        <v/>
      </c>
      <c r="N3503" s="14">
        <f>H3503-M3503</f>
        <v/>
      </c>
      <c r="O3503" t="inlineStr">
        <is>
          <t>Não</t>
        </is>
      </c>
      <c r="P3503" t="inlineStr">
        <is>
          <t>1.350</t>
        </is>
      </c>
    </row>
    <row r="3504">
      <c r="A3504" s="24" t="n">
        <v>46174</v>
      </c>
      <c r="B3504" t="inlineStr">
        <is>
          <t>Frete de venda</t>
        </is>
      </c>
      <c r="C3504" t="inlineStr">
        <is>
          <t>Frete de venda (para clientes)</t>
        </is>
      </c>
      <c r="D3504" t="inlineStr">
        <is>
          <t>CT-e</t>
        </is>
      </c>
      <c r="E3504" t="inlineStr">
        <is>
          <t>000007261</t>
        </is>
      </c>
      <c r="F3504" t="inlineStr">
        <is>
          <t>R&amp;R TRANSPORTE E LOGISTICA</t>
        </is>
      </c>
      <c r="G3504" s="27" t="n">
        <v>46176</v>
      </c>
      <c r="H3504" s="14" t="n">
        <v>53</v>
      </c>
      <c r="I3504" s="14" t="n">
        <v>0</v>
      </c>
      <c r="J3504" s="14" t="n">
        <v>0</v>
      </c>
      <c r="K3504" s="14" t="n">
        <v>0</v>
      </c>
      <c r="L3504" s="14" t="n">
        <v>0</v>
      </c>
      <c r="M3504" s="14">
        <f>IF(B3504="Frete de venda",0,(1-ISNUMBER(SEARCH("556",P3504)))*(I3504*VLOOKUP($B3504,Premissas!$A$4:$E$7,2,0)+J3504*VLOOKUP($B3504,Premissas!$A$4:$E$7,3,0))+K3504*VLOOKUP($B3504,Premissas!$A$4:$E$7,4,0)+L3504*VLOOKUP($B3504,Premissas!$A$4:$E$7,5,0))</f>
        <v/>
      </c>
      <c r="N3504" s="14">
        <f>H3504-M3504</f>
        <v/>
      </c>
      <c r="O3504" t="inlineStr">
        <is>
          <t>Não</t>
        </is>
      </c>
      <c r="P3504" t="inlineStr">
        <is>
          <t>1.350</t>
        </is>
      </c>
    </row>
    <row r="3505">
      <c r="A3505" s="24" t="n">
        <v>46174</v>
      </c>
      <c r="B3505" t="inlineStr">
        <is>
          <t>Frete de venda</t>
        </is>
      </c>
      <c r="C3505" t="inlineStr">
        <is>
          <t>Frete de venda (para clientes)</t>
        </is>
      </c>
      <c r="D3505" t="inlineStr">
        <is>
          <t>CT-e</t>
        </is>
      </c>
      <c r="E3505" t="inlineStr">
        <is>
          <t>000000704</t>
        </is>
      </c>
      <c r="F3505" t="inlineStr">
        <is>
          <t>REIMAG - REINALDO DOMINGUES BARROS DA SILVA</t>
        </is>
      </c>
      <c r="G3505" s="27" t="n">
        <v>46196</v>
      </c>
      <c r="H3505" s="14" t="n">
        <v>400</v>
      </c>
      <c r="I3505" s="14" t="n">
        <v>0</v>
      </c>
      <c r="J3505" s="14" t="n">
        <v>0</v>
      </c>
      <c r="K3505" s="14" t="n">
        <v>0</v>
      </c>
      <c r="L3505" s="14" t="n">
        <v>0</v>
      </c>
      <c r="M3505" s="14">
        <f>IF(B3505="Frete de venda",0,(1-ISNUMBER(SEARCH("556",P3505)))*(I3505*VLOOKUP($B3505,Premissas!$A$4:$E$7,2,0)+J3505*VLOOKUP($B3505,Premissas!$A$4:$E$7,3,0))+K3505*VLOOKUP($B3505,Premissas!$A$4:$E$7,4,0)+L3505*VLOOKUP($B3505,Premissas!$A$4:$E$7,5,0))</f>
        <v/>
      </c>
      <c r="N3505" s="14">
        <f>H3505-M3505</f>
        <v/>
      </c>
      <c r="O3505" t="inlineStr">
        <is>
          <t>Sim</t>
        </is>
      </c>
      <c r="P3505" t="inlineStr">
        <is>
          <t>1.350</t>
        </is>
      </c>
    </row>
    <row r="3506">
      <c r="A3506" s="24" t="n">
        <v>46174</v>
      </c>
      <c r="B3506" t="inlineStr">
        <is>
          <t>Frete de venda</t>
        </is>
      </c>
      <c r="C3506" t="inlineStr">
        <is>
          <t>Frete de venda (para clientes)</t>
        </is>
      </c>
      <c r="D3506" t="inlineStr">
        <is>
          <t>CT-e</t>
        </is>
      </c>
      <c r="E3506" t="inlineStr">
        <is>
          <t>000007400</t>
        </is>
      </c>
      <c r="F3506" t="inlineStr">
        <is>
          <t>R&amp;R TRANSPORTE E LOGISTICA</t>
        </is>
      </c>
      <c r="G3506" s="27" t="n">
        <v>46192</v>
      </c>
      <c r="H3506" s="14" t="n">
        <v>40.7</v>
      </c>
      <c r="I3506" s="14" t="n">
        <v>0</v>
      </c>
      <c r="J3506" s="14" t="n">
        <v>0</v>
      </c>
      <c r="K3506" s="14" t="n">
        <v>0</v>
      </c>
      <c r="L3506" s="14" t="n">
        <v>0</v>
      </c>
      <c r="M3506" s="14">
        <f>IF(B3506="Frete de venda",0,(1-ISNUMBER(SEARCH("556",P3506)))*(I3506*VLOOKUP($B3506,Premissas!$A$4:$E$7,2,0)+J3506*VLOOKUP($B3506,Premissas!$A$4:$E$7,3,0))+K3506*VLOOKUP($B3506,Premissas!$A$4:$E$7,4,0)+L3506*VLOOKUP($B3506,Premissas!$A$4:$E$7,5,0))</f>
        <v/>
      </c>
      <c r="N3506" s="14">
        <f>H3506-M3506</f>
        <v/>
      </c>
      <c r="O3506" t="inlineStr">
        <is>
          <t>Não</t>
        </is>
      </c>
      <c r="P3506" t="inlineStr">
        <is>
          <t>1.350</t>
        </is>
      </c>
    </row>
    <row r="3507">
      <c r="A3507" s="24" t="n">
        <v>46174</v>
      </c>
      <c r="B3507" t="inlineStr">
        <is>
          <t>Frete de venda</t>
        </is>
      </c>
      <c r="C3507" t="inlineStr">
        <is>
          <t>Frete de venda (para clientes)</t>
        </is>
      </c>
      <c r="D3507" t="inlineStr">
        <is>
          <t>CT-e</t>
        </is>
      </c>
      <c r="E3507" t="inlineStr">
        <is>
          <t>000007433</t>
        </is>
      </c>
      <c r="F3507" t="inlineStr">
        <is>
          <t>R&amp;R TRANSPORTE E LOGISTICA</t>
        </is>
      </c>
      <c r="G3507" s="27" t="n">
        <v>46193</v>
      </c>
      <c r="H3507" s="14" t="n">
        <v>53.85</v>
      </c>
      <c r="I3507" s="14" t="n">
        <v>0</v>
      </c>
      <c r="J3507" s="14" t="n">
        <v>0</v>
      </c>
      <c r="K3507" s="14" t="n">
        <v>0</v>
      </c>
      <c r="L3507" s="14" t="n">
        <v>0</v>
      </c>
      <c r="M3507" s="14">
        <f>IF(B3507="Frete de venda",0,(1-ISNUMBER(SEARCH("556",P3507)))*(I3507*VLOOKUP($B3507,Premissas!$A$4:$E$7,2,0)+J3507*VLOOKUP($B3507,Premissas!$A$4:$E$7,3,0))+K3507*VLOOKUP($B3507,Premissas!$A$4:$E$7,4,0)+L3507*VLOOKUP($B3507,Premissas!$A$4:$E$7,5,0))</f>
        <v/>
      </c>
      <c r="N3507" s="14">
        <f>H3507-M3507</f>
        <v/>
      </c>
      <c r="O3507" t="inlineStr">
        <is>
          <t>Não</t>
        </is>
      </c>
      <c r="P3507" t="inlineStr">
        <is>
          <t>1.350</t>
        </is>
      </c>
    </row>
    <row r="3508">
      <c r="A3508" s="24" t="n">
        <v>46174</v>
      </c>
      <c r="B3508" t="inlineStr">
        <is>
          <t>Frete de venda</t>
        </is>
      </c>
      <c r="C3508" t="inlineStr">
        <is>
          <t>Frete de venda (para clientes)</t>
        </is>
      </c>
      <c r="D3508" t="inlineStr">
        <is>
          <t>CT-e</t>
        </is>
      </c>
      <c r="E3508" t="inlineStr">
        <is>
          <t>000007417</t>
        </is>
      </c>
      <c r="F3508" t="inlineStr">
        <is>
          <t>R&amp;R TRANSPORTE E LOGISTICA</t>
        </is>
      </c>
      <c r="G3508" s="27" t="n">
        <v>46192</v>
      </c>
      <c r="H3508" s="14" t="n">
        <v>25.96</v>
      </c>
      <c r="I3508" s="14" t="n">
        <v>0</v>
      </c>
      <c r="J3508" s="14" t="n">
        <v>0</v>
      </c>
      <c r="K3508" s="14" t="n">
        <v>0</v>
      </c>
      <c r="L3508" s="14" t="n">
        <v>0</v>
      </c>
      <c r="M3508" s="14">
        <f>IF(B3508="Frete de venda",0,(1-ISNUMBER(SEARCH("556",P3508)))*(I3508*VLOOKUP($B3508,Premissas!$A$4:$E$7,2,0)+J3508*VLOOKUP($B3508,Premissas!$A$4:$E$7,3,0))+K3508*VLOOKUP($B3508,Premissas!$A$4:$E$7,4,0)+L3508*VLOOKUP($B3508,Premissas!$A$4:$E$7,5,0))</f>
        <v/>
      </c>
      <c r="N3508" s="14">
        <f>H3508-M3508</f>
        <v/>
      </c>
      <c r="O3508" t="inlineStr">
        <is>
          <t>Não</t>
        </is>
      </c>
      <c r="P3508" t="inlineStr">
        <is>
          <t>1.350</t>
        </is>
      </c>
    </row>
    <row r="3509">
      <c r="A3509" s="24" t="n">
        <v>46174</v>
      </c>
      <c r="B3509" t="inlineStr">
        <is>
          <t>Frete de venda</t>
        </is>
      </c>
      <c r="C3509" t="inlineStr">
        <is>
          <t>Frete de venda (para clientes)</t>
        </is>
      </c>
      <c r="D3509" t="inlineStr">
        <is>
          <t>CT-e</t>
        </is>
      </c>
      <c r="E3509" t="inlineStr">
        <is>
          <t>000007349</t>
        </is>
      </c>
      <c r="F3509" t="inlineStr">
        <is>
          <t>R&amp;R TRANSPORTE E LOGISTICA</t>
        </is>
      </c>
      <c r="G3509" s="27" t="n">
        <v>46186</v>
      </c>
      <c r="H3509" s="14" t="n">
        <v>198.27</v>
      </c>
      <c r="I3509" s="14" t="n">
        <v>0</v>
      </c>
      <c r="J3509" s="14" t="n">
        <v>0</v>
      </c>
      <c r="K3509" s="14" t="n">
        <v>0</v>
      </c>
      <c r="L3509" s="14" t="n">
        <v>0</v>
      </c>
      <c r="M3509" s="14">
        <f>IF(B3509="Frete de venda",0,(1-ISNUMBER(SEARCH("556",P3509)))*(I3509*VLOOKUP($B3509,Premissas!$A$4:$E$7,2,0)+J3509*VLOOKUP($B3509,Premissas!$A$4:$E$7,3,0))+K3509*VLOOKUP($B3509,Premissas!$A$4:$E$7,4,0)+L3509*VLOOKUP($B3509,Premissas!$A$4:$E$7,5,0))</f>
        <v/>
      </c>
      <c r="N3509" s="14">
        <f>H3509-M3509</f>
        <v/>
      </c>
      <c r="O3509" t="inlineStr">
        <is>
          <t>Não</t>
        </is>
      </c>
      <c r="P3509" t="inlineStr">
        <is>
          <t>1.350</t>
        </is>
      </c>
    </row>
    <row r="3510">
      <c r="A3510" s="24" t="n">
        <v>46174</v>
      </c>
      <c r="B3510" t="inlineStr">
        <is>
          <t>Frete de venda</t>
        </is>
      </c>
      <c r="C3510" t="inlineStr">
        <is>
          <t>Frete de venda (para clientes)</t>
        </is>
      </c>
      <c r="D3510" t="inlineStr">
        <is>
          <t>CT-e</t>
        </is>
      </c>
      <c r="E3510" t="inlineStr">
        <is>
          <t>000007287</t>
        </is>
      </c>
      <c r="F3510" t="inlineStr">
        <is>
          <t>R&amp;R TRANSPORTE E LOGISTICA</t>
        </is>
      </c>
      <c r="G3510" s="27" t="n">
        <v>46183</v>
      </c>
      <c r="H3510" s="14" t="n">
        <v>161.04</v>
      </c>
      <c r="I3510" s="14" t="n">
        <v>0</v>
      </c>
      <c r="J3510" s="14" t="n">
        <v>0</v>
      </c>
      <c r="K3510" s="14" t="n">
        <v>0</v>
      </c>
      <c r="L3510" s="14" t="n">
        <v>0</v>
      </c>
      <c r="M3510" s="14">
        <f>IF(B3510="Frete de venda",0,(1-ISNUMBER(SEARCH("556",P3510)))*(I3510*VLOOKUP($B3510,Premissas!$A$4:$E$7,2,0)+J3510*VLOOKUP($B3510,Premissas!$A$4:$E$7,3,0))+K3510*VLOOKUP($B3510,Premissas!$A$4:$E$7,4,0)+L3510*VLOOKUP($B3510,Premissas!$A$4:$E$7,5,0))</f>
        <v/>
      </c>
      <c r="N3510" s="14">
        <f>H3510-M3510</f>
        <v/>
      </c>
      <c r="O3510" t="inlineStr">
        <is>
          <t>Não</t>
        </is>
      </c>
      <c r="P3510" t="inlineStr">
        <is>
          <t>1.350</t>
        </is>
      </c>
    </row>
    <row r="3511">
      <c r="A3511" s="24" t="n">
        <v>46174</v>
      </c>
      <c r="B3511" t="inlineStr">
        <is>
          <t>Frete de venda</t>
        </is>
      </c>
      <c r="C3511" t="inlineStr">
        <is>
          <t>Frete de venda (para clientes)</t>
        </is>
      </c>
      <c r="D3511" t="inlineStr">
        <is>
          <t>CT-e</t>
        </is>
      </c>
      <c r="E3511" t="inlineStr">
        <is>
          <t>000007388</t>
        </is>
      </c>
      <c r="F3511" t="inlineStr">
        <is>
          <t>R&amp;R TRANSPORTE E LOGISTICA</t>
        </is>
      </c>
      <c r="G3511" s="27" t="n">
        <v>46190</v>
      </c>
      <c r="H3511" s="14" t="n">
        <v>48.56</v>
      </c>
      <c r="I3511" s="14" t="n">
        <v>0</v>
      </c>
      <c r="J3511" s="14" t="n">
        <v>0</v>
      </c>
      <c r="K3511" s="14" t="n">
        <v>0</v>
      </c>
      <c r="L3511" s="14" t="n">
        <v>0</v>
      </c>
      <c r="M3511" s="14">
        <f>IF(B3511="Frete de venda",0,(1-ISNUMBER(SEARCH("556",P3511)))*(I3511*VLOOKUP($B3511,Premissas!$A$4:$E$7,2,0)+J3511*VLOOKUP($B3511,Premissas!$A$4:$E$7,3,0))+K3511*VLOOKUP($B3511,Premissas!$A$4:$E$7,4,0)+L3511*VLOOKUP($B3511,Premissas!$A$4:$E$7,5,0))</f>
        <v/>
      </c>
      <c r="N3511" s="14">
        <f>H3511-M3511</f>
        <v/>
      </c>
      <c r="O3511" t="inlineStr">
        <is>
          <t>Não</t>
        </is>
      </c>
      <c r="P3511" t="inlineStr">
        <is>
          <t>1.350</t>
        </is>
      </c>
    </row>
    <row r="3512">
      <c r="A3512" s="24" t="n">
        <v>46174</v>
      </c>
      <c r="B3512" t="inlineStr">
        <is>
          <t>Frete de venda</t>
        </is>
      </c>
      <c r="C3512" t="inlineStr">
        <is>
          <t>Frete de venda (para clientes)</t>
        </is>
      </c>
      <c r="D3512" t="inlineStr">
        <is>
          <t>CT-e</t>
        </is>
      </c>
      <c r="E3512" t="inlineStr">
        <is>
          <t>000007413</t>
        </is>
      </c>
      <c r="F3512" t="inlineStr">
        <is>
          <t>R&amp;R TRANSPORTE E LOGISTICA</t>
        </is>
      </c>
      <c r="G3512" s="27" t="n">
        <v>46192</v>
      </c>
      <c r="H3512" s="14" t="n">
        <v>14.22</v>
      </c>
      <c r="I3512" s="14" t="n">
        <v>0</v>
      </c>
      <c r="J3512" s="14" t="n">
        <v>0</v>
      </c>
      <c r="K3512" s="14" t="n">
        <v>0</v>
      </c>
      <c r="L3512" s="14" t="n">
        <v>0</v>
      </c>
      <c r="M3512" s="14">
        <f>IF(B3512="Frete de venda",0,(1-ISNUMBER(SEARCH("556",P3512)))*(I3512*VLOOKUP($B3512,Premissas!$A$4:$E$7,2,0)+J3512*VLOOKUP($B3512,Premissas!$A$4:$E$7,3,0))+K3512*VLOOKUP($B3512,Premissas!$A$4:$E$7,4,0)+L3512*VLOOKUP($B3512,Premissas!$A$4:$E$7,5,0))</f>
        <v/>
      </c>
      <c r="N3512" s="14">
        <f>H3512-M3512</f>
        <v/>
      </c>
      <c r="O3512" t="inlineStr">
        <is>
          <t>Não</t>
        </is>
      </c>
      <c r="P3512" t="inlineStr">
        <is>
          <t>1.350</t>
        </is>
      </c>
    </row>
    <row r="3513">
      <c r="A3513" s="24" t="n">
        <v>46174</v>
      </c>
      <c r="B3513" t="inlineStr">
        <is>
          <t>Frete de venda</t>
        </is>
      </c>
      <c r="C3513" t="inlineStr">
        <is>
          <t>Frete de venda (para clientes)</t>
        </is>
      </c>
      <c r="D3513" t="inlineStr">
        <is>
          <t>CT-e</t>
        </is>
      </c>
      <c r="E3513" t="inlineStr">
        <is>
          <t>000000706</t>
        </is>
      </c>
      <c r="F3513" t="inlineStr">
        <is>
          <t>REIMAG - REINALDO DOMINGUES BARROS DA SILVA</t>
        </is>
      </c>
      <c r="G3513" s="27" t="n">
        <v>46203</v>
      </c>
      <c r="H3513" s="14" t="n">
        <v>850</v>
      </c>
      <c r="I3513" s="14" t="n">
        <v>0</v>
      </c>
      <c r="J3513" s="14" t="n">
        <v>0</v>
      </c>
      <c r="K3513" s="14" t="n">
        <v>0</v>
      </c>
      <c r="L3513" s="14" t="n">
        <v>0</v>
      </c>
      <c r="M3513" s="14">
        <f>IF(B3513="Frete de venda",0,(1-ISNUMBER(SEARCH("556",P3513)))*(I3513*VLOOKUP($B3513,Premissas!$A$4:$E$7,2,0)+J3513*VLOOKUP($B3513,Premissas!$A$4:$E$7,3,0))+K3513*VLOOKUP($B3513,Premissas!$A$4:$E$7,4,0)+L3513*VLOOKUP($B3513,Premissas!$A$4:$E$7,5,0))</f>
        <v/>
      </c>
      <c r="N3513" s="14">
        <f>H3513-M3513</f>
        <v/>
      </c>
      <c r="O3513" t="inlineStr">
        <is>
          <t>Sim</t>
        </is>
      </c>
      <c r="P3513" t="inlineStr">
        <is>
          <t>2.350</t>
        </is>
      </c>
    </row>
    <row r="3514">
      <c r="A3514" s="24" t="n">
        <v>46174</v>
      </c>
      <c r="B3514" t="inlineStr">
        <is>
          <t>Frete de venda</t>
        </is>
      </c>
      <c r="C3514" t="inlineStr">
        <is>
          <t>Frete de venda (para clientes)</t>
        </is>
      </c>
      <c r="D3514" t="inlineStr">
        <is>
          <t>CT-e</t>
        </is>
      </c>
      <c r="E3514" t="inlineStr">
        <is>
          <t>000007310</t>
        </is>
      </c>
      <c r="F3514" t="inlineStr">
        <is>
          <t>R&amp;R TRANSPORTE E LOGISTICA</t>
        </is>
      </c>
      <c r="G3514" s="27" t="n">
        <v>46186</v>
      </c>
      <c r="H3514" s="14" t="n">
        <v>27.55</v>
      </c>
      <c r="I3514" s="14" t="n">
        <v>0</v>
      </c>
      <c r="J3514" s="14" t="n">
        <v>0</v>
      </c>
      <c r="K3514" s="14" t="n">
        <v>0</v>
      </c>
      <c r="L3514" s="14" t="n">
        <v>0</v>
      </c>
      <c r="M3514" s="14">
        <f>IF(B3514="Frete de venda",0,(1-ISNUMBER(SEARCH("556",P3514)))*(I3514*VLOOKUP($B3514,Premissas!$A$4:$E$7,2,0)+J3514*VLOOKUP($B3514,Premissas!$A$4:$E$7,3,0))+K3514*VLOOKUP($B3514,Premissas!$A$4:$E$7,4,0)+L3514*VLOOKUP($B3514,Premissas!$A$4:$E$7,5,0))</f>
        <v/>
      </c>
      <c r="N3514" s="14">
        <f>H3514-M3514</f>
        <v/>
      </c>
      <c r="O3514" t="inlineStr">
        <is>
          <t>Não</t>
        </is>
      </c>
      <c r="P3514" t="inlineStr">
        <is>
          <t>1.350</t>
        </is>
      </c>
    </row>
    <row r="3515">
      <c r="A3515" s="24" t="n">
        <v>46174</v>
      </c>
      <c r="B3515" t="inlineStr">
        <is>
          <t>Frete de venda</t>
        </is>
      </c>
      <c r="C3515" t="inlineStr">
        <is>
          <t>Frete de venda (para clientes)</t>
        </is>
      </c>
      <c r="D3515" t="inlineStr">
        <is>
          <t>CT-e</t>
        </is>
      </c>
      <c r="E3515" t="inlineStr">
        <is>
          <t>000007316</t>
        </is>
      </c>
      <c r="F3515" t="inlineStr">
        <is>
          <t>R&amp;R TRANSPORTE E LOGISTICA</t>
        </is>
      </c>
      <c r="G3515" s="27" t="n">
        <v>46186</v>
      </c>
      <c r="H3515" s="14" t="n">
        <v>20.75</v>
      </c>
      <c r="I3515" s="14" t="n">
        <v>0</v>
      </c>
      <c r="J3515" s="14" t="n">
        <v>0</v>
      </c>
      <c r="K3515" s="14" t="n">
        <v>0</v>
      </c>
      <c r="L3515" s="14" t="n">
        <v>0</v>
      </c>
      <c r="M3515" s="14">
        <f>IF(B3515="Frete de venda",0,(1-ISNUMBER(SEARCH("556",P3515)))*(I3515*VLOOKUP($B3515,Premissas!$A$4:$E$7,2,0)+J3515*VLOOKUP($B3515,Premissas!$A$4:$E$7,3,0))+K3515*VLOOKUP($B3515,Premissas!$A$4:$E$7,4,0)+L3515*VLOOKUP($B3515,Premissas!$A$4:$E$7,5,0))</f>
        <v/>
      </c>
      <c r="N3515" s="14">
        <f>H3515-M3515</f>
        <v/>
      </c>
      <c r="O3515" t="inlineStr">
        <is>
          <t>Não</t>
        </is>
      </c>
      <c r="P3515" t="inlineStr">
        <is>
          <t>1.350</t>
        </is>
      </c>
    </row>
    <row r="3516">
      <c r="A3516" s="24" t="n">
        <v>46174</v>
      </c>
      <c r="B3516" t="inlineStr">
        <is>
          <t>Frete de venda</t>
        </is>
      </c>
      <c r="C3516" t="inlineStr">
        <is>
          <t>Frete de venda (para clientes)</t>
        </is>
      </c>
      <c r="D3516" t="inlineStr">
        <is>
          <t>CT-e</t>
        </is>
      </c>
      <c r="E3516" t="inlineStr">
        <is>
          <t>000007301</t>
        </is>
      </c>
      <c r="F3516" t="inlineStr">
        <is>
          <t>R&amp;R TRANSPORTE E LOGISTICA</t>
        </is>
      </c>
      <c r="G3516" s="27" t="n">
        <v>46184</v>
      </c>
      <c r="H3516" s="14" t="n">
        <v>112.43</v>
      </c>
      <c r="I3516" s="14" t="n">
        <v>0</v>
      </c>
      <c r="J3516" s="14" t="n">
        <v>0</v>
      </c>
      <c r="K3516" s="14" t="n">
        <v>0</v>
      </c>
      <c r="L3516" s="14" t="n">
        <v>0</v>
      </c>
      <c r="M3516" s="14">
        <f>IF(B3516="Frete de venda",0,(1-ISNUMBER(SEARCH("556",P3516)))*(I3516*VLOOKUP($B3516,Premissas!$A$4:$E$7,2,0)+J3516*VLOOKUP($B3516,Premissas!$A$4:$E$7,3,0))+K3516*VLOOKUP($B3516,Premissas!$A$4:$E$7,4,0)+L3516*VLOOKUP($B3516,Premissas!$A$4:$E$7,5,0))</f>
        <v/>
      </c>
      <c r="N3516" s="14">
        <f>H3516-M3516</f>
        <v/>
      </c>
      <c r="O3516" t="inlineStr">
        <is>
          <t>Não</t>
        </is>
      </c>
      <c r="P3516" t="inlineStr">
        <is>
          <t>1.350</t>
        </is>
      </c>
    </row>
    <row r="3517">
      <c r="A3517" s="24" t="n">
        <v>46174</v>
      </c>
      <c r="B3517" t="inlineStr">
        <is>
          <t>Frete de venda</t>
        </is>
      </c>
      <c r="C3517" t="inlineStr">
        <is>
          <t>Frete de venda (para clientes)</t>
        </is>
      </c>
      <c r="D3517" t="inlineStr">
        <is>
          <t>CT-e</t>
        </is>
      </c>
      <c r="E3517" t="inlineStr">
        <is>
          <t>000007371</t>
        </is>
      </c>
      <c r="F3517" t="inlineStr">
        <is>
          <t>R&amp;R TRANSPORTE E LOGISTICA</t>
        </is>
      </c>
      <c r="G3517" s="27" t="n">
        <v>46189</v>
      </c>
      <c r="H3517" s="14" t="n">
        <v>29.22</v>
      </c>
      <c r="I3517" s="14" t="n">
        <v>0</v>
      </c>
      <c r="J3517" s="14" t="n">
        <v>0</v>
      </c>
      <c r="K3517" s="14" t="n">
        <v>0</v>
      </c>
      <c r="L3517" s="14" t="n">
        <v>0</v>
      </c>
      <c r="M3517" s="14">
        <f>IF(B3517="Frete de venda",0,(1-ISNUMBER(SEARCH("556",P3517)))*(I3517*VLOOKUP($B3517,Premissas!$A$4:$E$7,2,0)+J3517*VLOOKUP($B3517,Premissas!$A$4:$E$7,3,0))+K3517*VLOOKUP($B3517,Premissas!$A$4:$E$7,4,0)+L3517*VLOOKUP($B3517,Premissas!$A$4:$E$7,5,0))</f>
        <v/>
      </c>
      <c r="N3517" s="14">
        <f>H3517-M3517</f>
        <v/>
      </c>
      <c r="O3517" t="inlineStr">
        <is>
          <t>Não</t>
        </is>
      </c>
      <c r="P3517" t="inlineStr">
        <is>
          <t>1.350</t>
        </is>
      </c>
    </row>
    <row r="3518">
      <c r="A3518" s="24" t="n">
        <v>46174</v>
      </c>
      <c r="B3518" t="inlineStr">
        <is>
          <t>Frete de venda</t>
        </is>
      </c>
      <c r="C3518" t="inlineStr">
        <is>
          <t>Frete de venda (para clientes)</t>
        </is>
      </c>
      <c r="D3518" t="inlineStr">
        <is>
          <t>CT-e</t>
        </is>
      </c>
      <c r="E3518" t="inlineStr">
        <is>
          <t>000004252</t>
        </is>
      </c>
      <c r="F3518" t="inlineStr">
        <is>
          <t>RAPIDO XAPURI TRANSPORTES E LOGISTICA LTDA</t>
        </is>
      </c>
      <c r="G3518" s="27" t="n">
        <v>46192</v>
      </c>
      <c r="H3518" s="14" t="n">
        <v>1001.01</v>
      </c>
      <c r="I3518" s="14" t="n">
        <v>0</v>
      </c>
      <c r="J3518" s="14" t="n">
        <v>120.12</v>
      </c>
      <c r="K3518" s="14" t="n">
        <v>0</v>
      </c>
      <c r="L3518" s="14" t="n">
        <v>0</v>
      </c>
      <c r="M3518" s="14">
        <f>IF(B3518="Frete de venda",0,(1-ISNUMBER(SEARCH("556",P3518)))*(I3518*VLOOKUP($B3518,Premissas!$A$4:$E$7,2,0)+J3518*VLOOKUP($B3518,Premissas!$A$4:$E$7,3,0))+K3518*VLOOKUP($B3518,Premissas!$A$4:$E$7,4,0)+L3518*VLOOKUP($B3518,Premissas!$A$4:$E$7,5,0))</f>
        <v/>
      </c>
      <c r="N3518" s="14">
        <f>H3518-M3518</f>
        <v/>
      </c>
      <c r="O3518" t="inlineStr">
        <is>
          <t>Sim</t>
        </is>
      </c>
      <c r="P3518" t="inlineStr">
        <is>
          <t>2.350</t>
        </is>
      </c>
    </row>
    <row r="3519">
      <c r="A3519" s="24" t="n">
        <v>46174</v>
      </c>
      <c r="B3519" t="inlineStr">
        <is>
          <t>Frete de venda</t>
        </is>
      </c>
      <c r="C3519" t="inlineStr">
        <is>
          <t>Frete de venda (para clientes)</t>
        </is>
      </c>
      <c r="D3519" t="inlineStr">
        <is>
          <t>CT-e</t>
        </is>
      </c>
      <c r="E3519" t="inlineStr">
        <is>
          <t>000007345</t>
        </is>
      </c>
      <c r="F3519" t="inlineStr">
        <is>
          <t>R&amp;R TRANSPORTE E LOGISTICA</t>
        </is>
      </c>
      <c r="G3519" s="27" t="n">
        <v>46186</v>
      </c>
      <c r="H3519" s="14" t="n">
        <v>540</v>
      </c>
      <c r="I3519" s="14" t="n">
        <v>0</v>
      </c>
      <c r="J3519" s="14" t="n">
        <v>0</v>
      </c>
      <c r="K3519" s="14" t="n">
        <v>0</v>
      </c>
      <c r="L3519" s="14" t="n">
        <v>0</v>
      </c>
      <c r="M3519" s="14">
        <f>IF(B3519="Frete de venda",0,(1-ISNUMBER(SEARCH("556",P3519)))*(I3519*VLOOKUP($B3519,Premissas!$A$4:$E$7,2,0)+J3519*VLOOKUP($B3519,Premissas!$A$4:$E$7,3,0))+K3519*VLOOKUP($B3519,Premissas!$A$4:$E$7,4,0)+L3519*VLOOKUP($B3519,Premissas!$A$4:$E$7,5,0))</f>
        <v/>
      </c>
      <c r="N3519" s="14">
        <f>H3519-M3519</f>
        <v/>
      </c>
      <c r="O3519" t="inlineStr">
        <is>
          <t>Não</t>
        </is>
      </c>
      <c r="P3519" t="inlineStr">
        <is>
          <t>1.350</t>
        </is>
      </c>
    </row>
    <row r="3520">
      <c r="A3520" s="24" t="n">
        <v>46174</v>
      </c>
      <c r="B3520" t="inlineStr">
        <is>
          <t>Frete de venda</t>
        </is>
      </c>
      <c r="C3520" t="inlineStr">
        <is>
          <t>Frete de venda (para clientes)</t>
        </is>
      </c>
      <c r="D3520" t="inlineStr">
        <is>
          <t>CT-e</t>
        </is>
      </c>
      <c r="E3520" t="inlineStr">
        <is>
          <t>000007249</t>
        </is>
      </c>
      <c r="F3520" t="inlineStr">
        <is>
          <t>R&amp;R TRANSPORTE E LOGISTICA</t>
        </is>
      </c>
      <c r="G3520" s="27" t="n">
        <v>46176</v>
      </c>
      <c r="H3520" s="14" t="n">
        <v>53</v>
      </c>
      <c r="I3520" s="14" t="n">
        <v>0</v>
      </c>
      <c r="J3520" s="14" t="n">
        <v>0</v>
      </c>
      <c r="K3520" s="14" t="n">
        <v>0</v>
      </c>
      <c r="L3520" s="14" t="n">
        <v>0</v>
      </c>
      <c r="M3520" s="14">
        <f>IF(B3520="Frete de venda",0,(1-ISNUMBER(SEARCH("556",P3520)))*(I3520*VLOOKUP($B3520,Premissas!$A$4:$E$7,2,0)+J3520*VLOOKUP($B3520,Premissas!$A$4:$E$7,3,0))+K3520*VLOOKUP($B3520,Premissas!$A$4:$E$7,4,0)+L3520*VLOOKUP($B3520,Premissas!$A$4:$E$7,5,0))</f>
        <v/>
      </c>
      <c r="N3520" s="14">
        <f>H3520-M3520</f>
        <v/>
      </c>
      <c r="O3520" t="inlineStr">
        <is>
          <t>Não</t>
        </is>
      </c>
      <c r="P3520" t="inlineStr">
        <is>
          <t>1.350</t>
        </is>
      </c>
    </row>
    <row r="3521">
      <c r="A3521" s="24" t="n">
        <v>46174</v>
      </c>
      <c r="B3521" t="inlineStr">
        <is>
          <t>Frete de venda</t>
        </is>
      </c>
      <c r="C3521" t="inlineStr">
        <is>
          <t>Frete de venda (para clientes)</t>
        </is>
      </c>
      <c r="D3521" t="inlineStr">
        <is>
          <t>CT-e</t>
        </is>
      </c>
      <c r="E3521" t="inlineStr">
        <is>
          <t>000004105</t>
        </is>
      </c>
      <c r="F3521" t="inlineStr">
        <is>
          <t>RAPIDO XAPURI TRANSPORTES E LOGISTICA LTDA</t>
        </is>
      </c>
      <c r="G3521" s="27" t="n">
        <v>46181</v>
      </c>
      <c r="H3521" s="14" t="n">
        <v>775.5700000000001</v>
      </c>
      <c r="I3521" s="14" t="n">
        <v>0</v>
      </c>
      <c r="J3521" s="14" t="n">
        <v>93.06999999999999</v>
      </c>
      <c r="K3521" s="14" t="n">
        <v>0</v>
      </c>
      <c r="L3521" s="14" t="n">
        <v>0</v>
      </c>
      <c r="M3521" s="14">
        <f>IF(B3521="Frete de venda",0,(1-ISNUMBER(SEARCH("556",P3521)))*(I3521*VLOOKUP($B3521,Premissas!$A$4:$E$7,2,0)+J3521*VLOOKUP($B3521,Premissas!$A$4:$E$7,3,0))+K3521*VLOOKUP($B3521,Premissas!$A$4:$E$7,4,0)+L3521*VLOOKUP($B3521,Premissas!$A$4:$E$7,5,0))</f>
        <v/>
      </c>
      <c r="N3521" s="14">
        <f>H3521-M3521</f>
        <v/>
      </c>
      <c r="O3521" t="inlineStr">
        <is>
          <t>Sim</t>
        </is>
      </c>
      <c r="P3521" t="inlineStr">
        <is>
          <t>1.350</t>
        </is>
      </c>
    </row>
    <row r="3522">
      <c r="A3522" s="24" t="n">
        <v>46174</v>
      </c>
      <c r="B3522" t="inlineStr">
        <is>
          <t>Frete de venda</t>
        </is>
      </c>
      <c r="C3522" t="inlineStr">
        <is>
          <t>Frete de venda (para clientes)</t>
        </is>
      </c>
      <c r="D3522" t="inlineStr">
        <is>
          <t>CT-e</t>
        </is>
      </c>
      <c r="E3522" t="inlineStr">
        <is>
          <t>000007467</t>
        </is>
      </c>
      <c r="F3522" t="inlineStr">
        <is>
          <t>R&amp;R TRANSPORTE E LOGISTICA</t>
        </is>
      </c>
      <c r="G3522" s="27" t="n">
        <v>46198</v>
      </c>
      <c r="H3522" s="14" t="n">
        <v>32.94</v>
      </c>
      <c r="I3522" s="14" t="n">
        <v>0</v>
      </c>
      <c r="J3522" s="14" t="n">
        <v>0</v>
      </c>
      <c r="K3522" s="14" t="n">
        <v>0</v>
      </c>
      <c r="L3522" s="14" t="n">
        <v>0</v>
      </c>
      <c r="M3522" s="14">
        <f>IF(B3522="Frete de venda",0,(1-ISNUMBER(SEARCH("556",P3522)))*(I3522*VLOOKUP($B3522,Premissas!$A$4:$E$7,2,0)+J3522*VLOOKUP($B3522,Premissas!$A$4:$E$7,3,0))+K3522*VLOOKUP($B3522,Premissas!$A$4:$E$7,4,0)+L3522*VLOOKUP($B3522,Premissas!$A$4:$E$7,5,0))</f>
        <v/>
      </c>
      <c r="N3522" s="14">
        <f>H3522-M3522</f>
        <v/>
      </c>
      <c r="O3522" t="inlineStr">
        <is>
          <t>Não</t>
        </is>
      </c>
      <c r="P3522" t="inlineStr">
        <is>
          <t>1.350</t>
        </is>
      </c>
    </row>
    <row r="3523">
      <c r="A3523" s="24" t="n">
        <v>46174</v>
      </c>
      <c r="B3523" t="inlineStr">
        <is>
          <t>Frete de venda</t>
        </is>
      </c>
      <c r="C3523" t="inlineStr">
        <is>
          <t>Frete de venda (para clientes)</t>
        </is>
      </c>
      <c r="D3523" t="inlineStr">
        <is>
          <t>CT-e</t>
        </is>
      </c>
      <c r="E3523" t="inlineStr">
        <is>
          <t>000007434</t>
        </is>
      </c>
      <c r="F3523" t="inlineStr">
        <is>
          <t>R&amp;R TRANSPORTE E LOGISTICA</t>
        </is>
      </c>
      <c r="G3523" s="27" t="n">
        <v>46193</v>
      </c>
      <c r="H3523" s="14" t="n">
        <v>64.31</v>
      </c>
      <c r="I3523" s="14" t="n">
        <v>0</v>
      </c>
      <c r="J3523" s="14" t="n">
        <v>0</v>
      </c>
      <c r="K3523" s="14" t="n">
        <v>0</v>
      </c>
      <c r="L3523" s="14" t="n">
        <v>0</v>
      </c>
      <c r="M3523" s="14">
        <f>IF(B3523="Frete de venda",0,(1-ISNUMBER(SEARCH("556",P3523)))*(I3523*VLOOKUP($B3523,Premissas!$A$4:$E$7,2,0)+J3523*VLOOKUP($B3523,Premissas!$A$4:$E$7,3,0))+K3523*VLOOKUP($B3523,Premissas!$A$4:$E$7,4,0)+L3523*VLOOKUP($B3523,Premissas!$A$4:$E$7,5,0))</f>
        <v/>
      </c>
      <c r="N3523" s="14">
        <f>H3523-M3523</f>
        <v/>
      </c>
      <c r="O3523" t="inlineStr">
        <is>
          <t>Não</t>
        </is>
      </c>
      <c r="P3523" t="inlineStr">
        <is>
          <t>1.350</t>
        </is>
      </c>
    </row>
    <row r="3524">
      <c r="A3524" s="24" t="n">
        <v>46174</v>
      </c>
      <c r="B3524" t="inlineStr">
        <is>
          <t>Frete de venda</t>
        </is>
      </c>
      <c r="C3524" t="inlineStr">
        <is>
          <t>Frete de venda (para clientes)</t>
        </is>
      </c>
      <c r="D3524" t="inlineStr">
        <is>
          <t>CT-e</t>
        </is>
      </c>
      <c r="E3524" t="inlineStr">
        <is>
          <t>000007317</t>
        </is>
      </c>
      <c r="F3524" t="inlineStr">
        <is>
          <t>R&amp;R TRANSPORTE E LOGISTICA</t>
        </is>
      </c>
      <c r="G3524" s="27" t="n">
        <v>46186</v>
      </c>
      <c r="H3524" s="14" t="n">
        <v>19.28</v>
      </c>
      <c r="I3524" s="14" t="n">
        <v>0</v>
      </c>
      <c r="J3524" s="14" t="n">
        <v>0</v>
      </c>
      <c r="K3524" s="14" t="n">
        <v>0</v>
      </c>
      <c r="L3524" s="14" t="n">
        <v>0</v>
      </c>
      <c r="M3524" s="14">
        <f>IF(B3524="Frete de venda",0,(1-ISNUMBER(SEARCH("556",P3524)))*(I3524*VLOOKUP($B3524,Premissas!$A$4:$E$7,2,0)+J3524*VLOOKUP($B3524,Premissas!$A$4:$E$7,3,0))+K3524*VLOOKUP($B3524,Premissas!$A$4:$E$7,4,0)+L3524*VLOOKUP($B3524,Premissas!$A$4:$E$7,5,0))</f>
        <v/>
      </c>
      <c r="N3524" s="14">
        <f>H3524-M3524</f>
        <v/>
      </c>
      <c r="O3524" t="inlineStr">
        <is>
          <t>Não</t>
        </is>
      </c>
      <c r="P3524" t="inlineStr">
        <is>
          <t>1.350</t>
        </is>
      </c>
    </row>
    <row r="3525">
      <c r="A3525" s="24" t="n">
        <v>46174</v>
      </c>
      <c r="B3525" t="inlineStr">
        <is>
          <t>Frete de venda</t>
        </is>
      </c>
      <c r="C3525" t="inlineStr">
        <is>
          <t>Frete de venda (para clientes)</t>
        </is>
      </c>
      <c r="D3525" t="inlineStr">
        <is>
          <t>CT-e</t>
        </is>
      </c>
      <c r="E3525" t="inlineStr">
        <is>
          <t>000007320</t>
        </is>
      </c>
      <c r="F3525" t="inlineStr">
        <is>
          <t>R&amp;R TRANSPORTE E LOGISTICA</t>
        </is>
      </c>
      <c r="G3525" s="27" t="n">
        <v>46186</v>
      </c>
      <c r="H3525" s="14" t="n">
        <v>31.29</v>
      </c>
      <c r="I3525" s="14" t="n">
        <v>0</v>
      </c>
      <c r="J3525" s="14" t="n">
        <v>0</v>
      </c>
      <c r="K3525" s="14" t="n">
        <v>0</v>
      </c>
      <c r="L3525" s="14" t="n">
        <v>0</v>
      </c>
      <c r="M3525" s="14">
        <f>IF(B3525="Frete de venda",0,(1-ISNUMBER(SEARCH("556",P3525)))*(I3525*VLOOKUP($B3525,Premissas!$A$4:$E$7,2,0)+J3525*VLOOKUP($B3525,Premissas!$A$4:$E$7,3,0))+K3525*VLOOKUP($B3525,Premissas!$A$4:$E$7,4,0)+L3525*VLOOKUP($B3525,Premissas!$A$4:$E$7,5,0))</f>
        <v/>
      </c>
      <c r="N3525" s="14">
        <f>H3525-M3525</f>
        <v/>
      </c>
      <c r="O3525" t="inlineStr">
        <is>
          <t>Não</t>
        </is>
      </c>
      <c r="P3525" t="inlineStr">
        <is>
          <t>1.350</t>
        </is>
      </c>
    </row>
    <row r="3526">
      <c r="A3526" s="24" t="n">
        <v>46174</v>
      </c>
      <c r="B3526" t="inlineStr">
        <is>
          <t>Frete de venda</t>
        </is>
      </c>
      <c r="C3526" t="inlineStr">
        <is>
          <t>Frete de venda (para clientes)</t>
        </is>
      </c>
      <c r="D3526" t="inlineStr">
        <is>
          <t>CT-e</t>
        </is>
      </c>
      <c r="E3526" t="inlineStr">
        <is>
          <t>000007402</t>
        </is>
      </c>
      <c r="F3526" t="inlineStr">
        <is>
          <t>R&amp;R TRANSPORTE E LOGISTICA</t>
        </is>
      </c>
      <c r="G3526" s="27" t="n">
        <v>46192</v>
      </c>
      <c r="H3526" s="14" t="n">
        <v>11.85</v>
      </c>
      <c r="I3526" s="14" t="n">
        <v>0</v>
      </c>
      <c r="J3526" s="14" t="n">
        <v>0</v>
      </c>
      <c r="K3526" s="14" t="n">
        <v>0</v>
      </c>
      <c r="L3526" s="14" t="n">
        <v>0</v>
      </c>
      <c r="M3526" s="14">
        <f>IF(B3526="Frete de venda",0,(1-ISNUMBER(SEARCH("556",P3526)))*(I3526*VLOOKUP($B3526,Premissas!$A$4:$E$7,2,0)+J3526*VLOOKUP($B3526,Premissas!$A$4:$E$7,3,0))+K3526*VLOOKUP($B3526,Premissas!$A$4:$E$7,4,0)+L3526*VLOOKUP($B3526,Premissas!$A$4:$E$7,5,0))</f>
        <v/>
      </c>
      <c r="N3526" s="14">
        <f>H3526-M3526</f>
        <v/>
      </c>
      <c r="O3526" t="inlineStr">
        <is>
          <t>Não</t>
        </is>
      </c>
      <c r="P3526" t="inlineStr">
        <is>
          <t>1.350</t>
        </is>
      </c>
    </row>
    <row r="3527">
      <c r="A3527" s="24" t="n">
        <v>46174</v>
      </c>
      <c r="B3527" t="inlineStr">
        <is>
          <t>Frete de venda</t>
        </is>
      </c>
      <c r="C3527" t="inlineStr">
        <is>
          <t>Frete de venda (para clientes)</t>
        </is>
      </c>
      <c r="D3527" t="inlineStr">
        <is>
          <t>CT-e</t>
        </is>
      </c>
      <c r="E3527" t="inlineStr">
        <is>
          <t>000007429</t>
        </is>
      </c>
      <c r="F3527" t="inlineStr">
        <is>
          <t>R&amp;R TRANSPORTE E LOGISTICA</t>
        </is>
      </c>
      <c r="G3527" s="27" t="n">
        <v>46192</v>
      </c>
      <c r="H3527" s="14" t="n">
        <v>30.97</v>
      </c>
      <c r="I3527" s="14" t="n">
        <v>0</v>
      </c>
      <c r="J3527" s="14" t="n">
        <v>0</v>
      </c>
      <c r="K3527" s="14" t="n">
        <v>0</v>
      </c>
      <c r="L3527" s="14" t="n">
        <v>0</v>
      </c>
      <c r="M3527" s="14">
        <f>IF(B3527="Frete de venda",0,(1-ISNUMBER(SEARCH("556",P3527)))*(I3527*VLOOKUP($B3527,Premissas!$A$4:$E$7,2,0)+J3527*VLOOKUP($B3527,Premissas!$A$4:$E$7,3,0))+K3527*VLOOKUP($B3527,Premissas!$A$4:$E$7,4,0)+L3527*VLOOKUP($B3527,Premissas!$A$4:$E$7,5,0))</f>
        <v/>
      </c>
      <c r="N3527" s="14">
        <f>H3527-M3527</f>
        <v/>
      </c>
      <c r="O3527" t="inlineStr">
        <is>
          <t>Não</t>
        </is>
      </c>
      <c r="P3527" t="inlineStr">
        <is>
          <t>1.350</t>
        </is>
      </c>
    </row>
    <row r="3528">
      <c r="A3528" s="24" t="n">
        <v>46174</v>
      </c>
      <c r="B3528" t="inlineStr">
        <is>
          <t>Frete de venda</t>
        </is>
      </c>
      <c r="C3528" t="inlineStr">
        <is>
          <t>Frete de venda (para clientes)</t>
        </is>
      </c>
      <c r="D3528" t="inlineStr">
        <is>
          <t>CT-e</t>
        </is>
      </c>
      <c r="E3528" t="inlineStr">
        <is>
          <t>000007380</t>
        </is>
      </c>
      <c r="F3528" t="inlineStr">
        <is>
          <t>R&amp;R TRANSPORTE E LOGISTICA</t>
        </is>
      </c>
      <c r="G3528" s="27" t="n">
        <v>46190</v>
      </c>
      <c r="H3528" s="14" t="n">
        <v>22.72</v>
      </c>
      <c r="I3528" s="14" t="n">
        <v>0</v>
      </c>
      <c r="J3528" s="14" t="n">
        <v>0</v>
      </c>
      <c r="K3528" s="14" t="n">
        <v>0</v>
      </c>
      <c r="L3528" s="14" t="n">
        <v>0</v>
      </c>
      <c r="M3528" s="14">
        <f>IF(B3528="Frete de venda",0,(1-ISNUMBER(SEARCH("556",P3528)))*(I3528*VLOOKUP($B3528,Premissas!$A$4:$E$7,2,0)+J3528*VLOOKUP($B3528,Premissas!$A$4:$E$7,3,0))+K3528*VLOOKUP($B3528,Premissas!$A$4:$E$7,4,0)+L3528*VLOOKUP($B3528,Premissas!$A$4:$E$7,5,0))</f>
        <v/>
      </c>
      <c r="N3528" s="14">
        <f>H3528-M3528</f>
        <v/>
      </c>
      <c r="O3528" t="inlineStr">
        <is>
          <t>Não</t>
        </is>
      </c>
      <c r="P3528" t="inlineStr">
        <is>
          <t>1.350</t>
        </is>
      </c>
    </row>
    <row r="3529">
      <c r="A3529" s="24" t="n">
        <v>46174</v>
      </c>
      <c r="B3529" t="inlineStr">
        <is>
          <t>Frete de venda</t>
        </is>
      </c>
      <c r="C3529" t="inlineStr">
        <is>
          <t>Frete de venda (para clientes)</t>
        </is>
      </c>
      <c r="D3529" t="inlineStr">
        <is>
          <t>CT-e</t>
        </is>
      </c>
      <c r="E3529" t="inlineStr">
        <is>
          <t>000000697</t>
        </is>
      </c>
      <c r="F3529" t="inlineStr">
        <is>
          <t>REIMAG - REINALDO DOMINGUES BARROS DA SILVA</t>
        </is>
      </c>
      <c r="G3529" s="27" t="n">
        <v>46184</v>
      </c>
      <c r="H3529" s="14" t="n">
        <v>400</v>
      </c>
      <c r="I3529" s="14" t="n">
        <v>0</v>
      </c>
      <c r="J3529" s="14" t="n">
        <v>0</v>
      </c>
      <c r="K3529" s="14" t="n">
        <v>0</v>
      </c>
      <c r="L3529" s="14" t="n">
        <v>0</v>
      </c>
      <c r="M3529" s="14">
        <f>IF(B3529="Frete de venda",0,(1-ISNUMBER(SEARCH("556",P3529)))*(I3529*VLOOKUP($B3529,Premissas!$A$4:$E$7,2,0)+J3529*VLOOKUP($B3529,Premissas!$A$4:$E$7,3,0))+K3529*VLOOKUP($B3529,Premissas!$A$4:$E$7,4,0)+L3529*VLOOKUP($B3529,Premissas!$A$4:$E$7,5,0))</f>
        <v/>
      </c>
      <c r="N3529" s="14">
        <f>H3529-M3529</f>
        <v/>
      </c>
      <c r="O3529" t="inlineStr">
        <is>
          <t>Sim</t>
        </is>
      </c>
      <c r="P3529" t="inlineStr">
        <is>
          <t>1.350</t>
        </is>
      </c>
    </row>
    <row r="3530">
      <c r="A3530" s="24" t="n">
        <v>46174</v>
      </c>
      <c r="B3530" t="inlineStr">
        <is>
          <t>Frete de venda</t>
        </is>
      </c>
      <c r="C3530" t="inlineStr">
        <is>
          <t>Frete de venda (para clientes)</t>
        </is>
      </c>
      <c r="D3530" t="inlineStr">
        <is>
          <t>CT-e</t>
        </is>
      </c>
      <c r="E3530" t="inlineStr">
        <is>
          <t>000007365</t>
        </is>
      </c>
      <c r="F3530" t="inlineStr">
        <is>
          <t>R&amp;R TRANSPORTE E LOGISTICA</t>
        </is>
      </c>
      <c r="G3530" s="27" t="n">
        <v>46189</v>
      </c>
      <c r="H3530" s="14" t="n">
        <v>21.24</v>
      </c>
      <c r="I3530" s="14" t="n">
        <v>0</v>
      </c>
      <c r="J3530" s="14" t="n">
        <v>0</v>
      </c>
      <c r="K3530" s="14" t="n">
        <v>0</v>
      </c>
      <c r="L3530" s="14" t="n">
        <v>0</v>
      </c>
      <c r="M3530" s="14">
        <f>IF(B3530="Frete de venda",0,(1-ISNUMBER(SEARCH("556",P3530)))*(I3530*VLOOKUP($B3530,Premissas!$A$4:$E$7,2,0)+J3530*VLOOKUP($B3530,Premissas!$A$4:$E$7,3,0))+K3530*VLOOKUP($B3530,Premissas!$A$4:$E$7,4,0)+L3530*VLOOKUP($B3530,Premissas!$A$4:$E$7,5,0))</f>
        <v/>
      </c>
      <c r="N3530" s="14">
        <f>H3530-M3530</f>
        <v/>
      </c>
      <c r="O3530" t="inlineStr">
        <is>
          <t>Não</t>
        </is>
      </c>
      <c r="P3530" t="inlineStr">
        <is>
          <t>1.350</t>
        </is>
      </c>
    </row>
    <row r="3531">
      <c r="A3531" s="24" t="n">
        <v>46174</v>
      </c>
      <c r="B3531" t="inlineStr">
        <is>
          <t>Frete de venda</t>
        </is>
      </c>
      <c r="C3531" t="inlineStr">
        <is>
          <t>Frete de venda (para clientes)</t>
        </is>
      </c>
      <c r="D3531" t="inlineStr">
        <is>
          <t>CT-e</t>
        </is>
      </c>
      <c r="E3531" t="inlineStr">
        <is>
          <t>000004257</t>
        </is>
      </c>
      <c r="F3531" t="inlineStr">
        <is>
          <t>RAPIDO XAPURI TRANSPORTES E LOGISTICA LTDA</t>
        </is>
      </c>
      <c r="G3531" s="27" t="n">
        <v>46192</v>
      </c>
      <c r="H3531" s="14" t="n">
        <v>267.14</v>
      </c>
      <c r="I3531" s="14" t="n">
        <v>0</v>
      </c>
      <c r="J3531" s="14" t="n">
        <v>32.06</v>
      </c>
      <c r="K3531" s="14" t="n">
        <v>0</v>
      </c>
      <c r="L3531" s="14" t="n">
        <v>0</v>
      </c>
      <c r="M3531" s="14">
        <f>IF(B3531="Frete de venda",0,(1-ISNUMBER(SEARCH("556",P3531)))*(I3531*VLOOKUP($B3531,Premissas!$A$4:$E$7,2,0)+J3531*VLOOKUP($B3531,Premissas!$A$4:$E$7,3,0))+K3531*VLOOKUP($B3531,Premissas!$A$4:$E$7,4,0)+L3531*VLOOKUP($B3531,Premissas!$A$4:$E$7,5,0))</f>
        <v/>
      </c>
      <c r="N3531" s="14">
        <f>H3531-M3531</f>
        <v/>
      </c>
      <c r="O3531" t="inlineStr">
        <is>
          <t>Sim</t>
        </is>
      </c>
      <c r="P3531" t="inlineStr">
        <is>
          <t>2.350</t>
        </is>
      </c>
    </row>
    <row r="3532">
      <c r="A3532" s="24" t="n">
        <v>46174</v>
      </c>
      <c r="B3532" t="inlineStr">
        <is>
          <t>Frete de venda</t>
        </is>
      </c>
      <c r="C3532" t="inlineStr">
        <is>
          <t>Frete de venda (para clientes)</t>
        </is>
      </c>
      <c r="D3532" t="inlineStr">
        <is>
          <t>CT-e</t>
        </is>
      </c>
      <c r="E3532" t="inlineStr">
        <is>
          <t>000000695</t>
        </is>
      </c>
      <c r="F3532" t="inlineStr">
        <is>
          <t>REIMAG - REINALDO DOMINGUES BARROS DA SILVA</t>
        </is>
      </c>
      <c r="G3532" s="27" t="n">
        <v>46182</v>
      </c>
      <c r="H3532" s="14" t="n">
        <v>275</v>
      </c>
      <c r="I3532" s="14" t="n">
        <v>0</v>
      </c>
      <c r="J3532" s="14" t="n">
        <v>0</v>
      </c>
      <c r="K3532" s="14" t="n">
        <v>0</v>
      </c>
      <c r="L3532" s="14" t="n">
        <v>0</v>
      </c>
      <c r="M3532" s="14">
        <f>IF(B3532="Frete de venda",0,(1-ISNUMBER(SEARCH("556",P3532)))*(I3532*VLOOKUP($B3532,Premissas!$A$4:$E$7,2,0)+J3532*VLOOKUP($B3532,Premissas!$A$4:$E$7,3,0))+K3532*VLOOKUP($B3532,Premissas!$A$4:$E$7,4,0)+L3532*VLOOKUP($B3532,Premissas!$A$4:$E$7,5,0))</f>
        <v/>
      </c>
      <c r="N3532" s="14">
        <f>H3532-M3532</f>
        <v/>
      </c>
      <c r="O3532" t="inlineStr">
        <is>
          <t>Sim</t>
        </is>
      </c>
      <c r="P3532" t="inlineStr">
        <is>
          <t>1.350</t>
        </is>
      </c>
    </row>
    <row r="3533">
      <c r="A3533" s="24" t="n">
        <v>46174</v>
      </c>
      <c r="B3533" t="inlineStr">
        <is>
          <t>Frete de venda</t>
        </is>
      </c>
      <c r="C3533" t="inlineStr">
        <is>
          <t>Frete de venda (para clientes)</t>
        </is>
      </c>
      <c r="D3533" t="inlineStr">
        <is>
          <t>CT-e</t>
        </is>
      </c>
      <c r="E3533" t="inlineStr">
        <is>
          <t>000007450</t>
        </is>
      </c>
      <c r="F3533" t="inlineStr">
        <is>
          <t>R&amp;R TRANSPORTE E LOGISTICA</t>
        </is>
      </c>
      <c r="G3533" s="27" t="n">
        <v>46196</v>
      </c>
      <c r="H3533" s="14" t="n">
        <v>200</v>
      </c>
      <c r="I3533" s="14" t="n">
        <v>0</v>
      </c>
      <c r="J3533" s="14" t="n">
        <v>0</v>
      </c>
      <c r="K3533" s="14" t="n">
        <v>0</v>
      </c>
      <c r="L3533" s="14" t="n">
        <v>0</v>
      </c>
      <c r="M3533" s="14">
        <f>IF(B3533="Frete de venda",0,(1-ISNUMBER(SEARCH("556",P3533)))*(I3533*VLOOKUP($B3533,Premissas!$A$4:$E$7,2,0)+J3533*VLOOKUP($B3533,Premissas!$A$4:$E$7,3,0))+K3533*VLOOKUP($B3533,Premissas!$A$4:$E$7,4,0)+L3533*VLOOKUP($B3533,Premissas!$A$4:$E$7,5,0))</f>
        <v/>
      </c>
      <c r="N3533" s="14">
        <f>H3533-M3533</f>
        <v/>
      </c>
      <c r="O3533" t="inlineStr">
        <is>
          <t>Não</t>
        </is>
      </c>
      <c r="P3533" t="inlineStr">
        <is>
          <t>1.350</t>
        </is>
      </c>
    </row>
    <row r="3534">
      <c r="A3534" s="24" t="n">
        <v>46174</v>
      </c>
      <c r="B3534" t="inlineStr">
        <is>
          <t>Frete de venda</t>
        </is>
      </c>
      <c r="C3534" t="inlineStr">
        <is>
          <t>Frete de venda (para clientes)</t>
        </is>
      </c>
      <c r="D3534" t="inlineStr">
        <is>
          <t>CT-e</t>
        </is>
      </c>
      <c r="E3534" t="inlineStr">
        <is>
          <t>000007237</t>
        </is>
      </c>
      <c r="F3534" t="inlineStr">
        <is>
          <t>R&amp;R TRANSPORTE E LOGISTICA</t>
        </is>
      </c>
      <c r="G3534" s="27" t="n">
        <v>46174</v>
      </c>
      <c r="H3534" s="14" t="n">
        <v>26.7</v>
      </c>
      <c r="I3534" s="14" t="n">
        <v>0</v>
      </c>
      <c r="J3534" s="14" t="n">
        <v>0</v>
      </c>
      <c r="K3534" s="14" t="n">
        <v>0</v>
      </c>
      <c r="L3534" s="14" t="n">
        <v>0</v>
      </c>
      <c r="M3534" s="14">
        <f>IF(B3534="Frete de venda",0,(1-ISNUMBER(SEARCH("556",P3534)))*(I3534*VLOOKUP($B3534,Premissas!$A$4:$E$7,2,0)+J3534*VLOOKUP($B3534,Premissas!$A$4:$E$7,3,0))+K3534*VLOOKUP($B3534,Premissas!$A$4:$E$7,4,0)+L3534*VLOOKUP($B3534,Premissas!$A$4:$E$7,5,0))</f>
        <v/>
      </c>
      <c r="N3534" s="14">
        <f>H3534-M3534</f>
        <v/>
      </c>
      <c r="O3534" t="inlineStr">
        <is>
          <t>Não</t>
        </is>
      </c>
      <c r="P3534" t="inlineStr">
        <is>
          <t>2.350</t>
        </is>
      </c>
    </row>
    <row r="3535">
      <c r="A3535" s="24" t="n">
        <v>46174</v>
      </c>
      <c r="B3535" t="inlineStr">
        <is>
          <t>Frete de venda</t>
        </is>
      </c>
      <c r="C3535" t="inlineStr">
        <is>
          <t>Frete de venda (para clientes)</t>
        </is>
      </c>
      <c r="D3535" t="inlineStr">
        <is>
          <t>CT-e</t>
        </is>
      </c>
      <c r="E3535" t="inlineStr">
        <is>
          <t>000007415</t>
        </is>
      </c>
      <c r="F3535" t="inlineStr">
        <is>
          <t>R&amp;R TRANSPORTE E LOGISTICA</t>
        </is>
      </c>
      <c r="G3535" s="27" t="n">
        <v>46192</v>
      </c>
      <c r="H3535" s="14" t="n">
        <v>19.27</v>
      </c>
      <c r="I3535" s="14" t="n">
        <v>0</v>
      </c>
      <c r="J3535" s="14" t="n">
        <v>0</v>
      </c>
      <c r="K3535" s="14" t="n">
        <v>0</v>
      </c>
      <c r="L3535" s="14" t="n">
        <v>0</v>
      </c>
      <c r="M3535" s="14">
        <f>IF(B3535="Frete de venda",0,(1-ISNUMBER(SEARCH("556",P3535)))*(I3535*VLOOKUP($B3535,Premissas!$A$4:$E$7,2,0)+J3535*VLOOKUP($B3535,Premissas!$A$4:$E$7,3,0))+K3535*VLOOKUP($B3535,Premissas!$A$4:$E$7,4,0)+L3535*VLOOKUP($B3535,Premissas!$A$4:$E$7,5,0))</f>
        <v/>
      </c>
      <c r="N3535" s="14">
        <f>H3535-M3535</f>
        <v/>
      </c>
      <c r="O3535" t="inlineStr">
        <is>
          <t>Não</t>
        </is>
      </c>
      <c r="P3535" t="inlineStr">
        <is>
          <t>1.350</t>
        </is>
      </c>
    </row>
    <row r="3536">
      <c r="A3536" s="24" t="n">
        <v>46174</v>
      </c>
      <c r="B3536" t="inlineStr">
        <is>
          <t>Frete de venda</t>
        </is>
      </c>
      <c r="C3536" t="inlineStr">
        <is>
          <t>Frete de venda (para clientes)</t>
        </is>
      </c>
      <c r="D3536" t="inlineStr">
        <is>
          <t>CT-e</t>
        </is>
      </c>
      <c r="E3536" t="inlineStr">
        <is>
          <t>000007332</t>
        </is>
      </c>
      <c r="F3536" t="inlineStr">
        <is>
          <t>R&amp;R TRANSPORTE E LOGISTICA</t>
        </is>
      </c>
      <c r="G3536" s="27" t="n">
        <v>46186</v>
      </c>
      <c r="H3536" s="14" t="n">
        <v>24.11</v>
      </c>
      <c r="I3536" s="14" t="n">
        <v>0</v>
      </c>
      <c r="J3536" s="14" t="n">
        <v>0</v>
      </c>
      <c r="K3536" s="14" t="n">
        <v>0</v>
      </c>
      <c r="L3536" s="14" t="n">
        <v>0</v>
      </c>
      <c r="M3536" s="14">
        <f>IF(B3536="Frete de venda",0,(1-ISNUMBER(SEARCH("556",P3536)))*(I3536*VLOOKUP($B3536,Premissas!$A$4:$E$7,2,0)+J3536*VLOOKUP($B3536,Premissas!$A$4:$E$7,3,0))+K3536*VLOOKUP($B3536,Premissas!$A$4:$E$7,4,0)+L3536*VLOOKUP($B3536,Premissas!$A$4:$E$7,5,0))</f>
        <v/>
      </c>
      <c r="N3536" s="14">
        <f>H3536-M3536</f>
        <v/>
      </c>
      <c r="O3536" t="inlineStr">
        <is>
          <t>Não</t>
        </is>
      </c>
      <c r="P3536" t="inlineStr">
        <is>
          <t>1.350</t>
        </is>
      </c>
    </row>
    <row r="3537">
      <c r="A3537" s="24" t="n">
        <v>46174</v>
      </c>
      <c r="B3537" t="inlineStr">
        <is>
          <t>Frete de venda</t>
        </is>
      </c>
      <c r="C3537" t="inlineStr">
        <is>
          <t>Frete de venda (para clientes)</t>
        </is>
      </c>
      <c r="D3537" t="inlineStr">
        <is>
          <t>CT-e</t>
        </is>
      </c>
      <c r="E3537" t="inlineStr">
        <is>
          <t>000007367</t>
        </is>
      </c>
      <c r="F3537" t="inlineStr">
        <is>
          <t>R&amp;R TRANSPORTE E LOGISTICA</t>
        </is>
      </c>
      <c r="G3537" s="27" t="n">
        <v>46189</v>
      </c>
      <c r="H3537" s="14" t="n">
        <v>25.5</v>
      </c>
      <c r="I3537" s="14" t="n">
        <v>0</v>
      </c>
      <c r="J3537" s="14" t="n">
        <v>0</v>
      </c>
      <c r="K3537" s="14" t="n">
        <v>0</v>
      </c>
      <c r="L3537" s="14" t="n">
        <v>0</v>
      </c>
      <c r="M3537" s="14">
        <f>IF(B3537="Frete de venda",0,(1-ISNUMBER(SEARCH("556",P3537)))*(I3537*VLOOKUP($B3537,Premissas!$A$4:$E$7,2,0)+J3537*VLOOKUP($B3537,Premissas!$A$4:$E$7,3,0))+K3537*VLOOKUP($B3537,Premissas!$A$4:$E$7,4,0)+L3537*VLOOKUP($B3537,Premissas!$A$4:$E$7,5,0))</f>
        <v/>
      </c>
      <c r="N3537" s="14">
        <f>H3537-M3537</f>
        <v/>
      </c>
      <c r="O3537" t="inlineStr">
        <is>
          <t>Não</t>
        </is>
      </c>
      <c r="P3537" t="inlineStr">
        <is>
          <t>1.350</t>
        </is>
      </c>
    </row>
    <row r="3538">
      <c r="A3538" s="24" t="n">
        <v>46174</v>
      </c>
      <c r="B3538" t="inlineStr">
        <is>
          <t>Frete de venda</t>
        </is>
      </c>
      <c r="C3538" t="inlineStr">
        <is>
          <t>Frete de venda (para clientes)</t>
        </is>
      </c>
      <c r="D3538" t="inlineStr">
        <is>
          <t>CT-e</t>
        </is>
      </c>
      <c r="E3538" t="inlineStr">
        <is>
          <t>001442029</t>
        </is>
      </c>
      <c r="F3538" t="inlineStr">
        <is>
          <t>PICCOLI TRANSPORTES LTDA</t>
        </is>
      </c>
      <c r="G3538" s="27" t="n">
        <v>46176</v>
      </c>
      <c r="H3538" s="14" t="n">
        <v>0.1</v>
      </c>
      <c r="I3538" s="14" t="n">
        <v>0</v>
      </c>
      <c r="J3538" s="14" t="n">
        <v>0.01</v>
      </c>
      <c r="K3538" s="14" t="n">
        <v>0</v>
      </c>
      <c r="L3538" s="14" t="n">
        <v>0</v>
      </c>
      <c r="M3538" s="14">
        <f>IF(B3538="Frete de venda",0,(1-ISNUMBER(SEARCH("556",P3538)))*(I3538*VLOOKUP($B3538,Premissas!$A$4:$E$7,2,0)+J3538*VLOOKUP($B3538,Premissas!$A$4:$E$7,3,0))+K3538*VLOOKUP($B3538,Premissas!$A$4:$E$7,4,0)+L3538*VLOOKUP($B3538,Premissas!$A$4:$E$7,5,0))</f>
        <v/>
      </c>
      <c r="N3538" s="14">
        <f>H3538-M3538</f>
        <v/>
      </c>
      <c r="O3538" t="inlineStr">
        <is>
          <t>Não</t>
        </is>
      </c>
      <c r="P3538" t="inlineStr">
        <is>
          <t>2.350</t>
        </is>
      </c>
    </row>
    <row r="3539">
      <c r="A3539" s="24" t="n">
        <v>46174</v>
      </c>
      <c r="B3539" t="inlineStr">
        <is>
          <t>Frete de venda</t>
        </is>
      </c>
      <c r="C3539" t="inlineStr">
        <is>
          <t>Frete de venda (para clientes)</t>
        </is>
      </c>
      <c r="D3539" t="inlineStr">
        <is>
          <t>CT-e</t>
        </is>
      </c>
      <c r="E3539" t="inlineStr">
        <is>
          <t>001442541</t>
        </is>
      </c>
      <c r="F3539" t="inlineStr">
        <is>
          <t>PICCOLI TRANSPORTES LTDA</t>
        </is>
      </c>
      <c r="G3539" s="27" t="n">
        <v>46178</v>
      </c>
      <c r="H3539" s="14" t="n">
        <v>1302.5</v>
      </c>
      <c r="I3539" s="14" t="n">
        <v>0</v>
      </c>
      <c r="J3539" s="14" t="n">
        <v>91.18000000000001</v>
      </c>
      <c r="K3539" s="14" t="n">
        <v>0</v>
      </c>
      <c r="L3539" s="14" t="n">
        <v>0</v>
      </c>
      <c r="M3539" s="14">
        <f>IF(B3539="Frete de venda",0,(1-ISNUMBER(SEARCH("556",P3539)))*(I3539*VLOOKUP($B3539,Premissas!$A$4:$E$7,2,0)+J3539*VLOOKUP($B3539,Premissas!$A$4:$E$7,3,0))+K3539*VLOOKUP($B3539,Premissas!$A$4:$E$7,4,0)+L3539*VLOOKUP($B3539,Premissas!$A$4:$E$7,5,0))</f>
        <v/>
      </c>
      <c r="N3539" s="14">
        <f>H3539-M3539</f>
        <v/>
      </c>
      <c r="O3539" t="inlineStr">
        <is>
          <t>Sim</t>
        </is>
      </c>
      <c r="P3539" t="inlineStr">
        <is>
          <t>1.350</t>
        </is>
      </c>
    </row>
    <row r="3540">
      <c r="A3540" s="24" t="n">
        <v>46174</v>
      </c>
      <c r="B3540" t="inlineStr">
        <is>
          <t>Frete de venda</t>
        </is>
      </c>
      <c r="C3540" t="inlineStr">
        <is>
          <t>Frete de venda (para clientes)</t>
        </is>
      </c>
      <c r="D3540" t="inlineStr">
        <is>
          <t>CT-e</t>
        </is>
      </c>
      <c r="E3540" t="inlineStr">
        <is>
          <t>000007323</t>
        </is>
      </c>
      <c r="F3540" t="inlineStr">
        <is>
          <t>R&amp;R TRANSPORTE E LOGISTICA</t>
        </is>
      </c>
      <c r="G3540" s="27" t="n">
        <v>46186</v>
      </c>
      <c r="H3540" s="14" t="n">
        <v>14.01</v>
      </c>
      <c r="I3540" s="14" t="n">
        <v>0</v>
      </c>
      <c r="J3540" s="14" t="n">
        <v>0</v>
      </c>
      <c r="K3540" s="14" t="n">
        <v>0</v>
      </c>
      <c r="L3540" s="14" t="n">
        <v>0</v>
      </c>
      <c r="M3540" s="14">
        <f>IF(B3540="Frete de venda",0,(1-ISNUMBER(SEARCH("556",P3540)))*(I3540*VLOOKUP($B3540,Premissas!$A$4:$E$7,2,0)+J3540*VLOOKUP($B3540,Premissas!$A$4:$E$7,3,0))+K3540*VLOOKUP($B3540,Premissas!$A$4:$E$7,4,0)+L3540*VLOOKUP($B3540,Premissas!$A$4:$E$7,5,0))</f>
        <v/>
      </c>
      <c r="N3540" s="14">
        <f>H3540-M3540</f>
        <v/>
      </c>
      <c r="O3540" t="inlineStr">
        <is>
          <t>Não</t>
        </is>
      </c>
      <c r="P3540" t="inlineStr">
        <is>
          <t>1.350</t>
        </is>
      </c>
    </row>
    <row r="3541">
      <c r="A3541" s="24" t="n">
        <v>46174</v>
      </c>
      <c r="B3541" t="inlineStr">
        <is>
          <t>Frete de venda</t>
        </is>
      </c>
      <c r="C3541" t="inlineStr">
        <is>
          <t>Frete de venda (para clientes)</t>
        </is>
      </c>
      <c r="D3541" t="inlineStr">
        <is>
          <t>CT-e</t>
        </is>
      </c>
      <c r="E3541" t="inlineStr">
        <is>
          <t>000007469</t>
        </is>
      </c>
      <c r="F3541" t="inlineStr">
        <is>
          <t>R&amp;R TRANSPORTE E LOGISTICA</t>
        </is>
      </c>
      <c r="G3541" s="27" t="n">
        <v>46198</v>
      </c>
      <c r="H3541" s="14" t="n">
        <v>37.44</v>
      </c>
      <c r="I3541" s="14" t="n">
        <v>0</v>
      </c>
      <c r="J3541" s="14" t="n">
        <v>0</v>
      </c>
      <c r="K3541" s="14" t="n">
        <v>0</v>
      </c>
      <c r="L3541" s="14" t="n">
        <v>0</v>
      </c>
      <c r="M3541" s="14">
        <f>IF(B3541="Frete de venda",0,(1-ISNUMBER(SEARCH("556",P3541)))*(I3541*VLOOKUP($B3541,Premissas!$A$4:$E$7,2,0)+J3541*VLOOKUP($B3541,Premissas!$A$4:$E$7,3,0))+K3541*VLOOKUP($B3541,Premissas!$A$4:$E$7,4,0)+L3541*VLOOKUP($B3541,Premissas!$A$4:$E$7,5,0))</f>
        <v/>
      </c>
      <c r="N3541" s="14">
        <f>H3541-M3541</f>
        <v/>
      </c>
      <c r="O3541" t="inlineStr">
        <is>
          <t>Não</t>
        </is>
      </c>
      <c r="P3541" t="inlineStr">
        <is>
          <t>1.350</t>
        </is>
      </c>
    </row>
    <row r="3542">
      <c r="A3542" s="24" t="n">
        <v>46174</v>
      </c>
      <c r="B3542" t="inlineStr">
        <is>
          <t>Frete de venda</t>
        </is>
      </c>
      <c r="C3542" t="inlineStr">
        <is>
          <t>Frete de venda (para clientes)</t>
        </is>
      </c>
      <c r="D3542" t="inlineStr">
        <is>
          <t>CT-e</t>
        </is>
      </c>
      <c r="E3542" t="inlineStr">
        <is>
          <t>000007427</t>
        </is>
      </c>
      <c r="F3542" t="inlineStr">
        <is>
          <t>R&amp;R TRANSPORTE E LOGISTICA</t>
        </is>
      </c>
      <c r="G3542" s="27" t="n">
        <v>46192</v>
      </c>
      <c r="H3542" s="14" t="n">
        <v>34.82</v>
      </c>
      <c r="I3542" s="14" t="n">
        <v>0</v>
      </c>
      <c r="J3542" s="14" t="n">
        <v>0</v>
      </c>
      <c r="K3542" s="14" t="n">
        <v>0</v>
      </c>
      <c r="L3542" s="14" t="n">
        <v>0</v>
      </c>
      <c r="M3542" s="14">
        <f>IF(B3542="Frete de venda",0,(1-ISNUMBER(SEARCH("556",P3542)))*(I3542*VLOOKUP($B3542,Premissas!$A$4:$E$7,2,0)+J3542*VLOOKUP($B3542,Premissas!$A$4:$E$7,3,0))+K3542*VLOOKUP($B3542,Premissas!$A$4:$E$7,4,0)+L3542*VLOOKUP($B3542,Premissas!$A$4:$E$7,5,0))</f>
        <v/>
      </c>
      <c r="N3542" s="14">
        <f>H3542-M3542</f>
        <v/>
      </c>
      <c r="O3542" t="inlineStr">
        <is>
          <t>Não</t>
        </is>
      </c>
      <c r="P3542" t="inlineStr">
        <is>
          <t>1.350</t>
        </is>
      </c>
    </row>
    <row r="3543">
      <c r="A3543" s="24" t="n">
        <v>46174</v>
      </c>
      <c r="B3543" t="inlineStr">
        <is>
          <t>Frete de venda</t>
        </is>
      </c>
      <c r="C3543" t="inlineStr">
        <is>
          <t>Frete de venda (para clientes)</t>
        </is>
      </c>
      <c r="D3543" t="inlineStr">
        <is>
          <t>CT-e</t>
        </is>
      </c>
      <c r="E3543" t="inlineStr">
        <is>
          <t>000007477</t>
        </is>
      </c>
      <c r="F3543" t="inlineStr">
        <is>
          <t>R&amp;R TRANSPORTE E LOGISTICA</t>
        </is>
      </c>
      <c r="G3543" s="27" t="n">
        <v>46199</v>
      </c>
      <c r="H3543" s="14" t="n">
        <v>24.5</v>
      </c>
      <c r="I3543" s="14" t="n">
        <v>0</v>
      </c>
      <c r="J3543" s="14" t="n">
        <v>0</v>
      </c>
      <c r="K3543" s="14" t="n">
        <v>0</v>
      </c>
      <c r="L3543" s="14" t="n">
        <v>0</v>
      </c>
      <c r="M3543" s="14">
        <f>IF(B3543="Frete de venda",0,(1-ISNUMBER(SEARCH("556",P3543)))*(I3543*VLOOKUP($B3543,Premissas!$A$4:$E$7,2,0)+J3543*VLOOKUP($B3543,Premissas!$A$4:$E$7,3,0))+K3543*VLOOKUP($B3543,Premissas!$A$4:$E$7,4,0)+L3543*VLOOKUP($B3543,Premissas!$A$4:$E$7,5,0))</f>
        <v/>
      </c>
      <c r="N3543" s="14">
        <f>H3543-M3543</f>
        <v/>
      </c>
      <c r="O3543" t="inlineStr">
        <is>
          <t>Não</t>
        </is>
      </c>
      <c r="P3543" t="inlineStr">
        <is>
          <t>1.350</t>
        </is>
      </c>
    </row>
    <row r="3544">
      <c r="A3544" s="24" t="n">
        <v>46174</v>
      </c>
      <c r="B3544" t="inlineStr">
        <is>
          <t>Frete de venda</t>
        </is>
      </c>
      <c r="C3544" t="inlineStr">
        <is>
          <t>Frete de venda (para clientes)</t>
        </is>
      </c>
      <c r="D3544" t="inlineStr">
        <is>
          <t>CT-e</t>
        </is>
      </c>
      <c r="E3544" t="inlineStr">
        <is>
          <t>000007414</t>
        </is>
      </c>
      <c r="F3544" t="inlineStr">
        <is>
          <t>R&amp;R TRANSPORTE E LOGISTICA</t>
        </is>
      </c>
      <c r="G3544" s="27" t="n">
        <v>46192</v>
      </c>
      <c r="H3544" s="14" t="n">
        <v>29.27</v>
      </c>
      <c r="I3544" s="14" t="n">
        <v>0</v>
      </c>
      <c r="J3544" s="14" t="n">
        <v>0</v>
      </c>
      <c r="K3544" s="14" t="n">
        <v>0</v>
      </c>
      <c r="L3544" s="14" t="n">
        <v>0</v>
      </c>
      <c r="M3544" s="14">
        <f>IF(B3544="Frete de venda",0,(1-ISNUMBER(SEARCH("556",P3544)))*(I3544*VLOOKUP($B3544,Premissas!$A$4:$E$7,2,0)+J3544*VLOOKUP($B3544,Premissas!$A$4:$E$7,3,0))+K3544*VLOOKUP($B3544,Premissas!$A$4:$E$7,4,0)+L3544*VLOOKUP($B3544,Premissas!$A$4:$E$7,5,0))</f>
        <v/>
      </c>
      <c r="N3544" s="14">
        <f>H3544-M3544</f>
        <v/>
      </c>
      <c r="O3544" t="inlineStr">
        <is>
          <t>Não</t>
        </is>
      </c>
      <c r="P3544" t="inlineStr">
        <is>
          <t>1.350</t>
        </is>
      </c>
    </row>
    <row r="3545">
      <c r="A3545" s="24" t="n">
        <v>46174</v>
      </c>
      <c r="B3545" t="inlineStr">
        <is>
          <t>Frete de venda</t>
        </is>
      </c>
      <c r="C3545" t="inlineStr">
        <is>
          <t>Frete de venda (para clientes)</t>
        </is>
      </c>
      <c r="D3545" t="inlineStr">
        <is>
          <t>CT-e</t>
        </is>
      </c>
      <c r="E3545" t="inlineStr">
        <is>
          <t>000007300</t>
        </is>
      </c>
      <c r="F3545" t="inlineStr">
        <is>
          <t>R&amp;R TRANSPORTE E LOGISTICA</t>
        </is>
      </c>
      <c r="G3545" s="27" t="n">
        <v>46184</v>
      </c>
      <c r="H3545" s="14" t="n">
        <v>39.59</v>
      </c>
      <c r="I3545" s="14" t="n">
        <v>0</v>
      </c>
      <c r="J3545" s="14" t="n">
        <v>0</v>
      </c>
      <c r="K3545" s="14" t="n">
        <v>0</v>
      </c>
      <c r="L3545" s="14" t="n">
        <v>0</v>
      </c>
      <c r="M3545" s="14">
        <f>IF(B3545="Frete de venda",0,(1-ISNUMBER(SEARCH("556",P3545)))*(I3545*VLOOKUP($B3545,Premissas!$A$4:$E$7,2,0)+J3545*VLOOKUP($B3545,Premissas!$A$4:$E$7,3,0))+K3545*VLOOKUP($B3545,Premissas!$A$4:$E$7,4,0)+L3545*VLOOKUP($B3545,Premissas!$A$4:$E$7,5,0))</f>
        <v/>
      </c>
      <c r="N3545" s="14">
        <f>H3545-M3545</f>
        <v/>
      </c>
      <c r="O3545" t="inlineStr">
        <is>
          <t>Não</t>
        </is>
      </c>
      <c r="P3545" t="inlineStr">
        <is>
          <t>1.350</t>
        </is>
      </c>
    </row>
    <row r="3546">
      <c r="A3546" s="24" t="n">
        <v>46174</v>
      </c>
      <c r="B3546" t="inlineStr">
        <is>
          <t>Frete de venda</t>
        </is>
      </c>
      <c r="C3546" t="inlineStr">
        <is>
          <t>Frete de venda (para clientes)</t>
        </is>
      </c>
      <c r="D3546" t="inlineStr">
        <is>
          <t>CT-e</t>
        </is>
      </c>
      <c r="E3546" t="inlineStr">
        <is>
          <t>000007479</t>
        </is>
      </c>
      <c r="F3546" t="inlineStr">
        <is>
          <t>R&amp;R TRANSPORTE E LOGISTICA</t>
        </is>
      </c>
      <c r="G3546" s="27" t="n">
        <v>46199</v>
      </c>
      <c r="H3546" s="14" t="n">
        <v>38.6</v>
      </c>
      <c r="I3546" s="14" t="n">
        <v>0</v>
      </c>
      <c r="J3546" s="14" t="n">
        <v>0</v>
      </c>
      <c r="K3546" s="14" t="n">
        <v>0</v>
      </c>
      <c r="L3546" s="14" t="n">
        <v>0</v>
      </c>
      <c r="M3546" s="14">
        <f>IF(B3546="Frete de venda",0,(1-ISNUMBER(SEARCH("556",P3546)))*(I3546*VLOOKUP($B3546,Premissas!$A$4:$E$7,2,0)+J3546*VLOOKUP($B3546,Premissas!$A$4:$E$7,3,0))+K3546*VLOOKUP($B3546,Premissas!$A$4:$E$7,4,0)+L3546*VLOOKUP($B3546,Premissas!$A$4:$E$7,5,0))</f>
        <v/>
      </c>
      <c r="N3546" s="14">
        <f>H3546-M3546</f>
        <v/>
      </c>
      <c r="O3546" t="inlineStr">
        <is>
          <t>Não</t>
        </is>
      </c>
      <c r="P3546" t="inlineStr">
        <is>
          <t>1.350</t>
        </is>
      </c>
    </row>
    <row r="3547">
      <c r="A3547" s="24" t="n">
        <v>46174</v>
      </c>
      <c r="B3547" t="inlineStr">
        <is>
          <t>Frete de venda</t>
        </is>
      </c>
      <c r="C3547" t="inlineStr">
        <is>
          <t>Frete de venda (para clientes)</t>
        </is>
      </c>
      <c r="D3547" t="inlineStr">
        <is>
          <t>CT-e</t>
        </is>
      </c>
      <c r="E3547" t="inlineStr">
        <is>
          <t>000007336</t>
        </is>
      </c>
      <c r="F3547" t="inlineStr">
        <is>
          <t>R&amp;R TRANSPORTE E LOGISTICA</t>
        </is>
      </c>
      <c r="G3547" s="27" t="n">
        <v>46186</v>
      </c>
      <c r="H3547" s="14" t="n">
        <v>540</v>
      </c>
      <c r="I3547" s="14" t="n">
        <v>0</v>
      </c>
      <c r="J3547" s="14" t="n">
        <v>0</v>
      </c>
      <c r="K3547" s="14" t="n">
        <v>0</v>
      </c>
      <c r="L3547" s="14" t="n">
        <v>0</v>
      </c>
      <c r="M3547" s="14">
        <f>IF(B3547="Frete de venda",0,(1-ISNUMBER(SEARCH("556",P3547)))*(I3547*VLOOKUP($B3547,Premissas!$A$4:$E$7,2,0)+J3547*VLOOKUP($B3547,Premissas!$A$4:$E$7,3,0))+K3547*VLOOKUP($B3547,Premissas!$A$4:$E$7,4,0)+L3547*VLOOKUP($B3547,Premissas!$A$4:$E$7,5,0))</f>
        <v/>
      </c>
      <c r="N3547" s="14">
        <f>H3547-M3547</f>
        <v/>
      </c>
      <c r="O3547" t="inlineStr">
        <is>
          <t>Não</t>
        </is>
      </c>
      <c r="P3547" t="inlineStr">
        <is>
          <t>1.350</t>
        </is>
      </c>
    </row>
    <row r="3548">
      <c r="A3548" s="24" t="n">
        <v>46174</v>
      </c>
      <c r="B3548" t="inlineStr">
        <is>
          <t>Frete de venda</t>
        </is>
      </c>
      <c r="C3548" t="inlineStr">
        <is>
          <t>Frete de venda (para clientes)</t>
        </is>
      </c>
      <c r="D3548" t="inlineStr">
        <is>
          <t>CT-e</t>
        </is>
      </c>
      <c r="E3548" t="inlineStr">
        <is>
          <t>000007318</t>
        </is>
      </c>
      <c r="F3548" t="inlineStr">
        <is>
          <t>R&amp;R TRANSPORTE E LOGISTICA</t>
        </is>
      </c>
      <c r="G3548" s="27" t="n">
        <v>46186</v>
      </c>
      <c r="H3548" s="14" t="n">
        <v>20.31</v>
      </c>
      <c r="I3548" s="14" t="n">
        <v>0</v>
      </c>
      <c r="J3548" s="14" t="n">
        <v>0</v>
      </c>
      <c r="K3548" s="14" t="n">
        <v>0</v>
      </c>
      <c r="L3548" s="14" t="n">
        <v>0</v>
      </c>
      <c r="M3548" s="14">
        <f>IF(B3548="Frete de venda",0,(1-ISNUMBER(SEARCH("556",P3548)))*(I3548*VLOOKUP($B3548,Premissas!$A$4:$E$7,2,0)+J3548*VLOOKUP($B3548,Premissas!$A$4:$E$7,3,0))+K3548*VLOOKUP($B3548,Premissas!$A$4:$E$7,4,0)+L3548*VLOOKUP($B3548,Premissas!$A$4:$E$7,5,0))</f>
        <v/>
      </c>
      <c r="N3548" s="14">
        <f>H3548-M3548</f>
        <v/>
      </c>
      <c r="O3548" t="inlineStr">
        <is>
          <t>Não</t>
        </is>
      </c>
      <c r="P3548" t="inlineStr">
        <is>
          <t>1.350</t>
        </is>
      </c>
    </row>
    <row r="3549">
      <c r="A3549" s="24" t="n">
        <v>46174</v>
      </c>
      <c r="B3549" t="inlineStr">
        <is>
          <t>Frete de venda</t>
        </is>
      </c>
      <c r="C3549" t="inlineStr">
        <is>
          <t>Frete de venda (para clientes)</t>
        </is>
      </c>
      <c r="D3549" t="inlineStr">
        <is>
          <t>CT-e</t>
        </is>
      </c>
      <c r="E3549" t="inlineStr">
        <is>
          <t>001442027</t>
        </is>
      </c>
      <c r="F3549" t="inlineStr">
        <is>
          <t>PICCOLI TRANSPORTES LTDA</t>
        </is>
      </c>
      <c r="G3549" s="27" t="n">
        <v>46176</v>
      </c>
      <c r="H3549" s="14" t="n">
        <v>0.1</v>
      </c>
      <c r="I3549" s="14" t="n">
        <v>0</v>
      </c>
      <c r="J3549" s="14" t="n">
        <v>0.01</v>
      </c>
      <c r="K3549" s="14" t="n">
        <v>0</v>
      </c>
      <c r="L3549" s="14" t="n">
        <v>0</v>
      </c>
      <c r="M3549" s="14">
        <f>IF(B3549="Frete de venda",0,(1-ISNUMBER(SEARCH("556",P3549)))*(I3549*VLOOKUP($B3549,Premissas!$A$4:$E$7,2,0)+J3549*VLOOKUP($B3549,Premissas!$A$4:$E$7,3,0))+K3549*VLOOKUP($B3549,Premissas!$A$4:$E$7,4,0)+L3549*VLOOKUP($B3549,Premissas!$A$4:$E$7,5,0))</f>
        <v/>
      </c>
      <c r="N3549" s="14">
        <f>H3549-M3549</f>
        <v/>
      </c>
      <c r="O3549" t="inlineStr">
        <is>
          <t>Não</t>
        </is>
      </c>
      <c r="P3549" t="inlineStr">
        <is>
          <t>2.350</t>
        </is>
      </c>
    </row>
    <row r="3550">
      <c r="A3550" s="24" t="n">
        <v>46174</v>
      </c>
      <c r="B3550" t="inlineStr">
        <is>
          <t>Frete de venda</t>
        </is>
      </c>
      <c r="C3550" t="inlineStr">
        <is>
          <t>Frete de venda (para clientes)</t>
        </is>
      </c>
      <c r="D3550" t="inlineStr">
        <is>
          <t>CT-e</t>
        </is>
      </c>
      <c r="E3550" t="inlineStr">
        <is>
          <t>001442540</t>
        </is>
      </c>
      <c r="F3550" t="inlineStr">
        <is>
          <t>PICCOLI TRANSPORTES LTDA</t>
        </is>
      </c>
      <c r="G3550" s="27" t="n">
        <v>46178</v>
      </c>
      <c r="H3550" s="14" t="n">
        <v>270.2</v>
      </c>
      <c r="I3550" s="14" t="n">
        <v>0</v>
      </c>
      <c r="J3550" s="14" t="n">
        <v>18.91</v>
      </c>
      <c r="K3550" s="14" t="n">
        <v>0</v>
      </c>
      <c r="L3550" s="14" t="n">
        <v>0</v>
      </c>
      <c r="M3550" s="14">
        <f>IF(B3550="Frete de venda",0,(1-ISNUMBER(SEARCH("556",P3550)))*(I3550*VLOOKUP($B3550,Premissas!$A$4:$E$7,2,0)+J3550*VLOOKUP($B3550,Premissas!$A$4:$E$7,3,0))+K3550*VLOOKUP($B3550,Premissas!$A$4:$E$7,4,0)+L3550*VLOOKUP($B3550,Premissas!$A$4:$E$7,5,0))</f>
        <v/>
      </c>
      <c r="N3550" s="14">
        <f>H3550-M3550</f>
        <v/>
      </c>
      <c r="O3550" t="inlineStr">
        <is>
          <t>Sim</t>
        </is>
      </c>
      <c r="P3550" t="inlineStr">
        <is>
          <t>1.350</t>
        </is>
      </c>
    </row>
    <row r="3551">
      <c r="A3551" s="24" t="n">
        <v>46174</v>
      </c>
      <c r="B3551" t="inlineStr">
        <is>
          <t>Frete de venda</t>
        </is>
      </c>
      <c r="C3551" t="inlineStr">
        <is>
          <t>Frete de venda (para clientes)</t>
        </is>
      </c>
      <c r="D3551" t="inlineStr">
        <is>
          <t>CT-e</t>
        </is>
      </c>
      <c r="E3551" t="inlineStr">
        <is>
          <t>000007312</t>
        </is>
      </c>
      <c r="F3551" t="inlineStr">
        <is>
          <t>R&amp;R TRANSPORTE E LOGISTICA</t>
        </is>
      </c>
      <c r="G3551" s="27" t="n">
        <v>46186</v>
      </c>
      <c r="H3551" s="14" t="n">
        <v>21.43</v>
      </c>
      <c r="I3551" s="14" t="n">
        <v>0</v>
      </c>
      <c r="J3551" s="14" t="n">
        <v>0</v>
      </c>
      <c r="K3551" s="14" t="n">
        <v>0</v>
      </c>
      <c r="L3551" s="14" t="n">
        <v>0</v>
      </c>
      <c r="M3551" s="14">
        <f>IF(B3551="Frete de venda",0,(1-ISNUMBER(SEARCH("556",P3551)))*(I3551*VLOOKUP($B3551,Premissas!$A$4:$E$7,2,0)+J3551*VLOOKUP($B3551,Premissas!$A$4:$E$7,3,0))+K3551*VLOOKUP($B3551,Premissas!$A$4:$E$7,4,0)+L3551*VLOOKUP($B3551,Premissas!$A$4:$E$7,5,0))</f>
        <v/>
      </c>
      <c r="N3551" s="14">
        <f>H3551-M3551</f>
        <v/>
      </c>
      <c r="O3551" t="inlineStr">
        <is>
          <t>Não</t>
        </is>
      </c>
      <c r="P3551" t="inlineStr">
        <is>
          <t>1.350</t>
        </is>
      </c>
    </row>
    <row r="3552">
      <c r="A3552" s="24" t="n">
        <v>46174</v>
      </c>
      <c r="B3552" t="inlineStr">
        <is>
          <t>Frete de venda</t>
        </is>
      </c>
      <c r="C3552" t="inlineStr">
        <is>
          <t>Frete de venda (para clientes)</t>
        </is>
      </c>
      <c r="D3552" t="inlineStr">
        <is>
          <t>CT-e</t>
        </is>
      </c>
      <c r="E3552" t="inlineStr">
        <is>
          <t>001442034</t>
        </is>
      </c>
      <c r="F3552" t="inlineStr">
        <is>
          <t>PICCOLI TRANSPORTES LTDA</t>
        </is>
      </c>
      <c r="G3552" s="27" t="n">
        <v>46176</v>
      </c>
      <c r="H3552" s="14" t="n">
        <v>0.1</v>
      </c>
      <c r="I3552" s="14" t="n">
        <v>0</v>
      </c>
      <c r="J3552" s="14" t="n">
        <v>0.01</v>
      </c>
      <c r="K3552" s="14" t="n">
        <v>0</v>
      </c>
      <c r="L3552" s="14" t="n">
        <v>0</v>
      </c>
      <c r="M3552" s="14">
        <f>IF(B3552="Frete de venda",0,(1-ISNUMBER(SEARCH("556",P3552)))*(I3552*VLOOKUP($B3552,Premissas!$A$4:$E$7,2,0)+J3552*VLOOKUP($B3552,Premissas!$A$4:$E$7,3,0))+K3552*VLOOKUP($B3552,Premissas!$A$4:$E$7,4,0)+L3552*VLOOKUP($B3552,Premissas!$A$4:$E$7,5,0))</f>
        <v/>
      </c>
      <c r="N3552" s="14">
        <f>H3552-M3552</f>
        <v/>
      </c>
      <c r="O3552" t="inlineStr">
        <is>
          <t>Não</t>
        </is>
      </c>
      <c r="P3552" t="inlineStr">
        <is>
          <t>2.350</t>
        </is>
      </c>
    </row>
    <row r="3553">
      <c r="A3553" s="24" t="n">
        <v>46174</v>
      </c>
      <c r="B3553" t="inlineStr">
        <is>
          <t>Frete de venda</t>
        </is>
      </c>
      <c r="C3553" t="inlineStr">
        <is>
          <t>Frete de venda (para clientes)</t>
        </is>
      </c>
      <c r="D3553" t="inlineStr">
        <is>
          <t>CT-e</t>
        </is>
      </c>
      <c r="E3553" t="inlineStr">
        <is>
          <t>001443736</t>
        </is>
      </c>
      <c r="F3553" t="inlineStr">
        <is>
          <t>PICCOLI TRANSPORTES LTDA</t>
        </is>
      </c>
      <c r="G3553" s="27" t="n">
        <v>46183</v>
      </c>
      <c r="H3553" s="14" t="n">
        <v>6431.74</v>
      </c>
      <c r="I3553" s="14" t="n">
        <v>0</v>
      </c>
      <c r="J3553" s="14" t="n">
        <v>450.22</v>
      </c>
      <c r="K3553" s="14" t="n">
        <v>0</v>
      </c>
      <c r="L3553" s="14" t="n">
        <v>0</v>
      </c>
      <c r="M3553" s="14">
        <f>IF(B3553="Frete de venda",0,(1-ISNUMBER(SEARCH("556",P3553)))*(I3553*VLOOKUP($B3553,Premissas!$A$4:$E$7,2,0)+J3553*VLOOKUP($B3553,Premissas!$A$4:$E$7,3,0))+K3553*VLOOKUP($B3553,Premissas!$A$4:$E$7,4,0)+L3553*VLOOKUP($B3553,Premissas!$A$4:$E$7,5,0))</f>
        <v/>
      </c>
      <c r="N3553" s="14">
        <f>H3553-M3553</f>
        <v/>
      </c>
      <c r="O3553" t="inlineStr">
        <is>
          <t>Sim</t>
        </is>
      </c>
      <c r="P3553" t="inlineStr">
        <is>
          <t>1.350</t>
        </is>
      </c>
    </row>
    <row r="3554">
      <c r="A3554" s="24" t="n">
        <v>46174</v>
      </c>
      <c r="B3554" t="inlineStr">
        <is>
          <t>Frete de venda</t>
        </is>
      </c>
      <c r="C3554" t="inlineStr">
        <is>
          <t>Frete de venda (para clientes)</t>
        </is>
      </c>
      <c r="D3554" t="inlineStr">
        <is>
          <t>CT-e</t>
        </is>
      </c>
      <c r="E3554" t="inlineStr">
        <is>
          <t>000007378</t>
        </is>
      </c>
      <c r="F3554" t="inlineStr">
        <is>
          <t>R&amp;R TRANSPORTE E LOGISTICA</t>
        </is>
      </c>
      <c r="G3554" s="27" t="n">
        <v>46190</v>
      </c>
      <c r="H3554" s="14" t="n">
        <v>21.46</v>
      </c>
      <c r="I3554" s="14" t="n">
        <v>0</v>
      </c>
      <c r="J3554" s="14" t="n">
        <v>0</v>
      </c>
      <c r="K3554" s="14" t="n">
        <v>0</v>
      </c>
      <c r="L3554" s="14" t="n">
        <v>0</v>
      </c>
      <c r="M3554" s="14">
        <f>IF(B3554="Frete de venda",0,(1-ISNUMBER(SEARCH("556",P3554)))*(I3554*VLOOKUP($B3554,Premissas!$A$4:$E$7,2,0)+J3554*VLOOKUP($B3554,Premissas!$A$4:$E$7,3,0))+K3554*VLOOKUP($B3554,Premissas!$A$4:$E$7,4,0)+L3554*VLOOKUP($B3554,Premissas!$A$4:$E$7,5,0))</f>
        <v/>
      </c>
      <c r="N3554" s="14">
        <f>H3554-M3554</f>
        <v/>
      </c>
      <c r="O3554" t="inlineStr">
        <is>
          <t>Não</t>
        </is>
      </c>
      <c r="P3554" t="inlineStr">
        <is>
          <t>1.350</t>
        </is>
      </c>
    </row>
    <row r="3555">
      <c r="A3555" s="24" t="n">
        <v>46174</v>
      </c>
      <c r="B3555" t="inlineStr">
        <is>
          <t>Frete de venda</t>
        </is>
      </c>
      <c r="C3555" t="inlineStr">
        <is>
          <t>Frete de venda (para clientes)</t>
        </is>
      </c>
      <c r="D3555" t="inlineStr">
        <is>
          <t>CT-e</t>
        </is>
      </c>
      <c r="E3555" t="inlineStr">
        <is>
          <t>000007381</t>
        </is>
      </c>
      <c r="F3555" t="inlineStr">
        <is>
          <t>R&amp;R TRANSPORTE E LOGISTICA</t>
        </is>
      </c>
      <c r="G3555" s="27" t="n">
        <v>46190</v>
      </c>
      <c r="H3555" s="14" t="n">
        <v>16.98</v>
      </c>
      <c r="I3555" s="14" t="n">
        <v>0</v>
      </c>
      <c r="J3555" s="14" t="n">
        <v>0</v>
      </c>
      <c r="K3555" s="14" t="n">
        <v>0</v>
      </c>
      <c r="L3555" s="14" t="n">
        <v>0</v>
      </c>
      <c r="M3555" s="14">
        <f>IF(B3555="Frete de venda",0,(1-ISNUMBER(SEARCH("556",P3555)))*(I3555*VLOOKUP($B3555,Premissas!$A$4:$E$7,2,0)+J3555*VLOOKUP($B3555,Premissas!$A$4:$E$7,3,0))+K3555*VLOOKUP($B3555,Premissas!$A$4:$E$7,4,0)+L3555*VLOOKUP($B3555,Premissas!$A$4:$E$7,5,0))</f>
        <v/>
      </c>
      <c r="N3555" s="14">
        <f>H3555-M3555</f>
        <v/>
      </c>
      <c r="O3555" t="inlineStr">
        <is>
          <t>Não</t>
        </is>
      </c>
      <c r="P3555" t="inlineStr">
        <is>
          <t>1.350</t>
        </is>
      </c>
    </row>
    <row r="3556">
      <c r="A3556" s="24" t="n">
        <v>46174</v>
      </c>
      <c r="B3556" t="inlineStr">
        <is>
          <t>Frete de venda</t>
        </is>
      </c>
      <c r="C3556" t="inlineStr">
        <is>
          <t>Frete de venda (para clientes)</t>
        </is>
      </c>
      <c r="D3556" t="inlineStr">
        <is>
          <t>CT-e</t>
        </is>
      </c>
      <c r="E3556" t="inlineStr">
        <is>
          <t>000007390</t>
        </is>
      </c>
      <c r="F3556" t="inlineStr">
        <is>
          <t>R&amp;R TRANSPORTE E LOGISTICA</t>
        </is>
      </c>
      <c r="G3556" s="27" t="n">
        <v>46191</v>
      </c>
      <c r="H3556" s="14" t="n">
        <v>200</v>
      </c>
      <c r="I3556" s="14" t="n">
        <v>0</v>
      </c>
      <c r="J3556" s="14" t="n">
        <v>0</v>
      </c>
      <c r="K3556" s="14" t="n">
        <v>0</v>
      </c>
      <c r="L3556" s="14" t="n">
        <v>0</v>
      </c>
      <c r="M3556" s="14">
        <f>IF(B3556="Frete de venda",0,(1-ISNUMBER(SEARCH("556",P3556)))*(I3556*VLOOKUP($B3556,Premissas!$A$4:$E$7,2,0)+J3556*VLOOKUP($B3556,Premissas!$A$4:$E$7,3,0))+K3556*VLOOKUP($B3556,Premissas!$A$4:$E$7,4,0)+L3556*VLOOKUP($B3556,Premissas!$A$4:$E$7,5,0))</f>
        <v/>
      </c>
      <c r="N3556" s="14">
        <f>H3556-M3556</f>
        <v/>
      </c>
      <c r="O3556" t="inlineStr">
        <is>
          <t>Não</t>
        </is>
      </c>
      <c r="P3556" t="inlineStr">
        <is>
          <t>1.350</t>
        </is>
      </c>
    </row>
    <row r="3557">
      <c r="A3557" s="24" t="n">
        <v>46174</v>
      </c>
      <c r="B3557" t="inlineStr">
        <is>
          <t>Frete de venda</t>
        </is>
      </c>
      <c r="C3557" t="inlineStr">
        <is>
          <t>Frete de venda (para clientes)</t>
        </is>
      </c>
      <c r="D3557" t="inlineStr">
        <is>
          <t>CT-e</t>
        </is>
      </c>
      <c r="E3557" t="inlineStr">
        <is>
          <t>000007478</t>
        </is>
      </c>
      <c r="F3557" t="inlineStr">
        <is>
          <t>R&amp;R TRANSPORTE E LOGISTICA</t>
        </is>
      </c>
      <c r="G3557" s="27" t="n">
        <v>46199</v>
      </c>
      <c r="H3557" s="14" t="n">
        <v>24</v>
      </c>
      <c r="I3557" s="14" t="n">
        <v>0</v>
      </c>
      <c r="J3557" s="14" t="n">
        <v>0</v>
      </c>
      <c r="K3557" s="14" t="n">
        <v>0</v>
      </c>
      <c r="L3557" s="14" t="n">
        <v>0</v>
      </c>
      <c r="M3557" s="14">
        <f>IF(B3557="Frete de venda",0,(1-ISNUMBER(SEARCH("556",P3557)))*(I3557*VLOOKUP($B3557,Premissas!$A$4:$E$7,2,0)+J3557*VLOOKUP($B3557,Premissas!$A$4:$E$7,3,0))+K3557*VLOOKUP($B3557,Premissas!$A$4:$E$7,4,0)+L3557*VLOOKUP($B3557,Premissas!$A$4:$E$7,5,0))</f>
        <v/>
      </c>
      <c r="N3557" s="14">
        <f>H3557-M3557</f>
        <v/>
      </c>
      <c r="O3557" t="inlineStr">
        <is>
          <t>Não</t>
        </is>
      </c>
      <c r="P3557" t="inlineStr">
        <is>
          <t>1.350</t>
        </is>
      </c>
    </row>
    <row r="3558">
      <c r="A3558" s="24" t="n">
        <v>46174</v>
      </c>
      <c r="B3558" t="inlineStr">
        <is>
          <t>Frete de venda</t>
        </is>
      </c>
      <c r="C3558" t="inlineStr">
        <is>
          <t>Frete de venda (para clientes)</t>
        </is>
      </c>
      <c r="D3558" t="inlineStr">
        <is>
          <t>CT-e</t>
        </is>
      </c>
      <c r="E3558" t="inlineStr">
        <is>
          <t>000007364</t>
        </is>
      </c>
      <c r="F3558" t="inlineStr">
        <is>
          <t>R&amp;R TRANSPORTE E LOGISTICA</t>
        </is>
      </c>
      <c r="G3558" s="27" t="n">
        <v>46189</v>
      </c>
      <c r="H3558" s="14" t="n">
        <v>20.7</v>
      </c>
      <c r="I3558" s="14" t="n">
        <v>0</v>
      </c>
      <c r="J3558" s="14" t="n">
        <v>0</v>
      </c>
      <c r="K3558" s="14" t="n">
        <v>0</v>
      </c>
      <c r="L3558" s="14" t="n">
        <v>0</v>
      </c>
      <c r="M3558" s="14">
        <f>IF(B3558="Frete de venda",0,(1-ISNUMBER(SEARCH("556",P3558)))*(I3558*VLOOKUP($B3558,Premissas!$A$4:$E$7,2,0)+J3558*VLOOKUP($B3558,Premissas!$A$4:$E$7,3,0))+K3558*VLOOKUP($B3558,Premissas!$A$4:$E$7,4,0)+L3558*VLOOKUP($B3558,Premissas!$A$4:$E$7,5,0))</f>
        <v/>
      </c>
      <c r="N3558" s="14">
        <f>H3558-M3558</f>
        <v/>
      </c>
      <c r="O3558" t="inlineStr">
        <is>
          <t>Não</t>
        </is>
      </c>
      <c r="P3558" t="inlineStr">
        <is>
          <t>1.350</t>
        </is>
      </c>
    </row>
    <row r="3559">
      <c r="A3559" s="24" t="n">
        <v>46174</v>
      </c>
      <c r="B3559" t="inlineStr">
        <is>
          <t>Frete de venda</t>
        </is>
      </c>
      <c r="C3559" t="inlineStr">
        <is>
          <t>Frete de venda (para clientes)</t>
        </is>
      </c>
      <c r="D3559" t="inlineStr">
        <is>
          <t>CT-e</t>
        </is>
      </c>
      <c r="E3559" t="inlineStr">
        <is>
          <t>000007373</t>
        </is>
      </c>
      <c r="F3559" t="inlineStr">
        <is>
          <t>R&amp;R TRANSPORTE E LOGISTICA</t>
        </is>
      </c>
      <c r="G3559" s="27" t="n">
        <v>46190</v>
      </c>
      <c r="H3559" s="14" t="n">
        <v>24.21</v>
      </c>
      <c r="I3559" s="14" t="n">
        <v>0</v>
      </c>
      <c r="J3559" s="14" t="n">
        <v>0</v>
      </c>
      <c r="K3559" s="14" t="n">
        <v>0</v>
      </c>
      <c r="L3559" s="14" t="n">
        <v>0</v>
      </c>
      <c r="M3559" s="14">
        <f>IF(B3559="Frete de venda",0,(1-ISNUMBER(SEARCH("556",P3559)))*(I3559*VLOOKUP($B3559,Premissas!$A$4:$E$7,2,0)+J3559*VLOOKUP($B3559,Premissas!$A$4:$E$7,3,0))+K3559*VLOOKUP($B3559,Premissas!$A$4:$E$7,4,0)+L3559*VLOOKUP($B3559,Premissas!$A$4:$E$7,5,0))</f>
        <v/>
      </c>
      <c r="N3559" s="14">
        <f>H3559-M3559</f>
        <v/>
      </c>
      <c r="O3559" t="inlineStr">
        <is>
          <t>Não</t>
        </is>
      </c>
      <c r="P3559" t="inlineStr">
        <is>
          <t>1.350</t>
        </is>
      </c>
    </row>
    <row r="3560">
      <c r="A3560" s="24" t="n">
        <v>46174</v>
      </c>
      <c r="B3560" t="inlineStr">
        <is>
          <t>Frete de venda</t>
        </is>
      </c>
      <c r="C3560" t="inlineStr">
        <is>
          <t>Frete de venda (para clientes)</t>
        </is>
      </c>
      <c r="D3560" t="inlineStr">
        <is>
          <t>CT-e</t>
        </is>
      </c>
      <c r="E3560" t="inlineStr">
        <is>
          <t>000007262</t>
        </is>
      </c>
      <c r="F3560" t="inlineStr">
        <is>
          <t>R&amp;R TRANSPORTE E LOGISTICA</t>
        </is>
      </c>
      <c r="G3560" s="27" t="n">
        <v>46176</v>
      </c>
      <c r="H3560" s="14" t="n">
        <v>53</v>
      </c>
      <c r="I3560" s="14" t="n">
        <v>0</v>
      </c>
      <c r="J3560" s="14" t="n">
        <v>0</v>
      </c>
      <c r="K3560" s="14" t="n">
        <v>0</v>
      </c>
      <c r="L3560" s="14" t="n">
        <v>0</v>
      </c>
      <c r="M3560" s="14">
        <f>IF(B3560="Frete de venda",0,(1-ISNUMBER(SEARCH("556",P3560)))*(I3560*VLOOKUP($B3560,Premissas!$A$4:$E$7,2,0)+J3560*VLOOKUP($B3560,Premissas!$A$4:$E$7,3,0))+K3560*VLOOKUP($B3560,Premissas!$A$4:$E$7,4,0)+L3560*VLOOKUP($B3560,Premissas!$A$4:$E$7,5,0))</f>
        <v/>
      </c>
      <c r="N3560" s="14">
        <f>H3560-M3560</f>
        <v/>
      </c>
      <c r="O3560" t="inlineStr">
        <is>
          <t>Não</t>
        </is>
      </c>
      <c r="P3560" t="inlineStr">
        <is>
          <t>1.350</t>
        </is>
      </c>
    </row>
    <row r="3561">
      <c r="A3561" s="24" t="n">
        <v>46174</v>
      </c>
      <c r="B3561" t="inlineStr">
        <is>
          <t>Frete de venda</t>
        </is>
      </c>
      <c r="C3561" t="inlineStr">
        <is>
          <t>Frete de venda (para clientes)</t>
        </is>
      </c>
      <c r="D3561" t="inlineStr">
        <is>
          <t>CT-e</t>
        </is>
      </c>
      <c r="E3561" t="inlineStr">
        <is>
          <t>000007359</t>
        </is>
      </c>
      <c r="F3561" t="inlineStr">
        <is>
          <t>R&amp;R TRANSPORTE E LOGISTICA</t>
        </is>
      </c>
      <c r="G3561" s="27" t="n">
        <v>46189</v>
      </c>
      <c r="H3561" s="14" t="n">
        <v>27.17</v>
      </c>
      <c r="I3561" s="14" t="n">
        <v>0</v>
      </c>
      <c r="J3561" s="14" t="n">
        <v>0</v>
      </c>
      <c r="K3561" s="14" t="n">
        <v>0</v>
      </c>
      <c r="L3561" s="14" t="n">
        <v>0</v>
      </c>
      <c r="M3561" s="14">
        <f>IF(B3561="Frete de venda",0,(1-ISNUMBER(SEARCH("556",P3561)))*(I3561*VLOOKUP($B3561,Premissas!$A$4:$E$7,2,0)+J3561*VLOOKUP($B3561,Premissas!$A$4:$E$7,3,0))+K3561*VLOOKUP($B3561,Premissas!$A$4:$E$7,4,0)+L3561*VLOOKUP($B3561,Premissas!$A$4:$E$7,5,0))</f>
        <v/>
      </c>
      <c r="N3561" s="14">
        <f>H3561-M3561</f>
        <v/>
      </c>
      <c r="O3561" t="inlineStr">
        <is>
          <t>Não</t>
        </is>
      </c>
      <c r="P3561" t="inlineStr">
        <is>
          <t>1.350</t>
        </is>
      </c>
    </row>
    <row r="3562">
      <c r="A3562" s="24" t="n">
        <v>46174</v>
      </c>
      <c r="B3562" t="inlineStr">
        <is>
          <t>Frete de venda</t>
        </is>
      </c>
      <c r="C3562" t="inlineStr">
        <is>
          <t>Frete de venda (para clientes)</t>
        </is>
      </c>
      <c r="D3562" t="inlineStr">
        <is>
          <t>CT-e</t>
        </is>
      </c>
      <c r="E3562" t="inlineStr">
        <is>
          <t>000007240</t>
        </is>
      </c>
      <c r="F3562" t="inlineStr">
        <is>
          <t>R&amp;R TRANSPORTE E LOGISTICA</t>
        </is>
      </c>
      <c r="G3562" s="27" t="n">
        <v>46174</v>
      </c>
      <c r="H3562" s="14" t="n">
        <v>99.40000000000001</v>
      </c>
      <c r="I3562" s="14" t="n">
        <v>0</v>
      </c>
      <c r="J3562" s="14" t="n">
        <v>0</v>
      </c>
      <c r="K3562" s="14" t="n">
        <v>0</v>
      </c>
      <c r="L3562" s="14" t="n">
        <v>0</v>
      </c>
      <c r="M3562" s="14">
        <f>IF(B3562="Frete de venda",0,(1-ISNUMBER(SEARCH("556",P3562)))*(I3562*VLOOKUP($B3562,Premissas!$A$4:$E$7,2,0)+J3562*VLOOKUP($B3562,Premissas!$A$4:$E$7,3,0))+K3562*VLOOKUP($B3562,Premissas!$A$4:$E$7,4,0)+L3562*VLOOKUP($B3562,Premissas!$A$4:$E$7,5,0))</f>
        <v/>
      </c>
      <c r="N3562" s="14">
        <f>H3562-M3562</f>
        <v/>
      </c>
      <c r="O3562" t="inlineStr">
        <is>
          <t>Não</t>
        </is>
      </c>
      <c r="P3562" t="inlineStr">
        <is>
          <t>2.350</t>
        </is>
      </c>
    </row>
    <row r="3563">
      <c r="A3563" s="24" t="n">
        <v>46174</v>
      </c>
      <c r="B3563" t="inlineStr">
        <is>
          <t>Frete de venda</t>
        </is>
      </c>
      <c r="C3563" t="inlineStr">
        <is>
          <t>Frete de venda (para clientes)</t>
        </is>
      </c>
      <c r="D3563" t="inlineStr">
        <is>
          <t>CT-e</t>
        </is>
      </c>
      <c r="E3563" t="inlineStr">
        <is>
          <t>000007487</t>
        </is>
      </c>
      <c r="F3563" t="inlineStr">
        <is>
          <t>R&amp;R TRANSPORTE E LOGISTICA</t>
        </is>
      </c>
      <c r="G3563" s="27" t="n">
        <v>46199</v>
      </c>
      <c r="H3563" s="14" t="n">
        <v>78.59999999999999</v>
      </c>
      <c r="I3563" s="14" t="n">
        <v>0</v>
      </c>
      <c r="J3563" s="14" t="n">
        <v>0</v>
      </c>
      <c r="K3563" s="14" t="n">
        <v>0</v>
      </c>
      <c r="L3563" s="14" t="n">
        <v>0</v>
      </c>
      <c r="M3563" s="14">
        <f>IF(B3563="Frete de venda",0,(1-ISNUMBER(SEARCH("556",P3563)))*(I3563*VLOOKUP($B3563,Premissas!$A$4:$E$7,2,0)+J3563*VLOOKUP($B3563,Premissas!$A$4:$E$7,3,0))+K3563*VLOOKUP($B3563,Premissas!$A$4:$E$7,4,0)+L3563*VLOOKUP($B3563,Premissas!$A$4:$E$7,5,0))</f>
        <v/>
      </c>
      <c r="N3563" s="14">
        <f>H3563-M3563</f>
        <v/>
      </c>
      <c r="O3563" t="inlineStr">
        <is>
          <t>Não</t>
        </is>
      </c>
      <c r="P3563" t="inlineStr">
        <is>
          <t>1.350</t>
        </is>
      </c>
    </row>
    <row r="3564">
      <c r="A3564" s="24" t="n">
        <v>46174</v>
      </c>
      <c r="B3564" t="inlineStr">
        <is>
          <t>Frete de venda</t>
        </is>
      </c>
      <c r="C3564" t="inlineStr">
        <is>
          <t>Frete de venda (para clientes)</t>
        </is>
      </c>
      <c r="D3564" t="inlineStr">
        <is>
          <t>CT-e</t>
        </is>
      </c>
      <c r="E3564" t="inlineStr">
        <is>
          <t>000007476</t>
        </is>
      </c>
      <c r="F3564" t="inlineStr">
        <is>
          <t>R&amp;R TRANSPORTE E LOGISTICA</t>
        </is>
      </c>
      <c r="G3564" s="27" t="n">
        <v>46199</v>
      </c>
      <c r="H3564" s="14" t="n">
        <v>27.8</v>
      </c>
      <c r="I3564" s="14" t="n">
        <v>0</v>
      </c>
      <c r="J3564" s="14" t="n">
        <v>0</v>
      </c>
      <c r="K3564" s="14" t="n">
        <v>0</v>
      </c>
      <c r="L3564" s="14" t="n">
        <v>0</v>
      </c>
      <c r="M3564" s="14">
        <f>IF(B3564="Frete de venda",0,(1-ISNUMBER(SEARCH("556",P3564)))*(I3564*VLOOKUP($B3564,Premissas!$A$4:$E$7,2,0)+J3564*VLOOKUP($B3564,Premissas!$A$4:$E$7,3,0))+K3564*VLOOKUP($B3564,Premissas!$A$4:$E$7,4,0)+L3564*VLOOKUP($B3564,Premissas!$A$4:$E$7,5,0))</f>
        <v/>
      </c>
      <c r="N3564" s="14">
        <f>H3564-M3564</f>
        <v/>
      </c>
      <c r="O3564" t="inlineStr">
        <is>
          <t>Não</t>
        </is>
      </c>
      <c r="P3564" t="inlineStr">
        <is>
          <t>1.350</t>
        </is>
      </c>
    </row>
    <row r="3565">
      <c r="A3565" s="24" t="n">
        <v>46174</v>
      </c>
      <c r="B3565" t="inlineStr">
        <is>
          <t>Frete de venda</t>
        </is>
      </c>
      <c r="C3565" t="inlineStr">
        <is>
          <t>Frete de venda (para clientes)</t>
        </is>
      </c>
      <c r="D3565" t="inlineStr">
        <is>
          <t>CT-e</t>
        </is>
      </c>
      <c r="E3565" t="inlineStr">
        <is>
          <t>000007475</t>
        </is>
      </c>
      <c r="F3565" t="inlineStr">
        <is>
          <t>R&amp;R TRANSPORTE E LOGISTICA</t>
        </is>
      </c>
      <c r="G3565" s="27" t="n">
        <v>46199</v>
      </c>
      <c r="H3565" s="14" t="n">
        <v>24.65</v>
      </c>
      <c r="I3565" s="14" t="n">
        <v>0</v>
      </c>
      <c r="J3565" s="14" t="n">
        <v>0</v>
      </c>
      <c r="K3565" s="14" t="n">
        <v>0</v>
      </c>
      <c r="L3565" s="14" t="n">
        <v>0</v>
      </c>
      <c r="M3565" s="14">
        <f>IF(B3565="Frete de venda",0,(1-ISNUMBER(SEARCH("556",P3565)))*(I3565*VLOOKUP($B3565,Premissas!$A$4:$E$7,2,0)+J3565*VLOOKUP($B3565,Premissas!$A$4:$E$7,3,0))+K3565*VLOOKUP($B3565,Premissas!$A$4:$E$7,4,0)+L3565*VLOOKUP($B3565,Premissas!$A$4:$E$7,5,0))</f>
        <v/>
      </c>
      <c r="N3565" s="14">
        <f>H3565-M3565</f>
        <v/>
      </c>
      <c r="O3565" t="inlineStr">
        <is>
          <t>Não</t>
        </is>
      </c>
      <c r="P3565" t="inlineStr">
        <is>
          <t>1.350</t>
        </is>
      </c>
    </row>
    <row r="3566">
      <c r="A3566" s="24" t="n">
        <v>46174</v>
      </c>
      <c r="B3566" t="inlineStr">
        <is>
          <t>Frete de venda</t>
        </is>
      </c>
      <c r="C3566" t="inlineStr">
        <is>
          <t>Frete de venda (para clientes)</t>
        </is>
      </c>
      <c r="D3566" t="inlineStr">
        <is>
          <t>CT-e</t>
        </is>
      </c>
      <c r="E3566" t="inlineStr">
        <is>
          <t>000007489</t>
        </is>
      </c>
      <c r="F3566" t="inlineStr">
        <is>
          <t>R&amp;R TRANSPORTE E LOGISTICA</t>
        </is>
      </c>
      <c r="G3566" s="27" t="n">
        <v>46199</v>
      </c>
      <c r="H3566" s="14" t="n">
        <v>31.47</v>
      </c>
      <c r="I3566" s="14" t="n">
        <v>0</v>
      </c>
      <c r="J3566" s="14" t="n">
        <v>0</v>
      </c>
      <c r="K3566" s="14" t="n">
        <v>0</v>
      </c>
      <c r="L3566" s="14" t="n">
        <v>0</v>
      </c>
      <c r="M3566" s="14">
        <f>IF(B3566="Frete de venda",0,(1-ISNUMBER(SEARCH("556",P3566)))*(I3566*VLOOKUP($B3566,Premissas!$A$4:$E$7,2,0)+J3566*VLOOKUP($B3566,Premissas!$A$4:$E$7,3,0))+K3566*VLOOKUP($B3566,Premissas!$A$4:$E$7,4,0)+L3566*VLOOKUP($B3566,Premissas!$A$4:$E$7,5,0))</f>
        <v/>
      </c>
      <c r="N3566" s="14">
        <f>H3566-M3566</f>
        <v/>
      </c>
      <c r="O3566" t="inlineStr">
        <is>
          <t>Não</t>
        </is>
      </c>
      <c r="P3566" t="inlineStr">
        <is>
          <t>1.350</t>
        </is>
      </c>
    </row>
    <row r="3567">
      <c r="A3567" s="24" t="n">
        <v>46174</v>
      </c>
      <c r="B3567" t="inlineStr">
        <is>
          <t>Frete de venda</t>
        </is>
      </c>
      <c r="C3567" t="inlineStr">
        <is>
          <t>Frete de venda (para clientes)</t>
        </is>
      </c>
      <c r="D3567" t="inlineStr">
        <is>
          <t>CT-e</t>
        </is>
      </c>
      <c r="E3567" t="inlineStr">
        <is>
          <t>000007260</t>
        </is>
      </c>
      <c r="F3567" t="inlineStr">
        <is>
          <t>R&amp;R TRANSPORTE E LOGISTICA</t>
        </is>
      </c>
      <c r="G3567" s="27" t="n">
        <v>46176</v>
      </c>
      <c r="H3567" s="14" t="n">
        <v>53</v>
      </c>
      <c r="I3567" s="14" t="n">
        <v>0</v>
      </c>
      <c r="J3567" s="14" t="n">
        <v>0</v>
      </c>
      <c r="K3567" s="14" t="n">
        <v>0</v>
      </c>
      <c r="L3567" s="14" t="n">
        <v>0</v>
      </c>
      <c r="M3567" s="14">
        <f>IF(B3567="Frete de venda",0,(1-ISNUMBER(SEARCH("556",P3567)))*(I3567*VLOOKUP($B3567,Premissas!$A$4:$E$7,2,0)+J3567*VLOOKUP($B3567,Premissas!$A$4:$E$7,3,0))+K3567*VLOOKUP($B3567,Premissas!$A$4:$E$7,4,0)+L3567*VLOOKUP($B3567,Premissas!$A$4:$E$7,5,0))</f>
        <v/>
      </c>
      <c r="N3567" s="14">
        <f>H3567-M3567</f>
        <v/>
      </c>
      <c r="O3567" t="inlineStr">
        <is>
          <t>Não</t>
        </is>
      </c>
      <c r="P3567" t="inlineStr">
        <is>
          <t>1.350</t>
        </is>
      </c>
    </row>
    <row r="3568">
      <c r="A3568" s="24" t="n">
        <v>46174</v>
      </c>
      <c r="B3568" t="inlineStr">
        <is>
          <t>Frete de venda</t>
        </is>
      </c>
      <c r="C3568" t="inlineStr">
        <is>
          <t>Frete de venda (para clientes)</t>
        </is>
      </c>
      <c r="D3568" t="inlineStr">
        <is>
          <t>CT-e</t>
        </is>
      </c>
      <c r="E3568" t="inlineStr">
        <is>
          <t>000007462</t>
        </is>
      </c>
      <c r="F3568" t="inlineStr">
        <is>
          <t>R&amp;R TRANSPORTE E LOGISTICA</t>
        </is>
      </c>
      <c r="G3568" s="27" t="n">
        <v>46198</v>
      </c>
      <c r="H3568" s="14" t="n">
        <v>63.02</v>
      </c>
      <c r="I3568" s="14" t="n">
        <v>0</v>
      </c>
      <c r="J3568" s="14" t="n">
        <v>0</v>
      </c>
      <c r="K3568" s="14" t="n">
        <v>0</v>
      </c>
      <c r="L3568" s="14" t="n">
        <v>0</v>
      </c>
      <c r="M3568" s="14">
        <f>IF(B3568="Frete de venda",0,(1-ISNUMBER(SEARCH("556",P3568)))*(I3568*VLOOKUP($B3568,Premissas!$A$4:$E$7,2,0)+J3568*VLOOKUP($B3568,Premissas!$A$4:$E$7,3,0))+K3568*VLOOKUP($B3568,Premissas!$A$4:$E$7,4,0)+L3568*VLOOKUP($B3568,Premissas!$A$4:$E$7,5,0))</f>
        <v/>
      </c>
      <c r="N3568" s="14">
        <f>H3568-M3568</f>
        <v/>
      </c>
      <c r="O3568" t="inlineStr">
        <is>
          <t>Não</t>
        </is>
      </c>
      <c r="P3568" t="inlineStr">
        <is>
          <t>1.350</t>
        </is>
      </c>
    </row>
    <row r="3569">
      <c r="A3569" s="24" t="n">
        <v>46174</v>
      </c>
      <c r="B3569" t="inlineStr">
        <is>
          <t>Frete de venda</t>
        </is>
      </c>
      <c r="C3569" t="inlineStr">
        <is>
          <t>Frete de venda (para clientes)</t>
        </is>
      </c>
      <c r="D3569" t="inlineStr">
        <is>
          <t>CT-e</t>
        </is>
      </c>
      <c r="E3569" t="inlineStr">
        <is>
          <t>000007384</t>
        </is>
      </c>
      <c r="F3569" t="inlineStr">
        <is>
          <t>R&amp;R TRANSPORTE E LOGISTICA</t>
        </is>
      </c>
      <c r="G3569" s="27" t="n">
        <v>46190</v>
      </c>
      <c r="H3569" s="14" t="n">
        <v>17.52</v>
      </c>
      <c r="I3569" s="14" t="n">
        <v>0</v>
      </c>
      <c r="J3569" s="14" t="n">
        <v>0</v>
      </c>
      <c r="K3569" s="14" t="n">
        <v>0</v>
      </c>
      <c r="L3569" s="14" t="n">
        <v>0</v>
      </c>
      <c r="M3569" s="14">
        <f>IF(B3569="Frete de venda",0,(1-ISNUMBER(SEARCH("556",P3569)))*(I3569*VLOOKUP($B3569,Premissas!$A$4:$E$7,2,0)+J3569*VLOOKUP($B3569,Premissas!$A$4:$E$7,3,0))+K3569*VLOOKUP($B3569,Premissas!$A$4:$E$7,4,0)+L3569*VLOOKUP($B3569,Premissas!$A$4:$E$7,5,0))</f>
        <v/>
      </c>
      <c r="N3569" s="14">
        <f>H3569-M3569</f>
        <v/>
      </c>
      <c r="O3569" t="inlineStr">
        <is>
          <t>Não</t>
        </is>
      </c>
      <c r="P3569" t="inlineStr">
        <is>
          <t>1.350</t>
        </is>
      </c>
    </row>
    <row r="3570">
      <c r="A3570" s="24" t="n">
        <v>46174</v>
      </c>
      <c r="B3570" t="inlineStr">
        <is>
          <t>Frete de venda</t>
        </is>
      </c>
      <c r="C3570" t="inlineStr">
        <is>
          <t>Frete de venda (para clientes)</t>
        </is>
      </c>
      <c r="D3570" t="inlineStr">
        <is>
          <t>CT-e</t>
        </is>
      </c>
      <c r="E3570" t="inlineStr">
        <is>
          <t>000007313</t>
        </is>
      </c>
      <c r="F3570" t="inlineStr">
        <is>
          <t>R&amp;R TRANSPORTE E LOGISTICA</t>
        </is>
      </c>
      <c r="G3570" s="27" t="n">
        <v>46186</v>
      </c>
      <c r="H3570" s="14" t="n">
        <v>22.03</v>
      </c>
      <c r="I3570" s="14" t="n">
        <v>0</v>
      </c>
      <c r="J3570" s="14" t="n">
        <v>0</v>
      </c>
      <c r="K3570" s="14" t="n">
        <v>0</v>
      </c>
      <c r="L3570" s="14" t="n">
        <v>0</v>
      </c>
      <c r="M3570" s="14">
        <f>IF(B3570="Frete de venda",0,(1-ISNUMBER(SEARCH("556",P3570)))*(I3570*VLOOKUP($B3570,Premissas!$A$4:$E$7,2,0)+J3570*VLOOKUP($B3570,Premissas!$A$4:$E$7,3,0))+K3570*VLOOKUP($B3570,Premissas!$A$4:$E$7,4,0)+L3570*VLOOKUP($B3570,Premissas!$A$4:$E$7,5,0))</f>
        <v/>
      </c>
      <c r="N3570" s="14">
        <f>H3570-M3570</f>
        <v/>
      </c>
      <c r="O3570" t="inlineStr">
        <is>
          <t>Não</t>
        </is>
      </c>
      <c r="P3570" t="inlineStr">
        <is>
          <t>1.350</t>
        </is>
      </c>
    </row>
    <row r="3571">
      <c r="A3571" s="24" t="n">
        <v>46174</v>
      </c>
      <c r="B3571" t="inlineStr">
        <is>
          <t>Frete de venda</t>
        </is>
      </c>
      <c r="C3571" t="inlineStr">
        <is>
          <t>Frete de venda (para clientes)</t>
        </is>
      </c>
      <c r="D3571" t="inlineStr">
        <is>
          <t>CT-e</t>
        </is>
      </c>
      <c r="E3571" t="inlineStr">
        <is>
          <t>000007484</t>
        </is>
      </c>
      <c r="F3571" t="inlineStr">
        <is>
          <t>R&amp;R TRANSPORTE E LOGISTICA</t>
        </is>
      </c>
      <c r="G3571" s="27" t="n">
        <v>46199</v>
      </c>
      <c r="H3571" s="14" t="n">
        <v>93.8</v>
      </c>
      <c r="I3571" s="14" t="n">
        <v>0</v>
      </c>
      <c r="J3571" s="14" t="n">
        <v>0</v>
      </c>
      <c r="K3571" s="14" t="n">
        <v>0</v>
      </c>
      <c r="L3571" s="14" t="n">
        <v>0</v>
      </c>
      <c r="M3571" s="14">
        <f>IF(B3571="Frete de venda",0,(1-ISNUMBER(SEARCH("556",P3571)))*(I3571*VLOOKUP($B3571,Premissas!$A$4:$E$7,2,0)+J3571*VLOOKUP($B3571,Premissas!$A$4:$E$7,3,0))+K3571*VLOOKUP($B3571,Premissas!$A$4:$E$7,4,0)+L3571*VLOOKUP($B3571,Premissas!$A$4:$E$7,5,0))</f>
        <v/>
      </c>
      <c r="N3571" s="14">
        <f>H3571-M3571</f>
        <v/>
      </c>
      <c r="O3571" t="inlineStr">
        <is>
          <t>Não</t>
        </is>
      </c>
      <c r="P3571" t="inlineStr">
        <is>
          <t>1.350</t>
        </is>
      </c>
    </row>
    <row r="3572">
      <c r="A3572" s="24" t="n">
        <v>46174</v>
      </c>
      <c r="B3572" t="inlineStr">
        <is>
          <t>Frete de venda</t>
        </is>
      </c>
      <c r="C3572" t="inlineStr">
        <is>
          <t>Frete de venda (para clientes)</t>
        </is>
      </c>
      <c r="D3572" t="inlineStr">
        <is>
          <t>CT-e</t>
        </is>
      </c>
      <c r="E3572" t="inlineStr">
        <is>
          <t>000007389</t>
        </is>
      </c>
      <c r="F3572" t="inlineStr">
        <is>
          <t>R&amp;R TRANSPORTE E LOGISTICA</t>
        </is>
      </c>
      <c r="G3572" s="27" t="n">
        <v>46191</v>
      </c>
      <c r="H3572" s="14" t="n">
        <v>200</v>
      </c>
      <c r="I3572" s="14" t="n">
        <v>0</v>
      </c>
      <c r="J3572" s="14" t="n">
        <v>0</v>
      </c>
      <c r="K3572" s="14" t="n">
        <v>0</v>
      </c>
      <c r="L3572" s="14" t="n">
        <v>0</v>
      </c>
      <c r="M3572" s="14">
        <f>IF(B3572="Frete de venda",0,(1-ISNUMBER(SEARCH("556",P3572)))*(I3572*VLOOKUP($B3572,Premissas!$A$4:$E$7,2,0)+J3572*VLOOKUP($B3572,Premissas!$A$4:$E$7,3,0))+K3572*VLOOKUP($B3572,Premissas!$A$4:$E$7,4,0)+L3572*VLOOKUP($B3572,Premissas!$A$4:$E$7,5,0))</f>
        <v/>
      </c>
      <c r="N3572" s="14">
        <f>H3572-M3572</f>
        <v/>
      </c>
      <c r="O3572" t="inlineStr">
        <is>
          <t>Não</t>
        </is>
      </c>
      <c r="P3572" t="inlineStr">
        <is>
          <t>1.350</t>
        </is>
      </c>
    </row>
    <row r="3573">
      <c r="A3573" s="24" t="n">
        <v>46174</v>
      </c>
      <c r="B3573" t="inlineStr">
        <is>
          <t>Frete de venda</t>
        </is>
      </c>
      <c r="C3573" t="inlineStr">
        <is>
          <t>Frete de venda (para clientes)</t>
        </is>
      </c>
      <c r="D3573" t="inlineStr">
        <is>
          <t>CT-e</t>
        </is>
      </c>
      <c r="E3573" t="inlineStr">
        <is>
          <t>000000691</t>
        </is>
      </c>
      <c r="F3573" t="inlineStr">
        <is>
          <t>REIMAG - REINALDO DOMINGUES BARROS DA SILVA</t>
        </is>
      </c>
      <c r="G3573" s="27" t="n">
        <v>46182</v>
      </c>
      <c r="H3573" s="14" t="n">
        <v>266.67</v>
      </c>
      <c r="I3573" s="14" t="n">
        <v>0</v>
      </c>
      <c r="J3573" s="14" t="n">
        <v>0</v>
      </c>
      <c r="K3573" s="14" t="n">
        <v>0</v>
      </c>
      <c r="L3573" s="14" t="n">
        <v>0</v>
      </c>
      <c r="M3573" s="14">
        <f>IF(B3573="Frete de venda",0,(1-ISNUMBER(SEARCH("556",P3573)))*(I3573*VLOOKUP($B3573,Premissas!$A$4:$E$7,2,0)+J3573*VLOOKUP($B3573,Premissas!$A$4:$E$7,3,0))+K3573*VLOOKUP($B3573,Premissas!$A$4:$E$7,4,0)+L3573*VLOOKUP($B3573,Premissas!$A$4:$E$7,5,0))</f>
        <v/>
      </c>
      <c r="N3573" s="14">
        <f>H3573-M3573</f>
        <v/>
      </c>
      <c r="O3573" t="inlineStr">
        <is>
          <t>Sim</t>
        </is>
      </c>
      <c r="P3573" t="inlineStr">
        <is>
          <t>1.350</t>
        </is>
      </c>
    </row>
    <row r="3574">
      <c r="A3574" s="24" t="n">
        <v>46174</v>
      </c>
      <c r="B3574" t="inlineStr">
        <is>
          <t>Frete de venda</t>
        </is>
      </c>
      <c r="C3574" t="inlineStr">
        <is>
          <t>Frete de venda (para clientes)</t>
        </is>
      </c>
      <c r="D3574" t="inlineStr">
        <is>
          <t>CT-e</t>
        </is>
      </c>
      <c r="E3574" t="inlineStr">
        <is>
          <t>000007257</t>
        </is>
      </c>
      <c r="F3574" t="inlineStr">
        <is>
          <t>R&amp;R TRANSPORTE E LOGISTICA</t>
        </is>
      </c>
      <c r="G3574" s="27" t="n">
        <v>46176</v>
      </c>
      <c r="H3574" s="14" t="n">
        <v>53</v>
      </c>
      <c r="I3574" s="14" t="n">
        <v>0</v>
      </c>
      <c r="J3574" s="14" t="n">
        <v>0</v>
      </c>
      <c r="K3574" s="14" t="n">
        <v>0</v>
      </c>
      <c r="L3574" s="14" t="n">
        <v>0</v>
      </c>
      <c r="M3574" s="14">
        <f>IF(B3574="Frete de venda",0,(1-ISNUMBER(SEARCH("556",P3574)))*(I3574*VLOOKUP($B3574,Premissas!$A$4:$E$7,2,0)+J3574*VLOOKUP($B3574,Premissas!$A$4:$E$7,3,0))+K3574*VLOOKUP($B3574,Premissas!$A$4:$E$7,4,0)+L3574*VLOOKUP($B3574,Premissas!$A$4:$E$7,5,0))</f>
        <v/>
      </c>
      <c r="N3574" s="14">
        <f>H3574-M3574</f>
        <v/>
      </c>
      <c r="O3574" t="inlineStr">
        <is>
          <t>Não</t>
        </is>
      </c>
      <c r="P3574" t="inlineStr">
        <is>
          <t>1.350</t>
        </is>
      </c>
    </row>
    <row r="3575">
      <c r="A3575" s="24" t="n">
        <v>46174</v>
      </c>
      <c r="B3575" t="inlineStr">
        <is>
          <t>Frete de venda</t>
        </is>
      </c>
      <c r="C3575" t="inlineStr">
        <is>
          <t>Frete de venda (para clientes)</t>
        </is>
      </c>
      <c r="D3575" t="inlineStr">
        <is>
          <t>CT-e</t>
        </is>
      </c>
      <c r="E3575" t="inlineStr">
        <is>
          <t>000000690</t>
        </is>
      </c>
      <c r="F3575" t="inlineStr">
        <is>
          <t>REIMAG - REINALDO DOMINGUES BARROS DA SILVA</t>
        </is>
      </c>
      <c r="G3575" s="27" t="n">
        <v>46182</v>
      </c>
      <c r="H3575" s="14" t="n">
        <v>266.67</v>
      </c>
      <c r="I3575" s="14" t="n">
        <v>0</v>
      </c>
      <c r="J3575" s="14" t="n">
        <v>0</v>
      </c>
      <c r="K3575" s="14" t="n">
        <v>0</v>
      </c>
      <c r="L3575" s="14" t="n">
        <v>0</v>
      </c>
      <c r="M3575" s="14">
        <f>IF(B3575="Frete de venda",0,(1-ISNUMBER(SEARCH("556",P3575)))*(I3575*VLOOKUP($B3575,Premissas!$A$4:$E$7,2,0)+J3575*VLOOKUP($B3575,Premissas!$A$4:$E$7,3,0))+K3575*VLOOKUP($B3575,Premissas!$A$4:$E$7,4,0)+L3575*VLOOKUP($B3575,Premissas!$A$4:$E$7,5,0))</f>
        <v/>
      </c>
      <c r="N3575" s="14">
        <f>H3575-M3575</f>
        <v/>
      </c>
      <c r="O3575" t="inlineStr">
        <is>
          <t>Sim</t>
        </is>
      </c>
      <c r="P3575" t="inlineStr">
        <is>
          <t>1.350</t>
        </is>
      </c>
    </row>
    <row r="3576">
      <c r="A3576" s="24" t="n">
        <v>46174</v>
      </c>
      <c r="B3576" t="inlineStr">
        <is>
          <t>Frete de venda</t>
        </is>
      </c>
      <c r="C3576" t="inlineStr">
        <is>
          <t>Frete de venda (para clientes)</t>
        </is>
      </c>
      <c r="D3576" t="inlineStr">
        <is>
          <t>CT-e</t>
        </is>
      </c>
      <c r="E3576" t="inlineStr">
        <is>
          <t>000007461</t>
        </is>
      </c>
      <c r="F3576" t="inlineStr">
        <is>
          <t>R&amp;R TRANSPORTE E LOGISTICA</t>
        </is>
      </c>
      <c r="G3576" s="27" t="n">
        <v>46198</v>
      </c>
      <c r="H3576" s="14" t="n">
        <v>50.11</v>
      </c>
      <c r="I3576" s="14" t="n">
        <v>0</v>
      </c>
      <c r="J3576" s="14" t="n">
        <v>0</v>
      </c>
      <c r="K3576" s="14" t="n">
        <v>0</v>
      </c>
      <c r="L3576" s="14" t="n">
        <v>0</v>
      </c>
      <c r="M3576" s="14">
        <f>IF(B3576="Frete de venda",0,(1-ISNUMBER(SEARCH("556",P3576)))*(I3576*VLOOKUP($B3576,Premissas!$A$4:$E$7,2,0)+J3576*VLOOKUP($B3576,Premissas!$A$4:$E$7,3,0))+K3576*VLOOKUP($B3576,Premissas!$A$4:$E$7,4,0)+L3576*VLOOKUP($B3576,Premissas!$A$4:$E$7,5,0))</f>
        <v/>
      </c>
      <c r="N3576" s="14">
        <f>H3576-M3576</f>
        <v/>
      </c>
      <c r="O3576" t="inlineStr">
        <is>
          <t>Não</t>
        </is>
      </c>
      <c r="P3576" t="inlineStr">
        <is>
          <t>1.350</t>
        </is>
      </c>
    </row>
    <row r="3577">
      <c r="A3577" s="24" t="n">
        <v>46174</v>
      </c>
      <c r="B3577" t="inlineStr">
        <is>
          <t>Frete de venda</t>
        </is>
      </c>
      <c r="C3577" t="inlineStr">
        <is>
          <t>Frete de venda (para clientes)</t>
        </is>
      </c>
      <c r="D3577" t="inlineStr">
        <is>
          <t>CT-e</t>
        </is>
      </c>
      <c r="E3577" t="inlineStr">
        <is>
          <t>000007396</t>
        </is>
      </c>
      <c r="F3577" t="inlineStr">
        <is>
          <t>R&amp;R TRANSPORTE E LOGISTICA</t>
        </is>
      </c>
      <c r="G3577" s="27" t="n">
        <v>46192</v>
      </c>
      <c r="H3577" s="14" t="n">
        <v>20.71</v>
      </c>
      <c r="I3577" s="14" t="n">
        <v>0</v>
      </c>
      <c r="J3577" s="14" t="n">
        <v>0</v>
      </c>
      <c r="K3577" s="14" t="n">
        <v>0</v>
      </c>
      <c r="L3577" s="14" t="n">
        <v>0</v>
      </c>
      <c r="M3577" s="14">
        <f>IF(B3577="Frete de venda",0,(1-ISNUMBER(SEARCH("556",P3577)))*(I3577*VLOOKUP($B3577,Premissas!$A$4:$E$7,2,0)+J3577*VLOOKUP($B3577,Premissas!$A$4:$E$7,3,0))+K3577*VLOOKUP($B3577,Premissas!$A$4:$E$7,4,0)+L3577*VLOOKUP($B3577,Premissas!$A$4:$E$7,5,0))</f>
        <v/>
      </c>
      <c r="N3577" s="14">
        <f>H3577-M3577</f>
        <v/>
      </c>
      <c r="O3577" t="inlineStr">
        <is>
          <t>Não</t>
        </is>
      </c>
      <c r="P3577" t="inlineStr">
        <is>
          <t>1.350</t>
        </is>
      </c>
    </row>
    <row r="3578">
      <c r="A3578" s="24" t="n">
        <v>46174</v>
      </c>
      <c r="B3578" t="inlineStr">
        <is>
          <t>Frete de venda</t>
        </is>
      </c>
      <c r="C3578" t="inlineStr">
        <is>
          <t>Frete de venda (para clientes)</t>
        </is>
      </c>
      <c r="D3578" t="inlineStr">
        <is>
          <t>CT-e</t>
        </is>
      </c>
      <c r="E3578" t="inlineStr">
        <is>
          <t>000007480</t>
        </is>
      </c>
      <c r="F3578" t="inlineStr">
        <is>
          <t>R&amp;R TRANSPORTE E LOGISTICA</t>
        </is>
      </c>
      <c r="G3578" s="27" t="n">
        <v>46199</v>
      </c>
      <c r="H3578" s="14" t="n">
        <v>32.3</v>
      </c>
      <c r="I3578" s="14" t="n">
        <v>0</v>
      </c>
      <c r="J3578" s="14" t="n">
        <v>0</v>
      </c>
      <c r="K3578" s="14" t="n">
        <v>0</v>
      </c>
      <c r="L3578" s="14" t="n">
        <v>0</v>
      </c>
      <c r="M3578" s="14">
        <f>IF(B3578="Frete de venda",0,(1-ISNUMBER(SEARCH("556",P3578)))*(I3578*VLOOKUP($B3578,Premissas!$A$4:$E$7,2,0)+J3578*VLOOKUP($B3578,Premissas!$A$4:$E$7,3,0))+K3578*VLOOKUP($B3578,Premissas!$A$4:$E$7,4,0)+L3578*VLOOKUP($B3578,Premissas!$A$4:$E$7,5,0))</f>
        <v/>
      </c>
      <c r="N3578" s="14">
        <f>H3578-M3578</f>
        <v/>
      </c>
      <c r="O3578" t="inlineStr">
        <is>
          <t>Não</t>
        </is>
      </c>
      <c r="P3578" t="inlineStr">
        <is>
          <t>1.350</t>
        </is>
      </c>
    </row>
    <row r="3579">
      <c r="A3579" s="24" t="n">
        <v>46174</v>
      </c>
      <c r="B3579" t="inlineStr">
        <is>
          <t>Frete de venda</t>
        </is>
      </c>
      <c r="C3579" t="inlineStr">
        <is>
          <t>Frete de venda (para clientes)</t>
        </is>
      </c>
      <c r="D3579" t="inlineStr">
        <is>
          <t>CT-e</t>
        </is>
      </c>
      <c r="E3579" t="inlineStr">
        <is>
          <t>000007376</t>
        </is>
      </c>
      <c r="F3579" t="inlineStr">
        <is>
          <t>R&amp;R TRANSPORTE E LOGISTICA</t>
        </is>
      </c>
      <c r="G3579" s="27" t="n">
        <v>46190</v>
      </c>
      <c r="H3579" s="14" t="n">
        <v>26.72</v>
      </c>
      <c r="I3579" s="14" t="n">
        <v>0</v>
      </c>
      <c r="J3579" s="14" t="n">
        <v>0</v>
      </c>
      <c r="K3579" s="14" t="n">
        <v>0</v>
      </c>
      <c r="L3579" s="14" t="n">
        <v>0</v>
      </c>
      <c r="M3579" s="14">
        <f>IF(B3579="Frete de venda",0,(1-ISNUMBER(SEARCH("556",P3579)))*(I3579*VLOOKUP($B3579,Premissas!$A$4:$E$7,2,0)+J3579*VLOOKUP($B3579,Premissas!$A$4:$E$7,3,0))+K3579*VLOOKUP($B3579,Premissas!$A$4:$E$7,4,0)+L3579*VLOOKUP($B3579,Premissas!$A$4:$E$7,5,0))</f>
        <v/>
      </c>
      <c r="N3579" s="14">
        <f>H3579-M3579</f>
        <v/>
      </c>
      <c r="O3579" t="inlineStr">
        <is>
          <t>Não</t>
        </is>
      </c>
      <c r="P3579" t="inlineStr">
        <is>
          <t>1.350</t>
        </is>
      </c>
    </row>
    <row r="3580">
      <c r="A3580" s="24" t="n">
        <v>46174</v>
      </c>
      <c r="B3580" t="inlineStr">
        <is>
          <t>Frete de venda</t>
        </is>
      </c>
      <c r="C3580" t="inlineStr">
        <is>
          <t>Frete de venda (para clientes)</t>
        </is>
      </c>
      <c r="D3580" t="inlineStr">
        <is>
          <t>CT-e</t>
        </is>
      </c>
      <c r="E3580" t="inlineStr">
        <is>
          <t>000007362</t>
        </is>
      </c>
      <c r="F3580" t="inlineStr">
        <is>
          <t>R&amp;R TRANSPORTE E LOGISTICA</t>
        </is>
      </c>
      <c r="G3580" s="27" t="n">
        <v>46189</v>
      </c>
      <c r="H3580" s="14" t="n">
        <v>60.37</v>
      </c>
      <c r="I3580" s="14" t="n">
        <v>0</v>
      </c>
      <c r="J3580" s="14" t="n">
        <v>0</v>
      </c>
      <c r="K3580" s="14" t="n">
        <v>0</v>
      </c>
      <c r="L3580" s="14" t="n">
        <v>0</v>
      </c>
      <c r="M3580" s="14">
        <f>IF(B3580="Frete de venda",0,(1-ISNUMBER(SEARCH("556",P3580)))*(I3580*VLOOKUP($B3580,Premissas!$A$4:$E$7,2,0)+J3580*VLOOKUP($B3580,Premissas!$A$4:$E$7,3,0))+K3580*VLOOKUP($B3580,Premissas!$A$4:$E$7,4,0)+L3580*VLOOKUP($B3580,Premissas!$A$4:$E$7,5,0))</f>
        <v/>
      </c>
      <c r="N3580" s="14">
        <f>H3580-M3580</f>
        <v/>
      </c>
      <c r="O3580" t="inlineStr">
        <is>
          <t>Não</t>
        </is>
      </c>
      <c r="P3580" t="inlineStr">
        <is>
          <t>1.350</t>
        </is>
      </c>
    </row>
    <row r="3581">
      <c r="A3581" s="24" t="n">
        <v>46174</v>
      </c>
      <c r="B3581" t="inlineStr">
        <is>
          <t>Frete de venda</t>
        </is>
      </c>
      <c r="C3581" t="inlineStr">
        <is>
          <t>Frete de venda (para clientes)</t>
        </is>
      </c>
      <c r="D3581" t="inlineStr">
        <is>
          <t>CT-e</t>
        </is>
      </c>
      <c r="E3581" t="inlineStr">
        <is>
          <t>000007246</t>
        </is>
      </c>
      <c r="F3581" t="inlineStr">
        <is>
          <t>R&amp;R TRANSPORTE E LOGISTICA</t>
        </is>
      </c>
      <c r="G3581" s="27" t="n">
        <v>46174</v>
      </c>
      <c r="H3581" s="14" t="n">
        <v>46.3</v>
      </c>
      <c r="I3581" s="14" t="n">
        <v>0</v>
      </c>
      <c r="J3581" s="14" t="n">
        <v>0</v>
      </c>
      <c r="K3581" s="14" t="n">
        <v>0</v>
      </c>
      <c r="L3581" s="14" t="n">
        <v>0</v>
      </c>
      <c r="M3581" s="14">
        <f>IF(B3581="Frete de venda",0,(1-ISNUMBER(SEARCH("556",P3581)))*(I3581*VLOOKUP($B3581,Premissas!$A$4:$E$7,2,0)+J3581*VLOOKUP($B3581,Premissas!$A$4:$E$7,3,0))+K3581*VLOOKUP($B3581,Premissas!$A$4:$E$7,4,0)+L3581*VLOOKUP($B3581,Premissas!$A$4:$E$7,5,0))</f>
        <v/>
      </c>
      <c r="N3581" s="14">
        <f>H3581-M3581</f>
        <v/>
      </c>
      <c r="O3581" t="inlineStr">
        <is>
          <t>Não</t>
        </is>
      </c>
      <c r="P3581" t="inlineStr">
        <is>
          <t>2.350</t>
        </is>
      </c>
    </row>
    <row r="3582">
      <c r="A3582" s="24" t="n">
        <v>46174</v>
      </c>
      <c r="B3582" t="inlineStr">
        <is>
          <t>Frete de venda</t>
        </is>
      </c>
      <c r="C3582" t="inlineStr">
        <is>
          <t>Frete de venda (para clientes)</t>
        </is>
      </c>
      <c r="D3582" t="inlineStr">
        <is>
          <t>CT-e</t>
        </is>
      </c>
      <c r="E3582" t="inlineStr">
        <is>
          <t>000024793</t>
        </is>
      </c>
      <c r="F3582" t="inlineStr">
        <is>
          <t>TRANSPORTE OLIVEIRA E MELLOI - IDEALIZA TRANSPORTES</t>
        </is>
      </c>
      <c r="G3582" s="27" t="n">
        <v>46185</v>
      </c>
      <c r="H3582" s="14" t="n">
        <v>651.2</v>
      </c>
      <c r="I3582" s="14" t="n">
        <v>0</v>
      </c>
      <c r="J3582" s="14" t="n">
        <v>78.14</v>
      </c>
      <c r="K3582" s="14" t="n">
        <v>0</v>
      </c>
      <c r="L3582" s="14" t="n">
        <v>0</v>
      </c>
      <c r="M3582" s="14">
        <f>IF(B3582="Frete de venda",0,(1-ISNUMBER(SEARCH("556",P3582)))*(I3582*VLOOKUP($B3582,Premissas!$A$4:$E$7,2,0)+J3582*VLOOKUP($B3582,Premissas!$A$4:$E$7,3,0))+K3582*VLOOKUP($B3582,Premissas!$A$4:$E$7,4,0)+L3582*VLOOKUP($B3582,Premissas!$A$4:$E$7,5,0))</f>
        <v/>
      </c>
      <c r="N3582" s="14">
        <f>H3582-M3582</f>
        <v/>
      </c>
      <c r="O3582" t="inlineStr">
        <is>
          <t>Sim</t>
        </is>
      </c>
      <c r="P3582" t="inlineStr">
        <is>
          <t>1.350</t>
        </is>
      </c>
    </row>
    <row r="3583">
      <c r="A3583" s="24" t="n">
        <v>46174</v>
      </c>
      <c r="B3583" t="inlineStr">
        <is>
          <t>Frete de venda</t>
        </is>
      </c>
      <c r="C3583" t="inlineStr">
        <is>
          <t>Frete de venda (para clientes)</t>
        </is>
      </c>
      <c r="D3583" t="inlineStr">
        <is>
          <t>CT-e</t>
        </is>
      </c>
      <c r="E3583" t="inlineStr">
        <is>
          <t>000007483</t>
        </is>
      </c>
      <c r="F3583" t="inlineStr">
        <is>
          <t>R&amp;R TRANSPORTE E LOGISTICA</t>
        </is>
      </c>
      <c r="G3583" s="27" t="n">
        <v>46199</v>
      </c>
      <c r="H3583" s="14" t="n">
        <v>87.2</v>
      </c>
      <c r="I3583" s="14" t="n">
        <v>0</v>
      </c>
      <c r="J3583" s="14" t="n">
        <v>0</v>
      </c>
      <c r="K3583" s="14" t="n">
        <v>0</v>
      </c>
      <c r="L3583" s="14" t="n">
        <v>0</v>
      </c>
      <c r="M3583" s="14">
        <f>IF(B3583="Frete de venda",0,(1-ISNUMBER(SEARCH("556",P3583)))*(I3583*VLOOKUP($B3583,Premissas!$A$4:$E$7,2,0)+J3583*VLOOKUP($B3583,Premissas!$A$4:$E$7,3,0))+K3583*VLOOKUP($B3583,Premissas!$A$4:$E$7,4,0)+L3583*VLOOKUP($B3583,Premissas!$A$4:$E$7,5,0))</f>
        <v/>
      </c>
      <c r="N3583" s="14">
        <f>H3583-M3583</f>
        <v/>
      </c>
      <c r="O3583" t="inlineStr">
        <is>
          <t>Não</t>
        </is>
      </c>
      <c r="P3583" t="inlineStr">
        <is>
          <t>1.350</t>
        </is>
      </c>
    </row>
    <row r="3584">
      <c r="A3584" s="24" t="n">
        <v>46174</v>
      </c>
      <c r="B3584" t="inlineStr">
        <is>
          <t>Frete de venda</t>
        </is>
      </c>
      <c r="C3584" t="inlineStr">
        <is>
          <t>Frete de venda (para clientes)</t>
        </is>
      </c>
      <c r="D3584" t="inlineStr">
        <is>
          <t>CT-e</t>
        </is>
      </c>
      <c r="E3584" t="inlineStr">
        <is>
          <t>000007422</t>
        </is>
      </c>
      <c r="F3584" t="inlineStr">
        <is>
          <t>R&amp;R TRANSPORTE E LOGISTICA</t>
        </is>
      </c>
      <c r="G3584" s="27" t="n">
        <v>46192</v>
      </c>
      <c r="H3584" s="14" t="n">
        <v>25.04</v>
      </c>
      <c r="I3584" s="14" t="n">
        <v>0</v>
      </c>
      <c r="J3584" s="14" t="n">
        <v>0</v>
      </c>
      <c r="K3584" s="14" t="n">
        <v>0</v>
      </c>
      <c r="L3584" s="14" t="n">
        <v>0</v>
      </c>
      <c r="M3584" s="14">
        <f>IF(B3584="Frete de venda",0,(1-ISNUMBER(SEARCH("556",P3584)))*(I3584*VLOOKUP($B3584,Premissas!$A$4:$E$7,2,0)+J3584*VLOOKUP($B3584,Premissas!$A$4:$E$7,3,0))+K3584*VLOOKUP($B3584,Premissas!$A$4:$E$7,4,0)+L3584*VLOOKUP($B3584,Premissas!$A$4:$E$7,5,0))</f>
        <v/>
      </c>
      <c r="N3584" s="14">
        <f>H3584-M3584</f>
        <v/>
      </c>
      <c r="O3584" t="inlineStr">
        <is>
          <t>Não</t>
        </is>
      </c>
      <c r="P3584" t="inlineStr">
        <is>
          <t>1.350</t>
        </is>
      </c>
    </row>
    <row r="3585">
      <c r="A3585" s="24" t="n">
        <v>46174</v>
      </c>
      <c r="B3585" t="inlineStr">
        <is>
          <t>Frete de venda</t>
        </is>
      </c>
      <c r="C3585" t="inlineStr">
        <is>
          <t>Frete de venda (para clientes)</t>
        </is>
      </c>
      <c r="D3585" t="inlineStr">
        <is>
          <t>CT-e</t>
        </is>
      </c>
      <c r="E3585" t="inlineStr">
        <is>
          <t>000007444</t>
        </is>
      </c>
      <c r="F3585" t="inlineStr">
        <is>
          <t>R&amp;R TRANSPORTE E LOGISTICA</t>
        </is>
      </c>
      <c r="G3585" s="27" t="n">
        <v>46196</v>
      </c>
      <c r="H3585" s="14" t="n">
        <v>37.17</v>
      </c>
      <c r="I3585" s="14" t="n">
        <v>0</v>
      </c>
      <c r="J3585" s="14" t="n">
        <v>0</v>
      </c>
      <c r="K3585" s="14" t="n">
        <v>0</v>
      </c>
      <c r="L3585" s="14" t="n">
        <v>0</v>
      </c>
      <c r="M3585" s="14">
        <f>IF(B3585="Frete de venda",0,(1-ISNUMBER(SEARCH("556",P3585)))*(I3585*VLOOKUP($B3585,Premissas!$A$4:$E$7,2,0)+J3585*VLOOKUP($B3585,Premissas!$A$4:$E$7,3,0))+K3585*VLOOKUP($B3585,Premissas!$A$4:$E$7,4,0)+L3585*VLOOKUP($B3585,Premissas!$A$4:$E$7,5,0))</f>
        <v/>
      </c>
      <c r="N3585" s="14">
        <f>H3585-M3585</f>
        <v/>
      </c>
      <c r="O3585" t="inlineStr">
        <is>
          <t>Não</t>
        </is>
      </c>
      <c r="P3585" t="inlineStr">
        <is>
          <t>1.350</t>
        </is>
      </c>
    </row>
    <row r="3586">
      <c r="A3586" s="24" t="n">
        <v>46174</v>
      </c>
      <c r="B3586" t="inlineStr">
        <is>
          <t>Frete de venda</t>
        </is>
      </c>
      <c r="C3586" t="inlineStr">
        <is>
          <t>Frete de venda (para clientes)</t>
        </is>
      </c>
      <c r="D3586" t="inlineStr">
        <is>
          <t>CT-e</t>
        </is>
      </c>
      <c r="E3586" t="inlineStr">
        <is>
          <t>000007445</t>
        </is>
      </c>
      <c r="F3586" t="inlineStr">
        <is>
          <t>R&amp;R TRANSPORTE E LOGISTICA</t>
        </is>
      </c>
      <c r="G3586" s="27" t="n">
        <v>46196</v>
      </c>
      <c r="H3586" s="14" t="n">
        <v>61.87</v>
      </c>
      <c r="I3586" s="14" t="n">
        <v>0</v>
      </c>
      <c r="J3586" s="14" t="n">
        <v>0</v>
      </c>
      <c r="K3586" s="14" t="n">
        <v>0</v>
      </c>
      <c r="L3586" s="14" t="n">
        <v>0</v>
      </c>
      <c r="M3586" s="14">
        <f>IF(B3586="Frete de venda",0,(1-ISNUMBER(SEARCH("556",P3586)))*(I3586*VLOOKUP($B3586,Premissas!$A$4:$E$7,2,0)+J3586*VLOOKUP($B3586,Premissas!$A$4:$E$7,3,0))+K3586*VLOOKUP($B3586,Premissas!$A$4:$E$7,4,0)+L3586*VLOOKUP($B3586,Premissas!$A$4:$E$7,5,0))</f>
        <v/>
      </c>
      <c r="N3586" s="14">
        <f>H3586-M3586</f>
        <v/>
      </c>
      <c r="O3586" t="inlineStr">
        <is>
          <t>Não</t>
        </is>
      </c>
      <c r="P3586" t="inlineStr">
        <is>
          <t>1.350</t>
        </is>
      </c>
    </row>
    <row r="3587">
      <c r="A3587" s="24" t="n">
        <v>46174</v>
      </c>
      <c r="B3587" t="inlineStr">
        <is>
          <t>Frete de venda</t>
        </is>
      </c>
      <c r="C3587" t="inlineStr">
        <is>
          <t>Frete de venda (para clientes)</t>
        </is>
      </c>
      <c r="D3587" t="inlineStr">
        <is>
          <t>CT-e</t>
        </is>
      </c>
      <c r="E3587" t="inlineStr">
        <is>
          <t>000007405</t>
        </is>
      </c>
      <c r="F3587" t="inlineStr">
        <is>
          <t>R&amp;R TRANSPORTE E LOGISTICA</t>
        </is>
      </c>
      <c r="G3587" s="27" t="n">
        <v>46192</v>
      </c>
      <c r="H3587" s="14" t="n">
        <v>16.17</v>
      </c>
      <c r="I3587" s="14" t="n">
        <v>0</v>
      </c>
      <c r="J3587" s="14" t="n">
        <v>0</v>
      </c>
      <c r="K3587" s="14" t="n">
        <v>0</v>
      </c>
      <c r="L3587" s="14" t="n">
        <v>0</v>
      </c>
      <c r="M3587" s="14">
        <f>IF(B3587="Frete de venda",0,(1-ISNUMBER(SEARCH("556",P3587)))*(I3587*VLOOKUP($B3587,Premissas!$A$4:$E$7,2,0)+J3587*VLOOKUP($B3587,Premissas!$A$4:$E$7,3,0))+K3587*VLOOKUP($B3587,Premissas!$A$4:$E$7,4,0)+L3587*VLOOKUP($B3587,Premissas!$A$4:$E$7,5,0))</f>
        <v/>
      </c>
      <c r="N3587" s="14">
        <f>H3587-M3587</f>
        <v/>
      </c>
      <c r="O3587" t="inlineStr">
        <is>
          <t>Não</t>
        </is>
      </c>
      <c r="P3587" t="inlineStr">
        <is>
          <t>1.350</t>
        </is>
      </c>
    </row>
    <row r="3588">
      <c r="A3588" s="24" t="n">
        <v>46174</v>
      </c>
      <c r="B3588" t="inlineStr">
        <is>
          <t>Frete de venda</t>
        </is>
      </c>
      <c r="C3588" t="inlineStr">
        <is>
          <t>Frete de venda (para clientes)</t>
        </is>
      </c>
      <c r="D3588" t="inlineStr">
        <is>
          <t>CT-e</t>
        </is>
      </c>
      <c r="E3588" t="inlineStr">
        <is>
          <t>000007377</t>
        </is>
      </c>
      <c r="F3588" t="inlineStr">
        <is>
          <t>R&amp;R TRANSPORTE E LOGISTICA</t>
        </is>
      </c>
      <c r="G3588" s="27" t="n">
        <v>46190</v>
      </c>
      <c r="H3588" s="14" t="n">
        <v>38.81</v>
      </c>
      <c r="I3588" s="14" t="n">
        <v>0</v>
      </c>
      <c r="J3588" s="14" t="n">
        <v>0</v>
      </c>
      <c r="K3588" s="14" t="n">
        <v>0</v>
      </c>
      <c r="L3588" s="14" t="n">
        <v>0</v>
      </c>
      <c r="M3588" s="14">
        <f>IF(B3588="Frete de venda",0,(1-ISNUMBER(SEARCH("556",P3588)))*(I3588*VLOOKUP($B3588,Premissas!$A$4:$E$7,2,0)+J3588*VLOOKUP($B3588,Premissas!$A$4:$E$7,3,0))+K3588*VLOOKUP($B3588,Premissas!$A$4:$E$7,4,0)+L3588*VLOOKUP($B3588,Premissas!$A$4:$E$7,5,0))</f>
        <v/>
      </c>
      <c r="N3588" s="14">
        <f>H3588-M3588</f>
        <v/>
      </c>
      <c r="O3588" t="inlineStr">
        <is>
          <t>Não</t>
        </is>
      </c>
      <c r="P3588" t="inlineStr">
        <is>
          <t>1.350</t>
        </is>
      </c>
    </row>
    <row r="3589">
      <c r="A3589" s="24" t="n">
        <v>46174</v>
      </c>
      <c r="B3589" t="inlineStr">
        <is>
          <t>Frete de venda</t>
        </is>
      </c>
      <c r="C3589" t="inlineStr">
        <is>
          <t>Frete de venda (para clientes)</t>
        </is>
      </c>
      <c r="D3589" t="inlineStr">
        <is>
          <t>CT-e</t>
        </is>
      </c>
      <c r="E3589" t="inlineStr">
        <is>
          <t>000000689</t>
        </is>
      </c>
      <c r="F3589" t="inlineStr">
        <is>
          <t>REIMAG - REINALDO DOMINGUES BARROS DA SILVA</t>
        </is>
      </c>
      <c r="G3589" s="27" t="n">
        <v>46182</v>
      </c>
      <c r="H3589" s="14" t="n">
        <v>266.66</v>
      </c>
      <c r="I3589" s="14" t="n">
        <v>0</v>
      </c>
      <c r="J3589" s="14" t="n">
        <v>0</v>
      </c>
      <c r="K3589" s="14" t="n">
        <v>0</v>
      </c>
      <c r="L3589" s="14" t="n">
        <v>0</v>
      </c>
      <c r="M3589" s="14">
        <f>IF(B3589="Frete de venda",0,(1-ISNUMBER(SEARCH("556",P3589)))*(I3589*VLOOKUP($B3589,Premissas!$A$4:$E$7,2,0)+J3589*VLOOKUP($B3589,Premissas!$A$4:$E$7,3,0))+K3589*VLOOKUP($B3589,Premissas!$A$4:$E$7,4,0)+L3589*VLOOKUP($B3589,Premissas!$A$4:$E$7,5,0))</f>
        <v/>
      </c>
      <c r="N3589" s="14">
        <f>H3589-M3589</f>
        <v/>
      </c>
      <c r="O3589" t="inlineStr">
        <is>
          <t>Sim</t>
        </is>
      </c>
      <c r="P3589" t="inlineStr">
        <is>
          <t>1.350</t>
        </is>
      </c>
    </row>
    <row r="3590">
      <c r="A3590" s="24" t="n">
        <v>46174</v>
      </c>
      <c r="B3590" t="inlineStr">
        <is>
          <t>Frete de venda</t>
        </is>
      </c>
      <c r="C3590" t="inlineStr">
        <is>
          <t>Frete de venda (para clientes)</t>
        </is>
      </c>
      <c r="D3590" t="inlineStr">
        <is>
          <t>CT-e</t>
        </is>
      </c>
      <c r="E3590" t="inlineStr">
        <is>
          <t>000001110</t>
        </is>
      </c>
      <c r="F3590" t="inlineStr">
        <is>
          <t>ADIL CARLOS DA SILVA</t>
        </is>
      </c>
      <c r="G3590" s="27" t="n">
        <v>46189</v>
      </c>
      <c r="H3590" s="14" t="n">
        <v>1</v>
      </c>
      <c r="I3590" s="14" t="n">
        <v>0</v>
      </c>
      <c r="J3590" s="14" t="n">
        <v>0</v>
      </c>
      <c r="K3590" s="14" t="n">
        <v>0</v>
      </c>
      <c r="L3590" s="14" t="n">
        <v>0</v>
      </c>
      <c r="M3590" s="14">
        <f>IF(B3590="Frete de venda",0,(1-ISNUMBER(SEARCH("556",P3590)))*(I3590*VLOOKUP($B3590,Premissas!$A$4:$E$7,2,0)+J3590*VLOOKUP($B3590,Premissas!$A$4:$E$7,3,0))+K3590*VLOOKUP($B3590,Premissas!$A$4:$E$7,4,0)+L3590*VLOOKUP($B3590,Premissas!$A$4:$E$7,5,0))</f>
        <v/>
      </c>
      <c r="N3590" s="14">
        <f>H3590-M3590</f>
        <v/>
      </c>
      <c r="O3590" t="inlineStr">
        <is>
          <t>Não</t>
        </is>
      </c>
      <c r="P3590" t="inlineStr">
        <is>
          <t>2.350</t>
        </is>
      </c>
    </row>
    <row r="3591">
      <c r="A3591" s="24" t="n">
        <v>46174</v>
      </c>
      <c r="B3591" t="inlineStr">
        <is>
          <t>Frete de venda</t>
        </is>
      </c>
      <c r="C3591" t="inlineStr">
        <is>
          <t>Frete de venda (para clientes)</t>
        </is>
      </c>
      <c r="D3591" t="inlineStr">
        <is>
          <t>CT-e</t>
        </is>
      </c>
      <c r="E3591" t="inlineStr">
        <is>
          <t>000007470</t>
        </is>
      </c>
      <c r="F3591" t="inlineStr">
        <is>
          <t>R&amp;R TRANSPORTE E LOGISTICA</t>
        </is>
      </c>
      <c r="G3591" s="27" t="n">
        <v>46198</v>
      </c>
      <c r="H3591" s="14" t="n">
        <v>5800</v>
      </c>
      <c r="I3591" s="14" t="n">
        <v>0</v>
      </c>
      <c r="J3591" s="14" t="n">
        <v>0</v>
      </c>
      <c r="K3591" s="14" t="n">
        <v>0</v>
      </c>
      <c r="L3591" s="14" t="n">
        <v>0</v>
      </c>
      <c r="M3591" s="14">
        <f>IF(B3591="Frete de venda",0,(1-ISNUMBER(SEARCH("556",P3591)))*(I3591*VLOOKUP($B3591,Premissas!$A$4:$E$7,2,0)+J3591*VLOOKUP($B3591,Premissas!$A$4:$E$7,3,0))+K3591*VLOOKUP($B3591,Premissas!$A$4:$E$7,4,0)+L3591*VLOOKUP($B3591,Premissas!$A$4:$E$7,5,0))</f>
        <v/>
      </c>
      <c r="N3591" s="14">
        <f>H3591-M3591</f>
        <v/>
      </c>
      <c r="O3591" t="inlineStr">
        <is>
          <t>Não</t>
        </is>
      </c>
      <c r="P3591" t="inlineStr">
        <is>
          <t>1.350</t>
        </is>
      </c>
    </row>
    <row r="3592">
      <c r="A3592" s="24" t="n">
        <v>46174</v>
      </c>
      <c r="B3592" t="inlineStr">
        <is>
          <t>Frete de venda</t>
        </is>
      </c>
      <c r="C3592" t="inlineStr">
        <is>
          <t>Frete de venda (para clientes)</t>
        </is>
      </c>
      <c r="D3592" t="inlineStr">
        <is>
          <t>CT-e</t>
        </is>
      </c>
      <c r="E3592" t="inlineStr">
        <is>
          <t>000000698</t>
        </is>
      </c>
      <c r="F3592" t="inlineStr">
        <is>
          <t>REIMAG - REINALDO DOMINGUES BARROS DA SILVA</t>
        </is>
      </c>
      <c r="G3592" s="27" t="n">
        <v>46184</v>
      </c>
      <c r="H3592" s="14" t="n">
        <v>400</v>
      </c>
      <c r="I3592" s="14" t="n">
        <v>0</v>
      </c>
      <c r="J3592" s="14" t="n">
        <v>0</v>
      </c>
      <c r="K3592" s="14" t="n">
        <v>0</v>
      </c>
      <c r="L3592" s="14" t="n">
        <v>0</v>
      </c>
      <c r="M3592" s="14">
        <f>IF(B3592="Frete de venda",0,(1-ISNUMBER(SEARCH("556",P3592)))*(I3592*VLOOKUP($B3592,Premissas!$A$4:$E$7,2,0)+J3592*VLOOKUP($B3592,Premissas!$A$4:$E$7,3,0))+K3592*VLOOKUP($B3592,Premissas!$A$4:$E$7,4,0)+L3592*VLOOKUP($B3592,Premissas!$A$4:$E$7,5,0))</f>
        <v/>
      </c>
      <c r="N3592" s="14">
        <f>H3592-M3592</f>
        <v/>
      </c>
      <c r="O3592" t="inlineStr">
        <is>
          <t>Sim</t>
        </is>
      </c>
      <c r="P3592" t="inlineStr">
        <is>
          <t>1.350</t>
        </is>
      </c>
    </row>
    <row r="3593">
      <c r="A3593" s="24" t="n">
        <v>46174</v>
      </c>
      <c r="B3593" t="inlineStr">
        <is>
          <t>Frete de venda</t>
        </is>
      </c>
      <c r="C3593" t="inlineStr">
        <is>
          <t>Frete de venda (para clientes)</t>
        </is>
      </c>
      <c r="D3593" t="inlineStr">
        <is>
          <t>CT-e</t>
        </is>
      </c>
      <c r="E3593" t="inlineStr">
        <is>
          <t>000007238</t>
        </is>
      </c>
      <c r="F3593" t="inlineStr">
        <is>
          <t>R&amp;R TRANSPORTE E LOGISTICA</t>
        </is>
      </c>
      <c r="G3593" s="27" t="n">
        <v>46174</v>
      </c>
      <c r="H3593" s="14" t="n">
        <v>35.6</v>
      </c>
      <c r="I3593" s="14" t="n">
        <v>0</v>
      </c>
      <c r="J3593" s="14" t="n">
        <v>0</v>
      </c>
      <c r="K3593" s="14" t="n">
        <v>0</v>
      </c>
      <c r="L3593" s="14" t="n">
        <v>0</v>
      </c>
      <c r="M3593" s="14">
        <f>IF(B3593="Frete de venda",0,(1-ISNUMBER(SEARCH("556",P3593)))*(I3593*VLOOKUP($B3593,Premissas!$A$4:$E$7,2,0)+J3593*VLOOKUP($B3593,Premissas!$A$4:$E$7,3,0))+K3593*VLOOKUP($B3593,Premissas!$A$4:$E$7,4,0)+L3593*VLOOKUP($B3593,Premissas!$A$4:$E$7,5,0))</f>
        <v/>
      </c>
      <c r="N3593" s="14">
        <f>H3593-M3593</f>
        <v/>
      </c>
      <c r="O3593" t="inlineStr">
        <is>
          <t>Não</t>
        </is>
      </c>
      <c r="P3593" t="inlineStr">
        <is>
          <t>2.350</t>
        </is>
      </c>
    </row>
    <row r="3594">
      <c r="A3594" s="24" t="n">
        <v>46174</v>
      </c>
      <c r="B3594" t="inlineStr">
        <is>
          <t>Frete de venda</t>
        </is>
      </c>
      <c r="C3594" t="inlineStr">
        <is>
          <t>Frete de venda (para clientes)</t>
        </is>
      </c>
      <c r="D3594" t="inlineStr">
        <is>
          <t>CT-e</t>
        </is>
      </c>
      <c r="E3594" t="inlineStr">
        <is>
          <t>000007486</t>
        </is>
      </c>
      <c r="F3594" t="inlineStr">
        <is>
          <t>R&amp;R TRANSPORTE E LOGISTICA</t>
        </is>
      </c>
      <c r="G3594" s="27" t="n">
        <v>46199</v>
      </c>
      <c r="H3594" s="14" t="n">
        <v>27.8</v>
      </c>
      <c r="I3594" s="14" t="n">
        <v>0</v>
      </c>
      <c r="J3594" s="14" t="n">
        <v>0</v>
      </c>
      <c r="K3594" s="14" t="n">
        <v>0</v>
      </c>
      <c r="L3594" s="14" t="n">
        <v>0</v>
      </c>
      <c r="M3594" s="14">
        <f>IF(B3594="Frete de venda",0,(1-ISNUMBER(SEARCH("556",P3594)))*(I3594*VLOOKUP($B3594,Premissas!$A$4:$E$7,2,0)+J3594*VLOOKUP($B3594,Premissas!$A$4:$E$7,3,0))+K3594*VLOOKUP($B3594,Premissas!$A$4:$E$7,4,0)+L3594*VLOOKUP($B3594,Premissas!$A$4:$E$7,5,0))</f>
        <v/>
      </c>
      <c r="N3594" s="14">
        <f>H3594-M3594</f>
        <v/>
      </c>
      <c r="O3594" t="inlineStr">
        <is>
          <t>Não</t>
        </is>
      </c>
      <c r="P3594" t="inlineStr">
        <is>
          <t>1.350</t>
        </is>
      </c>
    </row>
    <row r="3595">
      <c r="A3595" s="24" t="n">
        <v>46174</v>
      </c>
      <c r="B3595" t="inlineStr">
        <is>
          <t>Frete de venda</t>
        </is>
      </c>
      <c r="C3595" t="inlineStr">
        <is>
          <t>Frete de venda (para clientes)</t>
        </is>
      </c>
      <c r="D3595" t="inlineStr">
        <is>
          <t>CT-e</t>
        </is>
      </c>
      <c r="E3595" t="inlineStr">
        <is>
          <t>000007399</t>
        </is>
      </c>
      <c r="F3595" t="inlineStr">
        <is>
          <t>R&amp;R TRANSPORTE E LOGISTICA</t>
        </is>
      </c>
      <c r="G3595" s="27" t="n">
        <v>46192</v>
      </c>
      <c r="H3595" s="14" t="n">
        <v>18.93</v>
      </c>
      <c r="I3595" s="14" t="n">
        <v>0</v>
      </c>
      <c r="J3595" s="14" t="n">
        <v>0</v>
      </c>
      <c r="K3595" s="14" t="n">
        <v>0</v>
      </c>
      <c r="L3595" s="14" t="n">
        <v>0</v>
      </c>
      <c r="M3595" s="14">
        <f>IF(B3595="Frete de venda",0,(1-ISNUMBER(SEARCH("556",P3595)))*(I3595*VLOOKUP($B3595,Premissas!$A$4:$E$7,2,0)+J3595*VLOOKUP($B3595,Premissas!$A$4:$E$7,3,0))+K3595*VLOOKUP($B3595,Premissas!$A$4:$E$7,4,0)+L3595*VLOOKUP($B3595,Premissas!$A$4:$E$7,5,0))</f>
        <v/>
      </c>
      <c r="N3595" s="14">
        <f>H3595-M3595</f>
        <v/>
      </c>
      <c r="O3595" t="inlineStr">
        <is>
          <t>Não</t>
        </is>
      </c>
      <c r="P3595" t="inlineStr">
        <is>
          <t>1.350</t>
        </is>
      </c>
    </row>
    <row r="3596">
      <c r="A3596" s="24" t="n">
        <v>46174</v>
      </c>
      <c r="B3596" t="inlineStr">
        <is>
          <t>Frete de venda</t>
        </is>
      </c>
      <c r="C3596" t="inlineStr">
        <is>
          <t>Frete de venda (para clientes)</t>
        </is>
      </c>
      <c r="D3596" t="inlineStr">
        <is>
          <t>CT-e</t>
        </is>
      </c>
      <c r="E3596" t="inlineStr">
        <is>
          <t>000007488</t>
        </is>
      </c>
      <c r="F3596" t="inlineStr">
        <is>
          <t>R&amp;R TRANSPORTE E LOGISTICA</t>
        </is>
      </c>
      <c r="G3596" s="27" t="n">
        <v>46199</v>
      </c>
      <c r="H3596" s="14" t="n">
        <v>136</v>
      </c>
      <c r="I3596" s="14" t="n">
        <v>0</v>
      </c>
      <c r="J3596" s="14" t="n">
        <v>0</v>
      </c>
      <c r="K3596" s="14" t="n">
        <v>0</v>
      </c>
      <c r="L3596" s="14" t="n">
        <v>0</v>
      </c>
      <c r="M3596" s="14">
        <f>IF(B3596="Frete de venda",0,(1-ISNUMBER(SEARCH("556",P3596)))*(I3596*VLOOKUP($B3596,Premissas!$A$4:$E$7,2,0)+J3596*VLOOKUP($B3596,Premissas!$A$4:$E$7,3,0))+K3596*VLOOKUP($B3596,Premissas!$A$4:$E$7,4,0)+L3596*VLOOKUP($B3596,Premissas!$A$4:$E$7,5,0))</f>
        <v/>
      </c>
      <c r="N3596" s="14">
        <f>H3596-M3596</f>
        <v/>
      </c>
      <c r="O3596" t="inlineStr">
        <is>
          <t>Não</t>
        </is>
      </c>
      <c r="P3596" t="inlineStr">
        <is>
          <t>1.350</t>
        </is>
      </c>
    </row>
    <row r="3597">
      <c r="A3597" s="24" t="n">
        <v>46174</v>
      </c>
      <c r="B3597" t="inlineStr">
        <is>
          <t>Frete de venda</t>
        </is>
      </c>
      <c r="C3597" t="inlineStr">
        <is>
          <t>Frete de venda (para clientes)</t>
        </is>
      </c>
      <c r="D3597" t="inlineStr">
        <is>
          <t>CT-e</t>
        </is>
      </c>
      <c r="E3597" t="inlineStr">
        <is>
          <t>000007481</t>
        </is>
      </c>
      <c r="F3597" t="inlineStr">
        <is>
          <t>R&amp;R TRANSPORTE E LOGISTICA</t>
        </is>
      </c>
      <c r="G3597" s="27" t="n">
        <v>46199</v>
      </c>
      <c r="H3597" s="14" t="n">
        <v>60.6</v>
      </c>
      <c r="I3597" s="14" t="n">
        <v>0</v>
      </c>
      <c r="J3597" s="14" t="n">
        <v>0</v>
      </c>
      <c r="K3597" s="14" t="n">
        <v>0</v>
      </c>
      <c r="L3597" s="14" t="n">
        <v>0</v>
      </c>
      <c r="M3597" s="14">
        <f>IF(B3597="Frete de venda",0,(1-ISNUMBER(SEARCH("556",P3597)))*(I3597*VLOOKUP($B3597,Premissas!$A$4:$E$7,2,0)+J3597*VLOOKUP($B3597,Premissas!$A$4:$E$7,3,0))+K3597*VLOOKUP($B3597,Premissas!$A$4:$E$7,4,0)+L3597*VLOOKUP($B3597,Premissas!$A$4:$E$7,5,0))</f>
        <v/>
      </c>
      <c r="N3597" s="14">
        <f>H3597-M3597</f>
        <v/>
      </c>
      <c r="O3597" t="inlineStr">
        <is>
          <t>Não</t>
        </is>
      </c>
      <c r="P3597" t="inlineStr">
        <is>
          <t>1.350</t>
        </is>
      </c>
    </row>
    <row r="3598">
      <c r="A3598" s="24" t="n">
        <v>46174</v>
      </c>
      <c r="B3598" t="inlineStr">
        <is>
          <t>Frete de venda</t>
        </is>
      </c>
      <c r="C3598" t="inlineStr">
        <is>
          <t>Frete de venda (para clientes)</t>
        </is>
      </c>
      <c r="D3598" t="inlineStr">
        <is>
          <t>CT-e</t>
        </is>
      </c>
      <c r="E3598" t="inlineStr">
        <is>
          <t>000007392</t>
        </is>
      </c>
      <c r="F3598" t="inlineStr">
        <is>
          <t>R&amp;R TRANSPORTE E LOGISTICA</t>
        </is>
      </c>
      <c r="G3598" s="27" t="n">
        <v>46191</v>
      </c>
      <c r="H3598" s="14" t="n">
        <v>200</v>
      </c>
      <c r="I3598" s="14" t="n">
        <v>0</v>
      </c>
      <c r="J3598" s="14" t="n">
        <v>0</v>
      </c>
      <c r="K3598" s="14" t="n">
        <v>0</v>
      </c>
      <c r="L3598" s="14" t="n">
        <v>0</v>
      </c>
      <c r="M3598" s="14">
        <f>IF(B3598="Frete de venda",0,(1-ISNUMBER(SEARCH("556",P3598)))*(I3598*VLOOKUP($B3598,Premissas!$A$4:$E$7,2,0)+J3598*VLOOKUP($B3598,Premissas!$A$4:$E$7,3,0))+K3598*VLOOKUP($B3598,Premissas!$A$4:$E$7,4,0)+L3598*VLOOKUP($B3598,Premissas!$A$4:$E$7,5,0))</f>
        <v/>
      </c>
      <c r="N3598" s="14">
        <f>H3598-M3598</f>
        <v/>
      </c>
      <c r="O3598" t="inlineStr">
        <is>
          <t>Não</t>
        </is>
      </c>
      <c r="P3598" t="inlineStr">
        <is>
          <t>1.350</t>
        </is>
      </c>
    </row>
    <row r="3599">
      <c r="A3599" s="24" t="n">
        <v>46174</v>
      </c>
      <c r="B3599" t="inlineStr">
        <is>
          <t>Frete de venda</t>
        </is>
      </c>
      <c r="C3599" t="inlineStr">
        <is>
          <t>Frete de venda (para clientes)</t>
        </is>
      </c>
      <c r="D3599" t="inlineStr">
        <is>
          <t>CT-e</t>
        </is>
      </c>
      <c r="E3599" t="inlineStr">
        <is>
          <t>000007391</t>
        </is>
      </c>
      <c r="F3599" t="inlineStr">
        <is>
          <t>R&amp;R TRANSPORTE E LOGISTICA</t>
        </is>
      </c>
      <c r="G3599" s="27" t="n">
        <v>46191</v>
      </c>
      <c r="H3599" s="14" t="n">
        <v>200</v>
      </c>
      <c r="I3599" s="14" t="n">
        <v>0</v>
      </c>
      <c r="J3599" s="14" t="n">
        <v>0</v>
      </c>
      <c r="K3599" s="14" t="n">
        <v>0</v>
      </c>
      <c r="L3599" s="14" t="n">
        <v>0</v>
      </c>
      <c r="M3599" s="14">
        <f>IF(B3599="Frete de venda",0,(1-ISNUMBER(SEARCH("556",P3599)))*(I3599*VLOOKUP($B3599,Premissas!$A$4:$E$7,2,0)+J3599*VLOOKUP($B3599,Premissas!$A$4:$E$7,3,0))+K3599*VLOOKUP($B3599,Premissas!$A$4:$E$7,4,0)+L3599*VLOOKUP($B3599,Premissas!$A$4:$E$7,5,0))</f>
        <v/>
      </c>
      <c r="N3599" s="14">
        <f>H3599-M3599</f>
        <v/>
      </c>
      <c r="O3599" t="inlineStr">
        <is>
          <t>Não</t>
        </is>
      </c>
      <c r="P3599" t="inlineStr">
        <is>
          <t>1.350</t>
        </is>
      </c>
    </row>
    <row r="3600">
      <c r="A3600" s="24" t="n">
        <v>46174</v>
      </c>
      <c r="B3600" t="inlineStr">
        <is>
          <t>Frete de venda</t>
        </is>
      </c>
      <c r="C3600" t="inlineStr">
        <is>
          <t>Frete de venda (para clientes)</t>
        </is>
      </c>
      <c r="D3600" t="inlineStr">
        <is>
          <t>CT-e</t>
        </is>
      </c>
      <c r="E3600" t="inlineStr">
        <is>
          <t>000007259</t>
        </is>
      </c>
      <c r="F3600" t="inlineStr">
        <is>
          <t>R&amp;R TRANSPORTE E LOGISTICA</t>
        </is>
      </c>
      <c r="G3600" s="27" t="n">
        <v>46176</v>
      </c>
      <c r="H3600" s="14" t="n">
        <v>53</v>
      </c>
      <c r="I3600" s="14" t="n">
        <v>0</v>
      </c>
      <c r="J3600" s="14" t="n">
        <v>0</v>
      </c>
      <c r="K3600" s="14" t="n">
        <v>0</v>
      </c>
      <c r="L3600" s="14" t="n">
        <v>0</v>
      </c>
      <c r="M3600" s="14">
        <f>IF(B3600="Frete de venda",0,(1-ISNUMBER(SEARCH("556",P3600)))*(I3600*VLOOKUP($B3600,Premissas!$A$4:$E$7,2,0)+J3600*VLOOKUP($B3600,Premissas!$A$4:$E$7,3,0))+K3600*VLOOKUP($B3600,Premissas!$A$4:$E$7,4,0)+L3600*VLOOKUP($B3600,Premissas!$A$4:$E$7,5,0))</f>
        <v/>
      </c>
      <c r="N3600" s="14">
        <f>H3600-M3600</f>
        <v/>
      </c>
      <c r="O3600" t="inlineStr">
        <is>
          <t>Não</t>
        </is>
      </c>
      <c r="P3600" t="inlineStr">
        <is>
          <t>1.350</t>
        </is>
      </c>
    </row>
    <row r="3601">
      <c r="A3601" s="24" t="n">
        <v>46174</v>
      </c>
      <c r="B3601" t="inlineStr">
        <is>
          <t>Frete de venda</t>
        </is>
      </c>
      <c r="C3601" t="inlineStr">
        <is>
          <t>Frete de venda (para clientes)</t>
        </is>
      </c>
      <c r="D3601" t="inlineStr">
        <is>
          <t>CT-e</t>
        </is>
      </c>
      <c r="E3601" t="inlineStr">
        <is>
          <t>000000700</t>
        </is>
      </c>
      <c r="F3601" t="inlineStr">
        <is>
          <t>REIMAG - REINALDO DOMINGUES BARROS DA SILVA</t>
        </is>
      </c>
      <c r="G3601" s="27" t="n">
        <v>46188</v>
      </c>
      <c r="H3601" s="14" t="n">
        <v>350</v>
      </c>
      <c r="I3601" s="14" t="n">
        <v>0</v>
      </c>
      <c r="J3601" s="14" t="n">
        <v>0</v>
      </c>
      <c r="K3601" s="14" t="n">
        <v>0</v>
      </c>
      <c r="L3601" s="14" t="n">
        <v>0</v>
      </c>
      <c r="M3601" s="14">
        <f>IF(B3601="Frete de venda",0,(1-ISNUMBER(SEARCH("556",P3601)))*(I3601*VLOOKUP($B3601,Premissas!$A$4:$E$7,2,0)+J3601*VLOOKUP($B3601,Premissas!$A$4:$E$7,3,0))+K3601*VLOOKUP($B3601,Premissas!$A$4:$E$7,4,0)+L3601*VLOOKUP($B3601,Premissas!$A$4:$E$7,5,0))</f>
        <v/>
      </c>
      <c r="N3601" s="14">
        <f>H3601-M3601</f>
        <v/>
      </c>
      <c r="O3601" t="inlineStr">
        <is>
          <t>Sim</t>
        </is>
      </c>
      <c r="P3601" t="inlineStr">
        <is>
          <t>1.350</t>
        </is>
      </c>
    </row>
    <row r="3602">
      <c r="A3602" s="24" t="n">
        <v>46174</v>
      </c>
      <c r="B3602" t="inlineStr">
        <is>
          <t>Frete de venda</t>
        </is>
      </c>
      <c r="C3602" t="inlineStr">
        <is>
          <t>Frete de venda (para clientes)</t>
        </is>
      </c>
      <c r="D3602" t="inlineStr">
        <is>
          <t>CT-e</t>
        </is>
      </c>
      <c r="E3602" t="inlineStr">
        <is>
          <t>000007250</t>
        </is>
      </c>
      <c r="F3602" t="inlineStr">
        <is>
          <t>R&amp;R TRANSPORTE E LOGISTICA</t>
        </is>
      </c>
      <c r="G3602" s="27" t="n">
        <v>46176</v>
      </c>
      <c r="H3602" s="14" t="n">
        <v>53</v>
      </c>
      <c r="I3602" s="14" t="n">
        <v>0</v>
      </c>
      <c r="J3602" s="14" t="n">
        <v>0</v>
      </c>
      <c r="K3602" s="14" t="n">
        <v>0</v>
      </c>
      <c r="L3602" s="14" t="n">
        <v>0</v>
      </c>
      <c r="M3602" s="14">
        <f>IF(B3602="Frete de venda",0,(1-ISNUMBER(SEARCH("556",P3602)))*(I3602*VLOOKUP($B3602,Premissas!$A$4:$E$7,2,0)+J3602*VLOOKUP($B3602,Premissas!$A$4:$E$7,3,0))+K3602*VLOOKUP($B3602,Premissas!$A$4:$E$7,4,0)+L3602*VLOOKUP($B3602,Premissas!$A$4:$E$7,5,0))</f>
        <v/>
      </c>
      <c r="N3602" s="14">
        <f>H3602-M3602</f>
        <v/>
      </c>
      <c r="O3602" t="inlineStr">
        <is>
          <t>Não</t>
        </is>
      </c>
      <c r="P3602" t="inlineStr">
        <is>
          <t>1.350</t>
        </is>
      </c>
    </row>
    <row r="3603">
      <c r="A3603" s="24" t="n">
        <v>46174</v>
      </c>
      <c r="B3603" t="inlineStr">
        <is>
          <t>Frete de venda</t>
        </is>
      </c>
      <c r="C3603" t="inlineStr">
        <is>
          <t>Frete de venda (para clientes)</t>
        </is>
      </c>
      <c r="D3603" t="inlineStr">
        <is>
          <t>CT-e</t>
        </is>
      </c>
      <c r="E3603" t="inlineStr">
        <is>
          <t>000004107</t>
        </is>
      </c>
      <c r="F3603" t="inlineStr">
        <is>
          <t>RAPIDO XAPURI TRANSPORTES E LOGISTICA LTDA</t>
        </is>
      </c>
      <c r="G3603" s="27" t="n">
        <v>46181</v>
      </c>
      <c r="H3603" s="14" t="n">
        <v>10288.26</v>
      </c>
      <c r="I3603" s="14" t="n">
        <v>0</v>
      </c>
      <c r="J3603" s="14" t="n">
        <v>1234.59</v>
      </c>
      <c r="K3603" s="14" t="n">
        <v>0</v>
      </c>
      <c r="L3603" s="14" t="n">
        <v>0</v>
      </c>
      <c r="M3603" s="14">
        <f>IF(B3603="Frete de venda",0,(1-ISNUMBER(SEARCH("556",P3603)))*(I3603*VLOOKUP($B3603,Premissas!$A$4:$E$7,2,0)+J3603*VLOOKUP($B3603,Premissas!$A$4:$E$7,3,0))+K3603*VLOOKUP($B3603,Premissas!$A$4:$E$7,4,0)+L3603*VLOOKUP($B3603,Premissas!$A$4:$E$7,5,0))</f>
        <v/>
      </c>
      <c r="N3603" s="14">
        <f>H3603-M3603</f>
        <v/>
      </c>
      <c r="O3603" t="inlineStr">
        <is>
          <t>Sim</t>
        </is>
      </c>
      <c r="P3603" t="inlineStr">
        <is>
          <t>1.350</t>
        </is>
      </c>
    </row>
    <row r="3604">
      <c r="A3604" s="24" t="n">
        <v>46174</v>
      </c>
      <c r="B3604" t="inlineStr">
        <is>
          <t>Frete de venda</t>
        </is>
      </c>
      <c r="C3604" t="inlineStr">
        <is>
          <t>Frete de venda (para clientes)</t>
        </is>
      </c>
      <c r="D3604" t="inlineStr">
        <is>
          <t>CT-e</t>
        </is>
      </c>
      <c r="E3604" t="inlineStr">
        <is>
          <t>000007366</t>
        </is>
      </c>
      <c r="F3604" t="inlineStr">
        <is>
          <t>R&amp;R TRANSPORTE E LOGISTICA</t>
        </is>
      </c>
      <c r="G3604" s="27" t="n">
        <v>46189</v>
      </c>
      <c r="H3604" s="14" t="n">
        <v>24.19</v>
      </c>
      <c r="I3604" s="14" t="n">
        <v>0</v>
      </c>
      <c r="J3604" s="14" t="n">
        <v>0</v>
      </c>
      <c r="K3604" s="14" t="n">
        <v>0</v>
      </c>
      <c r="L3604" s="14" t="n">
        <v>0</v>
      </c>
      <c r="M3604" s="14">
        <f>IF(B3604="Frete de venda",0,(1-ISNUMBER(SEARCH("556",P3604)))*(I3604*VLOOKUP($B3604,Premissas!$A$4:$E$7,2,0)+J3604*VLOOKUP($B3604,Premissas!$A$4:$E$7,3,0))+K3604*VLOOKUP($B3604,Premissas!$A$4:$E$7,4,0)+L3604*VLOOKUP($B3604,Premissas!$A$4:$E$7,5,0))</f>
        <v/>
      </c>
      <c r="N3604" s="14">
        <f>H3604-M3604</f>
        <v/>
      </c>
      <c r="O3604" t="inlineStr">
        <is>
          <t>Não</t>
        </is>
      </c>
      <c r="P3604" t="inlineStr">
        <is>
          <t>1.350</t>
        </is>
      </c>
    </row>
    <row r="3605">
      <c r="A3605" s="24" t="n">
        <v>46174</v>
      </c>
      <c r="B3605" t="inlineStr">
        <is>
          <t>Frete de venda</t>
        </is>
      </c>
      <c r="C3605" t="inlineStr">
        <is>
          <t>Frete de venda (para clientes)</t>
        </is>
      </c>
      <c r="D3605" t="inlineStr">
        <is>
          <t>CT-e</t>
        </is>
      </c>
      <c r="E3605" t="inlineStr">
        <is>
          <t>000004256</t>
        </is>
      </c>
      <c r="F3605" t="inlineStr">
        <is>
          <t>RAPIDO XAPURI TRANSPORTES E LOGISTICA LTDA</t>
        </is>
      </c>
      <c r="G3605" s="27" t="n">
        <v>46192</v>
      </c>
      <c r="H3605" s="14" t="n">
        <v>826.3099999999999</v>
      </c>
      <c r="I3605" s="14" t="n">
        <v>0</v>
      </c>
      <c r="J3605" s="14" t="n">
        <v>99.16</v>
      </c>
      <c r="K3605" s="14" t="n">
        <v>0</v>
      </c>
      <c r="L3605" s="14" t="n">
        <v>0</v>
      </c>
      <c r="M3605" s="14">
        <f>IF(B3605="Frete de venda",0,(1-ISNUMBER(SEARCH("556",P3605)))*(I3605*VLOOKUP($B3605,Premissas!$A$4:$E$7,2,0)+J3605*VLOOKUP($B3605,Premissas!$A$4:$E$7,3,0))+K3605*VLOOKUP($B3605,Premissas!$A$4:$E$7,4,0)+L3605*VLOOKUP($B3605,Premissas!$A$4:$E$7,5,0))</f>
        <v/>
      </c>
      <c r="N3605" s="14">
        <f>H3605-M3605</f>
        <v/>
      </c>
      <c r="O3605" t="inlineStr">
        <is>
          <t>Sim</t>
        </is>
      </c>
      <c r="P3605" t="inlineStr">
        <is>
          <t>2.350</t>
        </is>
      </c>
    </row>
    <row r="3606">
      <c r="A3606" s="24" t="n">
        <v>46174</v>
      </c>
      <c r="B3606" t="inlineStr">
        <is>
          <t>Frete de venda</t>
        </is>
      </c>
      <c r="C3606" t="inlineStr">
        <is>
          <t>Frete de venda (para clientes)</t>
        </is>
      </c>
      <c r="D3606" t="inlineStr">
        <is>
          <t>CT-e</t>
        </is>
      </c>
      <c r="E3606" t="inlineStr">
        <is>
          <t>000007459</t>
        </is>
      </c>
      <c r="F3606" t="inlineStr">
        <is>
          <t>R&amp;R TRANSPORTE E LOGISTICA</t>
        </is>
      </c>
      <c r="G3606" s="27" t="n">
        <v>46198</v>
      </c>
      <c r="H3606" s="14" t="n">
        <v>31.64</v>
      </c>
      <c r="I3606" s="14" t="n">
        <v>0</v>
      </c>
      <c r="J3606" s="14" t="n">
        <v>0</v>
      </c>
      <c r="K3606" s="14" t="n">
        <v>0</v>
      </c>
      <c r="L3606" s="14" t="n">
        <v>0</v>
      </c>
      <c r="M3606" s="14">
        <f>IF(B3606="Frete de venda",0,(1-ISNUMBER(SEARCH("556",P3606)))*(I3606*VLOOKUP($B3606,Premissas!$A$4:$E$7,2,0)+J3606*VLOOKUP($B3606,Premissas!$A$4:$E$7,3,0))+K3606*VLOOKUP($B3606,Premissas!$A$4:$E$7,4,0)+L3606*VLOOKUP($B3606,Premissas!$A$4:$E$7,5,0))</f>
        <v/>
      </c>
      <c r="N3606" s="14">
        <f>H3606-M3606</f>
        <v/>
      </c>
      <c r="O3606" t="inlineStr">
        <is>
          <t>Não</t>
        </is>
      </c>
      <c r="P3606" t="inlineStr">
        <is>
          <t>1.350</t>
        </is>
      </c>
    </row>
    <row r="3607">
      <c r="A3607" s="24" t="n">
        <v>46174</v>
      </c>
      <c r="B3607" t="inlineStr">
        <is>
          <t>Frete de venda</t>
        </is>
      </c>
      <c r="C3607" t="inlineStr">
        <is>
          <t>Frete de venda (para clientes)</t>
        </is>
      </c>
      <c r="D3607" t="inlineStr">
        <is>
          <t>CT-e</t>
        </is>
      </c>
      <c r="E3607" t="inlineStr">
        <is>
          <t>001442032</t>
        </is>
      </c>
      <c r="F3607" t="inlineStr">
        <is>
          <t>PICCOLI TRANSPORTES LTDA</t>
        </is>
      </c>
      <c r="G3607" s="27" t="n">
        <v>46176</v>
      </c>
      <c r="H3607" s="14" t="n">
        <v>0.1</v>
      </c>
      <c r="I3607" s="14" t="n">
        <v>0</v>
      </c>
      <c r="J3607" s="14" t="n">
        <v>0.01</v>
      </c>
      <c r="K3607" s="14" t="n">
        <v>0</v>
      </c>
      <c r="L3607" s="14" t="n">
        <v>0</v>
      </c>
      <c r="M3607" s="14">
        <f>IF(B3607="Frete de venda",0,(1-ISNUMBER(SEARCH("556",P3607)))*(I3607*VLOOKUP($B3607,Premissas!$A$4:$E$7,2,0)+J3607*VLOOKUP($B3607,Premissas!$A$4:$E$7,3,0))+K3607*VLOOKUP($B3607,Premissas!$A$4:$E$7,4,0)+L3607*VLOOKUP($B3607,Premissas!$A$4:$E$7,5,0))</f>
        <v/>
      </c>
      <c r="N3607" s="14">
        <f>H3607-M3607</f>
        <v/>
      </c>
      <c r="O3607" t="inlineStr">
        <is>
          <t>Não</t>
        </is>
      </c>
      <c r="P3607" t="inlineStr">
        <is>
          <t>2.350</t>
        </is>
      </c>
    </row>
    <row r="3608">
      <c r="A3608" s="24" t="n">
        <v>46174</v>
      </c>
      <c r="B3608" t="inlineStr">
        <is>
          <t>Frete de venda</t>
        </is>
      </c>
      <c r="C3608" t="inlineStr">
        <is>
          <t>Frete de venda (para clientes)</t>
        </is>
      </c>
      <c r="D3608" t="inlineStr">
        <is>
          <t>CT-e</t>
        </is>
      </c>
      <c r="E3608" t="inlineStr">
        <is>
          <t>001442539</t>
        </is>
      </c>
      <c r="F3608" t="inlineStr">
        <is>
          <t>PICCOLI TRANSPORTES LTDA</t>
        </is>
      </c>
      <c r="G3608" s="27" t="n">
        <v>46178</v>
      </c>
      <c r="H3608" s="14" t="n">
        <v>896.28</v>
      </c>
      <c r="I3608" s="14" t="n">
        <v>0</v>
      </c>
      <c r="J3608" s="14" t="n">
        <v>62.74</v>
      </c>
      <c r="K3608" s="14" t="n">
        <v>0</v>
      </c>
      <c r="L3608" s="14" t="n">
        <v>0</v>
      </c>
      <c r="M3608" s="14">
        <f>IF(B3608="Frete de venda",0,(1-ISNUMBER(SEARCH("556",P3608)))*(I3608*VLOOKUP($B3608,Premissas!$A$4:$E$7,2,0)+J3608*VLOOKUP($B3608,Premissas!$A$4:$E$7,3,0))+K3608*VLOOKUP($B3608,Premissas!$A$4:$E$7,4,0)+L3608*VLOOKUP($B3608,Premissas!$A$4:$E$7,5,0))</f>
        <v/>
      </c>
      <c r="N3608" s="14">
        <f>H3608-M3608</f>
        <v/>
      </c>
      <c r="O3608" t="inlineStr">
        <is>
          <t>Sim</t>
        </is>
      </c>
      <c r="P3608" t="inlineStr">
        <is>
          <t>1.350</t>
        </is>
      </c>
    </row>
    <row r="3609">
      <c r="A3609" s="24" t="n">
        <v>46174</v>
      </c>
      <c r="B3609" t="inlineStr">
        <is>
          <t>Frete de venda</t>
        </is>
      </c>
      <c r="C3609" t="inlineStr">
        <is>
          <t>Frete de venda (para clientes)</t>
        </is>
      </c>
      <c r="D3609" t="inlineStr">
        <is>
          <t>CT-e</t>
        </is>
      </c>
      <c r="E3609" t="inlineStr">
        <is>
          <t>000007299</t>
        </is>
      </c>
      <c r="F3609" t="inlineStr">
        <is>
          <t>R&amp;R TRANSPORTE E LOGISTICA</t>
        </is>
      </c>
      <c r="G3609" s="27" t="n">
        <v>46184</v>
      </c>
      <c r="H3609" s="14" t="n">
        <v>35.71</v>
      </c>
      <c r="I3609" s="14" t="n">
        <v>0</v>
      </c>
      <c r="J3609" s="14" t="n">
        <v>0</v>
      </c>
      <c r="K3609" s="14" t="n">
        <v>0</v>
      </c>
      <c r="L3609" s="14" t="n">
        <v>0</v>
      </c>
      <c r="M3609" s="14">
        <f>IF(B3609="Frete de venda",0,(1-ISNUMBER(SEARCH("556",P3609)))*(I3609*VLOOKUP($B3609,Premissas!$A$4:$E$7,2,0)+J3609*VLOOKUP($B3609,Premissas!$A$4:$E$7,3,0))+K3609*VLOOKUP($B3609,Premissas!$A$4:$E$7,4,0)+L3609*VLOOKUP($B3609,Premissas!$A$4:$E$7,5,0))</f>
        <v/>
      </c>
      <c r="N3609" s="14">
        <f>H3609-M3609</f>
        <v/>
      </c>
      <c r="O3609" t="inlineStr">
        <is>
          <t>Não</t>
        </is>
      </c>
      <c r="P3609" t="inlineStr">
        <is>
          <t>1.350</t>
        </is>
      </c>
    </row>
    <row r="3610">
      <c r="A3610" s="24" t="n">
        <v>46174</v>
      </c>
      <c r="B3610" t="inlineStr">
        <is>
          <t>Frete de venda</t>
        </is>
      </c>
      <c r="C3610" t="inlineStr">
        <is>
          <t>Frete de venda (para clientes)</t>
        </is>
      </c>
      <c r="D3610" t="inlineStr">
        <is>
          <t>CT-e</t>
        </is>
      </c>
      <c r="E3610" t="inlineStr">
        <is>
          <t>000007242</t>
        </is>
      </c>
      <c r="F3610" t="inlineStr">
        <is>
          <t>R&amp;R TRANSPORTE E LOGISTICA</t>
        </is>
      </c>
      <c r="G3610" s="27" t="n">
        <v>46174</v>
      </c>
      <c r="H3610" s="14" t="n">
        <v>43.3</v>
      </c>
      <c r="I3610" s="14" t="n">
        <v>0</v>
      </c>
      <c r="J3610" s="14" t="n">
        <v>0</v>
      </c>
      <c r="K3610" s="14" t="n">
        <v>0</v>
      </c>
      <c r="L3610" s="14" t="n">
        <v>0</v>
      </c>
      <c r="M3610" s="14">
        <f>IF(B3610="Frete de venda",0,(1-ISNUMBER(SEARCH("556",P3610)))*(I3610*VLOOKUP($B3610,Premissas!$A$4:$E$7,2,0)+J3610*VLOOKUP($B3610,Premissas!$A$4:$E$7,3,0))+K3610*VLOOKUP($B3610,Premissas!$A$4:$E$7,4,0)+L3610*VLOOKUP($B3610,Premissas!$A$4:$E$7,5,0))</f>
        <v/>
      </c>
      <c r="N3610" s="14">
        <f>H3610-M3610</f>
        <v/>
      </c>
      <c r="O3610" t="inlineStr">
        <is>
          <t>Não</t>
        </is>
      </c>
      <c r="P3610" t="inlineStr">
        <is>
          <t>2.350</t>
        </is>
      </c>
    </row>
    <row r="3611">
      <c r="A3611" s="24" t="n">
        <v>46174</v>
      </c>
      <c r="B3611" t="inlineStr">
        <is>
          <t>Frete de venda</t>
        </is>
      </c>
      <c r="C3611" t="inlineStr">
        <is>
          <t>Frete de venda (para clientes)</t>
        </is>
      </c>
      <c r="D3611" t="inlineStr">
        <is>
          <t>CT-e</t>
        </is>
      </c>
      <c r="E3611" t="inlineStr">
        <is>
          <t>000007496</t>
        </is>
      </c>
      <c r="F3611" t="inlineStr">
        <is>
          <t>R&amp;R TRANSPORTE E LOGISTICA</t>
        </is>
      </c>
      <c r="G3611" s="27" t="n">
        <v>46199</v>
      </c>
      <c r="H3611" s="14" t="n">
        <v>46.1</v>
      </c>
      <c r="I3611" s="14" t="n">
        <v>0</v>
      </c>
      <c r="J3611" s="14" t="n">
        <v>0</v>
      </c>
      <c r="K3611" s="14" t="n">
        <v>0</v>
      </c>
      <c r="L3611" s="14" t="n">
        <v>0</v>
      </c>
      <c r="M3611" s="14">
        <f>IF(B3611="Frete de venda",0,(1-ISNUMBER(SEARCH("556",P3611)))*(I3611*VLOOKUP($B3611,Premissas!$A$4:$E$7,2,0)+J3611*VLOOKUP($B3611,Premissas!$A$4:$E$7,3,0))+K3611*VLOOKUP($B3611,Premissas!$A$4:$E$7,4,0)+L3611*VLOOKUP($B3611,Premissas!$A$4:$E$7,5,0))</f>
        <v/>
      </c>
      <c r="N3611" s="14">
        <f>H3611-M3611</f>
        <v/>
      </c>
      <c r="O3611" t="inlineStr">
        <is>
          <t>Não</t>
        </is>
      </c>
      <c r="P3611" t="inlineStr">
        <is>
          <t>1.350</t>
        </is>
      </c>
    </row>
    <row r="3612">
      <c r="A3612" s="24" t="n">
        <v>46174</v>
      </c>
      <c r="B3612" t="inlineStr">
        <is>
          <t>Frete de venda</t>
        </is>
      </c>
      <c r="C3612" t="inlineStr">
        <is>
          <t>Frete de venda (para clientes)</t>
        </is>
      </c>
      <c r="D3612" t="inlineStr">
        <is>
          <t>CT-e</t>
        </is>
      </c>
      <c r="E3612" t="inlineStr">
        <is>
          <t>000007411</t>
        </is>
      </c>
      <c r="F3612" t="inlineStr">
        <is>
          <t>R&amp;R TRANSPORTE E LOGISTICA</t>
        </is>
      </c>
      <c r="G3612" s="27" t="n">
        <v>46192</v>
      </c>
      <c r="H3612" s="14" t="n">
        <v>20.25</v>
      </c>
      <c r="I3612" s="14" t="n">
        <v>0</v>
      </c>
      <c r="J3612" s="14" t="n">
        <v>0</v>
      </c>
      <c r="K3612" s="14" t="n">
        <v>0</v>
      </c>
      <c r="L3612" s="14" t="n">
        <v>0</v>
      </c>
      <c r="M3612" s="14">
        <f>IF(B3612="Frete de venda",0,(1-ISNUMBER(SEARCH("556",P3612)))*(I3612*VLOOKUP($B3612,Premissas!$A$4:$E$7,2,0)+J3612*VLOOKUP($B3612,Premissas!$A$4:$E$7,3,0))+K3612*VLOOKUP($B3612,Premissas!$A$4:$E$7,4,0)+L3612*VLOOKUP($B3612,Premissas!$A$4:$E$7,5,0))</f>
        <v/>
      </c>
      <c r="N3612" s="14">
        <f>H3612-M3612</f>
        <v/>
      </c>
      <c r="O3612" t="inlineStr">
        <is>
          <t>Não</t>
        </is>
      </c>
      <c r="P3612" t="inlineStr">
        <is>
          <t>1.350</t>
        </is>
      </c>
    </row>
    <row r="3613">
      <c r="A3613" s="24" t="n">
        <v>46174</v>
      </c>
      <c r="B3613" t="inlineStr">
        <is>
          <t>Frete de venda</t>
        </is>
      </c>
      <c r="C3613" t="inlineStr">
        <is>
          <t>Frete de venda (para clientes)</t>
        </is>
      </c>
      <c r="D3613" t="inlineStr">
        <is>
          <t>CT-e</t>
        </is>
      </c>
      <c r="E3613" t="inlineStr">
        <is>
          <t>000007338</t>
        </is>
      </c>
      <c r="F3613" t="inlineStr">
        <is>
          <t>R&amp;R TRANSPORTE E LOGISTICA</t>
        </is>
      </c>
      <c r="G3613" s="27" t="n">
        <v>46186</v>
      </c>
      <c r="H3613" s="14" t="n">
        <v>540</v>
      </c>
      <c r="I3613" s="14" t="n">
        <v>0</v>
      </c>
      <c r="J3613" s="14" t="n">
        <v>0</v>
      </c>
      <c r="K3613" s="14" t="n">
        <v>0</v>
      </c>
      <c r="L3613" s="14" t="n">
        <v>0</v>
      </c>
      <c r="M3613" s="14">
        <f>IF(B3613="Frete de venda",0,(1-ISNUMBER(SEARCH("556",P3613)))*(I3613*VLOOKUP($B3613,Premissas!$A$4:$E$7,2,0)+J3613*VLOOKUP($B3613,Premissas!$A$4:$E$7,3,0))+K3613*VLOOKUP($B3613,Premissas!$A$4:$E$7,4,0)+L3613*VLOOKUP($B3613,Premissas!$A$4:$E$7,5,0))</f>
        <v/>
      </c>
      <c r="N3613" s="14">
        <f>H3613-M3613</f>
        <v/>
      </c>
      <c r="O3613" t="inlineStr">
        <is>
          <t>Não</t>
        </is>
      </c>
      <c r="P3613" t="inlineStr">
        <is>
          <t>1.350</t>
        </is>
      </c>
    </row>
    <row r="3614">
      <c r="A3614" s="24" t="n">
        <v>46174</v>
      </c>
      <c r="B3614" t="inlineStr">
        <is>
          <t>Frete de venda</t>
        </is>
      </c>
      <c r="C3614" t="inlineStr">
        <is>
          <t>Frete de venda (para clientes)</t>
        </is>
      </c>
      <c r="D3614" t="inlineStr">
        <is>
          <t>CT-e</t>
        </is>
      </c>
      <c r="E3614" t="inlineStr">
        <is>
          <t>000007370</t>
        </is>
      </c>
      <c r="F3614" t="inlineStr">
        <is>
          <t>R&amp;R TRANSPORTE E LOGISTICA</t>
        </is>
      </c>
      <c r="G3614" s="27" t="n">
        <v>46189</v>
      </c>
      <c r="H3614" s="14" t="n">
        <v>57.76</v>
      </c>
      <c r="I3614" s="14" t="n">
        <v>0</v>
      </c>
      <c r="J3614" s="14" t="n">
        <v>0</v>
      </c>
      <c r="K3614" s="14" t="n">
        <v>0</v>
      </c>
      <c r="L3614" s="14" t="n">
        <v>0</v>
      </c>
      <c r="M3614" s="14">
        <f>IF(B3614="Frete de venda",0,(1-ISNUMBER(SEARCH("556",P3614)))*(I3614*VLOOKUP($B3614,Premissas!$A$4:$E$7,2,0)+J3614*VLOOKUP($B3614,Premissas!$A$4:$E$7,3,0))+K3614*VLOOKUP($B3614,Premissas!$A$4:$E$7,4,0)+L3614*VLOOKUP($B3614,Premissas!$A$4:$E$7,5,0))</f>
        <v/>
      </c>
      <c r="N3614" s="14">
        <f>H3614-M3614</f>
        <v/>
      </c>
      <c r="O3614" t="inlineStr">
        <is>
          <t>Não</t>
        </is>
      </c>
      <c r="P3614" t="inlineStr">
        <is>
          <t>1.350</t>
        </is>
      </c>
    </row>
    <row r="3615">
      <c r="A3615" s="24" t="n">
        <v>46174</v>
      </c>
      <c r="B3615" t="inlineStr">
        <is>
          <t>Frete de venda</t>
        </is>
      </c>
      <c r="C3615" t="inlineStr">
        <is>
          <t>Frete de venda (para clientes)</t>
        </is>
      </c>
      <c r="D3615" t="inlineStr">
        <is>
          <t>CT-e</t>
        </is>
      </c>
      <c r="E3615" t="inlineStr">
        <is>
          <t>000004254</t>
        </is>
      </c>
      <c r="F3615" t="inlineStr">
        <is>
          <t>RAPIDO XAPURI TRANSPORTES E LOGISTICA LTDA</t>
        </is>
      </c>
      <c r="G3615" s="27" t="n">
        <v>46192</v>
      </c>
      <c r="H3615" s="14" t="n">
        <v>3195.94</v>
      </c>
      <c r="I3615" s="14" t="n">
        <v>0</v>
      </c>
      <c r="J3615" s="14" t="n">
        <v>383.51</v>
      </c>
      <c r="K3615" s="14" t="n">
        <v>0</v>
      </c>
      <c r="L3615" s="14" t="n">
        <v>0</v>
      </c>
      <c r="M3615" s="14">
        <f>IF(B3615="Frete de venda",0,(1-ISNUMBER(SEARCH("556",P3615)))*(I3615*VLOOKUP($B3615,Premissas!$A$4:$E$7,2,0)+J3615*VLOOKUP($B3615,Premissas!$A$4:$E$7,3,0))+K3615*VLOOKUP($B3615,Premissas!$A$4:$E$7,4,0)+L3615*VLOOKUP($B3615,Premissas!$A$4:$E$7,5,0))</f>
        <v/>
      </c>
      <c r="N3615" s="14">
        <f>H3615-M3615</f>
        <v/>
      </c>
      <c r="O3615" t="inlineStr">
        <is>
          <t>Sim</t>
        </is>
      </c>
      <c r="P3615" t="inlineStr">
        <is>
          <t>2.350</t>
        </is>
      </c>
    </row>
    <row r="3616">
      <c r="A3616" s="24" t="n">
        <v>46174</v>
      </c>
      <c r="B3616" t="inlineStr">
        <is>
          <t>Frete de venda</t>
        </is>
      </c>
      <c r="C3616" t="inlineStr">
        <is>
          <t>Frete de venda (para clientes)</t>
        </is>
      </c>
      <c r="D3616" t="inlineStr">
        <is>
          <t>CT-e</t>
        </is>
      </c>
      <c r="E3616" t="inlineStr">
        <is>
          <t>000007412</t>
        </is>
      </c>
      <c r="F3616" t="inlineStr">
        <is>
          <t>R&amp;R TRANSPORTE E LOGISTICA</t>
        </is>
      </c>
      <c r="G3616" s="27" t="n">
        <v>46192</v>
      </c>
      <c r="H3616" s="14" t="n">
        <v>26.89</v>
      </c>
      <c r="I3616" s="14" t="n">
        <v>0</v>
      </c>
      <c r="J3616" s="14" t="n">
        <v>0</v>
      </c>
      <c r="K3616" s="14" t="n">
        <v>0</v>
      </c>
      <c r="L3616" s="14" t="n">
        <v>0</v>
      </c>
      <c r="M3616" s="14">
        <f>IF(B3616="Frete de venda",0,(1-ISNUMBER(SEARCH("556",P3616)))*(I3616*VLOOKUP($B3616,Premissas!$A$4:$E$7,2,0)+J3616*VLOOKUP($B3616,Premissas!$A$4:$E$7,3,0))+K3616*VLOOKUP($B3616,Premissas!$A$4:$E$7,4,0)+L3616*VLOOKUP($B3616,Premissas!$A$4:$E$7,5,0))</f>
        <v/>
      </c>
      <c r="N3616" s="14">
        <f>H3616-M3616</f>
        <v/>
      </c>
      <c r="O3616" t="inlineStr">
        <is>
          <t>Não</t>
        </is>
      </c>
      <c r="P3616" t="inlineStr">
        <is>
          <t>1.350</t>
        </is>
      </c>
    </row>
    <row r="3617">
      <c r="A3617" s="24" t="n">
        <v>46174</v>
      </c>
      <c r="B3617" t="inlineStr">
        <is>
          <t>Frete de venda</t>
        </is>
      </c>
      <c r="C3617" t="inlineStr">
        <is>
          <t>Frete de venda (para clientes)</t>
        </is>
      </c>
      <c r="D3617" t="inlineStr">
        <is>
          <t>CT-e</t>
        </is>
      </c>
      <c r="E3617" t="inlineStr">
        <is>
          <t>000007449</t>
        </is>
      </c>
      <c r="F3617" t="inlineStr">
        <is>
          <t>R&amp;R TRANSPORTE E LOGISTICA</t>
        </is>
      </c>
      <c r="G3617" s="27" t="n">
        <v>46196</v>
      </c>
      <c r="H3617" s="14" t="n">
        <v>200</v>
      </c>
      <c r="I3617" s="14" t="n">
        <v>0</v>
      </c>
      <c r="J3617" s="14" t="n">
        <v>0</v>
      </c>
      <c r="K3617" s="14" t="n">
        <v>0</v>
      </c>
      <c r="L3617" s="14" t="n">
        <v>0</v>
      </c>
      <c r="M3617" s="14">
        <f>IF(B3617="Frete de venda",0,(1-ISNUMBER(SEARCH("556",P3617)))*(I3617*VLOOKUP($B3617,Premissas!$A$4:$E$7,2,0)+J3617*VLOOKUP($B3617,Premissas!$A$4:$E$7,3,0))+K3617*VLOOKUP($B3617,Premissas!$A$4:$E$7,4,0)+L3617*VLOOKUP($B3617,Premissas!$A$4:$E$7,5,0))</f>
        <v/>
      </c>
      <c r="N3617" s="14">
        <f>H3617-M3617</f>
        <v/>
      </c>
      <c r="O3617" t="inlineStr">
        <is>
          <t>Não</t>
        </is>
      </c>
      <c r="P3617" t="inlineStr">
        <is>
          <t>1.350</t>
        </is>
      </c>
    </row>
    <row r="3618">
      <c r="A3618" s="24" t="n">
        <v>46174</v>
      </c>
      <c r="B3618" t="inlineStr">
        <is>
          <t>Frete de venda</t>
        </is>
      </c>
      <c r="C3618" t="inlineStr">
        <is>
          <t>Frete de venda (para clientes)</t>
        </is>
      </c>
      <c r="D3618" t="inlineStr">
        <is>
          <t>CT-e</t>
        </is>
      </c>
      <c r="E3618" t="inlineStr">
        <is>
          <t>000007311</t>
        </is>
      </c>
      <c r="F3618" t="inlineStr">
        <is>
          <t>R&amp;R TRANSPORTE E LOGISTICA</t>
        </is>
      </c>
      <c r="G3618" s="27" t="n">
        <v>46186</v>
      </c>
      <c r="H3618" s="14" t="n">
        <v>23.92</v>
      </c>
      <c r="I3618" s="14" t="n">
        <v>0</v>
      </c>
      <c r="J3618" s="14" t="n">
        <v>0</v>
      </c>
      <c r="K3618" s="14" t="n">
        <v>0</v>
      </c>
      <c r="L3618" s="14" t="n">
        <v>0</v>
      </c>
      <c r="M3618" s="14">
        <f>IF(B3618="Frete de venda",0,(1-ISNUMBER(SEARCH("556",P3618)))*(I3618*VLOOKUP($B3618,Premissas!$A$4:$E$7,2,0)+J3618*VLOOKUP($B3618,Premissas!$A$4:$E$7,3,0))+K3618*VLOOKUP($B3618,Premissas!$A$4:$E$7,4,0)+L3618*VLOOKUP($B3618,Premissas!$A$4:$E$7,5,0))</f>
        <v/>
      </c>
      <c r="N3618" s="14">
        <f>H3618-M3618</f>
        <v/>
      </c>
      <c r="O3618" t="inlineStr">
        <is>
          <t>Não</t>
        </is>
      </c>
      <c r="P3618" t="inlineStr">
        <is>
          <t>1.350</t>
        </is>
      </c>
    </row>
    <row r="3619">
      <c r="A3619" s="24" t="n">
        <v>46174</v>
      </c>
      <c r="B3619" t="inlineStr">
        <is>
          <t>Frete de venda</t>
        </is>
      </c>
      <c r="C3619" t="inlineStr">
        <is>
          <t>Frete de venda (para clientes)</t>
        </is>
      </c>
      <c r="D3619" t="inlineStr">
        <is>
          <t>CT-e</t>
        </is>
      </c>
      <c r="E3619" t="inlineStr">
        <is>
          <t>000007315</t>
        </is>
      </c>
      <c r="F3619" t="inlineStr">
        <is>
          <t>R&amp;R TRANSPORTE E LOGISTICA</t>
        </is>
      </c>
      <c r="G3619" s="27" t="n">
        <v>46186</v>
      </c>
      <c r="H3619" s="14" t="n">
        <v>29.69</v>
      </c>
      <c r="I3619" s="14" t="n">
        <v>0</v>
      </c>
      <c r="J3619" s="14" t="n">
        <v>0</v>
      </c>
      <c r="K3619" s="14" t="n">
        <v>0</v>
      </c>
      <c r="L3619" s="14" t="n">
        <v>0</v>
      </c>
      <c r="M3619" s="14">
        <f>IF(B3619="Frete de venda",0,(1-ISNUMBER(SEARCH("556",P3619)))*(I3619*VLOOKUP($B3619,Premissas!$A$4:$E$7,2,0)+J3619*VLOOKUP($B3619,Premissas!$A$4:$E$7,3,0))+K3619*VLOOKUP($B3619,Premissas!$A$4:$E$7,4,0)+L3619*VLOOKUP($B3619,Premissas!$A$4:$E$7,5,0))</f>
        <v/>
      </c>
      <c r="N3619" s="14">
        <f>H3619-M3619</f>
        <v/>
      </c>
      <c r="O3619" t="inlineStr">
        <is>
          <t>Não</t>
        </is>
      </c>
      <c r="P3619" t="inlineStr">
        <is>
          <t>1.350</t>
        </is>
      </c>
    </row>
    <row r="3620">
      <c r="A3620" s="24" t="n">
        <v>46174</v>
      </c>
      <c r="B3620" t="inlineStr">
        <is>
          <t>Frete de venda</t>
        </is>
      </c>
      <c r="C3620" t="inlineStr">
        <is>
          <t>Frete de venda (para clientes)</t>
        </is>
      </c>
      <c r="D3620" t="inlineStr">
        <is>
          <t>CT-e</t>
        </is>
      </c>
      <c r="E3620" t="inlineStr">
        <is>
          <t>000007428</t>
        </is>
      </c>
      <c r="F3620" t="inlineStr">
        <is>
          <t>R&amp;R TRANSPORTE E LOGISTICA</t>
        </is>
      </c>
      <c r="G3620" s="27" t="n">
        <v>46192</v>
      </c>
      <c r="H3620" s="14" t="n">
        <v>29.77</v>
      </c>
      <c r="I3620" s="14" t="n">
        <v>0</v>
      </c>
      <c r="J3620" s="14" t="n">
        <v>0</v>
      </c>
      <c r="K3620" s="14" t="n">
        <v>0</v>
      </c>
      <c r="L3620" s="14" t="n">
        <v>0</v>
      </c>
      <c r="M3620" s="14">
        <f>IF(B3620="Frete de venda",0,(1-ISNUMBER(SEARCH("556",P3620)))*(I3620*VLOOKUP($B3620,Premissas!$A$4:$E$7,2,0)+J3620*VLOOKUP($B3620,Premissas!$A$4:$E$7,3,0))+K3620*VLOOKUP($B3620,Premissas!$A$4:$E$7,4,0)+L3620*VLOOKUP($B3620,Premissas!$A$4:$E$7,5,0))</f>
        <v/>
      </c>
      <c r="N3620" s="14">
        <f>H3620-M3620</f>
        <v/>
      </c>
      <c r="O3620" t="inlineStr">
        <is>
          <t>Não</t>
        </is>
      </c>
      <c r="P3620" t="inlineStr">
        <is>
          <t>1.350</t>
        </is>
      </c>
    </row>
    <row r="3621">
      <c r="A3621" s="24" t="n">
        <v>46174</v>
      </c>
      <c r="B3621" t="inlineStr">
        <is>
          <t>Frete de venda</t>
        </is>
      </c>
      <c r="C3621" t="inlineStr">
        <is>
          <t>Frete de venda (para clientes)</t>
        </is>
      </c>
      <c r="D3621" t="inlineStr">
        <is>
          <t>CT-e</t>
        </is>
      </c>
      <c r="E3621" t="inlineStr">
        <is>
          <t>000007482</t>
        </is>
      </c>
      <c r="F3621" t="inlineStr">
        <is>
          <t>R&amp;R TRANSPORTE E LOGISTICA</t>
        </is>
      </c>
      <c r="G3621" s="27" t="n">
        <v>46199</v>
      </c>
      <c r="H3621" s="14" t="n">
        <v>54</v>
      </c>
      <c r="I3621" s="14" t="n">
        <v>0</v>
      </c>
      <c r="J3621" s="14" t="n">
        <v>0</v>
      </c>
      <c r="K3621" s="14" t="n">
        <v>0</v>
      </c>
      <c r="L3621" s="14" t="n">
        <v>0</v>
      </c>
      <c r="M3621" s="14">
        <f>IF(B3621="Frete de venda",0,(1-ISNUMBER(SEARCH("556",P3621)))*(I3621*VLOOKUP($B3621,Premissas!$A$4:$E$7,2,0)+J3621*VLOOKUP($B3621,Premissas!$A$4:$E$7,3,0))+K3621*VLOOKUP($B3621,Premissas!$A$4:$E$7,4,0)+L3621*VLOOKUP($B3621,Premissas!$A$4:$E$7,5,0))</f>
        <v/>
      </c>
      <c r="N3621" s="14">
        <f>H3621-M3621</f>
        <v/>
      </c>
      <c r="O3621" t="inlineStr">
        <is>
          <t>Não</t>
        </is>
      </c>
      <c r="P3621" t="inlineStr">
        <is>
          <t>1.350</t>
        </is>
      </c>
    </row>
    <row r="3622">
      <c r="A3622" s="24" t="n">
        <v>46174</v>
      </c>
      <c r="B3622" t="inlineStr">
        <is>
          <t>Frete de venda</t>
        </is>
      </c>
      <c r="C3622" t="inlineStr">
        <is>
          <t>Frete de venda (para clientes)</t>
        </is>
      </c>
      <c r="D3622" t="inlineStr">
        <is>
          <t>CT-e</t>
        </is>
      </c>
      <c r="E3622" t="inlineStr">
        <is>
          <t>000007420</t>
        </is>
      </c>
      <c r="F3622" t="inlineStr">
        <is>
          <t>R&amp;R TRANSPORTE E LOGISTICA</t>
        </is>
      </c>
      <c r="G3622" s="27" t="n">
        <v>46192</v>
      </c>
      <c r="H3622" s="14" t="n">
        <v>33.47</v>
      </c>
      <c r="I3622" s="14" t="n">
        <v>0</v>
      </c>
      <c r="J3622" s="14" t="n">
        <v>0</v>
      </c>
      <c r="K3622" s="14" t="n">
        <v>0</v>
      </c>
      <c r="L3622" s="14" t="n">
        <v>0</v>
      </c>
      <c r="M3622" s="14">
        <f>IF(B3622="Frete de venda",0,(1-ISNUMBER(SEARCH("556",P3622)))*(I3622*VLOOKUP($B3622,Premissas!$A$4:$E$7,2,0)+J3622*VLOOKUP($B3622,Premissas!$A$4:$E$7,3,0))+K3622*VLOOKUP($B3622,Premissas!$A$4:$E$7,4,0)+L3622*VLOOKUP($B3622,Premissas!$A$4:$E$7,5,0))</f>
        <v/>
      </c>
      <c r="N3622" s="14">
        <f>H3622-M3622</f>
        <v/>
      </c>
      <c r="O3622" t="inlineStr">
        <is>
          <t>Não</t>
        </is>
      </c>
      <c r="P3622" t="inlineStr">
        <is>
          <t>1.350</t>
        </is>
      </c>
    </row>
    <row r="3623">
      <c r="A3623" s="24" t="n">
        <v>46174</v>
      </c>
      <c r="B3623" t="inlineStr">
        <is>
          <t>Frete de venda</t>
        </is>
      </c>
      <c r="C3623" t="inlineStr">
        <is>
          <t>Frete de venda (para clientes)</t>
        </is>
      </c>
      <c r="D3623" t="inlineStr">
        <is>
          <t>CT-e</t>
        </is>
      </c>
      <c r="E3623" t="inlineStr">
        <is>
          <t>000007360</t>
        </is>
      </c>
      <c r="F3623" t="inlineStr">
        <is>
          <t>R&amp;R TRANSPORTE E LOGISTICA</t>
        </is>
      </c>
      <c r="G3623" s="27" t="n">
        <v>46189</v>
      </c>
      <c r="H3623" s="14" t="n">
        <v>41.88</v>
      </c>
      <c r="I3623" s="14" t="n">
        <v>0</v>
      </c>
      <c r="J3623" s="14" t="n">
        <v>0</v>
      </c>
      <c r="K3623" s="14" t="n">
        <v>0</v>
      </c>
      <c r="L3623" s="14" t="n">
        <v>0</v>
      </c>
      <c r="M3623" s="14">
        <f>IF(B3623="Frete de venda",0,(1-ISNUMBER(SEARCH("556",P3623)))*(I3623*VLOOKUP($B3623,Premissas!$A$4:$E$7,2,0)+J3623*VLOOKUP($B3623,Premissas!$A$4:$E$7,3,0))+K3623*VLOOKUP($B3623,Premissas!$A$4:$E$7,4,0)+L3623*VLOOKUP($B3623,Premissas!$A$4:$E$7,5,0))</f>
        <v/>
      </c>
      <c r="N3623" s="14">
        <f>H3623-M3623</f>
        <v/>
      </c>
      <c r="O3623" t="inlineStr">
        <is>
          <t>Não</t>
        </is>
      </c>
      <c r="P3623" t="inlineStr">
        <is>
          <t>1.350</t>
        </is>
      </c>
    </row>
    <row r="3624">
      <c r="A3624" s="24" t="n">
        <v>46174</v>
      </c>
      <c r="B3624" t="inlineStr">
        <is>
          <t>Frete de venda</t>
        </is>
      </c>
      <c r="C3624" t="inlineStr">
        <is>
          <t>Frete de venda (para clientes)</t>
        </is>
      </c>
      <c r="D3624" t="inlineStr">
        <is>
          <t>CT-e</t>
        </is>
      </c>
      <c r="E3624" t="inlineStr">
        <is>
          <t>000007348</t>
        </is>
      </c>
      <c r="F3624" t="inlineStr">
        <is>
          <t>R&amp;R TRANSPORTE E LOGISTICA</t>
        </is>
      </c>
      <c r="G3624" s="27" t="n">
        <v>46186</v>
      </c>
      <c r="H3624" s="14" t="n">
        <v>30.46</v>
      </c>
      <c r="I3624" s="14" t="n">
        <v>0</v>
      </c>
      <c r="J3624" s="14" t="n">
        <v>0</v>
      </c>
      <c r="K3624" s="14" t="n">
        <v>0</v>
      </c>
      <c r="L3624" s="14" t="n">
        <v>0</v>
      </c>
      <c r="M3624" s="14">
        <f>IF(B3624="Frete de venda",0,(1-ISNUMBER(SEARCH("556",P3624)))*(I3624*VLOOKUP($B3624,Premissas!$A$4:$E$7,2,0)+J3624*VLOOKUP($B3624,Premissas!$A$4:$E$7,3,0))+K3624*VLOOKUP($B3624,Premissas!$A$4:$E$7,4,0)+L3624*VLOOKUP($B3624,Premissas!$A$4:$E$7,5,0))</f>
        <v/>
      </c>
      <c r="N3624" s="14">
        <f>H3624-M3624</f>
        <v/>
      </c>
      <c r="O3624" t="inlineStr">
        <is>
          <t>Não</t>
        </is>
      </c>
      <c r="P3624" t="inlineStr">
        <is>
          <t>1.350</t>
        </is>
      </c>
    </row>
    <row r="3625">
      <c r="A3625" s="24" t="n">
        <v>46174</v>
      </c>
      <c r="B3625" t="inlineStr">
        <is>
          <t>Frete de venda</t>
        </is>
      </c>
      <c r="C3625" t="inlineStr">
        <is>
          <t>Frete de venda (para clientes)</t>
        </is>
      </c>
      <c r="D3625" t="inlineStr">
        <is>
          <t>CT-e</t>
        </is>
      </c>
      <c r="E3625" t="inlineStr">
        <is>
          <t>000007395</t>
        </is>
      </c>
      <c r="F3625" t="inlineStr">
        <is>
          <t>R&amp;R TRANSPORTE E LOGISTICA</t>
        </is>
      </c>
      <c r="G3625" s="27" t="n">
        <v>46192</v>
      </c>
      <c r="H3625" s="14" t="n">
        <v>27.98</v>
      </c>
      <c r="I3625" s="14" t="n">
        <v>0</v>
      </c>
      <c r="J3625" s="14" t="n">
        <v>0</v>
      </c>
      <c r="K3625" s="14" t="n">
        <v>0</v>
      </c>
      <c r="L3625" s="14" t="n">
        <v>0</v>
      </c>
      <c r="M3625" s="14">
        <f>IF(B3625="Frete de venda",0,(1-ISNUMBER(SEARCH("556",P3625)))*(I3625*VLOOKUP($B3625,Premissas!$A$4:$E$7,2,0)+J3625*VLOOKUP($B3625,Premissas!$A$4:$E$7,3,0))+K3625*VLOOKUP($B3625,Premissas!$A$4:$E$7,4,0)+L3625*VLOOKUP($B3625,Premissas!$A$4:$E$7,5,0))</f>
        <v/>
      </c>
      <c r="N3625" s="14">
        <f>H3625-M3625</f>
        <v/>
      </c>
      <c r="O3625" t="inlineStr">
        <is>
          <t>Não</t>
        </is>
      </c>
      <c r="P3625" t="inlineStr">
        <is>
          <t>1.350</t>
        </is>
      </c>
    </row>
    <row r="3626">
      <c r="A3626" s="24" t="n">
        <v>46174</v>
      </c>
      <c r="B3626" t="inlineStr">
        <is>
          <t>Frete de venda</t>
        </is>
      </c>
      <c r="C3626" t="inlineStr">
        <is>
          <t>Frete de venda (para clientes)</t>
        </is>
      </c>
      <c r="D3626" t="inlineStr">
        <is>
          <t>CT-e</t>
        </is>
      </c>
      <c r="E3626" t="inlineStr">
        <is>
          <t>000007248</t>
        </is>
      </c>
      <c r="F3626" t="inlineStr">
        <is>
          <t>R&amp;R TRANSPORTE E LOGISTICA</t>
        </is>
      </c>
      <c r="G3626" s="27" t="n">
        <v>46176</v>
      </c>
      <c r="H3626" s="14" t="n">
        <v>53</v>
      </c>
      <c r="I3626" s="14" t="n">
        <v>0</v>
      </c>
      <c r="J3626" s="14" t="n">
        <v>0</v>
      </c>
      <c r="K3626" s="14" t="n">
        <v>0</v>
      </c>
      <c r="L3626" s="14" t="n">
        <v>0</v>
      </c>
      <c r="M3626" s="14">
        <f>IF(B3626="Frete de venda",0,(1-ISNUMBER(SEARCH("556",P3626)))*(I3626*VLOOKUP($B3626,Premissas!$A$4:$E$7,2,0)+J3626*VLOOKUP($B3626,Premissas!$A$4:$E$7,3,0))+K3626*VLOOKUP($B3626,Premissas!$A$4:$E$7,4,0)+L3626*VLOOKUP($B3626,Premissas!$A$4:$E$7,5,0))</f>
        <v/>
      </c>
      <c r="N3626" s="14">
        <f>H3626-M3626</f>
        <v/>
      </c>
      <c r="O3626" t="inlineStr">
        <is>
          <t>Não</t>
        </is>
      </c>
      <c r="P3626" t="inlineStr">
        <is>
          <t>1.350</t>
        </is>
      </c>
    </row>
    <row r="3627">
      <c r="A3627" s="24" t="n">
        <v>46174</v>
      </c>
      <c r="B3627" t="inlineStr">
        <is>
          <t>Frete de venda</t>
        </is>
      </c>
      <c r="C3627" t="inlineStr">
        <is>
          <t>Frete de venda (para clientes)</t>
        </is>
      </c>
      <c r="D3627" t="inlineStr">
        <is>
          <t>CT-e</t>
        </is>
      </c>
      <c r="E3627" t="inlineStr">
        <is>
          <t>000004106</t>
        </is>
      </c>
      <c r="F3627" t="inlineStr">
        <is>
          <t>RAPIDO XAPURI TRANSPORTES E LOGISTICA LTDA</t>
        </is>
      </c>
      <c r="G3627" s="27" t="n">
        <v>46181</v>
      </c>
      <c r="H3627" s="14" t="n">
        <v>1634.92</v>
      </c>
      <c r="I3627" s="14" t="n">
        <v>0</v>
      </c>
      <c r="J3627" s="14" t="n">
        <v>196.19</v>
      </c>
      <c r="K3627" s="14" t="n">
        <v>0</v>
      </c>
      <c r="L3627" s="14" t="n">
        <v>0</v>
      </c>
      <c r="M3627" s="14">
        <f>IF(B3627="Frete de venda",0,(1-ISNUMBER(SEARCH("556",P3627)))*(I3627*VLOOKUP($B3627,Premissas!$A$4:$E$7,2,0)+J3627*VLOOKUP($B3627,Premissas!$A$4:$E$7,3,0))+K3627*VLOOKUP($B3627,Premissas!$A$4:$E$7,4,0)+L3627*VLOOKUP($B3627,Premissas!$A$4:$E$7,5,0))</f>
        <v/>
      </c>
      <c r="N3627" s="14">
        <f>H3627-M3627</f>
        <v/>
      </c>
      <c r="O3627" t="inlineStr">
        <is>
          <t>Sim</t>
        </is>
      </c>
      <c r="P3627" t="inlineStr">
        <is>
          <t>1.350</t>
        </is>
      </c>
    </row>
    <row r="3628">
      <c r="A3628" s="24" t="n">
        <v>46174</v>
      </c>
      <c r="B3628" t="inlineStr">
        <is>
          <t>Frete de venda</t>
        </is>
      </c>
      <c r="C3628" t="inlineStr">
        <is>
          <t>Frete de venda (para clientes)</t>
        </is>
      </c>
      <c r="D3628" t="inlineStr">
        <is>
          <t>CT-e</t>
        </is>
      </c>
      <c r="E3628" t="inlineStr">
        <is>
          <t>000007255</t>
        </is>
      </c>
      <c r="F3628" t="inlineStr">
        <is>
          <t>R&amp;R TRANSPORTE E LOGISTICA</t>
        </is>
      </c>
      <c r="G3628" s="27" t="n">
        <v>46176</v>
      </c>
      <c r="H3628" s="14" t="n">
        <v>53</v>
      </c>
      <c r="I3628" s="14" t="n">
        <v>0</v>
      </c>
      <c r="J3628" s="14" t="n">
        <v>0</v>
      </c>
      <c r="K3628" s="14" t="n">
        <v>0</v>
      </c>
      <c r="L3628" s="14" t="n">
        <v>0</v>
      </c>
      <c r="M3628" s="14">
        <f>IF(B3628="Frete de venda",0,(1-ISNUMBER(SEARCH("556",P3628)))*(I3628*VLOOKUP($B3628,Premissas!$A$4:$E$7,2,0)+J3628*VLOOKUP($B3628,Premissas!$A$4:$E$7,3,0))+K3628*VLOOKUP($B3628,Premissas!$A$4:$E$7,4,0)+L3628*VLOOKUP($B3628,Premissas!$A$4:$E$7,5,0))</f>
        <v/>
      </c>
      <c r="N3628" s="14">
        <f>H3628-M3628</f>
        <v/>
      </c>
      <c r="O3628" t="inlineStr">
        <is>
          <t>Não</t>
        </is>
      </c>
      <c r="P3628" t="inlineStr">
        <is>
          <t>1.350</t>
        </is>
      </c>
    </row>
    <row r="3629">
      <c r="A3629" s="24" t="n">
        <v>46174</v>
      </c>
      <c r="B3629" t="inlineStr">
        <is>
          <t>Frete de venda</t>
        </is>
      </c>
      <c r="C3629" t="inlineStr">
        <is>
          <t>Frete de venda (para clientes)</t>
        </is>
      </c>
      <c r="D3629" t="inlineStr">
        <is>
          <t>CT-e</t>
        </is>
      </c>
      <c r="E3629" t="inlineStr">
        <is>
          <t>000007410</t>
        </is>
      </c>
      <c r="F3629" t="inlineStr">
        <is>
          <t>R&amp;R TRANSPORTE E LOGISTICA</t>
        </is>
      </c>
      <c r="G3629" s="27" t="n">
        <v>46192</v>
      </c>
      <c r="H3629" s="14" t="n">
        <v>11.82</v>
      </c>
      <c r="I3629" s="14" t="n">
        <v>0</v>
      </c>
      <c r="J3629" s="14" t="n">
        <v>0</v>
      </c>
      <c r="K3629" s="14" t="n">
        <v>0</v>
      </c>
      <c r="L3629" s="14" t="n">
        <v>0</v>
      </c>
      <c r="M3629" s="14">
        <f>IF(B3629="Frete de venda",0,(1-ISNUMBER(SEARCH("556",P3629)))*(I3629*VLOOKUP($B3629,Premissas!$A$4:$E$7,2,0)+J3629*VLOOKUP($B3629,Premissas!$A$4:$E$7,3,0))+K3629*VLOOKUP($B3629,Premissas!$A$4:$E$7,4,0)+L3629*VLOOKUP($B3629,Premissas!$A$4:$E$7,5,0))</f>
        <v/>
      </c>
      <c r="N3629" s="14">
        <f>H3629-M3629</f>
        <v/>
      </c>
      <c r="O3629" t="inlineStr">
        <is>
          <t>Não</t>
        </is>
      </c>
      <c r="P3629" t="inlineStr">
        <is>
          <t>1.350</t>
        </is>
      </c>
    </row>
    <row r="3630">
      <c r="A3630" s="24" t="n">
        <v>46174</v>
      </c>
      <c r="B3630" t="inlineStr">
        <is>
          <t>Frete de venda</t>
        </is>
      </c>
      <c r="C3630" t="inlineStr">
        <is>
          <t>Frete de venda (para clientes)</t>
        </is>
      </c>
      <c r="D3630" t="inlineStr">
        <is>
          <t>CT-e</t>
        </is>
      </c>
      <c r="E3630" t="inlineStr">
        <is>
          <t>000007404</t>
        </is>
      </c>
      <c r="F3630" t="inlineStr">
        <is>
          <t>R&amp;R TRANSPORTE E LOGISTICA</t>
        </is>
      </c>
      <c r="G3630" s="27" t="n">
        <v>46192</v>
      </c>
      <c r="H3630" s="14" t="n">
        <v>21.02</v>
      </c>
      <c r="I3630" s="14" t="n">
        <v>0</v>
      </c>
      <c r="J3630" s="14" t="n">
        <v>0</v>
      </c>
      <c r="K3630" s="14" t="n">
        <v>0</v>
      </c>
      <c r="L3630" s="14" t="n">
        <v>0</v>
      </c>
      <c r="M3630" s="14">
        <f>IF(B3630="Frete de venda",0,(1-ISNUMBER(SEARCH("556",P3630)))*(I3630*VLOOKUP($B3630,Premissas!$A$4:$E$7,2,0)+J3630*VLOOKUP($B3630,Premissas!$A$4:$E$7,3,0))+K3630*VLOOKUP($B3630,Premissas!$A$4:$E$7,4,0)+L3630*VLOOKUP($B3630,Premissas!$A$4:$E$7,5,0))</f>
        <v/>
      </c>
      <c r="N3630" s="14">
        <f>H3630-M3630</f>
        <v/>
      </c>
      <c r="O3630" t="inlineStr">
        <is>
          <t>Não</t>
        </is>
      </c>
      <c r="P3630" t="inlineStr">
        <is>
          <t>1.350</t>
        </is>
      </c>
    </row>
    <row r="3631">
      <c r="A3631" s="24" t="n">
        <v>46174</v>
      </c>
      <c r="B3631" t="inlineStr">
        <is>
          <t>Frete de venda</t>
        </is>
      </c>
      <c r="C3631" t="inlineStr">
        <is>
          <t>Frete de venda (para clientes)</t>
        </is>
      </c>
      <c r="D3631" t="inlineStr">
        <is>
          <t>CT-e</t>
        </is>
      </c>
      <c r="E3631" t="inlineStr">
        <is>
          <t>000007409</t>
        </is>
      </c>
      <c r="F3631" t="inlineStr">
        <is>
          <t>R&amp;R TRANSPORTE E LOGISTICA</t>
        </is>
      </c>
      <c r="G3631" s="27" t="n">
        <v>46192</v>
      </c>
      <c r="H3631" s="14" t="n">
        <v>23.32</v>
      </c>
      <c r="I3631" s="14" t="n">
        <v>0</v>
      </c>
      <c r="J3631" s="14" t="n">
        <v>0</v>
      </c>
      <c r="K3631" s="14" t="n">
        <v>0</v>
      </c>
      <c r="L3631" s="14" t="n">
        <v>0</v>
      </c>
      <c r="M3631" s="14">
        <f>IF(B3631="Frete de venda",0,(1-ISNUMBER(SEARCH("556",P3631)))*(I3631*VLOOKUP($B3631,Premissas!$A$4:$E$7,2,0)+J3631*VLOOKUP($B3631,Premissas!$A$4:$E$7,3,0))+K3631*VLOOKUP($B3631,Premissas!$A$4:$E$7,4,0)+L3631*VLOOKUP($B3631,Premissas!$A$4:$E$7,5,0))</f>
        <v/>
      </c>
      <c r="N3631" s="14">
        <f>H3631-M3631</f>
        <v/>
      </c>
      <c r="O3631" t="inlineStr">
        <is>
          <t>Não</t>
        </is>
      </c>
      <c r="P3631" t="inlineStr">
        <is>
          <t>1.350</t>
        </is>
      </c>
    </row>
    <row r="3632">
      <c r="A3632" s="24" t="n">
        <v>46174</v>
      </c>
      <c r="B3632" t="inlineStr">
        <is>
          <t>Frete de venda</t>
        </is>
      </c>
      <c r="C3632" t="inlineStr">
        <is>
          <t>Frete de venda (para clientes)</t>
        </is>
      </c>
      <c r="D3632" t="inlineStr">
        <is>
          <t>CT-e</t>
        </is>
      </c>
      <c r="E3632" t="inlineStr">
        <is>
          <t>000007490</t>
        </is>
      </c>
      <c r="F3632" t="inlineStr">
        <is>
          <t>R&amp;R TRANSPORTE E LOGISTICA</t>
        </is>
      </c>
      <c r="G3632" s="27" t="n">
        <v>46199</v>
      </c>
      <c r="H3632" s="14" t="n">
        <v>100.21</v>
      </c>
      <c r="I3632" s="14" t="n">
        <v>0</v>
      </c>
      <c r="J3632" s="14" t="n">
        <v>0</v>
      </c>
      <c r="K3632" s="14" t="n">
        <v>0</v>
      </c>
      <c r="L3632" s="14" t="n">
        <v>0</v>
      </c>
      <c r="M3632" s="14">
        <f>IF(B3632="Frete de venda",0,(1-ISNUMBER(SEARCH("556",P3632)))*(I3632*VLOOKUP($B3632,Premissas!$A$4:$E$7,2,0)+J3632*VLOOKUP($B3632,Premissas!$A$4:$E$7,3,0))+K3632*VLOOKUP($B3632,Premissas!$A$4:$E$7,4,0)+L3632*VLOOKUP($B3632,Premissas!$A$4:$E$7,5,0))</f>
        <v/>
      </c>
      <c r="N3632" s="14">
        <f>H3632-M3632</f>
        <v/>
      </c>
      <c r="O3632" t="inlineStr">
        <is>
          <t>Não</t>
        </is>
      </c>
      <c r="P3632" t="inlineStr">
        <is>
          <t>1.350</t>
        </is>
      </c>
    </row>
    <row r="3633">
      <c r="A3633" s="24" t="n">
        <v>46174</v>
      </c>
      <c r="B3633" t="inlineStr">
        <is>
          <t>Frete de venda</t>
        </is>
      </c>
      <c r="C3633" t="inlineStr">
        <is>
          <t>Frete de venda (para clientes)</t>
        </is>
      </c>
      <c r="D3633" t="inlineStr">
        <is>
          <t>CT-e</t>
        </is>
      </c>
      <c r="E3633" t="inlineStr">
        <is>
          <t>000007421</t>
        </is>
      </c>
      <c r="F3633" t="inlineStr">
        <is>
          <t>R&amp;R TRANSPORTE E LOGISTICA</t>
        </is>
      </c>
      <c r="G3633" s="27" t="n">
        <v>46192</v>
      </c>
      <c r="H3633" s="14" t="n">
        <v>21.91</v>
      </c>
      <c r="I3633" s="14" t="n">
        <v>0</v>
      </c>
      <c r="J3633" s="14" t="n">
        <v>0</v>
      </c>
      <c r="K3633" s="14" t="n">
        <v>0</v>
      </c>
      <c r="L3633" s="14" t="n">
        <v>0</v>
      </c>
      <c r="M3633" s="14">
        <f>IF(B3633="Frete de venda",0,(1-ISNUMBER(SEARCH("556",P3633)))*(I3633*VLOOKUP($B3633,Premissas!$A$4:$E$7,2,0)+J3633*VLOOKUP($B3633,Premissas!$A$4:$E$7,3,0))+K3633*VLOOKUP($B3633,Premissas!$A$4:$E$7,4,0)+L3633*VLOOKUP($B3633,Premissas!$A$4:$E$7,5,0))</f>
        <v/>
      </c>
      <c r="N3633" s="14">
        <f>H3633-M3633</f>
        <v/>
      </c>
      <c r="O3633" t="inlineStr">
        <is>
          <t>Não</t>
        </is>
      </c>
      <c r="P3633" t="inlineStr">
        <is>
          <t>1.350</t>
        </is>
      </c>
    </row>
    <row r="3634">
      <c r="A3634" s="24" t="n">
        <v>46174</v>
      </c>
      <c r="B3634" t="inlineStr">
        <is>
          <t>Frete de venda</t>
        </is>
      </c>
      <c r="C3634" t="inlineStr">
        <is>
          <t>Frete de venda (para clientes)</t>
        </is>
      </c>
      <c r="D3634" t="inlineStr">
        <is>
          <t>CT-e</t>
        </is>
      </c>
      <c r="E3634" t="inlineStr">
        <is>
          <t>000007344</t>
        </is>
      </c>
      <c r="F3634" t="inlineStr">
        <is>
          <t>R&amp;R TRANSPORTE E LOGISTICA</t>
        </is>
      </c>
      <c r="G3634" s="27" t="n">
        <v>46186</v>
      </c>
      <c r="H3634" s="14" t="n">
        <v>540</v>
      </c>
      <c r="I3634" s="14" t="n">
        <v>0</v>
      </c>
      <c r="J3634" s="14" t="n">
        <v>0</v>
      </c>
      <c r="K3634" s="14" t="n">
        <v>0</v>
      </c>
      <c r="L3634" s="14" t="n">
        <v>0</v>
      </c>
      <c r="M3634" s="14">
        <f>IF(B3634="Frete de venda",0,(1-ISNUMBER(SEARCH("556",P3634)))*(I3634*VLOOKUP($B3634,Premissas!$A$4:$E$7,2,0)+J3634*VLOOKUP($B3634,Premissas!$A$4:$E$7,3,0))+K3634*VLOOKUP($B3634,Premissas!$A$4:$E$7,4,0)+L3634*VLOOKUP($B3634,Premissas!$A$4:$E$7,5,0))</f>
        <v/>
      </c>
      <c r="N3634" s="14">
        <f>H3634-M3634</f>
        <v/>
      </c>
      <c r="O3634" t="inlineStr">
        <is>
          <t>Não</t>
        </is>
      </c>
      <c r="P3634" t="inlineStr">
        <is>
          <t>1.350</t>
        </is>
      </c>
    </row>
    <row r="3635">
      <c r="A3635" s="24" t="n">
        <v>46174</v>
      </c>
      <c r="B3635" t="inlineStr">
        <is>
          <t>Frete de venda</t>
        </is>
      </c>
      <c r="C3635" t="inlineStr">
        <is>
          <t>Frete de venda (para clientes)</t>
        </is>
      </c>
      <c r="D3635" t="inlineStr">
        <is>
          <t>CT-e</t>
        </is>
      </c>
      <c r="E3635" t="inlineStr">
        <is>
          <t>000007319</t>
        </is>
      </c>
      <c r="F3635" t="inlineStr">
        <is>
          <t>R&amp;R TRANSPORTE E LOGISTICA</t>
        </is>
      </c>
      <c r="G3635" s="27" t="n">
        <v>46186</v>
      </c>
      <c r="H3635" s="14" t="n">
        <v>24.14</v>
      </c>
      <c r="I3635" s="14" t="n">
        <v>0</v>
      </c>
      <c r="J3635" s="14" t="n">
        <v>0</v>
      </c>
      <c r="K3635" s="14" t="n">
        <v>0</v>
      </c>
      <c r="L3635" s="14" t="n">
        <v>0</v>
      </c>
      <c r="M3635" s="14">
        <f>IF(B3635="Frete de venda",0,(1-ISNUMBER(SEARCH("556",P3635)))*(I3635*VLOOKUP($B3635,Premissas!$A$4:$E$7,2,0)+J3635*VLOOKUP($B3635,Premissas!$A$4:$E$7,3,0))+K3635*VLOOKUP($B3635,Premissas!$A$4:$E$7,4,0)+L3635*VLOOKUP($B3635,Premissas!$A$4:$E$7,5,0))</f>
        <v/>
      </c>
      <c r="N3635" s="14">
        <f>H3635-M3635</f>
        <v/>
      </c>
      <c r="O3635" t="inlineStr">
        <is>
          <t>Não</t>
        </is>
      </c>
      <c r="P3635" t="inlineStr">
        <is>
          <t>1.350</t>
        </is>
      </c>
    </row>
    <row r="3636">
      <c r="A3636" s="24" t="n">
        <v>46174</v>
      </c>
      <c r="B3636" t="inlineStr">
        <is>
          <t>Frete de venda</t>
        </is>
      </c>
      <c r="C3636" t="inlineStr">
        <is>
          <t>Frete de venda (para clientes)</t>
        </is>
      </c>
      <c r="D3636" t="inlineStr">
        <is>
          <t>CT-e</t>
        </is>
      </c>
      <c r="E3636" t="inlineStr">
        <is>
          <t>000000702</t>
        </is>
      </c>
      <c r="F3636" t="inlineStr">
        <is>
          <t>REIMAG - REINALDO DOMINGUES BARROS DA SILVA</t>
        </is>
      </c>
      <c r="G3636" s="27" t="n">
        <v>46190</v>
      </c>
      <c r="H3636" s="14" t="n">
        <v>800</v>
      </c>
      <c r="I3636" s="14" t="n">
        <v>0</v>
      </c>
      <c r="J3636" s="14" t="n">
        <v>0</v>
      </c>
      <c r="K3636" s="14" t="n">
        <v>0</v>
      </c>
      <c r="L3636" s="14" t="n">
        <v>0</v>
      </c>
      <c r="M3636" s="14">
        <f>IF(B3636="Frete de venda",0,(1-ISNUMBER(SEARCH("556",P3636)))*(I3636*VLOOKUP($B3636,Premissas!$A$4:$E$7,2,0)+J3636*VLOOKUP($B3636,Premissas!$A$4:$E$7,3,0))+K3636*VLOOKUP($B3636,Premissas!$A$4:$E$7,4,0)+L3636*VLOOKUP($B3636,Premissas!$A$4:$E$7,5,0))</f>
        <v/>
      </c>
      <c r="N3636" s="14">
        <f>H3636-M3636</f>
        <v/>
      </c>
      <c r="O3636" t="inlineStr">
        <is>
          <t>Sim</t>
        </is>
      </c>
      <c r="P3636" t="inlineStr">
        <is>
          <t>1.350</t>
        </is>
      </c>
    </row>
    <row r="3637">
      <c r="A3637" s="24" t="n">
        <v>46174</v>
      </c>
      <c r="B3637" t="inlineStr">
        <is>
          <t>Frete de venda</t>
        </is>
      </c>
      <c r="C3637" t="inlineStr">
        <is>
          <t>Frete de venda (para clientes)</t>
        </is>
      </c>
      <c r="D3637" t="inlineStr">
        <is>
          <t>CT-e</t>
        </is>
      </c>
      <c r="E3637" t="inlineStr">
        <is>
          <t>000007495</t>
        </is>
      </c>
      <c r="F3637" t="inlineStr">
        <is>
          <t>R&amp;R TRANSPORTE E LOGISTICA</t>
        </is>
      </c>
      <c r="G3637" s="27" t="n">
        <v>46199</v>
      </c>
      <c r="H3637" s="14" t="n">
        <v>34.72</v>
      </c>
      <c r="I3637" s="14" t="n">
        <v>0</v>
      </c>
      <c r="J3637" s="14" t="n">
        <v>0</v>
      </c>
      <c r="K3637" s="14" t="n">
        <v>0</v>
      </c>
      <c r="L3637" s="14" t="n">
        <v>0</v>
      </c>
      <c r="M3637" s="14">
        <f>IF(B3637="Frete de venda",0,(1-ISNUMBER(SEARCH("556",P3637)))*(I3637*VLOOKUP($B3637,Premissas!$A$4:$E$7,2,0)+J3637*VLOOKUP($B3637,Premissas!$A$4:$E$7,3,0))+K3637*VLOOKUP($B3637,Premissas!$A$4:$E$7,4,0)+L3637*VLOOKUP($B3637,Premissas!$A$4:$E$7,5,0))</f>
        <v/>
      </c>
      <c r="N3637" s="14">
        <f>H3637-M3637</f>
        <v/>
      </c>
      <c r="O3637" t="inlineStr">
        <is>
          <t>Não</t>
        </is>
      </c>
      <c r="P3637" t="inlineStr">
        <is>
          <t>1.350</t>
        </is>
      </c>
    </row>
    <row r="3638">
      <c r="A3638" s="24" t="n">
        <v>46174</v>
      </c>
      <c r="B3638" t="inlineStr">
        <is>
          <t>Frete de venda</t>
        </is>
      </c>
      <c r="C3638" t="inlineStr">
        <is>
          <t>Frete de venda (para clientes)</t>
        </is>
      </c>
      <c r="D3638" t="inlineStr">
        <is>
          <t>CT-e</t>
        </is>
      </c>
      <c r="E3638" t="inlineStr">
        <is>
          <t>000000707</t>
        </is>
      </c>
      <c r="F3638" t="inlineStr">
        <is>
          <t>REIMAG - REINALDO DOMINGUES BARROS DA SILVA</t>
        </is>
      </c>
      <c r="G3638" s="27" t="n">
        <v>46203</v>
      </c>
      <c r="H3638" s="14" t="n">
        <v>850</v>
      </c>
      <c r="I3638" s="14" t="n">
        <v>0</v>
      </c>
      <c r="J3638" s="14" t="n">
        <v>0</v>
      </c>
      <c r="K3638" s="14" t="n">
        <v>0</v>
      </c>
      <c r="L3638" s="14" t="n">
        <v>0</v>
      </c>
      <c r="M3638" s="14">
        <f>IF(B3638="Frete de venda",0,(1-ISNUMBER(SEARCH("556",P3638)))*(I3638*VLOOKUP($B3638,Premissas!$A$4:$E$7,2,0)+J3638*VLOOKUP($B3638,Premissas!$A$4:$E$7,3,0))+K3638*VLOOKUP($B3638,Premissas!$A$4:$E$7,4,0)+L3638*VLOOKUP($B3638,Premissas!$A$4:$E$7,5,0))</f>
        <v/>
      </c>
      <c r="N3638" s="14">
        <f>H3638-M3638</f>
        <v/>
      </c>
      <c r="O3638" t="inlineStr">
        <is>
          <t>Sim</t>
        </is>
      </c>
      <c r="P3638" t="inlineStr">
        <is>
          <t>2.350</t>
        </is>
      </c>
    </row>
    <row r="3639">
      <c r="A3639" s="24" t="n">
        <v>46174</v>
      </c>
      <c r="B3639" t="inlineStr">
        <is>
          <t>Frete de venda</t>
        </is>
      </c>
      <c r="C3639" t="inlineStr">
        <is>
          <t>Frete de venda (para clientes)</t>
        </is>
      </c>
      <c r="D3639" t="inlineStr">
        <is>
          <t>CT-e</t>
        </is>
      </c>
      <c r="E3639" t="inlineStr">
        <is>
          <t>000007328</t>
        </is>
      </c>
      <c r="F3639" t="inlineStr">
        <is>
          <t>R&amp;R TRANSPORTE E LOGISTICA</t>
        </is>
      </c>
      <c r="G3639" s="27" t="n">
        <v>46186</v>
      </c>
      <c r="H3639" s="14" t="n">
        <v>30.68</v>
      </c>
      <c r="I3639" s="14" t="n">
        <v>0</v>
      </c>
      <c r="J3639" s="14" t="n">
        <v>0</v>
      </c>
      <c r="K3639" s="14" t="n">
        <v>0</v>
      </c>
      <c r="L3639" s="14" t="n">
        <v>0</v>
      </c>
      <c r="M3639" s="14">
        <f>IF(B3639="Frete de venda",0,(1-ISNUMBER(SEARCH("556",P3639)))*(I3639*VLOOKUP($B3639,Premissas!$A$4:$E$7,2,0)+J3639*VLOOKUP($B3639,Premissas!$A$4:$E$7,3,0))+K3639*VLOOKUP($B3639,Premissas!$A$4:$E$7,4,0)+L3639*VLOOKUP($B3639,Premissas!$A$4:$E$7,5,0))</f>
        <v/>
      </c>
      <c r="N3639" s="14">
        <f>H3639-M3639</f>
        <v/>
      </c>
      <c r="O3639" t="inlineStr">
        <is>
          <t>Não</t>
        </is>
      </c>
      <c r="P3639" t="inlineStr">
        <is>
          <t>1.350</t>
        </is>
      </c>
    </row>
    <row r="3640">
      <c r="A3640" s="24" t="n">
        <v>46174</v>
      </c>
      <c r="B3640" t="inlineStr">
        <is>
          <t>Frete de venda</t>
        </is>
      </c>
      <c r="C3640" t="inlineStr">
        <is>
          <t>Frete de venda (para clientes)</t>
        </is>
      </c>
      <c r="D3640" t="inlineStr">
        <is>
          <t>CT-e</t>
        </is>
      </c>
      <c r="E3640" t="inlineStr">
        <is>
          <t>000007279</t>
        </is>
      </c>
      <c r="F3640" t="inlineStr">
        <is>
          <t>R&amp;R TRANSPORTE E LOGISTICA</t>
        </is>
      </c>
      <c r="G3640" s="27" t="n">
        <v>46181</v>
      </c>
      <c r="H3640" s="14" t="n">
        <v>500</v>
      </c>
      <c r="I3640" s="14" t="n">
        <v>0</v>
      </c>
      <c r="J3640" s="14" t="n">
        <v>0</v>
      </c>
      <c r="K3640" s="14" t="n">
        <v>0</v>
      </c>
      <c r="L3640" s="14" t="n">
        <v>0</v>
      </c>
      <c r="M3640" s="14">
        <f>IF(B3640="Frete de venda",0,(1-ISNUMBER(SEARCH("556",P3640)))*(I3640*VLOOKUP($B3640,Premissas!$A$4:$E$7,2,0)+J3640*VLOOKUP($B3640,Premissas!$A$4:$E$7,3,0))+K3640*VLOOKUP($B3640,Premissas!$A$4:$E$7,4,0)+L3640*VLOOKUP($B3640,Premissas!$A$4:$E$7,5,0))</f>
        <v/>
      </c>
      <c r="N3640" s="14">
        <f>H3640-M3640</f>
        <v/>
      </c>
      <c r="O3640" t="inlineStr">
        <is>
          <t>Não</t>
        </is>
      </c>
      <c r="P3640" t="inlineStr">
        <is>
          <t>1.350</t>
        </is>
      </c>
    </row>
    <row r="3641">
      <c r="A3641" s="24" t="n">
        <v>46174</v>
      </c>
      <c r="B3641" t="inlineStr">
        <is>
          <t>Frete de venda</t>
        </is>
      </c>
      <c r="C3641" t="inlineStr">
        <is>
          <t>Frete de venda (para clientes)</t>
        </is>
      </c>
      <c r="D3641" t="inlineStr">
        <is>
          <t>CT-e</t>
        </is>
      </c>
      <c r="E3641" t="inlineStr">
        <is>
          <t>000007296</t>
        </is>
      </c>
      <c r="F3641" t="inlineStr">
        <is>
          <t>R&amp;R TRANSPORTE E LOGISTICA</t>
        </is>
      </c>
      <c r="G3641" s="27" t="n">
        <v>46184</v>
      </c>
      <c r="H3641" s="14" t="n">
        <v>33.03</v>
      </c>
      <c r="I3641" s="14" t="n">
        <v>0</v>
      </c>
      <c r="J3641" s="14" t="n">
        <v>0</v>
      </c>
      <c r="K3641" s="14" t="n">
        <v>0</v>
      </c>
      <c r="L3641" s="14" t="n">
        <v>0</v>
      </c>
      <c r="M3641" s="14">
        <f>IF(B3641="Frete de venda",0,(1-ISNUMBER(SEARCH("556",P3641)))*(I3641*VLOOKUP($B3641,Premissas!$A$4:$E$7,2,0)+J3641*VLOOKUP($B3641,Premissas!$A$4:$E$7,3,0))+K3641*VLOOKUP($B3641,Premissas!$A$4:$E$7,4,0)+L3641*VLOOKUP($B3641,Premissas!$A$4:$E$7,5,0))</f>
        <v/>
      </c>
      <c r="N3641" s="14">
        <f>H3641-M3641</f>
        <v/>
      </c>
      <c r="O3641" t="inlineStr">
        <is>
          <t>Não</t>
        </is>
      </c>
      <c r="P3641" t="inlineStr">
        <is>
          <t>1.350</t>
        </is>
      </c>
    </row>
    <row r="3642">
      <c r="A3642" s="24" t="n">
        <v>46174</v>
      </c>
      <c r="B3642" t="inlineStr">
        <is>
          <t>Frete de venda</t>
        </is>
      </c>
      <c r="C3642" t="inlineStr">
        <is>
          <t>Frete de venda (para clientes)</t>
        </is>
      </c>
      <c r="D3642" t="inlineStr">
        <is>
          <t>CT-e</t>
        </is>
      </c>
      <c r="E3642" t="inlineStr">
        <is>
          <t>000007485</t>
        </is>
      </c>
      <c r="F3642" t="inlineStr">
        <is>
          <t>R&amp;R TRANSPORTE E LOGISTICA</t>
        </is>
      </c>
      <c r="G3642" s="27" t="n">
        <v>46199</v>
      </c>
      <c r="H3642" s="14" t="n">
        <v>33.35</v>
      </c>
      <c r="I3642" s="14" t="n">
        <v>0</v>
      </c>
      <c r="J3642" s="14" t="n">
        <v>0</v>
      </c>
      <c r="K3642" s="14" t="n">
        <v>0</v>
      </c>
      <c r="L3642" s="14" t="n">
        <v>0</v>
      </c>
      <c r="M3642" s="14">
        <f>IF(B3642="Frete de venda",0,(1-ISNUMBER(SEARCH("556",P3642)))*(I3642*VLOOKUP($B3642,Premissas!$A$4:$E$7,2,0)+J3642*VLOOKUP($B3642,Premissas!$A$4:$E$7,3,0))+K3642*VLOOKUP($B3642,Premissas!$A$4:$E$7,4,0)+L3642*VLOOKUP($B3642,Premissas!$A$4:$E$7,5,0))</f>
        <v/>
      </c>
      <c r="N3642" s="14">
        <f>H3642-M3642</f>
        <v/>
      </c>
      <c r="O3642" t="inlineStr">
        <is>
          <t>Não</t>
        </is>
      </c>
      <c r="P3642" t="inlineStr">
        <is>
          <t>1.350</t>
        </is>
      </c>
    </row>
    <row r="3643">
      <c r="A3643" s="24" t="n">
        <v>46174</v>
      </c>
      <c r="B3643" t="inlineStr">
        <is>
          <t>Frete de venda</t>
        </is>
      </c>
      <c r="C3643" t="inlineStr">
        <is>
          <t>Frete de venda (para clientes)</t>
        </is>
      </c>
      <c r="D3643" t="inlineStr">
        <is>
          <t>CT-e</t>
        </is>
      </c>
      <c r="E3643" t="inlineStr">
        <is>
          <t>000007239</t>
        </is>
      </c>
      <c r="F3643" t="inlineStr">
        <is>
          <t>R&amp;R TRANSPORTE E LOGISTICA</t>
        </is>
      </c>
      <c r="G3643" s="27" t="n">
        <v>46174</v>
      </c>
      <c r="H3643" s="14" t="n">
        <v>57.2</v>
      </c>
      <c r="I3643" s="14" t="n">
        <v>0</v>
      </c>
      <c r="J3643" s="14" t="n">
        <v>0</v>
      </c>
      <c r="K3643" s="14" t="n">
        <v>0</v>
      </c>
      <c r="L3643" s="14" t="n">
        <v>0</v>
      </c>
      <c r="M3643" s="14">
        <f>IF(B3643="Frete de venda",0,(1-ISNUMBER(SEARCH("556",P3643)))*(I3643*VLOOKUP($B3643,Premissas!$A$4:$E$7,2,0)+J3643*VLOOKUP($B3643,Premissas!$A$4:$E$7,3,0))+K3643*VLOOKUP($B3643,Premissas!$A$4:$E$7,4,0)+L3643*VLOOKUP($B3643,Premissas!$A$4:$E$7,5,0))</f>
        <v/>
      </c>
      <c r="N3643" s="14">
        <f>H3643-M3643</f>
        <v/>
      </c>
      <c r="O3643" t="inlineStr">
        <is>
          <t>Não</t>
        </is>
      </c>
      <c r="P3643" t="inlineStr">
        <is>
          <t>2.350</t>
        </is>
      </c>
    </row>
    <row r="3644">
      <c r="A3644" s="24" t="n">
        <v>46174</v>
      </c>
      <c r="B3644" t="inlineStr">
        <is>
          <t>Frete de venda</t>
        </is>
      </c>
      <c r="C3644" t="inlineStr">
        <is>
          <t>Frete de venda (para clientes)</t>
        </is>
      </c>
      <c r="D3644" t="inlineStr">
        <is>
          <t>CT-e</t>
        </is>
      </c>
      <c r="E3644" t="inlineStr">
        <is>
          <t>000024792</t>
        </is>
      </c>
      <c r="F3644" t="inlineStr">
        <is>
          <t>TRANSPORTE OLIVEIRA E MELLOI - IDEALIZA TRANSPORTES</t>
        </is>
      </c>
      <c r="G3644" s="27" t="n">
        <v>46185</v>
      </c>
      <c r="H3644" s="14" t="n">
        <v>1673.11</v>
      </c>
      <c r="I3644" s="14" t="n">
        <v>0</v>
      </c>
      <c r="J3644" s="14" t="n">
        <v>200.77</v>
      </c>
      <c r="K3644" s="14" t="n">
        <v>0</v>
      </c>
      <c r="L3644" s="14" t="n">
        <v>0</v>
      </c>
      <c r="M3644" s="14">
        <f>IF(B3644="Frete de venda",0,(1-ISNUMBER(SEARCH("556",P3644)))*(I3644*VLOOKUP($B3644,Premissas!$A$4:$E$7,2,0)+J3644*VLOOKUP($B3644,Premissas!$A$4:$E$7,3,0))+K3644*VLOOKUP($B3644,Premissas!$A$4:$E$7,4,0)+L3644*VLOOKUP($B3644,Premissas!$A$4:$E$7,5,0))</f>
        <v/>
      </c>
      <c r="N3644" s="14">
        <f>H3644-M3644</f>
        <v/>
      </c>
      <c r="O3644" t="inlineStr">
        <is>
          <t>Sim</t>
        </is>
      </c>
      <c r="P3644" t="inlineStr">
        <is>
          <t>1.350</t>
        </is>
      </c>
    </row>
    <row r="3645">
      <c r="A3645" s="24" t="n">
        <v>46174</v>
      </c>
      <c r="B3645" t="inlineStr">
        <is>
          <t>Frete de venda</t>
        </is>
      </c>
      <c r="C3645" t="inlineStr">
        <is>
          <t>Frete de venda (para clientes)</t>
        </is>
      </c>
      <c r="D3645" t="inlineStr">
        <is>
          <t>CT-e</t>
        </is>
      </c>
      <c r="E3645" t="inlineStr">
        <is>
          <t>000007244</t>
        </is>
      </c>
      <c r="F3645" t="inlineStr">
        <is>
          <t>R&amp;R TRANSPORTE E LOGISTICA</t>
        </is>
      </c>
      <c r="G3645" s="27" t="n">
        <v>46174</v>
      </c>
      <c r="H3645" s="14" t="n">
        <v>73.84999999999999</v>
      </c>
      <c r="I3645" s="14" t="n">
        <v>0</v>
      </c>
      <c r="J3645" s="14" t="n">
        <v>0</v>
      </c>
      <c r="K3645" s="14" t="n">
        <v>0</v>
      </c>
      <c r="L3645" s="14" t="n">
        <v>0</v>
      </c>
      <c r="M3645" s="14">
        <f>IF(B3645="Frete de venda",0,(1-ISNUMBER(SEARCH("556",P3645)))*(I3645*VLOOKUP($B3645,Premissas!$A$4:$E$7,2,0)+J3645*VLOOKUP($B3645,Premissas!$A$4:$E$7,3,0))+K3645*VLOOKUP($B3645,Premissas!$A$4:$E$7,4,0)+L3645*VLOOKUP($B3645,Premissas!$A$4:$E$7,5,0))</f>
        <v/>
      </c>
      <c r="N3645" s="14">
        <f>H3645-M3645</f>
        <v/>
      </c>
      <c r="O3645" t="inlineStr">
        <is>
          <t>Não</t>
        </is>
      </c>
      <c r="P3645" t="inlineStr">
        <is>
          <t>2.350</t>
        </is>
      </c>
    </row>
    <row r="3646">
      <c r="A3646" s="24" t="n">
        <v>46174</v>
      </c>
      <c r="B3646" t="inlineStr">
        <is>
          <t>Frete de venda</t>
        </is>
      </c>
      <c r="C3646" t="inlineStr">
        <is>
          <t>Frete de venda (para clientes)</t>
        </is>
      </c>
      <c r="D3646" t="inlineStr">
        <is>
          <t>CT-e</t>
        </is>
      </c>
      <c r="E3646" t="inlineStr">
        <is>
          <t>000007252</t>
        </is>
      </c>
      <c r="F3646" t="inlineStr">
        <is>
          <t>R&amp;R TRANSPORTE E LOGISTICA</t>
        </is>
      </c>
      <c r="G3646" s="27" t="n">
        <v>46176</v>
      </c>
      <c r="H3646" s="14" t="n">
        <v>53</v>
      </c>
      <c r="I3646" s="14" t="n">
        <v>0</v>
      </c>
      <c r="J3646" s="14" t="n">
        <v>0</v>
      </c>
      <c r="K3646" s="14" t="n">
        <v>0</v>
      </c>
      <c r="L3646" s="14" t="n">
        <v>0</v>
      </c>
      <c r="M3646" s="14">
        <f>IF(B3646="Frete de venda",0,(1-ISNUMBER(SEARCH("556",P3646)))*(I3646*VLOOKUP($B3646,Premissas!$A$4:$E$7,2,0)+J3646*VLOOKUP($B3646,Premissas!$A$4:$E$7,3,0))+K3646*VLOOKUP($B3646,Premissas!$A$4:$E$7,4,0)+L3646*VLOOKUP($B3646,Premissas!$A$4:$E$7,5,0))</f>
        <v/>
      </c>
      <c r="N3646" s="14">
        <f>H3646-M3646</f>
        <v/>
      </c>
      <c r="O3646" t="inlineStr">
        <is>
          <t>Não</t>
        </is>
      </c>
      <c r="P3646" t="inlineStr">
        <is>
          <t>1.350</t>
        </is>
      </c>
    </row>
    <row r="3647">
      <c r="A3647" s="24" t="n">
        <v>46174</v>
      </c>
      <c r="B3647" t="inlineStr">
        <is>
          <t>Frete de venda</t>
        </is>
      </c>
      <c r="C3647" t="inlineStr">
        <is>
          <t>Frete de venda (para clientes)</t>
        </is>
      </c>
      <c r="D3647" t="inlineStr">
        <is>
          <t>CT-e</t>
        </is>
      </c>
      <c r="E3647" t="inlineStr">
        <is>
          <t>000004102</t>
        </is>
      </c>
      <c r="F3647" t="inlineStr">
        <is>
          <t>RAPIDO XAPURI TRANSPORTES E LOGISTICA LTDA</t>
        </is>
      </c>
      <c r="G3647" s="27" t="n">
        <v>46181</v>
      </c>
      <c r="H3647" s="14" t="n">
        <v>768.27</v>
      </c>
      <c r="I3647" s="14" t="n">
        <v>0</v>
      </c>
      <c r="J3647" s="14" t="n">
        <v>92.19</v>
      </c>
      <c r="K3647" s="14" t="n">
        <v>0</v>
      </c>
      <c r="L3647" s="14" t="n">
        <v>0</v>
      </c>
      <c r="M3647" s="14">
        <f>IF(B3647="Frete de venda",0,(1-ISNUMBER(SEARCH("556",P3647)))*(I3647*VLOOKUP($B3647,Premissas!$A$4:$E$7,2,0)+J3647*VLOOKUP($B3647,Premissas!$A$4:$E$7,3,0))+K3647*VLOOKUP($B3647,Premissas!$A$4:$E$7,4,0)+L3647*VLOOKUP($B3647,Premissas!$A$4:$E$7,5,0))</f>
        <v/>
      </c>
      <c r="N3647" s="14">
        <f>H3647-M3647</f>
        <v/>
      </c>
      <c r="O3647" t="inlineStr">
        <is>
          <t>Sim</t>
        </is>
      </c>
      <c r="P3647" t="inlineStr">
        <is>
          <t>1.350</t>
        </is>
      </c>
    </row>
    <row r="3648">
      <c r="A3648" s="24" t="n">
        <v>46174</v>
      </c>
      <c r="B3648" t="inlineStr">
        <is>
          <t>Frete de venda</t>
        </is>
      </c>
      <c r="C3648" t="inlineStr">
        <is>
          <t>Frete de venda (para clientes)</t>
        </is>
      </c>
      <c r="D3648" t="inlineStr">
        <is>
          <t>CT-e</t>
        </is>
      </c>
      <c r="E3648" t="inlineStr">
        <is>
          <t>000007334</t>
        </is>
      </c>
      <c r="F3648" t="inlineStr">
        <is>
          <t>R&amp;R TRANSPORTE E LOGISTICA</t>
        </is>
      </c>
      <c r="G3648" s="27" t="n">
        <v>46186</v>
      </c>
      <c r="H3648" s="14" t="n">
        <v>16.04</v>
      </c>
      <c r="I3648" s="14" t="n">
        <v>0</v>
      </c>
      <c r="J3648" s="14" t="n">
        <v>0</v>
      </c>
      <c r="K3648" s="14" t="n">
        <v>0</v>
      </c>
      <c r="L3648" s="14" t="n">
        <v>0</v>
      </c>
      <c r="M3648" s="14">
        <f>IF(B3648="Frete de venda",0,(1-ISNUMBER(SEARCH("556",P3648)))*(I3648*VLOOKUP($B3648,Premissas!$A$4:$E$7,2,0)+J3648*VLOOKUP($B3648,Premissas!$A$4:$E$7,3,0))+K3648*VLOOKUP($B3648,Premissas!$A$4:$E$7,4,0)+L3648*VLOOKUP($B3648,Premissas!$A$4:$E$7,5,0))</f>
        <v/>
      </c>
      <c r="N3648" s="14">
        <f>H3648-M3648</f>
        <v/>
      </c>
      <c r="O3648" t="inlineStr">
        <is>
          <t>Não</t>
        </is>
      </c>
      <c r="P3648" t="inlineStr">
        <is>
          <t>1.350</t>
        </is>
      </c>
    </row>
    <row r="3649">
      <c r="A3649" s="24" t="n">
        <v>46174</v>
      </c>
      <c r="B3649" t="inlineStr">
        <is>
          <t>Frete de venda</t>
        </is>
      </c>
      <c r="C3649" t="inlineStr">
        <is>
          <t>Frete de venda (para clientes)</t>
        </is>
      </c>
      <c r="D3649" t="inlineStr">
        <is>
          <t>CT-e</t>
        </is>
      </c>
      <c r="E3649" t="inlineStr">
        <is>
          <t>000007330</t>
        </is>
      </c>
      <c r="F3649" t="inlineStr">
        <is>
          <t>R&amp;R TRANSPORTE E LOGISTICA</t>
        </is>
      </c>
      <c r="G3649" s="27" t="n">
        <v>46186</v>
      </c>
      <c r="H3649" s="14" t="n">
        <v>14.4</v>
      </c>
      <c r="I3649" s="14" t="n">
        <v>0</v>
      </c>
      <c r="J3649" s="14" t="n">
        <v>0</v>
      </c>
      <c r="K3649" s="14" t="n">
        <v>0</v>
      </c>
      <c r="L3649" s="14" t="n">
        <v>0</v>
      </c>
      <c r="M3649" s="14">
        <f>IF(B3649="Frete de venda",0,(1-ISNUMBER(SEARCH("556",P3649)))*(I3649*VLOOKUP($B3649,Premissas!$A$4:$E$7,2,0)+J3649*VLOOKUP($B3649,Premissas!$A$4:$E$7,3,0))+K3649*VLOOKUP($B3649,Premissas!$A$4:$E$7,4,0)+L3649*VLOOKUP($B3649,Premissas!$A$4:$E$7,5,0))</f>
        <v/>
      </c>
      <c r="N3649" s="14">
        <f>H3649-M3649</f>
        <v/>
      </c>
      <c r="O3649" t="inlineStr">
        <is>
          <t>Não</t>
        </is>
      </c>
      <c r="P3649" t="inlineStr">
        <is>
          <t>1.350</t>
        </is>
      </c>
    </row>
    <row r="3650">
      <c r="A3650" s="24" t="n">
        <v>46174</v>
      </c>
      <c r="B3650" t="inlineStr">
        <is>
          <t>Frete de venda</t>
        </is>
      </c>
      <c r="C3650" t="inlineStr">
        <is>
          <t>Frete de venda (para clientes)</t>
        </is>
      </c>
      <c r="D3650" t="inlineStr">
        <is>
          <t>CT-e</t>
        </is>
      </c>
      <c r="E3650" t="inlineStr">
        <is>
          <t>000007442</t>
        </is>
      </c>
      <c r="F3650" t="inlineStr">
        <is>
          <t>R&amp;R TRANSPORTE E LOGISTICA</t>
        </is>
      </c>
      <c r="G3650" s="27" t="n">
        <v>46196</v>
      </c>
      <c r="H3650" s="14" t="n">
        <v>32.38</v>
      </c>
      <c r="I3650" s="14" t="n">
        <v>0</v>
      </c>
      <c r="J3650" s="14" t="n">
        <v>0</v>
      </c>
      <c r="K3650" s="14" t="n">
        <v>0</v>
      </c>
      <c r="L3650" s="14" t="n">
        <v>0</v>
      </c>
      <c r="M3650" s="14">
        <f>IF(B3650="Frete de venda",0,(1-ISNUMBER(SEARCH("556",P3650)))*(I3650*VLOOKUP($B3650,Premissas!$A$4:$E$7,2,0)+J3650*VLOOKUP($B3650,Premissas!$A$4:$E$7,3,0))+K3650*VLOOKUP($B3650,Premissas!$A$4:$E$7,4,0)+L3650*VLOOKUP($B3650,Premissas!$A$4:$E$7,5,0))</f>
        <v/>
      </c>
      <c r="N3650" s="14">
        <f>H3650-M3650</f>
        <v/>
      </c>
      <c r="O3650" t="inlineStr">
        <is>
          <t>Não</t>
        </is>
      </c>
      <c r="P3650" t="inlineStr">
        <is>
          <t>1.350</t>
        </is>
      </c>
    </row>
    <row r="3651">
      <c r="A3651" s="24" t="n">
        <v>46174</v>
      </c>
      <c r="B3651" t="inlineStr">
        <is>
          <t>Frete de venda</t>
        </is>
      </c>
      <c r="C3651" t="inlineStr">
        <is>
          <t>Frete de venda (para clientes)</t>
        </is>
      </c>
      <c r="D3651" t="inlineStr">
        <is>
          <t>CT-e</t>
        </is>
      </c>
      <c r="E3651" t="inlineStr">
        <is>
          <t>000007473</t>
        </is>
      </c>
      <c r="F3651" t="inlineStr">
        <is>
          <t>R&amp;R TRANSPORTE E LOGISTICA</t>
        </is>
      </c>
      <c r="G3651" s="27" t="n">
        <v>46199</v>
      </c>
      <c r="H3651" s="14" t="n">
        <v>700</v>
      </c>
      <c r="I3651" s="14" t="n">
        <v>0</v>
      </c>
      <c r="J3651" s="14" t="n">
        <v>0</v>
      </c>
      <c r="K3651" s="14" t="n">
        <v>0</v>
      </c>
      <c r="L3651" s="14" t="n">
        <v>0</v>
      </c>
      <c r="M3651" s="14">
        <f>IF(B3651="Frete de venda",0,(1-ISNUMBER(SEARCH("556",P3651)))*(I3651*VLOOKUP($B3651,Premissas!$A$4:$E$7,2,0)+J3651*VLOOKUP($B3651,Premissas!$A$4:$E$7,3,0))+K3651*VLOOKUP($B3651,Premissas!$A$4:$E$7,4,0)+L3651*VLOOKUP($B3651,Premissas!$A$4:$E$7,5,0))</f>
        <v/>
      </c>
      <c r="N3651" s="14">
        <f>H3651-M3651</f>
        <v/>
      </c>
      <c r="O3651" t="inlineStr">
        <is>
          <t>Não</t>
        </is>
      </c>
      <c r="P3651" t="inlineStr">
        <is>
          <t>1.350</t>
        </is>
      </c>
    </row>
    <row r="3652">
      <c r="A3652" s="24" t="n">
        <v>46174</v>
      </c>
      <c r="B3652" t="inlineStr">
        <is>
          <t>Frete de venda</t>
        </is>
      </c>
      <c r="C3652" t="inlineStr">
        <is>
          <t>Frete de venda (para clientes)</t>
        </is>
      </c>
      <c r="D3652" t="inlineStr">
        <is>
          <t>CT-e</t>
        </is>
      </c>
      <c r="E3652" t="inlineStr">
        <is>
          <t>000007431</t>
        </is>
      </c>
      <c r="F3652" t="inlineStr">
        <is>
          <t>R&amp;R TRANSPORTE E LOGISTICA</t>
        </is>
      </c>
      <c r="G3652" s="27" t="n">
        <v>46193</v>
      </c>
      <c r="H3652" s="14" t="n">
        <v>304.32</v>
      </c>
      <c r="I3652" s="14" t="n">
        <v>0</v>
      </c>
      <c r="J3652" s="14" t="n">
        <v>0</v>
      </c>
      <c r="K3652" s="14" t="n">
        <v>0</v>
      </c>
      <c r="L3652" s="14" t="n">
        <v>0</v>
      </c>
      <c r="M3652" s="14">
        <f>IF(B3652="Frete de venda",0,(1-ISNUMBER(SEARCH("556",P3652)))*(I3652*VLOOKUP($B3652,Premissas!$A$4:$E$7,2,0)+J3652*VLOOKUP($B3652,Premissas!$A$4:$E$7,3,0))+K3652*VLOOKUP($B3652,Premissas!$A$4:$E$7,4,0)+L3652*VLOOKUP($B3652,Premissas!$A$4:$E$7,5,0))</f>
        <v/>
      </c>
      <c r="N3652" s="14">
        <f>H3652-M3652</f>
        <v/>
      </c>
      <c r="O3652" t="inlineStr">
        <is>
          <t>Não</t>
        </is>
      </c>
      <c r="P3652" t="inlineStr">
        <is>
          <t>1.350</t>
        </is>
      </c>
    </row>
    <row r="3653">
      <c r="A3653" s="24" t="n">
        <v>46174</v>
      </c>
      <c r="B3653" t="inlineStr">
        <is>
          <t>Frete de venda</t>
        </is>
      </c>
      <c r="C3653" t="inlineStr">
        <is>
          <t>Frete de venda (para clientes)</t>
        </is>
      </c>
      <c r="D3653" t="inlineStr">
        <is>
          <t>CT-e</t>
        </is>
      </c>
      <c r="E3653" t="inlineStr">
        <is>
          <t>000007497</t>
        </is>
      </c>
      <c r="F3653" t="inlineStr">
        <is>
          <t>R&amp;R TRANSPORTE E LOGISTICA</t>
        </is>
      </c>
      <c r="G3653" s="27" t="n">
        <v>46199</v>
      </c>
      <c r="H3653" s="14" t="n">
        <v>459.69</v>
      </c>
      <c r="I3653" s="14" t="n">
        <v>0</v>
      </c>
      <c r="J3653" s="14" t="n">
        <v>0</v>
      </c>
      <c r="K3653" s="14" t="n">
        <v>0</v>
      </c>
      <c r="L3653" s="14" t="n">
        <v>0</v>
      </c>
      <c r="M3653" s="14">
        <f>IF(B3653="Frete de venda",0,(1-ISNUMBER(SEARCH("556",P3653)))*(I3653*VLOOKUP($B3653,Premissas!$A$4:$E$7,2,0)+J3653*VLOOKUP($B3653,Premissas!$A$4:$E$7,3,0))+K3653*VLOOKUP($B3653,Premissas!$A$4:$E$7,4,0)+L3653*VLOOKUP($B3653,Premissas!$A$4:$E$7,5,0))</f>
        <v/>
      </c>
      <c r="N3653" s="14">
        <f>H3653-M3653</f>
        <v/>
      </c>
      <c r="O3653" t="inlineStr">
        <is>
          <t>Não</t>
        </is>
      </c>
      <c r="P3653" t="inlineStr">
        <is>
          <t>1.350</t>
        </is>
      </c>
    </row>
    <row r="3654">
      <c r="A3654" s="24" t="n">
        <v>46174</v>
      </c>
      <c r="B3654" t="inlineStr">
        <is>
          <t>Frete de venda</t>
        </is>
      </c>
      <c r="C3654" t="inlineStr">
        <is>
          <t>Frete de venda (para clientes)</t>
        </is>
      </c>
      <c r="D3654" t="inlineStr">
        <is>
          <t>CT-e</t>
        </is>
      </c>
      <c r="E3654" t="inlineStr">
        <is>
          <t>000007368</t>
        </is>
      </c>
      <c r="F3654" t="inlineStr">
        <is>
          <t>R&amp;R TRANSPORTE E LOGISTICA</t>
        </is>
      </c>
      <c r="G3654" s="27" t="n">
        <v>46189</v>
      </c>
      <c r="H3654" s="14" t="n">
        <v>40.93</v>
      </c>
      <c r="I3654" s="14" t="n">
        <v>0</v>
      </c>
      <c r="J3654" s="14" t="n">
        <v>0</v>
      </c>
      <c r="K3654" s="14" t="n">
        <v>0</v>
      </c>
      <c r="L3654" s="14" t="n">
        <v>0</v>
      </c>
      <c r="M3654" s="14">
        <f>IF(B3654="Frete de venda",0,(1-ISNUMBER(SEARCH("556",P3654)))*(I3654*VLOOKUP($B3654,Premissas!$A$4:$E$7,2,0)+J3654*VLOOKUP($B3654,Premissas!$A$4:$E$7,3,0))+K3654*VLOOKUP($B3654,Premissas!$A$4:$E$7,4,0)+L3654*VLOOKUP($B3654,Premissas!$A$4:$E$7,5,0))</f>
        <v/>
      </c>
      <c r="N3654" s="14">
        <f>H3654-M3654</f>
        <v/>
      </c>
      <c r="O3654" t="inlineStr">
        <is>
          <t>Não</t>
        </is>
      </c>
      <c r="P3654" t="inlineStr">
        <is>
          <t>1.350</t>
        </is>
      </c>
    </row>
    <row r="3655">
      <c r="A3655" s="24" t="n">
        <v>46174</v>
      </c>
      <c r="B3655" t="inlineStr">
        <is>
          <t>Frete de venda</t>
        </is>
      </c>
      <c r="C3655" t="inlineStr">
        <is>
          <t>Frete de venda (para clientes)</t>
        </is>
      </c>
      <c r="D3655" t="inlineStr">
        <is>
          <t>CT-e</t>
        </is>
      </c>
      <c r="E3655" t="inlineStr">
        <is>
          <t>000004255</t>
        </is>
      </c>
      <c r="F3655" t="inlineStr">
        <is>
          <t>RAPIDO XAPURI TRANSPORTES E LOGISTICA LTDA</t>
        </is>
      </c>
      <c r="G3655" s="27" t="n">
        <v>46192</v>
      </c>
      <c r="H3655" s="14" t="n">
        <v>1562.26</v>
      </c>
      <c r="I3655" s="14" t="n">
        <v>0</v>
      </c>
      <c r="J3655" s="14" t="n">
        <v>187.47</v>
      </c>
      <c r="K3655" s="14" t="n">
        <v>0</v>
      </c>
      <c r="L3655" s="14" t="n">
        <v>0</v>
      </c>
      <c r="M3655" s="14">
        <f>IF(B3655="Frete de venda",0,(1-ISNUMBER(SEARCH("556",P3655)))*(I3655*VLOOKUP($B3655,Premissas!$A$4:$E$7,2,0)+J3655*VLOOKUP($B3655,Premissas!$A$4:$E$7,3,0))+K3655*VLOOKUP($B3655,Premissas!$A$4:$E$7,4,0)+L3655*VLOOKUP($B3655,Premissas!$A$4:$E$7,5,0))</f>
        <v/>
      </c>
      <c r="N3655" s="14">
        <f>H3655-M3655</f>
        <v/>
      </c>
      <c r="O3655" t="inlineStr">
        <is>
          <t>Sim</t>
        </is>
      </c>
      <c r="P3655" t="inlineStr">
        <is>
          <t>2.350</t>
        </is>
      </c>
    </row>
    <row r="3656">
      <c r="A3656" s="24" t="n">
        <v>46174</v>
      </c>
      <c r="B3656" t="inlineStr">
        <is>
          <t>Frete de venda</t>
        </is>
      </c>
      <c r="C3656" t="inlineStr">
        <is>
          <t>Frete de venda (para clientes)</t>
        </is>
      </c>
      <c r="D3656" t="inlineStr">
        <is>
          <t>CT-e</t>
        </is>
      </c>
      <c r="E3656" t="inlineStr">
        <is>
          <t>000007247</t>
        </is>
      </c>
      <c r="F3656" t="inlineStr">
        <is>
          <t>R&amp;R TRANSPORTE E LOGISTICA</t>
        </is>
      </c>
      <c r="G3656" s="27" t="n">
        <v>46176</v>
      </c>
      <c r="H3656" s="14" t="n">
        <v>53</v>
      </c>
      <c r="I3656" s="14" t="n">
        <v>0</v>
      </c>
      <c r="J3656" s="14" t="n">
        <v>0</v>
      </c>
      <c r="K3656" s="14" t="n">
        <v>0</v>
      </c>
      <c r="L3656" s="14" t="n">
        <v>0</v>
      </c>
      <c r="M3656" s="14">
        <f>IF(B3656="Frete de venda",0,(1-ISNUMBER(SEARCH("556",P3656)))*(I3656*VLOOKUP($B3656,Premissas!$A$4:$E$7,2,0)+J3656*VLOOKUP($B3656,Premissas!$A$4:$E$7,3,0))+K3656*VLOOKUP($B3656,Premissas!$A$4:$E$7,4,0)+L3656*VLOOKUP($B3656,Premissas!$A$4:$E$7,5,0))</f>
        <v/>
      </c>
      <c r="N3656" s="14">
        <f>H3656-M3656</f>
        <v/>
      </c>
      <c r="O3656" t="inlineStr">
        <is>
          <t>Não</t>
        </is>
      </c>
      <c r="P3656" t="inlineStr">
        <is>
          <t>1.350</t>
        </is>
      </c>
    </row>
    <row r="3657">
      <c r="A3657" s="24" t="n">
        <v>46174</v>
      </c>
      <c r="B3657" t="inlineStr">
        <is>
          <t>Frete de venda</t>
        </is>
      </c>
      <c r="C3657" t="inlineStr">
        <is>
          <t>Frete de venda (para clientes)</t>
        </is>
      </c>
      <c r="D3657" t="inlineStr">
        <is>
          <t>CT-e</t>
        </is>
      </c>
      <c r="E3657" t="inlineStr">
        <is>
          <t>000007358</t>
        </is>
      </c>
      <c r="F3657" t="inlineStr">
        <is>
          <t>R&amp;R TRANSPORTE E LOGISTICA</t>
        </is>
      </c>
      <c r="G3657" s="27" t="n">
        <v>46189</v>
      </c>
      <c r="H3657" s="14" t="n">
        <v>87.98999999999999</v>
      </c>
      <c r="I3657" s="14" t="n">
        <v>0</v>
      </c>
      <c r="J3657" s="14" t="n">
        <v>0</v>
      </c>
      <c r="K3657" s="14" t="n">
        <v>0</v>
      </c>
      <c r="L3657" s="14" t="n">
        <v>0</v>
      </c>
      <c r="M3657" s="14">
        <f>IF(B3657="Frete de venda",0,(1-ISNUMBER(SEARCH("556",P3657)))*(I3657*VLOOKUP($B3657,Premissas!$A$4:$E$7,2,0)+J3657*VLOOKUP($B3657,Premissas!$A$4:$E$7,3,0))+K3657*VLOOKUP($B3657,Premissas!$A$4:$E$7,4,0)+L3657*VLOOKUP($B3657,Premissas!$A$4:$E$7,5,0))</f>
        <v/>
      </c>
      <c r="N3657" s="14">
        <f>H3657-M3657</f>
        <v/>
      </c>
      <c r="O3657" t="inlineStr">
        <is>
          <t>Não</t>
        </is>
      </c>
      <c r="P3657" t="inlineStr">
        <is>
          <t>1.350</t>
        </is>
      </c>
    </row>
    <row r="3658">
      <c r="A3658" s="24" t="n">
        <v>46174</v>
      </c>
      <c r="B3658" t="inlineStr">
        <is>
          <t>Frete de venda</t>
        </is>
      </c>
      <c r="C3658" t="inlineStr">
        <is>
          <t>Frete de venda (para clientes)</t>
        </is>
      </c>
      <c r="D3658" t="inlineStr">
        <is>
          <t>CT-e</t>
        </is>
      </c>
      <c r="E3658" t="inlineStr">
        <is>
          <t>000007268</t>
        </is>
      </c>
      <c r="F3658" t="inlineStr">
        <is>
          <t>R&amp;R TRANSPORTE E LOGISTICA</t>
        </is>
      </c>
      <c r="G3658" s="27" t="n">
        <v>46177</v>
      </c>
      <c r="H3658" s="14" t="n">
        <v>317.8</v>
      </c>
      <c r="I3658" s="14" t="n">
        <v>0</v>
      </c>
      <c r="J3658" s="14" t="n">
        <v>0</v>
      </c>
      <c r="K3658" s="14" t="n">
        <v>0</v>
      </c>
      <c r="L3658" s="14" t="n">
        <v>0</v>
      </c>
      <c r="M3658" s="14">
        <f>IF(B3658="Frete de venda",0,(1-ISNUMBER(SEARCH("556",P3658)))*(I3658*VLOOKUP($B3658,Premissas!$A$4:$E$7,2,0)+J3658*VLOOKUP($B3658,Premissas!$A$4:$E$7,3,0))+K3658*VLOOKUP($B3658,Premissas!$A$4:$E$7,4,0)+L3658*VLOOKUP($B3658,Premissas!$A$4:$E$7,5,0))</f>
        <v/>
      </c>
      <c r="N3658" s="14">
        <f>H3658-M3658</f>
        <v/>
      </c>
      <c r="O3658" t="inlineStr">
        <is>
          <t>Não</t>
        </is>
      </c>
      <c r="P3658" t="inlineStr">
        <is>
          <t>1.350</t>
        </is>
      </c>
    </row>
    <row r="3659">
      <c r="A3659" s="24" t="n">
        <v>46174</v>
      </c>
      <c r="B3659" t="inlineStr">
        <is>
          <t>Frete de venda</t>
        </is>
      </c>
      <c r="C3659" t="inlineStr">
        <is>
          <t>Frete de venda (para clientes)</t>
        </is>
      </c>
      <c r="D3659" t="inlineStr">
        <is>
          <t>CT-e</t>
        </is>
      </c>
      <c r="E3659" t="inlineStr">
        <is>
          <t>000007346</t>
        </is>
      </c>
      <c r="F3659" t="inlineStr">
        <is>
          <t>R&amp;R TRANSPORTE E LOGISTICA</t>
        </is>
      </c>
      <c r="G3659" s="27" t="n">
        <v>46186</v>
      </c>
      <c r="H3659" s="14" t="n">
        <v>540</v>
      </c>
      <c r="I3659" s="14" t="n">
        <v>0</v>
      </c>
      <c r="J3659" s="14" t="n">
        <v>0</v>
      </c>
      <c r="K3659" s="14" t="n">
        <v>0</v>
      </c>
      <c r="L3659" s="14" t="n">
        <v>0</v>
      </c>
      <c r="M3659" s="14">
        <f>IF(B3659="Frete de venda",0,(1-ISNUMBER(SEARCH("556",P3659)))*(I3659*VLOOKUP($B3659,Premissas!$A$4:$E$7,2,0)+J3659*VLOOKUP($B3659,Premissas!$A$4:$E$7,3,0))+K3659*VLOOKUP($B3659,Premissas!$A$4:$E$7,4,0)+L3659*VLOOKUP($B3659,Premissas!$A$4:$E$7,5,0))</f>
        <v/>
      </c>
      <c r="N3659" s="14">
        <f>H3659-M3659</f>
        <v/>
      </c>
      <c r="O3659" t="inlineStr">
        <is>
          <t>Não</t>
        </is>
      </c>
      <c r="P3659" t="inlineStr">
        <is>
          <t>1.350</t>
        </is>
      </c>
    </row>
    <row r="3660">
      <c r="A3660" s="24" t="n">
        <v>46174</v>
      </c>
      <c r="B3660" t="inlineStr">
        <is>
          <t>Frete de venda</t>
        </is>
      </c>
      <c r="C3660" t="inlineStr">
        <is>
          <t>Frete de venda (para clientes)</t>
        </is>
      </c>
      <c r="D3660" t="inlineStr">
        <is>
          <t>CT-e</t>
        </is>
      </c>
      <c r="E3660" t="inlineStr">
        <is>
          <t>000007393</t>
        </is>
      </c>
      <c r="F3660" t="inlineStr">
        <is>
          <t>R&amp;R TRANSPORTE E LOGISTICA</t>
        </is>
      </c>
      <c r="G3660" s="27" t="n">
        <v>46191</v>
      </c>
      <c r="H3660" s="14" t="n">
        <v>950</v>
      </c>
      <c r="I3660" s="14" t="n">
        <v>0</v>
      </c>
      <c r="J3660" s="14" t="n">
        <v>0</v>
      </c>
      <c r="K3660" s="14" t="n">
        <v>0</v>
      </c>
      <c r="L3660" s="14" t="n">
        <v>0</v>
      </c>
      <c r="M3660" s="14">
        <f>IF(B3660="Frete de venda",0,(1-ISNUMBER(SEARCH("556",P3660)))*(I3660*VLOOKUP($B3660,Premissas!$A$4:$E$7,2,0)+J3660*VLOOKUP($B3660,Premissas!$A$4:$E$7,3,0))+K3660*VLOOKUP($B3660,Premissas!$A$4:$E$7,4,0)+L3660*VLOOKUP($B3660,Premissas!$A$4:$E$7,5,0))</f>
        <v/>
      </c>
      <c r="N3660" s="14">
        <f>H3660-M3660</f>
        <v/>
      </c>
      <c r="O3660" t="inlineStr">
        <is>
          <t>Não</t>
        </is>
      </c>
      <c r="P3660" t="inlineStr">
        <is>
          <t>1.350</t>
        </is>
      </c>
    </row>
    <row r="3661">
      <c r="A3661" s="24" t="n">
        <v>46174</v>
      </c>
      <c r="B3661" t="inlineStr">
        <is>
          <t>Frete de venda</t>
        </is>
      </c>
      <c r="C3661" t="inlineStr">
        <is>
          <t>Frete de venda (para clientes)</t>
        </is>
      </c>
      <c r="D3661" t="inlineStr">
        <is>
          <t>CT-e</t>
        </is>
      </c>
      <c r="E3661" t="inlineStr">
        <is>
          <t>000007264</t>
        </is>
      </c>
      <c r="F3661" t="inlineStr">
        <is>
          <t>R&amp;R TRANSPORTE E LOGISTICA</t>
        </is>
      </c>
      <c r="G3661" s="27" t="n">
        <v>46176</v>
      </c>
      <c r="H3661" s="14" t="n">
        <v>53</v>
      </c>
      <c r="I3661" s="14" t="n">
        <v>0</v>
      </c>
      <c r="J3661" s="14" t="n">
        <v>0</v>
      </c>
      <c r="K3661" s="14" t="n">
        <v>0</v>
      </c>
      <c r="L3661" s="14" t="n">
        <v>0</v>
      </c>
      <c r="M3661" s="14">
        <f>IF(B3661="Frete de venda",0,(1-ISNUMBER(SEARCH("556",P3661)))*(I3661*VLOOKUP($B3661,Premissas!$A$4:$E$7,2,0)+J3661*VLOOKUP($B3661,Premissas!$A$4:$E$7,3,0))+K3661*VLOOKUP($B3661,Premissas!$A$4:$E$7,4,0)+L3661*VLOOKUP($B3661,Premissas!$A$4:$E$7,5,0))</f>
        <v/>
      </c>
      <c r="N3661" s="14">
        <f>H3661-M3661</f>
        <v/>
      </c>
      <c r="O3661" t="inlineStr">
        <is>
          <t>Não</t>
        </is>
      </c>
      <c r="P3661" t="inlineStr">
        <is>
          <t>1.350</t>
        </is>
      </c>
    </row>
    <row r="3662">
      <c r="A3662" s="24" t="n">
        <v>46174</v>
      </c>
      <c r="B3662" t="inlineStr">
        <is>
          <t>Frete de venda</t>
        </is>
      </c>
      <c r="C3662" t="inlineStr">
        <is>
          <t>Frete de venda (para clientes)</t>
        </is>
      </c>
      <c r="D3662" t="inlineStr">
        <is>
          <t>CT-e</t>
        </is>
      </c>
      <c r="E3662" t="inlineStr">
        <is>
          <t>000007271</t>
        </is>
      </c>
      <c r="F3662" t="inlineStr">
        <is>
          <t>R&amp;R TRANSPORTE E LOGISTICA</t>
        </is>
      </c>
      <c r="G3662" s="27" t="n">
        <v>46178</v>
      </c>
      <c r="H3662" s="14" t="n">
        <v>160.5</v>
      </c>
      <c r="I3662" s="14" t="n">
        <v>0</v>
      </c>
      <c r="J3662" s="14" t="n">
        <v>0</v>
      </c>
      <c r="K3662" s="14" t="n">
        <v>0</v>
      </c>
      <c r="L3662" s="14" t="n">
        <v>0</v>
      </c>
      <c r="M3662" s="14">
        <f>IF(B3662="Frete de venda",0,(1-ISNUMBER(SEARCH("556",P3662)))*(I3662*VLOOKUP($B3662,Premissas!$A$4:$E$7,2,0)+J3662*VLOOKUP($B3662,Premissas!$A$4:$E$7,3,0))+K3662*VLOOKUP($B3662,Premissas!$A$4:$E$7,4,0)+L3662*VLOOKUP($B3662,Premissas!$A$4:$E$7,5,0))</f>
        <v/>
      </c>
      <c r="N3662" s="14">
        <f>H3662-M3662</f>
        <v/>
      </c>
      <c r="O3662" t="inlineStr">
        <is>
          <t>Não</t>
        </is>
      </c>
      <c r="P3662" t="inlineStr">
        <is>
          <t>1.350</t>
        </is>
      </c>
    </row>
    <row r="3663">
      <c r="A3663" s="24" t="n">
        <v>46174</v>
      </c>
      <c r="B3663" t="inlineStr">
        <is>
          <t>Frete de venda</t>
        </is>
      </c>
      <c r="C3663" t="inlineStr">
        <is>
          <t>Frete de venda (para clientes)</t>
        </is>
      </c>
      <c r="D3663" t="inlineStr">
        <is>
          <t>CT-e</t>
        </is>
      </c>
      <c r="E3663" t="inlineStr">
        <is>
          <t>000007265</t>
        </is>
      </c>
      <c r="F3663" t="inlineStr">
        <is>
          <t>R&amp;R TRANSPORTE E LOGISTICA</t>
        </is>
      </c>
      <c r="G3663" s="27" t="n">
        <v>46176</v>
      </c>
      <c r="H3663" s="14" t="n">
        <v>53</v>
      </c>
      <c r="I3663" s="14" t="n">
        <v>0</v>
      </c>
      <c r="J3663" s="14" t="n">
        <v>0</v>
      </c>
      <c r="K3663" s="14" t="n">
        <v>0</v>
      </c>
      <c r="L3663" s="14" t="n">
        <v>0</v>
      </c>
      <c r="M3663" s="14">
        <f>IF(B3663="Frete de venda",0,(1-ISNUMBER(SEARCH("556",P3663)))*(I3663*VLOOKUP($B3663,Premissas!$A$4:$E$7,2,0)+J3663*VLOOKUP($B3663,Premissas!$A$4:$E$7,3,0))+K3663*VLOOKUP($B3663,Premissas!$A$4:$E$7,4,0)+L3663*VLOOKUP($B3663,Premissas!$A$4:$E$7,5,0))</f>
        <v/>
      </c>
      <c r="N3663" s="14">
        <f>H3663-M3663</f>
        <v/>
      </c>
      <c r="O3663" t="inlineStr">
        <is>
          <t>Não</t>
        </is>
      </c>
      <c r="P3663" t="inlineStr">
        <is>
          <t>1.350</t>
        </is>
      </c>
    </row>
    <row r="3664">
      <c r="A3664" s="24" t="n">
        <v>46174</v>
      </c>
      <c r="B3664" t="inlineStr">
        <is>
          <t>Frete de venda</t>
        </is>
      </c>
      <c r="C3664" t="inlineStr">
        <is>
          <t>Frete de venda (para clientes)</t>
        </is>
      </c>
      <c r="D3664" t="inlineStr">
        <is>
          <t>CT-e</t>
        </is>
      </c>
      <c r="E3664" t="inlineStr">
        <is>
          <t>000004100</t>
        </is>
      </c>
      <c r="F3664" t="inlineStr">
        <is>
          <t>RAPIDO XAPURI TRANSPORTES E LOGISTICA LTDA</t>
        </is>
      </c>
      <c r="G3664" s="27" t="n">
        <v>46181</v>
      </c>
      <c r="H3664" s="14" t="n">
        <v>2838.45</v>
      </c>
      <c r="I3664" s="14" t="n">
        <v>0</v>
      </c>
      <c r="J3664" s="14" t="n">
        <v>340.61</v>
      </c>
      <c r="K3664" s="14" t="n">
        <v>0</v>
      </c>
      <c r="L3664" s="14" t="n">
        <v>0</v>
      </c>
      <c r="M3664" s="14">
        <f>IF(B3664="Frete de venda",0,(1-ISNUMBER(SEARCH("556",P3664)))*(I3664*VLOOKUP($B3664,Premissas!$A$4:$E$7,2,0)+J3664*VLOOKUP($B3664,Premissas!$A$4:$E$7,3,0))+K3664*VLOOKUP($B3664,Premissas!$A$4:$E$7,4,0)+L3664*VLOOKUP($B3664,Premissas!$A$4:$E$7,5,0))</f>
        <v/>
      </c>
      <c r="N3664" s="14">
        <f>H3664-M3664</f>
        <v/>
      </c>
      <c r="O3664" t="inlineStr">
        <is>
          <t>Sim</t>
        </is>
      </c>
      <c r="P3664" t="inlineStr">
        <is>
          <t>1.350</t>
        </is>
      </c>
    </row>
    <row r="3665">
      <c r="A3665" s="24" t="n">
        <v>46174</v>
      </c>
      <c r="B3665" t="inlineStr">
        <is>
          <t>Frete de venda</t>
        </is>
      </c>
      <c r="C3665" t="inlineStr">
        <is>
          <t>Frete de venda (para clientes)</t>
        </is>
      </c>
      <c r="D3665" t="inlineStr">
        <is>
          <t>CT-e</t>
        </is>
      </c>
      <c r="E3665" t="inlineStr">
        <is>
          <t>000007448</t>
        </is>
      </c>
      <c r="F3665" t="inlineStr">
        <is>
          <t>R&amp;R TRANSPORTE E LOGISTICA</t>
        </is>
      </c>
      <c r="G3665" s="27" t="n">
        <v>46196</v>
      </c>
      <c r="H3665" s="14" t="n">
        <v>37.26</v>
      </c>
      <c r="I3665" s="14" t="n">
        <v>0</v>
      </c>
      <c r="J3665" s="14" t="n">
        <v>0</v>
      </c>
      <c r="K3665" s="14" t="n">
        <v>0</v>
      </c>
      <c r="L3665" s="14" t="n">
        <v>0</v>
      </c>
      <c r="M3665" s="14">
        <f>IF(B3665="Frete de venda",0,(1-ISNUMBER(SEARCH("556",P3665)))*(I3665*VLOOKUP($B3665,Premissas!$A$4:$E$7,2,0)+J3665*VLOOKUP($B3665,Premissas!$A$4:$E$7,3,0))+K3665*VLOOKUP($B3665,Premissas!$A$4:$E$7,4,0)+L3665*VLOOKUP($B3665,Premissas!$A$4:$E$7,5,0))</f>
        <v/>
      </c>
      <c r="N3665" s="14">
        <f>H3665-M3665</f>
        <v/>
      </c>
      <c r="O3665" t="inlineStr">
        <is>
          <t>Não</t>
        </is>
      </c>
      <c r="P3665" t="inlineStr">
        <is>
          <t>1.350</t>
        </is>
      </c>
    </row>
    <row r="3666">
      <c r="A3666" s="24" t="n">
        <v>46174</v>
      </c>
      <c r="B3666" t="inlineStr">
        <is>
          <t>Frete de venda</t>
        </is>
      </c>
      <c r="C3666" t="inlineStr">
        <is>
          <t>Frete de venda (para clientes)</t>
        </is>
      </c>
      <c r="D3666" t="inlineStr">
        <is>
          <t>CT-e</t>
        </is>
      </c>
      <c r="E3666" t="inlineStr">
        <is>
          <t>000000694</t>
        </is>
      </c>
      <c r="F3666" t="inlineStr">
        <is>
          <t>REIMAG - REINALDO DOMINGUES BARROS DA SILVA</t>
        </is>
      </c>
      <c r="G3666" s="27" t="n">
        <v>46182</v>
      </c>
      <c r="H3666" s="14" t="n">
        <v>275</v>
      </c>
      <c r="I3666" s="14" t="n">
        <v>0</v>
      </c>
      <c r="J3666" s="14" t="n">
        <v>0</v>
      </c>
      <c r="K3666" s="14" t="n">
        <v>0</v>
      </c>
      <c r="L3666" s="14" t="n">
        <v>0</v>
      </c>
      <c r="M3666" s="14">
        <f>IF(B3666="Frete de venda",0,(1-ISNUMBER(SEARCH("556",P3666)))*(I3666*VLOOKUP($B3666,Premissas!$A$4:$E$7,2,0)+J3666*VLOOKUP($B3666,Premissas!$A$4:$E$7,3,0))+K3666*VLOOKUP($B3666,Premissas!$A$4:$E$7,4,0)+L3666*VLOOKUP($B3666,Premissas!$A$4:$E$7,5,0))</f>
        <v/>
      </c>
      <c r="N3666" s="14">
        <f>H3666-M3666</f>
        <v/>
      </c>
      <c r="O3666" t="inlineStr">
        <is>
          <t>Sim</t>
        </is>
      </c>
      <c r="P3666" t="inlineStr">
        <is>
          <t>1.350</t>
        </is>
      </c>
    </row>
    <row r="3667">
      <c r="A3667" s="24" t="n">
        <v>46174</v>
      </c>
      <c r="B3667" t="inlineStr">
        <is>
          <t>Frete de venda</t>
        </is>
      </c>
      <c r="C3667" t="inlineStr">
        <is>
          <t>Frete de venda (para clientes)</t>
        </is>
      </c>
      <c r="D3667" t="inlineStr">
        <is>
          <t>CT-e</t>
        </is>
      </c>
      <c r="E3667" t="inlineStr">
        <is>
          <t>000007369</t>
        </is>
      </c>
      <c r="F3667" t="inlineStr">
        <is>
          <t>R&amp;R TRANSPORTE E LOGISTICA</t>
        </is>
      </c>
      <c r="G3667" s="27" t="n">
        <v>46189</v>
      </c>
      <c r="H3667" s="14" t="n">
        <v>26.19</v>
      </c>
      <c r="I3667" s="14" t="n">
        <v>0</v>
      </c>
      <c r="J3667" s="14" t="n">
        <v>0</v>
      </c>
      <c r="K3667" s="14" t="n">
        <v>0</v>
      </c>
      <c r="L3667" s="14" t="n">
        <v>0</v>
      </c>
      <c r="M3667" s="14">
        <f>IF(B3667="Frete de venda",0,(1-ISNUMBER(SEARCH("556",P3667)))*(I3667*VLOOKUP($B3667,Premissas!$A$4:$E$7,2,0)+J3667*VLOOKUP($B3667,Premissas!$A$4:$E$7,3,0))+K3667*VLOOKUP($B3667,Premissas!$A$4:$E$7,4,0)+L3667*VLOOKUP($B3667,Premissas!$A$4:$E$7,5,0))</f>
        <v/>
      </c>
      <c r="N3667" s="14">
        <f>H3667-M3667</f>
        <v/>
      </c>
      <c r="O3667" t="inlineStr">
        <is>
          <t>Não</t>
        </is>
      </c>
      <c r="P3667" t="inlineStr">
        <is>
          <t>1.350</t>
        </is>
      </c>
    </row>
    <row r="3668">
      <c r="A3668" s="24" t="n">
        <v>46174</v>
      </c>
      <c r="B3668" t="inlineStr">
        <is>
          <t>Frete de venda</t>
        </is>
      </c>
      <c r="C3668" t="inlineStr">
        <is>
          <t>Frete de venda (para clientes)</t>
        </is>
      </c>
      <c r="D3668" t="inlineStr">
        <is>
          <t>CT-e</t>
        </is>
      </c>
      <c r="E3668" t="inlineStr">
        <is>
          <t>000004253</t>
        </is>
      </c>
      <c r="F3668" t="inlineStr">
        <is>
          <t>RAPIDO XAPURI TRANSPORTES E LOGISTICA LTDA</t>
        </is>
      </c>
      <c r="G3668" s="27" t="n">
        <v>46192</v>
      </c>
      <c r="H3668" s="14" t="n">
        <v>1115.39</v>
      </c>
      <c r="I3668" s="14" t="n">
        <v>0</v>
      </c>
      <c r="J3668" s="14" t="n">
        <v>133.85</v>
      </c>
      <c r="K3668" s="14" t="n">
        <v>0</v>
      </c>
      <c r="L3668" s="14" t="n">
        <v>0</v>
      </c>
      <c r="M3668" s="14">
        <f>IF(B3668="Frete de venda",0,(1-ISNUMBER(SEARCH("556",P3668)))*(I3668*VLOOKUP($B3668,Premissas!$A$4:$E$7,2,0)+J3668*VLOOKUP($B3668,Premissas!$A$4:$E$7,3,0))+K3668*VLOOKUP($B3668,Premissas!$A$4:$E$7,4,0)+L3668*VLOOKUP($B3668,Premissas!$A$4:$E$7,5,0))</f>
        <v/>
      </c>
      <c r="N3668" s="14">
        <f>H3668-M3668</f>
        <v/>
      </c>
      <c r="O3668" t="inlineStr">
        <is>
          <t>Sim</t>
        </is>
      </c>
      <c r="P3668" t="inlineStr">
        <is>
          <t>2.350</t>
        </is>
      </c>
    </row>
    <row r="3669">
      <c r="A3669" s="24" t="n">
        <v>46174</v>
      </c>
      <c r="B3669" t="inlineStr">
        <is>
          <t>Frete de venda</t>
        </is>
      </c>
      <c r="C3669" t="inlineStr">
        <is>
          <t>Frete de venda (para clientes)</t>
        </is>
      </c>
      <c r="D3669" t="inlineStr">
        <is>
          <t>CT-e</t>
        </is>
      </c>
      <c r="E3669" t="inlineStr">
        <is>
          <t>000007253</t>
        </is>
      </c>
      <c r="F3669" t="inlineStr">
        <is>
          <t>R&amp;R TRANSPORTE E LOGISTICA</t>
        </is>
      </c>
      <c r="G3669" s="27" t="n">
        <v>46176</v>
      </c>
      <c r="H3669" s="14" t="n">
        <v>53</v>
      </c>
      <c r="I3669" s="14" t="n">
        <v>0</v>
      </c>
      <c r="J3669" s="14" t="n">
        <v>0</v>
      </c>
      <c r="K3669" s="14" t="n">
        <v>0</v>
      </c>
      <c r="L3669" s="14" t="n">
        <v>0</v>
      </c>
      <c r="M3669" s="14">
        <f>IF(B3669="Frete de venda",0,(1-ISNUMBER(SEARCH("556",P3669)))*(I3669*VLOOKUP($B3669,Premissas!$A$4:$E$7,2,0)+J3669*VLOOKUP($B3669,Premissas!$A$4:$E$7,3,0))+K3669*VLOOKUP($B3669,Premissas!$A$4:$E$7,4,0)+L3669*VLOOKUP($B3669,Premissas!$A$4:$E$7,5,0))</f>
        <v/>
      </c>
      <c r="N3669" s="14">
        <f>H3669-M3669</f>
        <v/>
      </c>
      <c r="O3669" t="inlineStr">
        <is>
          <t>Não</t>
        </is>
      </c>
      <c r="P3669" t="inlineStr">
        <is>
          <t>1.350</t>
        </is>
      </c>
    </row>
    <row r="3670">
      <c r="A3670" s="24" t="n">
        <v>46174</v>
      </c>
      <c r="B3670" t="inlineStr">
        <is>
          <t>Frete de venda</t>
        </is>
      </c>
      <c r="C3670" t="inlineStr">
        <is>
          <t>Frete de venda (para clientes)</t>
        </is>
      </c>
      <c r="D3670" t="inlineStr">
        <is>
          <t>CT-e</t>
        </is>
      </c>
      <c r="E3670" t="inlineStr">
        <is>
          <t>000004101</t>
        </is>
      </c>
      <c r="F3670" t="inlineStr">
        <is>
          <t>RAPIDO XAPURI TRANSPORTES E LOGISTICA LTDA</t>
        </is>
      </c>
      <c r="G3670" s="27" t="n">
        <v>46181</v>
      </c>
      <c r="H3670" s="14" t="n">
        <v>680.63</v>
      </c>
      <c r="I3670" s="14" t="n">
        <v>0</v>
      </c>
      <c r="J3670" s="14" t="n">
        <v>81.68000000000001</v>
      </c>
      <c r="K3670" s="14" t="n">
        <v>0</v>
      </c>
      <c r="L3670" s="14" t="n">
        <v>0</v>
      </c>
      <c r="M3670" s="14">
        <f>IF(B3670="Frete de venda",0,(1-ISNUMBER(SEARCH("556",P3670)))*(I3670*VLOOKUP($B3670,Premissas!$A$4:$E$7,2,0)+J3670*VLOOKUP($B3670,Premissas!$A$4:$E$7,3,0))+K3670*VLOOKUP($B3670,Premissas!$A$4:$E$7,4,0)+L3670*VLOOKUP($B3670,Premissas!$A$4:$E$7,5,0))</f>
        <v/>
      </c>
      <c r="N3670" s="14">
        <f>H3670-M3670</f>
        <v/>
      </c>
      <c r="O3670" t="inlineStr">
        <is>
          <t>Sim</t>
        </is>
      </c>
      <c r="P3670" t="inlineStr">
        <is>
          <t>1.350</t>
        </is>
      </c>
    </row>
    <row r="3671">
      <c r="A3671" s="24" t="n">
        <v>46174</v>
      </c>
      <c r="B3671" t="inlineStr">
        <is>
          <t>Frete de venda</t>
        </is>
      </c>
      <c r="C3671" t="inlineStr">
        <is>
          <t>Frete de venda (para clientes)</t>
        </is>
      </c>
      <c r="D3671" t="inlineStr">
        <is>
          <t>CT-e</t>
        </is>
      </c>
      <c r="E3671" t="inlineStr">
        <is>
          <t>000007403</t>
        </is>
      </c>
      <c r="F3671" t="inlineStr">
        <is>
          <t>R&amp;R TRANSPORTE E LOGISTICA</t>
        </is>
      </c>
      <c r="G3671" s="27" t="n">
        <v>46192</v>
      </c>
      <c r="H3671" s="14" t="n">
        <v>31.37</v>
      </c>
      <c r="I3671" s="14" t="n">
        <v>0</v>
      </c>
      <c r="J3671" s="14" t="n">
        <v>0</v>
      </c>
      <c r="K3671" s="14" t="n">
        <v>0</v>
      </c>
      <c r="L3671" s="14" t="n">
        <v>0</v>
      </c>
      <c r="M3671" s="14">
        <f>IF(B3671="Frete de venda",0,(1-ISNUMBER(SEARCH("556",P3671)))*(I3671*VLOOKUP($B3671,Premissas!$A$4:$E$7,2,0)+J3671*VLOOKUP($B3671,Premissas!$A$4:$E$7,3,0))+K3671*VLOOKUP($B3671,Premissas!$A$4:$E$7,4,0)+L3671*VLOOKUP($B3671,Premissas!$A$4:$E$7,5,0))</f>
        <v/>
      </c>
      <c r="N3671" s="14">
        <f>H3671-M3671</f>
        <v/>
      </c>
      <c r="O3671" t="inlineStr">
        <is>
          <t>Não</t>
        </is>
      </c>
      <c r="P3671" t="inlineStr">
        <is>
          <t>1.350</t>
        </is>
      </c>
    </row>
    <row r="3672">
      <c r="A3672" s="24" t="n">
        <v>46174</v>
      </c>
      <c r="B3672" t="inlineStr">
        <is>
          <t>Frete de venda</t>
        </is>
      </c>
      <c r="C3672" t="inlineStr">
        <is>
          <t>Frete de venda (para clientes)</t>
        </is>
      </c>
      <c r="D3672" t="inlineStr">
        <is>
          <t>CT-e</t>
        </is>
      </c>
      <c r="E3672" t="inlineStr">
        <is>
          <t>000007398</t>
        </is>
      </c>
      <c r="F3672" t="inlineStr">
        <is>
          <t>R&amp;R TRANSPORTE E LOGISTICA</t>
        </is>
      </c>
      <c r="G3672" s="27" t="n">
        <v>46192</v>
      </c>
      <c r="H3672" s="14" t="n">
        <v>17.26</v>
      </c>
      <c r="I3672" s="14" t="n">
        <v>0</v>
      </c>
      <c r="J3672" s="14" t="n">
        <v>0</v>
      </c>
      <c r="K3672" s="14" t="n">
        <v>0</v>
      </c>
      <c r="L3672" s="14" t="n">
        <v>0</v>
      </c>
      <c r="M3672" s="14">
        <f>IF(B3672="Frete de venda",0,(1-ISNUMBER(SEARCH("556",P3672)))*(I3672*VLOOKUP($B3672,Premissas!$A$4:$E$7,2,0)+J3672*VLOOKUP($B3672,Premissas!$A$4:$E$7,3,0))+K3672*VLOOKUP($B3672,Premissas!$A$4:$E$7,4,0)+L3672*VLOOKUP($B3672,Premissas!$A$4:$E$7,5,0))</f>
        <v/>
      </c>
      <c r="N3672" s="14">
        <f>H3672-M3672</f>
        <v/>
      </c>
      <c r="O3672" t="inlineStr">
        <is>
          <t>Não</t>
        </is>
      </c>
      <c r="P3672" t="inlineStr">
        <is>
          <t>1.350</t>
        </is>
      </c>
    </row>
    <row r="3673">
      <c r="A3673" s="24" t="n">
        <v>46174</v>
      </c>
      <c r="B3673" t="inlineStr">
        <is>
          <t>Frete de venda</t>
        </is>
      </c>
      <c r="C3673" t="inlineStr">
        <is>
          <t>Frete de venda (para clientes)</t>
        </is>
      </c>
      <c r="D3673" t="inlineStr">
        <is>
          <t>CT-e</t>
        </is>
      </c>
      <c r="E3673" t="inlineStr">
        <is>
          <t>000007280</t>
        </is>
      </c>
      <c r="F3673" t="inlineStr">
        <is>
          <t>R&amp;R TRANSPORTE E LOGISTICA</t>
        </is>
      </c>
      <c r="G3673" s="27" t="n">
        <v>46181</v>
      </c>
      <c r="H3673" s="14" t="n">
        <v>500</v>
      </c>
      <c r="I3673" s="14" t="n">
        <v>0</v>
      </c>
      <c r="J3673" s="14" t="n">
        <v>0</v>
      </c>
      <c r="K3673" s="14" t="n">
        <v>0</v>
      </c>
      <c r="L3673" s="14" t="n">
        <v>0</v>
      </c>
      <c r="M3673" s="14">
        <f>IF(B3673="Frete de venda",0,(1-ISNUMBER(SEARCH("556",P3673)))*(I3673*VLOOKUP($B3673,Premissas!$A$4:$E$7,2,0)+J3673*VLOOKUP($B3673,Premissas!$A$4:$E$7,3,0))+K3673*VLOOKUP($B3673,Premissas!$A$4:$E$7,4,0)+L3673*VLOOKUP($B3673,Premissas!$A$4:$E$7,5,0))</f>
        <v/>
      </c>
      <c r="N3673" s="14">
        <f>H3673-M3673</f>
        <v/>
      </c>
      <c r="O3673" t="inlineStr">
        <is>
          <t>Não</t>
        </is>
      </c>
      <c r="P3673" t="inlineStr">
        <is>
          <t>1.350</t>
        </is>
      </c>
    </row>
    <row r="3674">
      <c r="A3674" s="24" t="n">
        <v>46174</v>
      </c>
      <c r="B3674" t="inlineStr">
        <is>
          <t>Frete de venda</t>
        </is>
      </c>
      <c r="C3674" t="inlineStr">
        <is>
          <t>Frete de venda (para clientes)</t>
        </is>
      </c>
      <c r="D3674" t="inlineStr">
        <is>
          <t>CT-e</t>
        </is>
      </c>
      <c r="E3674" t="inlineStr">
        <is>
          <t>000007426</t>
        </is>
      </c>
      <c r="F3674" t="inlineStr">
        <is>
          <t>R&amp;R TRANSPORTE E LOGISTICA</t>
        </is>
      </c>
      <c r="G3674" s="27" t="n">
        <v>46192</v>
      </c>
      <c r="H3674" s="14" t="n">
        <v>80.43000000000001</v>
      </c>
      <c r="I3674" s="14" t="n">
        <v>0</v>
      </c>
      <c r="J3674" s="14" t="n">
        <v>0</v>
      </c>
      <c r="K3674" s="14" t="n">
        <v>0</v>
      </c>
      <c r="L3674" s="14" t="n">
        <v>0</v>
      </c>
      <c r="M3674" s="14">
        <f>IF(B3674="Frete de venda",0,(1-ISNUMBER(SEARCH("556",P3674)))*(I3674*VLOOKUP($B3674,Premissas!$A$4:$E$7,2,0)+J3674*VLOOKUP($B3674,Premissas!$A$4:$E$7,3,0))+K3674*VLOOKUP($B3674,Premissas!$A$4:$E$7,4,0)+L3674*VLOOKUP($B3674,Premissas!$A$4:$E$7,5,0))</f>
        <v/>
      </c>
      <c r="N3674" s="14">
        <f>H3674-M3674</f>
        <v/>
      </c>
      <c r="O3674" t="inlineStr">
        <is>
          <t>Não</t>
        </is>
      </c>
      <c r="P3674" t="inlineStr">
        <is>
          <t>1.350</t>
        </is>
      </c>
    </row>
    <row r="3675">
      <c r="A3675" s="24" t="n">
        <v>46174</v>
      </c>
      <c r="B3675" t="inlineStr">
        <is>
          <t>Frete de venda</t>
        </is>
      </c>
      <c r="C3675" t="inlineStr">
        <is>
          <t>Frete de venda (para clientes)</t>
        </is>
      </c>
      <c r="D3675" t="inlineStr">
        <is>
          <t>CT-e</t>
        </is>
      </c>
      <c r="E3675" t="inlineStr">
        <is>
          <t>000007333</t>
        </is>
      </c>
      <c r="F3675" t="inlineStr">
        <is>
          <t>R&amp;R TRANSPORTE E LOGISTICA</t>
        </is>
      </c>
      <c r="G3675" s="27" t="n">
        <v>46186</v>
      </c>
      <c r="H3675" s="14" t="n">
        <v>20.22</v>
      </c>
      <c r="I3675" s="14" t="n">
        <v>0</v>
      </c>
      <c r="J3675" s="14" t="n">
        <v>0</v>
      </c>
      <c r="K3675" s="14" t="n">
        <v>0</v>
      </c>
      <c r="L3675" s="14" t="n">
        <v>0</v>
      </c>
      <c r="M3675" s="14">
        <f>IF(B3675="Frete de venda",0,(1-ISNUMBER(SEARCH("556",P3675)))*(I3675*VLOOKUP($B3675,Premissas!$A$4:$E$7,2,0)+J3675*VLOOKUP($B3675,Premissas!$A$4:$E$7,3,0))+K3675*VLOOKUP($B3675,Premissas!$A$4:$E$7,4,0)+L3675*VLOOKUP($B3675,Premissas!$A$4:$E$7,5,0))</f>
        <v/>
      </c>
      <c r="N3675" s="14">
        <f>H3675-M3675</f>
        <v/>
      </c>
      <c r="O3675" t="inlineStr">
        <is>
          <t>Não</t>
        </is>
      </c>
      <c r="P3675" t="inlineStr">
        <is>
          <t>1.350</t>
        </is>
      </c>
    </row>
    <row r="3676">
      <c r="A3676" s="24" t="n">
        <v>46174</v>
      </c>
      <c r="B3676" t="inlineStr">
        <is>
          <t>Frete de venda</t>
        </is>
      </c>
      <c r="C3676" t="inlineStr">
        <is>
          <t>Frete de venda (para clientes)</t>
        </is>
      </c>
      <c r="D3676" t="inlineStr">
        <is>
          <t>CT-e</t>
        </is>
      </c>
      <c r="E3676" t="inlineStr">
        <is>
          <t>000007443</t>
        </is>
      </c>
      <c r="F3676" t="inlineStr">
        <is>
          <t>R&amp;R TRANSPORTE E LOGISTICA</t>
        </is>
      </c>
      <c r="G3676" s="27" t="n">
        <v>46196</v>
      </c>
      <c r="H3676" s="14" t="n">
        <v>36.79</v>
      </c>
      <c r="I3676" s="14" t="n">
        <v>0</v>
      </c>
      <c r="J3676" s="14" t="n">
        <v>0</v>
      </c>
      <c r="K3676" s="14" t="n">
        <v>0</v>
      </c>
      <c r="L3676" s="14" t="n">
        <v>0</v>
      </c>
      <c r="M3676" s="14">
        <f>IF(B3676="Frete de venda",0,(1-ISNUMBER(SEARCH("556",P3676)))*(I3676*VLOOKUP($B3676,Premissas!$A$4:$E$7,2,0)+J3676*VLOOKUP($B3676,Premissas!$A$4:$E$7,3,0))+K3676*VLOOKUP($B3676,Premissas!$A$4:$E$7,4,0)+L3676*VLOOKUP($B3676,Premissas!$A$4:$E$7,5,0))</f>
        <v/>
      </c>
      <c r="N3676" s="14">
        <f>H3676-M3676</f>
        <v/>
      </c>
      <c r="O3676" t="inlineStr">
        <is>
          <t>Não</t>
        </is>
      </c>
      <c r="P3676" t="inlineStr">
        <is>
          <t>1.350</t>
        </is>
      </c>
    </row>
    <row r="3677">
      <c r="A3677" s="24" t="n">
        <v>46174</v>
      </c>
      <c r="B3677" t="inlineStr">
        <is>
          <t>Frete de venda</t>
        </is>
      </c>
      <c r="C3677" t="inlineStr">
        <is>
          <t>Frete de venda (para clientes)</t>
        </is>
      </c>
      <c r="D3677" t="inlineStr">
        <is>
          <t>CT-e</t>
        </is>
      </c>
      <c r="E3677" t="inlineStr">
        <is>
          <t>000007401</t>
        </is>
      </c>
      <c r="F3677" t="inlineStr">
        <is>
          <t>R&amp;R TRANSPORTE E LOGISTICA</t>
        </is>
      </c>
      <c r="G3677" s="27" t="n">
        <v>46192</v>
      </c>
      <c r="H3677" s="14" t="n">
        <v>69.79000000000001</v>
      </c>
      <c r="I3677" s="14" t="n">
        <v>0</v>
      </c>
      <c r="J3677" s="14" t="n">
        <v>0</v>
      </c>
      <c r="K3677" s="14" t="n">
        <v>0</v>
      </c>
      <c r="L3677" s="14" t="n">
        <v>0</v>
      </c>
      <c r="M3677" s="14">
        <f>IF(B3677="Frete de venda",0,(1-ISNUMBER(SEARCH("556",P3677)))*(I3677*VLOOKUP($B3677,Premissas!$A$4:$E$7,2,0)+J3677*VLOOKUP($B3677,Premissas!$A$4:$E$7,3,0))+K3677*VLOOKUP($B3677,Premissas!$A$4:$E$7,4,0)+L3677*VLOOKUP($B3677,Premissas!$A$4:$E$7,5,0))</f>
        <v/>
      </c>
      <c r="N3677" s="14">
        <f>H3677-M3677</f>
        <v/>
      </c>
      <c r="O3677" t="inlineStr">
        <is>
          <t>Não</t>
        </is>
      </c>
      <c r="P3677" t="inlineStr">
        <is>
          <t>1.350</t>
        </is>
      </c>
    </row>
    <row r="3678">
      <c r="A3678" s="24" t="n">
        <v>46174</v>
      </c>
      <c r="B3678" t="inlineStr">
        <is>
          <t>Frete de venda</t>
        </is>
      </c>
      <c r="C3678" t="inlineStr">
        <is>
          <t>Frete de venda (para clientes)</t>
        </is>
      </c>
      <c r="D3678" t="inlineStr">
        <is>
          <t>CT-e</t>
        </is>
      </c>
      <c r="E3678" t="inlineStr">
        <is>
          <t>000007241</t>
        </is>
      </c>
      <c r="F3678" t="inlineStr">
        <is>
          <t>R&amp;R TRANSPORTE E LOGISTICA</t>
        </is>
      </c>
      <c r="G3678" s="27" t="n">
        <v>46174</v>
      </c>
      <c r="H3678" s="14" t="n">
        <v>28.7</v>
      </c>
      <c r="I3678" s="14" t="n">
        <v>0</v>
      </c>
      <c r="J3678" s="14" t="n">
        <v>0</v>
      </c>
      <c r="K3678" s="14" t="n">
        <v>0</v>
      </c>
      <c r="L3678" s="14" t="n">
        <v>0</v>
      </c>
      <c r="M3678" s="14">
        <f>IF(B3678="Frete de venda",0,(1-ISNUMBER(SEARCH("556",P3678)))*(I3678*VLOOKUP($B3678,Premissas!$A$4:$E$7,2,0)+J3678*VLOOKUP($B3678,Premissas!$A$4:$E$7,3,0))+K3678*VLOOKUP($B3678,Premissas!$A$4:$E$7,4,0)+L3678*VLOOKUP($B3678,Premissas!$A$4:$E$7,5,0))</f>
        <v/>
      </c>
      <c r="N3678" s="14">
        <f>H3678-M3678</f>
        <v/>
      </c>
      <c r="O3678" t="inlineStr">
        <is>
          <t>Não</t>
        </is>
      </c>
      <c r="P3678" t="inlineStr">
        <is>
          <t>2.350</t>
        </is>
      </c>
    </row>
    <row r="3679">
      <c r="A3679" s="24" t="n">
        <v>46174</v>
      </c>
      <c r="B3679" t="inlineStr">
        <is>
          <t>Frete de venda</t>
        </is>
      </c>
      <c r="C3679" t="inlineStr">
        <is>
          <t>Frete de venda (para clientes)</t>
        </is>
      </c>
      <c r="D3679" t="inlineStr">
        <is>
          <t>CT-e</t>
        </is>
      </c>
      <c r="E3679" t="inlineStr">
        <is>
          <t>000007286</t>
        </is>
      </c>
      <c r="F3679" t="inlineStr">
        <is>
          <t>R&amp;R TRANSPORTE E LOGISTICA</t>
        </is>
      </c>
      <c r="G3679" s="27" t="n">
        <v>46183</v>
      </c>
      <c r="H3679" s="14" t="n">
        <v>129.85</v>
      </c>
      <c r="I3679" s="14" t="n">
        <v>0</v>
      </c>
      <c r="J3679" s="14" t="n">
        <v>0</v>
      </c>
      <c r="K3679" s="14" t="n">
        <v>0</v>
      </c>
      <c r="L3679" s="14" t="n">
        <v>0</v>
      </c>
      <c r="M3679" s="14">
        <f>IF(B3679="Frete de venda",0,(1-ISNUMBER(SEARCH("556",P3679)))*(I3679*VLOOKUP($B3679,Premissas!$A$4:$E$7,2,0)+J3679*VLOOKUP($B3679,Premissas!$A$4:$E$7,3,0))+K3679*VLOOKUP($B3679,Premissas!$A$4:$E$7,4,0)+L3679*VLOOKUP($B3679,Premissas!$A$4:$E$7,5,0))</f>
        <v/>
      </c>
      <c r="N3679" s="14">
        <f>H3679-M3679</f>
        <v/>
      </c>
      <c r="O3679" t="inlineStr">
        <is>
          <t>Não</t>
        </is>
      </c>
      <c r="P3679" t="inlineStr">
        <is>
          <t>1.350</t>
        </is>
      </c>
    </row>
    <row r="3680">
      <c r="A3680" s="24" t="n">
        <v>46174</v>
      </c>
      <c r="B3680" t="inlineStr">
        <is>
          <t>Frete de venda</t>
        </is>
      </c>
      <c r="C3680" t="inlineStr">
        <is>
          <t>Frete de venda (para clientes)</t>
        </is>
      </c>
      <c r="D3680" t="inlineStr">
        <is>
          <t>CT-e</t>
        </is>
      </c>
      <c r="E3680" t="inlineStr">
        <is>
          <t>000007491</t>
        </is>
      </c>
      <c r="F3680" t="inlineStr">
        <is>
          <t>R&amp;R TRANSPORTE E LOGISTICA</t>
        </is>
      </c>
      <c r="G3680" s="27" t="n">
        <v>46199</v>
      </c>
      <c r="H3680" s="14" t="n">
        <v>27.88</v>
      </c>
      <c r="I3680" s="14" t="n">
        <v>0</v>
      </c>
      <c r="J3680" s="14" t="n">
        <v>0</v>
      </c>
      <c r="K3680" s="14" t="n">
        <v>0</v>
      </c>
      <c r="L3680" s="14" t="n">
        <v>0</v>
      </c>
      <c r="M3680" s="14">
        <f>IF(B3680="Frete de venda",0,(1-ISNUMBER(SEARCH("556",P3680)))*(I3680*VLOOKUP($B3680,Premissas!$A$4:$E$7,2,0)+J3680*VLOOKUP($B3680,Premissas!$A$4:$E$7,3,0))+K3680*VLOOKUP($B3680,Premissas!$A$4:$E$7,4,0)+L3680*VLOOKUP($B3680,Premissas!$A$4:$E$7,5,0))</f>
        <v/>
      </c>
      <c r="N3680" s="14">
        <f>H3680-M3680</f>
        <v/>
      </c>
      <c r="O3680" t="inlineStr">
        <is>
          <t>Não</t>
        </is>
      </c>
      <c r="P3680" t="inlineStr">
        <is>
          <t>1.350</t>
        </is>
      </c>
    </row>
    <row r="3681">
      <c r="A3681" s="24" t="n">
        <v>46174</v>
      </c>
      <c r="B3681" t="inlineStr">
        <is>
          <t>Frete de venda</t>
        </is>
      </c>
      <c r="C3681" t="inlineStr">
        <is>
          <t>Frete de venda (para clientes)</t>
        </is>
      </c>
      <c r="D3681" t="inlineStr">
        <is>
          <t>CT-e</t>
        </is>
      </c>
      <c r="E3681" t="inlineStr">
        <is>
          <t>000000703</t>
        </is>
      </c>
      <c r="F3681" t="inlineStr">
        <is>
          <t>REIMAG - REINALDO DOMINGUES BARROS DA SILVA</t>
        </is>
      </c>
      <c r="G3681" s="27" t="n">
        <v>46196</v>
      </c>
      <c r="H3681" s="14" t="n">
        <v>400</v>
      </c>
      <c r="I3681" s="14" t="n">
        <v>0</v>
      </c>
      <c r="J3681" s="14" t="n">
        <v>0</v>
      </c>
      <c r="K3681" s="14" t="n">
        <v>0</v>
      </c>
      <c r="L3681" s="14" t="n">
        <v>0</v>
      </c>
      <c r="M3681" s="14">
        <f>IF(B3681="Frete de venda",0,(1-ISNUMBER(SEARCH("556",P3681)))*(I3681*VLOOKUP($B3681,Premissas!$A$4:$E$7,2,0)+J3681*VLOOKUP($B3681,Premissas!$A$4:$E$7,3,0))+K3681*VLOOKUP($B3681,Premissas!$A$4:$E$7,4,0)+L3681*VLOOKUP($B3681,Premissas!$A$4:$E$7,5,0))</f>
        <v/>
      </c>
      <c r="N3681" s="14">
        <f>H3681-M3681</f>
        <v/>
      </c>
      <c r="O3681" t="inlineStr">
        <is>
          <t>Sim</t>
        </is>
      </c>
      <c r="P3681" t="inlineStr">
        <is>
          <t>1.350</t>
        </is>
      </c>
    </row>
    <row r="3682">
      <c r="A3682" s="24" t="n">
        <v>46174</v>
      </c>
      <c r="B3682" t="inlineStr">
        <is>
          <t>Frete de venda</t>
        </is>
      </c>
      <c r="C3682" t="inlineStr">
        <is>
          <t>Frete de venda (para clientes)</t>
        </is>
      </c>
      <c r="D3682" t="inlineStr">
        <is>
          <t>CT-e</t>
        </is>
      </c>
      <c r="E3682" t="inlineStr">
        <is>
          <t>000007436</t>
        </is>
      </c>
      <c r="F3682" t="inlineStr">
        <is>
          <t>R&amp;R TRANSPORTE E LOGISTICA</t>
        </is>
      </c>
      <c r="G3682" s="27" t="n">
        <v>46193</v>
      </c>
      <c r="H3682" s="14" t="n">
        <v>580.71</v>
      </c>
      <c r="I3682" s="14" t="n">
        <v>0</v>
      </c>
      <c r="J3682" s="14" t="n">
        <v>0</v>
      </c>
      <c r="K3682" s="14" t="n">
        <v>0</v>
      </c>
      <c r="L3682" s="14" t="n">
        <v>0</v>
      </c>
      <c r="M3682" s="14">
        <f>IF(B3682="Frete de venda",0,(1-ISNUMBER(SEARCH("556",P3682)))*(I3682*VLOOKUP($B3682,Premissas!$A$4:$E$7,2,0)+J3682*VLOOKUP($B3682,Premissas!$A$4:$E$7,3,0))+K3682*VLOOKUP($B3682,Premissas!$A$4:$E$7,4,0)+L3682*VLOOKUP($B3682,Premissas!$A$4:$E$7,5,0))</f>
        <v/>
      </c>
      <c r="N3682" s="14">
        <f>H3682-M3682</f>
        <v/>
      </c>
      <c r="O3682" t="inlineStr">
        <is>
          <t>Não</t>
        </is>
      </c>
      <c r="P3682" t="inlineStr">
        <is>
          <t>1.350</t>
        </is>
      </c>
    </row>
    <row r="3683">
      <c r="A3683" s="24" t="n">
        <v>46174</v>
      </c>
      <c r="B3683" t="inlineStr">
        <is>
          <t>Frete de venda</t>
        </is>
      </c>
      <c r="C3683" t="inlineStr">
        <is>
          <t>Frete de venda (para clientes)</t>
        </is>
      </c>
      <c r="D3683" t="inlineStr">
        <is>
          <t>CT-e</t>
        </is>
      </c>
      <c r="E3683" t="inlineStr">
        <is>
          <t>000007339</t>
        </is>
      </c>
      <c r="F3683" t="inlineStr">
        <is>
          <t>R&amp;R TRANSPORTE E LOGISTICA</t>
        </is>
      </c>
      <c r="G3683" s="27" t="n">
        <v>46186</v>
      </c>
      <c r="H3683" s="14" t="n">
        <v>540</v>
      </c>
      <c r="I3683" s="14" t="n">
        <v>0</v>
      </c>
      <c r="J3683" s="14" t="n">
        <v>0</v>
      </c>
      <c r="K3683" s="14" t="n">
        <v>0</v>
      </c>
      <c r="L3683" s="14" t="n">
        <v>0</v>
      </c>
      <c r="M3683" s="14">
        <f>IF(B3683="Frete de venda",0,(1-ISNUMBER(SEARCH("556",P3683)))*(I3683*VLOOKUP($B3683,Premissas!$A$4:$E$7,2,0)+J3683*VLOOKUP($B3683,Premissas!$A$4:$E$7,3,0))+K3683*VLOOKUP($B3683,Premissas!$A$4:$E$7,4,0)+L3683*VLOOKUP($B3683,Premissas!$A$4:$E$7,5,0))</f>
        <v/>
      </c>
      <c r="N3683" s="14">
        <f>H3683-M3683</f>
        <v/>
      </c>
      <c r="O3683" t="inlineStr">
        <is>
          <t>Não</t>
        </is>
      </c>
      <c r="P3683" t="inlineStr">
        <is>
          <t>1.350</t>
        </is>
      </c>
    </row>
    <row r="3684">
      <c r="A3684" s="24" t="n">
        <v>46174</v>
      </c>
      <c r="B3684" t="inlineStr">
        <is>
          <t>Frete de venda</t>
        </is>
      </c>
      <c r="C3684" t="inlineStr">
        <is>
          <t>Frete de venda (para clientes)</t>
        </is>
      </c>
      <c r="D3684" t="inlineStr">
        <is>
          <t>CT-e</t>
        </is>
      </c>
      <c r="E3684" t="inlineStr">
        <is>
          <t>000007298</t>
        </is>
      </c>
      <c r="F3684" t="inlineStr">
        <is>
          <t>R&amp;R TRANSPORTE E LOGISTICA</t>
        </is>
      </c>
      <c r="G3684" s="27" t="n">
        <v>46184</v>
      </c>
      <c r="H3684" s="14" t="n">
        <v>42.96</v>
      </c>
      <c r="I3684" s="14" t="n">
        <v>0</v>
      </c>
      <c r="J3684" s="14" t="n">
        <v>0</v>
      </c>
      <c r="K3684" s="14" t="n">
        <v>0</v>
      </c>
      <c r="L3684" s="14" t="n">
        <v>0</v>
      </c>
      <c r="M3684" s="14">
        <f>IF(B3684="Frete de venda",0,(1-ISNUMBER(SEARCH("556",P3684)))*(I3684*VLOOKUP($B3684,Premissas!$A$4:$E$7,2,0)+J3684*VLOOKUP($B3684,Premissas!$A$4:$E$7,3,0))+K3684*VLOOKUP($B3684,Premissas!$A$4:$E$7,4,0)+L3684*VLOOKUP($B3684,Premissas!$A$4:$E$7,5,0))</f>
        <v/>
      </c>
      <c r="N3684" s="14">
        <f>H3684-M3684</f>
        <v/>
      </c>
      <c r="O3684" t="inlineStr">
        <is>
          <t>Não</t>
        </is>
      </c>
      <c r="P3684" t="inlineStr">
        <is>
          <t>1.350</t>
        </is>
      </c>
    </row>
    <row r="3685">
      <c r="A3685" s="24" t="n">
        <v>46174</v>
      </c>
      <c r="B3685" t="inlineStr">
        <is>
          <t>Frete de venda</t>
        </is>
      </c>
      <c r="C3685" t="inlineStr">
        <is>
          <t>Frete de venda (para clientes)</t>
        </is>
      </c>
      <c r="D3685" t="inlineStr">
        <is>
          <t>CT-e</t>
        </is>
      </c>
      <c r="E3685" t="inlineStr">
        <is>
          <t>000007383</t>
        </is>
      </c>
      <c r="F3685" t="inlineStr">
        <is>
          <t>R&amp;R TRANSPORTE E LOGISTICA</t>
        </is>
      </c>
      <c r="G3685" s="27" t="n">
        <v>46190</v>
      </c>
      <c r="H3685" s="14" t="n">
        <v>27.06</v>
      </c>
      <c r="I3685" s="14" t="n">
        <v>0</v>
      </c>
      <c r="J3685" s="14" t="n">
        <v>0</v>
      </c>
      <c r="K3685" s="14" t="n">
        <v>0</v>
      </c>
      <c r="L3685" s="14" t="n">
        <v>0</v>
      </c>
      <c r="M3685" s="14">
        <f>IF(B3685="Frete de venda",0,(1-ISNUMBER(SEARCH("556",P3685)))*(I3685*VLOOKUP($B3685,Premissas!$A$4:$E$7,2,0)+J3685*VLOOKUP($B3685,Premissas!$A$4:$E$7,3,0))+K3685*VLOOKUP($B3685,Premissas!$A$4:$E$7,4,0)+L3685*VLOOKUP($B3685,Premissas!$A$4:$E$7,5,0))</f>
        <v/>
      </c>
      <c r="N3685" s="14">
        <f>H3685-M3685</f>
        <v/>
      </c>
      <c r="O3685" t="inlineStr">
        <is>
          <t>Não</t>
        </is>
      </c>
      <c r="P3685" t="inlineStr">
        <is>
          <t>1.350</t>
        </is>
      </c>
    </row>
    <row r="3686">
      <c r="A3686" s="24" t="n">
        <v>46174</v>
      </c>
      <c r="B3686" t="inlineStr">
        <is>
          <t>Frete de venda</t>
        </is>
      </c>
      <c r="C3686" t="inlineStr">
        <is>
          <t>Frete de venda (para clientes)</t>
        </is>
      </c>
      <c r="D3686" t="inlineStr">
        <is>
          <t>CT-e</t>
        </is>
      </c>
      <c r="E3686" t="inlineStr">
        <is>
          <t>000007515</t>
        </is>
      </c>
      <c r="F3686" t="inlineStr">
        <is>
          <t>R&amp;R TRANSPORTE E LOGISTICA</t>
        </is>
      </c>
      <c r="G3686" s="27" t="n">
        <v>46203</v>
      </c>
      <c r="H3686" s="14" t="n">
        <v>24.18</v>
      </c>
      <c r="I3686" s="14" t="n">
        <v>0</v>
      </c>
      <c r="J3686" s="14" t="n">
        <v>0</v>
      </c>
      <c r="K3686" s="14" t="n">
        <v>0</v>
      </c>
      <c r="L3686" s="14" t="n">
        <v>0</v>
      </c>
      <c r="M3686" s="14">
        <f>IF(B3686="Frete de venda",0,(1-ISNUMBER(SEARCH("556",P3686)))*(I3686*VLOOKUP($B3686,Premissas!$A$4:$E$7,2,0)+J3686*VLOOKUP($B3686,Premissas!$A$4:$E$7,3,0))+K3686*VLOOKUP($B3686,Premissas!$A$4:$E$7,4,0)+L3686*VLOOKUP($B3686,Premissas!$A$4:$E$7,5,0))</f>
        <v/>
      </c>
      <c r="N3686" s="14">
        <f>H3686-M3686</f>
        <v/>
      </c>
      <c r="O3686" t="inlineStr">
        <is>
          <t>Não</t>
        </is>
      </c>
      <c r="P3686" t="inlineStr">
        <is>
          <t>2.350</t>
        </is>
      </c>
    </row>
    <row r="3687">
      <c r="A3687" s="24" t="n">
        <v>46174</v>
      </c>
      <c r="B3687" t="inlineStr">
        <is>
          <t>Frete de venda</t>
        </is>
      </c>
      <c r="C3687" t="inlineStr">
        <is>
          <t>Frete de venda (para clientes)</t>
        </is>
      </c>
      <c r="D3687" t="inlineStr">
        <is>
          <t>CT-e</t>
        </is>
      </c>
      <c r="E3687" t="inlineStr">
        <is>
          <t>000007511</t>
        </is>
      </c>
      <c r="F3687" t="inlineStr">
        <is>
          <t>R&amp;R TRANSPORTE E LOGISTICA</t>
        </is>
      </c>
      <c r="G3687" s="27" t="n">
        <v>46203</v>
      </c>
      <c r="H3687" s="14" t="n">
        <v>32.96</v>
      </c>
      <c r="I3687" s="14" t="n">
        <v>0</v>
      </c>
      <c r="J3687" s="14" t="n">
        <v>0</v>
      </c>
      <c r="K3687" s="14" t="n">
        <v>0</v>
      </c>
      <c r="L3687" s="14" t="n">
        <v>0</v>
      </c>
      <c r="M3687" s="14">
        <f>IF(B3687="Frete de venda",0,(1-ISNUMBER(SEARCH("556",P3687)))*(I3687*VLOOKUP($B3687,Premissas!$A$4:$E$7,2,0)+J3687*VLOOKUP($B3687,Premissas!$A$4:$E$7,3,0))+K3687*VLOOKUP($B3687,Premissas!$A$4:$E$7,4,0)+L3687*VLOOKUP($B3687,Premissas!$A$4:$E$7,5,0))</f>
        <v/>
      </c>
      <c r="N3687" s="14">
        <f>H3687-M3687</f>
        <v/>
      </c>
      <c r="O3687" t="inlineStr">
        <is>
          <t>Não</t>
        </is>
      </c>
      <c r="P3687" t="inlineStr">
        <is>
          <t>2.350</t>
        </is>
      </c>
    </row>
    <row r="3688">
      <c r="A3688" s="24" t="n">
        <v>46174</v>
      </c>
      <c r="B3688" t="inlineStr">
        <is>
          <t>Frete de venda</t>
        </is>
      </c>
      <c r="C3688" t="inlineStr">
        <is>
          <t>Frete de venda (para clientes)</t>
        </is>
      </c>
      <c r="D3688" t="inlineStr">
        <is>
          <t>CT-e</t>
        </is>
      </c>
      <c r="E3688" t="inlineStr">
        <is>
          <t>000007516</t>
        </is>
      </c>
      <c r="F3688" t="inlineStr">
        <is>
          <t>R&amp;R TRANSPORTE E LOGISTICA</t>
        </is>
      </c>
      <c r="G3688" s="27" t="n">
        <v>46203</v>
      </c>
      <c r="H3688" s="14" t="n">
        <v>27.55</v>
      </c>
      <c r="I3688" s="14" t="n">
        <v>0</v>
      </c>
      <c r="J3688" s="14" t="n">
        <v>0</v>
      </c>
      <c r="K3688" s="14" t="n">
        <v>0</v>
      </c>
      <c r="L3688" s="14" t="n">
        <v>0</v>
      </c>
      <c r="M3688" s="14">
        <f>IF(B3688="Frete de venda",0,(1-ISNUMBER(SEARCH("556",P3688)))*(I3688*VLOOKUP($B3688,Premissas!$A$4:$E$7,2,0)+J3688*VLOOKUP($B3688,Premissas!$A$4:$E$7,3,0))+K3688*VLOOKUP($B3688,Premissas!$A$4:$E$7,4,0)+L3688*VLOOKUP($B3688,Premissas!$A$4:$E$7,5,0))</f>
        <v/>
      </c>
      <c r="N3688" s="14">
        <f>H3688-M3688</f>
        <v/>
      </c>
      <c r="O3688" t="inlineStr">
        <is>
          <t>Não</t>
        </is>
      </c>
      <c r="P3688" t="inlineStr">
        <is>
          <t>2.350</t>
        </is>
      </c>
    </row>
    <row r="3689">
      <c r="A3689" s="24" t="n">
        <v>46174</v>
      </c>
      <c r="B3689" t="inlineStr">
        <is>
          <t>Frete de venda</t>
        </is>
      </c>
      <c r="C3689" t="inlineStr">
        <is>
          <t>Frete de venda (para clientes)</t>
        </is>
      </c>
      <c r="D3689" t="inlineStr">
        <is>
          <t>CT-e</t>
        </is>
      </c>
      <c r="E3689" t="inlineStr">
        <is>
          <t>000007512</t>
        </is>
      </c>
      <c r="F3689" t="inlineStr">
        <is>
          <t>R&amp;R TRANSPORTE E LOGISTICA</t>
        </is>
      </c>
      <c r="G3689" s="27" t="n">
        <v>46203</v>
      </c>
      <c r="H3689" s="14" t="n">
        <v>27.5</v>
      </c>
      <c r="I3689" s="14" t="n">
        <v>0</v>
      </c>
      <c r="J3689" s="14" t="n">
        <v>0</v>
      </c>
      <c r="K3689" s="14" t="n">
        <v>0</v>
      </c>
      <c r="L3689" s="14" t="n">
        <v>0</v>
      </c>
      <c r="M3689" s="14">
        <f>IF(B3689="Frete de venda",0,(1-ISNUMBER(SEARCH("556",P3689)))*(I3689*VLOOKUP($B3689,Premissas!$A$4:$E$7,2,0)+J3689*VLOOKUP($B3689,Premissas!$A$4:$E$7,3,0))+K3689*VLOOKUP($B3689,Premissas!$A$4:$E$7,4,0)+L3689*VLOOKUP($B3689,Premissas!$A$4:$E$7,5,0))</f>
        <v/>
      </c>
      <c r="N3689" s="14">
        <f>H3689-M3689</f>
        <v/>
      </c>
      <c r="O3689" t="inlineStr">
        <is>
          <t>Não</t>
        </is>
      </c>
      <c r="P3689" t="inlineStr">
        <is>
          <t>2.350</t>
        </is>
      </c>
    </row>
    <row r="3690">
      <c r="A3690" s="24" t="n">
        <v>46174</v>
      </c>
      <c r="B3690" t="inlineStr">
        <is>
          <t>Frete de venda</t>
        </is>
      </c>
      <c r="C3690" t="inlineStr">
        <is>
          <t>Frete de venda (para clientes)</t>
        </is>
      </c>
      <c r="D3690" t="inlineStr">
        <is>
          <t>CT-e</t>
        </is>
      </c>
      <c r="E3690" t="inlineStr">
        <is>
          <t>000007507</t>
        </is>
      </c>
      <c r="F3690" t="inlineStr">
        <is>
          <t>R&amp;R TRANSPORTE E LOGISTICA</t>
        </is>
      </c>
      <c r="G3690" s="27" t="n">
        <v>46203</v>
      </c>
      <c r="H3690" s="14" t="n">
        <v>160.91</v>
      </c>
      <c r="I3690" s="14" t="n">
        <v>0</v>
      </c>
      <c r="J3690" s="14" t="n">
        <v>0</v>
      </c>
      <c r="K3690" s="14" t="n">
        <v>0</v>
      </c>
      <c r="L3690" s="14" t="n">
        <v>0</v>
      </c>
      <c r="M3690" s="14">
        <f>IF(B3690="Frete de venda",0,(1-ISNUMBER(SEARCH("556",P3690)))*(I3690*VLOOKUP($B3690,Premissas!$A$4:$E$7,2,0)+J3690*VLOOKUP($B3690,Premissas!$A$4:$E$7,3,0))+K3690*VLOOKUP($B3690,Premissas!$A$4:$E$7,4,0)+L3690*VLOOKUP($B3690,Premissas!$A$4:$E$7,5,0))</f>
        <v/>
      </c>
      <c r="N3690" s="14">
        <f>H3690-M3690</f>
        <v/>
      </c>
      <c r="O3690" t="inlineStr">
        <is>
          <t>Não</t>
        </is>
      </c>
      <c r="P3690" t="inlineStr">
        <is>
          <t>2.350</t>
        </is>
      </c>
    </row>
    <row r="3691">
      <c r="A3691" s="24" t="n">
        <v>46174</v>
      </c>
      <c r="B3691" t="inlineStr">
        <is>
          <t>Frete de venda</t>
        </is>
      </c>
      <c r="C3691" t="inlineStr">
        <is>
          <t>Frete de venda (para clientes)</t>
        </is>
      </c>
      <c r="D3691" t="inlineStr">
        <is>
          <t>CT-e</t>
        </is>
      </c>
      <c r="E3691" t="inlineStr">
        <is>
          <t>000007513</t>
        </is>
      </c>
      <c r="F3691" t="inlineStr">
        <is>
          <t>R&amp;R TRANSPORTE E LOGISTICA</t>
        </is>
      </c>
      <c r="G3691" s="27" t="n">
        <v>46203</v>
      </c>
      <c r="H3691" s="14" t="n">
        <v>22.81</v>
      </c>
      <c r="I3691" s="14" t="n">
        <v>0</v>
      </c>
      <c r="J3691" s="14" t="n">
        <v>0</v>
      </c>
      <c r="K3691" s="14" t="n">
        <v>0</v>
      </c>
      <c r="L3691" s="14" t="n">
        <v>0</v>
      </c>
      <c r="M3691" s="14">
        <f>IF(B3691="Frete de venda",0,(1-ISNUMBER(SEARCH("556",P3691)))*(I3691*VLOOKUP($B3691,Premissas!$A$4:$E$7,2,0)+J3691*VLOOKUP($B3691,Premissas!$A$4:$E$7,3,0))+K3691*VLOOKUP($B3691,Premissas!$A$4:$E$7,4,0)+L3691*VLOOKUP($B3691,Premissas!$A$4:$E$7,5,0))</f>
        <v/>
      </c>
      <c r="N3691" s="14">
        <f>H3691-M3691</f>
        <v/>
      </c>
      <c r="O3691" t="inlineStr">
        <is>
          <t>Não</t>
        </is>
      </c>
      <c r="P3691" t="inlineStr">
        <is>
          <t>2.350</t>
        </is>
      </c>
    </row>
    <row r="3692">
      <c r="A3692" s="24" t="n">
        <v>46174</v>
      </c>
      <c r="B3692" t="inlineStr">
        <is>
          <t>Frete de venda</t>
        </is>
      </c>
      <c r="C3692" t="inlineStr">
        <is>
          <t>Frete de venda (para clientes)</t>
        </is>
      </c>
      <c r="D3692" t="inlineStr">
        <is>
          <t>CT-e</t>
        </is>
      </c>
      <c r="E3692" t="inlineStr">
        <is>
          <t>000007514</t>
        </is>
      </c>
      <c r="F3692" t="inlineStr">
        <is>
          <t>R&amp;R TRANSPORTE E LOGISTICA</t>
        </is>
      </c>
      <c r="G3692" s="27" t="n">
        <v>46203</v>
      </c>
      <c r="H3692" s="14" t="n">
        <v>23.28</v>
      </c>
      <c r="I3692" s="14" t="n">
        <v>0</v>
      </c>
      <c r="J3692" s="14" t="n">
        <v>0</v>
      </c>
      <c r="K3692" s="14" t="n">
        <v>0</v>
      </c>
      <c r="L3692" s="14" t="n">
        <v>0</v>
      </c>
      <c r="M3692" s="14">
        <f>IF(B3692="Frete de venda",0,(1-ISNUMBER(SEARCH("556",P3692)))*(I3692*VLOOKUP($B3692,Premissas!$A$4:$E$7,2,0)+J3692*VLOOKUP($B3692,Premissas!$A$4:$E$7,3,0))+K3692*VLOOKUP($B3692,Premissas!$A$4:$E$7,4,0)+L3692*VLOOKUP($B3692,Premissas!$A$4:$E$7,5,0))</f>
        <v/>
      </c>
      <c r="N3692" s="14">
        <f>H3692-M3692</f>
        <v/>
      </c>
      <c r="O3692" t="inlineStr">
        <is>
          <t>Não</t>
        </is>
      </c>
      <c r="P3692" t="inlineStr">
        <is>
          <t>2.350</t>
        </is>
      </c>
    </row>
    <row r="3693">
      <c r="A3693" s="24" t="n">
        <v>46174</v>
      </c>
      <c r="B3693" t="inlineStr">
        <is>
          <t>Frete de venda</t>
        </is>
      </c>
      <c r="C3693" t="inlineStr">
        <is>
          <t>Frete de venda (para clientes)</t>
        </is>
      </c>
      <c r="D3693" t="inlineStr">
        <is>
          <t>CT-e</t>
        </is>
      </c>
      <c r="E3693" t="inlineStr">
        <is>
          <t>000007517</t>
        </is>
      </c>
      <c r="F3693" t="inlineStr">
        <is>
          <t>R&amp;R TRANSPORTE E LOGISTICA</t>
        </is>
      </c>
      <c r="G3693" s="27" t="n">
        <v>46203</v>
      </c>
      <c r="H3693" s="14" t="n">
        <v>700</v>
      </c>
      <c r="I3693" s="14" t="n">
        <v>0</v>
      </c>
      <c r="J3693" s="14" t="n">
        <v>0</v>
      </c>
      <c r="K3693" s="14" t="n">
        <v>0</v>
      </c>
      <c r="L3693" s="14" t="n">
        <v>0</v>
      </c>
      <c r="M3693" s="14">
        <f>IF(B3693="Frete de venda",0,(1-ISNUMBER(SEARCH("556",P3693)))*(I3693*VLOOKUP($B3693,Premissas!$A$4:$E$7,2,0)+J3693*VLOOKUP($B3693,Premissas!$A$4:$E$7,3,0))+K3693*VLOOKUP($B3693,Premissas!$A$4:$E$7,4,0)+L3693*VLOOKUP($B3693,Premissas!$A$4:$E$7,5,0))</f>
        <v/>
      </c>
      <c r="N3693" s="14">
        <f>H3693-M3693</f>
        <v/>
      </c>
      <c r="O3693" t="inlineStr">
        <is>
          <t>Não</t>
        </is>
      </c>
      <c r="P3693" t="inlineStr">
        <is>
          <t>2.350</t>
        </is>
      </c>
    </row>
    <row r="3694">
      <c r="A3694" s="24" t="n">
        <v>46174</v>
      </c>
      <c r="B3694" t="inlineStr">
        <is>
          <t>Frete de venda</t>
        </is>
      </c>
      <c r="C3694" t="inlineStr">
        <is>
          <t>Frete de venda (para clientes)</t>
        </is>
      </c>
      <c r="D3694" t="inlineStr">
        <is>
          <t>CT-e</t>
        </is>
      </c>
      <c r="E3694" t="inlineStr">
        <is>
          <t>000007509</t>
        </is>
      </c>
      <c r="F3694" t="inlineStr">
        <is>
          <t>R&amp;R TRANSPORTE E LOGISTICA</t>
        </is>
      </c>
      <c r="G3694" s="27" t="n">
        <v>46203</v>
      </c>
      <c r="H3694" s="14" t="n">
        <v>27.09</v>
      </c>
      <c r="I3694" s="14" t="n">
        <v>0</v>
      </c>
      <c r="J3694" s="14" t="n">
        <v>0</v>
      </c>
      <c r="K3694" s="14" t="n">
        <v>0</v>
      </c>
      <c r="L3694" s="14" t="n">
        <v>0</v>
      </c>
      <c r="M3694" s="14">
        <f>IF(B3694="Frete de venda",0,(1-ISNUMBER(SEARCH("556",P3694)))*(I3694*VLOOKUP($B3694,Premissas!$A$4:$E$7,2,0)+J3694*VLOOKUP($B3694,Premissas!$A$4:$E$7,3,0))+K3694*VLOOKUP($B3694,Premissas!$A$4:$E$7,4,0)+L3694*VLOOKUP($B3694,Premissas!$A$4:$E$7,5,0))</f>
        <v/>
      </c>
      <c r="N3694" s="14">
        <f>H3694-M3694</f>
        <v/>
      </c>
      <c r="O3694" t="inlineStr">
        <is>
          <t>Não</t>
        </is>
      </c>
      <c r="P3694" t="inlineStr">
        <is>
          <t>2.350</t>
        </is>
      </c>
    </row>
    <row r="3695">
      <c r="A3695" s="24" t="n">
        <v>46174</v>
      </c>
      <c r="B3695" t="inlineStr">
        <is>
          <t>Frete de venda</t>
        </is>
      </c>
      <c r="C3695" t="inlineStr">
        <is>
          <t>Frete de venda (para clientes)</t>
        </is>
      </c>
      <c r="D3695" t="inlineStr">
        <is>
          <t>CT-e</t>
        </is>
      </c>
      <c r="E3695" t="inlineStr">
        <is>
          <t>000007508</t>
        </is>
      </c>
      <c r="F3695" t="inlineStr">
        <is>
          <t>R&amp;R TRANSPORTE E LOGISTICA</t>
        </is>
      </c>
      <c r="G3695" s="27" t="n">
        <v>46203</v>
      </c>
      <c r="H3695" s="14" t="n">
        <v>30.28</v>
      </c>
      <c r="I3695" s="14" t="n">
        <v>0</v>
      </c>
      <c r="J3695" s="14" t="n">
        <v>0</v>
      </c>
      <c r="K3695" s="14" t="n">
        <v>0</v>
      </c>
      <c r="L3695" s="14" t="n">
        <v>0</v>
      </c>
      <c r="M3695" s="14">
        <f>IF(B3695="Frete de venda",0,(1-ISNUMBER(SEARCH("556",P3695)))*(I3695*VLOOKUP($B3695,Premissas!$A$4:$E$7,2,0)+J3695*VLOOKUP($B3695,Premissas!$A$4:$E$7,3,0))+K3695*VLOOKUP($B3695,Premissas!$A$4:$E$7,4,0)+L3695*VLOOKUP($B3695,Premissas!$A$4:$E$7,5,0))</f>
        <v/>
      </c>
      <c r="N3695" s="14">
        <f>H3695-M3695</f>
        <v/>
      </c>
      <c r="O3695" t="inlineStr">
        <is>
          <t>Não</t>
        </is>
      </c>
      <c r="P3695" t="inlineStr">
        <is>
          <t>2.350</t>
        </is>
      </c>
    </row>
    <row r="3696">
      <c r="A3696" s="24" t="n">
        <v>46174</v>
      </c>
      <c r="B3696" t="inlineStr">
        <is>
          <t>Frete de venda</t>
        </is>
      </c>
      <c r="C3696" t="inlineStr">
        <is>
          <t>Frete de venda (para clientes)</t>
        </is>
      </c>
      <c r="D3696" t="inlineStr">
        <is>
          <t>CT-e</t>
        </is>
      </c>
      <c r="E3696" t="inlineStr">
        <is>
          <t>000007510</t>
        </is>
      </c>
      <c r="F3696" t="inlineStr">
        <is>
          <t>R&amp;R TRANSPORTE E LOGISTICA</t>
        </is>
      </c>
      <c r="G3696" s="27" t="n">
        <v>46203</v>
      </c>
      <c r="H3696" s="14" t="n">
        <v>84.61</v>
      </c>
      <c r="I3696" s="14" t="n">
        <v>0</v>
      </c>
      <c r="J3696" s="14" t="n">
        <v>0</v>
      </c>
      <c r="K3696" s="14" t="n">
        <v>0</v>
      </c>
      <c r="L3696" s="14" t="n">
        <v>0</v>
      </c>
      <c r="M3696" s="14">
        <f>IF(B3696="Frete de venda",0,(1-ISNUMBER(SEARCH("556",P3696)))*(I3696*VLOOKUP($B3696,Premissas!$A$4:$E$7,2,0)+J3696*VLOOKUP($B3696,Premissas!$A$4:$E$7,3,0))+K3696*VLOOKUP($B3696,Premissas!$A$4:$E$7,4,0)+L3696*VLOOKUP($B3696,Premissas!$A$4:$E$7,5,0))</f>
        <v/>
      </c>
      <c r="N3696" s="14">
        <f>H3696-M3696</f>
        <v/>
      </c>
      <c r="O3696" t="inlineStr">
        <is>
          <t>Não</t>
        </is>
      </c>
      <c r="P3696" t="inlineStr">
        <is>
          <t>2.350</t>
        </is>
      </c>
    </row>
    <row r="3697">
      <c r="A3697" s="24" t="n">
        <v>46174</v>
      </c>
      <c r="B3697" t="inlineStr">
        <is>
          <t>Frete de venda</t>
        </is>
      </c>
      <c r="C3697" t="inlineStr">
        <is>
          <t>Frete de venda (para clientes)</t>
        </is>
      </c>
      <c r="D3697" t="inlineStr">
        <is>
          <t>CT-e</t>
        </is>
      </c>
      <c r="E3697" t="inlineStr">
        <is>
          <t>000007506</t>
        </is>
      </c>
      <c r="F3697" t="inlineStr">
        <is>
          <t>R&amp;R TRANSPORTE E LOGISTICA</t>
        </is>
      </c>
      <c r="G3697" s="27" t="n">
        <v>46203</v>
      </c>
      <c r="H3697" s="14" t="n">
        <v>27.98</v>
      </c>
      <c r="I3697" s="14" t="n">
        <v>0</v>
      </c>
      <c r="J3697" s="14" t="n">
        <v>0</v>
      </c>
      <c r="K3697" s="14" t="n">
        <v>0</v>
      </c>
      <c r="L3697" s="14" t="n">
        <v>0</v>
      </c>
      <c r="M3697" s="14">
        <f>IF(B3697="Frete de venda",0,(1-ISNUMBER(SEARCH("556",P3697)))*(I3697*VLOOKUP($B3697,Premissas!$A$4:$E$7,2,0)+J3697*VLOOKUP($B3697,Premissas!$A$4:$E$7,3,0))+K3697*VLOOKUP($B3697,Premissas!$A$4:$E$7,4,0)+L3697*VLOOKUP($B3697,Premissas!$A$4:$E$7,5,0))</f>
        <v/>
      </c>
      <c r="N3697" s="14">
        <f>H3697-M3697</f>
        <v/>
      </c>
      <c r="O3697" t="inlineStr">
        <is>
          <t>Não</t>
        </is>
      </c>
      <c r="P3697" t="inlineStr">
        <is>
          <t>2.350</t>
        </is>
      </c>
    </row>
    <row r="3698">
      <c r="A3698" s="24" t="n">
        <v>46174</v>
      </c>
      <c r="B3698" t="inlineStr">
        <is>
          <t>Insumos e papel</t>
        </is>
      </c>
      <c r="C3698" t="inlineStr">
        <is>
          <t>2.01.03 Compra de Matéria Prima (Papel)</t>
        </is>
      </c>
      <c r="D3698" t="inlineStr">
        <is>
          <t>NF-e</t>
        </is>
      </c>
      <c r="E3698" t="inlineStr">
        <is>
          <t>000013692</t>
        </is>
      </c>
      <c r="F3698" t="inlineStr">
        <is>
          <t>CMPC Iguacu Embalagens Ltda</t>
        </is>
      </c>
      <c r="G3698" s="27" t="n">
        <v>46195</v>
      </c>
      <c r="H3698" s="14" t="n">
        <v>147790.66</v>
      </c>
      <c r="I3698" s="14" t="n">
        <v>4652.01</v>
      </c>
      <c r="J3698" s="14" t="n">
        <v>10019.71</v>
      </c>
      <c r="K3698" s="14" t="n">
        <v>2196.46</v>
      </c>
      <c r="L3698" s="14" t="n">
        <v>10117.04</v>
      </c>
      <c r="M3698" s="14">
        <f>IF(B3698="Frete de venda",0,(1-ISNUMBER(SEARCH("556",P3698)))*(I3698*VLOOKUP($B3698,Premissas!$A$4:$E$7,2,0)+J3698*VLOOKUP($B3698,Premissas!$A$4:$E$7,3,0))+K3698*VLOOKUP($B3698,Premissas!$A$4:$E$7,4,0)+L3698*VLOOKUP($B3698,Premissas!$A$4:$E$7,5,0))</f>
        <v/>
      </c>
      <c r="N3698" s="14">
        <f>H3698-M3698</f>
        <v/>
      </c>
      <c r="O3698" t="inlineStr">
        <is>
          <t>Sim</t>
        </is>
      </c>
      <c r="P3698" t="inlineStr">
        <is>
          <t>2.101</t>
        </is>
      </c>
    </row>
    <row r="3699">
      <c r="A3699" s="24" t="n">
        <v>46174</v>
      </c>
      <c r="B3699" t="inlineStr">
        <is>
          <t>Insumos e papel</t>
        </is>
      </c>
      <c r="C3699" t="inlineStr">
        <is>
          <t>2.01.03 Compra de Matéria Prima (Papel)</t>
        </is>
      </c>
      <c r="D3699" t="inlineStr">
        <is>
          <t>NF-e</t>
        </is>
      </c>
      <c r="E3699" t="inlineStr">
        <is>
          <t>000013696</t>
        </is>
      </c>
      <c r="F3699" t="inlineStr">
        <is>
          <t>CMPC Iguacu Embalagens Ltda</t>
        </is>
      </c>
      <c r="G3699" s="27" t="n">
        <v>46195</v>
      </c>
      <c r="H3699" s="14" t="n">
        <v>147504.76</v>
      </c>
      <c r="I3699" s="14" t="n">
        <v>4643</v>
      </c>
      <c r="J3699" s="14" t="n">
        <v>10000.33</v>
      </c>
      <c r="K3699" s="14" t="n">
        <v>2192.21</v>
      </c>
      <c r="L3699" s="14" t="n">
        <v>10097.47</v>
      </c>
      <c r="M3699" s="14">
        <f>IF(B3699="Frete de venda",0,(1-ISNUMBER(SEARCH("556",P3699)))*(I3699*VLOOKUP($B3699,Premissas!$A$4:$E$7,2,0)+J3699*VLOOKUP($B3699,Premissas!$A$4:$E$7,3,0))+K3699*VLOOKUP($B3699,Premissas!$A$4:$E$7,4,0)+L3699*VLOOKUP($B3699,Premissas!$A$4:$E$7,5,0))</f>
        <v/>
      </c>
      <c r="N3699" s="14">
        <f>H3699-M3699</f>
        <v/>
      </c>
      <c r="O3699" t="inlineStr">
        <is>
          <t>Sim</t>
        </is>
      </c>
      <c r="P3699" t="inlineStr">
        <is>
          <t>2.101</t>
        </is>
      </c>
    </row>
    <row r="3700">
      <c r="A3700" s="24" t="n">
        <v>46174</v>
      </c>
      <c r="B3700" t="inlineStr">
        <is>
          <t>Insumos e papel</t>
        </is>
      </c>
      <c r="C3700" t="inlineStr">
        <is>
          <t>2.01.03 Compra de Matéria Prima (Papel)</t>
        </is>
      </c>
      <c r="D3700" t="inlineStr">
        <is>
          <t>NF-e</t>
        </is>
      </c>
      <c r="E3700" t="inlineStr">
        <is>
          <t>000013700</t>
        </is>
      </c>
      <c r="F3700" t="inlineStr">
        <is>
          <t>CMPC Iguacu Embalagens Ltda</t>
        </is>
      </c>
      <c r="G3700" s="27" t="n">
        <v>46195</v>
      </c>
      <c r="H3700" s="14" t="n">
        <v>148170.03</v>
      </c>
      <c r="I3700" s="14" t="n">
        <v>4663.95</v>
      </c>
      <c r="J3700" s="14" t="n">
        <v>10045.43</v>
      </c>
      <c r="K3700" s="14" t="n">
        <v>2202.1</v>
      </c>
      <c r="L3700" s="14" t="n">
        <v>10143.01</v>
      </c>
      <c r="M3700" s="14">
        <f>IF(B3700="Frete de venda",0,(1-ISNUMBER(SEARCH("556",P3700)))*(I3700*VLOOKUP($B3700,Premissas!$A$4:$E$7,2,0)+J3700*VLOOKUP($B3700,Premissas!$A$4:$E$7,3,0))+K3700*VLOOKUP($B3700,Premissas!$A$4:$E$7,4,0)+L3700*VLOOKUP($B3700,Premissas!$A$4:$E$7,5,0))</f>
        <v/>
      </c>
      <c r="N3700" s="14">
        <f>H3700-M3700</f>
        <v/>
      </c>
      <c r="O3700" t="inlineStr">
        <is>
          <t>Sim</t>
        </is>
      </c>
      <c r="P3700" t="inlineStr">
        <is>
          <t>2.101</t>
        </is>
      </c>
    </row>
    <row r="3701">
      <c r="A3701" s="24" t="n">
        <v>46174</v>
      </c>
      <c r="B3701" t="inlineStr">
        <is>
          <t>Insumos e papel</t>
        </is>
      </c>
      <c r="C3701" t="inlineStr">
        <is>
          <t>2.01.03 Compra de Matéria Prima (Papel)</t>
        </is>
      </c>
      <c r="D3701" t="inlineStr">
        <is>
          <t>NF-e</t>
        </is>
      </c>
      <c r="E3701" t="inlineStr">
        <is>
          <t>000013703</t>
        </is>
      </c>
      <c r="F3701" t="inlineStr">
        <is>
          <t>CMPC Iguacu Embalagens Ltda</t>
        </is>
      </c>
      <c r="G3701" s="27" t="n">
        <v>46195</v>
      </c>
      <c r="H3701" s="14" t="n">
        <v>147130.87</v>
      </c>
      <c r="I3701" s="14" t="n">
        <v>4631.23</v>
      </c>
      <c r="J3701" s="14" t="n">
        <v>9974.969999999999</v>
      </c>
      <c r="K3701" s="14" t="n">
        <v>2186.66</v>
      </c>
      <c r="L3701" s="14" t="n">
        <v>10071.88</v>
      </c>
      <c r="M3701" s="14">
        <f>IF(B3701="Frete de venda",0,(1-ISNUMBER(SEARCH("556",P3701)))*(I3701*VLOOKUP($B3701,Premissas!$A$4:$E$7,2,0)+J3701*VLOOKUP($B3701,Premissas!$A$4:$E$7,3,0))+K3701*VLOOKUP($B3701,Premissas!$A$4:$E$7,4,0)+L3701*VLOOKUP($B3701,Premissas!$A$4:$E$7,5,0))</f>
        <v/>
      </c>
      <c r="N3701" s="14">
        <f>H3701-M3701</f>
        <v/>
      </c>
      <c r="O3701" t="inlineStr">
        <is>
          <t>Sim</t>
        </is>
      </c>
      <c r="P3701" t="inlineStr">
        <is>
          <t>2.101</t>
        </is>
      </c>
    </row>
    <row r="3702">
      <c r="A3702" s="24" t="n">
        <v>46174</v>
      </c>
      <c r="B3702" t="inlineStr">
        <is>
          <t>Insumos e papel</t>
        </is>
      </c>
      <c r="C3702" t="inlineStr">
        <is>
          <t>2.01.03 Compra de Matéria Prima (Papel)</t>
        </is>
      </c>
      <c r="D3702" t="inlineStr">
        <is>
          <t>NF-e</t>
        </is>
      </c>
      <c r="E3702" t="inlineStr">
        <is>
          <t>000013723</t>
        </is>
      </c>
      <c r="F3702" t="inlineStr">
        <is>
          <t>CMPC Iguacu Embalagens Ltda</t>
        </is>
      </c>
      <c r="G3702" s="27" t="n">
        <v>46196</v>
      </c>
      <c r="H3702" s="14" t="n">
        <v>148323.97</v>
      </c>
      <c r="I3702" s="14" t="n">
        <v>4668.79</v>
      </c>
      <c r="J3702" s="14" t="n">
        <v>10055.86</v>
      </c>
      <c r="K3702" s="14" t="n">
        <v>2204.39</v>
      </c>
      <c r="L3702" s="14" t="n">
        <v>10153.56</v>
      </c>
      <c r="M3702" s="14">
        <f>IF(B3702="Frete de venda",0,(1-ISNUMBER(SEARCH("556",P3702)))*(I3702*VLOOKUP($B3702,Premissas!$A$4:$E$7,2,0)+J3702*VLOOKUP($B3702,Premissas!$A$4:$E$7,3,0))+K3702*VLOOKUP($B3702,Premissas!$A$4:$E$7,4,0)+L3702*VLOOKUP($B3702,Premissas!$A$4:$E$7,5,0))</f>
        <v/>
      </c>
      <c r="N3702" s="14">
        <f>H3702-M3702</f>
        <v/>
      </c>
      <c r="O3702" t="inlineStr">
        <is>
          <t>Sim</t>
        </is>
      </c>
      <c r="P3702" t="inlineStr">
        <is>
          <t>2.101</t>
        </is>
      </c>
    </row>
    <row r="3703">
      <c r="A3703" s="24" t="n">
        <v>46174</v>
      </c>
      <c r="B3703" t="inlineStr">
        <is>
          <t>Insumos e papel</t>
        </is>
      </c>
      <c r="C3703" t="inlineStr">
        <is>
          <t>2.01.03 Compra de Matéria Prima (Papel)</t>
        </is>
      </c>
      <c r="D3703" t="inlineStr">
        <is>
          <t>NF-e</t>
        </is>
      </c>
      <c r="E3703" t="inlineStr">
        <is>
          <t>000013709</t>
        </is>
      </c>
      <c r="F3703" t="inlineStr">
        <is>
          <t>CMPC Iguacu Embalagens Ltda</t>
        </is>
      </c>
      <c r="G3703" s="27" t="n">
        <v>46196</v>
      </c>
      <c r="H3703" s="14" t="n">
        <v>148027.08</v>
      </c>
      <c r="I3703" s="14" t="n">
        <v>4659.45</v>
      </c>
      <c r="J3703" s="14" t="n">
        <v>10035.74</v>
      </c>
      <c r="K3703" s="14" t="n">
        <v>2199.98</v>
      </c>
      <c r="L3703" s="14" t="n">
        <v>10133.22</v>
      </c>
      <c r="M3703" s="14">
        <f>IF(B3703="Frete de venda",0,(1-ISNUMBER(SEARCH("556",P3703)))*(I3703*VLOOKUP($B3703,Premissas!$A$4:$E$7,2,0)+J3703*VLOOKUP($B3703,Premissas!$A$4:$E$7,3,0))+K3703*VLOOKUP($B3703,Premissas!$A$4:$E$7,4,0)+L3703*VLOOKUP($B3703,Premissas!$A$4:$E$7,5,0))</f>
        <v/>
      </c>
      <c r="N3703" s="14">
        <f>H3703-M3703</f>
        <v/>
      </c>
      <c r="O3703" t="inlineStr">
        <is>
          <t>Sim</t>
        </is>
      </c>
      <c r="P3703" t="inlineStr">
        <is>
          <t>2.101</t>
        </is>
      </c>
    </row>
    <row r="3704">
      <c r="A3704" s="24" t="n">
        <v>46174</v>
      </c>
      <c r="B3704" t="inlineStr">
        <is>
          <t>Insumos e papel</t>
        </is>
      </c>
      <c r="C3704" t="inlineStr">
        <is>
          <t>2.01.03 Compra de Matéria Prima (Papel)</t>
        </is>
      </c>
      <c r="D3704" t="inlineStr">
        <is>
          <t>NF-e</t>
        </is>
      </c>
      <c r="E3704" t="inlineStr">
        <is>
          <t>000013730</t>
        </is>
      </c>
      <c r="F3704" t="inlineStr">
        <is>
          <t>CMPC Iguacu Embalagens Ltda</t>
        </is>
      </c>
      <c r="G3704" s="27" t="n">
        <v>46196</v>
      </c>
      <c r="H3704" s="14" t="n">
        <v>148461.43</v>
      </c>
      <c r="I3704" s="14" t="n">
        <v>4673.12</v>
      </c>
      <c r="J3704" s="14" t="n">
        <v>10065.19</v>
      </c>
      <c r="K3704" s="14" t="n">
        <v>2206.43</v>
      </c>
      <c r="L3704" s="14" t="n">
        <v>10162.96</v>
      </c>
      <c r="M3704" s="14">
        <f>IF(B3704="Frete de venda",0,(1-ISNUMBER(SEARCH("556",P3704)))*(I3704*VLOOKUP($B3704,Premissas!$A$4:$E$7,2,0)+J3704*VLOOKUP($B3704,Premissas!$A$4:$E$7,3,0))+K3704*VLOOKUP($B3704,Premissas!$A$4:$E$7,4,0)+L3704*VLOOKUP($B3704,Premissas!$A$4:$E$7,5,0))</f>
        <v/>
      </c>
      <c r="N3704" s="14">
        <f>H3704-M3704</f>
        <v/>
      </c>
      <c r="O3704" t="inlineStr">
        <is>
          <t>Sim</t>
        </is>
      </c>
      <c r="P3704" t="inlineStr">
        <is>
          <t>2.101</t>
        </is>
      </c>
    </row>
    <row r="3705">
      <c r="A3705" s="24" t="n">
        <v>46174</v>
      </c>
      <c r="B3705" t="inlineStr">
        <is>
          <t>Insumos e papel</t>
        </is>
      </c>
      <c r="C3705" t="inlineStr">
        <is>
          <t>2.01.03 Compra de Matéria Prima (Papel)</t>
        </is>
      </c>
      <c r="D3705" t="inlineStr">
        <is>
          <t>NF-e</t>
        </is>
      </c>
      <c r="E3705" t="inlineStr">
        <is>
          <t>000013739</t>
        </is>
      </c>
      <c r="F3705" t="inlineStr">
        <is>
          <t>CMPC Iguacu Embalagens Ltda</t>
        </is>
      </c>
      <c r="G3705" s="27" t="n">
        <v>46197</v>
      </c>
      <c r="H3705" s="14" t="n">
        <v>146009.25</v>
      </c>
      <c r="I3705" s="14" t="n">
        <v>4595.93</v>
      </c>
      <c r="J3705" s="14" t="n">
        <v>9898.93</v>
      </c>
      <c r="K3705" s="14" t="n">
        <v>2169.99</v>
      </c>
      <c r="L3705" s="14" t="n">
        <v>9995.1</v>
      </c>
      <c r="M3705" s="14">
        <f>IF(B3705="Frete de venda",0,(1-ISNUMBER(SEARCH("556",P3705)))*(I3705*VLOOKUP($B3705,Premissas!$A$4:$E$7,2,0)+J3705*VLOOKUP($B3705,Premissas!$A$4:$E$7,3,0))+K3705*VLOOKUP($B3705,Premissas!$A$4:$E$7,4,0)+L3705*VLOOKUP($B3705,Premissas!$A$4:$E$7,5,0))</f>
        <v/>
      </c>
      <c r="N3705" s="14">
        <f>H3705-M3705</f>
        <v/>
      </c>
      <c r="O3705" t="inlineStr">
        <is>
          <t>Sim</t>
        </is>
      </c>
      <c r="P3705" t="inlineStr">
        <is>
          <t>2.101</t>
        </is>
      </c>
    </row>
    <row r="3706">
      <c r="A3706" s="24" t="n">
        <v>46174</v>
      </c>
      <c r="B3706" t="inlineStr">
        <is>
          <t>Insumos e papel</t>
        </is>
      </c>
      <c r="C3706" t="inlineStr">
        <is>
          <t>2.01.03 Compra de Matéria Prima (Papel)</t>
        </is>
      </c>
      <c r="D3706" t="inlineStr">
        <is>
          <t>NF-e</t>
        </is>
      </c>
      <c r="E3706" t="inlineStr">
        <is>
          <t>000013742</t>
        </is>
      </c>
      <c r="F3706" t="inlineStr">
        <is>
          <t>CMPC Iguacu Embalagens Ltda</t>
        </is>
      </c>
      <c r="G3706" s="27" t="n">
        <v>46197</v>
      </c>
      <c r="H3706" s="14" t="n">
        <v>148098.56</v>
      </c>
      <c r="I3706" s="14" t="n">
        <v>4661.7</v>
      </c>
      <c r="J3706" s="14" t="n">
        <v>10040.58</v>
      </c>
      <c r="K3706" s="14" t="n">
        <v>2201.04</v>
      </c>
      <c r="L3706" s="14" t="n">
        <v>10138.12</v>
      </c>
      <c r="M3706" s="14">
        <f>IF(B3706="Frete de venda",0,(1-ISNUMBER(SEARCH("556",P3706)))*(I3706*VLOOKUP($B3706,Premissas!$A$4:$E$7,2,0)+J3706*VLOOKUP($B3706,Premissas!$A$4:$E$7,3,0))+K3706*VLOOKUP($B3706,Premissas!$A$4:$E$7,4,0)+L3706*VLOOKUP($B3706,Premissas!$A$4:$E$7,5,0))</f>
        <v/>
      </c>
      <c r="N3706" s="14">
        <f>H3706-M3706</f>
        <v/>
      </c>
      <c r="O3706" t="inlineStr">
        <is>
          <t>Sim</t>
        </is>
      </c>
      <c r="P3706" t="inlineStr">
        <is>
          <t>2.101</t>
        </is>
      </c>
    </row>
    <row r="3707">
      <c r="A3707" s="24" t="n">
        <v>46174</v>
      </c>
      <c r="B3707" t="inlineStr">
        <is>
          <t>Insumos e papel</t>
        </is>
      </c>
      <c r="C3707" t="inlineStr">
        <is>
          <t>2.01.03 Compra de Matéria Prima (Papel)</t>
        </is>
      </c>
      <c r="D3707" t="inlineStr">
        <is>
          <t>NF-e</t>
        </is>
      </c>
      <c r="E3707" t="inlineStr">
        <is>
          <t>000013783</t>
        </is>
      </c>
      <c r="F3707" t="inlineStr">
        <is>
          <t>CMPC Iguacu Embalagens Ltda</t>
        </is>
      </c>
      <c r="G3707" s="27" t="n">
        <v>46202</v>
      </c>
      <c r="H3707" s="14" t="n">
        <v>147856.63</v>
      </c>
      <c r="I3707" s="14" t="n">
        <v>4654.08</v>
      </c>
      <c r="J3707" s="14" t="n">
        <v>10024.18</v>
      </c>
      <c r="K3707" s="14" t="n">
        <v>2197.45</v>
      </c>
      <c r="L3707" s="14" t="n">
        <v>10121.56</v>
      </c>
      <c r="M3707" s="14">
        <f>IF(B3707="Frete de venda",0,(1-ISNUMBER(SEARCH("556",P3707)))*(I3707*VLOOKUP($B3707,Premissas!$A$4:$E$7,2,0)+J3707*VLOOKUP($B3707,Premissas!$A$4:$E$7,3,0))+K3707*VLOOKUP($B3707,Premissas!$A$4:$E$7,4,0)+L3707*VLOOKUP($B3707,Premissas!$A$4:$E$7,5,0))</f>
        <v/>
      </c>
      <c r="N3707" s="14">
        <f>H3707-M3707</f>
        <v/>
      </c>
      <c r="O3707" t="inlineStr">
        <is>
          <t>Sim</t>
        </is>
      </c>
      <c r="P3707" t="inlineStr">
        <is>
          <t>2.101</t>
        </is>
      </c>
    </row>
    <row r="3708">
      <c r="A3708" s="24" t="n">
        <v>46174</v>
      </c>
      <c r="B3708" t="inlineStr">
        <is>
          <t>Insumos e papel</t>
        </is>
      </c>
      <c r="C3708" t="inlineStr">
        <is>
          <t>2.01.03 Compra de Matéria Prima (Papel)</t>
        </is>
      </c>
      <c r="D3708" t="inlineStr">
        <is>
          <t>NF-e</t>
        </is>
      </c>
      <c r="E3708" t="inlineStr">
        <is>
          <t>000013789</t>
        </is>
      </c>
      <c r="F3708" t="inlineStr">
        <is>
          <t>CMPC Iguacu Embalagens Ltda</t>
        </is>
      </c>
      <c r="G3708" s="27" t="n">
        <v>46202</v>
      </c>
      <c r="H3708" s="14" t="n">
        <v>146443.6</v>
      </c>
      <c r="I3708" s="14" t="n">
        <v>4609.6</v>
      </c>
      <c r="J3708" s="14" t="n">
        <v>9928.389999999999</v>
      </c>
      <c r="K3708" s="14" t="n">
        <v>2176.45</v>
      </c>
      <c r="L3708" s="14" t="n">
        <v>10024.83</v>
      </c>
      <c r="M3708" s="14">
        <f>IF(B3708="Frete de venda",0,(1-ISNUMBER(SEARCH("556",P3708)))*(I3708*VLOOKUP($B3708,Premissas!$A$4:$E$7,2,0)+J3708*VLOOKUP($B3708,Premissas!$A$4:$E$7,3,0))+K3708*VLOOKUP($B3708,Premissas!$A$4:$E$7,4,0)+L3708*VLOOKUP($B3708,Premissas!$A$4:$E$7,5,0))</f>
        <v/>
      </c>
      <c r="N3708" s="14">
        <f>H3708-M3708</f>
        <v/>
      </c>
      <c r="O3708" t="inlineStr">
        <is>
          <t>Sim</t>
        </is>
      </c>
      <c r="P3708" t="inlineStr">
        <is>
          <t>2.101</t>
        </is>
      </c>
    </row>
    <row r="3709">
      <c r="A3709" s="24" t="n">
        <v>46174</v>
      </c>
      <c r="B3709" t="inlineStr">
        <is>
          <t>Insumos e papel</t>
        </is>
      </c>
      <c r="C3709" t="inlineStr">
        <is>
          <t>2.01.03 Compra de Matéria Prima (Papel)</t>
        </is>
      </c>
      <c r="D3709" t="inlineStr">
        <is>
          <t>NF-e</t>
        </is>
      </c>
      <c r="E3709" t="inlineStr">
        <is>
          <t>000013791</t>
        </is>
      </c>
      <c r="F3709" t="inlineStr">
        <is>
          <t>CMPC Iguacu Embalagens Ltda</t>
        </is>
      </c>
      <c r="G3709" s="27" t="n">
        <v>46202</v>
      </c>
      <c r="H3709" s="14" t="n">
        <v>148796.81</v>
      </c>
      <c r="I3709" s="14" t="n">
        <v>4683.67</v>
      </c>
      <c r="J3709" s="14" t="n">
        <v>10087.92</v>
      </c>
      <c r="K3709" s="14" t="n">
        <v>2211.42</v>
      </c>
      <c r="L3709" s="14" t="n">
        <v>10185.92</v>
      </c>
      <c r="M3709" s="14">
        <f>IF(B3709="Frete de venda",0,(1-ISNUMBER(SEARCH("556",P3709)))*(I3709*VLOOKUP($B3709,Premissas!$A$4:$E$7,2,0)+J3709*VLOOKUP($B3709,Premissas!$A$4:$E$7,3,0))+K3709*VLOOKUP($B3709,Premissas!$A$4:$E$7,4,0)+L3709*VLOOKUP($B3709,Premissas!$A$4:$E$7,5,0))</f>
        <v/>
      </c>
      <c r="N3709" s="14">
        <f>H3709-M3709</f>
        <v/>
      </c>
      <c r="O3709" t="inlineStr">
        <is>
          <t>Sim</t>
        </is>
      </c>
      <c r="P3709" t="inlineStr">
        <is>
          <t>2.101</t>
        </is>
      </c>
    </row>
    <row r="3710">
      <c r="A3710" s="24" t="n">
        <v>46174</v>
      </c>
      <c r="B3710" t="inlineStr">
        <is>
          <t>Insumos e papel</t>
        </is>
      </c>
      <c r="C3710" t="inlineStr">
        <is>
          <t>2.01.03 Compra de Matéria Prima (Papel)</t>
        </is>
      </c>
      <c r="D3710" t="inlineStr">
        <is>
          <t>NF-e</t>
        </is>
      </c>
      <c r="E3710" t="inlineStr">
        <is>
          <t>000013793</t>
        </is>
      </c>
      <c r="F3710" t="inlineStr">
        <is>
          <t>CMPC Iguacu Embalagens Ltda</t>
        </is>
      </c>
      <c r="G3710" s="27" t="n">
        <v>46202</v>
      </c>
      <c r="H3710" s="14" t="n">
        <v>148384.45</v>
      </c>
      <c r="I3710" s="14" t="n">
        <v>4670.69</v>
      </c>
      <c r="J3710" s="14" t="n">
        <v>10059.96</v>
      </c>
      <c r="K3710" s="14" t="n">
        <v>2205.28</v>
      </c>
      <c r="L3710" s="14" t="n">
        <v>10157.69</v>
      </c>
      <c r="M3710" s="14">
        <f>IF(B3710="Frete de venda",0,(1-ISNUMBER(SEARCH("556",P3710)))*(I3710*VLOOKUP($B3710,Premissas!$A$4:$E$7,2,0)+J3710*VLOOKUP($B3710,Premissas!$A$4:$E$7,3,0))+K3710*VLOOKUP($B3710,Premissas!$A$4:$E$7,4,0)+L3710*VLOOKUP($B3710,Premissas!$A$4:$E$7,5,0))</f>
        <v/>
      </c>
      <c r="N3710" s="14">
        <f>H3710-M3710</f>
        <v/>
      </c>
      <c r="O3710" t="inlineStr">
        <is>
          <t>Sim</t>
        </is>
      </c>
      <c r="P3710" t="inlineStr">
        <is>
          <t>2.101</t>
        </is>
      </c>
    </row>
    <row r="3711">
      <c r="A3711" s="24" t="n">
        <v>46174</v>
      </c>
      <c r="B3711" t="inlineStr">
        <is>
          <t>Insumos e papel</t>
        </is>
      </c>
      <c r="C3711" t="inlineStr">
        <is>
          <t>2.01.03 Compra de Matéria Prima (Papel)</t>
        </is>
      </c>
      <c r="D3711" t="inlineStr">
        <is>
          <t>NF-e</t>
        </is>
      </c>
      <c r="E3711" t="inlineStr">
        <is>
          <t>000013798</t>
        </is>
      </c>
      <c r="F3711" t="inlineStr">
        <is>
          <t>CMPC Iguacu Embalagens Ltda</t>
        </is>
      </c>
      <c r="G3711" s="27" t="n">
        <v>46203</v>
      </c>
      <c r="H3711" s="14" t="n">
        <v>150044.89</v>
      </c>
      <c r="I3711" s="14" t="n">
        <v>4722.96</v>
      </c>
      <c r="J3711" s="14" t="n">
        <v>10172.53</v>
      </c>
      <c r="K3711" s="14" t="n">
        <v>2229.97</v>
      </c>
      <c r="L3711" s="14" t="n">
        <v>10271.35</v>
      </c>
      <c r="M3711" s="14">
        <f>IF(B3711="Frete de venda",0,(1-ISNUMBER(SEARCH("556",P3711)))*(I3711*VLOOKUP($B3711,Premissas!$A$4:$E$7,2,0)+J3711*VLOOKUP($B3711,Premissas!$A$4:$E$7,3,0))+K3711*VLOOKUP($B3711,Premissas!$A$4:$E$7,4,0)+L3711*VLOOKUP($B3711,Premissas!$A$4:$E$7,5,0))</f>
        <v/>
      </c>
      <c r="N3711" s="14">
        <f>H3711-M3711</f>
        <v/>
      </c>
      <c r="O3711" t="inlineStr">
        <is>
          <t>Sim</t>
        </is>
      </c>
      <c r="P3711" t="inlineStr">
        <is>
          <t>2.101</t>
        </is>
      </c>
    </row>
    <row r="3712">
      <c r="A3712" s="24" t="n">
        <v>46174</v>
      </c>
      <c r="B3712" t="inlineStr">
        <is>
          <t>Insumos e papel</t>
        </is>
      </c>
      <c r="C3712" t="inlineStr">
        <is>
          <t>2.01.03 Compra de Matéria Prima (Papel)</t>
        </is>
      </c>
      <c r="D3712" t="inlineStr">
        <is>
          <t>NF-e</t>
        </is>
      </c>
      <c r="E3712" t="inlineStr">
        <is>
          <t>000013802</t>
        </is>
      </c>
      <c r="F3712" t="inlineStr">
        <is>
          <t>CMPC Iguacu Embalagens Ltda</t>
        </is>
      </c>
      <c r="G3712" s="27" t="n">
        <v>46203</v>
      </c>
      <c r="H3712" s="14" t="n">
        <v>147636.7</v>
      </c>
      <c r="I3712" s="14" t="n">
        <v>4647.16</v>
      </c>
      <c r="J3712" s="14" t="n">
        <v>10009.26</v>
      </c>
      <c r="K3712" s="14" t="n">
        <v>2194.18</v>
      </c>
      <c r="L3712" s="14" t="n">
        <v>10106.5</v>
      </c>
      <c r="M3712" s="14">
        <f>IF(B3712="Frete de venda",0,(1-ISNUMBER(SEARCH("556",P3712)))*(I3712*VLOOKUP($B3712,Premissas!$A$4:$E$7,2,0)+J3712*VLOOKUP($B3712,Premissas!$A$4:$E$7,3,0))+K3712*VLOOKUP($B3712,Premissas!$A$4:$E$7,4,0)+L3712*VLOOKUP($B3712,Premissas!$A$4:$E$7,5,0))</f>
        <v/>
      </c>
      <c r="N3712" s="14">
        <f>H3712-M3712</f>
        <v/>
      </c>
      <c r="O3712" t="inlineStr">
        <is>
          <t>Sim</t>
        </is>
      </c>
      <c r="P3712" t="inlineStr">
        <is>
          <t>2.101</t>
        </is>
      </c>
    </row>
    <row r="3713">
      <c r="A3713" s="24" t="n">
        <v>46174</v>
      </c>
      <c r="B3713" t="inlineStr">
        <is>
          <t>Insumos e papel</t>
        </is>
      </c>
      <c r="C3713" t="inlineStr">
        <is>
          <t>2.01.03 Compra de Matéria Prima (Papel)</t>
        </is>
      </c>
      <c r="D3713" t="inlineStr">
        <is>
          <t>NF-e</t>
        </is>
      </c>
      <c r="E3713" t="inlineStr">
        <is>
          <t>000013804</t>
        </is>
      </c>
      <c r="F3713" t="inlineStr">
        <is>
          <t>CMPC Iguacu Embalagens Ltda</t>
        </is>
      </c>
      <c r="G3713" s="27" t="n">
        <v>46203</v>
      </c>
      <c r="H3713" s="14" t="n">
        <v>151040.07</v>
      </c>
      <c r="I3713" s="14" t="n">
        <v>4754.29</v>
      </c>
      <c r="J3713" s="14" t="n">
        <v>10240.01</v>
      </c>
      <c r="K3713" s="14" t="n">
        <v>2244.75</v>
      </c>
      <c r="L3713" s="14" t="n">
        <v>10339.48</v>
      </c>
      <c r="M3713" s="14">
        <f>IF(B3713="Frete de venda",0,(1-ISNUMBER(SEARCH("556",P3713)))*(I3713*VLOOKUP($B3713,Premissas!$A$4:$E$7,2,0)+J3713*VLOOKUP($B3713,Premissas!$A$4:$E$7,3,0))+K3713*VLOOKUP($B3713,Premissas!$A$4:$E$7,4,0)+L3713*VLOOKUP($B3713,Premissas!$A$4:$E$7,5,0))</f>
        <v/>
      </c>
      <c r="N3713" s="14">
        <f>H3713-M3713</f>
        <v/>
      </c>
      <c r="O3713" t="inlineStr">
        <is>
          <t>Sim</t>
        </is>
      </c>
      <c r="P3713" t="inlineStr">
        <is>
          <t>2.101</t>
        </is>
      </c>
    </row>
    <row r="3714">
      <c r="A3714" s="24" t="n">
        <v>46174</v>
      </c>
      <c r="B3714" t="inlineStr">
        <is>
          <t>Insumos e papel</t>
        </is>
      </c>
      <c r="C3714" t="inlineStr">
        <is>
          <t>2.01.03 Compra de Matéria Prima (Papel)</t>
        </is>
      </c>
      <c r="D3714" t="inlineStr">
        <is>
          <t>NF-e</t>
        </is>
      </c>
      <c r="E3714" t="inlineStr">
        <is>
          <t>000013807</t>
        </is>
      </c>
      <c r="F3714" t="inlineStr">
        <is>
          <t>CMPC Iguacu Embalagens Ltda</t>
        </is>
      </c>
      <c r="G3714" s="27" t="n">
        <v>46203</v>
      </c>
      <c r="H3714" s="14" t="n">
        <v>150347.3</v>
      </c>
      <c r="I3714" s="14" t="n">
        <v>4732.48</v>
      </c>
      <c r="J3714" s="14" t="n">
        <v>10193.04</v>
      </c>
      <c r="K3714" s="14" t="n">
        <v>2234.46</v>
      </c>
      <c r="L3714" s="14" t="n">
        <v>10292.06</v>
      </c>
      <c r="M3714" s="14">
        <f>IF(B3714="Frete de venda",0,(1-ISNUMBER(SEARCH("556",P3714)))*(I3714*VLOOKUP($B3714,Premissas!$A$4:$E$7,2,0)+J3714*VLOOKUP($B3714,Premissas!$A$4:$E$7,3,0))+K3714*VLOOKUP($B3714,Premissas!$A$4:$E$7,4,0)+L3714*VLOOKUP($B3714,Premissas!$A$4:$E$7,5,0))</f>
        <v/>
      </c>
      <c r="N3714" s="14">
        <f>H3714-M3714</f>
        <v/>
      </c>
      <c r="O3714" t="inlineStr">
        <is>
          <t>Sim</t>
        </is>
      </c>
      <c r="P3714" t="inlineStr">
        <is>
          <t>2.101</t>
        </is>
      </c>
    </row>
    <row r="3715">
      <c r="A3715" s="24" t="n">
        <v>46174</v>
      </c>
      <c r="B3715" t="inlineStr">
        <is>
          <t>Insumos e papel</t>
        </is>
      </c>
      <c r="C3715" t="inlineStr">
        <is>
          <t>2.01.03 Compra de Matéria Prima (Papel)</t>
        </is>
      </c>
      <c r="D3715" t="inlineStr">
        <is>
          <t>NF-e</t>
        </is>
      </c>
      <c r="E3715" t="inlineStr">
        <is>
          <t>000652805</t>
        </is>
      </c>
      <c r="F3715" t="inlineStr">
        <is>
          <t>IRANI PAPEL E EMBALAGEM S.A.</t>
        </is>
      </c>
      <c r="G3715" s="27" t="n">
        <v>46202</v>
      </c>
      <c r="H3715" s="14" t="n">
        <v>167726.24</v>
      </c>
      <c r="I3715" s="14" t="n">
        <v>5279.52</v>
      </c>
      <c r="J3715" s="14" t="n">
        <v>11371.27</v>
      </c>
      <c r="K3715" s="14" t="n">
        <v>2492.75</v>
      </c>
      <c r="L3715" s="14" t="n">
        <v>11481.74</v>
      </c>
      <c r="M3715" s="14">
        <f>IF(B3715="Frete de venda",0,(1-ISNUMBER(SEARCH("556",P3715)))*(I3715*VLOOKUP($B3715,Premissas!$A$4:$E$7,2,0)+J3715*VLOOKUP($B3715,Premissas!$A$4:$E$7,3,0))+K3715*VLOOKUP($B3715,Premissas!$A$4:$E$7,4,0)+L3715*VLOOKUP($B3715,Premissas!$A$4:$E$7,5,0))</f>
        <v/>
      </c>
      <c r="N3715" s="14">
        <f>H3715-M3715</f>
        <v/>
      </c>
      <c r="O3715" t="inlineStr">
        <is>
          <t>Sim</t>
        </is>
      </c>
      <c r="P3715" t="inlineStr">
        <is>
          <t>2.101</t>
        </is>
      </c>
    </row>
    <row r="3716">
      <c r="A3716" s="24" t="n">
        <v>46174</v>
      </c>
      <c r="B3716" t="inlineStr">
        <is>
          <t>Insumos e papel</t>
        </is>
      </c>
      <c r="C3716" t="inlineStr">
        <is>
          <t>2.01.03 Compra de Matéria Prima (Papel)</t>
        </is>
      </c>
      <c r="D3716" t="inlineStr">
        <is>
          <t>NF-e</t>
        </is>
      </c>
      <c r="E3716" t="inlineStr">
        <is>
          <t>000652877</t>
        </is>
      </c>
      <c r="F3716" t="inlineStr">
        <is>
          <t>IRANI PAPEL E EMBALAGEM S.A.</t>
        </is>
      </c>
      <c r="G3716" s="27" t="n">
        <v>46202</v>
      </c>
      <c r="H3716" s="14" t="n">
        <v>167549.12</v>
      </c>
      <c r="I3716" s="14" t="n">
        <v>5273.94</v>
      </c>
      <c r="J3716" s="14" t="n">
        <v>11359.26</v>
      </c>
      <c r="K3716" s="14" t="n">
        <v>2490.11</v>
      </c>
      <c r="L3716" s="14" t="n">
        <v>11469.61</v>
      </c>
      <c r="M3716" s="14">
        <f>IF(B3716="Frete de venda",0,(1-ISNUMBER(SEARCH("556",P3716)))*(I3716*VLOOKUP($B3716,Premissas!$A$4:$E$7,2,0)+J3716*VLOOKUP($B3716,Premissas!$A$4:$E$7,3,0))+K3716*VLOOKUP($B3716,Premissas!$A$4:$E$7,4,0)+L3716*VLOOKUP($B3716,Premissas!$A$4:$E$7,5,0))</f>
        <v/>
      </c>
      <c r="N3716" s="14">
        <f>H3716-M3716</f>
        <v/>
      </c>
      <c r="O3716" t="inlineStr">
        <is>
          <t>Sim</t>
        </is>
      </c>
      <c r="P3716" t="inlineStr">
        <is>
          <t>2.101</t>
        </is>
      </c>
    </row>
    <row r="3717">
      <c r="A3717" s="24" t="n">
        <v>46174</v>
      </c>
      <c r="B3717" t="inlineStr">
        <is>
          <t>Insumos e papel</t>
        </is>
      </c>
      <c r="C3717" t="inlineStr">
        <is>
          <t>2.01.03 Compra de Matéria Prima (Papel)</t>
        </is>
      </c>
      <c r="D3717" t="inlineStr">
        <is>
          <t>NF-e</t>
        </is>
      </c>
      <c r="E3717" t="inlineStr">
        <is>
          <t>000016059</t>
        </is>
      </c>
      <c r="F3717" t="inlineStr">
        <is>
          <t>NOVA CONPEL COMPANHIA NORDESTINA DE PAPEL LTDA</t>
        </is>
      </c>
      <c r="G3717" s="27" t="n">
        <v>46196</v>
      </c>
      <c r="H3717" s="14" t="n">
        <v>22085.45</v>
      </c>
      <c r="I3717" s="14" t="n">
        <v>0</v>
      </c>
      <c r="J3717" s="14" t="n">
        <v>4417.09</v>
      </c>
      <c r="K3717" s="14" t="n">
        <v>291.53</v>
      </c>
      <c r="L3717" s="14" t="n">
        <v>1342.8</v>
      </c>
      <c r="M3717" s="14">
        <f>IF(B3717="Frete de venda",0,(1-ISNUMBER(SEARCH("556",P3717)))*(I3717*VLOOKUP($B3717,Premissas!$A$4:$E$7,2,0)+J3717*VLOOKUP($B3717,Premissas!$A$4:$E$7,3,0))+K3717*VLOOKUP($B3717,Premissas!$A$4:$E$7,4,0)+L3717*VLOOKUP($B3717,Premissas!$A$4:$E$7,5,0))</f>
        <v/>
      </c>
      <c r="N3717" s="14">
        <f>H3717-M3717</f>
        <v/>
      </c>
      <c r="O3717" t="inlineStr">
        <is>
          <t>Sim</t>
        </is>
      </c>
      <c r="P3717" t="inlineStr">
        <is>
          <t>1.102</t>
        </is>
      </c>
    </row>
    <row r="3718">
      <c r="A3718" s="24" t="n">
        <v>46174</v>
      </c>
      <c r="B3718" t="inlineStr">
        <is>
          <t>Insumos e papel</t>
        </is>
      </c>
      <c r="C3718" t="inlineStr">
        <is>
          <t>2.01.79 Compra de Gás</t>
        </is>
      </c>
      <c r="D3718" t="inlineStr">
        <is>
          <t>NF-e</t>
        </is>
      </c>
      <c r="E3718" t="inlineStr">
        <is>
          <t>000008031</t>
        </is>
      </c>
      <c r="F3718" t="inlineStr">
        <is>
          <t>SUPERGASBRAS ENERGIA LTDA</t>
        </is>
      </c>
      <c r="G3718" s="27" t="n">
        <v>46175</v>
      </c>
      <c r="H3718" s="14" t="n">
        <v>472.47</v>
      </c>
      <c r="I3718" s="14" t="n">
        <v>0</v>
      </c>
      <c r="J3718" s="14" t="n">
        <v>0</v>
      </c>
      <c r="K3718" s="14" t="n">
        <v>0</v>
      </c>
      <c r="L3718" s="14" t="n">
        <v>0</v>
      </c>
      <c r="M3718" s="14">
        <f>IF(B3718="Frete de venda",0,(1-ISNUMBER(SEARCH("556",P3718)))*(I3718*VLOOKUP($B3718,Premissas!$A$4:$E$7,2,0)+J3718*VLOOKUP($B3718,Premissas!$A$4:$E$7,3,0))+K3718*VLOOKUP($B3718,Premissas!$A$4:$E$7,4,0)+L3718*VLOOKUP($B3718,Premissas!$A$4:$E$7,5,0))</f>
        <v/>
      </c>
      <c r="N3718" s="14">
        <f>H3718-M3718</f>
        <v/>
      </c>
      <c r="O3718" t="inlineStr">
        <is>
          <t>Sim</t>
        </is>
      </c>
      <c r="P3718" t="inlineStr">
        <is>
          <t>1.653</t>
        </is>
      </c>
    </row>
    <row r="3719">
      <c r="A3719" s="24" t="n">
        <v>46174</v>
      </c>
      <c r="B3719" t="inlineStr">
        <is>
          <t>Insumos e papel</t>
        </is>
      </c>
      <c r="C3719" t="inlineStr">
        <is>
          <t>2.01.79 Compra de Gás</t>
        </is>
      </c>
      <c r="D3719" t="inlineStr">
        <is>
          <t>NF-e</t>
        </is>
      </c>
      <c r="E3719" t="inlineStr">
        <is>
          <t>000008085</t>
        </is>
      </c>
      <c r="F3719" t="inlineStr">
        <is>
          <t>SUPERGASBRAS ENERGIA LTDA</t>
        </is>
      </c>
      <c r="G3719" s="27" t="n">
        <v>46182</v>
      </c>
      <c r="H3719" s="14" t="n">
        <v>629.96</v>
      </c>
      <c r="I3719" s="14" t="n">
        <v>0</v>
      </c>
      <c r="J3719" s="14" t="n">
        <v>0</v>
      </c>
      <c r="K3719" s="14" t="n">
        <v>0</v>
      </c>
      <c r="L3719" s="14" t="n">
        <v>0</v>
      </c>
      <c r="M3719" s="14">
        <f>IF(B3719="Frete de venda",0,(1-ISNUMBER(SEARCH("556",P3719)))*(I3719*VLOOKUP($B3719,Premissas!$A$4:$E$7,2,0)+J3719*VLOOKUP($B3719,Premissas!$A$4:$E$7,3,0))+K3719*VLOOKUP($B3719,Premissas!$A$4:$E$7,4,0)+L3719*VLOOKUP($B3719,Premissas!$A$4:$E$7,5,0))</f>
        <v/>
      </c>
      <c r="N3719" s="14">
        <f>H3719-M3719</f>
        <v/>
      </c>
      <c r="O3719" t="inlineStr">
        <is>
          <t>Sim</t>
        </is>
      </c>
      <c r="P3719" t="inlineStr">
        <is>
          <t>1.653</t>
        </is>
      </c>
    </row>
    <row r="3720">
      <c r="A3720" s="24" t="n">
        <v>46174</v>
      </c>
      <c r="B3720" t="inlineStr">
        <is>
          <t>Insumos e papel</t>
        </is>
      </c>
      <c r="C3720" t="inlineStr">
        <is>
          <t>2.01.79 Compra de Gás</t>
        </is>
      </c>
      <c r="D3720" t="inlineStr">
        <is>
          <t>NF-e</t>
        </is>
      </c>
      <c r="E3720" t="inlineStr">
        <is>
          <t>000008142</t>
        </is>
      </c>
      <c r="F3720" t="inlineStr">
        <is>
          <t>SUPERGASBRAS ENERGIA LTDA</t>
        </is>
      </c>
      <c r="G3720" s="27" t="n">
        <v>46188</v>
      </c>
      <c r="H3720" s="14" t="n">
        <v>472.47</v>
      </c>
      <c r="I3720" s="14" t="n">
        <v>0</v>
      </c>
      <c r="J3720" s="14" t="n">
        <v>0</v>
      </c>
      <c r="K3720" s="14" t="n">
        <v>0</v>
      </c>
      <c r="L3720" s="14" t="n">
        <v>0</v>
      </c>
      <c r="M3720" s="14">
        <f>IF(B3720="Frete de venda",0,(1-ISNUMBER(SEARCH("556",P3720)))*(I3720*VLOOKUP($B3720,Premissas!$A$4:$E$7,2,0)+J3720*VLOOKUP($B3720,Premissas!$A$4:$E$7,3,0))+K3720*VLOOKUP($B3720,Premissas!$A$4:$E$7,4,0)+L3720*VLOOKUP($B3720,Premissas!$A$4:$E$7,5,0))</f>
        <v/>
      </c>
      <c r="N3720" s="14">
        <f>H3720-M3720</f>
        <v/>
      </c>
      <c r="O3720" t="inlineStr">
        <is>
          <t>Sim</t>
        </is>
      </c>
      <c r="P3720" t="inlineStr">
        <is>
          <t>1.653</t>
        </is>
      </c>
    </row>
    <row r="3721">
      <c r="A3721" s="24" t="n">
        <v>46174</v>
      </c>
      <c r="B3721" t="inlineStr">
        <is>
          <t>Insumos e papel</t>
        </is>
      </c>
      <c r="C3721" t="inlineStr">
        <is>
          <t>2.01.79 Compra de Gás</t>
        </is>
      </c>
      <c r="D3721" t="inlineStr">
        <is>
          <t>NF-e</t>
        </is>
      </c>
      <c r="E3721" t="inlineStr">
        <is>
          <t>000008265</t>
        </is>
      </c>
      <c r="F3721" t="inlineStr">
        <is>
          <t>SUPERGASBRAS ENERGIA LTDA</t>
        </is>
      </c>
      <c r="G3721" s="27" t="n">
        <v>46203</v>
      </c>
      <c r="H3721" s="14" t="n">
        <v>787.45</v>
      </c>
      <c r="I3721" s="14" t="n">
        <v>0</v>
      </c>
      <c r="J3721" s="14" t="n">
        <v>0</v>
      </c>
      <c r="K3721" s="14" t="n">
        <v>0</v>
      </c>
      <c r="L3721" s="14" t="n">
        <v>0</v>
      </c>
      <c r="M3721" s="14">
        <f>IF(B3721="Frete de venda",0,(1-ISNUMBER(SEARCH("556",P3721)))*(I3721*VLOOKUP($B3721,Premissas!$A$4:$E$7,2,0)+J3721*VLOOKUP($B3721,Premissas!$A$4:$E$7,3,0))+K3721*VLOOKUP($B3721,Premissas!$A$4:$E$7,4,0)+L3721*VLOOKUP($B3721,Premissas!$A$4:$E$7,5,0))</f>
        <v/>
      </c>
      <c r="N3721" s="14">
        <f>H3721-M3721</f>
        <v/>
      </c>
      <c r="O3721" t="inlineStr">
        <is>
          <t>Sim</t>
        </is>
      </c>
      <c r="P3721" t="inlineStr">
        <is>
          <t>1.653</t>
        </is>
      </c>
    </row>
    <row r="3722">
      <c r="A3722" s="24" t="n">
        <v>46174</v>
      </c>
      <c r="B3722" t="inlineStr">
        <is>
          <t>Uso e consumo</t>
        </is>
      </c>
      <c r="C3722" t="inlineStr">
        <is>
          <t>2.01.85 Compra de Uso e Consumo</t>
        </is>
      </c>
      <c r="D3722" t="inlineStr">
        <is>
          <t>NF-e</t>
        </is>
      </c>
      <c r="E3722" t="inlineStr">
        <is>
          <t>000014517</t>
        </is>
      </c>
      <c r="F3722" t="inlineStr">
        <is>
          <t>EDNA DE ARAUJO PACHECO LTDA</t>
        </is>
      </c>
      <c r="G3722" s="27" t="n">
        <v>46198</v>
      </c>
      <c r="H3722" s="14" t="n">
        <v>470</v>
      </c>
      <c r="I3722" s="14" t="n">
        <v>0</v>
      </c>
      <c r="J3722" s="14" t="n">
        <v>0</v>
      </c>
      <c r="K3722" s="14" t="n">
        <v>0</v>
      </c>
      <c r="L3722" s="14" t="n">
        <v>0</v>
      </c>
      <c r="M3722" s="14">
        <f>IF(B3722="Frete de venda",0,(1-ISNUMBER(SEARCH("556",P3722)))*(I3722*VLOOKUP($B3722,Premissas!$A$4:$E$7,2,0)+J3722*VLOOKUP($B3722,Premissas!$A$4:$E$7,3,0))+K3722*VLOOKUP($B3722,Premissas!$A$4:$E$7,4,0)+L3722*VLOOKUP($B3722,Premissas!$A$4:$E$7,5,0))</f>
        <v/>
      </c>
      <c r="N3722" s="14">
        <f>H3722-M3722</f>
        <v/>
      </c>
      <c r="O3722" t="inlineStr">
        <is>
          <t>Sim</t>
        </is>
      </c>
      <c r="P3722" t="inlineStr">
        <is>
          <t>1.102, 1.556</t>
        </is>
      </c>
    </row>
    <row r="3723">
      <c r="A3723" s="24" t="n">
        <v>46174</v>
      </c>
      <c r="B3723" t="inlineStr">
        <is>
          <t>Uso e consumo</t>
        </is>
      </c>
      <c r="C3723" t="inlineStr">
        <is>
          <t>2.01.85 Compra de Uso e Consumo</t>
        </is>
      </c>
      <c r="D3723" t="inlineStr">
        <is>
          <t>NF-e</t>
        </is>
      </c>
      <c r="E3723" t="inlineStr">
        <is>
          <t>000014619</t>
        </is>
      </c>
      <c r="F3723" t="inlineStr">
        <is>
          <t>EDNA DE ARAUJO PACHECO LTDA</t>
        </is>
      </c>
      <c r="G3723" s="27" t="n">
        <v>46203</v>
      </c>
      <c r="H3723" s="14" t="n">
        <v>1148.64</v>
      </c>
      <c r="I3723" s="14" t="n">
        <v>0</v>
      </c>
      <c r="J3723" s="14" t="n">
        <v>0</v>
      </c>
      <c r="K3723" s="14" t="n">
        <v>0</v>
      </c>
      <c r="L3723" s="14" t="n">
        <v>0</v>
      </c>
      <c r="M3723" s="14">
        <f>IF(B3723="Frete de venda",0,(1-ISNUMBER(SEARCH("556",P3723)))*(I3723*VLOOKUP($B3723,Premissas!$A$4:$E$7,2,0)+J3723*VLOOKUP($B3723,Premissas!$A$4:$E$7,3,0))+K3723*VLOOKUP($B3723,Premissas!$A$4:$E$7,4,0)+L3723*VLOOKUP($B3723,Premissas!$A$4:$E$7,5,0))</f>
        <v/>
      </c>
      <c r="N3723" s="14">
        <f>H3723-M3723</f>
        <v/>
      </c>
      <c r="O3723" t="inlineStr">
        <is>
          <t>Sim</t>
        </is>
      </c>
      <c r="P3723" t="inlineStr">
        <is>
          <t>1.556</t>
        </is>
      </c>
    </row>
    <row r="3724">
      <c r="A3724" s="24" t="n">
        <v>46174</v>
      </c>
      <c r="B3724" t="inlineStr">
        <is>
          <t>Uso e consumo</t>
        </is>
      </c>
      <c r="C3724" t="inlineStr">
        <is>
          <t>2.01.85 Compra de Uso e Consumo</t>
        </is>
      </c>
      <c r="D3724" t="inlineStr">
        <is>
          <t>NF-e</t>
        </is>
      </c>
      <c r="E3724" t="inlineStr">
        <is>
          <t>000360291</t>
        </is>
      </c>
      <c r="F3724" t="inlineStr">
        <is>
          <t>OCUBO PAPEIS DESCARTAVEIS E SOLUCOES DE HIGIENE E LIMPEZA LT</t>
        </is>
      </c>
      <c r="G3724" s="27" t="n">
        <v>46184</v>
      </c>
      <c r="H3724" s="14" t="n">
        <v>52.27</v>
      </c>
      <c r="I3724" s="14" t="n">
        <v>0</v>
      </c>
      <c r="J3724" s="14" t="n">
        <v>0</v>
      </c>
      <c r="K3724" s="14" t="n">
        <v>0</v>
      </c>
      <c r="L3724" s="14" t="n">
        <v>0</v>
      </c>
      <c r="M3724" s="14">
        <f>IF(B3724="Frete de venda",0,(1-ISNUMBER(SEARCH("556",P3724)))*(I3724*VLOOKUP($B3724,Premissas!$A$4:$E$7,2,0)+J3724*VLOOKUP($B3724,Premissas!$A$4:$E$7,3,0))+K3724*VLOOKUP($B3724,Premissas!$A$4:$E$7,4,0)+L3724*VLOOKUP($B3724,Premissas!$A$4:$E$7,5,0))</f>
        <v/>
      </c>
      <c r="N3724" s="14">
        <f>H3724-M3724</f>
        <v/>
      </c>
      <c r="O3724" t="inlineStr">
        <is>
          <t>Sim</t>
        </is>
      </c>
      <c r="P3724" t="inlineStr">
        <is>
          <t>1.556</t>
        </is>
      </c>
    </row>
    <row r="3725">
      <c r="A3725" s="24" t="n">
        <v>46174</v>
      </c>
      <c r="B3725" t="inlineStr">
        <is>
          <t>Uso e consumo</t>
        </is>
      </c>
      <c r="C3725" t="inlineStr">
        <is>
          <t>2.01.85 Compra de Uso e Consumo</t>
        </is>
      </c>
      <c r="D3725" t="inlineStr">
        <is>
          <t>NF-e</t>
        </is>
      </c>
      <c r="E3725" t="inlineStr">
        <is>
          <t>000360287</t>
        </is>
      </c>
      <c r="F3725" t="inlineStr">
        <is>
          <t>OCUBO PAPEIS DESCARTAVEIS E SOLUCOES DE HIGIENE E LIMPEZA LT</t>
        </is>
      </c>
      <c r="G3725" s="27" t="n">
        <v>46184</v>
      </c>
      <c r="H3725" s="14" t="n">
        <v>209.08</v>
      </c>
      <c r="I3725" s="14" t="n">
        <v>0</v>
      </c>
      <c r="J3725" s="14" t="n">
        <v>0</v>
      </c>
      <c r="K3725" s="14" t="n">
        <v>0</v>
      </c>
      <c r="L3725" s="14" t="n">
        <v>0</v>
      </c>
      <c r="M3725" s="14">
        <f>IF(B3725="Frete de venda",0,(1-ISNUMBER(SEARCH("556",P3725)))*(I3725*VLOOKUP($B3725,Premissas!$A$4:$E$7,2,0)+J3725*VLOOKUP($B3725,Premissas!$A$4:$E$7,3,0))+K3725*VLOOKUP($B3725,Premissas!$A$4:$E$7,4,0)+L3725*VLOOKUP($B3725,Premissas!$A$4:$E$7,5,0))</f>
        <v/>
      </c>
      <c r="N3725" s="14">
        <f>H3725-M3725</f>
        <v/>
      </c>
      <c r="O3725" t="inlineStr">
        <is>
          <t>Sim</t>
        </is>
      </c>
      <c r="P3725" t="inlineStr">
        <is>
          <t>1.556</t>
        </is>
      </c>
    </row>
    <row r="3726">
      <c r="A3726" s="24" t="n">
        <v>46174</v>
      </c>
      <c r="B3726" t="inlineStr">
        <is>
          <t>Uso e consumo</t>
        </is>
      </c>
      <c r="C3726" t="inlineStr">
        <is>
          <t>2.01.85 Compra de Uso e Consumo</t>
        </is>
      </c>
      <c r="D3726" t="inlineStr">
        <is>
          <t>NF-e</t>
        </is>
      </c>
      <c r="E3726" t="inlineStr">
        <is>
          <t>000007899</t>
        </is>
      </c>
      <c r="F3726" t="inlineStr">
        <is>
          <t>SHARING COMERCIO E SERVICOS LTDA</t>
        </is>
      </c>
      <c r="G3726" s="27" t="n">
        <v>46203</v>
      </c>
      <c r="H3726" s="14" t="n">
        <v>981.8</v>
      </c>
      <c r="I3726" s="14" t="n">
        <v>0</v>
      </c>
      <c r="J3726" s="14" t="n">
        <v>0</v>
      </c>
      <c r="K3726" s="14" t="n">
        <v>0</v>
      </c>
      <c r="L3726" s="14" t="n">
        <v>0</v>
      </c>
      <c r="M3726" s="14">
        <f>IF(B3726="Frete de venda",0,(1-ISNUMBER(SEARCH("556",P3726)))*(I3726*VLOOKUP($B3726,Premissas!$A$4:$E$7,2,0)+J3726*VLOOKUP($B3726,Premissas!$A$4:$E$7,3,0))+K3726*VLOOKUP($B3726,Premissas!$A$4:$E$7,4,0)+L3726*VLOOKUP($B3726,Premissas!$A$4:$E$7,5,0))</f>
        <v/>
      </c>
      <c r="N3726" s="14">
        <f>H3726-M3726</f>
        <v/>
      </c>
      <c r="O3726" t="inlineStr">
        <is>
          <t>Sim</t>
        </is>
      </c>
      <c r="P3726" t="inlineStr">
        <is>
          <t>2.102</t>
        </is>
      </c>
    </row>
    <row r="3727">
      <c r="A3727" s="24" t="n">
        <v>46174</v>
      </c>
      <c r="B3727" t="inlineStr">
        <is>
          <t>Uso e consumo</t>
        </is>
      </c>
      <c r="C3727" t="inlineStr">
        <is>
          <t>2.01.87 Compra de Peças de Máquinas</t>
        </is>
      </c>
      <c r="D3727" t="inlineStr">
        <is>
          <t>NF-e</t>
        </is>
      </c>
      <c r="E3727" t="inlineStr">
        <is>
          <t>000009219</t>
        </is>
      </c>
      <c r="F3727" t="inlineStr">
        <is>
          <t>ELETROCELO COMERCIO DE MATERIAIS ELETRICOS LTDA</t>
        </is>
      </c>
      <c r="G3727" s="27" t="n">
        <v>46181</v>
      </c>
      <c r="H3727" s="14" t="n">
        <v>63.49</v>
      </c>
      <c r="I3727" s="14" t="n">
        <v>0</v>
      </c>
      <c r="J3727" s="14" t="n">
        <v>0</v>
      </c>
      <c r="K3727" s="14" t="n">
        <v>0</v>
      </c>
      <c r="L3727" s="14" t="n">
        <v>0</v>
      </c>
      <c r="M3727" s="14">
        <f>IF(B3727="Frete de venda",0,(1-ISNUMBER(SEARCH("556",P3727)))*(I3727*VLOOKUP($B3727,Premissas!$A$4:$E$7,2,0)+J3727*VLOOKUP($B3727,Premissas!$A$4:$E$7,3,0))+K3727*VLOOKUP($B3727,Premissas!$A$4:$E$7,4,0)+L3727*VLOOKUP($B3727,Premissas!$A$4:$E$7,5,0))</f>
        <v/>
      </c>
      <c r="N3727" s="14">
        <f>H3727-M3727</f>
        <v/>
      </c>
      <c r="O3727" t="inlineStr">
        <is>
          <t>Sim</t>
        </is>
      </c>
      <c r="P3727" t="inlineStr">
        <is>
          <t>1.556</t>
        </is>
      </c>
    </row>
    <row r="3728">
      <c r="A3728" s="24" t="n">
        <v>46174</v>
      </c>
      <c r="B3728" t="inlineStr">
        <is>
          <t>Uso e consumo</t>
        </is>
      </c>
      <c r="C3728" t="inlineStr">
        <is>
          <t>2.01.87 Compra de Peças de Máquinas</t>
        </is>
      </c>
      <c r="D3728" t="inlineStr">
        <is>
          <t>NF-e</t>
        </is>
      </c>
      <c r="E3728" t="inlineStr">
        <is>
          <t>000072401</t>
        </is>
      </c>
      <c r="F3728" t="inlineStr">
        <is>
          <t>FURNAX COMERCIAL E IMPORTADORA EIRELI</t>
        </is>
      </c>
      <c r="G3728" s="27" t="n">
        <v>46195</v>
      </c>
      <c r="H3728" s="14" t="n">
        <v>546.96</v>
      </c>
      <c r="I3728" s="14" t="n">
        <v>17.22</v>
      </c>
      <c r="J3728" s="14" t="n">
        <v>21.88</v>
      </c>
      <c r="K3728" s="14" t="n">
        <v>8.380000000000001</v>
      </c>
      <c r="L3728" s="14" t="n">
        <v>38.6</v>
      </c>
      <c r="M3728" s="14">
        <f>IF(B3728="Frete de venda",0,(1-ISNUMBER(SEARCH("556",P3728)))*(I3728*VLOOKUP($B3728,Premissas!$A$4:$E$7,2,0)+J3728*VLOOKUP($B3728,Premissas!$A$4:$E$7,3,0))+K3728*VLOOKUP($B3728,Premissas!$A$4:$E$7,4,0)+L3728*VLOOKUP($B3728,Premissas!$A$4:$E$7,5,0))</f>
        <v/>
      </c>
      <c r="N3728" s="14">
        <f>H3728-M3728</f>
        <v/>
      </c>
      <c r="O3728" t="inlineStr">
        <is>
          <t>Sim</t>
        </is>
      </c>
      <c r="P3728" t="inlineStr">
        <is>
          <t>2.556</t>
        </is>
      </c>
    </row>
    <row r="3729">
      <c r="A3729" s="24" t="n">
        <v>46174</v>
      </c>
      <c r="B3729" t="inlineStr">
        <is>
          <t>Uso e consumo</t>
        </is>
      </c>
      <c r="C3729" t="inlineStr">
        <is>
          <t>2.01.87 Compra de Peças de Máquinas</t>
        </is>
      </c>
      <c r="D3729" t="inlineStr">
        <is>
          <t>NF-e</t>
        </is>
      </c>
      <c r="E3729" t="inlineStr">
        <is>
          <t>000006742</t>
        </is>
      </c>
      <c r="F3729" t="inlineStr">
        <is>
          <t>GF COMERCIO DE PRODUTOS INDUSTRIAIS LTDA</t>
        </is>
      </c>
      <c r="G3729" s="27" t="n">
        <v>46177</v>
      </c>
      <c r="H3729" s="14" t="n">
        <v>1201.56</v>
      </c>
      <c r="I3729" s="14" t="n">
        <v>0</v>
      </c>
      <c r="J3729" s="14" t="n">
        <v>0</v>
      </c>
      <c r="K3729" s="14" t="n">
        <v>0</v>
      </c>
      <c r="L3729" s="14" t="n">
        <v>0</v>
      </c>
      <c r="M3729" s="14">
        <f>IF(B3729="Frete de venda",0,(1-ISNUMBER(SEARCH("556",P3729)))*(I3729*VLOOKUP($B3729,Premissas!$A$4:$E$7,2,0)+J3729*VLOOKUP($B3729,Premissas!$A$4:$E$7,3,0))+K3729*VLOOKUP($B3729,Premissas!$A$4:$E$7,4,0)+L3729*VLOOKUP($B3729,Premissas!$A$4:$E$7,5,0))</f>
        <v/>
      </c>
      <c r="N3729" s="14">
        <f>H3729-M3729</f>
        <v/>
      </c>
      <c r="O3729" t="inlineStr">
        <is>
          <t>Sim</t>
        </is>
      </c>
      <c r="P3729" t="inlineStr">
        <is>
          <t>1.102</t>
        </is>
      </c>
    </row>
    <row r="3730">
      <c r="A3730" s="24" t="n">
        <v>46174</v>
      </c>
      <c r="B3730" t="inlineStr">
        <is>
          <t>Uso e consumo</t>
        </is>
      </c>
      <c r="C3730" t="inlineStr">
        <is>
          <t>2.01.87 Compra de Peças de Máquinas</t>
        </is>
      </c>
      <c r="D3730" t="inlineStr">
        <is>
          <t>NF-e</t>
        </is>
      </c>
      <c r="E3730" t="inlineStr">
        <is>
          <t>000006801</t>
        </is>
      </c>
      <c r="F3730" t="inlineStr">
        <is>
          <t>GF COMERCIO DE PRODUTOS INDUSTRIAIS LTDA</t>
        </is>
      </c>
      <c r="G3730" s="27" t="n">
        <v>46183</v>
      </c>
      <c r="H3730" s="14" t="n">
        <v>682.5</v>
      </c>
      <c r="I3730" s="14" t="n">
        <v>0</v>
      </c>
      <c r="J3730" s="14" t="n">
        <v>0</v>
      </c>
      <c r="K3730" s="14" t="n">
        <v>0</v>
      </c>
      <c r="L3730" s="14" t="n">
        <v>0</v>
      </c>
      <c r="M3730" s="14">
        <f>IF(B3730="Frete de venda",0,(1-ISNUMBER(SEARCH("556",P3730)))*(I3730*VLOOKUP($B3730,Premissas!$A$4:$E$7,2,0)+J3730*VLOOKUP($B3730,Premissas!$A$4:$E$7,3,0))+K3730*VLOOKUP($B3730,Premissas!$A$4:$E$7,4,0)+L3730*VLOOKUP($B3730,Premissas!$A$4:$E$7,5,0))</f>
        <v/>
      </c>
      <c r="N3730" s="14">
        <f>H3730-M3730</f>
        <v/>
      </c>
      <c r="O3730" t="inlineStr">
        <is>
          <t>Sim</t>
        </is>
      </c>
      <c r="P3730" t="inlineStr">
        <is>
          <t>1.102</t>
        </is>
      </c>
    </row>
    <row r="3731">
      <c r="A3731" s="24" t="n">
        <v>46174</v>
      </c>
      <c r="B3731" t="inlineStr">
        <is>
          <t>Uso e consumo</t>
        </is>
      </c>
      <c r="C3731" t="inlineStr">
        <is>
          <t>2.01.87 Compra de Peças de Máquinas</t>
        </is>
      </c>
      <c r="D3731" t="inlineStr">
        <is>
          <t>NF-e</t>
        </is>
      </c>
      <c r="E3731" t="inlineStr">
        <is>
          <t>000000076</t>
        </is>
      </c>
      <c r="F3731" t="inlineStr">
        <is>
          <t>RAMAO RENATO SZORTYKA</t>
        </is>
      </c>
      <c r="G3731" s="27" t="n">
        <v>46182</v>
      </c>
      <c r="H3731" s="14" t="n">
        <v>310.79</v>
      </c>
      <c r="I3731" s="14" t="n">
        <v>0</v>
      </c>
      <c r="J3731" s="14" t="n">
        <v>0</v>
      </c>
      <c r="K3731" s="14" t="n">
        <v>4.77</v>
      </c>
      <c r="L3731" s="14" t="n">
        <v>21.97</v>
      </c>
      <c r="M3731" s="14">
        <f>IF(B3731="Frete de venda",0,(1-ISNUMBER(SEARCH("556",P3731)))*(I3731*VLOOKUP($B3731,Premissas!$A$4:$E$7,2,0)+J3731*VLOOKUP($B3731,Premissas!$A$4:$E$7,3,0))+K3731*VLOOKUP($B3731,Premissas!$A$4:$E$7,4,0)+L3731*VLOOKUP($B3731,Premissas!$A$4:$E$7,5,0))</f>
        <v/>
      </c>
      <c r="N3731" s="14">
        <f>H3731-M3731</f>
        <v/>
      </c>
      <c r="O3731" t="inlineStr">
        <is>
          <t>Sim</t>
        </is>
      </c>
      <c r="P3731" t="inlineStr">
        <is>
          <t>2.102</t>
        </is>
      </c>
    </row>
    <row r="3732">
      <c r="A3732" s="24" t="n">
        <v>46174</v>
      </c>
      <c r="B3732" t="inlineStr">
        <is>
          <t>Uso e consumo</t>
        </is>
      </c>
      <c r="C3732" t="inlineStr">
        <is>
          <t>2.01.87 Compra de Peças de Máquinas</t>
        </is>
      </c>
      <c r="D3732" t="inlineStr">
        <is>
          <t>NF-e</t>
        </is>
      </c>
      <c r="E3732" t="inlineStr">
        <is>
          <t>000003439</t>
        </is>
      </c>
      <c r="F3732" t="inlineStr">
        <is>
          <t>TECHPRINT FACAS INDUSTRIAIS</t>
        </is>
      </c>
      <c r="G3732" s="27" t="n">
        <v>46192</v>
      </c>
      <c r="H3732" s="14" t="n">
        <v>1370</v>
      </c>
      <c r="I3732" s="14" t="n">
        <v>0</v>
      </c>
      <c r="J3732" s="14" t="n">
        <v>0</v>
      </c>
      <c r="K3732" s="14" t="n">
        <v>0</v>
      </c>
      <c r="L3732" s="14" t="n">
        <v>0</v>
      </c>
      <c r="M3732" s="14">
        <f>IF(B3732="Frete de venda",0,(1-ISNUMBER(SEARCH("556",P3732)))*(I3732*VLOOKUP($B3732,Premissas!$A$4:$E$7,2,0)+J3732*VLOOKUP($B3732,Premissas!$A$4:$E$7,3,0))+K3732*VLOOKUP($B3732,Premissas!$A$4:$E$7,4,0)+L3732*VLOOKUP($B3732,Premissas!$A$4:$E$7,5,0))</f>
        <v/>
      </c>
      <c r="N3732" s="14">
        <f>H3732-M3732</f>
        <v/>
      </c>
      <c r="O3732" t="inlineStr">
        <is>
          <t>Sim</t>
        </is>
      </c>
      <c r="P3732" t="inlineStr">
        <is>
          <t>2.556</t>
        </is>
      </c>
    </row>
    <row r="3733">
      <c r="A3733" s="24" t="n">
        <v>46174</v>
      </c>
      <c r="B3733" t="inlineStr">
        <is>
          <t>Insumos e papel</t>
        </is>
      </c>
      <c r="C3733" t="inlineStr">
        <is>
          <t>2.01.89 Compra de Pallet</t>
        </is>
      </c>
      <c r="D3733" t="inlineStr">
        <is>
          <t>NF-e</t>
        </is>
      </c>
      <c r="E3733" t="inlineStr">
        <is>
          <t>000003223</t>
        </is>
      </c>
      <c r="F3733" t="inlineStr">
        <is>
          <t>ANA MARIA BRITO DE SOUZA LTDA</t>
        </is>
      </c>
      <c r="G3733" s="27" t="n">
        <v>46198</v>
      </c>
      <c r="H3733" s="14" t="n">
        <v>3600</v>
      </c>
      <c r="I3733" s="14" t="n">
        <v>0</v>
      </c>
      <c r="J3733" s="14" t="n">
        <v>720</v>
      </c>
      <c r="K3733" s="14" t="n">
        <v>23.4</v>
      </c>
      <c r="L3733" s="14" t="n">
        <v>108</v>
      </c>
      <c r="M3733" s="14">
        <f>IF(B3733="Frete de venda",0,(1-ISNUMBER(SEARCH("556",P3733)))*(I3733*VLOOKUP($B3733,Premissas!$A$4:$E$7,2,0)+J3733*VLOOKUP($B3733,Premissas!$A$4:$E$7,3,0))+K3733*VLOOKUP($B3733,Premissas!$A$4:$E$7,4,0)+L3733*VLOOKUP($B3733,Premissas!$A$4:$E$7,5,0))</f>
        <v/>
      </c>
      <c r="N3733" s="14">
        <f>H3733-M3733</f>
        <v/>
      </c>
      <c r="O3733" t="inlineStr">
        <is>
          <t>Sim</t>
        </is>
      </c>
      <c r="P3733" t="inlineStr">
        <is>
          <t>1.556</t>
        </is>
      </c>
    </row>
    <row r="3734">
      <c r="A3734" s="24" t="n">
        <v>46174</v>
      </c>
      <c r="B3734" t="inlineStr">
        <is>
          <t>Insumos e papel</t>
        </is>
      </c>
      <c r="C3734" t="inlineStr">
        <is>
          <t>2.01.91 Compra de Filme Strech</t>
        </is>
      </c>
      <c r="D3734" t="inlineStr">
        <is>
          <t>NF-e</t>
        </is>
      </c>
      <c r="E3734" t="inlineStr">
        <is>
          <t>000011347</t>
        </is>
      </c>
      <c r="F3734" t="inlineStr">
        <is>
          <t>INOVE EMBALAGENS PLASTICAS LTDA</t>
        </is>
      </c>
      <c r="G3734" s="27" t="n">
        <v>46177</v>
      </c>
      <c r="H3734" s="14" t="n">
        <v>24598.5</v>
      </c>
      <c r="I3734" s="14" t="n">
        <v>3208.5</v>
      </c>
      <c r="J3734" s="14" t="n">
        <v>2566.8</v>
      </c>
      <c r="K3734" s="14" t="n">
        <v>122.35</v>
      </c>
      <c r="L3734" s="14" t="n">
        <v>564.7</v>
      </c>
      <c r="M3734" s="14">
        <f>IF(B3734="Frete de venda",0,(1-ISNUMBER(SEARCH("556",P3734)))*(I3734*VLOOKUP($B3734,Premissas!$A$4:$E$7,2,0)+J3734*VLOOKUP($B3734,Premissas!$A$4:$E$7,3,0))+K3734*VLOOKUP($B3734,Premissas!$A$4:$E$7,4,0)+L3734*VLOOKUP($B3734,Premissas!$A$4:$E$7,5,0))</f>
        <v/>
      </c>
      <c r="N3734" s="14">
        <f>H3734-M3734</f>
        <v/>
      </c>
      <c r="O3734" t="inlineStr">
        <is>
          <t>Sim</t>
        </is>
      </c>
      <c r="P3734" t="inlineStr">
        <is>
          <t>2.102</t>
        </is>
      </c>
    </row>
    <row r="3735">
      <c r="A3735" s="24" t="n">
        <v>46174</v>
      </c>
      <c r="B3735" t="inlineStr">
        <is>
          <t>Insumos e papel</t>
        </is>
      </c>
      <c r="C3735" t="inlineStr">
        <is>
          <t>2.01.93 Compra de Plástico Poliolefínico</t>
        </is>
      </c>
      <c r="D3735" t="inlineStr">
        <is>
          <t>NF-e</t>
        </is>
      </c>
      <c r="E3735" t="inlineStr">
        <is>
          <t>000008956</t>
        </is>
      </c>
      <c r="F3735" t="inlineStr">
        <is>
          <t>ALSTEK SOLUCOES EM EMBALAGENS LTDA</t>
        </is>
      </c>
      <c r="G3735" s="27" t="n">
        <v>46185</v>
      </c>
      <c r="H3735" s="14" t="n">
        <v>75322.63</v>
      </c>
      <c r="I3735" s="14" t="n">
        <v>9824.690000000001</v>
      </c>
      <c r="J3735" s="14" t="n">
        <v>2619.91</v>
      </c>
      <c r="K3735" s="14" t="n">
        <v>408.71</v>
      </c>
      <c r="L3735" s="14" t="n">
        <v>1886.34</v>
      </c>
      <c r="M3735" s="14">
        <f>IF(B3735="Frete de venda",0,(1-ISNUMBER(SEARCH("556",P3735)))*(I3735*VLOOKUP($B3735,Premissas!$A$4:$E$7,2,0)+J3735*VLOOKUP($B3735,Premissas!$A$4:$E$7,3,0))+K3735*VLOOKUP($B3735,Premissas!$A$4:$E$7,4,0)+L3735*VLOOKUP($B3735,Premissas!$A$4:$E$7,5,0))</f>
        <v/>
      </c>
      <c r="N3735" s="14">
        <f>H3735-M3735</f>
        <v/>
      </c>
      <c r="O3735" t="inlineStr">
        <is>
          <t>Sim</t>
        </is>
      </c>
      <c r="P3735" t="inlineStr">
        <is>
          <t>2.101</t>
        </is>
      </c>
    </row>
    <row r="3736">
      <c r="A3736" s="24" t="n">
        <v>46174</v>
      </c>
      <c r="B3736" t="inlineStr">
        <is>
          <t>Insumos e papel</t>
        </is>
      </c>
      <c r="C3736" t="inlineStr">
        <is>
          <t>2.01.94 Compra de Fita Adesiva</t>
        </is>
      </c>
      <c r="D3736" t="inlineStr">
        <is>
          <t>NF-e</t>
        </is>
      </c>
      <c r="E3736" t="inlineStr">
        <is>
          <t>000046164</t>
        </is>
      </c>
      <c r="F3736" t="inlineStr">
        <is>
          <t>ADERE PRODUTOS AUTO ADESIVOS LTDA</t>
        </is>
      </c>
      <c r="G3736" s="27" t="n">
        <v>46200</v>
      </c>
      <c r="H3736" s="14" t="n">
        <v>5507.01</v>
      </c>
      <c r="I3736" s="14" t="n">
        <v>173.35</v>
      </c>
      <c r="J3736" s="14" t="n">
        <v>660.84</v>
      </c>
      <c r="K3736" s="14" t="n">
        <v>77.09999999999999</v>
      </c>
      <c r="L3736" s="14" t="n">
        <v>355.13</v>
      </c>
      <c r="M3736" s="14">
        <f>IF(B3736="Frete de venda",0,(1-ISNUMBER(SEARCH("556",P3736)))*(I3736*VLOOKUP($B3736,Premissas!$A$4:$E$7,2,0)+J3736*VLOOKUP($B3736,Premissas!$A$4:$E$7,3,0))+K3736*VLOOKUP($B3736,Premissas!$A$4:$E$7,4,0)+L3736*VLOOKUP($B3736,Premissas!$A$4:$E$7,5,0))</f>
        <v/>
      </c>
      <c r="N3736" s="14">
        <f>H3736-M3736</f>
        <v/>
      </c>
      <c r="O3736" t="inlineStr">
        <is>
          <t>Sim</t>
        </is>
      </c>
      <c r="P3736" t="inlineStr">
        <is>
          <t>1.556, 2.102</t>
        </is>
      </c>
    </row>
    <row r="3737">
      <c r="A3737" s="24" t="n">
        <v>46174</v>
      </c>
      <c r="B3737" t="inlineStr">
        <is>
          <t>Insumos e papel</t>
        </is>
      </c>
      <c r="C3737" t="inlineStr">
        <is>
          <t>2.01.94 Compra de Fita Adesiva</t>
        </is>
      </c>
      <c r="D3737" t="inlineStr">
        <is>
          <t>NF-e</t>
        </is>
      </c>
      <c r="E3737" t="inlineStr">
        <is>
          <t>000005871</t>
        </is>
      </c>
      <c r="F3737" t="inlineStr">
        <is>
          <t>ASSISTENPACK COMERCIAL E INDUSTRIAL LTDA</t>
        </is>
      </c>
      <c r="G3737" s="27" t="n">
        <v>46189</v>
      </c>
      <c r="H3737" s="14" t="n">
        <v>843.9</v>
      </c>
      <c r="I3737" s="14" t="n">
        <v>0</v>
      </c>
      <c r="J3737" s="14" t="n">
        <v>0</v>
      </c>
      <c r="K3737" s="14" t="n">
        <v>0</v>
      </c>
      <c r="L3737" s="14" t="n">
        <v>0</v>
      </c>
      <c r="M3737" s="14">
        <f>IF(B3737="Frete de venda",0,(1-ISNUMBER(SEARCH("556",P3737)))*(I3737*VLOOKUP($B3737,Premissas!$A$4:$E$7,2,0)+J3737*VLOOKUP($B3737,Premissas!$A$4:$E$7,3,0))+K3737*VLOOKUP($B3737,Premissas!$A$4:$E$7,4,0)+L3737*VLOOKUP($B3737,Premissas!$A$4:$E$7,5,0))</f>
        <v/>
      </c>
      <c r="N3737" s="14">
        <f>H3737-M3737</f>
        <v/>
      </c>
      <c r="O3737" t="inlineStr">
        <is>
          <t>Sim</t>
        </is>
      </c>
      <c r="P3737" t="inlineStr">
        <is>
          <t>1.102</t>
        </is>
      </c>
    </row>
    <row r="3738">
      <c r="A3738" s="24" t="n">
        <v>46174</v>
      </c>
      <c r="B3738" t="inlineStr">
        <is>
          <t>Insumos e papel</t>
        </is>
      </c>
      <c r="C3738" t="inlineStr">
        <is>
          <t>2.01.94 Compra de Fita Adesiva</t>
        </is>
      </c>
      <c r="D3738" t="inlineStr">
        <is>
          <t>NF-e</t>
        </is>
      </c>
      <c r="E3738" t="inlineStr">
        <is>
          <t>000072404</t>
        </is>
      </c>
      <c r="F3738" t="inlineStr">
        <is>
          <t>FURNAX COMERCIAL E IMPORTADORA EIRELI</t>
        </is>
      </c>
      <c r="G3738" s="27" t="n">
        <v>46195</v>
      </c>
      <c r="H3738" s="14" t="n">
        <v>3536.31</v>
      </c>
      <c r="I3738" s="14" t="n">
        <v>111.31</v>
      </c>
      <c r="J3738" s="14" t="n">
        <v>141.45</v>
      </c>
      <c r="K3738" s="14" t="n">
        <v>54.18</v>
      </c>
      <c r="L3738" s="14" t="n">
        <v>249.55</v>
      </c>
      <c r="M3738" s="14">
        <f>IF(B3738="Frete de venda",0,(1-ISNUMBER(SEARCH("556",P3738)))*(I3738*VLOOKUP($B3738,Premissas!$A$4:$E$7,2,0)+J3738*VLOOKUP($B3738,Premissas!$A$4:$E$7,3,0))+K3738*VLOOKUP($B3738,Premissas!$A$4:$E$7,4,0)+L3738*VLOOKUP($B3738,Premissas!$A$4:$E$7,5,0))</f>
        <v/>
      </c>
      <c r="N3738" s="14">
        <f>H3738-M3738</f>
        <v/>
      </c>
      <c r="O3738" t="inlineStr">
        <is>
          <t>Sim</t>
        </is>
      </c>
      <c r="P3738" t="inlineStr">
        <is>
          <t>2.556</t>
        </is>
      </c>
    </row>
    <row r="3739">
      <c r="A3739" s="24" t="n">
        <v>46174</v>
      </c>
      <c r="B3739" t="inlineStr">
        <is>
          <t>Insumos e papel</t>
        </is>
      </c>
      <c r="C3739" t="inlineStr">
        <is>
          <t>2.01.95 Compra de Etiqueta</t>
        </is>
      </c>
      <c r="D3739" t="inlineStr">
        <is>
          <t>NF-e</t>
        </is>
      </c>
      <c r="E3739" t="inlineStr">
        <is>
          <t>000004266</t>
        </is>
      </c>
      <c r="F3739" t="inlineStr">
        <is>
          <t>FLEXOPEL LTDA</t>
        </is>
      </c>
      <c r="G3739" s="27" t="n">
        <v>46177</v>
      </c>
      <c r="H3739" s="14" t="n">
        <v>1600</v>
      </c>
      <c r="I3739" s="14" t="n">
        <v>0</v>
      </c>
      <c r="J3739" s="14" t="n">
        <v>320</v>
      </c>
      <c r="K3739" s="14" t="n">
        <v>21.12</v>
      </c>
      <c r="L3739" s="14" t="n">
        <v>97.28</v>
      </c>
      <c r="M3739" s="14">
        <f>IF(B3739="Frete de venda",0,(1-ISNUMBER(SEARCH("556",P3739)))*(I3739*VLOOKUP($B3739,Premissas!$A$4:$E$7,2,0)+J3739*VLOOKUP($B3739,Premissas!$A$4:$E$7,3,0))+K3739*VLOOKUP($B3739,Premissas!$A$4:$E$7,4,0)+L3739*VLOOKUP($B3739,Premissas!$A$4:$E$7,5,0))</f>
        <v/>
      </c>
      <c r="N3739" s="14">
        <f>H3739-M3739</f>
        <v/>
      </c>
      <c r="O3739" t="inlineStr">
        <is>
          <t>Sim</t>
        </is>
      </c>
      <c r="P3739" t="inlineStr">
        <is>
          <t>1.102, 1.556</t>
        </is>
      </c>
    </row>
    <row r="3740">
      <c r="A3740" s="24" t="n">
        <v>46174</v>
      </c>
      <c r="B3740" t="inlineStr">
        <is>
          <t>Insumos e papel</t>
        </is>
      </c>
      <c r="C3740" t="inlineStr">
        <is>
          <t>2.01.95 Compra de Etiqueta</t>
        </is>
      </c>
      <c r="D3740" t="inlineStr">
        <is>
          <t>NF-e</t>
        </is>
      </c>
      <c r="E3740" t="inlineStr">
        <is>
          <t>000004284</t>
        </is>
      </c>
      <c r="F3740" t="inlineStr">
        <is>
          <t>FLEXOPEL LTDA</t>
        </is>
      </c>
      <c r="G3740" s="27" t="n">
        <v>46177</v>
      </c>
      <c r="H3740" s="14" t="n">
        <v>2240</v>
      </c>
      <c r="I3740" s="14" t="n">
        <v>0</v>
      </c>
      <c r="J3740" s="14" t="n">
        <v>448</v>
      </c>
      <c r="K3740" s="14" t="n">
        <v>29.57</v>
      </c>
      <c r="L3740" s="14" t="n">
        <v>136.19</v>
      </c>
      <c r="M3740" s="14">
        <f>IF(B3740="Frete de venda",0,(1-ISNUMBER(SEARCH("556",P3740)))*(I3740*VLOOKUP($B3740,Premissas!$A$4:$E$7,2,0)+J3740*VLOOKUP($B3740,Premissas!$A$4:$E$7,3,0))+K3740*VLOOKUP($B3740,Premissas!$A$4:$E$7,4,0)+L3740*VLOOKUP($B3740,Premissas!$A$4:$E$7,5,0))</f>
        <v/>
      </c>
      <c r="N3740" s="14">
        <f>H3740-M3740</f>
        <v/>
      </c>
      <c r="O3740" t="inlineStr">
        <is>
          <t>Sim</t>
        </is>
      </c>
      <c r="P3740" t="inlineStr">
        <is>
          <t>1.102</t>
        </is>
      </c>
    </row>
    <row r="3741">
      <c r="A3741" s="24" t="n">
        <v>46174</v>
      </c>
      <c r="B3741" t="inlineStr">
        <is>
          <t>Insumos e papel</t>
        </is>
      </c>
      <c r="C3741" t="inlineStr">
        <is>
          <t>2.01.95 Compra de Etiqueta</t>
        </is>
      </c>
      <c r="D3741" t="inlineStr">
        <is>
          <t>NF-e</t>
        </is>
      </c>
      <c r="E3741" t="inlineStr">
        <is>
          <t>000004427</t>
        </is>
      </c>
      <c r="F3741" t="inlineStr">
        <is>
          <t>FLEXOPEL LTDA</t>
        </is>
      </c>
      <c r="G3741" s="27" t="n">
        <v>46190</v>
      </c>
      <c r="H3741" s="14" t="n">
        <v>4147.1</v>
      </c>
      <c r="I3741" s="14" t="n">
        <v>0</v>
      </c>
      <c r="J3741" s="14" t="n">
        <v>829.42</v>
      </c>
      <c r="K3741" s="14" t="n">
        <v>54.76</v>
      </c>
      <c r="L3741" s="14" t="n">
        <v>252.14</v>
      </c>
      <c r="M3741" s="14">
        <f>IF(B3741="Frete de venda",0,(1-ISNUMBER(SEARCH("556",P3741)))*(I3741*VLOOKUP($B3741,Premissas!$A$4:$E$7,2,0)+J3741*VLOOKUP($B3741,Premissas!$A$4:$E$7,3,0))+K3741*VLOOKUP($B3741,Premissas!$A$4:$E$7,4,0)+L3741*VLOOKUP($B3741,Premissas!$A$4:$E$7,5,0))</f>
        <v/>
      </c>
      <c r="N3741" s="14">
        <f>H3741-M3741</f>
        <v/>
      </c>
      <c r="O3741" t="inlineStr">
        <is>
          <t>Sim</t>
        </is>
      </c>
      <c r="P3741" t="inlineStr">
        <is>
          <t>1.556</t>
        </is>
      </c>
    </row>
    <row r="3742">
      <c r="A3742" s="24" t="n">
        <v>46174</v>
      </c>
      <c r="B3742" t="inlineStr">
        <is>
          <t>Insumos e papel</t>
        </is>
      </c>
      <c r="C3742" t="inlineStr">
        <is>
          <t>2.01.95 Compra de Etiqueta</t>
        </is>
      </c>
      <c r="D3742" t="inlineStr">
        <is>
          <t>NF-e</t>
        </is>
      </c>
      <c r="E3742" t="inlineStr">
        <is>
          <t>000004471</t>
        </is>
      </c>
      <c r="F3742" t="inlineStr">
        <is>
          <t>FLEXOPEL LTDA</t>
        </is>
      </c>
      <c r="G3742" s="27" t="n">
        <v>46195</v>
      </c>
      <c r="H3742" s="14" t="n">
        <v>64</v>
      </c>
      <c r="I3742" s="14" t="n">
        <v>0</v>
      </c>
      <c r="J3742" s="14" t="n">
        <v>12.8</v>
      </c>
      <c r="K3742" s="14" t="n">
        <v>0.84</v>
      </c>
      <c r="L3742" s="14" t="n">
        <v>3.89</v>
      </c>
      <c r="M3742" s="14">
        <f>IF(B3742="Frete de venda",0,(1-ISNUMBER(SEARCH("556",P3742)))*(I3742*VLOOKUP($B3742,Premissas!$A$4:$E$7,2,0)+J3742*VLOOKUP($B3742,Premissas!$A$4:$E$7,3,0))+K3742*VLOOKUP($B3742,Premissas!$A$4:$E$7,4,0)+L3742*VLOOKUP($B3742,Premissas!$A$4:$E$7,5,0))</f>
        <v/>
      </c>
      <c r="N3742" s="14">
        <f>H3742-M3742</f>
        <v/>
      </c>
      <c r="O3742" t="inlineStr">
        <is>
          <t>Sim</t>
        </is>
      </c>
      <c r="P3742" t="inlineStr">
        <is>
          <t>1.102</t>
        </is>
      </c>
    </row>
    <row r="3743">
      <c r="A3743" s="24" t="n">
        <v>46174</v>
      </c>
      <c r="B3743" t="inlineStr">
        <is>
          <t>Insumos e papel</t>
        </is>
      </c>
      <c r="C3743" t="inlineStr">
        <is>
          <t>2.01.95 Compra de Etiqueta</t>
        </is>
      </c>
      <c r="D3743" t="inlineStr">
        <is>
          <t>NF-e</t>
        </is>
      </c>
      <c r="E3743" t="inlineStr">
        <is>
          <t>000004496</t>
        </is>
      </c>
      <c r="F3743" t="inlineStr">
        <is>
          <t>FLEXOPEL LTDA</t>
        </is>
      </c>
      <c r="G3743" s="27" t="n">
        <v>46195</v>
      </c>
      <c r="H3743" s="14" t="n">
        <v>3200</v>
      </c>
      <c r="I3743" s="14" t="n">
        <v>0</v>
      </c>
      <c r="J3743" s="14" t="n">
        <v>640</v>
      </c>
      <c r="K3743" s="14" t="n">
        <v>42.24</v>
      </c>
      <c r="L3743" s="14" t="n">
        <v>194.56</v>
      </c>
      <c r="M3743" s="14">
        <f>IF(B3743="Frete de venda",0,(1-ISNUMBER(SEARCH("556",P3743)))*(I3743*VLOOKUP($B3743,Premissas!$A$4:$E$7,2,0)+J3743*VLOOKUP($B3743,Premissas!$A$4:$E$7,3,0))+K3743*VLOOKUP($B3743,Premissas!$A$4:$E$7,4,0)+L3743*VLOOKUP($B3743,Premissas!$A$4:$E$7,5,0))</f>
        <v/>
      </c>
      <c r="N3743" s="14">
        <f>H3743-M3743</f>
        <v/>
      </c>
      <c r="O3743" t="inlineStr">
        <is>
          <t>Sim</t>
        </is>
      </c>
      <c r="P3743" t="inlineStr">
        <is>
          <t>1.102</t>
        </is>
      </c>
    </row>
    <row r="3744">
      <c r="A3744" s="24" t="n">
        <v>46174</v>
      </c>
      <c r="B3744" t="inlineStr">
        <is>
          <t>Insumos e papel</t>
        </is>
      </c>
      <c r="C3744" t="inlineStr">
        <is>
          <t>2.01.95 Compra de Etiqueta</t>
        </is>
      </c>
      <c r="D3744" t="inlineStr">
        <is>
          <t>NF-e</t>
        </is>
      </c>
      <c r="E3744" t="inlineStr">
        <is>
          <t>000289447</t>
        </is>
      </c>
      <c r="F3744" t="inlineStr">
        <is>
          <t>MULTIPEL COMERCIO LTDA</t>
        </is>
      </c>
      <c r="G3744" s="27" t="n">
        <v>46195</v>
      </c>
      <c r="H3744" s="14" t="n">
        <v>682.8</v>
      </c>
      <c r="I3744" s="14" t="n">
        <v>0</v>
      </c>
      <c r="J3744" s="14" t="n">
        <v>136.56</v>
      </c>
      <c r="K3744" s="14" t="n">
        <v>9.01</v>
      </c>
      <c r="L3744" s="14" t="n">
        <v>41.51</v>
      </c>
      <c r="M3744" s="14">
        <f>IF(B3744="Frete de venda",0,(1-ISNUMBER(SEARCH("556",P3744)))*(I3744*VLOOKUP($B3744,Premissas!$A$4:$E$7,2,0)+J3744*VLOOKUP($B3744,Premissas!$A$4:$E$7,3,0))+K3744*VLOOKUP($B3744,Premissas!$A$4:$E$7,4,0)+L3744*VLOOKUP($B3744,Premissas!$A$4:$E$7,5,0))</f>
        <v/>
      </c>
      <c r="N3744" s="14">
        <f>H3744-M3744</f>
        <v/>
      </c>
      <c r="O3744" t="inlineStr">
        <is>
          <t>Sim</t>
        </is>
      </c>
      <c r="P3744" t="inlineStr">
        <is>
          <t>1.556</t>
        </is>
      </c>
    </row>
    <row r="3745">
      <c r="A3745" s="24" t="n">
        <v>46174</v>
      </c>
      <c r="B3745" t="inlineStr">
        <is>
          <t>Insumos e papel</t>
        </is>
      </c>
      <c r="C3745" t="inlineStr">
        <is>
          <t>2.01.96 Compra de Cola</t>
        </is>
      </c>
      <c r="D3745" t="inlineStr">
        <is>
          <t>NF-e</t>
        </is>
      </c>
      <c r="E3745" t="inlineStr">
        <is>
          <t>000037546</t>
        </is>
      </c>
      <c r="F3745" t="inlineStr">
        <is>
          <t>COLAMID</t>
        </is>
      </c>
      <c r="G3745" s="27" t="n">
        <v>46175</v>
      </c>
      <c r="H3745" s="14" t="n">
        <v>35200</v>
      </c>
      <c r="I3745" s="14" t="n">
        <v>0</v>
      </c>
      <c r="J3745" s="14" t="n">
        <v>4224</v>
      </c>
      <c r="K3745" s="14" t="n">
        <v>0</v>
      </c>
      <c r="L3745" s="14" t="n">
        <v>0</v>
      </c>
      <c r="M3745" s="14">
        <f>IF(B3745="Frete de venda",0,(1-ISNUMBER(SEARCH("556",P3745)))*(I3745*VLOOKUP($B3745,Premissas!$A$4:$E$7,2,0)+J3745*VLOOKUP($B3745,Premissas!$A$4:$E$7,3,0))+K3745*VLOOKUP($B3745,Premissas!$A$4:$E$7,4,0)+L3745*VLOOKUP($B3745,Premissas!$A$4:$E$7,5,0))</f>
        <v/>
      </c>
      <c r="N3745" s="14">
        <f>H3745-M3745</f>
        <v/>
      </c>
      <c r="O3745" t="inlineStr">
        <is>
          <t>Sim</t>
        </is>
      </c>
      <c r="P3745" t="inlineStr">
        <is>
          <t>2.101</t>
        </is>
      </c>
    </row>
    <row r="3746">
      <c r="A3746" s="24" t="n">
        <v>46174</v>
      </c>
      <c r="B3746" t="inlineStr">
        <is>
          <t>Insumos e papel</t>
        </is>
      </c>
      <c r="C3746" t="inlineStr">
        <is>
          <t>2.01.96 Compra de Cola</t>
        </is>
      </c>
      <c r="D3746" t="inlineStr">
        <is>
          <t>NF-e</t>
        </is>
      </c>
      <c r="E3746" t="inlineStr">
        <is>
          <t>000021967</t>
        </is>
      </c>
      <c r="F3746" t="inlineStr">
        <is>
          <t>REQUIM PRODUTOS QUIMICOS LTDA</t>
        </is>
      </c>
      <c r="G3746" s="27" t="n">
        <v>46198</v>
      </c>
      <c r="H3746" s="14" t="n">
        <v>59400</v>
      </c>
      <c r="I3746" s="14" t="n">
        <v>0</v>
      </c>
      <c r="J3746" s="14" t="n">
        <v>2376</v>
      </c>
      <c r="K3746" s="14" t="n">
        <v>370.66</v>
      </c>
      <c r="L3746" s="14" t="n">
        <v>1710.72</v>
      </c>
      <c r="M3746" s="14">
        <f>IF(B3746="Frete de venda",0,(1-ISNUMBER(SEARCH("556",P3746)))*(I3746*VLOOKUP($B3746,Premissas!$A$4:$E$7,2,0)+J3746*VLOOKUP($B3746,Premissas!$A$4:$E$7,3,0))+K3746*VLOOKUP($B3746,Premissas!$A$4:$E$7,4,0)+L3746*VLOOKUP($B3746,Premissas!$A$4:$E$7,5,0))</f>
        <v/>
      </c>
      <c r="N3746" s="14">
        <f>H3746-M3746</f>
        <v/>
      </c>
      <c r="O3746" t="inlineStr">
        <is>
          <t>Sim</t>
        </is>
      </c>
      <c r="P3746" t="inlineStr">
        <is>
          <t>2.101</t>
        </is>
      </c>
    </row>
    <row r="3747">
      <c r="A3747" s="24" t="n">
        <v>46174</v>
      </c>
      <c r="B3747" t="inlineStr">
        <is>
          <t>Uso e consumo</t>
        </is>
      </c>
      <c r="C3747" t="inlineStr">
        <is>
          <t>2.03.90 Compra de EPI</t>
        </is>
      </c>
      <c r="D3747" t="inlineStr">
        <is>
          <t>NF-e</t>
        </is>
      </c>
      <c r="E3747" t="inlineStr">
        <is>
          <t>000102181</t>
        </is>
      </c>
      <c r="F3747" t="inlineStr">
        <is>
          <t>PERNAMBUCO DISTRIBUIDORA ATAC EPIS, INS IND e MRO LTDA</t>
        </is>
      </c>
      <c r="G3747" s="27" t="n">
        <v>46183</v>
      </c>
      <c r="H3747" s="14" t="n">
        <v>11964.24</v>
      </c>
      <c r="I3747" s="14" t="n">
        <v>0</v>
      </c>
      <c r="J3747" s="14" t="n">
        <v>2392.84</v>
      </c>
      <c r="K3747" s="14" t="n">
        <v>157.92</v>
      </c>
      <c r="L3747" s="14" t="n">
        <v>727.42</v>
      </c>
      <c r="M3747" s="14">
        <f>IF(B3747="Frete de venda",0,(1-ISNUMBER(SEARCH("556",P3747)))*(I3747*VLOOKUP($B3747,Premissas!$A$4:$E$7,2,0)+J3747*VLOOKUP($B3747,Premissas!$A$4:$E$7,3,0))+K3747*VLOOKUP($B3747,Premissas!$A$4:$E$7,4,0)+L3747*VLOOKUP($B3747,Premissas!$A$4:$E$7,5,0))</f>
        <v/>
      </c>
      <c r="N3747" s="14">
        <f>H3747-M3747</f>
        <v/>
      </c>
      <c r="O3747" t="inlineStr">
        <is>
          <t>Sim</t>
        </is>
      </c>
      <c r="P3747" t="inlineStr">
        <is>
          <t>1.556</t>
        </is>
      </c>
    </row>
    <row r="3748">
      <c r="A3748" s="24" t="n">
        <v>46174</v>
      </c>
      <c r="B3748" t="inlineStr">
        <is>
          <t>Uso e consumo</t>
        </is>
      </c>
      <c r="C3748" t="inlineStr">
        <is>
          <t>2.03.90 Compra de EPI</t>
        </is>
      </c>
      <c r="D3748" t="inlineStr">
        <is>
          <t>NF-e</t>
        </is>
      </c>
      <c r="E3748" t="inlineStr">
        <is>
          <t>000102330</t>
        </is>
      </c>
      <c r="F3748" t="inlineStr">
        <is>
          <t>PERNAMBUCO DISTRIBUIDORA ATAC EPIS, INS IND e MRO LTDA</t>
        </is>
      </c>
      <c r="G3748" s="27" t="n">
        <v>46184</v>
      </c>
      <c r="H3748" s="14" t="n">
        <v>300</v>
      </c>
      <c r="I3748" s="14" t="n">
        <v>0</v>
      </c>
      <c r="J3748" s="14" t="n">
        <v>60</v>
      </c>
      <c r="K3748" s="14" t="n">
        <v>3.95</v>
      </c>
      <c r="L3748" s="14" t="n">
        <v>18.23</v>
      </c>
      <c r="M3748" s="14">
        <f>IF(B3748="Frete de venda",0,(1-ISNUMBER(SEARCH("556",P3748)))*(I3748*VLOOKUP($B3748,Premissas!$A$4:$E$7,2,0)+J3748*VLOOKUP($B3748,Premissas!$A$4:$E$7,3,0))+K3748*VLOOKUP($B3748,Premissas!$A$4:$E$7,4,0)+L3748*VLOOKUP($B3748,Premissas!$A$4:$E$7,5,0))</f>
        <v/>
      </c>
      <c r="N3748" s="14">
        <f>H3748-M3748</f>
        <v/>
      </c>
      <c r="O3748" t="inlineStr">
        <is>
          <t>Sim</t>
        </is>
      </c>
      <c r="P3748" t="inlineStr">
        <is>
          <t>1.556</t>
        </is>
      </c>
    </row>
    <row r="3749">
      <c r="A3749" s="24" t="n">
        <v>46174</v>
      </c>
      <c r="B3749" t="inlineStr">
        <is>
          <t>Uso e consumo</t>
        </is>
      </c>
      <c r="C3749" t="inlineStr">
        <is>
          <t>2.03.90 Compra de EPI</t>
        </is>
      </c>
      <c r="D3749" t="inlineStr">
        <is>
          <t>NF-e</t>
        </is>
      </c>
      <c r="E3749" t="inlineStr">
        <is>
          <t>000122570</t>
        </is>
      </c>
      <c r="F3749" t="inlineStr">
        <is>
          <t>SEGURA COM DE EQUP. DE PROTECAO LTDA</t>
        </is>
      </c>
      <c r="G3749" s="27" t="n">
        <v>46175</v>
      </c>
      <c r="H3749" s="14" t="n">
        <v>400.22</v>
      </c>
      <c r="I3749" s="14" t="n">
        <v>0</v>
      </c>
      <c r="J3749" s="14" t="n">
        <v>80.04000000000001</v>
      </c>
      <c r="K3749" s="14" t="n">
        <v>5.29</v>
      </c>
      <c r="L3749" s="14" t="n">
        <v>24.33</v>
      </c>
      <c r="M3749" s="14">
        <f>IF(B3749="Frete de venda",0,(1-ISNUMBER(SEARCH("556",P3749)))*(I3749*VLOOKUP($B3749,Premissas!$A$4:$E$7,2,0)+J3749*VLOOKUP($B3749,Premissas!$A$4:$E$7,3,0))+K3749*VLOOKUP($B3749,Premissas!$A$4:$E$7,4,0)+L3749*VLOOKUP($B3749,Premissas!$A$4:$E$7,5,0))</f>
        <v/>
      </c>
      <c r="N3749" s="14">
        <f>H3749-M3749</f>
        <v/>
      </c>
      <c r="O3749" t="inlineStr">
        <is>
          <t>Sim</t>
        </is>
      </c>
      <c r="P3749" t="inlineStr">
        <is>
          <t>1.102</t>
        </is>
      </c>
    </row>
    <row r="3750">
      <c r="A3750" s="24" t="n">
        <v>46174</v>
      </c>
      <c r="B3750" t="inlineStr">
        <is>
          <t>Uso e consumo</t>
        </is>
      </c>
      <c r="C3750" t="inlineStr">
        <is>
          <t>2.04.06 Material de Escritório</t>
        </is>
      </c>
      <c r="D3750" t="inlineStr">
        <is>
          <t>NF-e</t>
        </is>
      </c>
      <c r="E3750" t="inlineStr">
        <is>
          <t>000243549</t>
        </is>
      </c>
      <c r="F3750" t="inlineStr">
        <is>
          <t>ABSHOP COMERCIO LTDA</t>
        </is>
      </c>
      <c r="G3750" s="27" t="n">
        <v>46181</v>
      </c>
      <c r="H3750" s="14" t="n">
        <v>113.7</v>
      </c>
      <c r="I3750" s="14" t="n">
        <v>0</v>
      </c>
      <c r="J3750" s="14" t="n">
        <v>0</v>
      </c>
      <c r="K3750" s="14" t="n">
        <v>0</v>
      </c>
      <c r="L3750" s="14" t="n">
        <v>0</v>
      </c>
      <c r="M3750" s="14">
        <f>IF(B3750="Frete de venda",0,(1-ISNUMBER(SEARCH("556",P3750)))*(I3750*VLOOKUP($B3750,Premissas!$A$4:$E$7,2,0)+J3750*VLOOKUP($B3750,Premissas!$A$4:$E$7,3,0))+K3750*VLOOKUP($B3750,Premissas!$A$4:$E$7,4,0)+L3750*VLOOKUP($B3750,Premissas!$A$4:$E$7,5,0))</f>
        <v/>
      </c>
      <c r="N3750" s="14">
        <f>H3750-M3750</f>
        <v/>
      </c>
      <c r="O3750" t="inlineStr">
        <is>
          <t>Sim</t>
        </is>
      </c>
      <c r="P3750" t="inlineStr">
        <is>
          <t>2.556</t>
        </is>
      </c>
    </row>
    <row r="3751">
      <c r="A3751" s="24" t="n">
        <v>46174</v>
      </c>
      <c r="B3751" t="inlineStr">
        <is>
          <t>Uso e consumo</t>
        </is>
      </c>
      <c r="C3751" t="inlineStr">
        <is>
          <t>2.04.06 Material de Escritório</t>
        </is>
      </c>
      <c r="D3751" t="inlineStr">
        <is>
          <t>NF-e</t>
        </is>
      </c>
      <c r="E3751" t="inlineStr">
        <is>
          <t>000243547</t>
        </is>
      </c>
      <c r="F3751" t="inlineStr">
        <is>
          <t>ABSHOP COMERCIO LTDA</t>
        </is>
      </c>
      <c r="G3751" s="27" t="n">
        <v>46181</v>
      </c>
      <c r="H3751" s="14" t="n">
        <v>113.7</v>
      </c>
      <c r="I3751" s="14" t="n">
        <v>0</v>
      </c>
      <c r="J3751" s="14" t="n">
        <v>0</v>
      </c>
      <c r="K3751" s="14" t="n">
        <v>0</v>
      </c>
      <c r="L3751" s="14" t="n">
        <v>0</v>
      </c>
      <c r="M3751" s="14">
        <f>IF(B3751="Frete de venda",0,(1-ISNUMBER(SEARCH("556",P3751)))*(I3751*VLOOKUP($B3751,Premissas!$A$4:$E$7,2,0)+J3751*VLOOKUP($B3751,Premissas!$A$4:$E$7,3,0))+K3751*VLOOKUP($B3751,Premissas!$A$4:$E$7,4,0)+L3751*VLOOKUP($B3751,Premissas!$A$4:$E$7,5,0))</f>
        <v/>
      </c>
      <c r="N3751" s="14">
        <f>H3751-M3751</f>
        <v/>
      </c>
      <c r="O3751" t="inlineStr">
        <is>
          <t>Sim</t>
        </is>
      </c>
      <c r="P3751" t="inlineStr">
        <is>
          <t>2.556</t>
        </is>
      </c>
    </row>
    <row r="3752">
      <c r="A3752" s="24" t="n">
        <v>46174</v>
      </c>
      <c r="B3752" t="inlineStr">
        <is>
          <t>Uso e consumo</t>
        </is>
      </c>
      <c r="C3752" t="inlineStr">
        <is>
          <t>2.04.06 Material de Escritório</t>
        </is>
      </c>
      <c r="D3752" t="inlineStr">
        <is>
          <t>NF-e</t>
        </is>
      </c>
      <c r="E3752" t="inlineStr">
        <is>
          <t>000244340</t>
        </is>
      </c>
      <c r="F3752" t="inlineStr">
        <is>
          <t>ABSHOP COMERCIO LTDA</t>
        </is>
      </c>
      <c r="G3752" s="27" t="n">
        <v>46182</v>
      </c>
      <c r="H3752" s="14" t="n">
        <v>151.6</v>
      </c>
      <c r="I3752" s="14" t="n">
        <v>0</v>
      </c>
      <c r="J3752" s="14" t="n">
        <v>0</v>
      </c>
      <c r="K3752" s="14" t="n">
        <v>0</v>
      </c>
      <c r="L3752" s="14" t="n">
        <v>0</v>
      </c>
      <c r="M3752" s="14">
        <f>IF(B3752="Frete de venda",0,(1-ISNUMBER(SEARCH("556",P3752)))*(I3752*VLOOKUP($B3752,Premissas!$A$4:$E$7,2,0)+J3752*VLOOKUP($B3752,Premissas!$A$4:$E$7,3,0))+K3752*VLOOKUP($B3752,Premissas!$A$4:$E$7,4,0)+L3752*VLOOKUP($B3752,Premissas!$A$4:$E$7,5,0))</f>
        <v/>
      </c>
      <c r="N3752" s="14">
        <f>H3752-M3752</f>
        <v/>
      </c>
      <c r="O3752" t="inlineStr">
        <is>
          <t>Sim</t>
        </is>
      </c>
      <c r="P3752" t="inlineStr">
        <is>
          <t>2.556</t>
        </is>
      </c>
    </row>
    <row r="3753">
      <c r="A3753" s="24" t="n">
        <v>46174</v>
      </c>
      <c r="B3753" t="inlineStr">
        <is>
          <t>Uso e consumo</t>
        </is>
      </c>
      <c r="C3753" t="inlineStr">
        <is>
          <t>2.04.06 Material de Escritório</t>
        </is>
      </c>
      <c r="D3753" t="inlineStr">
        <is>
          <t>NF-e</t>
        </is>
      </c>
      <c r="E3753" t="inlineStr">
        <is>
          <t>000037304</t>
        </is>
      </c>
      <c r="F3753" t="inlineStr">
        <is>
          <t>Kalunga SA</t>
        </is>
      </c>
      <c r="G3753" s="27" t="n">
        <v>46178</v>
      </c>
      <c r="H3753" s="14" t="n">
        <v>39.9</v>
      </c>
      <c r="I3753" s="14" t="n">
        <v>0</v>
      </c>
      <c r="J3753" s="14" t="n">
        <v>7.98</v>
      </c>
      <c r="K3753" s="14" t="n">
        <v>0.53</v>
      </c>
      <c r="L3753" s="14" t="n">
        <v>2.43</v>
      </c>
      <c r="M3753" s="14">
        <f>IF(B3753="Frete de venda",0,(1-ISNUMBER(SEARCH("556",P3753)))*(I3753*VLOOKUP($B3753,Premissas!$A$4:$E$7,2,0)+J3753*VLOOKUP($B3753,Premissas!$A$4:$E$7,3,0))+K3753*VLOOKUP($B3753,Premissas!$A$4:$E$7,4,0)+L3753*VLOOKUP($B3753,Premissas!$A$4:$E$7,5,0))</f>
        <v/>
      </c>
      <c r="N3753" s="14">
        <f>H3753-M3753</f>
        <v/>
      </c>
      <c r="O3753" t="inlineStr">
        <is>
          <t>Sim</t>
        </is>
      </c>
      <c r="P3753" t="inlineStr">
        <is>
          <t>1.556</t>
        </is>
      </c>
    </row>
    <row r="3754">
      <c r="A3754" s="24" t="n">
        <v>46174</v>
      </c>
      <c r="B3754" t="inlineStr">
        <is>
          <t>Uso e consumo</t>
        </is>
      </c>
      <c r="C3754" t="inlineStr">
        <is>
          <t>2.04.06 Material de Escritório</t>
        </is>
      </c>
      <c r="D3754" t="inlineStr">
        <is>
          <t>NF-e</t>
        </is>
      </c>
      <c r="E3754" t="inlineStr">
        <is>
          <t>000026123</t>
        </is>
      </c>
      <c r="F3754" t="inlineStr">
        <is>
          <t>MEGA FORCE COMERCIO DE ELETRO ELETRONICOS LTDA ME</t>
        </is>
      </c>
      <c r="G3754" s="27" t="n">
        <v>46182</v>
      </c>
      <c r="H3754" s="14" t="n">
        <v>288.86</v>
      </c>
      <c r="I3754" s="14" t="n">
        <v>0</v>
      </c>
      <c r="J3754" s="14" t="n">
        <v>0</v>
      </c>
      <c r="K3754" s="14" t="n">
        <v>0</v>
      </c>
      <c r="L3754" s="14" t="n">
        <v>0</v>
      </c>
      <c r="M3754" s="14">
        <f>IF(B3754="Frete de venda",0,(1-ISNUMBER(SEARCH("556",P3754)))*(I3754*VLOOKUP($B3754,Premissas!$A$4:$E$7,2,0)+J3754*VLOOKUP($B3754,Premissas!$A$4:$E$7,3,0))+K3754*VLOOKUP($B3754,Premissas!$A$4:$E$7,4,0)+L3754*VLOOKUP($B3754,Premissas!$A$4:$E$7,5,0))</f>
        <v/>
      </c>
      <c r="N3754" s="14">
        <f>H3754-M3754</f>
        <v/>
      </c>
      <c r="O3754" t="inlineStr">
        <is>
          <t>Sim</t>
        </is>
      </c>
      <c r="P3754" t="inlineStr">
        <is>
          <t>2.556</t>
        </is>
      </c>
    </row>
    <row r="3755">
      <c r="A3755" s="24" t="n">
        <v>46174</v>
      </c>
      <c r="B3755" t="inlineStr">
        <is>
          <t>Uso e consumo</t>
        </is>
      </c>
      <c r="C3755" t="inlineStr">
        <is>
          <t>2.04.91 Compra de Material de Limpeza</t>
        </is>
      </c>
      <c r="D3755" t="inlineStr">
        <is>
          <t>NF-e</t>
        </is>
      </c>
      <c r="E3755" t="inlineStr">
        <is>
          <t>000010234</t>
        </is>
      </c>
      <c r="F3755" t="inlineStr">
        <is>
          <t>BLEED S IND. E COM. DE PRODUTOS QUIMICOS E LUBRIF. LTDA</t>
        </is>
      </c>
      <c r="G3755" s="27" t="n">
        <v>46183</v>
      </c>
      <c r="H3755" s="14" t="n">
        <v>890</v>
      </c>
      <c r="I3755" s="14" t="n">
        <v>0</v>
      </c>
      <c r="J3755" s="14" t="n">
        <v>0</v>
      </c>
      <c r="K3755" s="14" t="n">
        <v>0</v>
      </c>
      <c r="L3755" s="14" t="n">
        <v>0</v>
      </c>
      <c r="M3755" s="14">
        <f>IF(B3755="Frete de venda",0,(1-ISNUMBER(SEARCH("556",P3755)))*(I3755*VLOOKUP($B3755,Premissas!$A$4:$E$7,2,0)+J3755*VLOOKUP($B3755,Premissas!$A$4:$E$7,3,0))+K3755*VLOOKUP($B3755,Premissas!$A$4:$E$7,4,0)+L3755*VLOOKUP($B3755,Premissas!$A$4:$E$7,5,0))</f>
        <v/>
      </c>
      <c r="N3755" s="14">
        <f>H3755-M3755</f>
        <v/>
      </c>
      <c r="O3755" t="inlineStr">
        <is>
          <t>Sim</t>
        </is>
      </c>
      <c r="P3755" t="inlineStr">
        <is>
          <t>1.556</t>
        </is>
      </c>
    </row>
    <row r="3756">
      <c r="A3756" s="24" t="n">
        <v>46174</v>
      </c>
      <c r="B3756" t="inlineStr">
        <is>
          <t>Uso e consumo</t>
        </is>
      </c>
      <c r="C3756" t="inlineStr">
        <is>
          <t>2.04.91 Compra de Material de Limpeza</t>
        </is>
      </c>
      <c r="D3756" t="inlineStr">
        <is>
          <t>NF-e</t>
        </is>
      </c>
      <c r="E3756" t="inlineStr">
        <is>
          <t>000001139</t>
        </is>
      </c>
      <c r="F3756" t="inlineStr">
        <is>
          <t>Limptech Paper Comercio Ltda</t>
        </is>
      </c>
      <c r="G3756" s="27" t="n">
        <v>46178</v>
      </c>
      <c r="H3756" s="14" t="n">
        <v>1626.45</v>
      </c>
      <c r="I3756" s="14" t="n">
        <v>0</v>
      </c>
      <c r="J3756" s="14" t="n">
        <v>0</v>
      </c>
      <c r="K3756" s="14" t="n">
        <v>0</v>
      </c>
      <c r="L3756" s="14" t="n">
        <v>0</v>
      </c>
      <c r="M3756" s="14">
        <f>IF(B3756="Frete de venda",0,(1-ISNUMBER(SEARCH("556",P3756)))*(I3756*VLOOKUP($B3756,Premissas!$A$4:$E$7,2,0)+J3756*VLOOKUP($B3756,Premissas!$A$4:$E$7,3,0))+K3756*VLOOKUP($B3756,Premissas!$A$4:$E$7,4,0)+L3756*VLOOKUP($B3756,Premissas!$A$4:$E$7,5,0))</f>
        <v/>
      </c>
      <c r="N3756" s="14">
        <f>H3756-M3756</f>
        <v/>
      </c>
      <c r="O3756" t="inlineStr">
        <is>
          <t>Sim</t>
        </is>
      </c>
      <c r="P3756" t="inlineStr">
        <is>
          <t>1.102, 1.556</t>
        </is>
      </c>
    </row>
    <row r="3757">
      <c r="A3757" s="24" t="n">
        <v>46174</v>
      </c>
      <c r="B3757" t="inlineStr">
        <is>
          <t>Uso e consumo</t>
        </is>
      </c>
      <c r="C3757" t="inlineStr">
        <is>
          <t>2.04.91 Compra de Material de Limpeza</t>
        </is>
      </c>
      <c r="D3757" t="inlineStr">
        <is>
          <t>NF-e</t>
        </is>
      </c>
      <c r="E3757" t="inlineStr">
        <is>
          <t>000001221</t>
        </is>
      </c>
      <c r="F3757" t="inlineStr">
        <is>
          <t>Limptech Paper Comercio Ltda</t>
        </is>
      </c>
      <c r="G3757" s="27" t="n">
        <v>46199</v>
      </c>
      <c r="H3757" s="14" t="n">
        <v>1128.1</v>
      </c>
      <c r="I3757" s="14" t="n">
        <v>0</v>
      </c>
      <c r="J3757" s="14" t="n">
        <v>0</v>
      </c>
      <c r="K3757" s="14" t="n">
        <v>0</v>
      </c>
      <c r="L3757" s="14" t="n">
        <v>0</v>
      </c>
      <c r="M3757" s="14">
        <f>IF(B3757="Frete de venda",0,(1-ISNUMBER(SEARCH("556",P3757)))*(I3757*VLOOKUP($B3757,Premissas!$A$4:$E$7,2,0)+J3757*VLOOKUP($B3757,Premissas!$A$4:$E$7,3,0))+K3757*VLOOKUP($B3757,Premissas!$A$4:$E$7,4,0)+L3757*VLOOKUP($B3757,Premissas!$A$4:$E$7,5,0))</f>
        <v/>
      </c>
      <c r="N3757" s="14">
        <f>H3757-M3757</f>
        <v/>
      </c>
      <c r="O3757" t="inlineStr">
        <is>
          <t>Sim</t>
        </is>
      </c>
      <c r="P3757" t="inlineStr">
        <is>
          <t>1.556</t>
        </is>
      </c>
    </row>
    <row r="3758">
      <c r="A3758" s="24" t="n">
        <v>46174</v>
      </c>
      <c r="B3758" t="inlineStr">
        <is>
          <t>Uso e consumo</t>
        </is>
      </c>
      <c r="C3758" t="inlineStr">
        <is>
          <t>2.04.91 Compra de Material de Limpeza</t>
        </is>
      </c>
      <c r="D3758" t="inlineStr">
        <is>
          <t>NF-e</t>
        </is>
      </c>
      <c r="E3758" t="inlineStr">
        <is>
          <t>000360289</t>
        </is>
      </c>
      <c r="F3758" t="inlineStr">
        <is>
          <t>OCUBO PAPEIS DESCARTAVEIS E SOLUCOES DE HIGIENE E LIMPEZA LT</t>
        </is>
      </c>
      <c r="G3758" s="27" t="n">
        <v>46184</v>
      </c>
      <c r="H3758" s="14" t="n">
        <v>52.27</v>
      </c>
      <c r="I3758" s="14" t="n">
        <v>0</v>
      </c>
      <c r="J3758" s="14" t="n">
        <v>0</v>
      </c>
      <c r="K3758" s="14" t="n">
        <v>0</v>
      </c>
      <c r="L3758" s="14" t="n">
        <v>0</v>
      </c>
      <c r="M3758" s="14">
        <f>IF(B3758="Frete de venda",0,(1-ISNUMBER(SEARCH("556",P3758)))*(I3758*VLOOKUP($B3758,Premissas!$A$4:$E$7,2,0)+J3758*VLOOKUP($B3758,Premissas!$A$4:$E$7,3,0))+K3758*VLOOKUP($B3758,Premissas!$A$4:$E$7,4,0)+L3758*VLOOKUP($B3758,Premissas!$A$4:$E$7,5,0))</f>
        <v/>
      </c>
      <c r="N3758" s="14">
        <f>H3758-M3758</f>
        <v/>
      </c>
      <c r="O3758" t="inlineStr">
        <is>
          <t>Sim</t>
        </is>
      </c>
      <c r="P3758" t="inlineStr">
        <is>
          <t>1.556</t>
        </is>
      </c>
    </row>
    <row r="3759">
      <c r="A3759" s="24" t="n">
        <v>46204</v>
      </c>
      <c r="B3759" t="inlineStr">
        <is>
          <t>Frete de compra</t>
        </is>
      </c>
      <c r="C3759" t="inlineStr">
        <is>
          <t>Frete de compra</t>
        </is>
      </c>
      <c r="D3759" t="inlineStr">
        <is>
          <t>CT-e</t>
        </is>
      </c>
      <c r="E3759" t="inlineStr">
        <is>
          <t>000083438</t>
        </is>
      </c>
      <c r="F3759" t="inlineStr">
        <is>
          <t>GOL LINHAS AEREAS S.A.</t>
        </is>
      </c>
      <c r="G3759" s="27" t="n">
        <v>46213</v>
      </c>
      <c r="H3759" s="14" t="n">
        <v>369.52</v>
      </c>
      <c r="I3759" s="14" t="n">
        <v>0</v>
      </c>
      <c r="J3759" s="14" t="n">
        <v>14.78</v>
      </c>
      <c r="K3759" s="14" t="n">
        <v>0</v>
      </c>
      <c r="L3759" s="14" t="n">
        <v>0</v>
      </c>
      <c r="M3759" s="14">
        <f>IF(B3759="Frete de venda",0,(1-ISNUMBER(SEARCH("556",P3759)))*(I3759*VLOOKUP($B3759,Premissas!$A$4:$E$7,2,0)+J3759*VLOOKUP($B3759,Premissas!$A$4:$E$7,3,0))+K3759*VLOOKUP($B3759,Premissas!$A$4:$E$7,4,0)+L3759*VLOOKUP($B3759,Premissas!$A$4:$E$7,5,0))</f>
        <v/>
      </c>
      <c r="N3759" s="14">
        <f>H3759-M3759</f>
        <v/>
      </c>
      <c r="O3759" t="inlineStr">
        <is>
          <t>Não</t>
        </is>
      </c>
      <c r="P3759" t="inlineStr">
        <is>
          <t>1.350</t>
        </is>
      </c>
    </row>
    <row r="3760">
      <c r="A3760" s="24" t="n">
        <v>46204</v>
      </c>
      <c r="B3760" t="inlineStr">
        <is>
          <t>Frete de compra</t>
        </is>
      </c>
      <c r="C3760" t="inlineStr">
        <is>
          <t>Frete de compra</t>
        </is>
      </c>
      <c r="D3760" t="inlineStr">
        <is>
          <t>CT-e</t>
        </is>
      </c>
      <c r="E3760" t="inlineStr">
        <is>
          <t>000083435</t>
        </is>
      </c>
      <c r="F3760" t="inlineStr">
        <is>
          <t>GOL LINHAS AEREAS S.A.</t>
        </is>
      </c>
      <c r="G3760" s="27" t="n">
        <v>46213</v>
      </c>
      <c r="H3760" s="14" t="n">
        <v>207.46</v>
      </c>
      <c r="I3760" s="14" t="n">
        <v>0</v>
      </c>
      <c r="J3760" s="14" t="n">
        <v>8.300000000000001</v>
      </c>
      <c r="K3760" s="14" t="n">
        <v>0</v>
      </c>
      <c r="L3760" s="14" t="n">
        <v>0</v>
      </c>
      <c r="M3760" s="14">
        <f>IF(B3760="Frete de venda",0,(1-ISNUMBER(SEARCH("556",P3760)))*(I3760*VLOOKUP($B3760,Premissas!$A$4:$E$7,2,0)+J3760*VLOOKUP($B3760,Premissas!$A$4:$E$7,3,0))+K3760*VLOOKUP($B3760,Premissas!$A$4:$E$7,4,0)+L3760*VLOOKUP($B3760,Premissas!$A$4:$E$7,5,0))</f>
        <v/>
      </c>
      <c r="N3760" s="14">
        <f>H3760-M3760</f>
        <v/>
      </c>
      <c r="O3760" t="inlineStr">
        <is>
          <t>Não</t>
        </is>
      </c>
      <c r="P3760" t="inlineStr">
        <is>
          <t>1.350</t>
        </is>
      </c>
    </row>
    <row r="3761">
      <c r="A3761" s="24" t="n">
        <v>46204</v>
      </c>
      <c r="B3761" t="inlineStr">
        <is>
          <t>Frete de compra</t>
        </is>
      </c>
      <c r="C3761" t="inlineStr">
        <is>
          <t>Frete de compra</t>
        </is>
      </c>
      <c r="D3761" t="inlineStr">
        <is>
          <t>CT-e</t>
        </is>
      </c>
      <c r="E3761" t="inlineStr">
        <is>
          <t>000083436</t>
        </is>
      </c>
      <c r="F3761" t="inlineStr">
        <is>
          <t>GOL LINHAS AEREAS S.A.</t>
        </is>
      </c>
      <c r="G3761" s="27" t="n">
        <v>46213</v>
      </c>
      <c r="H3761" s="14" t="n">
        <v>91.5</v>
      </c>
      <c r="I3761" s="14" t="n">
        <v>0</v>
      </c>
      <c r="J3761" s="14" t="n">
        <v>3.66</v>
      </c>
      <c r="K3761" s="14" t="n">
        <v>0</v>
      </c>
      <c r="L3761" s="14" t="n">
        <v>0</v>
      </c>
      <c r="M3761" s="14">
        <f>IF(B3761="Frete de venda",0,(1-ISNUMBER(SEARCH("556",P3761)))*(I3761*VLOOKUP($B3761,Premissas!$A$4:$E$7,2,0)+J3761*VLOOKUP($B3761,Premissas!$A$4:$E$7,3,0))+K3761*VLOOKUP($B3761,Premissas!$A$4:$E$7,4,0)+L3761*VLOOKUP($B3761,Premissas!$A$4:$E$7,5,0))</f>
        <v/>
      </c>
      <c r="N3761" s="14">
        <f>H3761-M3761</f>
        <v/>
      </c>
      <c r="O3761" t="inlineStr">
        <is>
          <t>Não</t>
        </is>
      </c>
      <c r="P3761" t="inlineStr">
        <is>
          <t>1.350</t>
        </is>
      </c>
    </row>
    <row r="3762">
      <c r="A3762" s="24" t="n">
        <v>46204</v>
      </c>
      <c r="B3762" t="inlineStr">
        <is>
          <t>Frete de compra</t>
        </is>
      </c>
      <c r="C3762" t="inlineStr">
        <is>
          <t>Frete de compra</t>
        </is>
      </c>
      <c r="D3762" t="inlineStr">
        <is>
          <t>CT-e</t>
        </is>
      </c>
      <c r="E3762" t="inlineStr">
        <is>
          <t>000083437</t>
        </is>
      </c>
      <c r="F3762" t="inlineStr">
        <is>
          <t>GOL LINHAS AEREAS S.A.</t>
        </is>
      </c>
      <c r="G3762" s="27" t="n">
        <v>46213</v>
      </c>
      <c r="H3762" s="14" t="n">
        <v>231.66</v>
      </c>
      <c r="I3762" s="14" t="n">
        <v>0</v>
      </c>
      <c r="J3762" s="14" t="n">
        <v>9.27</v>
      </c>
      <c r="K3762" s="14" t="n">
        <v>0</v>
      </c>
      <c r="L3762" s="14" t="n">
        <v>0</v>
      </c>
      <c r="M3762" s="14">
        <f>IF(B3762="Frete de venda",0,(1-ISNUMBER(SEARCH("556",P3762)))*(I3762*VLOOKUP($B3762,Premissas!$A$4:$E$7,2,0)+J3762*VLOOKUP($B3762,Premissas!$A$4:$E$7,3,0))+K3762*VLOOKUP($B3762,Premissas!$A$4:$E$7,4,0)+L3762*VLOOKUP($B3762,Premissas!$A$4:$E$7,5,0))</f>
        <v/>
      </c>
      <c r="N3762" s="14">
        <f>H3762-M3762</f>
        <v/>
      </c>
      <c r="O3762" t="inlineStr">
        <is>
          <t>Não</t>
        </is>
      </c>
      <c r="P3762" t="inlineStr">
        <is>
          <t>1.350</t>
        </is>
      </c>
    </row>
    <row r="3763">
      <c r="A3763" s="24" t="n">
        <v>46204</v>
      </c>
      <c r="B3763" t="inlineStr">
        <is>
          <t>Frete de compra</t>
        </is>
      </c>
      <c r="C3763" t="inlineStr">
        <is>
          <t>Frete de compra</t>
        </is>
      </c>
      <c r="D3763" t="inlineStr">
        <is>
          <t>CT-e</t>
        </is>
      </c>
      <c r="E3763" t="inlineStr">
        <is>
          <t>000200066</t>
        </is>
      </c>
      <c r="F3763" t="inlineStr">
        <is>
          <t>ALIANCA NAVEGACAO E LOGISTICA LTDA</t>
        </is>
      </c>
      <c r="G3763" s="27" t="n">
        <v>46206</v>
      </c>
      <c r="H3763" s="14" t="n">
        <v>154.84</v>
      </c>
      <c r="I3763" s="14" t="n">
        <v>0</v>
      </c>
      <c r="J3763" s="14" t="n">
        <v>10.84</v>
      </c>
      <c r="K3763" s="14" t="n">
        <v>0</v>
      </c>
      <c r="L3763" s="14" t="n">
        <v>0</v>
      </c>
      <c r="M3763" s="14">
        <f>IF(B3763="Frete de venda",0,(1-ISNUMBER(SEARCH("556",P3763)))*(I3763*VLOOKUP($B3763,Premissas!$A$4:$E$7,2,0)+J3763*VLOOKUP($B3763,Premissas!$A$4:$E$7,3,0))+K3763*VLOOKUP($B3763,Premissas!$A$4:$E$7,4,0)+L3763*VLOOKUP($B3763,Premissas!$A$4:$E$7,5,0))</f>
        <v/>
      </c>
      <c r="N3763" s="14">
        <f>H3763-M3763</f>
        <v/>
      </c>
      <c r="O3763" t="inlineStr">
        <is>
          <t>Sim</t>
        </is>
      </c>
      <c r="P3763" t="inlineStr">
        <is>
          <t>2.350</t>
        </is>
      </c>
    </row>
    <row r="3764">
      <c r="A3764" s="24" t="n">
        <v>46204</v>
      </c>
      <c r="B3764" t="inlineStr">
        <is>
          <t>Frete de compra</t>
        </is>
      </c>
      <c r="C3764" t="inlineStr">
        <is>
          <t>Frete de compra</t>
        </is>
      </c>
      <c r="D3764" t="inlineStr">
        <is>
          <t>CT-e</t>
        </is>
      </c>
      <c r="E3764" t="inlineStr">
        <is>
          <t>000083020</t>
        </is>
      </c>
      <c r="F3764" t="inlineStr">
        <is>
          <t>GOL LINHAS AEREAS S.A.</t>
        </is>
      </c>
      <c r="G3764" s="27" t="n">
        <v>46205</v>
      </c>
      <c r="H3764" s="14" t="n">
        <v>151.18</v>
      </c>
      <c r="I3764" s="14" t="n">
        <v>0</v>
      </c>
      <c r="J3764" s="14" t="n">
        <v>6.05</v>
      </c>
      <c r="K3764" s="14" t="n">
        <v>0</v>
      </c>
      <c r="L3764" s="14" t="n">
        <v>0</v>
      </c>
      <c r="M3764" s="14">
        <f>IF(B3764="Frete de venda",0,(1-ISNUMBER(SEARCH("556",P3764)))*(I3764*VLOOKUP($B3764,Premissas!$A$4:$E$7,2,0)+J3764*VLOOKUP($B3764,Premissas!$A$4:$E$7,3,0))+K3764*VLOOKUP($B3764,Premissas!$A$4:$E$7,4,0)+L3764*VLOOKUP($B3764,Premissas!$A$4:$E$7,5,0))</f>
        <v/>
      </c>
      <c r="N3764" s="14">
        <f>H3764-M3764</f>
        <v/>
      </c>
      <c r="O3764" t="inlineStr">
        <is>
          <t>Sim</t>
        </is>
      </c>
      <c r="P3764" t="inlineStr">
        <is>
          <t>1.350</t>
        </is>
      </c>
    </row>
    <row r="3765">
      <c r="A3765" s="24" t="n">
        <v>46204</v>
      </c>
      <c r="B3765" t="inlineStr">
        <is>
          <t>Frete de compra</t>
        </is>
      </c>
      <c r="C3765" t="inlineStr">
        <is>
          <t>Frete de compra</t>
        </is>
      </c>
      <c r="D3765" t="inlineStr">
        <is>
          <t>CT-e</t>
        </is>
      </c>
      <c r="E3765" t="inlineStr">
        <is>
          <t>000083018</t>
        </is>
      </c>
      <c r="F3765" t="inlineStr">
        <is>
          <t>GOL LINHAS AEREAS S.A.</t>
        </is>
      </c>
      <c r="G3765" s="27" t="n">
        <v>46205</v>
      </c>
      <c r="H3765" s="14" t="n">
        <v>113.98</v>
      </c>
      <c r="I3765" s="14" t="n">
        <v>0</v>
      </c>
      <c r="J3765" s="14" t="n">
        <v>4.56</v>
      </c>
      <c r="K3765" s="14" t="n">
        <v>0</v>
      </c>
      <c r="L3765" s="14" t="n">
        <v>0</v>
      </c>
      <c r="M3765" s="14">
        <f>IF(B3765="Frete de venda",0,(1-ISNUMBER(SEARCH("556",P3765)))*(I3765*VLOOKUP($B3765,Premissas!$A$4:$E$7,2,0)+J3765*VLOOKUP($B3765,Premissas!$A$4:$E$7,3,0))+K3765*VLOOKUP($B3765,Premissas!$A$4:$E$7,4,0)+L3765*VLOOKUP($B3765,Premissas!$A$4:$E$7,5,0))</f>
        <v/>
      </c>
      <c r="N3765" s="14">
        <f>H3765-M3765</f>
        <v/>
      </c>
      <c r="O3765" t="inlineStr">
        <is>
          <t>Sim</t>
        </is>
      </c>
      <c r="P3765" t="inlineStr">
        <is>
          <t>1.350</t>
        </is>
      </c>
    </row>
    <row r="3766">
      <c r="A3766" s="24" t="n">
        <v>46204</v>
      </c>
      <c r="B3766" t="inlineStr">
        <is>
          <t>Frete de compra</t>
        </is>
      </c>
      <c r="C3766" t="inlineStr">
        <is>
          <t>Frete de compra</t>
        </is>
      </c>
      <c r="D3766" t="inlineStr">
        <is>
          <t>CT-e</t>
        </is>
      </c>
      <c r="E3766" t="inlineStr">
        <is>
          <t>000083012</t>
        </is>
      </c>
      <c r="F3766" t="inlineStr">
        <is>
          <t>GOL LINHAS AEREAS S.A.</t>
        </is>
      </c>
      <c r="G3766" s="27" t="n">
        <v>46205</v>
      </c>
      <c r="H3766" s="14" t="n">
        <v>263.18</v>
      </c>
      <c r="I3766" s="14" t="n">
        <v>0</v>
      </c>
      <c r="J3766" s="14" t="n">
        <v>10.53</v>
      </c>
      <c r="K3766" s="14" t="n">
        <v>0</v>
      </c>
      <c r="L3766" s="14" t="n">
        <v>0</v>
      </c>
      <c r="M3766" s="14">
        <f>IF(B3766="Frete de venda",0,(1-ISNUMBER(SEARCH("556",P3766)))*(I3766*VLOOKUP($B3766,Premissas!$A$4:$E$7,2,0)+J3766*VLOOKUP($B3766,Premissas!$A$4:$E$7,3,0))+K3766*VLOOKUP($B3766,Premissas!$A$4:$E$7,4,0)+L3766*VLOOKUP($B3766,Premissas!$A$4:$E$7,5,0))</f>
        <v/>
      </c>
      <c r="N3766" s="14">
        <f>H3766-M3766</f>
        <v/>
      </c>
      <c r="O3766" t="inlineStr">
        <is>
          <t>Sim</t>
        </is>
      </c>
      <c r="P3766" t="inlineStr">
        <is>
          <t>1.350</t>
        </is>
      </c>
    </row>
    <row r="3767">
      <c r="A3767" s="24" t="n">
        <v>46204</v>
      </c>
      <c r="B3767" t="inlineStr">
        <is>
          <t>Frete de compra</t>
        </is>
      </c>
      <c r="C3767" t="inlineStr">
        <is>
          <t>Frete de compra</t>
        </is>
      </c>
      <c r="D3767" t="inlineStr">
        <is>
          <t>CT-e</t>
        </is>
      </c>
      <c r="E3767" t="inlineStr">
        <is>
          <t>000083014</t>
        </is>
      </c>
      <c r="F3767" t="inlineStr">
        <is>
          <t>GOL LINHAS AEREAS S.A.</t>
        </is>
      </c>
      <c r="G3767" s="27" t="n">
        <v>46205</v>
      </c>
      <c r="H3767" s="14" t="n">
        <v>163.94</v>
      </c>
      <c r="I3767" s="14" t="n">
        <v>0</v>
      </c>
      <c r="J3767" s="14" t="n">
        <v>6.56</v>
      </c>
      <c r="K3767" s="14" t="n">
        <v>0</v>
      </c>
      <c r="L3767" s="14" t="n">
        <v>0</v>
      </c>
      <c r="M3767" s="14">
        <f>IF(B3767="Frete de venda",0,(1-ISNUMBER(SEARCH("556",P3767)))*(I3767*VLOOKUP($B3767,Premissas!$A$4:$E$7,2,0)+J3767*VLOOKUP($B3767,Premissas!$A$4:$E$7,3,0))+K3767*VLOOKUP($B3767,Premissas!$A$4:$E$7,4,0)+L3767*VLOOKUP($B3767,Premissas!$A$4:$E$7,5,0))</f>
        <v/>
      </c>
      <c r="N3767" s="14">
        <f>H3767-M3767</f>
        <v/>
      </c>
      <c r="O3767" t="inlineStr">
        <is>
          <t>Sim</t>
        </is>
      </c>
      <c r="P3767" t="inlineStr">
        <is>
          <t>1.350</t>
        </is>
      </c>
    </row>
    <row r="3768">
      <c r="A3768" s="24" t="n">
        <v>46204</v>
      </c>
      <c r="B3768" t="inlineStr">
        <is>
          <t>Frete de compra</t>
        </is>
      </c>
      <c r="C3768" t="inlineStr">
        <is>
          <t>Frete de compra</t>
        </is>
      </c>
      <c r="D3768" t="inlineStr">
        <is>
          <t>CT-e</t>
        </is>
      </c>
      <c r="E3768" t="inlineStr">
        <is>
          <t>000083023</t>
        </is>
      </c>
      <c r="F3768" t="inlineStr">
        <is>
          <t>GOL LINHAS AEREAS S.A.</t>
        </is>
      </c>
      <c r="G3768" s="27" t="n">
        <v>46205</v>
      </c>
      <c r="H3768" s="14" t="n">
        <v>241.72</v>
      </c>
      <c r="I3768" s="14" t="n">
        <v>0</v>
      </c>
      <c r="J3768" s="14" t="n">
        <v>9.67</v>
      </c>
      <c r="K3768" s="14" t="n">
        <v>0</v>
      </c>
      <c r="L3768" s="14" t="n">
        <v>0</v>
      </c>
      <c r="M3768" s="14">
        <f>IF(B3768="Frete de venda",0,(1-ISNUMBER(SEARCH("556",P3768)))*(I3768*VLOOKUP($B3768,Premissas!$A$4:$E$7,2,0)+J3768*VLOOKUP($B3768,Premissas!$A$4:$E$7,3,0))+K3768*VLOOKUP($B3768,Premissas!$A$4:$E$7,4,0)+L3768*VLOOKUP($B3768,Premissas!$A$4:$E$7,5,0))</f>
        <v/>
      </c>
      <c r="N3768" s="14">
        <f>H3768-M3768</f>
        <v/>
      </c>
      <c r="O3768" t="inlineStr">
        <is>
          <t>Sim</t>
        </is>
      </c>
      <c r="P3768" t="inlineStr">
        <is>
          <t>1.350</t>
        </is>
      </c>
    </row>
    <row r="3769">
      <c r="A3769" s="24" t="n">
        <v>46204</v>
      </c>
      <c r="B3769" t="inlineStr">
        <is>
          <t>Frete de compra</t>
        </is>
      </c>
      <c r="C3769" t="inlineStr">
        <is>
          <t>Frete de compra</t>
        </is>
      </c>
      <c r="D3769" t="inlineStr">
        <is>
          <t>CT-e</t>
        </is>
      </c>
      <c r="E3769" t="inlineStr">
        <is>
          <t>000083022</t>
        </is>
      </c>
      <c r="F3769" t="inlineStr">
        <is>
          <t>GOL LINHAS AEREAS S.A.</t>
        </is>
      </c>
      <c r="G3769" s="27" t="n">
        <v>46205</v>
      </c>
      <c r="H3769" s="14" t="n">
        <v>233.79</v>
      </c>
      <c r="I3769" s="14" t="n">
        <v>0</v>
      </c>
      <c r="J3769" s="14" t="n">
        <v>9.35</v>
      </c>
      <c r="K3769" s="14" t="n">
        <v>0</v>
      </c>
      <c r="L3769" s="14" t="n">
        <v>0</v>
      </c>
      <c r="M3769" s="14">
        <f>IF(B3769="Frete de venda",0,(1-ISNUMBER(SEARCH("556",P3769)))*(I3769*VLOOKUP($B3769,Premissas!$A$4:$E$7,2,0)+J3769*VLOOKUP($B3769,Premissas!$A$4:$E$7,3,0))+K3769*VLOOKUP($B3769,Premissas!$A$4:$E$7,4,0)+L3769*VLOOKUP($B3769,Premissas!$A$4:$E$7,5,0))</f>
        <v/>
      </c>
      <c r="N3769" s="14">
        <f>H3769-M3769</f>
        <v/>
      </c>
      <c r="O3769" t="inlineStr">
        <is>
          <t>Sim</t>
        </is>
      </c>
      <c r="P3769" t="inlineStr">
        <is>
          <t>1.350</t>
        </is>
      </c>
    </row>
    <row r="3770">
      <c r="A3770" s="24" t="n">
        <v>46204</v>
      </c>
      <c r="B3770" t="inlineStr">
        <is>
          <t>Frete de compra</t>
        </is>
      </c>
      <c r="C3770" t="inlineStr">
        <is>
          <t>Frete de compra</t>
        </is>
      </c>
      <c r="D3770" t="inlineStr">
        <is>
          <t>CT-e</t>
        </is>
      </c>
      <c r="E3770" t="inlineStr">
        <is>
          <t>000083016</t>
        </is>
      </c>
      <c r="F3770" t="inlineStr">
        <is>
          <t>GOL LINHAS AEREAS S.A.</t>
        </is>
      </c>
      <c r="G3770" s="27" t="n">
        <v>46205</v>
      </c>
      <c r="H3770" s="14" t="n">
        <v>193.78</v>
      </c>
      <c r="I3770" s="14" t="n">
        <v>0</v>
      </c>
      <c r="J3770" s="14" t="n">
        <v>7.75</v>
      </c>
      <c r="K3770" s="14" t="n">
        <v>0</v>
      </c>
      <c r="L3770" s="14" t="n">
        <v>0</v>
      </c>
      <c r="M3770" s="14">
        <f>IF(B3770="Frete de venda",0,(1-ISNUMBER(SEARCH("556",P3770)))*(I3770*VLOOKUP($B3770,Premissas!$A$4:$E$7,2,0)+J3770*VLOOKUP($B3770,Premissas!$A$4:$E$7,3,0))+K3770*VLOOKUP($B3770,Premissas!$A$4:$E$7,4,0)+L3770*VLOOKUP($B3770,Premissas!$A$4:$E$7,5,0))</f>
        <v/>
      </c>
      <c r="N3770" s="14">
        <f>H3770-M3770</f>
        <v/>
      </c>
      <c r="O3770" t="inlineStr">
        <is>
          <t>Sim</t>
        </is>
      </c>
      <c r="P3770" t="inlineStr">
        <is>
          <t>1.350</t>
        </is>
      </c>
    </row>
    <row r="3771">
      <c r="A3771" s="24" t="n">
        <v>46204</v>
      </c>
      <c r="B3771" t="inlineStr">
        <is>
          <t>Frete de compra</t>
        </is>
      </c>
      <c r="C3771" t="inlineStr">
        <is>
          <t>Frete de compra</t>
        </is>
      </c>
      <c r="D3771" t="inlineStr">
        <is>
          <t>CT-e</t>
        </is>
      </c>
      <c r="E3771" t="inlineStr">
        <is>
          <t>000199841</t>
        </is>
      </c>
      <c r="F3771" t="inlineStr">
        <is>
          <t>ALIANCA NAVEGACAO E LOGISTICA LTDA</t>
        </is>
      </c>
      <c r="G3771" s="27" t="n">
        <v>46204</v>
      </c>
      <c r="H3771" s="14" t="n">
        <v>23434.39</v>
      </c>
      <c r="I3771" s="14" t="n">
        <v>0</v>
      </c>
      <c r="J3771" s="14" t="n">
        <v>1640.41</v>
      </c>
      <c r="K3771" s="14" t="n">
        <v>0</v>
      </c>
      <c r="L3771" s="14" t="n">
        <v>0</v>
      </c>
      <c r="M3771" s="14">
        <f>IF(B3771="Frete de venda",0,(1-ISNUMBER(SEARCH("556",P3771)))*(I3771*VLOOKUP($B3771,Premissas!$A$4:$E$7,2,0)+J3771*VLOOKUP($B3771,Premissas!$A$4:$E$7,3,0))+K3771*VLOOKUP($B3771,Premissas!$A$4:$E$7,4,0)+L3771*VLOOKUP($B3771,Premissas!$A$4:$E$7,5,0))</f>
        <v/>
      </c>
      <c r="N3771" s="14">
        <f>H3771-M3771</f>
        <v/>
      </c>
      <c r="O3771" t="inlineStr">
        <is>
          <t>Sim</t>
        </is>
      </c>
      <c r="P3771" t="inlineStr">
        <is>
          <t>2.350</t>
        </is>
      </c>
    </row>
    <row r="3772">
      <c r="A3772" s="24" t="n">
        <v>46204</v>
      </c>
      <c r="B3772" t="inlineStr">
        <is>
          <t>Frete de compra</t>
        </is>
      </c>
      <c r="C3772" t="inlineStr">
        <is>
          <t>Frete de compra</t>
        </is>
      </c>
      <c r="D3772" t="inlineStr">
        <is>
          <t>CT-e</t>
        </is>
      </c>
      <c r="E3772" t="inlineStr">
        <is>
          <t>000199864</t>
        </is>
      </c>
      <c r="F3772" t="inlineStr">
        <is>
          <t>ALIANCA NAVEGACAO E LOGISTICA LTDA</t>
        </is>
      </c>
      <c r="G3772" s="27" t="n">
        <v>46204</v>
      </c>
      <c r="H3772" s="14" t="n">
        <v>23552.48</v>
      </c>
      <c r="I3772" s="14" t="n">
        <v>0</v>
      </c>
      <c r="J3772" s="14" t="n">
        <v>1648.67</v>
      </c>
      <c r="K3772" s="14" t="n">
        <v>0</v>
      </c>
      <c r="L3772" s="14" t="n">
        <v>0</v>
      </c>
      <c r="M3772" s="14">
        <f>IF(B3772="Frete de venda",0,(1-ISNUMBER(SEARCH("556",P3772)))*(I3772*VLOOKUP($B3772,Premissas!$A$4:$E$7,2,0)+J3772*VLOOKUP($B3772,Premissas!$A$4:$E$7,3,0))+K3772*VLOOKUP($B3772,Premissas!$A$4:$E$7,4,0)+L3772*VLOOKUP($B3772,Premissas!$A$4:$E$7,5,0))</f>
        <v/>
      </c>
      <c r="N3772" s="14">
        <f>H3772-M3772</f>
        <v/>
      </c>
      <c r="O3772" t="inlineStr">
        <is>
          <t>Sim</t>
        </is>
      </c>
      <c r="P3772" t="inlineStr">
        <is>
          <t>2.350</t>
        </is>
      </c>
    </row>
    <row r="3773">
      <c r="A3773" s="24" t="n">
        <v>46204</v>
      </c>
      <c r="B3773" t="inlineStr">
        <is>
          <t>Frete de compra</t>
        </is>
      </c>
      <c r="C3773" t="inlineStr">
        <is>
          <t>Frete de compra</t>
        </is>
      </c>
      <c r="D3773" t="inlineStr">
        <is>
          <t>CT-e</t>
        </is>
      </c>
      <c r="E3773" t="inlineStr">
        <is>
          <t>000199867</t>
        </is>
      </c>
      <c r="F3773" t="inlineStr">
        <is>
          <t>ALIANCA NAVEGACAO E LOGISTICA LTDA</t>
        </is>
      </c>
      <c r="G3773" s="27" t="n">
        <v>46204</v>
      </c>
      <c r="H3773" s="14" t="n">
        <v>23605.15</v>
      </c>
      <c r="I3773" s="14" t="n">
        <v>0</v>
      </c>
      <c r="J3773" s="14" t="n">
        <v>1652.36</v>
      </c>
      <c r="K3773" s="14" t="n">
        <v>0</v>
      </c>
      <c r="L3773" s="14" t="n">
        <v>0</v>
      </c>
      <c r="M3773" s="14">
        <f>IF(B3773="Frete de venda",0,(1-ISNUMBER(SEARCH("556",P3773)))*(I3773*VLOOKUP($B3773,Premissas!$A$4:$E$7,2,0)+J3773*VLOOKUP($B3773,Premissas!$A$4:$E$7,3,0))+K3773*VLOOKUP($B3773,Premissas!$A$4:$E$7,4,0)+L3773*VLOOKUP($B3773,Premissas!$A$4:$E$7,5,0))</f>
        <v/>
      </c>
      <c r="N3773" s="14">
        <f>H3773-M3773</f>
        <v/>
      </c>
      <c r="O3773" t="inlineStr">
        <is>
          <t>Sim</t>
        </is>
      </c>
      <c r="P3773" t="inlineStr">
        <is>
          <t>2.350</t>
        </is>
      </c>
    </row>
    <row r="3774">
      <c r="A3774" s="24" t="n">
        <v>46204</v>
      </c>
      <c r="B3774" t="inlineStr">
        <is>
          <t>Frete de compra</t>
        </is>
      </c>
      <c r="C3774" t="inlineStr">
        <is>
          <t>Frete de compra</t>
        </is>
      </c>
      <c r="D3774" t="inlineStr">
        <is>
          <t>CT-e</t>
        </is>
      </c>
      <c r="E3774" t="inlineStr">
        <is>
          <t>000200899</t>
        </is>
      </c>
      <c r="F3774" t="inlineStr">
        <is>
          <t>ALIANCA NAVEGACAO E LOGISTICA LTDA</t>
        </is>
      </c>
      <c r="G3774" s="27" t="n">
        <v>46223</v>
      </c>
      <c r="H3774" s="14" t="n">
        <v>23421.47</v>
      </c>
      <c r="I3774" s="14" t="n">
        <v>0</v>
      </c>
      <c r="J3774" s="14" t="n">
        <v>1639.5</v>
      </c>
      <c r="K3774" s="14" t="n">
        <v>0</v>
      </c>
      <c r="L3774" s="14" t="n">
        <v>0</v>
      </c>
      <c r="M3774" s="14">
        <f>IF(B3774="Frete de venda",0,(1-ISNUMBER(SEARCH("556",P3774)))*(I3774*VLOOKUP($B3774,Premissas!$A$4:$E$7,2,0)+J3774*VLOOKUP($B3774,Premissas!$A$4:$E$7,3,0))+K3774*VLOOKUP($B3774,Premissas!$A$4:$E$7,4,0)+L3774*VLOOKUP($B3774,Premissas!$A$4:$E$7,5,0))</f>
        <v/>
      </c>
      <c r="N3774" s="14">
        <f>H3774-M3774</f>
        <v/>
      </c>
      <c r="O3774" t="inlineStr">
        <is>
          <t>Sim</t>
        </is>
      </c>
      <c r="P3774" t="inlineStr">
        <is>
          <t>2.350</t>
        </is>
      </c>
    </row>
    <row r="3775">
      <c r="A3775" s="24" t="n">
        <v>46204</v>
      </c>
      <c r="B3775" t="inlineStr">
        <is>
          <t>Frete de compra</t>
        </is>
      </c>
      <c r="C3775" t="inlineStr">
        <is>
          <t>Frete de compra</t>
        </is>
      </c>
      <c r="D3775" t="inlineStr">
        <is>
          <t>CT-e</t>
        </is>
      </c>
      <c r="E3775" t="inlineStr">
        <is>
          <t>000200902</t>
        </is>
      </c>
      <c r="F3775" t="inlineStr">
        <is>
          <t>ALIANCA NAVEGACAO E LOGISTICA LTDA</t>
        </is>
      </c>
      <c r="G3775" s="27" t="n">
        <v>46223</v>
      </c>
      <c r="H3775" s="14" t="n">
        <v>23426.52</v>
      </c>
      <c r="I3775" s="14" t="n">
        <v>0</v>
      </c>
      <c r="J3775" s="14" t="n">
        <v>1639.86</v>
      </c>
      <c r="K3775" s="14" t="n">
        <v>0</v>
      </c>
      <c r="L3775" s="14" t="n">
        <v>0</v>
      </c>
      <c r="M3775" s="14">
        <f>IF(B3775="Frete de venda",0,(1-ISNUMBER(SEARCH("556",P3775)))*(I3775*VLOOKUP($B3775,Premissas!$A$4:$E$7,2,0)+J3775*VLOOKUP($B3775,Premissas!$A$4:$E$7,3,0))+K3775*VLOOKUP($B3775,Premissas!$A$4:$E$7,4,0)+L3775*VLOOKUP($B3775,Premissas!$A$4:$E$7,5,0))</f>
        <v/>
      </c>
      <c r="N3775" s="14">
        <f>H3775-M3775</f>
        <v/>
      </c>
      <c r="O3775" t="inlineStr">
        <is>
          <t>Sim</t>
        </is>
      </c>
      <c r="P3775" t="inlineStr">
        <is>
          <t>2.350</t>
        </is>
      </c>
    </row>
    <row r="3776">
      <c r="A3776" s="24" t="n">
        <v>46204</v>
      </c>
      <c r="B3776" t="inlineStr">
        <is>
          <t>Frete de compra</t>
        </is>
      </c>
      <c r="C3776" t="inlineStr">
        <is>
          <t>Frete de compra</t>
        </is>
      </c>
      <c r="D3776" t="inlineStr">
        <is>
          <t>CT-e</t>
        </is>
      </c>
      <c r="E3776" t="inlineStr">
        <is>
          <t>000200914</t>
        </is>
      </c>
      <c r="F3776" t="inlineStr">
        <is>
          <t>ALIANCA NAVEGACAO E LOGISTICA LTDA</t>
        </is>
      </c>
      <c r="G3776" s="27" t="n">
        <v>46224</v>
      </c>
      <c r="H3776" s="14" t="n">
        <v>23425.61</v>
      </c>
      <c r="I3776" s="14" t="n">
        <v>0</v>
      </c>
      <c r="J3776" s="14" t="n">
        <v>1639.79</v>
      </c>
      <c r="K3776" s="14" t="n">
        <v>0</v>
      </c>
      <c r="L3776" s="14" t="n">
        <v>0</v>
      </c>
      <c r="M3776" s="14">
        <f>IF(B3776="Frete de venda",0,(1-ISNUMBER(SEARCH("556",P3776)))*(I3776*VLOOKUP($B3776,Premissas!$A$4:$E$7,2,0)+J3776*VLOOKUP($B3776,Premissas!$A$4:$E$7,3,0))+K3776*VLOOKUP($B3776,Premissas!$A$4:$E$7,4,0)+L3776*VLOOKUP($B3776,Premissas!$A$4:$E$7,5,0))</f>
        <v/>
      </c>
      <c r="N3776" s="14">
        <f>H3776-M3776</f>
        <v/>
      </c>
      <c r="O3776" t="inlineStr">
        <is>
          <t>Sim</t>
        </is>
      </c>
      <c r="P3776" t="inlineStr">
        <is>
          <t>2.350</t>
        </is>
      </c>
    </row>
    <row r="3777">
      <c r="A3777" s="24" t="n">
        <v>46204</v>
      </c>
      <c r="B3777" t="inlineStr">
        <is>
          <t>Frete de compra</t>
        </is>
      </c>
      <c r="C3777" t="inlineStr">
        <is>
          <t>Frete de compra</t>
        </is>
      </c>
      <c r="D3777" t="inlineStr">
        <is>
          <t>CT-e</t>
        </is>
      </c>
      <c r="E3777" t="inlineStr">
        <is>
          <t>000200936</t>
        </is>
      </c>
      <c r="F3777" t="inlineStr">
        <is>
          <t>ALIANCA NAVEGACAO E LOGISTICA LTDA</t>
        </is>
      </c>
      <c r="G3777" s="27" t="n">
        <v>46224</v>
      </c>
      <c r="H3777" s="14" t="n">
        <v>23425.63</v>
      </c>
      <c r="I3777" s="14" t="n">
        <v>0</v>
      </c>
      <c r="J3777" s="14" t="n">
        <v>1639.79</v>
      </c>
      <c r="K3777" s="14" t="n">
        <v>0</v>
      </c>
      <c r="L3777" s="14" t="n">
        <v>0</v>
      </c>
      <c r="M3777" s="14">
        <f>IF(B3777="Frete de venda",0,(1-ISNUMBER(SEARCH("556",P3777)))*(I3777*VLOOKUP($B3777,Premissas!$A$4:$E$7,2,0)+J3777*VLOOKUP($B3777,Premissas!$A$4:$E$7,3,0))+K3777*VLOOKUP($B3777,Premissas!$A$4:$E$7,4,0)+L3777*VLOOKUP($B3777,Premissas!$A$4:$E$7,5,0))</f>
        <v/>
      </c>
      <c r="N3777" s="14">
        <f>H3777-M3777</f>
        <v/>
      </c>
      <c r="O3777" t="inlineStr">
        <is>
          <t>Sim</t>
        </is>
      </c>
      <c r="P3777" t="inlineStr">
        <is>
          <t>2.350</t>
        </is>
      </c>
    </row>
    <row r="3778">
      <c r="A3778" s="24" t="n">
        <v>46204</v>
      </c>
      <c r="B3778" t="inlineStr">
        <is>
          <t>Frete de compra</t>
        </is>
      </c>
      <c r="C3778" t="inlineStr">
        <is>
          <t>Frete de compra</t>
        </is>
      </c>
      <c r="D3778" t="inlineStr">
        <is>
          <t>CT-e</t>
        </is>
      </c>
      <c r="E3778" t="inlineStr">
        <is>
          <t>000200956</t>
        </is>
      </c>
      <c r="F3778" t="inlineStr">
        <is>
          <t>ALIANCA NAVEGACAO E LOGISTICA LTDA</t>
        </is>
      </c>
      <c r="G3778" s="27" t="n">
        <v>46224</v>
      </c>
      <c r="H3778" s="14" t="n">
        <v>23420.37</v>
      </c>
      <c r="I3778" s="14" t="n">
        <v>0</v>
      </c>
      <c r="J3778" s="14" t="n">
        <v>1639.43</v>
      </c>
      <c r="K3778" s="14" t="n">
        <v>0</v>
      </c>
      <c r="L3778" s="14" t="n">
        <v>0</v>
      </c>
      <c r="M3778" s="14">
        <f>IF(B3778="Frete de venda",0,(1-ISNUMBER(SEARCH("556",P3778)))*(I3778*VLOOKUP($B3778,Premissas!$A$4:$E$7,2,0)+J3778*VLOOKUP($B3778,Premissas!$A$4:$E$7,3,0))+K3778*VLOOKUP($B3778,Premissas!$A$4:$E$7,4,0)+L3778*VLOOKUP($B3778,Premissas!$A$4:$E$7,5,0))</f>
        <v/>
      </c>
      <c r="N3778" s="14">
        <f>H3778-M3778</f>
        <v/>
      </c>
      <c r="O3778" t="inlineStr">
        <is>
          <t>Sim</t>
        </is>
      </c>
      <c r="P3778" t="inlineStr">
        <is>
          <t>2.350</t>
        </is>
      </c>
    </row>
    <row r="3779">
      <c r="A3779" s="24" t="n">
        <v>46204</v>
      </c>
      <c r="B3779" t="inlineStr">
        <is>
          <t>Frete de compra</t>
        </is>
      </c>
      <c r="C3779" t="inlineStr">
        <is>
          <t>Frete de compra</t>
        </is>
      </c>
      <c r="D3779" t="inlineStr">
        <is>
          <t>CT-e</t>
        </is>
      </c>
      <c r="E3779" t="inlineStr">
        <is>
          <t>000201007</t>
        </is>
      </c>
      <c r="F3779" t="inlineStr">
        <is>
          <t>ALIANCA NAVEGACAO E LOGISTICA LTDA</t>
        </is>
      </c>
      <c r="G3779" s="27" t="n">
        <v>46224</v>
      </c>
      <c r="H3779" s="14" t="n">
        <v>23421.57</v>
      </c>
      <c r="I3779" s="14" t="n">
        <v>0</v>
      </c>
      <c r="J3779" s="14" t="n">
        <v>1639.51</v>
      </c>
      <c r="K3779" s="14" t="n">
        <v>0</v>
      </c>
      <c r="L3779" s="14" t="n">
        <v>0</v>
      </c>
      <c r="M3779" s="14">
        <f>IF(B3779="Frete de venda",0,(1-ISNUMBER(SEARCH("556",P3779)))*(I3779*VLOOKUP($B3779,Premissas!$A$4:$E$7,2,0)+J3779*VLOOKUP($B3779,Premissas!$A$4:$E$7,3,0))+K3779*VLOOKUP($B3779,Premissas!$A$4:$E$7,4,0)+L3779*VLOOKUP($B3779,Premissas!$A$4:$E$7,5,0))</f>
        <v/>
      </c>
      <c r="N3779" s="14">
        <f>H3779-M3779</f>
        <v/>
      </c>
      <c r="O3779" t="inlineStr">
        <is>
          <t>Sim</t>
        </is>
      </c>
      <c r="P3779" t="inlineStr">
        <is>
          <t>2.350</t>
        </is>
      </c>
    </row>
    <row r="3780">
      <c r="A3780" s="24" t="n">
        <v>46204</v>
      </c>
      <c r="B3780" t="inlineStr">
        <is>
          <t>Frete de compra</t>
        </is>
      </c>
      <c r="C3780" t="inlineStr">
        <is>
          <t>Frete de compra</t>
        </is>
      </c>
      <c r="D3780" t="inlineStr">
        <is>
          <t>CT-e</t>
        </is>
      </c>
      <c r="E3780" t="inlineStr">
        <is>
          <t>000201222</t>
        </is>
      </c>
      <c r="F3780" t="inlineStr">
        <is>
          <t>ALIANCA NAVEGACAO E LOGISTICA LTDA</t>
        </is>
      </c>
      <c r="G3780" s="27" t="n">
        <v>46230</v>
      </c>
      <c r="H3780" s="14" t="n">
        <v>23424.57</v>
      </c>
      <c r="I3780" s="14" t="n">
        <v>0</v>
      </c>
      <c r="J3780" s="14" t="n">
        <v>1639.72</v>
      </c>
      <c r="K3780" s="14" t="n">
        <v>0</v>
      </c>
      <c r="L3780" s="14" t="n">
        <v>0</v>
      </c>
      <c r="M3780" s="14">
        <f>IF(B3780="Frete de venda",0,(1-ISNUMBER(SEARCH("556",P3780)))*(I3780*VLOOKUP($B3780,Premissas!$A$4:$E$7,2,0)+J3780*VLOOKUP($B3780,Premissas!$A$4:$E$7,3,0))+K3780*VLOOKUP($B3780,Premissas!$A$4:$E$7,4,0)+L3780*VLOOKUP($B3780,Premissas!$A$4:$E$7,5,0))</f>
        <v/>
      </c>
      <c r="N3780" s="14">
        <f>H3780-M3780</f>
        <v/>
      </c>
      <c r="O3780" t="inlineStr">
        <is>
          <t>Sim</t>
        </is>
      </c>
      <c r="P3780" t="inlineStr">
        <is>
          <t>2.350</t>
        </is>
      </c>
    </row>
    <row r="3781">
      <c r="A3781" s="24" t="n">
        <v>46204</v>
      </c>
      <c r="B3781" t="inlineStr">
        <is>
          <t>Frete de compra</t>
        </is>
      </c>
      <c r="C3781" t="inlineStr">
        <is>
          <t>Frete de compra</t>
        </is>
      </c>
      <c r="D3781" t="inlineStr">
        <is>
          <t>CT-e</t>
        </is>
      </c>
      <c r="E3781" t="inlineStr">
        <is>
          <t>000201223</t>
        </is>
      </c>
      <c r="F3781" t="inlineStr">
        <is>
          <t>ALIANCA NAVEGACAO E LOGISTICA LTDA</t>
        </is>
      </c>
      <c r="G3781" s="27" t="n">
        <v>46230</v>
      </c>
      <c r="H3781" s="14" t="n">
        <v>23422.57</v>
      </c>
      <c r="I3781" s="14" t="n">
        <v>0</v>
      </c>
      <c r="J3781" s="14" t="n">
        <v>1639.58</v>
      </c>
      <c r="K3781" s="14" t="n">
        <v>0</v>
      </c>
      <c r="L3781" s="14" t="n">
        <v>0</v>
      </c>
      <c r="M3781" s="14">
        <f>IF(B3781="Frete de venda",0,(1-ISNUMBER(SEARCH("556",P3781)))*(I3781*VLOOKUP($B3781,Premissas!$A$4:$E$7,2,0)+J3781*VLOOKUP($B3781,Premissas!$A$4:$E$7,3,0))+K3781*VLOOKUP($B3781,Premissas!$A$4:$E$7,4,0)+L3781*VLOOKUP($B3781,Premissas!$A$4:$E$7,5,0))</f>
        <v/>
      </c>
      <c r="N3781" s="14">
        <f>H3781-M3781</f>
        <v/>
      </c>
      <c r="O3781" t="inlineStr">
        <is>
          <t>Sim</t>
        </is>
      </c>
      <c r="P3781" t="inlineStr">
        <is>
          <t>2.350</t>
        </is>
      </c>
    </row>
    <row r="3782">
      <c r="A3782" s="24" t="n">
        <v>46204</v>
      </c>
      <c r="B3782" t="inlineStr">
        <is>
          <t>Frete de compra</t>
        </is>
      </c>
      <c r="C3782" t="inlineStr">
        <is>
          <t>Frete de compra</t>
        </is>
      </c>
      <c r="D3782" t="inlineStr">
        <is>
          <t>CT-e</t>
        </is>
      </c>
      <c r="E3782" t="inlineStr">
        <is>
          <t>000201229</t>
        </is>
      </c>
      <c r="F3782" t="inlineStr">
        <is>
          <t>ALIANCA NAVEGACAO E LOGISTICA LTDA</t>
        </is>
      </c>
      <c r="G3782" s="27" t="n">
        <v>46231</v>
      </c>
      <c r="H3782" s="14" t="n">
        <v>23422.4</v>
      </c>
      <c r="I3782" s="14" t="n">
        <v>0</v>
      </c>
      <c r="J3782" s="14" t="n">
        <v>1639.57</v>
      </c>
      <c r="K3782" s="14" t="n">
        <v>0</v>
      </c>
      <c r="L3782" s="14" t="n">
        <v>0</v>
      </c>
      <c r="M3782" s="14">
        <f>IF(B3782="Frete de venda",0,(1-ISNUMBER(SEARCH("556",P3782)))*(I3782*VLOOKUP($B3782,Premissas!$A$4:$E$7,2,0)+J3782*VLOOKUP($B3782,Premissas!$A$4:$E$7,3,0))+K3782*VLOOKUP($B3782,Premissas!$A$4:$E$7,4,0)+L3782*VLOOKUP($B3782,Premissas!$A$4:$E$7,5,0))</f>
        <v/>
      </c>
      <c r="N3782" s="14">
        <f>H3782-M3782</f>
        <v/>
      </c>
      <c r="O3782" t="inlineStr">
        <is>
          <t>Sim</t>
        </is>
      </c>
      <c r="P3782" t="inlineStr">
        <is>
          <t>2.350</t>
        </is>
      </c>
    </row>
    <row r="3783">
      <c r="A3783" s="24" t="n">
        <v>46204</v>
      </c>
      <c r="B3783" t="inlineStr">
        <is>
          <t>Frete de compra</t>
        </is>
      </c>
      <c r="C3783" t="inlineStr">
        <is>
          <t>Frete de compra</t>
        </is>
      </c>
      <c r="D3783" t="inlineStr">
        <is>
          <t>CT-e</t>
        </is>
      </c>
      <c r="E3783" t="inlineStr">
        <is>
          <t>000201276</t>
        </is>
      </c>
      <c r="F3783" t="inlineStr">
        <is>
          <t>ALIANCA NAVEGACAO E LOGISTICA LTDA</t>
        </is>
      </c>
      <c r="G3783" s="27" t="n">
        <v>46231</v>
      </c>
      <c r="H3783" s="14" t="n">
        <v>23427.2</v>
      </c>
      <c r="I3783" s="14" t="n">
        <v>0</v>
      </c>
      <c r="J3783" s="14" t="n">
        <v>1639.9</v>
      </c>
      <c r="K3783" s="14" t="n">
        <v>0</v>
      </c>
      <c r="L3783" s="14" t="n">
        <v>0</v>
      </c>
      <c r="M3783" s="14">
        <f>IF(B3783="Frete de venda",0,(1-ISNUMBER(SEARCH("556",P3783)))*(I3783*VLOOKUP($B3783,Premissas!$A$4:$E$7,2,0)+J3783*VLOOKUP($B3783,Premissas!$A$4:$E$7,3,0))+K3783*VLOOKUP($B3783,Premissas!$A$4:$E$7,4,0)+L3783*VLOOKUP($B3783,Premissas!$A$4:$E$7,5,0))</f>
        <v/>
      </c>
      <c r="N3783" s="14">
        <f>H3783-M3783</f>
        <v/>
      </c>
      <c r="O3783" t="inlineStr">
        <is>
          <t>Sim</t>
        </is>
      </c>
      <c r="P3783" t="inlineStr">
        <is>
          <t>2.350</t>
        </is>
      </c>
    </row>
    <row r="3784">
      <c r="A3784" s="24" t="n">
        <v>46204</v>
      </c>
      <c r="B3784" t="inlineStr">
        <is>
          <t>Frete de compra</t>
        </is>
      </c>
      <c r="C3784" t="inlineStr">
        <is>
          <t>Frete de compra</t>
        </is>
      </c>
      <c r="D3784" t="inlineStr">
        <is>
          <t>CT-e</t>
        </is>
      </c>
      <c r="E3784" t="inlineStr">
        <is>
          <t>000201306</t>
        </is>
      </c>
      <c r="F3784" t="inlineStr">
        <is>
          <t>ALIANCA NAVEGACAO E LOGISTICA LTDA</t>
        </is>
      </c>
      <c r="G3784" s="27" t="n">
        <v>46231</v>
      </c>
      <c r="H3784" s="14" t="n">
        <v>23421.16</v>
      </c>
      <c r="I3784" s="14" t="n">
        <v>0</v>
      </c>
      <c r="J3784" s="14" t="n">
        <v>1639.48</v>
      </c>
      <c r="K3784" s="14" t="n">
        <v>0</v>
      </c>
      <c r="L3784" s="14" t="n">
        <v>0</v>
      </c>
      <c r="M3784" s="14">
        <f>IF(B3784="Frete de venda",0,(1-ISNUMBER(SEARCH("556",P3784)))*(I3784*VLOOKUP($B3784,Premissas!$A$4:$E$7,2,0)+J3784*VLOOKUP($B3784,Premissas!$A$4:$E$7,3,0))+K3784*VLOOKUP($B3784,Premissas!$A$4:$E$7,4,0)+L3784*VLOOKUP($B3784,Premissas!$A$4:$E$7,5,0))</f>
        <v/>
      </c>
      <c r="N3784" s="14">
        <f>H3784-M3784</f>
        <v/>
      </c>
      <c r="O3784" t="inlineStr">
        <is>
          <t>Sim</t>
        </is>
      </c>
      <c r="P3784" t="inlineStr">
        <is>
          <t>2.350</t>
        </is>
      </c>
    </row>
    <row r="3785">
      <c r="A3785" s="24" t="n">
        <v>46204</v>
      </c>
      <c r="B3785" t="inlineStr">
        <is>
          <t>Frete de compra</t>
        </is>
      </c>
      <c r="C3785" t="inlineStr">
        <is>
          <t>Frete de compra</t>
        </is>
      </c>
      <c r="D3785" t="inlineStr">
        <is>
          <t>CT-e</t>
        </is>
      </c>
      <c r="E3785" t="inlineStr">
        <is>
          <t>000201307</t>
        </is>
      </c>
      <c r="F3785" t="inlineStr">
        <is>
          <t>ALIANCA NAVEGACAO E LOGISTICA LTDA</t>
        </is>
      </c>
      <c r="G3785" s="27" t="n">
        <v>46231</v>
      </c>
      <c r="H3785" s="14" t="n">
        <v>23420.73</v>
      </c>
      <c r="I3785" s="14" t="n">
        <v>0</v>
      </c>
      <c r="J3785" s="14" t="n">
        <v>1639.45</v>
      </c>
      <c r="K3785" s="14" t="n">
        <v>0</v>
      </c>
      <c r="L3785" s="14" t="n">
        <v>0</v>
      </c>
      <c r="M3785" s="14">
        <f>IF(B3785="Frete de venda",0,(1-ISNUMBER(SEARCH("556",P3785)))*(I3785*VLOOKUP($B3785,Premissas!$A$4:$E$7,2,0)+J3785*VLOOKUP($B3785,Premissas!$A$4:$E$7,3,0))+K3785*VLOOKUP($B3785,Premissas!$A$4:$E$7,4,0)+L3785*VLOOKUP($B3785,Premissas!$A$4:$E$7,5,0))</f>
        <v/>
      </c>
      <c r="N3785" s="14">
        <f>H3785-M3785</f>
        <v/>
      </c>
      <c r="O3785" t="inlineStr">
        <is>
          <t>Sim</t>
        </is>
      </c>
      <c r="P3785" t="inlineStr">
        <is>
          <t>2.350</t>
        </is>
      </c>
    </row>
    <row r="3786">
      <c r="A3786" s="24" t="n">
        <v>46204</v>
      </c>
      <c r="B3786" t="inlineStr">
        <is>
          <t>Frete de compra</t>
        </is>
      </c>
      <c r="C3786" t="inlineStr">
        <is>
          <t>Frete de compra</t>
        </is>
      </c>
      <c r="D3786" t="inlineStr">
        <is>
          <t>CT-e</t>
        </is>
      </c>
      <c r="E3786" t="inlineStr">
        <is>
          <t>000201432</t>
        </is>
      </c>
      <c r="F3786" t="inlineStr">
        <is>
          <t>ALIANCA NAVEGACAO E LOGISTICA LTDA</t>
        </is>
      </c>
      <c r="G3786" s="27" t="n">
        <v>46232</v>
      </c>
      <c r="H3786" s="14" t="n">
        <v>23426.91</v>
      </c>
      <c r="I3786" s="14" t="n">
        <v>0</v>
      </c>
      <c r="J3786" s="14" t="n">
        <v>1639.88</v>
      </c>
      <c r="K3786" s="14" t="n">
        <v>0</v>
      </c>
      <c r="L3786" s="14" t="n">
        <v>0</v>
      </c>
      <c r="M3786" s="14">
        <f>IF(B3786="Frete de venda",0,(1-ISNUMBER(SEARCH("556",P3786)))*(I3786*VLOOKUP($B3786,Premissas!$A$4:$E$7,2,0)+J3786*VLOOKUP($B3786,Premissas!$A$4:$E$7,3,0))+K3786*VLOOKUP($B3786,Premissas!$A$4:$E$7,4,0)+L3786*VLOOKUP($B3786,Premissas!$A$4:$E$7,5,0))</f>
        <v/>
      </c>
      <c r="N3786" s="14">
        <f>H3786-M3786</f>
        <v/>
      </c>
      <c r="O3786" t="inlineStr">
        <is>
          <t>Sim</t>
        </is>
      </c>
      <c r="P3786" t="inlineStr">
        <is>
          <t>2.350</t>
        </is>
      </c>
    </row>
    <row r="3787">
      <c r="A3787" s="24" t="n">
        <v>46204</v>
      </c>
      <c r="B3787" t="inlineStr">
        <is>
          <t>Frete de compra</t>
        </is>
      </c>
      <c r="C3787" t="inlineStr">
        <is>
          <t>Frete de compra</t>
        </is>
      </c>
      <c r="D3787" t="inlineStr">
        <is>
          <t>CT-e</t>
        </is>
      </c>
      <c r="E3787" t="inlineStr">
        <is>
          <t>000201444</t>
        </is>
      </c>
      <c r="F3787" t="inlineStr">
        <is>
          <t>ALIANCA NAVEGACAO E LOGISTICA LTDA</t>
        </is>
      </c>
      <c r="G3787" s="27" t="n">
        <v>46232</v>
      </c>
      <c r="H3787" s="14" t="n">
        <v>23424.13</v>
      </c>
      <c r="I3787" s="14" t="n">
        <v>0</v>
      </c>
      <c r="J3787" s="14" t="n">
        <v>1639.69</v>
      </c>
      <c r="K3787" s="14" t="n">
        <v>0</v>
      </c>
      <c r="L3787" s="14" t="n">
        <v>0</v>
      </c>
      <c r="M3787" s="14">
        <f>IF(B3787="Frete de venda",0,(1-ISNUMBER(SEARCH("556",P3787)))*(I3787*VLOOKUP($B3787,Premissas!$A$4:$E$7,2,0)+J3787*VLOOKUP($B3787,Premissas!$A$4:$E$7,3,0))+K3787*VLOOKUP($B3787,Premissas!$A$4:$E$7,4,0)+L3787*VLOOKUP($B3787,Premissas!$A$4:$E$7,5,0))</f>
        <v/>
      </c>
      <c r="N3787" s="14">
        <f>H3787-M3787</f>
        <v/>
      </c>
      <c r="O3787" t="inlineStr">
        <is>
          <t>Sim</t>
        </is>
      </c>
      <c r="P3787" t="inlineStr">
        <is>
          <t>2.350</t>
        </is>
      </c>
    </row>
    <row r="3788">
      <c r="A3788" s="24" t="n">
        <v>46204</v>
      </c>
      <c r="B3788" t="inlineStr">
        <is>
          <t>Frete de compra</t>
        </is>
      </c>
      <c r="C3788" t="inlineStr">
        <is>
          <t>Frete de compra</t>
        </is>
      </c>
      <c r="D3788" t="inlineStr">
        <is>
          <t>CT-e</t>
        </is>
      </c>
      <c r="E3788" t="inlineStr">
        <is>
          <t>000201593</t>
        </is>
      </c>
      <c r="F3788" t="inlineStr">
        <is>
          <t>ALIANCA NAVEGACAO E LOGISTICA LTDA</t>
        </is>
      </c>
      <c r="G3788" s="27" t="n">
        <v>46234</v>
      </c>
      <c r="H3788" s="14" t="n">
        <v>23423.88</v>
      </c>
      <c r="I3788" s="14" t="n">
        <v>0</v>
      </c>
      <c r="J3788" s="14" t="n">
        <v>1639.67</v>
      </c>
      <c r="K3788" s="14" t="n">
        <v>0</v>
      </c>
      <c r="L3788" s="14" t="n">
        <v>0</v>
      </c>
      <c r="M3788" s="14">
        <f>IF(B3788="Frete de venda",0,(1-ISNUMBER(SEARCH("556",P3788)))*(I3788*VLOOKUP($B3788,Premissas!$A$4:$E$7,2,0)+J3788*VLOOKUP($B3788,Premissas!$A$4:$E$7,3,0))+K3788*VLOOKUP($B3788,Premissas!$A$4:$E$7,4,0)+L3788*VLOOKUP($B3788,Premissas!$A$4:$E$7,5,0))</f>
        <v/>
      </c>
      <c r="N3788" s="14">
        <f>H3788-M3788</f>
        <v/>
      </c>
      <c r="O3788" t="inlineStr">
        <is>
          <t>Sim</t>
        </is>
      </c>
      <c r="P3788" t="inlineStr">
        <is>
          <t>2.350</t>
        </is>
      </c>
    </row>
    <row r="3789">
      <c r="A3789" s="24" t="n">
        <v>46204</v>
      </c>
      <c r="B3789" t="inlineStr">
        <is>
          <t>Frete de compra</t>
        </is>
      </c>
      <c r="C3789" t="inlineStr">
        <is>
          <t>Frete de compra</t>
        </is>
      </c>
      <c r="D3789" t="inlineStr">
        <is>
          <t>CT-e</t>
        </is>
      </c>
      <c r="E3789" t="inlineStr">
        <is>
          <t>000201595</t>
        </is>
      </c>
      <c r="F3789" t="inlineStr">
        <is>
          <t>ALIANCA NAVEGACAO E LOGISTICA LTDA</t>
        </is>
      </c>
      <c r="G3789" s="27" t="n">
        <v>46234</v>
      </c>
      <c r="H3789" s="14" t="n">
        <v>23425.89</v>
      </c>
      <c r="I3789" s="14" t="n">
        <v>0</v>
      </c>
      <c r="J3789" s="14" t="n">
        <v>1639.81</v>
      </c>
      <c r="K3789" s="14" t="n">
        <v>0</v>
      </c>
      <c r="L3789" s="14" t="n">
        <v>0</v>
      </c>
      <c r="M3789" s="14">
        <f>IF(B3789="Frete de venda",0,(1-ISNUMBER(SEARCH("556",P3789)))*(I3789*VLOOKUP($B3789,Premissas!$A$4:$E$7,2,0)+J3789*VLOOKUP($B3789,Premissas!$A$4:$E$7,3,0))+K3789*VLOOKUP($B3789,Premissas!$A$4:$E$7,4,0)+L3789*VLOOKUP($B3789,Premissas!$A$4:$E$7,5,0))</f>
        <v/>
      </c>
      <c r="N3789" s="14">
        <f>H3789-M3789</f>
        <v/>
      </c>
      <c r="O3789" t="inlineStr">
        <is>
          <t>Sim</t>
        </is>
      </c>
      <c r="P3789" t="inlineStr">
        <is>
          <t>2.350</t>
        </is>
      </c>
    </row>
    <row r="3790">
      <c r="A3790" s="24" t="n">
        <v>46204</v>
      </c>
      <c r="B3790" t="inlineStr">
        <is>
          <t>Frete de compra</t>
        </is>
      </c>
      <c r="C3790" t="inlineStr">
        <is>
          <t>Frete de compra</t>
        </is>
      </c>
      <c r="D3790" t="inlineStr">
        <is>
          <t>CT-e</t>
        </is>
      </c>
      <c r="E3790" t="inlineStr">
        <is>
          <t>000201605</t>
        </is>
      </c>
      <c r="F3790" t="inlineStr">
        <is>
          <t>ALIANCA NAVEGACAO E LOGISTICA LTDA</t>
        </is>
      </c>
      <c r="G3790" s="27" t="n">
        <v>46234</v>
      </c>
      <c r="H3790" s="14" t="n">
        <v>23418.89</v>
      </c>
      <c r="I3790" s="14" t="n">
        <v>0</v>
      </c>
      <c r="J3790" s="14" t="n">
        <v>1639.32</v>
      </c>
      <c r="K3790" s="14" t="n">
        <v>0</v>
      </c>
      <c r="L3790" s="14" t="n">
        <v>0</v>
      </c>
      <c r="M3790" s="14">
        <f>IF(B3790="Frete de venda",0,(1-ISNUMBER(SEARCH("556",P3790)))*(I3790*VLOOKUP($B3790,Premissas!$A$4:$E$7,2,0)+J3790*VLOOKUP($B3790,Premissas!$A$4:$E$7,3,0))+K3790*VLOOKUP($B3790,Premissas!$A$4:$E$7,4,0)+L3790*VLOOKUP($B3790,Premissas!$A$4:$E$7,5,0))</f>
        <v/>
      </c>
      <c r="N3790" s="14">
        <f>H3790-M3790</f>
        <v/>
      </c>
      <c r="O3790" t="inlineStr">
        <is>
          <t>Sim</t>
        </is>
      </c>
      <c r="P3790" t="inlineStr">
        <is>
          <t>2.350</t>
        </is>
      </c>
    </row>
    <row r="3791">
      <c r="A3791" s="24" t="n">
        <v>46204</v>
      </c>
      <c r="B3791" t="inlineStr">
        <is>
          <t>Frete de compra</t>
        </is>
      </c>
      <c r="C3791" t="inlineStr">
        <is>
          <t>Frete de compra</t>
        </is>
      </c>
      <c r="D3791" t="inlineStr">
        <is>
          <t>CT-e</t>
        </is>
      </c>
      <c r="E3791" t="inlineStr">
        <is>
          <t>000046066</t>
        </is>
      </c>
      <c r="F3791" t="inlineStr">
        <is>
          <t>ALIANCA NAVEGACAO E LOGISTICA LTDA.</t>
        </is>
      </c>
      <c r="G3791" s="27" t="n">
        <v>46216</v>
      </c>
      <c r="H3791" s="14" t="n">
        <v>15559.3</v>
      </c>
      <c r="I3791" s="14" t="n">
        <v>0</v>
      </c>
      <c r="J3791" s="14" t="n">
        <v>1089.15</v>
      </c>
      <c r="K3791" s="14" t="n">
        <v>0</v>
      </c>
      <c r="L3791" s="14" t="n">
        <v>0</v>
      </c>
      <c r="M3791" s="14">
        <f>IF(B3791="Frete de venda",0,(1-ISNUMBER(SEARCH("556",P3791)))*(I3791*VLOOKUP($B3791,Premissas!$A$4:$E$7,2,0)+J3791*VLOOKUP($B3791,Premissas!$A$4:$E$7,3,0))+K3791*VLOOKUP($B3791,Premissas!$A$4:$E$7,4,0)+L3791*VLOOKUP($B3791,Premissas!$A$4:$E$7,5,0))</f>
        <v/>
      </c>
      <c r="N3791" s="14">
        <f>H3791-M3791</f>
        <v/>
      </c>
      <c r="O3791" t="inlineStr">
        <is>
          <t>Sim</t>
        </is>
      </c>
      <c r="P3791" t="inlineStr">
        <is>
          <t>3.250</t>
        </is>
      </c>
    </row>
    <row r="3792">
      <c r="A3792" s="24" t="n">
        <v>46204</v>
      </c>
      <c r="B3792" t="inlineStr">
        <is>
          <t>Frete de compra</t>
        </is>
      </c>
      <c r="C3792" t="inlineStr">
        <is>
          <t>Frete de compra</t>
        </is>
      </c>
      <c r="D3792" t="inlineStr">
        <is>
          <t>CT-e</t>
        </is>
      </c>
      <c r="E3792" t="inlineStr">
        <is>
          <t>000046070</t>
        </is>
      </c>
      <c r="F3792" t="inlineStr">
        <is>
          <t>ALIANCA NAVEGACAO E LOGISTICA LTDA.</t>
        </is>
      </c>
      <c r="G3792" s="27" t="n">
        <v>46216</v>
      </c>
      <c r="H3792" s="14" t="n">
        <v>15565.61</v>
      </c>
      <c r="I3792" s="14" t="n">
        <v>0</v>
      </c>
      <c r="J3792" s="14" t="n">
        <v>1089.59</v>
      </c>
      <c r="K3792" s="14" t="n">
        <v>0</v>
      </c>
      <c r="L3792" s="14" t="n">
        <v>0</v>
      </c>
      <c r="M3792" s="14">
        <f>IF(B3792="Frete de venda",0,(1-ISNUMBER(SEARCH("556",P3792)))*(I3792*VLOOKUP($B3792,Premissas!$A$4:$E$7,2,0)+J3792*VLOOKUP($B3792,Premissas!$A$4:$E$7,3,0))+K3792*VLOOKUP($B3792,Premissas!$A$4:$E$7,4,0)+L3792*VLOOKUP($B3792,Premissas!$A$4:$E$7,5,0))</f>
        <v/>
      </c>
      <c r="N3792" s="14">
        <f>H3792-M3792</f>
        <v/>
      </c>
      <c r="O3792" t="inlineStr">
        <is>
          <t>Sim</t>
        </is>
      </c>
      <c r="P3792" t="inlineStr">
        <is>
          <t>3.250</t>
        </is>
      </c>
    </row>
    <row r="3793">
      <c r="A3793" s="24" t="n">
        <v>46204</v>
      </c>
      <c r="B3793" t="inlineStr">
        <is>
          <t>Frete de compra</t>
        </is>
      </c>
      <c r="C3793" t="inlineStr">
        <is>
          <t>Frete de compra</t>
        </is>
      </c>
      <c r="D3793" t="inlineStr">
        <is>
          <t>CT-e</t>
        </is>
      </c>
      <c r="E3793" t="inlineStr">
        <is>
          <t>000046071</t>
        </is>
      </c>
      <c r="F3793" t="inlineStr">
        <is>
          <t>ALIANCA NAVEGACAO E LOGISTICA LTDA.</t>
        </is>
      </c>
      <c r="G3793" s="27" t="n">
        <v>46216</v>
      </c>
      <c r="H3793" s="14" t="n">
        <v>15562.09</v>
      </c>
      <c r="I3793" s="14" t="n">
        <v>0</v>
      </c>
      <c r="J3793" s="14" t="n">
        <v>1089.35</v>
      </c>
      <c r="K3793" s="14" t="n">
        <v>0</v>
      </c>
      <c r="L3793" s="14" t="n">
        <v>0</v>
      </c>
      <c r="M3793" s="14">
        <f>IF(B3793="Frete de venda",0,(1-ISNUMBER(SEARCH("556",P3793)))*(I3793*VLOOKUP($B3793,Premissas!$A$4:$E$7,2,0)+J3793*VLOOKUP($B3793,Premissas!$A$4:$E$7,3,0))+K3793*VLOOKUP($B3793,Premissas!$A$4:$E$7,4,0)+L3793*VLOOKUP($B3793,Premissas!$A$4:$E$7,5,0))</f>
        <v/>
      </c>
      <c r="N3793" s="14">
        <f>H3793-M3793</f>
        <v/>
      </c>
      <c r="O3793" t="inlineStr">
        <is>
          <t>Sim</t>
        </is>
      </c>
      <c r="P3793" t="inlineStr">
        <is>
          <t>3.250</t>
        </is>
      </c>
    </row>
    <row r="3794">
      <c r="A3794" s="24" t="n">
        <v>46204</v>
      </c>
      <c r="B3794" t="inlineStr">
        <is>
          <t>Frete de compra</t>
        </is>
      </c>
      <c r="C3794" t="inlineStr">
        <is>
          <t>Frete de compra</t>
        </is>
      </c>
      <c r="D3794" t="inlineStr">
        <is>
          <t>CT-e</t>
        </is>
      </c>
      <c r="E3794" t="inlineStr">
        <is>
          <t>000046081</t>
        </is>
      </c>
      <c r="F3794" t="inlineStr">
        <is>
          <t>ALIANCA NAVEGACAO E LOGISTICA LTDA.</t>
        </is>
      </c>
      <c r="G3794" s="27" t="n">
        <v>46216</v>
      </c>
      <c r="H3794" s="14" t="n">
        <v>7972.48</v>
      </c>
      <c r="I3794" s="14" t="n">
        <v>0</v>
      </c>
      <c r="J3794" s="14" t="n">
        <v>558.0700000000001</v>
      </c>
      <c r="K3794" s="14" t="n">
        <v>0</v>
      </c>
      <c r="L3794" s="14" t="n">
        <v>0</v>
      </c>
      <c r="M3794" s="14">
        <f>IF(B3794="Frete de venda",0,(1-ISNUMBER(SEARCH("556",P3794)))*(I3794*VLOOKUP($B3794,Premissas!$A$4:$E$7,2,0)+J3794*VLOOKUP($B3794,Premissas!$A$4:$E$7,3,0))+K3794*VLOOKUP($B3794,Premissas!$A$4:$E$7,4,0)+L3794*VLOOKUP($B3794,Premissas!$A$4:$E$7,5,0))</f>
        <v/>
      </c>
      <c r="N3794" s="14">
        <f>H3794-M3794</f>
        <v/>
      </c>
      <c r="O3794" t="inlineStr">
        <is>
          <t>Sim</t>
        </is>
      </c>
      <c r="P3794" t="inlineStr">
        <is>
          <t>3.250</t>
        </is>
      </c>
    </row>
    <row r="3795">
      <c r="A3795" s="24" t="n">
        <v>46204</v>
      </c>
      <c r="B3795" t="inlineStr">
        <is>
          <t>Frete de compra</t>
        </is>
      </c>
      <c r="C3795" t="inlineStr">
        <is>
          <t>Frete de compra</t>
        </is>
      </c>
      <c r="D3795" t="inlineStr">
        <is>
          <t>CT-e</t>
        </is>
      </c>
      <c r="E3795" t="inlineStr">
        <is>
          <t>000046082</t>
        </is>
      </c>
      <c r="F3795" t="inlineStr">
        <is>
          <t>ALIANCA NAVEGACAO E LOGISTICA LTDA.</t>
        </is>
      </c>
      <c r="G3795" s="27" t="n">
        <v>46216</v>
      </c>
      <c r="H3795" s="14" t="n">
        <v>7960.68</v>
      </c>
      <c r="I3795" s="14" t="n">
        <v>0</v>
      </c>
      <c r="J3795" s="14" t="n">
        <v>557.25</v>
      </c>
      <c r="K3795" s="14" t="n">
        <v>0</v>
      </c>
      <c r="L3795" s="14" t="n">
        <v>0</v>
      </c>
      <c r="M3795" s="14">
        <f>IF(B3795="Frete de venda",0,(1-ISNUMBER(SEARCH("556",P3795)))*(I3795*VLOOKUP($B3795,Premissas!$A$4:$E$7,2,0)+J3795*VLOOKUP($B3795,Premissas!$A$4:$E$7,3,0))+K3795*VLOOKUP($B3795,Premissas!$A$4:$E$7,4,0)+L3795*VLOOKUP($B3795,Premissas!$A$4:$E$7,5,0))</f>
        <v/>
      </c>
      <c r="N3795" s="14">
        <f>H3795-M3795</f>
        <v/>
      </c>
      <c r="O3795" t="inlineStr">
        <is>
          <t>Sim</t>
        </is>
      </c>
      <c r="P3795" t="inlineStr">
        <is>
          <t>3.250</t>
        </is>
      </c>
    </row>
    <row r="3796">
      <c r="A3796" s="24" t="n">
        <v>46204</v>
      </c>
      <c r="B3796" t="inlineStr">
        <is>
          <t>Frete de compra</t>
        </is>
      </c>
      <c r="C3796" t="inlineStr">
        <is>
          <t>Frete de compra</t>
        </is>
      </c>
      <c r="D3796" t="inlineStr">
        <is>
          <t>CT-e</t>
        </is>
      </c>
      <c r="E3796" t="inlineStr">
        <is>
          <t>000046087</t>
        </is>
      </c>
      <c r="F3796" t="inlineStr">
        <is>
          <t>ALIANCA NAVEGACAO E LOGISTICA LTDA.</t>
        </is>
      </c>
      <c r="G3796" s="27" t="n">
        <v>46216</v>
      </c>
      <c r="H3796" s="14" t="n">
        <v>7968.27</v>
      </c>
      <c r="I3796" s="14" t="n">
        <v>0</v>
      </c>
      <c r="J3796" s="14" t="n">
        <v>557.78</v>
      </c>
      <c r="K3796" s="14" t="n">
        <v>0</v>
      </c>
      <c r="L3796" s="14" t="n">
        <v>0</v>
      </c>
      <c r="M3796" s="14">
        <f>IF(B3796="Frete de venda",0,(1-ISNUMBER(SEARCH("556",P3796)))*(I3796*VLOOKUP($B3796,Premissas!$A$4:$E$7,2,0)+J3796*VLOOKUP($B3796,Premissas!$A$4:$E$7,3,0))+K3796*VLOOKUP($B3796,Premissas!$A$4:$E$7,4,0)+L3796*VLOOKUP($B3796,Premissas!$A$4:$E$7,5,0))</f>
        <v/>
      </c>
      <c r="N3796" s="14">
        <f>H3796-M3796</f>
        <v/>
      </c>
      <c r="O3796" t="inlineStr">
        <is>
          <t>Sim</t>
        </is>
      </c>
      <c r="P3796" t="inlineStr">
        <is>
          <t>3.250</t>
        </is>
      </c>
    </row>
    <row r="3797">
      <c r="A3797" s="24" t="n">
        <v>46204</v>
      </c>
      <c r="B3797" t="inlineStr">
        <is>
          <t>Frete de compra</t>
        </is>
      </c>
      <c r="C3797" t="inlineStr">
        <is>
          <t>Frete de compra</t>
        </is>
      </c>
      <c r="D3797" t="inlineStr">
        <is>
          <t>CT-e</t>
        </is>
      </c>
      <c r="E3797" t="inlineStr">
        <is>
          <t>000046088</t>
        </is>
      </c>
      <c r="F3797" t="inlineStr">
        <is>
          <t>ALIANCA NAVEGACAO E LOGISTICA LTDA.</t>
        </is>
      </c>
      <c r="G3797" s="27" t="n">
        <v>46216</v>
      </c>
      <c r="H3797" s="14" t="n">
        <v>7956.59</v>
      </c>
      <c r="I3797" s="14" t="n">
        <v>0</v>
      </c>
      <c r="J3797" s="14" t="n">
        <v>556.96</v>
      </c>
      <c r="K3797" s="14" t="n">
        <v>0</v>
      </c>
      <c r="L3797" s="14" t="n">
        <v>0</v>
      </c>
      <c r="M3797" s="14">
        <f>IF(B3797="Frete de venda",0,(1-ISNUMBER(SEARCH("556",P3797)))*(I3797*VLOOKUP($B3797,Premissas!$A$4:$E$7,2,0)+J3797*VLOOKUP($B3797,Premissas!$A$4:$E$7,3,0))+K3797*VLOOKUP($B3797,Premissas!$A$4:$E$7,4,0)+L3797*VLOOKUP($B3797,Premissas!$A$4:$E$7,5,0))</f>
        <v/>
      </c>
      <c r="N3797" s="14">
        <f>H3797-M3797</f>
        <v/>
      </c>
      <c r="O3797" t="inlineStr">
        <is>
          <t>Sim</t>
        </is>
      </c>
      <c r="P3797" t="inlineStr">
        <is>
          <t>3.250</t>
        </is>
      </c>
    </row>
    <row r="3798">
      <c r="A3798" s="24" t="n">
        <v>46204</v>
      </c>
      <c r="B3798" t="inlineStr">
        <is>
          <t>Frete de compra</t>
        </is>
      </c>
      <c r="C3798" t="inlineStr">
        <is>
          <t>Frete de compra</t>
        </is>
      </c>
      <c r="D3798" t="inlineStr">
        <is>
          <t>CT-e</t>
        </is>
      </c>
      <c r="E3798" t="inlineStr">
        <is>
          <t>000046092</t>
        </is>
      </c>
      <c r="F3798" t="inlineStr">
        <is>
          <t>ALIANCA NAVEGACAO E LOGISTICA LTDA.</t>
        </is>
      </c>
      <c r="G3798" s="27" t="n">
        <v>46216</v>
      </c>
      <c r="H3798" s="14" t="n">
        <v>15541.67</v>
      </c>
      <c r="I3798" s="14" t="n">
        <v>0</v>
      </c>
      <c r="J3798" s="14" t="n">
        <v>1087.92</v>
      </c>
      <c r="K3798" s="14" t="n">
        <v>0</v>
      </c>
      <c r="L3798" s="14" t="n">
        <v>0</v>
      </c>
      <c r="M3798" s="14">
        <f>IF(B3798="Frete de venda",0,(1-ISNUMBER(SEARCH("556",P3798)))*(I3798*VLOOKUP($B3798,Premissas!$A$4:$E$7,2,0)+J3798*VLOOKUP($B3798,Premissas!$A$4:$E$7,3,0))+K3798*VLOOKUP($B3798,Premissas!$A$4:$E$7,4,0)+L3798*VLOOKUP($B3798,Premissas!$A$4:$E$7,5,0))</f>
        <v/>
      </c>
      <c r="N3798" s="14">
        <f>H3798-M3798</f>
        <v/>
      </c>
      <c r="O3798" t="inlineStr">
        <is>
          <t>Sim</t>
        </is>
      </c>
      <c r="P3798" t="inlineStr">
        <is>
          <t>3.250</t>
        </is>
      </c>
    </row>
    <row r="3799">
      <c r="A3799" s="24" t="n">
        <v>46204</v>
      </c>
      <c r="B3799" t="inlineStr">
        <is>
          <t>Frete de compra</t>
        </is>
      </c>
      <c r="C3799" t="inlineStr">
        <is>
          <t>Frete de compra</t>
        </is>
      </c>
      <c r="D3799" t="inlineStr">
        <is>
          <t>CT-e</t>
        </is>
      </c>
      <c r="E3799" t="inlineStr">
        <is>
          <t>000046508</t>
        </is>
      </c>
      <c r="F3799" t="inlineStr">
        <is>
          <t>ALIANCA NAVEGACAO E LOGISTICA LTDA.</t>
        </is>
      </c>
      <c r="G3799" s="27" t="n">
        <v>46234</v>
      </c>
      <c r="H3799" s="14" t="n">
        <v>774.1900000000001</v>
      </c>
      <c r="I3799" s="14" t="n">
        <v>0</v>
      </c>
      <c r="J3799" s="14" t="n">
        <v>54.19</v>
      </c>
      <c r="K3799" s="14" t="n">
        <v>0</v>
      </c>
      <c r="L3799" s="14" t="n">
        <v>0</v>
      </c>
      <c r="M3799" s="14">
        <f>IF(B3799="Frete de venda",0,(1-ISNUMBER(SEARCH("556",P3799)))*(I3799*VLOOKUP($B3799,Premissas!$A$4:$E$7,2,0)+J3799*VLOOKUP($B3799,Premissas!$A$4:$E$7,3,0))+K3799*VLOOKUP($B3799,Premissas!$A$4:$E$7,4,0)+L3799*VLOOKUP($B3799,Premissas!$A$4:$E$7,5,0))</f>
        <v/>
      </c>
      <c r="N3799" s="14">
        <f>H3799-M3799</f>
        <v/>
      </c>
      <c r="O3799" t="inlineStr">
        <is>
          <t>Sim</t>
        </is>
      </c>
      <c r="P3799" t="inlineStr">
        <is>
          <t>2.350</t>
        </is>
      </c>
    </row>
    <row r="3800">
      <c r="A3800" s="24" t="n">
        <v>46204</v>
      </c>
      <c r="B3800" t="inlineStr">
        <is>
          <t>Frete de compra</t>
        </is>
      </c>
      <c r="C3800" t="inlineStr">
        <is>
          <t>Frete de compra</t>
        </is>
      </c>
      <c r="D3800" t="inlineStr">
        <is>
          <t>CT-e</t>
        </is>
      </c>
      <c r="E3800" t="inlineStr">
        <is>
          <t>000046507</t>
        </is>
      </c>
      <c r="F3800" t="inlineStr">
        <is>
          <t>ALIANCA NAVEGACAO E LOGISTICA LTDA.</t>
        </is>
      </c>
      <c r="G3800" s="27" t="n">
        <v>46234</v>
      </c>
      <c r="H3800" s="14" t="n">
        <v>774.1900000000001</v>
      </c>
      <c r="I3800" s="14" t="n">
        <v>0</v>
      </c>
      <c r="J3800" s="14" t="n">
        <v>54.19</v>
      </c>
      <c r="K3800" s="14" t="n">
        <v>0</v>
      </c>
      <c r="L3800" s="14" t="n">
        <v>0</v>
      </c>
      <c r="M3800" s="14">
        <f>IF(B3800="Frete de venda",0,(1-ISNUMBER(SEARCH("556",P3800)))*(I3800*VLOOKUP($B3800,Premissas!$A$4:$E$7,2,0)+J3800*VLOOKUP($B3800,Premissas!$A$4:$E$7,3,0))+K3800*VLOOKUP($B3800,Premissas!$A$4:$E$7,4,0)+L3800*VLOOKUP($B3800,Premissas!$A$4:$E$7,5,0))</f>
        <v/>
      </c>
      <c r="N3800" s="14">
        <f>H3800-M3800</f>
        <v/>
      </c>
      <c r="O3800" t="inlineStr">
        <is>
          <t>Sim</t>
        </is>
      </c>
      <c r="P3800" t="inlineStr">
        <is>
          <t>2.350</t>
        </is>
      </c>
    </row>
    <row r="3801">
      <c r="A3801" s="24" t="n">
        <v>46204</v>
      </c>
      <c r="B3801" t="inlineStr">
        <is>
          <t>Frete de venda</t>
        </is>
      </c>
      <c r="C3801" t="inlineStr">
        <is>
          <t>Frete de venda (para clientes)</t>
        </is>
      </c>
      <c r="D3801" t="inlineStr">
        <is>
          <t>CT-e</t>
        </is>
      </c>
      <c r="E3801" t="inlineStr">
        <is>
          <t>000189006</t>
        </is>
      </c>
      <c r="F3801" t="inlineStr">
        <is>
          <t>RF BRA TRANSPORTES LTDA</t>
        </is>
      </c>
      <c r="G3801" s="27" t="n">
        <v>46209</v>
      </c>
      <c r="H3801" s="14" t="n">
        <v>13481.67</v>
      </c>
      <c r="I3801" s="14" t="n">
        <v>0</v>
      </c>
      <c r="J3801" s="14" t="n">
        <v>943.72</v>
      </c>
      <c r="K3801" s="14" t="n">
        <v>0</v>
      </c>
      <c r="L3801" s="14" t="n">
        <v>0</v>
      </c>
      <c r="M3801" s="14">
        <f>IF(B3801="Frete de venda",0,(1-ISNUMBER(SEARCH("556",P3801)))*(I3801*VLOOKUP($B3801,Premissas!$A$4:$E$7,2,0)+J3801*VLOOKUP($B3801,Premissas!$A$4:$E$7,3,0))+K3801*VLOOKUP($B3801,Premissas!$A$4:$E$7,4,0)+L3801*VLOOKUP($B3801,Premissas!$A$4:$E$7,5,0))</f>
        <v/>
      </c>
      <c r="N3801" s="14">
        <f>H3801-M3801</f>
        <v/>
      </c>
      <c r="O3801" t="inlineStr">
        <is>
          <t>Sim</t>
        </is>
      </c>
      <c r="P3801" t="inlineStr">
        <is>
          <t>2.350</t>
        </is>
      </c>
    </row>
    <row r="3802">
      <c r="A3802" s="24" t="n">
        <v>46204</v>
      </c>
      <c r="B3802" t="inlineStr">
        <is>
          <t>Frete de venda</t>
        </is>
      </c>
      <c r="C3802" t="inlineStr">
        <is>
          <t>Frete de venda (para clientes)</t>
        </is>
      </c>
      <c r="D3802" t="inlineStr">
        <is>
          <t>CT-e</t>
        </is>
      </c>
      <c r="E3802" t="inlineStr">
        <is>
          <t>000227098</t>
        </is>
      </c>
      <c r="F3802" t="inlineStr">
        <is>
          <t>CAZAN TRANSPORTES LTDA</t>
        </is>
      </c>
      <c r="G3802" s="27" t="n">
        <v>46220</v>
      </c>
      <c r="H3802" s="14" t="n">
        <v>145.9</v>
      </c>
      <c r="I3802" s="14" t="n">
        <v>0</v>
      </c>
      <c r="J3802" s="14" t="n">
        <v>10.21</v>
      </c>
      <c r="K3802" s="14" t="n">
        <v>0</v>
      </c>
      <c r="L3802" s="14" t="n">
        <v>0</v>
      </c>
      <c r="M3802" s="14">
        <f>IF(B3802="Frete de venda",0,(1-ISNUMBER(SEARCH("556",P3802)))*(I3802*VLOOKUP($B3802,Premissas!$A$4:$E$7,2,0)+J3802*VLOOKUP($B3802,Premissas!$A$4:$E$7,3,0))+K3802*VLOOKUP($B3802,Premissas!$A$4:$E$7,4,0)+L3802*VLOOKUP($B3802,Premissas!$A$4:$E$7,5,0))</f>
        <v/>
      </c>
      <c r="N3802" s="14">
        <f>H3802-M3802</f>
        <v/>
      </c>
      <c r="O3802" t="inlineStr">
        <is>
          <t>Sim</t>
        </is>
      </c>
      <c r="P3802" t="inlineStr">
        <is>
          <t>2.350</t>
        </is>
      </c>
    </row>
    <row r="3803">
      <c r="A3803" s="24" t="n">
        <v>46204</v>
      </c>
      <c r="B3803" t="inlineStr">
        <is>
          <t>Frete de venda</t>
        </is>
      </c>
      <c r="C3803" t="inlineStr">
        <is>
          <t>Frete de venda (para clientes)</t>
        </is>
      </c>
      <c r="D3803" t="inlineStr">
        <is>
          <t>CT-e</t>
        </is>
      </c>
      <c r="E3803" t="inlineStr">
        <is>
          <t>000228097</t>
        </is>
      </c>
      <c r="F3803" t="inlineStr">
        <is>
          <t>CAZAN TRANSPORTES LTDA</t>
        </is>
      </c>
      <c r="G3803" s="27" t="n">
        <v>46232</v>
      </c>
      <c r="H3803" s="14" t="n">
        <v>145.9</v>
      </c>
      <c r="I3803" s="14" t="n">
        <v>0</v>
      </c>
      <c r="J3803" s="14" t="n">
        <v>10.21</v>
      </c>
      <c r="K3803" s="14" t="n">
        <v>0</v>
      </c>
      <c r="L3803" s="14" t="n">
        <v>0</v>
      </c>
      <c r="M3803" s="14">
        <f>IF(B3803="Frete de venda",0,(1-ISNUMBER(SEARCH("556",P3803)))*(I3803*VLOOKUP($B3803,Premissas!$A$4:$E$7,2,0)+J3803*VLOOKUP($B3803,Premissas!$A$4:$E$7,3,0))+K3803*VLOOKUP($B3803,Premissas!$A$4:$E$7,4,0)+L3803*VLOOKUP($B3803,Premissas!$A$4:$E$7,5,0))</f>
        <v/>
      </c>
      <c r="N3803" s="14">
        <f>H3803-M3803</f>
        <v/>
      </c>
      <c r="O3803" t="inlineStr">
        <is>
          <t>Sim</t>
        </is>
      </c>
      <c r="P3803" t="inlineStr">
        <is>
          <t>2.350</t>
        </is>
      </c>
    </row>
    <row r="3804">
      <c r="A3804" s="24" t="n">
        <v>46204</v>
      </c>
      <c r="B3804" t="inlineStr">
        <is>
          <t>Frete de compra</t>
        </is>
      </c>
      <c r="C3804" t="inlineStr">
        <is>
          <t>Frete de compra</t>
        </is>
      </c>
      <c r="D3804" t="inlineStr">
        <is>
          <t>CT-e</t>
        </is>
      </c>
      <c r="E3804" t="inlineStr">
        <is>
          <t>000200348</t>
        </is>
      </c>
      <c r="F3804" t="inlineStr">
        <is>
          <t>ALIANCA NAVEGACAO E LOGISTICA LTDA</t>
        </is>
      </c>
      <c r="G3804" s="27" t="n">
        <v>46211</v>
      </c>
      <c r="H3804" s="14" t="n">
        <v>23275.31</v>
      </c>
      <c r="I3804" s="14" t="n">
        <v>0</v>
      </c>
      <c r="J3804" s="14" t="n">
        <v>1629.27</v>
      </c>
      <c r="K3804" s="14" t="n">
        <v>0</v>
      </c>
      <c r="L3804" s="14" t="n">
        <v>0</v>
      </c>
      <c r="M3804" s="14">
        <f>IF(B3804="Frete de venda",0,(1-ISNUMBER(SEARCH("556",P3804)))*(I3804*VLOOKUP($B3804,Premissas!$A$4:$E$7,2,0)+J3804*VLOOKUP($B3804,Premissas!$A$4:$E$7,3,0))+K3804*VLOOKUP($B3804,Premissas!$A$4:$E$7,4,0)+L3804*VLOOKUP($B3804,Premissas!$A$4:$E$7,5,0))</f>
        <v/>
      </c>
      <c r="N3804" s="14">
        <f>H3804-M3804</f>
        <v/>
      </c>
      <c r="O3804" t="inlineStr">
        <is>
          <t>Sim</t>
        </is>
      </c>
      <c r="P3804" t="inlineStr">
        <is>
          <t>2.350</t>
        </is>
      </c>
    </row>
    <row r="3805">
      <c r="A3805" s="24" t="n">
        <v>46204</v>
      </c>
      <c r="B3805" t="inlineStr">
        <is>
          <t>Frete de compra</t>
        </is>
      </c>
      <c r="C3805" t="inlineStr">
        <is>
          <t>Frete de compra</t>
        </is>
      </c>
      <c r="D3805" t="inlineStr">
        <is>
          <t>CT-e</t>
        </is>
      </c>
      <c r="E3805" t="inlineStr">
        <is>
          <t>000200347</t>
        </is>
      </c>
      <c r="F3805" t="inlineStr">
        <is>
          <t>ALIANCA NAVEGACAO E LOGISTICA LTDA</t>
        </is>
      </c>
      <c r="G3805" s="27" t="n">
        <v>46211</v>
      </c>
      <c r="H3805" s="14" t="n">
        <v>23274.65</v>
      </c>
      <c r="I3805" s="14" t="n">
        <v>0</v>
      </c>
      <c r="J3805" s="14" t="n">
        <v>1629.23</v>
      </c>
      <c r="K3805" s="14" t="n">
        <v>0</v>
      </c>
      <c r="L3805" s="14" t="n">
        <v>0</v>
      </c>
      <c r="M3805" s="14">
        <f>IF(B3805="Frete de venda",0,(1-ISNUMBER(SEARCH("556",P3805)))*(I3805*VLOOKUP($B3805,Premissas!$A$4:$E$7,2,0)+J3805*VLOOKUP($B3805,Premissas!$A$4:$E$7,3,0))+K3805*VLOOKUP($B3805,Premissas!$A$4:$E$7,4,0)+L3805*VLOOKUP($B3805,Premissas!$A$4:$E$7,5,0))</f>
        <v/>
      </c>
      <c r="N3805" s="14">
        <f>H3805-M3805</f>
        <v/>
      </c>
      <c r="O3805" t="inlineStr">
        <is>
          <t>Sim</t>
        </is>
      </c>
      <c r="P3805" t="inlineStr">
        <is>
          <t>2.350</t>
        </is>
      </c>
    </row>
    <row r="3806">
      <c r="A3806" s="24" t="n">
        <v>46204</v>
      </c>
      <c r="B3806" t="inlineStr">
        <is>
          <t>Frete de venda</t>
        </is>
      </c>
      <c r="C3806" t="inlineStr">
        <is>
          <t>Frete de venda (para clientes)</t>
        </is>
      </c>
      <c r="D3806" t="inlineStr">
        <is>
          <t>CT-e</t>
        </is>
      </c>
      <c r="E3806" t="inlineStr">
        <is>
          <t>000049198</t>
        </is>
      </c>
      <c r="F3806" t="inlineStr">
        <is>
          <t>GLOBAL AIR CARGO LTDA</t>
        </is>
      </c>
      <c r="G3806" s="27" t="n">
        <v>46205</v>
      </c>
      <c r="H3806" s="14" t="n">
        <v>306.12</v>
      </c>
      <c r="I3806" s="14" t="n">
        <v>0</v>
      </c>
      <c r="J3806" s="14" t="n">
        <v>21.43</v>
      </c>
      <c r="K3806" s="14" t="n">
        <v>0</v>
      </c>
      <c r="L3806" s="14" t="n">
        <v>0</v>
      </c>
      <c r="M3806" s="14">
        <f>IF(B3806="Frete de venda",0,(1-ISNUMBER(SEARCH("556",P3806)))*(I3806*VLOOKUP($B3806,Premissas!$A$4:$E$7,2,0)+J3806*VLOOKUP($B3806,Premissas!$A$4:$E$7,3,0))+K3806*VLOOKUP($B3806,Premissas!$A$4:$E$7,4,0)+L3806*VLOOKUP($B3806,Premissas!$A$4:$E$7,5,0))</f>
        <v/>
      </c>
      <c r="N3806" s="14">
        <f>H3806-M3806</f>
        <v/>
      </c>
      <c r="O3806" t="inlineStr">
        <is>
          <t>Sim</t>
        </is>
      </c>
      <c r="P3806" t="inlineStr">
        <is>
          <t>2.350</t>
        </is>
      </c>
    </row>
    <row r="3807">
      <c r="A3807" s="24" t="n">
        <v>46204</v>
      </c>
      <c r="B3807" t="inlineStr">
        <is>
          <t>Frete de venda</t>
        </is>
      </c>
      <c r="C3807" t="inlineStr">
        <is>
          <t>Frete de venda (para clientes)</t>
        </is>
      </c>
      <c r="D3807" t="inlineStr">
        <is>
          <t>CT-e</t>
        </is>
      </c>
      <c r="E3807" t="inlineStr">
        <is>
          <t>000049487</t>
        </is>
      </c>
      <c r="F3807" t="inlineStr">
        <is>
          <t>GLOBAL AIR CARGO LTDA</t>
        </is>
      </c>
      <c r="G3807" s="27" t="n">
        <v>46220</v>
      </c>
      <c r="H3807" s="14" t="n">
        <v>301.86</v>
      </c>
      <c r="I3807" s="14" t="n">
        <v>0</v>
      </c>
      <c r="J3807" s="14" t="n">
        <v>21.13</v>
      </c>
      <c r="K3807" s="14" t="n">
        <v>0</v>
      </c>
      <c r="L3807" s="14" t="n">
        <v>0</v>
      </c>
      <c r="M3807" s="14">
        <f>IF(B3807="Frete de venda",0,(1-ISNUMBER(SEARCH("556",P3807)))*(I3807*VLOOKUP($B3807,Premissas!$A$4:$E$7,2,0)+J3807*VLOOKUP($B3807,Premissas!$A$4:$E$7,3,0))+K3807*VLOOKUP($B3807,Premissas!$A$4:$E$7,4,0)+L3807*VLOOKUP($B3807,Premissas!$A$4:$E$7,5,0))</f>
        <v/>
      </c>
      <c r="N3807" s="14">
        <f>H3807-M3807</f>
        <v/>
      </c>
      <c r="O3807" t="inlineStr">
        <is>
          <t>Não</t>
        </is>
      </c>
      <c r="P3807" t="inlineStr">
        <is>
          <t>2.350</t>
        </is>
      </c>
    </row>
    <row r="3808">
      <c r="A3808" s="24" t="n">
        <v>46204</v>
      </c>
      <c r="B3808" t="inlineStr">
        <is>
          <t>Frete de venda</t>
        </is>
      </c>
      <c r="C3808" t="inlineStr">
        <is>
          <t>Frete de venda (para clientes)</t>
        </is>
      </c>
      <c r="D3808" t="inlineStr">
        <is>
          <t>CT-e</t>
        </is>
      </c>
      <c r="E3808" t="inlineStr">
        <is>
          <t>000226402</t>
        </is>
      </c>
      <c r="F3808" t="inlineStr">
        <is>
          <t>CAZAN TRANSPORTES LTDA</t>
        </is>
      </c>
      <c r="G3808" s="27" t="n">
        <v>46210</v>
      </c>
      <c r="H3808" s="14" t="n">
        <v>145.91</v>
      </c>
      <c r="I3808" s="14" t="n">
        <v>0</v>
      </c>
      <c r="J3808" s="14" t="n">
        <v>10.21</v>
      </c>
      <c r="K3808" s="14" t="n">
        <v>0</v>
      </c>
      <c r="L3808" s="14" t="n">
        <v>0</v>
      </c>
      <c r="M3808" s="14">
        <f>IF(B3808="Frete de venda",0,(1-ISNUMBER(SEARCH("556",P3808)))*(I3808*VLOOKUP($B3808,Premissas!$A$4:$E$7,2,0)+J3808*VLOOKUP($B3808,Premissas!$A$4:$E$7,3,0))+K3808*VLOOKUP($B3808,Premissas!$A$4:$E$7,4,0)+L3808*VLOOKUP($B3808,Premissas!$A$4:$E$7,5,0))</f>
        <v/>
      </c>
      <c r="N3808" s="14">
        <f>H3808-M3808</f>
        <v/>
      </c>
      <c r="O3808" t="inlineStr">
        <is>
          <t>Sim</t>
        </is>
      </c>
      <c r="P3808" t="inlineStr">
        <is>
          <t>2.350</t>
        </is>
      </c>
    </row>
    <row r="3809">
      <c r="A3809" s="24" t="n">
        <v>46204</v>
      </c>
      <c r="B3809" t="inlineStr">
        <is>
          <t>Frete de venda</t>
        </is>
      </c>
      <c r="C3809" t="inlineStr">
        <is>
          <t>Frete de venda (para clientes)</t>
        </is>
      </c>
      <c r="D3809" t="inlineStr">
        <is>
          <t>CT-e</t>
        </is>
      </c>
      <c r="E3809" t="inlineStr">
        <is>
          <t>000007720</t>
        </is>
      </c>
      <c r="F3809" t="inlineStr">
        <is>
          <t>R&amp;R TRANSPORTE E LOGISTICA</t>
        </is>
      </c>
      <c r="G3809" s="27" t="n">
        <v>46225</v>
      </c>
      <c r="H3809" s="14" t="n">
        <v>21.47</v>
      </c>
      <c r="I3809" s="14" t="n">
        <v>0</v>
      </c>
      <c r="J3809" s="14" t="n">
        <v>0</v>
      </c>
      <c r="K3809" s="14" t="n">
        <v>0</v>
      </c>
      <c r="L3809" s="14" t="n">
        <v>0</v>
      </c>
      <c r="M3809" s="14">
        <f>IF(B3809="Frete de venda",0,(1-ISNUMBER(SEARCH("556",P3809)))*(I3809*VLOOKUP($B3809,Premissas!$A$4:$E$7,2,0)+J3809*VLOOKUP($B3809,Premissas!$A$4:$E$7,3,0))+K3809*VLOOKUP($B3809,Premissas!$A$4:$E$7,4,0)+L3809*VLOOKUP($B3809,Premissas!$A$4:$E$7,5,0))</f>
        <v/>
      </c>
      <c r="N3809" s="14">
        <f>H3809-M3809</f>
        <v/>
      </c>
      <c r="O3809" t="inlineStr">
        <is>
          <t>Não</t>
        </is>
      </c>
      <c r="P3809" t="inlineStr">
        <is>
          <t>2.350</t>
        </is>
      </c>
    </row>
    <row r="3810">
      <c r="A3810" s="24" t="n">
        <v>46204</v>
      </c>
      <c r="B3810" t="inlineStr">
        <is>
          <t>Frete de venda</t>
        </is>
      </c>
      <c r="C3810" t="inlineStr">
        <is>
          <t>Frete de venda (para clientes)</t>
        </is>
      </c>
      <c r="D3810" t="inlineStr">
        <is>
          <t>CT-e</t>
        </is>
      </c>
      <c r="E3810" t="inlineStr">
        <is>
          <t>000033945</t>
        </is>
      </c>
      <c r="F3810" t="inlineStr">
        <is>
          <t>PICCOLI LOGISTICA E TRANSPORTES LTDA</t>
        </is>
      </c>
      <c r="G3810" s="27" t="n">
        <v>46204</v>
      </c>
      <c r="H3810" s="14" t="n">
        <v>470.11</v>
      </c>
      <c r="I3810" s="14" t="n">
        <v>0</v>
      </c>
      <c r="J3810" s="14" t="n">
        <v>32.91</v>
      </c>
      <c r="K3810" s="14" t="n">
        <v>0</v>
      </c>
      <c r="L3810" s="14" t="n">
        <v>0</v>
      </c>
      <c r="M3810" s="14">
        <f>IF(B3810="Frete de venda",0,(1-ISNUMBER(SEARCH("556",P3810)))*(I3810*VLOOKUP($B3810,Premissas!$A$4:$E$7,2,0)+J3810*VLOOKUP($B3810,Premissas!$A$4:$E$7,3,0))+K3810*VLOOKUP($B3810,Premissas!$A$4:$E$7,4,0)+L3810*VLOOKUP($B3810,Premissas!$A$4:$E$7,5,0))</f>
        <v/>
      </c>
      <c r="N3810" s="14">
        <f>H3810-M3810</f>
        <v/>
      </c>
      <c r="O3810" t="inlineStr">
        <is>
          <t>Sim</t>
        </is>
      </c>
      <c r="P3810" t="inlineStr">
        <is>
          <t>2.350</t>
        </is>
      </c>
    </row>
    <row r="3811">
      <c r="A3811" s="24" t="n">
        <v>46204</v>
      </c>
      <c r="B3811" t="inlineStr">
        <is>
          <t>Frete de venda</t>
        </is>
      </c>
      <c r="C3811" t="inlineStr">
        <is>
          <t>Frete de venda (para clientes)</t>
        </is>
      </c>
      <c r="D3811" t="inlineStr">
        <is>
          <t>CT-e</t>
        </is>
      </c>
      <c r="E3811" t="inlineStr">
        <is>
          <t>000007722</t>
        </is>
      </c>
      <c r="F3811" t="inlineStr">
        <is>
          <t>R&amp;R TRANSPORTE E LOGISTICA</t>
        </is>
      </c>
      <c r="G3811" s="27" t="n">
        <v>46225</v>
      </c>
      <c r="H3811" s="14" t="n">
        <v>23.09</v>
      </c>
      <c r="I3811" s="14" t="n">
        <v>0</v>
      </c>
      <c r="J3811" s="14" t="n">
        <v>0</v>
      </c>
      <c r="K3811" s="14" t="n">
        <v>0</v>
      </c>
      <c r="L3811" s="14" t="n">
        <v>0</v>
      </c>
      <c r="M3811" s="14">
        <f>IF(B3811="Frete de venda",0,(1-ISNUMBER(SEARCH("556",P3811)))*(I3811*VLOOKUP($B3811,Premissas!$A$4:$E$7,2,0)+J3811*VLOOKUP($B3811,Premissas!$A$4:$E$7,3,0))+K3811*VLOOKUP($B3811,Premissas!$A$4:$E$7,4,0)+L3811*VLOOKUP($B3811,Premissas!$A$4:$E$7,5,0))</f>
        <v/>
      </c>
      <c r="N3811" s="14">
        <f>H3811-M3811</f>
        <v/>
      </c>
      <c r="O3811" t="inlineStr">
        <is>
          <t>Não</t>
        </is>
      </c>
      <c r="P3811" t="inlineStr">
        <is>
          <t>2.350</t>
        </is>
      </c>
    </row>
    <row r="3812">
      <c r="A3812" s="24" t="n">
        <v>46204</v>
      </c>
      <c r="B3812" t="inlineStr">
        <is>
          <t>Frete de venda</t>
        </is>
      </c>
      <c r="C3812" t="inlineStr">
        <is>
          <t>Frete de venda (para clientes)</t>
        </is>
      </c>
      <c r="D3812" t="inlineStr">
        <is>
          <t>CT-e</t>
        </is>
      </c>
      <c r="E3812" t="inlineStr">
        <is>
          <t>000007707</t>
        </is>
      </c>
      <c r="F3812" t="inlineStr">
        <is>
          <t>R&amp;R TRANSPORTE E LOGISTICA</t>
        </is>
      </c>
      <c r="G3812" s="27" t="n">
        <v>46224</v>
      </c>
      <c r="H3812" s="14" t="n">
        <v>53.22</v>
      </c>
      <c r="I3812" s="14" t="n">
        <v>0</v>
      </c>
      <c r="J3812" s="14" t="n">
        <v>0</v>
      </c>
      <c r="K3812" s="14" t="n">
        <v>0</v>
      </c>
      <c r="L3812" s="14" t="n">
        <v>0</v>
      </c>
      <c r="M3812" s="14">
        <f>IF(B3812="Frete de venda",0,(1-ISNUMBER(SEARCH("556",P3812)))*(I3812*VLOOKUP($B3812,Premissas!$A$4:$E$7,2,0)+J3812*VLOOKUP($B3812,Premissas!$A$4:$E$7,3,0))+K3812*VLOOKUP($B3812,Premissas!$A$4:$E$7,4,0)+L3812*VLOOKUP($B3812,Premissas!$A$4:$E$7,5,0))</f>
        <v/>
      </c>
      <c r="N3812" s="14">
        <f>H3812-M3812</f>
        <v/>
      </c>
      <c r="O3812" t="inlineStr">
        <is>
          <t>Não</t>
        </is>
      </c>
      <c r="P3812" t="inlineStr">
        <is>
          <t>2.350</t>
        </is>
      </c>
    </row>
    <row r="3813">
      <c r="A3813" s="24" t="n">
        <v>46204</v>
      </c>
      <c r="B3813" t="inlineStr">
        <is>
          <t>Frete de venda</t>
        </is>
      </c>
      <c r="C3813" t="inlineStr">
        <is>
          <t>Frete de venda (para clientes)</t>
        </is>
      </c>
      <c r="D3813" t="inlineStr">
        <is>
          <t>CT-e</t>
        </is>
      </c>
      <c r="E3813" t="inlineStr">
        <is>
          <t>000005480</t>
        </is>
      </c>
      <c r="F3813" t="inlineStr">
        <is>
          <t>UNIVERSAL CARGAS EXPRESS</t>
        </is>
      </c>
      <c r="G3813" s="27" t="n">
        <v>46231</v>
      </c>
      <c r="H3813" s="14" t="n">
        <v>960</v>
      </c>
      <c r="I3813" s="14" t="n">
        <v>0</v>
      </c>
      <c r="J3813" s="14" t="n">
        <v>0</v>
      </c>
      <c r="K3813" s="14" t="n">
        <v>0</v>
      </c>
      <c r="L3813" s="14" t="n">
        <v>0</v>
      </c>
      <c r="M3813" s="14">
        <f>IF(B3813="Frete de venda",0,(1-ISNUMBER(SEARCH("556",P3813)))*(I3813*VLOOKUP($B3813,Premissas!$A$4:$E$7,2,0)+J3813*VLOOKUP($B3813,Premissas!$A$4:$E$7,3,0))+K3813*VLOOKUP($B3813,Premissas!$A$4:$E$7,4,0)+L3813*VLOOKUP($B3813,Premissas!$A$4:$E$7,5,0))</f>
        <v/>
      </c>
      <c r="N3813" s="14">
        <f>H3813-M3813</f>
        <v/>
      </c>
      <c r="O3813" t="inlineStr">
        <is>
          <t>Sim</t>
        </is>
      </c>
      <c r="P3813" t="inlineStr">
        <is>
          <t>2.350</t>
        </is>
      </c>
    </row>
    <row r="3814">
      <c r="A3814" s="24" t="n">
        <v>46204</v>
      </c>
      <c r="B3814" t="inlineStr">
        <is>
          <t>Frete de venda</t>
        </is>
      </c>
      <c r="C3814" t="inlineStr">
        <is>
          <t>Frete de venda (para clientes)</t>
        </is>
      </c>
      <c r="D3814" t="inlineStr">
        <is>
          <t>CT-e</t>
        </is>
      </c>
      <c r="E3814" t="inlineStr">
        <is>
          <t>000007555</t>
        </is>
      </c>
      <c r="F3814" t="inlineStr">
        <is>
          <t>R&amp;R TRANSPORTE E LOGISTICA</t>
        </is>
      </c>
      <c r="G3814" s="27" t="n">
        <v>46211</v>
      </c>
      <c r="H3814" s="14" t="n">
        <v>31.25</v>
      </c>
      <c r="I3814" s="14" t="n">
        <v>0</v>
      </c>
      <c r="J3814" s="14" t="n">
        <v>0</v>
      </c>
      <c r="K3814" s="14" t="n">
        <v>0</v>
      </c>
      <c r="L3814" s="14" t="n">
        <v>0</v>
      </c>
      <c r="M3814" s="14">
        <f>IF(B3814="Frete de venda",0,(1-ISNUMBER(SEARCH("556",P3814)))*(I3814*VLOOKUP($B3814,Premissas!$A$4:$E$7,2,0)+J3814*VLOOKUP($B3814,Premissas!$A$4:$E$7,3,0))+K3814*VLOOKUP($B3814,Premissas!$A$4:$E$7,4,0)+L3814*VLOOKUP($B3814,Premissas!$A$4:$E$7,5,0))</f>
        <v/>
      </c>
      <c r="N3814" s="14">
        <f>H3814-M3814</f>
        <v/>
      </c>
      <c r="O3814" t="inlineStr">
        <is>
          <t>Não</t>
        </is>
      </c>
      <c r="P3814" t="inlineStr">
        <is>
          <t>2.350</t>
        </is>
      </c>
    </row>
    <row r="3815">
      <c r="A3815" s="24" t="n">
        <v>46204</v>
      </c>
      <c r="B3815" t="inlineStr">
        <is>
          <t>Frete de venda</t>
        </is>
      </c>
      <c r="C3815" t="inlineStr">
        <is>
          <t>Frete de venda (para clientes)</t>
        </is>
      </c>
      <c r="D3815" t="inlineStr">
        <is>
          <t>CT-e</t>
        </is>
      </c>
      <c r="E3815" t="inlineStr">
        <is>
          <t>000007596</t>
        </is>
      </c>
      <c r="F3815" t="inlineStr">
        <is>
          <t>R&amp;R TRANSPORTE E LOGISTICA</t>
        </is>
      </c>
      <c r="G3815" s="27" t="n">
        <v>46213</v>
      </c>
      <c r="H3815" s="14" t="n">
        <v>50.61</v>
      </c>
      <c r="I3815" s="14" t="n">
        <v>0</v>
      </c>
      <c r="J3815" s="14" t="n">
        <v>0</v>
      </c>
      <c r="K3815" s="14" t="n">
        <v>0</v>
      </c>
      <c r="L3815" s="14" t="n">
        <v>0</v>
      </c>
      <c r="M3815" s="14">
        <f>IF(B3815="Frete de venda",0,(1-ISNUMBER(SEARCH("556",P3815)))*(I3815*VLOOKUP($B3815,Premissas!$A$4:$E$7,2,0)+J3815*VLOOKUP($B3815,Premissas!$A$4:$E$7,3,0))+K3815*VLOOKUP($B3815,Premissas!$A$4:$E$7,4,0)+L3815*VLOOKUP($B3815,Premissas!$A$4:$E$7,5,0))</f>
        <v/>
      </c>
      <c r="N3815" s="14">
        <f>H3815-M3815</f>
        <v/>
      </c>
      <c r="O3815" t="inlineStr">
        <is>
          <t>Não</t>
        </is>
      </c>
      <c r="P3815" t="inlineStr">
        <is>
          <t>2.350</t>
        </is>
      </c>
    </row>
    <row r="3816">
      <c r="A3816" s="24" t="n">
        <v>46204</v>
      </c>
      <c r="B3816" t="inlineStr">
        <is>
          <t>Frete de venda</t>
        </is>
      </c>
      <c r="C3816" t="inlineStr">
        <is>
          <t>Frete de venda (para clientes)</t>
        </is>
      </c>
      <c r="D3816" t="inlineStr">
        <is>
          <t>CT-e</t>
        </is>
      </c>
      <c r="E3816" t="inlineStr">
        <is>
          <t>000007563</t>
        </is>
      </c>
      <c r="F3816" t="inlineStr">
        <is>
          <t>R&amp;R TRANSPORTE E LOGISTICA</t>
        </is>
      </c>
      <c r="G3816" s="27" t="n">
        <v>46211</v>
      </c>
      <c r="H3816" s="14" t="n">
        <v>41.24</v>
      </c>
      <c r="I3816" s="14" t="n">
        <v>0</v>
      </c>
      <c r="J3816" s="14" t="n">
        <v>0</v>
      </c>
      <c r="K3816" s="14" t="n">
        <v>0</v>
      </c>
      <c r="L3816" s="14" t="n">
        <v>0</v>
      </c>
      <c r="M3816" s="14">
        <f>IF(B3816="Frete de venda",0,(1-ISNUMBER(SEARCH("556",P3816)))*(I3816*VLOOKUP($B3816,Premissas!$A$4:$E$7,2,0)+J3816*VLOOKUP($B3816,Premissas!$A$4:$E$7,3,0))+K3816*VLOOKUP($B3816,Premissas!$A$4:$E$7,4,0)+L3816*VLOOKUP($B3816,Premissas!$A$4:$E$7,5,0))</f>
        <v/>
      </c>
      <c r="N3816" s="14">
        <f>H3816-M3816</f>
        <v/>
      </c>
      <c r="O3816" t="inlineStr">
        <is>
          <t>Não</t>
        </is>
      </c>
      <c r="P3816" t="inlineStr">
        <is>
          <t>2.350</t>
        </is>
      </c>
    </row>
    <row r="3817">
      <c r="A3817" s="24" t="n">
        <v>46204</v>
      </c>
      <c r="B3817" t="inlineStr">
        <is>
          <t>Frete de venda</t>
        </is>
      </c>
      <c r="C3817" t="inlineStr">
        <is>
          <t>Frete de venda (para clientes)</t>
        </is>
      </c>
      <c r="D3817" t="inlineStr">
        <is>
          <t>CT-e</t>
        </is>
      </c>
      <c r="E3817" t="inlineStr">
        <is>
          <t>000007624</t>
        </is>
      </c>
      <c r="F3817" t="inlineStr">
        <is>
          <t>R&amp;R TRANSPORTE E LOGISTICA</t>
        </is>
      </c>
      <c r="G3817" s="27" t="n">
        <v>46214</v>
      </c>
      <c r="H3817" s="14" t="n">
        <v>250</v>
      </c>
      <c r="I3817" s="14" t="n">
        <v>0</v>
      </c>
      <c r="J3817" s="14" t="n">
        <v>0</v>
      </c>
      <c r="K3817" s="14" t="n">
        <v>0</v>
      </c>
      <c r="L3817" s="14" t="n">
        <v>0</v>
      </c>
      <c r="M3817" s="14">
        <f>IF(B3817="Frete de venda",0,(1-ISNUMBER(SEARCH("556",P3817)))*(I3817*VLOOKUP($B3817,Premissas!$A$4:$E$7,2,0)+J3817*VLOOKUP($B3817,Premissas!$A$4:$E$7,3,0))+K3817*VLOOKUP($B3817,Premissas!$A$4:$E$7,4,0)+L3817*VLOOKUP($B3817,Premissas!$A$4:$E$7,5,0))</f>
        <v/>
      </c>
      <c r="N3817" s="14">
        <f>H3817-M3817</f>
        <v/>
      </c>
      <c r="O3817" t="inlineStr">
        <is>
          <t>Não</t>
        </is>
      </c>
      <c r="P3817" t="inlineStr">
        <is>
          <t>2.350</t>
        </is>
      </c>
    </row>
    <row r="3818">
      <c r="A3818" s="24" t="n">
        <v>46204</v>
      </c>
      <c r="B3818" t="inlineStr">
        <is>
          <t>Frete de venda</t>
        </is>
      </c>
      <c r="C3818" t="inlineStr">
        <is>
          <t>Frete de venda (para clientes)</t>
        </is>
      </c>
      <c r="D3818" t="inlineStr">
        <is>
          <t>CT-e</t>
        </is>
      </c>
      <c r="E3818" t="inlineStr">
        <is>
          <t>000007636</t>
        </is>
      </c>
      <c r="F3818" t="inlineStr">
        <is>
          <t>R&amp;R TRANSPORTE E LOGISTICA</t>
        </is>
      </c>
      <c r="G3818" s="27" t="n">
        <v>46217</v>
      </c>
      <c r="H3818" s="14" t="n">
        <v>780</v>
      </c>
      <c r="I3818" s="14" t="n">
        <v>0</v>
      </c>
      <c r="J3818" s="14" t="n">
        <v>0</v>
      </c>
      <c r="K3818" s="14" t="n">
        <v>0</v>
      </c>
      <c r="L3818" s="14" t="n">
        <v>0</v>
      </c>
      <c r="M3818" s="14">
        <f>IF(B3818="Frete de venda",0,(1-ISNUMBER(SEARCH("556",P3818)))*(I3818*VLOOKUP($B3818,Premissas!$A$4:$E$7,2,0)+J3818*VLOOKUP($B3818,Premissas!$A$4:$E$7,3,0))+K3818*VLOOKUP($B3818,Premissas!$A$4:$E$7,4,0)+L3818*VLOOKUP($B3818,Premissas!$A$4:$E$7,5,0))</f>
        <v/>
      </c>
      <c r="N3818" s="14">
        <f>H3818-M3818</f>
        <v/>
      </c>
      <c r="O3818" t="inlineStr">
        <is>
          <t>Não</t>
        </is>
      </c>
      <c r="P3818" t="inlineStr">
        <is>
          <t>2.350</t>
        </is>
      </c>
    </row>
    <row r="3819">
      <c r="A3819" s="24" t="n">
        <v>46204</v>
      </c>
      <c r="B3819" t="inlineStr">
        <is>
          <t>Frete de venda</t>
        </is>
      </c>
      <c r="C3819" t="inlineStr">
        <is>
          <t>Frete de venda (para clientes)</t>
        </is>
      </c>
      <c r="D3819" t="inlineStr">
        <is>
          <t>CT-e</t>
        </is>
      </c>
      <c r="E3819" t="inlineStr">
        <is>
          <t>000007648</t>
        </is>
      </c>
      <c r="F3819" t="inlineStr">
        <is>
          <t>R&amp;R TRANSPORTE E LOGISTICA</t>
        </is>
      </c>
      <c r="G3819" s="27" t="n">
        <v>46218</v>
      </c>
      <c r="H3819" s="14" t="n">
        <v>925</v>
      </c>
      <c r="I3819" s="14" t="n">
        <v>0</v>
      </c>
      <c r="J3819" s="14" t="n">
        <v>0</v>
      </c>
      <c r="K3819" s="14" t="n">
        <v>0</v>
      </c>
      <c r="L3819" s="14" t="n">
        <v>0</v>
      </c>
      <c r="M3819" s="14">
        <f>IF(B3819="Frete de venda",0,(1-ISNUMBER(SEARCH("556",P3819)))*(I3819*VLOOKUP($B3819,Premissas!$A$4:$E$7,2,0)+J3819*VLOOKUP($B3819,Premissas!$A$4:$E$7,3,0))+K3819*VLOOKUP($B3819,Premissas!$A$4:$E$7,4,0)+L3819*VLOOKUP($B3819,Premissas!$A$4:$E$7,5,0))</f>
        <v/>
      </c>
      <c r="N3819" s="14">
        <f>H3819-M3819</f>
        <v/>
      </c>
      <c r="O3819" t="inlineStr">
        <is>
          <t>Não</t>
        </is>
      </c>
      <c r="P3819" t="inlineStr">
        <is>
          <t>2.350</t>
        </is>
      </c>
    </row>
    <row r="3820">
      <c r="A3820" s="24" t="n">
        <v>46204</v>
      </c>
      <c r="B3820" t="inlineStr">
        <is>
          <t>Frete de venda</t>
        </is>
      </c>
      <c r="C3820" t="inlineStr">
        <is>
          <t>Frete de venda (para clientes)</t>
        </is>
      </c>
      <c r="D3820" t="inlineStr">
        <is>
          <t>CT-e</t>
        </is>
      </c>
      <c r="E3820" t="inlineStr">
        <is>
          <t>000007716</t>
        </is>
      </c>
      <c r="F3820" t="inlineStr">
        <is>
          <t>R&amp;R TRANSPORTE E LOGISTICA</t>
        </is>
      </c>
      <c r="G3820" s="27" t="n">
        <v>46225</v>
      </c>
      <c r="H3820" s="14" t="n">
        <v>360</v>
      </c>
      <c r="I3820" s="14" t="n">
        <v>0</v>
      </c>
      <c r="J3820" s="14" t="n">
        <v>0</v>
      </c>
      <c r="K3820" s="14" t="n">
        <v>0</v>
      </c>
      <c r="L3820" s="14" t="n">
        <v>0</v>
      </c>
      <c r="M3820" s="14">
        <f>IF(B3820="Frete de venda",0,(1-ISNUMBER(SEARCH("556",P3820)))*(I3820*VLOOKUP($B3820,Premissas!$A$4:$E$7,2,0)+J3820*VLOOKUP($B3820,Premissas!$A$4:$E$7,3,0))+K3820*VLOOKUP($B3820,Premissas!$A$4:$E$7,4,0)+L3820*VLOOKUP($B3820,Premissas!$A$4:$E$7,5,0))</f>
        <v/>
      </c>
      <c r="N3820" s="14">
        <f>H3820-M3820</f>
        <v/>
      </c>
      <c r="O3820" t="inlineStr">
        <is>
          <t>Não</t>
        </is>
      </c>
      <c r="P3820" t="inlineStr">
        <is>
          <t>2.350</t>
        </is>
      </c>
    </row>
    <row r="3821">
      <c r="A3821" s="24" t="n">
        <v>46204</v>
      </c>
      <c r="B3821" t="inlineStr">
        <is>
          <t>Frete de venda</t>
        </is>
      </c>
      <c r="C3821" t="inlineStr">
        <is>
          <t>Frete de venda (para clientes)</t>
        </is>
      </c>
      <c r="D3821" t="inlineStr">
        <is>
          <t>CT-e</t>
        </is>
      </c>
      <c r="E3821" t="inlineStr">
        <is>
          <t>000007645</t>
        </is>
      </c>
      <c r="F3821" t="inlineStr">
        <is>
          <t>R&amp;R TRANSPORTE E LOGISTICA</t>
        </is>
      </c>
      <c r="G3821" s="27" t="n">
        <v>46218</v>
      </c>
      <c r="H3821" s="14" t="n">
        <v>925</v>
      </c>
      <c r="I3821" s="14" t="n">
        <v>0</v>
      </c>
      <c r="J3821" s="14" t="n">
        <v>0</v>
      </c>
      <c r="K3821" s="14" t="n">
        <v>0</v>
      </c>
      <c r="L3821" s="14" t="n">
        <v>0</v>
      </c>
      <c r="M3821" s="14">
        <f>IF(B3821="Frete de venda",0,(1-ISNUMBER(SEARCH("556",P3821)))*(I3821*VLOOKUP($B3821,Premissas!$A$4:$E$7,2,0)+J3821*VLOOKUP($B3821,Premissas!$A$4:$E$7,3,0))+K3821*VLOOKUP($B3821,Premissas!$A$4:$E$7,4,0)+L3821*VLOOKUP($B3821,Premissas!$A$4:$E$7,5,0))</f>
        <v/>
      </c>
      <c r="N3821" s="14">
        <f>H3821-M3821</f>
        <v/>
      </c>
      <c r="O3821" t="inlineStr">
        <is>
          <t>Não</t>
        </is>
      </c>
      <c r="P3821" t="inlineStr">
        <is>
          <t>2.350</t>
        </is>
      </c>
    </row>
    <row r="3822">
      <c r="A3822" s="24" t="n">
        <v>46204</v>
      </c>
      <c r="B3822" t="inlineStr">
        <is>
          <t>Frete de venda</t>
        </is>
      </c>
      <c r="C3822" t="inlineStr">
        <is>
          <t>Frete de venda (para clientes)</t>
        </is>
      </c>
      <c r="D3822" t="inlineStr">
        <is>
          <t>CT-e</t>
        </is>
      </c>
      <c r="E3822" t="inlineStr">
        <is>
          <t>000007646</t>
        </is>
      </c>
      <c r="F3822" t="inlineStr">
        <is>
          <t>R&amp;R TRANSPORTE E LOGISTICA</t>
        </is>
      </c>
      <c r="G3822" s="27" t="n">
        <v>46218</v>
      </c>
      <c r="H3822" s="14" t="n">
        <v>925</v>
      </c>
      <c r="I3822" s="14" t="n">
        <v>0</v>
      </c>
      <c r="J3822" s="14" t="n">
        <v>0</v>
      </c>
      <c r="K3822" s="14" t="n">
        <v>0</v>
      </c>
      <c r="L3822" s="14" t="n">
        <v>0</v>
      </c>
      <c r="M3822" s="14">
        <f>IF(B3822="Frete de venda",0,(1-ISNUMBER(SEARCH("556",P3822)))*(I3822*VLOOKUP($B3822,Premissas!$A$4:$E$7,2,0)+J3822*VLOOKUP($B3822,Premissas!$A$4:$E$7,3,0))+K3822*VLOOKUP($B3822,Premissas!$A$4:$E$7,4,0)+L3822*VLOOKUP($B3822,Premissas!$A$4:$E$7,5,0))</f>
        <v/>
      </c>
      <c r="N3822" s="14">
        <f>H3822-M3822</f>
        <v/>
      </c>
      <c r="O3822" t="inlineStr">
        <is>
          <t>Não</t>
        </is>
      </c>
      <c r="P3822" t="inlineStr">
        <is>
          <t>2.350</t>
        </is>
      </c>
    </row>
    <row r="3823">
      <c r="A3823" s="24" t="n">
        <v>46204</v>
      </c>
      <c r="B3823" t="inlineStr">
        <is>
          <t>Frete de venda</t>
        </is>
      </c>
      <c r="C3823" t="inlineStr">
        <is>
          <t>Frete de venda (para clientes)</t>
        </is>
      </c>
      <c r="D3823" t="inlineStr">
        <is>
          <t>CT-e</t>
        </is>
      </c>
      <c r="E3823" t="inlineStr">
        <is>
          <t>000007551</t>
        </is>
      </c>
      <c r="F3823" t="inlineStr">
        <is>
          <t>R&amp;R TRANSPORTE E LOGISTICA</t>
        </is>
      </c>
      <c r="G3823" s="27" t="n">
        <v>46211</v>
      </c>
      <c r="H3823" s="14" t="n">
        <v>33.31</v>
      </c>
      <c r="I3823" s="14" t="n">
        <v>0</v>
      </c>
      <c r="J3823" s="14" t="n">
        <v>0</v>
      </c>
      <c r="K3823" s="14" t="n">
        <v>0</v>
      </c>
      <c r="L3823" s="14" t="n">
        <v>0</v>
      </c>
      <c r="M3823" s="14">
        <f>IF(B3823="Frete de venda",0,(1-ISNUMBER(SEARCH("556",P3823)))*(I3823*VLOOKUP($B3823,Premissas!$A$4:$E$7,2,0)+J3823*VLOOKUP($B3823,Premissas!$A$4:$E$7,3,0))+K3823*VLOOKUP($B3823,Premissas!$A$4:$E$7,4,0)+L3823*VLOOKUP($B3823,Premissas!$A$4:$E$7,5,0))</f>
        <v/>
      </c>
      <c r="N3823" s="14">
        <f>H3823-M3823</f>
        <v/>
      </c>
      <c r="O3823" t="inlineStr">
        <is>
          <t>Não</t>
        </is>
      </c>
      <c r="P3823" t="inlineStr">
        <is>
          <t>2.350</t>
        </is>
      </c>
    </row>
    <row r="3824">
      <c r="A3824" s="24" t="n">
        <v>46204</v>
      </c>
      <c r="B3824" t="inlineStr">
        <is>
          <t>Frete de venda</t>
        </is>
      </c>
      <c r="C3824" t="inlineStr">
        <is>
          <t>Frete de venda (para clientes)</t>
        </is>
      </c>
      <c r="D3824" t="inlineStr">
        <is>
          <t>CT-e</t>
        </is>
      </c>
      <c r="E3824" t="inlineStr">
        <is>
          <t>000007764</t>
        </is>
      </c>
      <c r="F3824" t="inlineStr">
        <is>
          <t>R&amp;R TRANSPORTE E LOGISTICA</t>
        </is>
      </c>
      <c r="G3824" s="27" t="n">
        <v>46227</v>
      </c>
      <c r="H3824" s="14" t="n">
        <v>20.3</v>
      </c>
      <c r="I3824" s="14" t="n">
        <v>0</v>
      </c>
      <c r="J3824" s="14" t="n">
        <v>0</v>
      </c>
      <c r="K3824" s="14" t="n">
        <v>0</v>
      </c>
      <c r="L3824" s="14" t="n">
        <v>0</v>
      </c>
      <c r="M3824" s="14">
        <f>IF(B3824="Frete de venda",0,(1-ISNUMBER(SEARCH("556",P3824)))*(I3824*VLOOKUP($B3824,Premissas!$A$4:$E$7,2,0)+J3824*VLOOKUP($B3824,Premissas!$A$4:$E$7,3,0))+K3824*VLOOKUP($B3824,Premissas!$A$4:$E$7,4,0)+L3824*VLOOKUP($B3824,Premissas!$A$4:$E$7,5,0))</f>
        <v/>
      </c>
      <c r="N3824" s="14">
        <f>H3824-M3824</f>
        <v/>
      </c>
      <c r="O3824" t="inlineStr">
        <is>
          <t>Não</t>
        </is>
      </c>
      <c r="P3824" t="inlineStr">
        <is>
          <t>1.350</t>
        </is>
      </c>
    </row>
    <row r="3825">
      <c r="A3825" s="24" t="n">
        <v>46204</v>
      </c>
      <c r="B3825" t="inlineStr">
        <is>
          <t>Frete de venda</t>
        </is>
      </c>
      <c r="C3825" t="inlineStr">
        <is>
          <t>Frete de venda (para clientes)</t>
        </is>
      </c>
      <c r="D3825" t="inlineStr">
        <is>
          <t>CT-e</t>
        </is>
      </c>
      <c r="E3825" t="inlineStr">
        <is>
          <t>000007597</t>
        </is>
      </c>
      <c r="F3825" t="inlineStr">
        <is>
          <t>R&amp;R TRANSPORTE E LOGISTICA</t>
        </is>
      </c>
      <c r="G3825" s="27" t="n">
        <v>46213</v>
      </c>
      <c r="H3825" s="14" t="n">
        <v>44.92</v>
      </c>
      <c r="I3825" s="14" t="n">
        <v>0</v>
      </c>
      <c r="J3825" s="14" t="n">
        <v>0</v>
      </c>
      <c r="K3825" s="14" t="n">
        <v>0</v>
      </c>
      <c r="L3825" s="14" t="n">
        <v>0</v>
      </c>
      <c r="M3825" s="14">
        <f>IF(B3825="Frete de venda",0,(1-ISNUMBER(SEARCH("556",P3825)))*(I3825*VLOOKUP($B3825,Premissas!$A$4:$E$7,2,0)+J3825*VLOOKUP($B3825,Premissas!$A$4:$E$7,3,0))+K3825*VLOOKUP($B3825,Premissas!$A$4:$E$7,4,0)+L3825*VLOOKUP($B3825,Premissas!$A$4:$E$7,5,0))</f>
        <v/>
      </c>
      <c r="N3825" s="14">
        <f>H3825-M3825</f>
        <v/>
      </c>
      <c r="O3825" t="inlineStr">
        <is>
          <t>Não</t>
        </is>
      </c>
      <c r="P3825" t="inlineStr">
        <is>
          <t>2.350</t>
        </is>
      </c>
    </row>
    <row r="3826">
      <c r="A3826" s="24" t="n">
        <v>46204</v>
      </c>
      <c r="B3826" t="inlineStr">
        <is>
          <t>Frete de venda</t>
        </is>
      </c>
      <c r="C3826" t="inlineStr">
        <is>
          <t>Frete de venda (para clientes)</t>
        </is>
      </c>
      <c r="D3826" t="inlineStr">
        <is>
          <t>CT-e</t>
        </is>
      </c>
      <c r="E3826" t="inlineStr">
        <is>
          <t>000007737</t>
        </is>
      </c>
      <c r="F3826" t="inlineStr">
        <is>
          <t>R&amp;R TRANSPORTE E LOGISTICA</t>
        </is>
      </c>
      <c r="G3826" s="27" t="n">
        <v>46225</v>
      </c>
      <c r="H3826" s="14" t="n">
        <v>25.94</v>
      </c>
      <c r="I3826" s="14" t="n">
        <v>0</v>
      </c>
      <c r="J3826" s="14" t="n">
        <v>0</v>
      </c>
      <c r="K3826" s="14" t="n">
        <v>0</v>
      </c>
      <c r="L3826" s="14" t="n">
        <v>0</v>
      </c>
      <c r="M3826" s="14">
        <f>IF(B3826="Frete de venda",0,(1-ISNUMBER(SEARCH("556",P3826)))*(I3826*VLOOKUP($B3826,Premissas!$A$4:$E$7,2,0)+J3826*VLOOKUP($B3826,Premissas!$A$4:$E$7,3,0))+K3826*VLOOKUP($B3826,Premissas!$A$4:$E$7,4,0)+L3826*VLOOKUP($B3826,Premissas!$A$4:$E$7,5,0))</f>
        <v/>
      </c>
      <c r="N3826" s="14">
        <f>H3826-M3826</f>
        <v/>
      </c>
      <c r="O3826" t="inlineStr">
        <is>
          <t>Não</t>
        </is>
      </c>
      <c r="P3826" t="inlineStr">
        <is>
          <t>2.350</t>
        </is>
      </c>
    </row>
    <row r="3827">
      <c r="A3827" s="24" t="n">
        <v>46204</v>
      </c>
      <c r="B3827" t="inlineStr">
        <is>
          <t>Frete de venda</t>
        </is>
      </c>
      <c r="C3827" t="inlineStr">
        <is>
          <t>Frete de venda (para clientes)</t>
        </is>
      </c>
      <c r="D3827" t="inlineStr">
        <is>
          <t>CT-e</t>
        </is>
      </c>
      <c r="E3827" t="inlineStr">
        <is>
          <t>000007609</t>
        </is>
      </c>
      <c r="F3827" t="inlineStr">
        <is>
          <t>R&amp;R TRANSPORTE E LOGISTICA</t>
        </is>
      </c>
      <c r="G3827" s="27" t="n">
        <v>46214</v>
      </c>
      <c r="H3827" s="14" t="n">
        <v>38.61</v>
      </c>
      <c r="I3827" s="14" t="n">
        <v>0</v>
      </c>
      <c r="J3827" s="14" t="n">
        <v>0</v>
      </c>
      <c r="K3827" s="14" t="n">
        <v>0</v>
      </c>
      <c r="L3827" s="14" t="n">
        <v>0</v>
      </c>
      <c r="M3827" s="14">
        <f>IF(B3827="Frete de venda",0,(1-ISNUMBER(SEARCH("556",P3827)))*(I3827*VLOOKUP($B3827,Premissas!$A$4:$E$7,2,0)+J3827*VLOOKUP($B3827,Premissas!$A$4:$E$7,3,0))+K3827*VLOOKUP($B3827,Premissas!$A$4:$E$7,4,0)+L3827*VLOOKUP($B3827,Premissas!$A$4:$E$7,5,0))</f>
        <v/>
      </c>
      <c r="N3827" s="14">
        <f>H3827-M3827</f>
        <v/>
      </c>
      <c r="O3827" t="inlineStr">
        <is>
          <t>Não</t>
        </is>
      </c>
      <c r="P3827" t="inlineStr">
        <is>
          <t>2.350</t>
        </is>
      </c>
    </row>
    <row r="3828">
      <c r="A3828" s="24" t="n">
        <v>46204</v>
      </c>
      <c r="B3828" t="inlineStr">
        <is>
          <t>Frete de venda</t>
        </is>
      </c>
      <c r="C3828" t="inlineStr">
        <is>
          <t>Frete de venda (para clientes)</t>
        </is>
      </c>
      <c r="D3828" t="inlineStr">
        <is>
          <t>CT-e</t>
        </is>
      </c>
      <c r="E3828" t="inlineStr">
        <is>
          <t>000007608</t>
        </is>
      </c>
      <c r="F3828" t="inlineStr">
        <is>
          <t>R&amp;R TRANSPORTE E LOGISTICA</t>
        </is>
      </c>
      <c r="G3828" s="27" t="n">
        <v>46214</v>
      </c>
      <c r="H3828" s="14" t="n">
        <v>38.61</v>
      </c>
      <c r="I3828" s="14" t="n">
        <v>0</v>
      </c>
      <c r="J3828" s="14" t="n">
        <v>0</v>
      </c>
      <c r="K3828" s="14" t="n">
        <v>0</v>
      </c>
      <c r="L3828" s="14" t="n">
        <v>0</v>
      </c>
      <c r="M3828" s="14">
        <f>IF(B3828="Frete de venda",0,(1-ISNUMBER(SEARCH("556",P3828)))*(I3828*VLOOKUP($B3828,Premissas!$A$4:$E$7,2,0)+J3828*VLOOKUP($B3828,Premissas!$A$4:$E$7,3,0))+K3828*VLOOKUP($B3828,Premissas!$A$4:$E$7,4,0)+L3828*VLOOKUP($B3828,Premissas!$A$4:$E$7,5,0))</f>
        <v/>
      </c>
      <c r="N3828" s="14">
        <f>H3828-M3828</f>
        <v/>
      </c>
      <c r="O3828" t="inlineStr">
        <is>
          <t>Não</t>
        </is>
      </c>
      <c r="P3828" t="inlineStr">
        <is>
          <t>2.350</t>
        </is>
      </c>
    </row>
    <row r="3829">
      <c r="A3829" s="24" t="n">
        <v>46204</v>
      </c>
      <c r="B3829" t="inlineStr">
        <is>
          <t>Frete de venda</t>
        </is>
      </c>
      <c r="C3829" t="inlineStr">
        <is>
          <t>Frete de venda (para clientes)</t>
        </is>
      </c>
      <c r="D3829" t="inlineStr">
        <is>
          <t>CT-e</t>
        </is>
      </c>
      <c r="E3829" t="inlineStr">
        <is>
          <t>000007641</t>
        </is>
      </c>
      <c r="F3829" t="inlineStr">
        <is>
          <t>R&amp;R TRANSPORTE E LOGISTICA</t>
        </is>
      </c>
      <c r="G3829" s="27" t="n">
        <v>46217</v>
      </c>
      <c r="H3829" s="14" t="n">
        <v>86.62</v>
      </c>
      <c r="I3829" s="14" t="n">
        <v>0</v>
      </c>
      <c r="J3829" s="14" t="n">
        <v>0</v>
      </c>
      <c r="K3829" s="14" t="n">
        <v>0</v>
      </c>
      <c r="L3829" s="14" t="n">
        <v>0</v>
      </c>
      <c r="M3829" s="14">
        <f>IF(B3829="Frete de venda",0,(1-ISNUMBER(SEARCH("556",P3829)))*(I3829*VLOOKUP($B3829,Premissas!$A$4:$E$7,2,0)+J3829*VLOOKUP($B3829,Premissas!$A$4:$E$7,3,0))+K3829*VLOOKUP($B3829,Premissas!$A$4:$E$7,4,0)+L3829*VLOOKUP($B3829,Premissas!$A$4:$E$7,5,0))</f>
        <v/>
      </c>
      <c r="N3829" s="14">
        <f>H3829-M3829</f>
        <v/>
      </c>
      <c r="O3829" t="inlineStr">
        <is>
          <t>Não</t>
        </is>
      </c>
      <c r="P3829" t="inlineStr">
        <is>
          <t>2.350</t>
        </is>
      </c>
    </row>
    <row r="3830">
      <c r="A3830" s="24" t="n">
        <v>46204</v>
      </c>
      <c r="B3830" t="inlineStr">
        <is>
          <t>Frete de venda</t>
        </is>
      </c>
      <c r="C3830" t="inlineStr">
        <is>
          <t>Frete de venda (para clientes)</t>
        </is>
      </c>
      <c r="D3830" t="inlineStr">
        <is>
          <t>CT-e</t>
        </is>
      </c>
      <c r="E3830" t="inlineStr">
        <is>
          <t>000007583</t>
        </is>
      </c>
      <c r="F3830" t="inlineStr">
        <is>
          <t>R&amp;R TRANSPORTE E LOGISTICA</t>
        </is>
      </c>
      <c r="G3830" s="27" t="n">
        <v>46212</v>
      </c>
      <c r="H3830" s="14" t="n">
        <v>24.09</v>
      </c>
      <c r="I3830" s="14" t="n">
        <v>0</v>
      </c>
      <c r="J3830" s="14" t="n">
        <v>0</v>
      </c>
      <c r="K3830" s="14" t="n">
        <v>0</v>
      </c>
      <c r="L3830" s="14" t="n">
        <v>0</v>
      </c>
      <c r="M3830" s="14">
        <f>IF(B3830="Frete de venda",0,(1-ISNUMBER(SEARCH("556",P3830)))*(I3830*VLOOKUP($B3830,Premissas!$A$4:$E$7,2,0)+J3830*VLOOKUP($B3830,Premissas!$A$4:$E$7,3,0))+K3830*VLOOKUP($B3830,Premissas!$A$4:$E$7,4,0)+L3830*VLOOKUP($B3830,Premissas!$A$4:$E$7,5,0))</f>
        <v/>
      </c>
      <c r="N3830" s="14">
        <f>H3830-M3830</f>
        <v/>
      </c>
      <c r="O3830" t="inlineStr">
        <is>
          <t>Não</t>
        </is>
      </c>
      <c r="P3830" t="inlineStr">
        <is>
          <t>2.350</t>
        </is>
      </c>
    </row>
    <row r="3831">
      <c r="A3831" s="24" t="n">
        <v>46204</v>
      </c>
      <c r="B3831" t="inlineStr">
        <is>
          <t>Frete de venda</t>
        </is>
      </c>
      <c r="C3831" t="inlineStr">
        <is>
          <t>Frete de venda (para clientes)</t>
        </is>
      </c>
      <c r="D3831" t="inlineStr">
        <is>
          <t>CT-e</t>
        </is>
      </c>
      <c r="E3831" t="inlineStr">
        <is>
          <t>000007695</t>
        </is>
      </c>
      <c r="F3831" t="inlineStr">
        <is>
          <t>R&amp;R TRANSPORTE E LOGISTICA</t>
        </is>
      </c>
      <c r="G3831" s="27" t="n">
        <v>46223</v>
      </c>
      <c r="H3831" s="14" t="n">
        <v>39.07</v>
      </c>
      <c r="I3831" s="14" t="n">
        <v>0</v>
      </c>
      <c r="J3831" s="14" t="n">
        <v>0</v>
      </c>
      <c r="K3831" s="14" t="n">
        <v>0</v>
      </c>
      <c r="L3831" s="14" t="n">
        <v>0</v>
      </c>
      <c r="M3831" s="14">
        <f>IF(B3831="Frete de venda",0,(1-ISNUMBER(SEARCH("556",P3831)))*(I3831*VLOOKUP($B3831,Premissas!$A$4:$E$7,2,0)+J3831*VLOOKUP($B3831,Premissas!$A$4:$E$7,3,0))+K3831*VLOOKUP($B3831,Premissas!$A$4:$E$7,4,0)+L3831*VLOOKUP($B3831,Premissas!$A$4:$E$7,5,0))</f>
        <v/>
      </c>
      <c r="N3831" s="14">
        <f>H3831-M3831</f>
        <v/>
      </c>
      <c r="O3831" t="inlineStr">
        <is>
          <t>Não</t>
        </is>
      </c>
      <c r="P3831" t="inlineStr">
        <is>
          <t>2.350</t>
        </is>
      </c>
    </row>
    <row r="3832">
      <c r="A3832" s="24" t="n">
        <v>46204</v>
      </c>
      <c r="B3832" t="inlineStr">
        <is>
          <t>Frete de venda</t>
        </is>
      </c>
      <c r="C3832" t="inlineStr">
        <is>
          <t>Frete de venda (para clientes)</t>
        </is>
      </c>
      <c r="D3832" t="inlineStr">
        <is>
          <t>CT-e</t>
        </is>
      </c>
      <c r="E3832" t="inlineStr">
        <is>
          <t>000007811</t>
        </is>
      </c>
      <c r="F3832" t="inlineStr">
        <is>
          <t>R&amp;R TRANSPORTE E LOGISTICA</t>
        </is>
      </c>
      <c r="G3832" s="27" t="n">
        <v>46234</v>
      </c>
      <c r="H3832" s="14" t="n">
        <v>58.57</v>
      </c>
      <c r="I3832" s="14" t="n">
        <v>0</v>
      </c>
      <c r="J3832" s="14" t="n">
        <v>0</v>
      </c>
      <c r="K3832" s="14" t="n">
        <v>0</v>
      </c>
      <c r="L3832" s="14" t="n">
        <v>0</v>
      </c>
      <c r="M3832" s="14">
        <f>IF(B3832="Frete de venda",0,(1-ISNUMBER(SEARCH("556",P3832)))*(I3832*VLOOKUP($B3832,Premissas!$A$4:$E$7,2,0)+J3832*VLOOKUP($B3832,Premissas!$A$4:$E$7,3,0))+K3832*VLOOKUP($B3832,Premissas!$A$4:$E$7,4,0)+L3832*VLOOKUP($B3832,Premissas!$A$4:$E$7,5,0))</f>
        <v/>
      </c>
      <c r="N3832" s="14">
        <f>H3832-M3832</f>
        <v/>
      </c>
      <c r="O3832" t="inlineStr">
        <is>
          <t>Não</t>
        </is>
      </c>
      <c r="P3832" t="inlineStr">
        <is>
          <t>2.350</t>
        </is>
      </c>
    </row>
    <row r="3833">
      <c r="A3833" s="24" t="n">
        <v>46204</v>
      </c>
      <c r="B3833" t="inlineStr">
        <is>
          <t>Frete de venda</t>
        </is>
      </c>
      <c r="C3833" t="inlineStr">
        <is>
          <t>Frete de venda (para clientes)</t>
        </is>
      </c>
      <c r="D3833" t="inlineStr">
        <is>
          <t>CT-e</t>
        </is>
      </c>
      <c r="E3833" t="inlineStr">
        <is>
          <t>000007603</t>
        </is>
      </c>
      <c r="F3833" t="inlineStr">
        <is>
          <t>R&amp;R TRANSPORTE E LOGISTICA</t>
        </is>
      </c>
      <c r="G3833" s="27" t="n">
        <v>46214</v>
      </c>
      <c r="H3833" s="14" t="n">
        <v>38.61</v>
      </c>
      <c r="I3833" s="14" t="n">
        <v>0</v>
      </c>
      <c r="J3833" s="14" t="n">
        <v>0</v>
      </c>
      <c r="K3833" s="14" t="n">
        <v>0</v>
      </c>
      <c r="L3833" s="14" t="n">
        <v>0</v>
      </c>
      <c r="M3833" s="14">
        <f>IF(B3833="Frete de venda",0,(1-ISNUMBER(SEARCH("556",P3833)))*(I3833*VLOOKUP($B3833,Premissas!$A$4:$E$7,2,0)+J3833*VLOOKUP($B3833,Premissas!$A$4:$E$7,3,0))+K3833*VLOOKUP($B3833,Premissas!$A$4:$E$7,4,0)+L3833*VLOOKUP($B3833,Premissas!$A$4:$E$7,5,0))</f>
        <v/>
      </c>
      <c r="N3833" s="14">
        <f>H3833-M3833</f>
        <v/>
      </c>
      <c r="O3833" t="inlineStr">
        <is>
          <t>Não</t>
        </is>
      </c>
      <c r="P3833" t="inlineStr">
        <is>
          <t>2.350</t>
        </is>
      </c>
    </row>
    <row r="3834">
      <c r="A3834" s="24" t="n">
        <v>46204</v>
      </c>
      <c r="B3834" t="inlineStr">
        <is>
          <t>Frete de venda</t>
        </is>
      </c>
      <c r="C3834" t="inlineStr">
        <is>
          <t>Frete de venda (para clientes)</t>
        </is>
      </c>
      <c r="D3834" t="inlineStr">
        <is>
          <t>CT-e</t>
        </is>
      </c>
      <c r="E3834" t="inlineStr">
        <is>
          <t>000007666</t>
        </is>
      </c>
      <c r="F3834" t="inlineStr">
        <is>
          <t>R&amp;R TRANSPORTE E LOGISTICA</t>
        </is>
      </c>
      <c r="G3834" s="27" t="n">
        <v>46219</v>
      </c>
      <c r="H3834" s="14" t="n">
        <v>110.89</v>
      </c>
      <c r="I3834" s="14" t="n">
        <v>0</v>
      </c>
      <c r="J3834" s="14" t="n">
        <v>0</v>
      </c>
      <c r="K3834" s="14" t="n">
        <v>0</v>
      </c>
      <c r="L3834" s="14" t="n">
        <v>0</v>
      </c>
      <c r="M3834" s="14">
        <f>IF(B3834="Frete de venda",0,(1-ISNUMBER(SEARCH("556",P3834)))*(I3834*VLOOKUP($B3834,Premissas!$A$4:$E$7,2,0)+J3834*VLOOKUP($B3834,Premissas!$A$4:$E$7,3,0))+K3834*VLOOKUP($B3834,Premissas!$A$4:$E$7,4,0)+L3834*VLOOKUP($B3834,Premissas!$A$4:$E$7,5,0))</f>
        <v/>
      </c>
      <c r="N3834" s="14">
        <f>H3834-M3834</f>
        <v/>
      </c>
      <c r="O3834" t="inlineStr">
        <is>
          <t>Não</t>
        </is>
      </c>
      <c r="P3834" t="inlineStr">
        <is>
          <t>2.350</t>
        </is>
      </c>
    </row>
    <row r="3835">
      <c r="A3835" s="24" t="n">
        <v>46204</v>
      </c>
      <c r="B3835" t="inlineStr">
        <is>
          <t>Frete de venda</t>
        </is>
      </c>
      <c r="C3835" t="inlineStr">
        <is>
          <t>Frete de venda (para clientes)</t>
        </is>
      </c>
      <c r="D3835" t="inlineStr">
        <is>
          <t>CT-e</t>
        </is>
      </c>
      <c r="E3835" t="inlineStr">
        <is>
          <t>000007750</t>
        </is>
      </c>
      <c r="F3835" t="inlineStr">
        <is>
          <t>R&amp;R TRANSPORTE E LOGISTICA</t>
        </is>
      </c>
      <c r="G3835" s="27" t="n">
        <v>46226</v>
      </c>
      <c r="H3835" s="14" t="n">
        <v>31.52</v>
      </c>
      <c r="I3835" s="14" t="n">
        <v>0</v>
      </c>
      <c r="J3835" s="14" t="n">
        <v>0</v>
      </c>
      <c r="K3835" s="14" t="n">
        <v>0</v>
      </c>
      <c r="L3835" s="14" t="n">
        <v>0</v>
      </c>
      <c r="M3835" s="14">
        <f>IF(B3835="Frete de venda",0,(1-ISNUMBER(SEARCH("556",P3835)))*(I3835*VLOOKUP($B3835,Premissas!$A$4:$E$7,2,0)+J3835*VLOOKUP($B3835,Premissas!$A$4:$E$7,3,0))+K3835*VLOOKUP($B3835,Premissas!$A$4:$E$7,4,0)+L3835*VLOOKUP($B3835,Premissas!$A$4:$E$7,5,0))</f>
        <v/>
      </c>
      <c r="N3835" s="14">
        <f>H3835-M3835</f>
        <v/>
      </c>
      <c r="O3835" t="inlineStr">
        <is>
          <t>Não</t>
        </is>
      </c>
      <c r="P3835" t="inlineStr">
        <is>
          <t>1.350</t>
        </is>
      </c>
    </row>
    <row r="3836">
      <c r="A3836" s="24" t="n">
        <v>46204</v>
      </c>
      <c r="B3836" t="inlineStr">
        <is>
          <t>Frete de venda</t>
        </is>
      </c>
      <c r="C3836" t="inlineStr">
        <is>
          <t>Frete de venda (para clientes)</t>
        </is>
      </c>
      <c r="D3836" t="inlineStr">
        <is>
          <t>CT-e</t>
        </is>
      </c>
      <c r="E3836" t="inlineStr">
        <is>
          <t>000007705</t>
        </is>
      </c>
      <c r="F3836" t="inlineStr">
        <is>
          <t>R&amp;R TRANSPORTE E LOGISTICA</t>
        </is>
      </c>
      <c r="G3836" s="27" t="n">
        <v>46224</v>
      </c>
      <c r="H3836" s="14" t="n">
        <v>58.09</v>
      </c>
      <c r="I3836" s="14" t="n">
        <v>0</v>
      </c>
      <c r="J3836" s="14" t="n">
        <v>0</v>
      </c>
      <c r="K3836" s="14" t="n">
        <v>0</v>
      </c>
      <c r="L3836" s="14" t="n">
        <v>0</v>
      </c>
      <c r="M3836" s="14">
        <f>IF(B3836="Frete de venda",0,(1-ISNUMBER(SEARCH("556",P3836)))*(I3836*VLOOKUP($B3836,Premissas!$A$4:$E$7,2,0)+J3836*VLOOKUP($B3836,Premissas!$A$4:$E$7,3,0))+K3836*VLOOKUP($B3836,Premissas!$A$4:$E$7,4,0)+L3836*VLOOKUP($B3836,Premissas!$A$4:$E$7,5,0))</f>
        <v/>
      </c>
      <c r="N3836" s="14">
        <f>H3836-M3836</f>
        <v/>
      </c>
      <c r="O3836" t="inlineStr">
        <is>
          <t>Não</t>
        </is>
      </c>
      <c r="P3836" t="inlineStr">
        <is>
          <t>2.350</t>
        </is>
      </c>
    </row>
    <row r="3837">
      <c r="A3837" s="24" t="n">
        <v>46204</v>
      </c>
      <c r="B3837" t="inlineStr">
        <is>
          <t>Frete de venda</t>
        </is>
      </c>
      <c r="C3837" t="inlineStr">
        <is>
          <t>Frete de venda (para clientes)</t>
        </is>
      </c>
      <c r="D3837" t="inlineStr">
        <is>
          <t>CT-e</t>
        </is>
      </c>
      <c r="E3837" t="inlineStr">
        <is>
          <t>000007693</t>
        </is>
      </c>
      <c r="F3837" t="inlineStr">
        <is>
          <t>R&amp;R TRANSPORTE E LOGISTICA</t>
        </is>
      </c>
      <c r="G3837" s="27" t="n">
        <v>46223</v>
      </c>
      <c r="H3837" s="14" t="n">
        <v>54.17</v>
      </c>
      <c r="I3837" s="14" t="n">
        <v>0</v>
      </c>
      <c r="J3837" s="14" t="n">
        <v>0</v>
      </c>
      <c r="K3837" s="14" t="n">
        <v>0</v>
      </c>
      <c r="L3837" s="14" t="n">
        <v>0</v>
      </c>
      <c r="M3837" s="14">
        <f>IF(B3837="Frete de venda",0,(1-ISNUMBER(SEARCH("556",P3837)))*(I3837*VLOOKUP($B3837,Premissas!$A$4:$E$7,2,0)+J3837*VLOOKUP($B3837,Premissas!$A$4:$E$7,3,0))+K3837*VLOOKUP($B3837,Premissas!$A$4:$E$7,4,0)+L3837*VLOOKUP($B3837,Premissas!$A$4:$E$7,5,0))</f>
        <v/>
      </c>
      <c r="N3837" s="14">
        <f>H3837-M3837</f>
        <v/>
      </c>
      <c r="O3837" t="inlineStr">
        <is>
          <t>Não</t>
        </is>
      </c>
      <c r="P3837" t="inlineStr">
        <is>
          <t>2.350</t>
        </is>
      </c>
    </row>
    <row r="3838">
      <c r="A3838" s="24" t="n">
        <v>46204</v>
      </c>
      <c r="B3838" t="inlineStr">
        <is>
          <t>Frete de venda</t>
        </is>
      </c>
      <c r="C3838" t="inlineStr">
        <is>
          <t>Frete de venda (para clientes)</t>
        </is>
      </c>
      <c r="D3838" t="inlineStr">
        <is>
          <t>CT-e</t>
        </is>
      </c>
      <c r="E3838" t="inlineStr">
        <is>
          <t>000007726</t>
        </is>
      </c>
      <c r="F3838" t="inlineStr">
        <is>
          <t>R&amp;R TRANSPORTE E LOGISTICA</t>
        </is>
      </c>
      <c r="G3838" s="27" t="n">
        <v>46225</v>
      </c>
      <c r="H3838" s="14" t="n">
        <v>21.17</v>
      </c>
      <c r="I3838" s="14" t="n">
        <v>0</v>
      </c>
      <c r="J3838" s="14" t="n">
        <v>0</v>
      </c>
      <c r="K3838" s="14" t="n">
        <v>0</v>
      </c>
      <c r="L3838" s="14" t="n">
        <v>0</v>
      </c>
      <c r="M3838" s="14">
        <f>IF(B3838="Frete de venda",0,(1-ISNUMBER(SEARCH("556",P3838)))*(I3838*VLOOKUP($B3838,Premissas!$A$4:$E$7,2,0)+J3838*VLOOKUP($B3838,Premissas!$A$4:$E$7,3,0))+K3838*VLOOKUP($B3838,Premissas!$A$4:$E$7,4,0)+L3838*VLOOKUP($B3838,Premissas!$A$4:$E$7,5,0))</f>
        <v/>
      </c>
      <c r="N3838" s="14">
        <f>H3838-M3838</f>
        <v/>
      </c>
      <c r="O3838" t="inlineStr">
        <is>
          <t>Não</t>
        </is>
      </c>
      <c r="P3838" t="inlineStr">
        <is>
          <t>2.350</t>
        </is>
      </c>
    </row>
    <row r="3839">
      <c r="A3839" s="24" t="n">
        <v>46204</v>
      </c>
      <c r="B3839" t="inlineStr">
        <is>
          <t>Frete de venda</t>
        </is>
      </c>
      <c r="C3839" t="inlineStr">
        <is>
          <t>Frete de venda (para clientes)</t>
        </is>
      </c>
      <c r="D3839" t="inlineStr">
        <is>
          <t>CT-e</t>
        </is>
      </c>
      <c r="E3839" t="inlineStr">
        <is>
          <t>000007684</t>
        </is>
      </c>
      <c r="F3839" t="inlineStr">
        <is>
          <t>R&amp;R TRANSPORTE E LOGISTICA</t>
        </is>
      </c>
      <c r="G3839" s="27" t="n">
        <v>46223</v>
      </c>
      <c r="H3839" s="14" t="n">
        <v>1400</v>
      </c>
      <c r="I3839" s="14" t="n">
        <v>0</v>
      </c>
      <c r="J3839" s="14" t="n">
        <v>0</v>
      </c>
      <c r="K3839" s="14" t="n">
        <v>0</v>
      </c>
      <c r="L3839" s="14" t="n">
        <v>0</v>
      </c>
      <c r="M3839" s="14">
        <f>IF(B3839="Frete de venda",0,(1-ISNUMBER(SEARCH("556",P3839)))*(I3839*VLOOKUP($B3839,Premissas!$A$4:$E$7,2,0)+J3839*VLOOKUP($B3839,Premissas!$A$4:$E$7,3,0))+K3839*VLOOKUP($B3839,Premissas!$A$4:$E$7,4,0)+L3839*VLOOKUP($B3839,Premissas!$A$4:$E$7,5,0))</f>
        <v/>
      </c>
      <c r="N3839" s="14">
        <f>H3839-M3839</f>
        <v/>
      </c>
      <c r="O3839" t="inlineStr">
        <is>
          <t>Não</t>
        </is>
      </c>
      <c r="P3839" t="inlineStr">
        <is>
          <t>2.350</t>
        </is>
      </c>
    </row>
    <row r="3840">
      <c r="A3840" s="24" t="n">
        <v>46204</v>
      </c>
      <c r="B3840" t="inlineStr">
        <is>
          <t>Frete de venda</t>
        </is>
      </c>
      <c r="C3840" t="inlineStr">
        <is>
          <t>Frete de venda (para clientes)</t>
        </is>
      </c>
      <c r="D3840" t="inlineStr">
        <is>
          <t>CT-e</t>
        </is>
      </c>
      <c r="E3840" t="inlineStr">
        <is>
          <t>000026344</t>
        </is>
      </c>
      <c r="F3840" t="inlineStr">
        <is>
          <t>DR CARGO TRANSPORTE DE CARGAS LTDA</t>
        </is>
      </c>
      <c r="G3840" s="27" t="n">
        <v>46233</v>
      </c>
      <c r="H3840" s="14" t="n">
        <v>230.83</v>
      </c>
      <c r="I3840" s="14" t="n">
        <v>0</v>
      </c>
      <c r="J3840" s="14" t="n">
        <v>27.7</v>
      </c>
      <c r="K3840" s="14" t="n">
        <v>0</v>
      </c>
      <c r="L3840" s="14" t="n">
        <v>0</v>
      </c>
      <c r="M3840" s="14">
        <f>IF(B3840="Frete de venda",0,(1-ISNUMBER(SEARCH("556",P3840)))*(I3840*VLOOKUP($B3840,Premissas!$A$4:$E$7,2,0)+J3840*VLOOKUP($B3840,Premissas!$A$4:$E$7,3,0))+K3840*VLOOKUP($B3840,Premissas!$A$4:$E$7,4,0)+L3840*VLOOKUP($B3840,Premissas!$A$4:$E$7,5,0))</f>
        <v/>
      </c>
      <c r="N3840" s="14">
        <f>H3840-M3840</f>
        <v/>
      </c>
      <c r="O3840" t="inlineStr">
        <is>
          <t>Sim</t>
        </is>
      </c>
      <c r="P3840" t="inlineStr">
        <is>
          <t>2.350</t>
        </is>
      </c>
    </row>
    <row r="3841">
      <c r="A3841" s="24" t="n">
        <v>46204</v>
      </c>
      <c r="B3841" t="inlineStr">
        <is>
          <t>Frete de venda</t>
        </is>
      </c>
      <c r="C3841" t="inlineStr">
        <is>
          <t>Frete de venda (para clientes)</t>
        </is>
      </c>
      <c r="D3841" t="inlineStr">
        <is>
          <t>CT-e</t>
        </is>
      </c>
      <c r="E3841" t="inlineStr">
        <is>
          <t>000007575</t>
        </is>
      </c>
      <c r="F3841" t="inlineStr">
        <is>
          <t>R&amp;R TRANSPORTE E LOGISTICA</t>
        </is>
      </c>
      <c r="G3841" s="27" t="n">
        <v>46212</v>
      </c>
      <c r="H3841" s="14" t="n">
        <v>24.09</v>
      </c>
      <c r="I3841" s="14" t="n">
        <v>0</v>
      </c>
      <c r="J3841" s="14" t="n">
        <v>0</v>
      </c>
      <c r="K3841" s="14" t="n">
        <v>0</v>
      </c>
      <c r="L3841" s="14" t="n">
        <v>0</v>
      </c>
      <c r="M3841" s="14">
        <f>IF(B3841="Frete de venda",0,(1-ISNUMBER(SEARCH("556",P3841)))*(I3841*VLOOKUP($B3841,Premissas!$A$4:$E$7,2,0)+J3841*VLOOKUP($B3841,Premissas!$A$4:$E$7,3,0))+K3841*VLOOKUP($B3841,Premissas!$A$4:$E$7,4,0)+L3841*VLOOKUP($B3841,Premissas!$A$4:$E$7,5,0))</f>
        <v/>
      </c>
      <c r="N3841" s="14">
        <f>H3841-M3841</f>
        <v/>
      </c>
      <c r="O3841" t="inlineStr">
        <is>
          <t>Não</t>
        </is>
      </c>
      <c r="P3841" t="inlineStr">
        <is>
          <t>2.350</t>
        </is>
      </c>
    </row>
    <row r="3842">
      <c r="A3842" s="24" t="n">
        <v>46204</v>
      </c>
      <c r="B3842" t="inlineStr">
        <is>
          <t>Frete de venda</t>
        </is>
      </c>
      <c r="C3842" t="inlineStr">
        <is>
          <t>Frete de venda (para clientes)</t>
        </is>
      </c>
      <c r="D3842" t="inlineStr">
        <is>
          <t>CT-e</t>
        </is>
      </c>
      <c r="E3842" t="inlineStr">
        <is>
          <t>000007780</t>
        </is>
      </c>
      <c r="F3842" t="inlineStr">
        <is>
          <t>R&amp;R TRANSPORTE E LOGISTICA</t>
        </is>
      </c>
      <c r="G3842" s="27" t="n">
        <v>46227</v>
      </c>
      <c r="H3842" s="14" t="n">
        <v>61.05</v>
      </c>
      <c r="I3842" s="14" t="n">
        <v>0</v>
      </c>
      <c r="J3842" s="14" t="n">
        <v>0</v>
      </c>
      <c r="K3842" s="14" t="n">
        <v>0</v>
      </c>
      <c r="L3842" s="14" t="n">
        <v>0</v>
      </c>
      <c r="M3842" s="14">
        <f>IF(B3842="Frete de venda",0,(1-ISNUMBER(SEARCH("556",P3842)))*(I3842*VLOOKUP($B3842,Premissas!$A$4:$E$7,2,0)+J3842*VLOOKUP($B3842,Premissas!$A$4:$E$7,3,0))+K3842*VLOOKUP($B3842,Premissas!$A$4:$E$7,4,0)+L3842*VLOOKUP($B3842,Premissas!$A$4:$E$7,5,0))</f>
        <v/>
      </c>
      <c r="N3842" s="14">
        <f>H3842-M3842</f>
        <v/>
      </c>
      <c r="O3842" t="inlineStr">
        <is>
          <t>Não</t>
        </is>
      </c>
      <c r="P3842" t="inlineStr">
        <is>
          <t>1.350</t>
        </is>
      </c>
    </row>
    <row r="3843">
      <c r="A3843" s="24" t="n">
        <v>46204</v>
      </c>
      <c r="B3843" t="inlineStr">
        <is>
          <t>Frete de venda</t>
        </is>
      </c>
      <c r="C3843" t="inlineStr">
        <is>
          <t>Frete de venda (para clientes)</t>
        </is>
      </c>
      <c r="D3843" t="inlineStr">
        <is>
          <t>CT-e</t>
        </is>
      </c>
      <c r="E3843" t="inlineStr">
        <is>
          <t>000001200</t>
        </is>
      </c>
      <c r="F3843" t="inlineStr">
        <is>
          <t>ADIL CARLOS DA SILVA</t>
        </is>
      </c>
      <c r="G3843" s="27" t="n">
        <v>46221</v>
      </c>
      <c r="H3843" s="14" t="n">
        <v>1</v>
      </c>
      <c r="I3843" s="14" t="n">
        <v>0</v>
      </c>
      <c r="J3843" s="14" t="n">
        <v>0</v>
      </c>
      <c r="K3843" s="14" t="n">
        <v>0</v>
      </c>
      <c r="L3843" s="14" t="n">
        <v>0</v>
      </c>
      <c r="M3843" s="14">
        <f>IF(B3843="Frete de venda",0,(1-ISNUMBER(SEARCH("556",P3843)))*(I3843*VLOOKUP($B3843,Premissas!$A$4:$E$7,2,0)+J3843*VLOOKUP($B3843,Premissas!$A$4:$E$7,3,0))+K3843*VLOOKUP($B3843,Premissas!$A$4:$E$7,4,0)+L3843*VLOOKUP($B3843,Premissas!$A$4:$E$7,5,0))</f>
        <v/>
      </c>
      <c r="N3843" s="14">
        <f>H3843-M3843</f>
        <v/>
      </c>
      <c r="O3843" t="inlineStr">
        <is>
          <t>Não</t>
        </is>
      </c>
      <c r="P3843" t="inlineStr">
        <is>
          <t>2.350</t>
        </is>
      </c>
    </row>
    <row r="3844">
      <c r="A3844" s="24" t="n">
        <v>46204</v>
      </c>
      <c r="B3844" t="inlineStr">
        <is>
          <t>Frete de venda</t>
        </is>
      </c>
      <c r="C3844" t="inlineStr">
        <is>
          <t>Frete de venda (para clientes)</t>
        </is>
      </c>
      <c r="D3844" t="inlineStr">
        <is>
          <t>CT-e</t>
        </is>
      </c>
      <c r="E3844" t="inlineStr">
        <is>
          <t>000007570</t>
        </is>
      </c>
      <c r="F3844" t="inlineStr">
        <is>
          <t>R&amp;R TRANSPORTE E LOGISTICA</t>
        </is>
      </c>
      <c r="G3844" s="27" t="n">
        <v>46212</v>
      </c>
      <c r="H3844" s="14" t="n">
        <v>24.09</v>
      </c>
      <c r="I3844" s="14" t="n">
        <v>0</v>
      </c>
      <c r="J3844" s="14" t="n">
        <v>0</v>
      </c>
      <c r="K3844" s="14" t="n">
        <v>0</v>
      </c>
      <c r="L3844" s="14" t="n">
        <v>0</v>
      </c>
      <c r="M3844" s="14">
        <f>IF(B3844="Frete de venda",0,(1-ISNUMBER(SEARCH("556",P3844)))*(I3844*VLOOKUP($B3844,Premissas!$A$4:$E$7,2,0)+J3844*VLOOKUP($B3844,Premissas!$A$4:$E$7,3,0))+K3844*VLOOKUP($B3844,Premissas!$A$4:$E$7,4,0)+L3844*VLOOKUP($B3844,Premissas!$A$4:$E$7,5,0))</f>
        <v/>
      </c>
      <c r="N3844" s="14">
        <f>H3844-M3844</f>
        <v/>
      </c>
      <c r="O3844" t="inlineStr">
        <is>
          <t>Não</t>
        </is>
      </c>
      <c r="P3844" t="inlineStr">
        <is>
          <t>2.350</t>
        </is>
      </c>
    </row>
    <row r="3845">
      <c r="A3845" s="24" t="n">
        <v>46204</v>
      </c>
      <c r="B3845" t="inlineStr">
        <is>
          <t>Frete de venda</t>
        </is>
      </c>
      <c r="C3845" t="inlineStr">
        <is>
          <t>Frete de venda (para clientes)</t>
        </is>
      </c>
      <c r="D3845" t="inlineStr">
        <is>
          <t>CT-e</t>
        </is>
      </c>
      <c r="E3845" t="inlineStr">
        <is>
          <t>000007673</t>
        </is>
      </c>
      <c r="F3845" t="inlineStr">
        <is>
          <t>R&amp;R TRANSPORTE E LOGISTICA</t>
        </is>
      </c>
      <c r="G3845" s="27" t="n">
        <v>46220</v>
      </c>
      <c r="H3845" s="14" t="n">
        <v>890.29</v>
      </c>
      <c r="I3845" s="14" t="n">
        <v>0</v>
      </c>
      <c r="J3845" s="14" t="n">
        <v>0</v>
      </c>
      <c r="K3845" s="14" t="n">
        <v>0</v>
      </c>
      <c r="L3845" s="14" t="n">
        <v>0</v>
      </c>
      <c r="M3845" s="14">
        <f>IF(B3845="Frete de venda",0,(1-ISNUMBER(SEARCH("556",P3845)))*(I3845*VLOOKUP($B3845,Premissas!$A$4:$E$7,2,0)+J3845*VLOOKUP($B3845,Premissas!$A$4:$E$7,3,0))+K3845*VLOOKUP($B3845,Premissas!$A$4:$E$7,4,0)+L3845*VLOOKUP($B3845,Premissas!$A$4:$E$7,5,0))</f>
        <v/>
      </c>
      <c r="N3845" s="14">
        <f>H3845-M3845</f>
        <v/>
      </c>
      <c r="O3845" t="inlineStr">
        <is>
          <t>Não</t>
        </is>
      </c>
      <c r="P3845" t="inlineStr">
        <is>
          <t>2.350</t>
        </is>
      </c>
    </row>
    <row r="3846">
      <c r="A3846" s="24" t="n">
        <v>46204</v>
      </c>
      <c r="B3846" t="inlineStr">
        <is>
          <t>Frete de venda</t>
        </is>
      </c>
      <c r="C3846" t="inlineStr">
        <is>
          <t>Frete de venda (para clientes)</t>
        </is>
      </c>
      <c r="D3846" t="inlineStr">
        <is>
          <t>CT-e</t>
        </is>
      </c>
      <c r="E3846" t="inlineStr">
        <is>
          <t>000007800</t>
        </is>
      </c>
      <c r="F3846" t="inlineStr">
        <is>
          <t>R&amp;R TRANSPORTE E LOGISTICA</t>
        </is>
      </c>
      <c r="G3846" s="27" t="n">
        <v>46233</v>
      </c>
      <c r="H3846" s="14" t="n">
        <v>33.32</v>
      </c>
      <c r="I3846" s="14" t="n">
        <v>0</v>
      </c>
      <c r="J3846" s="14" t="n">
        <v>0</v>
      </c>
      <c r="K3846" s="14" t="n">
        <v>0</v>
      </c>
      <c r="L3846" s="14" t="n">
        <v>0</v>
      </c>
      <c r="M3846" s="14">
        <f>IF(B3846="Frete de venda",0,(1-ISNUMBER(SEARCH("556",P3846)))*(I3846*VLOOKUP($B3846,Premissas!$A$4:$E$7,2,0)+J3846*VLOOKUP($B3846,Premissas!$A$4:$E$7,3,0))+K3846*VLOOKUP($B3846,Premissas!$A$4:$E$7,4,0)+L3846*VLOOKUP($B3846,Premissas!$A$4:$E$7,5,0))</f>
        <v/>
      </c>
      <c r="N3846" s="14">
        <f>H3846-M3846</f>
        <v/>
      </c>
      <c r="O3846" t="inlineStr">
        <is>
          <t>Não</t>
        </is>
      </c>
      <c r="P3846" t="inlineStr">
        <is>
          <t>1.350</t>
        </is>
      </c>
    </row>
    <row r="3847">
      <c r="A3847" s="24" t="n">
        <v>46204</v>
      </c>
      <c r="B3847" t="inlineStr">
        <is>
          <t>Frete de venda</t>
        </is>
      </c>
      <c r="C3847" t="inlineStr">
        <is>
          <t>Frete de venda (para clientes)</t>
        </is>
      </c>
      <c r="D3847" t="inlineStr">
        <is>
          <t>CT-e</t>
        </is>
      </c>
      <c r="E3847" t="inlineStr">
        <is>
          <t>000007655</t>
        </is>
      </c>
      <c r="F3847" t="inlineStr">
        <is>
          <t>R&amp;R TRANSPORTE E LOGISTICA</t>
        </is>
      </c>
      <c r="G3847" s="27" t="n">
        <v>46219</v>
      </c>
      <c r="H3847" s="14" t="n">
        <v>58.2</v>
      </c>
      <c r="I3847" s="14" t="n">
        <v>0</v>
      </c>
      <c r="J3847" s="14" t="n">
        <v>0</v>
      </c>
      <c r="K3847" s="14" t="n">
        <v>0</v>
      </c>
      <c r="L3847" s="14" t="n">
        <v>0</v>
      </c>
      <c r="M3847" s="14">
        <f>IF(B3847="Frete de venda",0,(1-ISNUMBER(SEARCH("556",P3847)))*(I3847*VLOOKUP($B3847,Premissas!$A$4:$E$7,2,0)+J3847*VLOOKUP($B3847,Premissas!$A$4:$E$7,3,0))+K3847*VLOOKUP($B3847,Premissas!$A$4:$E$7,4,0)+L3847*VLOOKUP($B3847,Premissas!$A$4:$E$7,5,0))</f>
        <v/>
      </c>
      <c r="N3847" s="14">
        <f>H3847-M3847</f>
        <v/>
      </c>
      <c r="O3847" t="inlineStr">
        <is>
          <t>Não</t>
        </is>
      </c>
      <c r="P3847" t="inlineStr">
        <is>
          <t>2.350</t>
        </is>
      </c>
    </row>
    <row r="3848">
      <c r="A3848" s="24" t="n">
        <v>46204</v>
      </c>
      <c r="B3848" t="inlineStr">
        <is>
          <t>Frete de venda</t>
        </is>
      </c>
      <c r="C3848" t="inlineStr">
        <is>
          <t>Frete de venda (para clientes)</t>
        </is>
      </c>
      <c r="D3848" t="inlineStr">
        <is>
          <t>CT-e</t>
        </is>
      </c>
      <c r="E3848" t="inlineStr">
        <is>
          <t>000007747</t>
        </is>
      </c>
      <c r="F3848" t="inlineStr">
        <is>
          <t>R&amp;R TRANSPORTE E LOGISTICA</t>
        </is>
      </c>
      <c r="G3848" s="27" t="n">
        <v>46226</v>
      </c>
      <c r="H3848" s="14" t="n">
        <v>193.12</v>
      </c>
      <c r="I3848" s="14" t="n">
        <v>0</v>
      </c>
      <c r="J3848" s="14" t="n">
        <v>0</v>
      </c>
      <c r="K3848" s="14" t="n">
        <v>0</v>
      </c>
      <c r="L3848" s="14" t="n">
        <v>0</v>
      </c>
      <c r="M3848" s="14">
        <f>IF(B3848="Frete de venda",0,(1-ISNUMBER(SEARCH("556",P3848)))*(I3848*VLOOKUP($B3848,Premissas!$A$4:$E$7,2,0)+J3848*VLOOKUP($B3848,Premissas!$A$4:$E$7,3,0))+K3848*VLOOKUP($B3848,Premissas!$A$4:$E$7,4,0)+L3848*VLOOKUP($B3848,Premissas!$A$4:$E$7,5,0))</f>
        <v/>
      </c>
      <c r="N3848" s="14">
        <f>H3848-M3848</f>
        <v/>
      </c>
      <c r="O3848" t="inlineStr">
        <is>
          <t>Não</t>
        </is>
      </c>
      <c r="P3848" t="inlineStr">
        <is>
          <t>2.350</t>
        </is>
      </c>
    </row>
    <row r="3849">
      <c r="A3849" s="24" t="n">
        <v>46204</v>
      </c>
      <c r="B3849" t="inlineStr">
        <is>
          <t>Frete de venda</t>
        </is>
      </c>
      <c r="C3849" t="inlineStr">
        <is>
          <t>Frete de venda (para clientes)</t>
        </is>
      </c>
      <c r="D3849" t="inlineStr">
        <is>
          <t>CT-e</t>
        </is>
      </c>
      <c r="E3849" t="inlineStr">
        <is>
          <t>000007752</t>
        </is>
      </c>
      <c r="F3849" t="inlineStr">
        <is>
          <t>R&amp;R TRANSPORTE E LOGISTICA</t>
        </is>
      </c>
      <c r="G3849" s="27" t="n">
        <v>46226</v>
      </c>
      <c r="H3849" s="14" t="n">
        <v>37.77</v>
      </c>
      <c r="I3849" s="14" t="n">
        <v>0</v>
      </c>
      <c r="J3849" s="14" t="n">
        <v>0</v>
      </c>
      <c r="K3849" s="14" t="n">
        <v>0</v>
      </c>
      <c r="L3849" s="14" t="n">
        <v>0</v>
      </c>
      <c r="M3849" s="14">
        <f>IF(B3849="Frete de venda",0,(1-ISNUMBER(SEARCH("556",P3849)))*(I3849*VLOOKUP($B3849,Premissas!$A$4:$E$7,2,0)+J3849*VLOOKUP($B3849,Premissas!$A$4:$E$7,3,0))+K3849*VLOOKUP($B3849,Premissas!$A$4:$E$7,4,0)+L3849*VLOOKUP($B3849,Premissas!$A$4:$E$7,5,0))</f>
        <v/>
      </c>
      <c r="N3849" s="14">
        <f>H3849-M3849</f>
        <v/>
      </c>
      <c r="O3849" t="inlineStr">
        <is>
          <t>Não</t>
        </is>
      </c>
      <c r="P3849" t="inlineStr">
        <is>
          <t>1.350</t>
        </is>
      </c>
    </row>
    <row r="3850">
      <c r="A3850" s="24" t="n">
        <v>46204</v>
      </c>
      <c r="B3850" t="inlineStr">
        <is>
          <t>Frete de venda</t>
        </is>
      </c>
      <c r="C3850" t="inlineStr">
        <is>
          <t>Frete de venda (para clientes)</t>
        </is>
      </c>
      <c r="D3850" t="inlineStr">
        <is>
          <t>CT-e</t>
        </is>
      </c>
      <c r="E3850" t="inlineStr">
        <is>
          <t>000000721</t>
        </is>
      </c>
      <c r="F3850" t="inlineStr">
        <is>
          <t>REIMAG - REINALDO DOMINGUES BARROS DA SILVA</t>
        </is>
      </c>
      <c r="G3850" s="27" t="n">
        <v>46226</v>
      </c>
      <c r="H3850" s="14" t="n">
        <v>800</v>
      </c>
      <c r="I3850" s="14" t="n">
        <v>0</v>
      </c>
      <c r="J3850" s="14" t="n">
        <v>0</v>
      </c>
      <c r="K3850" s="14" t="n">
        <v>0</v>
      </c>
      <c r="L3850" s="14" t="n">
        <v>0</v>
      </c>
      <c r="M3850" s="14">
        <f>IF(B3850="Frete de venda",0,(1-ISNUMBER(SEARCH("556",P3850)))*(I3850*VLOOKUP($B3850,Premissas!$A$4:$E$7,2,0)+J3850*VLOOKUP($B3850,Premissas!$A$4:$E$7,3,0))+K3850*VLOOKUP($B3850,Premissas!$A$4:$E$7,4,0)+L3850*VLOOKUP($B3850,Premissas!$A$4:$E$7,5,0))</f>
        <v/>
      </c>
      <c r="N3850" s="14">
        <f>H3850-M3850</f>
        <v/>
      </c>
      <c r="O3850" t="inlineStr">
        <is>
          <t>Sim</t>
        </is>
      </c>
      <c r="P3850" t="inlineStr">
        <is>
          <t>2.350</t>
        </is>
      </c>
    </row>
    <row r="3851">
      <c r="A3851" s="24" t="n">
        <v>46204</v>
      </c>
      <c r="B3851" t="inlineStr">
        <is>
          <t>Frete de venda</t>
        </is>
      </c>
      <c r="C3851" t="inlineStr">
        <is>
          <t>Frete de venda (para clientes)</t>
        </is>
      </c>
      <c r="D3851" t="inlineStr">
        <is>
          <t>CT-e</t>
        </is>
      </c>
      <c r="E3851" t="inlineStr">
        <is>
          <t>000007683</t>
        </is>
      </c>
      <c r="F3851" t="inlineStr">
        <is>
          <t>R&amp;R TRANSPORTE E LOGISTICA</t>
        </is>
      </c>
      <c r="G3851" s="27" t="n">
        <v>46223</v>
      </c>
      <c r="H3851" s="14" t="n">
        <v>1400</v>
      </c>
      <c r="I3851" s="14" t="n">
        <v>0</v>
      </c>
      <c r="J3851" s="14" t="n">
        <v>0</v>
      </c>
      <c r="K3851" s="14" t="n">
        <v>0</v>
      </c>
      <c r="L3851" s="14" t="n">
        <v>0</v>
      </c>
      <c r="M3851" s="14">
        <f>IF(B3851="Frete de venda",0,(1-ISNUMBER(SEARCH("556",P3851)))*(I3851*VLOOKUP($B3851,Premissas!$A$4:$E$7,2,0)+J3851*VLOOKUP($B3851,Premissas!$A$4:$E$7,3,0))+K3851*VLOOKUP($B3851,Premissas!$A$4:$E$7,4,0)+L3851*VLOOKUP($B3851,Premissas!$A$4:$E$7,5,0))</f>
        <v/>
      </c>
      <c r="N3851" s="14">
        <f>H3851-M3851</f>
        <v/>
      </c>
      <c r="O3851" t="inlineStr">
        <is>
          <t>Não</t>
        </is>
      </c>
      <c r="P3851" t="inlineStr">
        <is>
          <t>2.350</t>
        </is>
      </c>
    </row>
    <row r="3852">
      <c r="A3852" s="24" t="n">
        <v>46204</v>
      </c>
      <c r="B3852" t="inlineStr">
        <is>
          <t>Frete de venda</t>
        </is>
      </c>
      <c r="C3852" t="inlineStr">
        <is>
          <t>Frete de venda (para clientes)</t>
        </is>
      </c>
      <c r="D3852" t="inlineStr">
        <is>
          <t>CT-e</t>
        </is>
      </c>
      <c r="E3852" t="inlineStr">
        <is>
          <t>000007793</t>
        </is>
      </c>
      <c r="F3852" t="inlineStr">
        <is>
          <t>R&amp;R TRANSPORTE E LOGISTICA</t>
        </is>
      </c>
      <c r="G3852" s="27" t="n">
        <v>46231</v>
      </c>
      <c r="H3852" s="14" t="n">
        <v>131.21</v>
      </c>
      <c r="I3852" s="14" t="n">
        <v>0</v>
      </c>
      <c r="J3852" s="14" t="n">
        <v>0</v>
      </c>
      <c r="K3852" s="14" t="n">
        <v>0</v>
      </c>
      <c r="L3852" s="14" t="n">
        <v>0</v>
      </c>
      <c r="M3852" s="14">
        <f>IF(B3852="Frete de venda",0,(1-ISNUMBER(SEARCH("556",P3852)))*(I3852*VLOOKUP($B3852,Premissas!$A$4:$E$7,2,0)+J3852*VLOOKUP($B3852,Premissas!$A$4:$E$7,3,0))+K3852*VLOOKUP($B3852,Premissas!$A$4:$E$7,4,0)+L3852*VLOOKUP($B3852,Premissas!$A$4:$E$7,5,0))</f>
        <v/>
      </c>
      <c r="N3852" s="14">
        <f>H3852-M3852</f>
        <v/>
      </c>
      <c r="O3852" t="inlineStr">
        <is>
          <t>Não</t>
        </is>
      </c>
      <c r="P3852" t="inlineStr">
        <is>
          <t>1.350</t>
        </is>
      </c>
    </row>
    <row r="3853">
      <c r="A3853" s="24" t="n">
        <v>46204</v>
      </c>
      <c r="B3853" t="inlineStr">
        <is>
          <t>Frete de venda</t>
        </is>
      </c>
      <c r="C3853" t="inlineStr">
        <is>
          <t>Frete de venda (para clientes)</t>
        </is>
      </c>
      <c r="D3853" t="inlineStr">
        <is>
          <t>CT-e</t>
        </is>
      </c>
      <c r="E3853" t="inlineStr">
        <is>
          <t>000007664</t>
        </is>
      </c>
      <c r="F3853" t="inlineStr">
        <is>
          <t>R&amp;R TRANSPORTE E LOGISTICA</t>
        </is>
      </c>
      <c r="G3853" s="27" t="n">
        <v>46219</v>
      </c>
      <c r="H3853" s="14" t="n">
        <v>58.2</v>
      </c>
      <c r="I3853" s="14" t="n">
        <v>0</v>
      </c>
      <c r="J3853" s="14" t="n">
        <v>0</v>
      </c>
      <c r="K3853" s="14" t="n">
        <v>0</v>
      </c>
      <c r="L3853" s="14" t="n">
        <v>0</v>
      </c>
      <c r="M3853" s="14">
        <f>IF(B3853="Frete de venda",0,(1-ISNUMBER(SEARCH("556",P3853)))*(I3853*VLOOKUP($B3853,Premissas!$A$4:$E$7,2,0)+J3853*VLOOKUP($B3853,Premissas!$A$4:$E$7,3,0))+K3853*VLOOKUP($B3853,Premissas!$A$4:$E$7,4,0)+L3853*VLOOKUP($B3853,Premissas!$A$4:$E$7,5,0))</f>
        <v/>
      </c>
      <c r="N3853" s="14">
        <f>H3853-M3853</f>
        <v/>
      </c>
      <c r="O3853" t="inlineStr">
        <is>
          <t>Não</t>
        </is>
      </c>
      <c r="P3853" t="inlineStr">
        <is>
          <t>2.350</t>
        </is>
      </c>
    </row>
    <row r="3854">
      <c r="A3854" s="24" t="n">
        <v>46204</v>
      </c>
      <c r="B3854" t="inlineStr">
        <is>
          <t>Frete de venda</t>
        </is>
      </c>
      <c r="C3854" t="inlineStr">
        <is>
          <t>Frete de venda (para clientes)</t>
        </is>
      </c>
      <c r="D3854" t="inlineStr">
        <is>
          <t>CT-e</t>
        </is>
      </c>
      <c r="E3854" t="inlineStr">
        <is>
          <t>000007757</t>
        </is>
      </c>
      <c r="F3854" t="inlineStr">
        <is>
          <t>R&amp;R TRANSPORTE E LOGISTICA</t>
        </is>
      </c>
      <c r="G3854" s="27" t="n">
        <v>46227</v>
      </c>
      <c r="H3854" s="14" t="n">
        <v>13.52</v>
      </c>
      <c r="I3854" s="14" t="n">
        <v>0</v>
      </c>
      <c r="J3854" s="14" t="n">
        <v>0</v>
      </c>
      <c r="K3854" s="14" t="n">
        <v>0</v>
      </c>
      <c r="L3854" s="14" t="n">
        <v>0</v>
      </c>
      <c r="M3854" s="14">
        <f>IF(B3854="Frete de venda",0,(1-ISNUMBER(SEARCH("556",P3854)))*(I3854*VLOOKUP($B3854,Premissas!$A$4:$E$7,2,0)+J3854*VLOOKUP($B3854,Premissas!$A$4:$E$7,3,0))+K3854*VLOOKUP($B3854,Premissas!$A$4:$E$7,4,0)+L3854*VLOOKUP($B3854,Premissas!$A$4:$E$7,5,0))</f>
        <v/>
      </c>
      <c r="N3854" s="14">
        <f>H3854-M3854</f>
        <v/>
      </c>
      <c r="O3854" t="inlineStr">
        <is>
          <t>Não</t>
        </is>
      </c>
      <c r="P3854" t="inlineStr">
        <is>
          <t>1.350</t>
        </is>
      </c>
    </row>
    <row r="3855">
      <c r="A3855" s="24" t="n">
        <v>46204</v>
      </c>
      <c r="B3855" t="inlineStr">
        <is>
          <t>Frete de venda</t>
        </is>
      </c>
      <c r="C3855" t="inlineStr">
        <is>
          <t>Frete de venda (para clientes)</t>
        </is>
      </c>
      <c r="D3855" t="inlineStr">
        <is>
          <t>CT-e</t>
        </is>
      </c>
      <c r="E3855" t="inlineStr">
        <is>
          <t>000007701</t>
        </is>
      </c>
      <c r="F3855" t="inlineStr">
        <is>
          <t>R&amp;R TRANSPORTE E LOGISTICA</t>
        </is>
      </c>
      <c r="G3855" s="27" t="n">
        <v>46224</v>
      </c>
      <c r="H3855" s="14" t="n">
        <v>23.8</v>
      </c>
      <c r="I3855" s="14" t="n">
        <v>0</v>
      </c>
      <c r="J3855" s="14" t="n">
        <v>0</v>
      </c>
      <c r="K3855" s="14" t="n">
        <v>0</v>
      </c>
      <c r="L3855" s="14" t="n">
        <v>0</v>
      </c>
      <c r="M3855" s="14">
        <f>IF(B3855="Frete de venda",0,(1-ISNUMBER(SEARCH("556",P3855)))*(I3855*VLOOKUP($B3855,Premissas!$A$4:$E$7,2,0)+J3855*VLOOKUP($B3855,Premissas!$A$4:$E$7,3,0))+K3855*VLOOKUP($B3855,Premissas!$A$4:$E$7,4,0)+L3855*VLOOKUP($B3855,Premissas!$A$4:$E$7,5,0))</f>
        <v/>
      </c>
      <c r="N3855" s="14">
        <f>H3855-M3855</f>
        <v/>
      </c>
      <c r="O3855" t="inlineStr">
        <is>
          <t>Não</t>
        </is>
      </c>
      <c r="P3855" t="inlineStr">
        <is>
          <t>2.350</t>
        </is>
      </c>
    </row>
    <row r="3856">
      <c r="A3856" s="24" t="n">
        <v>46204</v>
      </c>
      <c r="B3856" t="inlineStr">
        <is>
          <t>Frete de venda</t>
        </is>
      </c>
      <c r="C3856" t="inlineStr">
        <is>
          <t>Frete de venda (para clientes)</t>
        </is>
      </c>
      <c r="D3856" t="inlineStr">
        <is>
          <t>CT-e</t>
        </is>
      </c>
      <c r="E3856" t="inlineStr">
        <is>
          <t>000005479</t>
        </is>
      </c>
      <c r="F3856" t="inlineStr">
        <is>
          <t>UNIVERSAL CARGAS EXPRESS</t>
        </is>
      </c>
      <c r="G3856" s="27" t="n">
        <v>46231</v>
      </c>
      <c r="H3856" s="14" t="n">
        <v>350</v>
      </c>
      <c r="I3856" s="14" t="n">
        <v>0</v>
      </c>
      <c r="J3856" s="14" t="n">
        <v>0</v>
      </c>
      <c r="K3856" s="14" t="n">
        <v>0</v>
      </c>
      <c r="L3856" s="14" t="n">
        <v>0</v>
      </c>
      <c r="M3856" s="14">
        <f>IF(B3856="Frete de venda",0,(1-ISNUMBER(SEARCH("556",P3856)))*(I3856*VLOOKUP($B3856,Premissas!$A$4:$E$7,2,0)+J3856*VLOOKUP($B3856,Premissas!$A$4:$E$7,3,0))+K3856*VLOOKUP($B3856,Premissas!$A$4:$E$7,4,0)+L3856*VLOOKUP($B3856,Premissas!$A$4:$E$7,5,0))</f>
        <v/>
      </c>
      <c r="N3856" s="14">
        <f>H3856-M3856</f>
        <v/>
      </c>
      <c r="O3856" t="inlineStr">
        <is>
          <t>Sim</t>
        </is>
      </c>
      <c r="P3856" t="inlineStr">
        <is>
          <t>2.350</t>
        </is>
      </c>
    </row>
    <row r="3857">
      <c r="A3857" s="24" t="n">
        <v>46204</v>
      </c>
      <c r="B3857" t="inlineStr">
        <is>
          <t>Frete de venda</t>
        </is>
      </c>
      <c r="C3857" t="inlineStr">
        <is>
          <t>Frete de venda (para clientes)</t>
        </is>
      </c>
      <c r="D3857" t="inlineStr">
        <is>
          <t>CT-e</t>
        </is>
      </c>
      <c r="E3857" t="inlineStr">
        <is>
          <t>000007743</t>
        </is>
      </c>
      <c r="F3857" t="inlineStr">
        <is>
          <t>R&amp;R TRANSPORTE E LOGISTICA</t>
        </is>
      </c>
      <c r="G3857" s="27" t="n">
        <v>46226</v>
      </c>
      <c r="H3857" s="14" t="n">
        <v>45.49</v>
      </c>
      <c r="I3857" s="14" t="n">
        <v>0</v>
      </c>
      <c r="J3857" s="14" t="n">
        <v>0</v>
      </c>
      <c r="K3857" s="14" t="n">
        <v>0</v>
      </c>
      <c r="L3857" s="14" t="n">
        <v>0</v>
      </c>
      <c r="M3857" s="14">
        <f>IF(B3857="Frete de venda",0,(1-ISNUMBER(SEARCH("556",P3857)))*(I3857*VLOOKUP($B3857,Premissas!$A$4:$E$7,2,0)+J3857*VLOOKUP($B3857,Premissas!$A$4:$E$7,3,0))+K3857*VLOOKUP($B3857,Premissas!$A$4:$E$7,4,0)+L3857*VLOOKUP($B3857,Premissas!$A$4:$E$7,5,0))</f>
        <v/>
      </c>
      <c r="N3857" s="14">
        <f>H3857-M3857</f>
        <v/>
      </c>
      <c r="O3857" t="inlineStr">
        <is>
          <t>Não</t>
        </is>
      </c>
      <c r="P3857" t="inlineStr">
        <is>
          <t>2.350</t>
        </is>
      </c>
    </row>
    <row r="3858">
      <c r="A3858" s="24" t="n">
        <v>46204</v>
      </c>
      <c r="B3858" t="inlineStr">
        <is>
          <t>Frete de venda</t>
        </is>
      </c>
      <c r="C3858" t="inlineStr">
        <is>
          <t>Frete de venda (para clientes)</t>
        </is>
      </c>
      <c r="D3858" t="inlineStr">
        <is>
          <t>CT-e</t>
        </is>
      </c>
      <c r="E3858" t="inlineStr">
        <is>
          <t>000007607</t>
        </is>
      </c>
      <c r="F3858" t="inlineStr">
        <is>
          <t>R&amp;R TRANSPORTE E LOGISTICA</t>
        </is>
      </c>
      <c r="G3858" s="27" t="n">
        <v>46214</v>
      </c>
      <c r="H3858" s="14" t="n">
        <v>38.61</v>
      </c>
      <c r="I3858" s="14" t="n">
        <v>0</v>
      </c>
      <c r="J3858" s="14" t="n">
        <v>0</v>
      </c>
      <c r="K3858" s="14" t="n">
        <v>0</v>
      </c>
      <c r="L3858" s="14" t="n">
        <v>0</v>
      </c>
      <c r="M3858" s="14">
        <f>IF(B3858="Frete de venda",0,(1-ISNUMBER(SEARCH("556",P3858)))*(I3858*VLOOKUP($B3858,Premissas!$A$4:$E$7,2,0)+J3858*VLOOKUP($B3858,Premissas!$A$4:$E$7,3,0))+K3858*VLOOKUP($B3858,Premissas!$A$4:$E$7,4,0)+L3858*VLOOKUP($B3858,Premissas!$A$4:$E$7,5,0))</f>
        <v/>
      </c>
      <c r="N3858" s="14">
        <f>H3858-M3858</f>
        <v/>
      </c>
      <c r="O3858" t="inlineStr">
        <is>
          <t>Não</t>
        </is>
      </c>
      <c r="P3858" t="inlineStr">
        <is>
          <t>2.350</t>
        </is>
      </c>
    </row>
    <row r="3859">
      <c r="A3859" s="24" t="n">
        <v>46204</v>
      </c>
      <c r="B3859" t="inlineStr">
        <is>
          <t>Frete de venda</t>
        </is>
      </c>
      <c r="C3859" t="inlineStr">
        <is>
          <t>Frete de venda (para clientes)</t>
        </is>
      </c>
      <c r="D3859" t="inlineStr">
        <is>
          <t>CT-e</t>
        </is>
      </c>
      <c r="E3859" t="inlineStr">
        <is>
          <t>000007572</t>
        </is>
      </c>
      <c r="F3859" t="inlineStr">
        <is>
          <t>R&amp;R TRANSPORTE E LOGISTICA</t>
        </is>
      </c>
      <c r="G3859" s="27" t="n">
        <v>46212</v>
      </c>
      <c r="H3859" s="14" t="n">
        <v>24.09</v>
      </c>
      <c r="I3859" s="14" t="n">
        <v>0</v>
      </c>
      <c r="J3859" s="14" t="n">
        <v>0</v>
      </c>
      <c r="K3859" s="14" t="n">
        <v>0</v>
      </c>
      <c r="L3859" s="14" t="n">
        <v>0</v>
      </c>
      <c r="M3859" s="14">
        <f>IF(B3859="Frete de venda",0,(1-ISNUMBER(SEARCH("556",P3859)))*(I3859*VLOOKUP($B3859,Premissas!$A$4:$E$7,2,0)+J3859*VLOOKUP($B3859,Premissas!$A$4:$E$7,3,0))+K3859*VLOOKUP($B3859,Premissas!$A$4:$E$7,4,0)+L3859*VLOOKUP($B3859,Premissas!$A$4:$E$7,5,0))</f>
        <v/>
      </c>
      <c r="N3859" s="14">
        <f>H3859-M3859</f>
        <v/>
      </c>
      <c r="O3859" t="inlineStr">
        <is>
          <t>Não</t>
        </is>
      </c>
      <c r="P3859" t="inlineStr">
        <is>
          <t>2.350</t>
        </is>
      </c>
    </row>
    <row r="3860">
      <c r="A3860" s="24" t="n">
        <v>46204</v>
      </c>
      <c r="B3860" t="inlineStr">
        <is>
          <t>Frete de venda</t>
        </is>
      </c>
      <c r="C3860" t="inlineStr">
        <is>
          <t>Frete de venda (para clientes)</t>
        </is>
      </c>
      <c r="D3860" t="inlineStr">
        <is>
          <t>CT-e</t>
        </is>
      </c>
      <c r="E3860" t="inlineStr">
        <is>
          <t>000007562</t>
        </is>
      </c>
      <c r="F3860" t="inlineStr">
        <is>
          <t>R&amp;R TRANSPORTE E LOGISTICA</t>
        </is>
      </c>
      <c r="G3860" s="27" t="n">
        <v>46211</v>
      </c>
      <c r="H3860" s="14" t="n">
        <v>45.82</v>
      </c>
      <c r="I3860" s="14" t="n">
        <v>0</v>
      </c>
      <c r="J3860" s="14" t="n">
        <v>0</v>
      </c>
      <c r="K3860" s="14" t="n">
        <v>0</v>
      </c>
      <c r="L3860" s="14" t="n">
        <v>0</v>
      </c>
      <c r="M3860" s="14">
        <f>IF(B3860="Frete de venda",0,(1-ISNUMBER(SEARCH("556",P3860)))*(I3860*VLOOKUP($B3860,Premissas!$A$4:$E$7,2,0)+J3860*VLOOKUP($B3860,Premissas!$A$4:$E$7,3,0))+K3860*VLOOKUP($B3860,Premissas!$A$4:$E$7,4,0)+L3860*VLOOKUP($B3860,Premissas!$A$4:$E$7,5,0))</f>
        <v/>
      </c>
      <c r="N3860" s="14">
        <f>H3860-M3860</f>
        <v/>
      </c>
      <c r="O3860" t="inlineStr">
        <is>
          <t>Não</t>
        </is>
      </c>
      <c r="P3860" t="inlineStr">
        <is>
          <t>2.350</t>
        </is>
      </c>
    </row>
    <row r="3861">
      <c r="A3861" s="24" t="n">
        <v>46204</v>
      </c>
      <c r="B3861" t="inlineStr">
        <is>
          <t>Frete de venda</t>
        </is>
      </c>
      <c r="C3861" t="inlineStr">
        <is>
          <t>Frete de venda (para clientes)</t>
        </is>
      </c>
      <c r="D3861" t="inlineStr">
        <is>
          <t>CT-e</t>
        </is>
      </c>
      <c r="E3861" t="inlineStr">
        <is>
          <t>000025080</t>
        </is>
      </c>
      <c r="F3861" t="inlineStr">
        <is>
          <t>TRANSPORTE OLIVEIRA E MELLOI - IDEALIZA TRANSPORTES</t>
        </is>
      </c>
      <c r="G3861" s="27" t="n">
        <v>46218</v>
      </c>
      <c r="H3861" s="14" t="n">
        <v>906.9</v>
      </c>
      <c r="I3861" s="14" t="n">
        <v>0</v>
      </c>
      <c r="J3861" s="14" t="n">
        <v>108.83</v>
      </c>
      <c r="K3861" s="14" t="n">
        <v>0</v>
      </c>
      <c r="L3861" s="14" t="n">
        <v>0</v>
      </c>
      <c r="M3861" s="14">
        <f>IF(B3861="Frete de venda",0,(1-ISNUMBER(SEARCH("556",P3861)))*(I3861*VLOOKUP($B3861,Premissas!$A$4:$E$7,2,0)+J3861*VLOOKUP($B3861,Premissas!$A$4:$E$7,3,0))+K3861*VLOOKUP($B3861,Premissas!$A$4:$E$7,4,0)+L3861*VLOOKUP($B3861,Premissas!$A$4:$E$7,5,0))</f>
        <v/>
      </c>
      <c r="N3861" s="14">
        <f>H3861-M3861</f>
        <v/>
      </c>
      <c r="O3861" t="inlineStr">
        <is>
          <t>Sim</t>
        </is>
      </c>
      <c r="P3861" t="inlineStr">
        <is>
          <t>2.350</t>
        </is>
      </c>
    </row>
    <row r="3862">
      <c r="A3862" s="24" t="n">
        <v>46204</v>
      </c>
      <c r="B3862" t="inlineStr">
        <is>
          <t>Frete de venda</t>
        </is>
      </c>
      <c r="C3862" t="inlineStr">
        <is>
          <t>Frete de venda (para clientes)</t>
        </is>
      </c>
      <c r="D3862" t="inlineStr">
        <is>
          <t>CT-e</t>
        </is>
      </c>
      <c r="E3862" t="inlineStr">
        <is>
          <t>000007574</t>
        </is>
      </c>
      <c r="F3862" t="inlineStr">
        <is>
          <t>R&amp;R TRANSPORTE E LOGISTICA</t>
        </is>
      </c>
      <c r="G3862" s="27" t="n">
        <v>46212</v>
      </c>
      <c r="H3862" s="14" t="n">
        <v>24.09</v>
      </c>
      <c r="I3862" s="14" t="n">
        <v>0</v>
      </c>
      <c r="J3862" s="14" t="n">
        <v>0</v>
      </c>
      <c r="K3862" s="14" t="n">
        <v>0</v>
      </c>
      <c r="L3862" s="14" t="n">
        <v>0</v>
      </c>
      <c r="M3862" s="14">
        <f>IF(B3862="Frete de venda",0,(1-ISNUMBER(SEARCH("556",P3862)))*(I3862*VLOOKUP($B3862,Premissas!$A$4:$E$7,2,0)+J3862*VLOOKUP($B3862,Premissas!$A$4:$E$7,3,0))+K3862*VLOOKUP($B3862,Premissas!$A$4:$E$7,4,0)+L3862*VLOOKUP($B3862,Premissas!$A$4:$E$7,5,0))</f>
        <v/>
      </c>
      <c r="N3862" s="14">
        <f>H3862-M3862</f>
        <v/>
      </c>
      <c r="O3862" t="inlineStr">
        <is>
          <t>Não</t>
        </is>
      </c>
      <c r="P3862" t="inlineStr">
        <is>
          <t>2.350</t>
        </is>
      </c>
    </row>
    <row r="3863">
      <c r="A3863" s="24" t="n">
        <v>46204</v>
      </c>
      <c r="B3863" t="inlineStr">
        <is>
          <t>Frete de venda</t>
        </is>
      </c>
      <c r="C3863" t="inlineStr">
        <is>
          <t>Frete de venda (para clientes)</t>
        </is>
      </c>
      <c r="D3863" t="inlineStr">
        <is>
          <t>CT-e</t>
        </is>
      </c>
      <c r="E3863" t="inlineStr">
        <is>
          <t>000007697</t>
        </is>
      </c>
      <c r="F3863" t="inlineStr">
        <is>
          <t>R&amp;R TRANSPORTE E LOGISTICA</t>
        </is>
      </c>
      <c r="G3863" s="27" t="n">
        <v>46223</v>
      </c>
      <c r="H3863" s="14" t="n">
        <v>43.62</v>
      </c>
      <c r="I3863" s="14" t="n">
        <v>0</v>
      </c>
      <c r="J3863" s="14" t="n">
        <v>0</v>
      </c>
      <c r="K3863" s="14" t="n">
        <v>0</v>
      </c>
      <c r="L3863" s="14" t="n">
        <v>0</v>
      </c>
      <c r="M3863" s="14">
        <f>IF(B3863="Frete de venda",0,(1-ISNUMBER(SEARCH("556",P3863)))*(I3863*VLOOKUP($B3863,Premissas!$A$4:$E$7,2,0)+J3863*VLOOKUP($B3863,Premissas!$A$4:$E$7,3,0))+K3863*VLOOKUP($B3863,Premissas!$A$4:$E$7,4,0)+L3863*VLOOKUP($B3863,Premissas!$A$4:$E$7,5,0))</f>
        <v/>
      </c>
      <c r="N3863" s="14">
        <f>H3863-M3863</f>
        <v/>
      </c>
      <c r="O3863" t="inlineStr">
        <is>
          <t>Não</t>
        </is>
      </c>
      <c r="P3863" t="inlineStr">
        <is>
          <t>2.350</t>
        </is>
      </c>
    </row>
    <row r="3864">
      <c r="A3864" s="24" t="n">
        <v>46204</v>
      </c>
      <c r="B3864" t="inlineStr">
        <is>
          <t>Frete de venda</t>
        </is>
      </c>
      <c r="C3864" t="inlineStr">
        <is>
          <t>Frete de venda (para clientes)</t>
        </is>
      </c>
      <c r="D3864" t="inlineStr">
        <is>
          <t>CT-e</t>
        </is>
      </c>
      <c r="E3864" t="inlineStr">
        <is>
          <t>000007779</t>
        </is>
      </c>
      <c r="F3864" t="inlineStr">
        <is>
          <t>R&amp;R TRANSPORTE E LOGISTICA</t>
        </is>
      </c>
      <c r="G3864" s="27" t="n">
        <v>46227</v>
      </c>
      <c r="H3864" s="14" t="n">
        <v>20.33</v>
      </c>
      <c r="I3864" s="14" t="n">
        <v>0</v>
      </c>
      <c r="J3864" s="14" t="n">
        <v>0</v>
      </c>
      <c r="K3864" s="14" t="n">
        <v>0</v>
      </c>
      <c r="L3864" s="14" t="n">
        <v>0</v>
      </c>
      <c r="M3864" s="14">
        <f>IF(B3864="Frete de venda",0,(1-ISNUMBER(SEARCH("556",P3864)))*(I3864*VLOOKUP($B3864,Premissas!$A$4:$E$7,2,0)+J3864*VLOOKUP($B3864,Premissas!$A$4:$E$7,3,0))+K3864*VLOOKUP($B3864,Premissas!$A$4:$E$7,4,0)+L3864*VLOOKUP($B3864,Premissas!$A$4:$E$7,5,0))</f>
        <v/>
      </c>
      <c r="N3864" s="14">
        <f>H3864-M3864</f>
        <v/>
      </c>
      <c r="O3864" t="inlineStr">
        <is>
          <t>Não</t>
        </is>
      </c>
      <c r="P3864" t="inlineStr">
        <is>
          <t>1.350</t>
        </is>
      </c>
    </row>
    <row r="3865">
      <c r="A3865" s="24" t="n">
        <v>46204</v>
      </c>
      <c r="B3865" t="inlineStr">
        <is>
          <t>Frete de venda</t>
        </is>
      </c>
      <c r="C3865" t="inlineStr">
        <is>
          <t>Frete de venda (para clientes)</t>
        </is>
      </c>
      <c r="D3865" t="inlineStr">
        <is>
          <t>CT-e</t>
        </is>
      </c>
      <c r="E3865" t="inlineStr">
        <is>
          <t>000007545</t>
        </is>
      </c>
      <c r="F3865" t="inlineStr">
        <is>
          <t>R&amp;R TRANSPORTE E LOGISTICA</t>
        </is>
      </c>
      <c r="G3865" s="27" t="n">
        <v>46210</v>
      </c>
      <c r="H3865" s="14" t="n">
        <v>750</v>
      </c>
      <c r="I3865" s="14" t="n">
        <v>0</v>
      </c>
      <c r="J3865" s="14" t="n">
        <v>0</v>
      </c>
      <c r="K3865" s="14" t="n">
        <v>0</v>
      </c>
      <c r="L3865" s="14" t="n">
        <v>0</v>
      </c>
      <c r="M3865" s="14">
        <f>IF(B3865="Frete de venda",0,(1-ISNUMBER(SEARCH("556",P3865)))*(I3865*VLOOKUP($B3865,Premissas!$A$4:$E$7,2,0)+J3865*VLOOKUP($B3865,Premissas!$A$4:$E$7,3,0))+K3865*VLOOKUP($B3865,Premissas!$A$4:$E$7,4,0)+L3865*VLOOKUP($B3865,Premissas!$A$4:$E$7,5,0))</f>
        <v/>
      </c>
      <c r="N3865" s="14">
        <f>H3865-M3865</f>
        <v/>
      </c>
      <c r="O3865" t="inlineStr">
        <is>
          <t>Não</t>
        </is>
      </c>
      <c r="P3865" t="inlineStr">
        <is>
          <t>2.350</t>
        </is>
      </c>
    </row>
    <row r="3866">
      <c r="A3866" s="24" t="n">
        <v>46204</v>
      </c>
      <c r="B3866" t="inlineStr">
        <is>
          <t>Frete de venda</t>
        </is>
      </c>
      <c r="C3866" t="inlineStr">
        <is>
          <t>Frete de venda (para clientes)</t>
        </is>
      </c>
      <c r="D3866" t="inlineStr">
        <is>
          <t>CT-e</t>
        </is>
      </c>
      <c r="E3866" t="inlineStr">
        <is>
          <t>000007806</t>
        </is>
      </c>
      <c r="F3866" t="inlineStr">
        <is>
          <t>R&amp;R TRANSPORTE E LOGISTICA</t>
        </is>
      </c>
      <c r="G3866" s="27" t="n">
        <v>46233</v>
      </c>
      <c r="H3866" s="14" t="n">
        <v>101.01</v>
      </c>
      <c r="I3866" s="14" t="n">
        <v>0</v>
      </c>
      <c r="J3866" s="14" t="n">
        <v>0</v>
      </c>
      <c r="K3866" s="14" t="n">
        <v>0</v>
      </c>
      <c r="L3866" s="14" t="n">
        <v>0</v>
      </c>
      <c r="M3866" s="14">
        <f>IF(B3866="Frete de venda",0,(1-ISNUMBER(SEARCH("556",P3866)))*(I3866*VLOOKUP($B3866,Premissas!$A$4:$E$7,2,0)+J3866*VLOOKUP($B3866,Premissas!$A$4:$E$7,3,0))+K3866*VLOOKUP($B3866,Premissas!$A$4:$E$7,4,0)+L3866*VLOOKUP($B3866,Premissas!$A$4:$E$7,5,0))</f>
        <v/>
      </c>
      <c r="N3866" s="14">
        <f>H3866-M3866</f>
        <v/>
      </c>
      <c r="O3866" t="inlineStr">
        <is>
          <t>Não</t>
        </is>
      </c>
      <c r="P3866" t="inlineStr">
        <is>
          <t>2.350</t>
        </is>
      </c>
    </row>
    <row r="3867">
      <c r="A3867" s="24" t="n">
        <v>46204</v>
      </c>
      <c r="B3867" t="inlineStr">
        <is>
          <t>Frete de venda</t>
        </is>
      </c>
      <c r="C3867" t="inlineStr">
        <is>
          <t>Frete de venda (para clientes)</t>
        </is>
      </c>
      <c r="D3867" t="inlineStr">
        <is>
          <t>CT-e</t>
        </is>
      </c>
      <c r="E3867" t="inlineStr">
        <is>
          <t>000007810</t>
        </is>
      </c>
      <c r="F3867" t="inlineStr">
        <is>
          <t>R&amp;R TRANSPORTE E LOGISTICA</t>
        </is>
      </c>
      <c r="G3867" s="27" t="n">
        <v>46234</v>
      </c>
      <c r="H3867" s="14" t="n">
        <v>27.78</v>
      </c>
      <c r="I3867" s="14" t="n">
        <v>0</v>
      </c>
      <c r="J3867" s="14" t="n">
        <v>0</v>
      </c>
      <c r="K3867" s="14" t="n">
        <v>0</v>
      </c>
      <c r="L3867" s="14" t="n">
        <v>0</v>
      </c>
      <c r="M3867" s="14">
        <f>IF(B3867="Frete de venda",0,(1-ISNUMBER(SEARCH("556",P3867)))*(I3867*VLOOKUP($B3867,Premissas!$A$4:$E$7,2,0)+J3867*VLOOKUP($B3867,Premissas!$A$4:$E$7,3,0))+K3867*VLOOKUP($B3867,Premissas!$A$4:$E$7,4,0)+L3867*VLOOKUP($B3867,Premissas!$A$4:$E$7,5,0))</f>
        <v/>
      </c>
      <c r="N3867" s="14">
        <f>H3867-M3867</f>
        <v/>
      </c>
      <c r="O3867" t="inlineStr">
        <is>
          <t>Não</t>
        </is>
      </c>
      <c r="P3867" t="inlineStr">
        <is>
          <t>2.350</t>
        </is>
      </c>
    </row>
    <row r="3868">
      <c r="A3868" s="24" t="n">
        <v>46204</v>
      </c>
      <c r="B3868" t="inlineStr">
        <is>
          <t>Frete de venda</t>
        </is>
      </c>
      <c r="C3868" t="inlineStr">
        <is>
          <t>Frete de venda (para clientes)</t>
        </is>
      </c>
      <c r="D3868" t="inlineStr">
        <is>
          <t>CT-e</t>
        </is>
      </c>
      <c r="E3868" t="inlineStr">
        <is>
          <t>000026347</t>
        </is>
      </c>
      <c r="F3868" t="inlineStr">
        <is>
          <t>DR CARGO TRANSPORTE DE CARGAS LTDA</t>
        </is>
      </c>
      <c r="G3868" s="27" t="n">
        <v>46233</v>
      </c>
      <c r="H3868" s="14" t="n">
        <v>389.35</v>
      </c>
      <c r="I3868" s="14" t="n">
        <v>0</v>
      </c>
      <c r="J3868" s="14" t="n">
        <v>46.72</v>
      </c>
      <c r="K3868" s="14" t="n">
        <v>0</v>
      </c>
      <c r="L3868" s="14" t="n">
        <v>0</v>
      </c>
      <c r="M3868" s="14">
        <f>IF(B3868="Frete de venda",0,(1-ISNUMBER(SEARCH("556",P3868)))*(I3868*VLOOKUP($B3868,Premissas!$A$4:$E$7,2,0)+J3868*VLOOKUP($B3868,Premissas!$A$4:$E$7,3,0))+K3868*VLOOKUP($B3868,Premissas!$A$4:$E$7,4,0)+L3868*VLOOKUP($B3868,Premissas!$A$4:$E$7,5,0))</f>
        <v/>
      </c>
      <c r="N3868" s="14">
        <f>H3868-M3868</f>
        <v/>
      </c>
      <c r="O3868" t="inlineStr">
        <is>
          <t>Sim</t>
        </is>
      </c>
      <c r="P3868" t="inlineStr">
        <is>
          <t>2.350</t>
        </is>
      </c>
    </row>
    <row r="3869">
      <c r="A3869" s="24" t="n">
        <v>46204</v>
      </c>
      <c r="B3869" t="inlineStr">
        <is>
          <t>Frete de venda</t>
        </is>
      </c>
      <c r="C3869" t="inlineStr">
        <is>
          <t>Frete de venda (para clientes)</t>
        </is>
      </c>
      <c r="D3869" t="inlineStr">
        <is>
          <t>CT-e</t>
        </is>
      </c>
      <c r="E3869" t="inlineStr">
        <is>
          <t>001450069</t>
        </is>
      </c>
      <c r="F3869" t="inlineStr">
        <is>
          <t>PICCOLI TRANSPORTES LTDA</t>
        </is>
      </c>
      <c r="G3869" s="27" t="n">
        <v>46204</v>
      </c>
      <c r="H3869" s="14" t="n">
        <v>2588.85</v>
      </c>
      <c r="I3869" s="14" t="n">
        <v>0</v>
      </c>
      <c r="J3869" s="14" t="n">
        <v>181.22</v>
      </c>
      <c r="K3869" s="14" t="n">
        <v>0</v>
      </c>
      <c r="L3869" s="14" t="n">
        <v>0</v>
      </c>
      <c r="M3869" s="14">
        <f>IF(B3869="Frete de venda",0,(1-ISNUMBER(SEARCH("556",P3869)))*(I3869*VLOOKUP($B3869,Premissas!$A$4:$E$7,2,0)+J3869*VLOOKUP($B3869,Premissas!$A$4:$E$7,3,0))+K3869*VLOOKUP($B3869,Premissas!$A$4:$E$7,4,0)+L3869*VLOOKUP($B3869,Premissas!$A$4:$E$7,5,0))</f>
        <v/>
      </c>
      <c r="N3869" s="14">
        <f>H3869-M3869</f>
        <v/>
      </c>
      <c r="O3869" t="inlineStr">
        <is>
          <t>Sim</t>
        </is>
      </c>
      <c r="P3869" t="inlineStr">
        <is>
          <t>2.350</t>
        </is>
      </c>
    </row>
    <row r="3870">
      <c r="A3870" s="24" t="n">
        <v>46204</v>
      </c>
      <c r="B3870" t="inlineStr">
        <is>
          <t>Frete de venda</t>
        </is>
      </c>
      <c r="C3870" t="inlineStr">
        <is>
          <t>Frete de venda (para clientes)</t>
        </is>
      </c>
      <c r="D3870" t="inlineStr">
        <is>
          <t>CT-e</t>
        </is>
      </c>
      <c r="E3870" t="inlineStr">
        <is>
          <t>000007814</t>
        </is>
      </c>
      <c r="F3870" t="inlineStr">
        <is>
          <t>R&amp;R TRANSPORTE E LOGISTICA</t>
        </is>
      </c>
      <c r="G3870" s="27" t="n">
        <v>46234</v>
      </c>
      <c r="H3870" s="14" t="n">
        <v>33.44</v>
      </c>
      <c r="I3870" s="14" t="n">
        <v>0</v>
      </c>
      <c r="J3870" s="14" t="n">
        <v>0</v>
      </c>
      <c r="K3870" s="14" t="n">
        <v>0</v>
      </c>
      <c r="L3870" s="14" t="n">
        <v>0</v>
      </c>
      <c r="M3870" s="14">
        <f>IF(B3870="Frete de venda",0,(1-ISNUMBER(SEARCH("556",P3870)))*(I3870*VLOOKUP($B3870,Premissas!$A$4:$E$7,2,0)+J3870*VLOOKUP($B3870,Premissas!$A$4:$E$7,3,0))+K3870*VLOOKUP($B3870,Premissas!$A$4:$E$7,4,0)+L3870*VLOOKUP($B3870,Premissas!$A$4:$E$7,5,0))</f>
        <v/>
      </c>
      <c r="N3870" s="14">
        <f>H3870-M3870</f>
        <v/>
      </c>
      <c r="O3870" t="inlineStr">
        <is>
          <t>Não</t>
        </is>
      </c>
      <c r="P3870" t="inlineStr">
        <is>
          <t>2.350</t>
        </is>
      </c>
    </row>
    <row r="3871">
      <c r="A3871" s="24" t="n">
        <v>46204</v>
      </c>
      <c r="B3871" t="inlineStr">
        <is>
          <t>Frete de venda</t>
        </is>
      </c>
      <c r="C3871" t="inlineStr">
        <is>
          <t>Frete de venda (para clientes)</t>
        </is>
      </c>
      <c r="D3871" t="inlineStr">
        <is>
          <t>CT-e</t>
        </is>
      </c>
      <c r="E3871" t="inlineStr">
        <is>
          <t>000007742</t>
        </is>
      </c>
      <c r="F3871" t="inlineStr">
        <is>
          <t>R&amp;R TRANSPORTE E LOGISTICA</t>
        </is>
      </c>
      <c r="G3871" s="27" t="n">
        <v>46226</v>
      </c>
      <c r="H3871" s="14" t="n">
        <v>39.08</v>
      </c>
      <c r="I3871" s="14" t="n">
        <v>0</v>
      </c>
      <c r="J3871" s="14" t="n">
        <v>0</v>
      </c>
      <c r="K3871" s="14" t="n">
        <v>0</v>
      </c>
      <c r="L3871" s="14" t="n">
        <v>0</v>
      </c>
      <c r="M3871" s="14">
        <f>IF(B3871="Frete de venda",0,(1-ISNUMBER(SEARCH("556",P3871)))*(I3871*VLOOKUP($B3871,Premissas!$A$4:$E$7,2,0)+J3871*VLOOKUP($B3871,Premissas!$A$4:$E$7,3,0))+K3871*VLOOKUP($B3871,Premissas!$A$4:$E$7,4,0)+L3871*VLOOKUP($B3871,Premissas!$A$4:$E$7,5,0))</f>
        <v/>
      </c>
      <c r="N3871" s="14">
        <f>H3871-M3871</f>
        <v/>
      </c>
      <c r="O3871" t="inlineStr">
        <is>
          <t>Não</t>
        </is>
      </c>
      <c r="P3871" t="inlineStr">
        <is>
          <t>2.350</t>
        </is>
      </c>
    </row>
    <row r="3872">
      <c r="A3872" s="24" t="n">
        <v>46204</v>
      </c>
      <c r="B3872" t="inlineStr">
        <is>
          <t>Frete de venda</t>
        </is>
      </c>
      <c r="C3872" t="inlineStr">
        <is>
          <t>Frete de venda (para clientes)</t>
        </is>
      </c>
      <c r="D3872" t="inlineStr">
        <is>
          <t>CT-e</t>
        </is>
      </c>
      <c r="E3872" t="inlineStr">
        <is>
          <t>000007604</t>
        </is>
      </c>
      <c r="F3872" t="inlineStr">
        <is>
          <t>R&amp;R TRANSPORTE E LOGISTICA</t>
        </is>
      </c>
      <c r="G3872" s="27" t="n">
        <v>46214</v>
      </c>
      <c r="H3872" s="14" t="n">
        <v>38.61</v>
      </c>
      <c r="I3872" s="14" t="n">
        <v>0</v>
      </c>
      <c r="J3872" s="14" t="n">
        <v>0</v>
      </c>
      <c r="K3872" s="14" t="n">
        <v>0</v>
      </c>
      <c r="L3872" s="14" t="n">
        <v>0</v>
      </c>
      <c r="M3872" s="14">
        <f>IF(B3872="Frete de venda",0,(1-ISNUMBER(SEARCH("556",P3872)))*(I3872*VLOOKUP($B3872,Premissas!$A$4:$E$7,2,0)+J3872*VLOOKUP($B3872,Premissas!$A$4:$E$7,3,0))+K3872*VLOOKUP($B3872,Premissas!$A$4:$E$7,4,0)+L3872*VLOOKUP($B3872,Premissas!$A$4:$E$7,5,0))</f>
        <v/>
      </c>
      <c r="N3872" s="14">
        <f>H3872-M3872</f>
        <v/>
      </c>
      <c r="O3872" t="inlineStr">
        <is>
          <t>Não</t>
        </is>
      </c>
      <c r="P3872" t="inlineStr">
        <is>
          <t>2.350</t>
        </is>
      </c>
    </row>
    <row r="3873">
      <c r="A3873" s="24" t="n">
        <v>46204</v>
      </c>
      <c r="B3873" t="inlineStr">
        <is>
          <t>Frete de venda</t>
        </is>
      </c>
      <c r="C3873" t="inlineStr">
        <is>
          <t>Frete de venda (para clientes)</t>
        </is>
      </c>
      <c r="D3873" t="inlineStr">
        <is>
          <t>CT-e</t>
        </is>
      </c>
      <c r="E3873" t="inlineStr">
        <is>
          <t>000007625</t>
        </is>
      </c>
      <c r="F3873" t="inlineStr">
        <is>
          <t>R&amp;R TRANSPORTE E LOGISTICA</t>
        </is>
      </c>
      <c r="G3873" s="27" t="n">
        <v>46214</v>
      </c>
      <c r="H3873" s="14" t="n">
        <v>250</v>
      </c>
      <c r="I3873" s="14" t="n">
        <v>0</v>
      </c>
      <c r="J3873" s="14" t="n">
        <v>0</v>
      </c>
      <c r="K3873" s="14" t="n">
        <v>0</v>
      </c>
      <c r="L3873" s="14" t="n">
        <v>0</v>
      </c>
      <c r="M3873" s="14">
        <f>IF(B3873="Frete de venda",0,(1-ISNUMBER(SEARCH("556",P3873)))*(I3873*VLOOKUP($B3873,Premissas!$A$4:$E$7,2,0)+J3873*VLOOKUP($B3873,Premissas!$A$4:$E$7,3,0))+K3873*VLOOKUP($B3873,Premissas!$A$4:$E$7,4,0)+L3873*VLOOKUP($B3873,Premissas!$A$4:$E$7,5,0))</f>
        <v/>
      </c>
      <c r="N3873" s="14">
        <f>H3873-M3873</f>
        <v/>
      </c>
      <c r="O3873" t="inlineStr">
        <is>
          <t>Não</t>
        </is>
      </c>
      <c r="P3873" t="inlineStr">
        <is>
          <t>2.350</t>
        </is>
      </c>
    </row>
    <row r="3874">
      <c r="A3874" s="24" t="n">
        <v>46204</v>
      </c>
      <c r="B3874" t="inlineStr">
        <is>
          <t>Frete de venda</t>
        </is>
      </c>
      <c r="C3874" t="inlineStr">
        <is>
          <t>Frete de venda (para clientes)</t>
        </is>
      </c>
      <c r="D3874" t="inlineStr">
        <is>
          <t>CT-e</t>
        </is>
      </c>
      <c r="E3874" t="inlineStr">
        <is>
          <t>000007637</t>
        </is>
      </c>
      <c r="F3874" t="inlineStr">
        <is>
          <t>R&amp;R TRANSPORTE E LOGISTICA</t>
        </is>
      </c>
      <c r="G3874" s="27" t="n">
        <v>46217</v>
      </c>
      <c r="H3874" s="14" t="n">
        <v>700</v>
      </c>
      <c r="I3874" s="14" t="n">
        <v>0</v>
      </c>
      <c r="J3874" s="14" t="n">
        <v>0</v>
      </c>
      <c r="K3874" s="14" t="n">
        <v>0</v>
      </c>
      <c r="L3874" s="14" t="n">
        <v>0</v>
      </c>
      <c r="M3874" s="14">
        <f>IF(B3874="Frete de venda",0,(1-ISNUMBER(SEARCH("556",P3874)))*(I3874*VLOOKUP($B3874,Premissas!$A$4:$E$7,2,0)+J3874*VLOOKUP($B3874,Premissas!$A$4:$E$7,3,0))+K3874*VLOOKUP($B3874,Premissas!$A$4:$E$7,4,0)+L3874*VLOOKUP($B3874,Premissas!$A$4:$E$7,5,0))</f>
        <v/>
      </c>
      <c r="N3874" s="14">
        <f>H3874-M3874</f>
        <v/>
      </c>
      <c r="O3874" t="inlineStr">
        <is>
          <t>Não</t>
        </is>
      </c>
      <c r="P3874" t="inlineStr">
        <is>
          <t>2.350</t>
        </is>
      </c>
    </row>
    <row r="3875">
      <c r="A3875" s="24" t="n">
        <v>46204</v>
      </c>
      <c r="B3875" t="inlineStr">
        <is>
          <t>Frete de venda</t>
        </is>
      </c>
      <c r="C3875" t="inlineStr">
        <is>
          <t>Frete de venda (para clientes)</t>
        </is>
      </c>
      <c r="D3875" t="inlineStr">
        <is>
          <t>CT-e</t>
        </is>
      </c>
      <c r="E3875" t="inlineStr">
        <is>
          <t>000007808</t>
        </is>
      </c>
      <c r="F3875" t="inlineStr">
        <is>
          <t>R&amp;R TRANSPORTE E LOGISTICA</t>
        </is>
      </c>
      <c r="G3875" s="27" t="n">
        <v>46234</v>
      </c>
      <c r="H3875" s="14" t="n">
        <v>79.19</v>
      </c>
      <c r="I3875" s="14" t="n">
        <v>0</v>
      </c>
      <c r="J3875" s="14" t="n">
        <v>0</v>
      </c>
      <c r="K3875" s="14" t="n">
        <v>0</v>
      </c>
      <c r="L3875" s="14" t="n">
        <v>0</v>
      </c>
      <c r="M3875" s="14">
        <f>IF(B3875="Frete de venda",0,(1-ISNUMBER(SEARCH("556",P3875)))*(I3875*VLOOKUP($B3875,Premissas!$A$4:$E$7,2,0)+J3875*VLOOKUP($B3875,Premissas!$A$4:$E$7,3,0))+K3875*VLOOKUP($B3875,Premissas!$A$4:$E$7,4,0)+L3875*VLOOKUP($B3875,Premissas!$A$4:$E$7,5,0))</f>
        <v/>
      </c>
      <c r="N3875" s="14">
        <f>H3875-M3875</f>
        <v/>
      </c>
      <c r="O3875" t="inlineStr">
        <is>
          <t>Não</t>
        </is>
      </c>
      <c r="P3875" t="inlineStr">
        <is>
          <t>2.350</t>
        </is>
      </c>
    </row>
    <row r="3876">
      <c r="A3876" s="24" t="n">
        <v>46204</v>
      </c>
      <c r="B3876" t="inlineStr">
        <is>
          <t>Frete de venda</t>
        </is>
      </c>
      <c r="C3876" t="inlineStr">
        <is>
          <t>Frete de venda (para clientes)</t>
        </is>
      </c>
      <c r="D3876" t="inlineStr">
        <is>
          <t>CT-e</t>
        </is>
      </c>
      <c r="E3876" t="inlineStr">
        <is>
          <t>000007652</t>
        </is>
      </c>
      <c r="F3876" t="inlineStr">
        <is>
          <t>R&amp;R TRANSPORTE E LOGISTICA</t>
        </is>
      </c>
      <c r="G3876" s="27" t="n">
        <v>46219</v>
      </c>
      <c r="H3876" s="14" t="n">
        <v>58.2</v>
      </c>
      <c r="I3876" s="14" t="n">
        <v>0</v>
      </c>
      <c r="J3876" s="14" t="n">
        <v>0</v>
      </c>
      <c r="K3876" s="14" t="n">
        <v>0</v>
      </c>
      <c r="L3876" s="14" t="n">
        <v>0</v>
      </c>
      <c r="M3876" s="14">
        <f>IF(B3876="Frete de venda",0,(1-ISNUMBER(SEARCH("556",P3876)))*(I3876*VLOOKUP($B3876,Premissas!$A$4:$E$7,2,0)+J3876*VLOOKUP($B3876,Premissas!$A$4:$E$7,3,0))+K3876*VLOOKUP($B3876,Premissas!$A$4:$E$7,4,0)+L3876*VLOOKUP($B3876,Premissas!$A$4:$E$7,5,0))</f>
        <v/>
      </c>
      <c r="N3876" s="14">
        <f>H3876-M3876</f>
        <v/>
      </c>
      <c r="O3876" t="inlineStr">
        <is>
          <t>Não</t>
        </is>
      </c>
      <c r="P3876" t="inlineStr">
        <is>
          <t>2.350</t>
        </is>
      </c>
    </row>
    <row r="3877">
      <c r="A3877" s="24" t="n">
        <v>46204</v>
      </c>
      <c r="B3877" t="inlineStr">
        <is>
          <t>Frete de venda</t>
        </is>
      </c>
      <c r="C3877" t="inlineStr">
        <is>
          <t>Frete de venda (para clientes)</t>
        </is>
      </c>
      <c r="D3877" t="inlineStr">
        <is>
          <t>CT-e</t>
        </is>
      </c>
      <c r="E3877" t="inlineStr">
        <is>
          <t>000018911</t>
        </is>
      </c>
      <c r="F3877" t="inlineStr">
        <is>
          <t>ANGELA PAULA MASSARUT ME</t>
        </is>
      </c>
      <c r="G3877" s="27" t="n">
        <v>46224</v>
      </c>
      <c r="H3877" s="14" t="n">
        <v>470</v>
      </c>
      <c r="I3877" s="14" t="n">
        <v>0</v>
      </c>
      <c r="J3877" s="14" t="n">
        <v>56.4</v>
      </c>
      <c r="K3877" s="14" t="n">
        <v>0</v>
      </c>
      <c r="L3877" s="14" t="n">
        <v>0</v>
      </c>
      <c r="M3877" s="14">
        <f>IF(B3877="Frete de venda",0,(1-ISNUMBER(SEARCH("556",P3877)))*(I3877*VLOOKUP($B3877,Premissas!$A$4:$E$7,2,0)+J3877*VLOOKUP($B3877,Premissas!$A$4:$E$7,3,0))+K3877*VLOOKUP($B3877,Premissas!$A$4:$E$7,4,0)+L3877*VLOOKUP($B3877,Premissas!$A$4:$E$7,5,0))</f>
        <v/>
      </c>
      <c r="N3877" s="14">
        <f>H3877-M3877</f>
        <v/>
      </c>
      <c r="O3877" t="inlineStr">
        <is>
          <t>Sim</t>
        </is>
      </c>
      <c r="P3877" t="inlineStr">
        <is>
          <t>2.350</t>
        </is>
      </c>
    </row>
    <row r="3878">
      <c r="A3878" s="24" t="n">
        <v>46204</v>
      </c>
      <c r="B3878" t="inlineStr">
        <is>
          <t>Frete de venda</t>
        </is>
      </c>
      <c r="C3878" t="inlineStr">
        <is>
          <t>Frete de venda (para clientes)</t>
        </is>
      </c>
      <c r="D3878" t="inlineStr">
        <is>
          <t>CT-e</t>
        </is>
      </c>
      <c r="E3878" t="inlineStr">
        <is>
          <t>000007725</t>
        </is>
      </c>
      <c r="F3878" t="inlineStr">
        <is>
          <t>R&amp;R TRANSPORTE E LOGISTICA</t>
        </is>
      </c>
      <c r="G3878" s="27" t="n">
        <v>46225</v>
      </c>
      <c r="H3878" s="14" t="n">
        <v>22.02</v>
      </c>
      <c r="I3878" s="14" t="n">
        <v>0</v>
      </c>
      <c r="J3878" s="14" t="n">
        <v>0</v>
      </c>
      <c r="K3878" s="14" t="n">
        <v>0</v>
      </c>
      <c r="L3878" s="14" t="n">
        <v>0</v>
      </c>
      <c r="M3878" s="14">
        <f>IF(B3878="Frete de venda",0,(1-ISNUMBER(SEARCH("556",P3878)))*(I3878*VLOOKUP($B3878,Premissas!$A$4:$E$7,2,0)+J3878*VLOOKUP($B3878,Premissas!$A$4:$E$7,3,0))+K3878*VLOOKUP($B3878,Premissas!$A$4:$E$7,4,0)+L3878*VLOOKUP($B3878,Premissas!$A$4:$E$7,5,0))</f>
        <v/>
      </c>
      <c r="N3878" s="14">
        <f>H3878-M3878</f>
        <v/>
      </c>
      <c r="O3878" t="inlineStr">
        <is>
          <t>Não</t>
        </is>
      </c>
      <c r="P3878" t="inlineStr">
        <is>
          <t>2.350</t>
        </is>
      </c>
    </row>
    <row r="3879">
      <c r="A3879" s="24" t="n">
        <v>46204</v>
      </c>
      <c r="B3879" t="inlineStr">
        <is>
          <t>Frete de venda</t>
        </is>
      </c>
      <c r="C3879" t="inlineStr">
        <is>
          <t>Frete de venda (para clientes)</t>
        </is>
      </c>
      <c r="D3879" t="inlineStr">
        <is>
          <t>CT-e</t>
        </is>
      </c>
      <c r="E3879" t="inlineStr">
        <is>
          <t>000007768</t>
        </is>
      </c>
      <c r="F3879" t="inlineStr">
        <is>
          <t>R&amp;R TRANSPORTE E LOGISTICA</t>
        </is>
      </c>
      <c r="G3879" s="27" t="n">
        <v>46227</v>
      </c>
      <c r="H3879" s="14" t="n">
        <v>22.7</v>
      </c>
      <c r="I3879" s="14" t="n">
        <v>0</v>
      </c>
      <c r="J3879" s="14" t="n">
        <v>0</v>
      </c>
      <c r="K3879" s="14" t="n">
        <v>0</v>
      </c>
      <c r="L3879" s="14" t="n">
        <v>0</v>
      </c>
      <c r="M3879" s="14">
        <f>IF(B3879="Frete de venda",0,(1-ISNUMBER(SEARCH("556",P3879)))*(I3879*VLOOKUP($B3879,Premissas!$A$4:$E$7,2,0)+J3879*VLOOKUP($B3879,Premissas!$A$4:$E$7,3,0))+K3879*VLOOKUP($B3879,Premissas!$A$4:$E$7,4,0)+L3879*VLOOKUP($B3879,Premissas!$A$4:$E$7,5,0))</f>
        <v/>
      </c>
      <c r="N3879" s="14">
        <f>H3879-M3879</f>
        <v/>
      </c>
      <c r="O3879" t="inlineStr">
        <is>
          <t>Não</t>
        </is>
      </c>
      <c r="P3879" t="inlineStr">
        <is>
          <t>1.350</t>
        </is>
      </c>
    </row>
    <row r="3880">
      <c r="A3880" s="24" t="n">
        <v>46204</v>
      </c>
      <c r="B3880" t="inlineStr">
        <is>
          <t>Frete de venda</t>
        </is>
      </c>
      <c r="C3880" t="inlineStr">
        <is>
          <t>Frete de venda (para clientes)</t>
        </is>
      </c>
      <c r="D3880" t="inlineStr">
        <is>
          <t>CT-e</t>
        </is>
      </c>
      <c r="E3880" t="inlineStr">
        <is>
          <t>000007696</t>
        </is>
      </c>
      <c r="F3880" t="inlineStr">
        <is>
          <t>R&amp;R TRANSPORTE E LOGISTICA</t>
        </is>
      </c>
      <c r="G3880" s="27" t="n">
        <v>46223</v>
      </c>
      <c r="H3880" s="14" t="n">
        <v>86.58</v>
      </c>
      <c r="I3880" s="14" t="n">
        <v>0</v>
      </c>
      <c r="J3880" s="14" t="n">
        <v>0</v>
      </c>
      <c r="K3880" s="14" t="n">
        <v>0</v>
      </c>
      <c r="L3880" s="14" t="n">
        <v>0</v>
      </c>
      <c r="M3880" s="14">
        <f>IF(B3880="Frete de venda",0,(1-ISNUMBER(SEARCH("556",P3880)))*(I3880*VLOOKUP($B3880,Premissas!$A$4:$E$7,2,0)+J3880*VLOOKUP($B3880,Premissas!$A$4:$E$7,3,0))+K3880*VLOOKUP($B3880,Premissas!$A$4:$E$7,4,0)+L3880*VLOOKUP($B3880,Premissas!$A$4:$E$7,5,0))</f>
        <v/>
      </c>
      <c r="N3880" s="14">
        <f>H3880-M3880</f>
        <v/>
      </c>
      <c r="O3880" t="inlineStr">
        <is>
          <t>Não</t>
        </is>
      </c>
      <c r="P3880" t="inlineStr">
        <is>
          <t>2.350</t>
        </is>
      </c>
    </row>
    <row r="3881">
      <c r="A3881" s="24" t="n">
        <v>46204</v>
      </c>
      <c r="B3881" t="inlineStr">
        <is>
          <t>Frete de venda</t>
        </is>
      </c>
      <c r="C3881" t="inlineStr">
        <is>
          <t>Frete de venda (para clientes)</t>
        </is>
      </c>
      <c r="D3881" t="inlineStr">
        <is>
          <t>CT-e</t>
        </is>
      </c>
      <c r="E3881" t="inlineStr">
        <is>
          <t>000007589</t>
        </is>
      </c>
      <c r="F3881" t="inlineStr">
        <is>
          <t>R&amp;R TRANSPORTE E LOGISTICA</t>
        </is>
      </c>
      <c r="G3881" s="27" t="n">
        <v>46212</v>
      </c>
      <c r="H3881" s="14" t="n">
        <v>24.09</v>
      </c>
      <c r="I3881" s="14" t="n">
        <v>0</v>
      </c>
      <c r="J3881" s="14" t="n">
        <v>0</v>
      </c>
      <c r="K3881" s="14" t="n">
        <v>0</v>
      </c>
      <c r="L3881" s="14" t="n">
        <v>0</v>
      </c>
      <c r="M3881" s="14">
        <f>IF(B3881="Frete de venda",0,(1-ISNUMBER(SEARCH("556",P3881)))*(I3881*VLOOKUP($B3881,Premissas!$A$4:$E$7,2,0)+J3881*VLOOKUP($B3881,Premissas!$A$4:$E$7,3,0))+K3881*VLOOKUP($B3881,Premissas!$A$4:$E$7,4,0)+L3881*VLOOKUP($B3881,Premissas!$A$4:$E$7,5,0))</f>
        <v/>
      </c>
      <c r="N3881" s="14">
        <f>H3881-M3881</f>
        <v/>
      </c>
      <c r="O3881" t="inlineStr">
        <is>
          <t>Não</t>
        </is>
      </c>
      <c r="P3881" t="inlineStr">
        <is>
          <t>2.350</t>
        </is>
      </c>
    </row>
    <row r="3882">
      <c r="A3882" s="24" t="n">
        <v>46204</v>
      </c>
      <c r="B3882" t="inlineStr">
        <is>
          <t>Frete de venda</t>
        </is>
      </c>
      <c r="C3882" t="inlineStr">
        <is>
          <t>Frete de venda (para clientes)</t>
        </is>
      </c>
      <c r="D3882" t="inlineStr">
        <is>
          <t>CT-e</t>
        </is>
      </c>
      <c r="E3882" t="inlineStr">
        <is>
          <t>000007550</t>
        </is>
      </c>
      <c r="F3882" t="inlineStr">
        <is>
          <t>R&amp;R TRANSPORTE E LOGISTICA</t>
        </is>
      </c>
      <c r="G3882" s="27" t="n">
        <v>46211</v>
      </c>
      <c r="H3882" s="14" t="n">
        <v>111.32</v>
      </c>
      <c r="I3882" s="14" t="n">
        <v>0</v>
      </c>
      <c r="J3882" s="14" t="n">
        <v>0</v>
      </c>
      <c r="K3882" s="14" t="n">
        <v>0</v>
      </c>
      <c r="L3882" s="14" t="n">
        <v>0</v>
      </c>
      <c r="M3882" s="14">
        <f>IF(B3882="Frete de venda",0,(1-ISNUMBER(SEARCH("556",P3882)))*(I3882*VLOOKUP($B3882,Premissas!$A$4:$E$7,2,0)+J3882*VLOOKUP($B3882,Premissas!$A$4:$E$7,3,0))+K3882*VLOOKUP($B3882,Premissas!$A$4:$E$7,4,0)+L3882*VLOOKUP($B3882,Premissas!$A$4:$E$7,5,0))</f>
        <v/>
      </c>
      <c r="N3882" s="14">
        <f>H3882-M3882</f>
        <v/>
      </c>
      <c r="O3882" t="inlineStr">
        <is>
          <t>Não</t>
        </is>
      </c>
      <c r="P3882" t="inlineStr">
        <is>
          <t>2.350</t>
        </is>
      </c>
    </row>
    <row r="3883">
      <c r="A3883" s="24" t="n">
        <v>46204</v>
      </c>
      <c r="B3883" t="inlineStr">
        <is>
          <t>Frete de venda</t>
        </is>
      </c>
      <c r="C3883" t="inlineStr">
        <is>
          <t>Frete de venda (para clientes)</t>
        </is>
      </c>
      <c r="D3883" t="inlineStr">
        <is>
          <t>CT-e</t>
        </is>
      </c>
      <c r="E3883" t="inlineStr">
        <is>
          <t>000007746</t>
        </is>
      </c>
      <c r="F3883" t="inlineStr">
        <is>
          <t>R&amp;R TRANSPORTE E LOGISTICA</t>
        </is>
      </c>
      <c r="G3883" s="27" t="n">
        <v>46226</v>
      </c>
      <c r="H3883" s="14" t="n">
        <v>39.58</v>
      </c>
      <c r="I3883" s="14" t="n">
        <v>0</v>
      </c>
      <c r="J3883" s="14" t="n">
        <v>0</v>
      </c>
      <c r="K3883" s="14" t="n">
        <v>0</v>
      </c>
      <c r="L3883" s="14" t="n">
        <v>0</v>
      </c>
      <c r="M3883" s="14">
        <f>IF(B3883="Frete de venda",0,(1-ISNUMBER(SEARCH("556",P3883)))*(I3883*VLOOKUP($B3883,Premissas!$A$4:$E$7,2,0)+J3883*VLOOKUP($B3883,Premissas!$A$4:$E$7,3,0))+K3883*VLOOKUP($B3883,Premissas!$A$4:$E$7,4,0)+L3883*VLOOKUP($B3883,Premissas!$A$4:$E$7,5,0))</f>
        <v/>
      </c>
      <c r="N3883" s="14">
        <f>H3883-M3883</f>
        <v/>
      </c>
      <c r="O3883" t="inlineStr">
        <is>
          <t>Não</t>
        </is>
      </c>
      <c r="P3883" t="inlineStr">
        <is>
          <t>2.350</t>
        </is>
      </c>
    </row>
    <row r="3884">
      <c r="A3884" s="24" t="n">
        <v>46204</v>
      </c>
      <c r="B3884" t="inlineStr">
        <is>
          <t>Frete de venda</t>
        </is>
      </c>
      <c r="C3884" t="inlineStr">
        <is>
          <t>Frete de venda (para clientes)</t>
        </is>
      </c>
      <c r="D3884" t="inlineStr">
        <is>
          <t>CT-e</t>
        </is>
      </c>
      <c r="E3884" t="inlineStr">
        <is>
          <t>000007738</t>
        </is>
      </c>
      <c r="F3884" t="inlineStr">
        <is>
          <t>R&amp;R TRANSPORTE E LOGISTICA</t>
        </is>
      </c>
      <c r="G3884" s="27" t="n">
        <v>46225</v>
      </c>
      <c r="H3884" s="14" t="n">
        <v>40.74</v>
      </c>
      <c r="I3884" s="14" t="n">
        <v>0</v>
      </c>
      <c r="J3884" s="14" t="n">
        <v>0</v>
      </c>
      <c r="K3884" s="14" t="n">
        <v>0</v>
      </c>
      <c r="L3884" s="14" t="n">
        <v>0</v>
      </c>
      <c r="M3884" s="14">
        <f>IF(B3884="Frete de venda",0,(1-ISNUMBER(SEARCH("556",P3884)))*(I3884*VLOOKUP($B3884,Premissas!$A$4:$E$7,2,0)+J3884*VLOOKUP($B3884,Premissas!$A$4:$E$7,3,0))+K3884*VLOOKUP($B3884,Premissas!$A$4:$E$7,4,0)+L3884*VLOOKUP($B3884,Premissas!$A$4:$E$7,5,0))</f>
        <v/>
      </c>
      <c r="N3884" s="14">
        <f>H3884-M3884</f>
        <v/>
      </c>
      <c r="O3884" t="inlineStr">
        <is>
          <t>Não</t>
        </is>
      </c>
      <c r="P3884" t="inlineStr">
        <is>
          <t>2.350</t>
        </is>
      </c>
    </row>
    <row r="3885">
      <c r="A3885" s="24" t="n">
        <v>46204</v>
      </c>
      <c r="B3885" t="inlineStr">
        <is>
          <t>Frete de venda</t>
        </is>
      </c>
      <c r="C3885" t="inlineStr">
        <is>
          <t>Frete de venda (para clientes)</t>
        </is>
      </c>
      <c r="D3885" t="inlineStr">
        <is>
          <t>CT-e</t>
        </is>
      </c>
      <c r="E3885" t="inlineStr">
        <is>
          <t>000007734</t>
        </is>
      </c>
      <c r="F3885" t="inlineStr">
        <is>
          <t>R&amp;R TRANSPORTE E LOGISTICA</t>
        </is>
      </c>
      <c r="G3885" s="27" t="n">
        <v>46225</v>
      </c>
      <c r="H3885" s="14" t="n">
        <v>29.69</v>
      </c>
      <c r="I3885" s="14" t="n">
        <v>0</v>
      </c>
      <c r="J3885" s="14" t="n">
        <v>0</v>
      </c>
      <c r="K3885" s="14" t="n">
        <v>0</v>
      </c>
      <c r="L3885" s="14" t="n">
        <v>0</v>
      </c>
      <c r="M3885" s="14">
        <f>IF(B3885="Frete de venda",0,(1-ISNUMBER(SEARCH("556",P3885)))*(I3885*VLOOKUP($B3885,Premissas!$A$4:$E$7,2,0)+J3885*VLOOKUP($B3885,Premissas!$A$4:$E$7,3,0))+K3885*VLOOKUP($B3885,Premissas!$A$4:$E$7,4,0)+L3885*VLOOKUP($B3885,Premissas!$A$4:$E$7,5,0))</f>
        <v/>
      </c>
      <c r="N3885" s="14">
        <f>H3885-M3885</f>
        <v/>
      </c>
      <c r="O3885" t="inlineStr">
        <is>
          <t>Não</t>
        </is>
      </c>
      <c r="P3885" t="inlineStr">
        <is>
          <t>2.350</t>
        </is>
      </c>
    </row>
    <row r="3886">
      <c r="A3886" s="24" t="n">
        <v>46204</v>
      </c>
      <c r="B3886" t="inlineStr">
        <is>
          <t>Frete de venda</t>
        </is>
      </c>
      <c r="C3886" t="inlineStr">
        <is>
          <t>Frete de venda (para clientes)</t>
        </is>
      </c>
      <c r="D3886" t="inlineStr">
        <is>
          <t>CT-e</t>
        </is>
      </c>
      <c r="E3886" t="inlineStr">
        <is>
          <t>000007686</t>
        </is>
      </c>
      <c r="F3886" t="inlineStr">
        <is>
          <t>R&amp;R TRANSPORTE E LOGISTICA</t>
        </is>
      </c>
      <c r="G3886" s="27" t="n">
        <v>46223</v>
      </c>
      <c r="H3886" s="14" t="n">
        <v>1400</v>
      </c>
      <c r="I3886" s="14" t="n">
        <v>0</v>
      </c>
      <c r="J3886" s="14" t="n">
        <v>0</v>
      </c>
      <c r="K3886" s="14" t="n">
        <v>0</v>
      </c>
      <c r="L3886" s="14" t="n">
        <v>0</v>
      </c>
      <c r="M3886" s="14">
        <f>IF(B3886="Frete de venda",0,(1-ISNUMBER(SEARCH("556",P3886)))*(I3886*VLOOKUP($B3886,Premissas!$A$4:$E$7,2,0)+J3886*VLOOKUP($B3886,Premissas!$A$4:$E$7,3,0))+K3886*VLOOKUP($B3886,Premissas!$A$4:$E$7,4,0)+L3886*VLOOKUP($B3886,Premissas!$A$4:$E$7,5,0))</f>
        <v/>
      </c>
      <c r="N3886" s="14">
        <f>H3886-M3886</f>
        <v/>
      </c>
      <c r="O3886" t="inlineStr">
        <is>
          <t>Não</t>
        </is>
      </c>
      <c r="P3886" t="inlineStr">
        <is>
          <t>2.350</t>
        </is>
      </c>
    </row>
    <row r="3887">
      <c r="A3887" s="24" t="n">
        <v>46204</v>
      </c>
      <c r="B3887" t="inlineStr">
        <is>
          <t>Frete de venda</t>
        </is>
      </c>
      <c r="C3887" t="inlineStr">
        <is>
          <t>Frete de venda (para clientes)</t>
        </is>
      </c>
      <c r="D3887" t="inlineStr">
        <is>
          <t>CT-e</t>
        </is>
      </c>
      <c r="E3887" t="inlineStr">
        <is>
          <t>000007789</t>
        </is>
      </c>
      <c r="F3887" t="inlineStr">
        <is>
          <t>R&amp;R TRANSPORTE E LOGISTICA</t>
        </is>
      </c>
      <c r="G3887" s="27" t="n">
        <v>46231</v>
      </c>
      <c r="H3887" s="14" t="n">
        <v>1860</v>
      </c>
      <c r="I3887" s="14" t="n">
        <v>0</v>
      </c>
      <c r="J3887" s="14" t="n">
        <v>0</v>
      </c>
      <c r="K3887" s="14" t="n">
        <v>0</v>
      </c>
      <c r="L3887" s="14" t="n">
        <v>0</v>
      </c>
      <c r="M3887" s="14">
        <f>IF(B3887="Frete de venda",0,(1-ISNUMBER(SEARCH("556",P3887)))*(I3887*VLOOKUP($B3887,Premissas!$A$4:$E$7,2,0)+J3887*VLOOKUP($B3887,Premissas!$A$4:$E$7,3,0))+K3887*VLOOKUP($B3887,Premissas!$A$4:$E$7,4,0)+L3887*VLOOKUP($B3887,Premissas!$A$4:$E$7,5,0))</f>
        <v/>
      </c>
      <c r="N3887" s="14">
        <f>H3887-M3887</f>
        <v/>
      </c>
      <c r="O3887" t="inlineStr">
        <is>
          <t>Sim</t>
        </is>
      </c>
      <c r="P3887" t="inlineStr">
        <is>
          <t>1.350</t>
        </is>
      </c>
    </row>
    <row r="3888">
      <c r="A3888" s="24" t="n">
        <v>46204</v>
      </c>
      <c r="B3888" t="inlineStr">
        <is>
          <t>Frete de venda</t>
        </is>
      </c>
      <c r="C3888" t="inlineStr">
        <is>
          <t>Frete de venda (para clientes)</t>
        </is>
      </c>
      <c r="D3888" t="inlineStr">
        <is>
          <t>CT-e</t>
        </is>
      </c>
      <c r="E3888" t="inlineStr">
        <is>
          <t>000007615</t>
        </is>
      </c>
      <c r="F3888" t="inlineStr">
        <is>
          <t>R&amp;R TRANSPORTE E LOGISTICA</t>
        </is>
      </c>
      <c r="G3888" s="27" t="n">
        <v>46214</v>
      </c>
      <c r="H3888" s="14" t="n">
        <v>38.61</v>
      </c>
      <c r="I3888" s="14" t="n">
        <v>0</v>
      </c>
      <c r="J3888" s="14" t="n">
        <v>0</v>
      </c>
      <c r="K3888" s="14" t="n">
        <v>0</v>
      </c>
      <c r="L3888" s="14" t="n">
        <v>0</v>
      </c>
      <c r="M3888" s="14">
        <f>IF(B3888="Frete de venda",0,(1-ISNUMBER(SEARCH("556",P3888)))*(I3888*VLOOKUP($B3888,Premissas!$A$4:$E$7,2,0)+J3888*VLOOKUP($B3888,Premissas!$A$4:$E$7,3,0))+K3888*VLOOKUP($B3888,Premissas!$A$4:$E$7,4,0)+L3888*VLOOKUP($B3888,Premissas!$A$4:$E$7,5,0))</f>
        <v/>
      </c>
      <c r="N3888" s="14">
        <f>H3888-M3888</f>
        <v/>
      </c>
      <c r="O3888" t="inlineStr">
        <is>
          <t>Não</t>
        </is>
      </c>
      <c r="P3888" t="inlineStr">
        <is>
          <t>2.350</t>
        </is>
      </c>
    </row>
    <row r="3889">
      <c r="A3889" s="24" t="n">
        <v>46204</v>
      </c>
      <c r="B3889" t="inlineStr">
        <is>
          <t>Frete de venda</t>
        </is>
      </c>
      <c r="C3889" t="inlineStr">
        <is>
          <t>Frete de venda (para clientes)</t>
        </is>
      </c>
      <c r="D3889" t="inlineStr">
        <is>
          <t>CT-e</t>
        </is>
      </c>
      <c r="E3889" t="inlineStr">
        <is>
          <t>000007656</t>
        </is>
      </c>
      <c r="F3889" t="inlineStr">
        <is>
          <t>R&amp;R TRANSPORTE E LOGISTICA</t>
        </is>
      </c>
      <c r="G3889" s="27" t="n">
        <v>46219</v>
      </c>
      <c r="H3889" s="14" t="n">
        <v>58.2</v>
      </c>
      <c r="I3889" s="14" t="n">
        <v>0</v>
      </c>
      <c r="J3889" s="14" t="n">
        <v>0</v>
      </c>
      <c r="K3889" s="14" t="n">
        <v>0</v>
      </c>
      <c r="L3889" s="14" t="n">
        <v>0</v>
      </c>
      <c r="M3889" s="14">
        <f>IF(B3889="Frete de venda",0,(1-ISNUMBER(SEARCH("556",P3889)))*(I3889*VLOOKUP($B3889,Premissas!$A$4:$E$7,2,0)+J3889*VLOOKUP($B3889,Premissas!$A$4:$E$7,3,0))+K3889*VLOOKUP($B3889,Premissas!$A$4:$E$7,4,0)+L3889*VLOOKUP($B3889,Premissas!$A$4:$E$7,5,0))</f>
        <v/>
      </c>
      <c r="N3889" s="14">
        <f>H3889-M3889</f>
        <v/>
      </c>
      <c r="O3889" t="inlineStr">
        <is>
          <t>Não</t>
        </is>
      </c>
      <c r="P3889" t="inlineStr">
        <is>
          <t>2.350</t>
        </is>
      </c>
    </row>
    <row r="3890">
      <c r="A3890" s="24" t="n">
        <v>46204</v>
      </c>
      <c r="B3890" t="inlineStr">
        <is>
          <t>Frete de venda</t>
        </is>
      </c>
      <c r="C3890" t="inlineStr">
        <is>
          <t>Frete de venda (para clientes)</t>
        </is>
      </c>
      <c r="D3890" t="inlineStr">
        <is>
          <t>CT-e</t>
        </is>
      </c>
      <c r="E3890" t="inlineStr">
        <is>
          <t>000035599</t>
        </is>
      </c>
      <c r="F3890" t="inlineStr">
        <is>
          <t>PICCOLI LOGISTICA E TRANSPORTES LTDA</t>
        </is>
      </c>
      <c r="G3890" s="27" t="n">
        <v>46233</v>
      </c>
      <c r="H3890" s="14" t="n">
        <v>4126.44</v>
      </c>
      <c r="I3890" s="14" t="n">
        <v>0</v>
      </c>
      <c r="J3890" s="14" t="n">
        <v>288.85</v>
      </c>
      <c r="K3890" s="14" t="n">
        <v>0</v>
      </c>
      <c r="L3890" s="14" t="n">
        <v>0</v>
      </c>
      <c r="M3890" s="14">
        <f>IF(B3890="Frete de venda",0,(1-ISNUMBER(SEARCH("556",P3890)))*(I3890*VLOOKUP($B3890,Premissas!$A$4:$E$7,2,0)+J3890*VLOOKUP($B3890,Premissas!$A$4:$E$7,3,0))+K3890*VLOOKUP($B3890,Premissas!$A$4:$E$7,4,0)+L3890*VLOOKUP($B3890,Premissas!$A$4:$E$7,5,0))</f>
        <v/>
      </c>
      <c r="N3890" s="14">
        <f>H3890-M3890</f>
        <v/>
      </c>
      <c r="O3890" t="inlineStr">
        <is>
          <t>Sim</t>
        </is>
      </c>
      <c r="P3890" t="inlineStr">
        <is>
          <t>2.350</t>
        </is>
      </c>
    </row>
    <row r="3891">
      <c r="A3891" s="24" t="n">
        <v>46204</v>
      </c>
      <c r="B3891" t="inlineStr">
        <is>
          <t>Frete de venda</t>
        </is>
      </c>
      <c r="C3891" t="inlineStr">
        <is>
          <t>Frete de venda (para clientes)</t>
        </is>
      </c>
      <c r="D3891" t="inlineStr">
        <is>
          <t>CT-e</t>
        </is>
      </c>
      <c r="E3891" t="inlineStr">
        <is>
          <t>000007520</t>
        </is>
      </c>
      <c r="F3891" t="inlineStr">
        <is>
          <t>R&amp;R TRANSPORTE E LOGISTICA</t>
        </is>
      </c>
      <c r="G3891" s="27" t="n">
        <v>46204</v>
      </c>
      <c r="H3891" s="14" t="n">
        <v>71.76000000000001</v>
      </c>
      <c r="I3891" s="14" t="n">
        <v>0</v>
      </c>
      <c r="J3891" s="14" t="n">
        <v>0</v>
      </c>
      <c r="K3891" s="14" t="n">
        <v>0</v>
      </c>
      <c r="L3891" s="14" t="n">
        <v>0</v>
      </c>
      <c r="M3891" s="14">
        <f>IF(B3891="Frete de venda",0,(1-ISNUMBER(SEARCH("556",P3891)))*(I3891*VLOOKUP($B3891,Premissas!$A$4:$E$7,2,0)+J3891*VLOOKUP($B3891,Premissas!$A$4:$E$7,3,0))+K3891*VLOOKUP($B3891,Premissas!$A$4:$E$7,4,0)+L3891*VLOOKUP($B3891,Premissas!$A$4:$E$7,5,0))</f>
        <v/>
      </c>
      <c r="N3891" s="14">
        <f>H3891-M3891</f>
        <v/>
      </c>
      <c r="O3891" t="inlineStr">
        <is>
          <t>Não</t>
        </is>
      </c>
      <c r="P3891" t="inlineStr">
        <is>
          <t>2.350</t>
        </is>
      </c>
    </row>
    <row r="3892">
      <c r="A3892" s="24" t="n">
        <v>46204</v>
      </c>
      <c r="B3892" t="inlineStr">
        <is>
          <t>Frete de venda</t>
        </is>
      </c>
      <c r="C3892" t="inlineStr">
        <is>
          <t>Frete de venda (para clientes)</t>
        </is>
      </c>
      <c r="D3892" t="inlineStr">
        <is>
          <t>CT-e</t>
        </is>
      </c>
      <c r="E3892" t="inlineStr">
        <is>
          <t>000007657</t>
        </is>
      </c>
      <c r="F3892" t="inlineStr">
        <is>
          <t>R&amp;R TRANSPORTE E LOGISTICA</t>
        </is>
      </c>
      <c r="G3892" s="27" t="n">
        <v>46219</v>
      </c>
      <c r="H3892" s="14" t="n">
        <v>58.2</v>
      </c>
      <c r="I3892" s="14" t="n">
        <v>0</v>
      </c>
      <c r="J3892" s="14" t="n">
        <v>0</v>
      </c>
      <c r="K3892" s="14" t="n">
        <v>0</v>
      </c>
      <c r="L3892" s="14" t="n">
        <v>0</v>
      </c>
      <c r="M3892" s="14">
        <f>IF(B3892="Frete de venda",0,(1-ISNUMBER(SEARCH("556",P3892)))*(I3892*VLOOKUP($B3892,Premissas!$A$4:$E$7,2,0)+J3892*VLOOKUP($B3892,Premissas!$A$4:$E$7,3,0))+K3892*VLOOKUP($B3892,Premissas!$A$4:$E$7,4,0)+L3892*VLOOKUP($B3892,Premissas!$A$4:$E$7,5,0))</f>
        <v/>
      </c>
      <c r="N3892" s="14">
        <f>H3892-M3892</f>
        <v/>
      </c>
      <c r="O3892" t="inlineStr">
        <is>
          <t>Não</t>
        </is>
      </c>
      <c r="P3892" t="inlineStr">
        <is>
          <t>2.350</t>
        </is>
      </c>
    </row>
    <row r="3893">
      <c r="A3893" s="24" t="n">
        <v>46204</v>
      </c>
      <c r="B3893" t="inlineStr">
        <is>
          <t>Frete de venda</t>
        </is>
      </c>
      <c r="C3893" t="inlineStr">
        <is>
          <t>Frete de venda (para clientes)</t>
        </is>
      </c>
      <c r="D3893" t="inlineStr">
        <is>
          <t>CT-e</t>
        </is>
      </c>
      <c r="E3893" t="inlineStr">
        <is>
          <t>000007724</t>
        </is>
      </c>
      <c r="F3893" t="inlineStr">
        <is>
          <t>R&amp;R TRANSPORTE E LOGISTICA</t>
        </is>
      </c>
      <c r="G3893" s="27" t="n">
        <v>46225</v>
      </c>
      <c r="H3893" s="14" t="n">
        <v>32.13</v>
      </c>
      <c r="I3893" s="14" t="n">
        <v>0</v>
      </c>
      <c r="J3893" s="14" t="n">
        <v>0</v>
      </c>
      <c r="K3893" s="14" t="n">
        <v>0</v>
      </c>
      <c r="L3893" s="14" t="n">
        <v>0</v>
      </c>
      <c r="M3893" s="14">
        <f>IF(B3893="Frete de venda",0,(1-ISNUMBER(SEARCH("556",P3893)))*(I3893*VLOOKUP($B3893,Premissas!$A$4:$E$7,2,0)+J3893*VLOOKUP($B3893,Premissas!$A$4:$E$7,3,0))+K3893*VLOOKUP($B3893,Premissas!$A$4:$E$7,4,0)+L3893*VLOOKUP($B3893,Premissas!$A$4:$E$7,5,0))</f>
        <v/>
      </c>
      <c r="N3893" s="14">
        <f>H3893-M3893</f>
        <v/>
      </c>
      <c r="O3893" t="inlineStr">
        <is>
          <t>Não</t>
        </is>
      </c>
      <c r="P3893" t="inlineStr">
        <is>
          <t>2.350</t>
        </is>
      </c>
    </row>
    <row r="3894">
      <c r="A3894" s="24" t="n">
        <v>46204</v>
      </c>
      <c r="B3894" t="inlineStr">
        <is>
          <t>Frete de venda</t>
        </is>
      </c>
      <c r="C3894" t="inlineStr">
        <is>
          <t>Frete de venda (para clientes)</t>
        </is>
      </c>
      <c r="D3894" t="inlineStr">
        <is>
          <t>CT-e</t>
        </is>
      </c>
      <c r="E3894" t="inlineStr">
        <is>
          <t>000007605</t>
        </is>
      </c>
      <c r="F3894" t="inlineStr">
        <is>
          <t>R&amp;R TRANSPORTE E LOGISTICA</t>
        </is>
      </c>
      <c r="G3894" s="27" t="n">
        <v>46214</v>
      </c>
      <c r="H3894" s="14" t="n">
        <v>38.61</v>
      </c>
      <c r="I3894" s="14" t="n">
        <v>0</v>
      </c>
      <c r="J3894" s="14" t="n">
        <v>0</v>
      </c>
      <c r="K3894" s="14" t="n">
        <v>0</v>
      </c>
      <c r="L3894" s="14" t="n">
        <v>0</v>
      </c>
      <c r="M3894" s="14">
        <f>IF(B3894="Frete de venda",0,(1-ISNUMBER(SEARCH("556",P3894)))*(I3894*VLOOKUP($B3894,Premissas!$A$4:$E$7,2,0)+J3894*VLOOKUP($B3894,Premissas!$A$4:$E$7,3,0))+K3894*VLOOKUP($B3894,Premissas!$A$4:$E$7,4,0)+L3894*VLOOKUP($B3894,Premissas!$A$4:$E$7,5,0))</f>
        <v/>
      </c>
      <c r="N3894" s="14">
        <f>H3894-M3894</f>
        <v/>
      </c>
      <c r="O3894" t="inlineStr">
        <is>
          <t>Não</t>
        </is>
      </c>
      <c r="P3894" t="inlineStr">
        <is>
          <t>2.350</t>
        </is>
      </c>
    </row>
    <row r="3895">
      <c r="A3895" s="24" t="n">
        <v>46204</v>
      </c>
      <c r="B3895" t="inlineStr">
        <is>
          <t>Frete de venda</t>
        </is>
      </c>
      <c r="C3895" t="inlineStr">
        <is>
          <t>Frete de venda (para clientes)</t>
        </is>
      </c>
      <c r="D3895" t="inlineStr">
        <is>
          <t>CT-e</t>
        </is>
      </c>
      <c r="E3895" t="inlineStr">
        <is>
          <t>000007733</t>
        </is>
      </c>
      <c r="F3895" t="inlineStr">
        <is>
          <t>R&amp;R TRANSPORTE E LOGISTICA</t>
        </is>
      </c>
      <c r="G3895" s="27" t="n">
        <v>46225</v>
      </c>
      <c r="H3895" s="14" t="n">
        <v>30.45</v>
      </c>
      <c r="I3895" s="14" t="n">
        <v>0</v>
      </c>
      <c r="J3895" s="14" t="n">
        <v>0</v>
      </c>
      <c r="K3895" s="14" t="n">
        <v>0</v>
      </c>
      <c r="L3895" s="14" t="n">
        <v>0</v>
      </c>
      <c r="M3895" s="14">
        <f>IF(B3895="Frete de venda",0,(1-ISNUMBER(SEARCH("556",P3895)))*(I3895*VLOOKUP($B3895,Premissas!$A$4:$E$7,2,0)+J3895*VLOOKUP($B3895,Premissas!$A$4:$E$7,3,0))+K3895*VLOOKUP($B3895,Premissas!$A$4:$E$7,4,0)+L3895*VLOOKUP($B3895,Premissas!$A$4:$E$7,5,0))</f>
        <v/>
      </c>
      <c r="N3895" s="14">
        <f>H3895-M3895</f>
        <v/>
      </c>
      <c r="O3895" t="inlineStr">
        <is>
          <t>Não</t>
        </is>
      </c>
      <c r="P3895" t="inlineStr">
        <is>
          <t>2.350</t>
        </is>
      </c>
    </row>
    <row r="3896">
      <c r="A3896" s="24" t="n">
        <v>46204</v>
      </c>
      <c r="B3896" t="inlineStr">
        <is>
          <t>Frete de venda</t>
        </is>
      </c>
      <c r="C3896" t="inlineStr">
        <is>
          <t>Frete de venda (para clientes)</t>
        </is>
      </c>
      <c r="D3896" t="inlineStr">
        <is>
          <t>CT-e</t>
        </is>
      </c>
      <c r="E3896" t="inlineStr">
        <is>
          <t>000007654</t>
        </is>
      </c>
      <c r="F3896" t="inlineStr">
        <is>
          <t>R&amp;R TRANSPORTE E LOGISTICA</t>
        </is>
      </c>
      <c r="G3896" s="27" t="n">
        <v>46219</v>
      </c>
      <c r="H3896" s="14" t="n">
        <v>58.2</v>
      </c>
      <c r="I3896" s="14" t="n">
        <v>0</v>
      </c>
      <c r="J3896" s="14" t="n">
        <v>0</v>
      </c>
      <c r="K3896" s="14" t="n">
        <v>0</v>
      </c>
      <c r="L3896" s="14" t="n">
        <v>0</v>
      </c>
      <c r="M3896" s="14">
        <f>IF(B3896="Frete de venda",0,(1-ISNUMBER(SEARCH("556",P3896)))*(I3896*VLOOKUP($B3896,Premissas!$A$4:$E$7,2,0)+J3896*VLOOKUP($B3896,Premissas!$A$4:$E$7,3,0))+K3896*VLOOKUP($B3896,Premissas!$A$4:$E$7,4,0)+L3896*VLOOKUP($B3896,Premissas!$A$4:$E$7,5,0))</f>
        <v/>
      </c>
      <c r="N3896" s="14">
        <f>H3896-M3896</f>
        <v/>
      </c>
      <c r="O3896" t="inlineStr">
        <is>
          <t>Não</t>
        </is>
      </c>
      <c r="P3896" t="inlineStr">
        <is>
          <t>2.350</t>
        </is>
      </c>
    </row>
    <row r="3897">
      <c r="A3897" s="24" t="n">
        <v>46204</v>
      </c>
      <c r="B3897" t="inlineStr">
        <is>
          <t>Frete de venda</t>
        </is>
      </c>
      <c r="C3897" t="inlineStr">
        <is>
          <t>Frete de venda (para clientes)</t>
        </is>
      </c>
      <c r="D3897" t="inlineStr">
        <is>
          <t>CT-e</t>
        </is>
      </c>
      <c r="E3897" t="inlineStr">
        <is>
          <t>000007540</t>
        </is>
      </c>
      <c r="F3897" t="inlineStr">
        <is>
          <t>R&amp;R TRANSPORTE E LOGISTICA</t>
        </is>
      </c>
      <c r="G3897" s="27" t="n">
        <v>46210</v>
      </c>
      <c r="H3897" s="14" t="n">
        <v>275.4</v>
      </c>
      <c r="I3897" s="14" t="n">
        <v>0</v>
      </c>
      <c r="J3897" s="14" t="n">
        <v>0</v>
      </c>
      <c r="K3897" s="14" t="n">
        <v>0</v>
      </c>
      <c r="L3897" s="14" t="n">
        <v>0</v>
      </c>
      <c r="M3897" s="14">
        <f>IF(B3897="Frete de venda",0,(1-ISNUMBER(SEARCH("556",P3897)))*(I3897*VLOOKUP($B3897,Premissas!$A$4:$E$7,2,0)+J3897*VLOOKUP($B3897,Premissas!$A$4:$E$7,3,0))+K3897*VLOOKUP($B3897,Premissas!$A$4:$E$7,4,0)+L3897*VLOOKUP($B3897,Premissas!$A$4:$E$7,5,0))</f>
        <v/>
      </c>
      <c r="N3897" s="14">
        <f>H3897-M3897</f>
        <v/>
      </c>
      <c r="O3897" t="inlineStr">
        <is>
          <t>Não</t>
        </is>
      </c>
      <c r="P3897" t="inlineStr">
        <is>
          <t>2.350</t>
        </is>
      </c>
    </row>
    <row r="3898">
      <c r="A3898" s="24" t="n">
        <v>46204</v>
      </c>
      <c r="B3898" t="inlineStr">
        <is>
          <t>Frete de venda</t>
        </is>
      </c>
      <c r="C3898" t="inlineStr">
        <is>
          <t>Frete de venda (para clientes)</t>
        </is>
      </c>
      <c r="D3898" t="inlineStr">
        <is>
          <t>CT-e</t>
        </is>
      </c>
      <c r="E3898" t="inlineStr">
        <is>
          <t>000007541</t>
        </is>
      </c>
      <c r="F3898" t="inlineStr">
        <is>
          <t>R&amp;R TRANSPORTE E LOGISTICA</t>
        </is>
      </c>
      <c r="G3898" s="27" t="n">
        <v>46210</v>
      </c>
      <c r="H3898" s="14" t="n">
        <v>458.2</v>
      </c>
      <c r="I3898" s="14" t="n">
        <v>0</v>
      </c>
      <c r="J3898" s="14" t="n">
        <v>0</v>
      </c>
      <c r="K3898" s="14" t="n">
        <v>0</v>
      </c>
      <c r="L3898" s="14" t="n">
        <v>0</v>
      </c>
      <c r="M3898" s="14">
        <f>IF(B3898="Frete de venda",0,(1-ISNUMBER(SEARCH("556",P3898)))*(I3898*VLOOKUP($B3898,Premissas!$A$4:$E$7,2,0)+J3898*VLOOKUP($B3898,Premissas!$A$4:$E$7,3,0))+K3898*VLOOKUP($B3898,Premissas!$A$4:$E$7,4,0)+L3898*VLOOKUP($B3898,Premissas!$A$4:$E$7,5,0))</f>
        <v/>
      </c>
      <c r="N3898" s="14">
        <f>H3898-M3898</f>
        <v/>
      </c>
      <c r="O3898" t="inlineStr">
        <is>
          <t>Não</t>
        </is>
      </c>
      <c r="P3898" t="inlineStr">
        <is>
          <t>2.350</t>
        </is>
      </c>
    </row>
    <row r="3899">
      <c r="A3899" s="24" t="n">
        <v>46204</v>
      </c>
      <c r="B3899" t="inlineStr">
        <is>
          <t>Frete de venda</t>
        </is>
      </c>
      <c r="C3899" t="inlineStr">
        <is>
          <t>Frete de venda (para clientes)</t>
        </is>
      </c>
      <c r="D3899" t="inlineStr">
        <is>
          <t>CT-e</t>
        </is>
      </c>
      <c r="E3899" t="inlineStr">
        <is>
          <t>000007612</t>
        </is>
      </c>
      <c r="F3899" t="inlineStr">
        <is>
          <t>R&amp;R TRANSPORTE E LOGISTICA</t>
        </is>
      </c>
      <c r="G3899" s="27" t="n">
        <v>46214</v>
      </c>
      <c r="H3899" s="14" t="n">
        <v>38.61</v>
      </c>
      <c r="I3899" s="14" t="n">
        <v>0</v>
      </c>
      <c r="J3899" s="14" t="n">
        <v>0</v>
      </c>
      <c r="K3899" s="14" t="n">
        <v>0</v>
      </c>
      <c r="L3899" s="14" t="n">
        <v>0</v>
      </c>
      <c r="M3899" s="14">
        <f>IF(B3899="Frete de venda",0,(1-ISNUMBER(SEARCH("556",P3899)))*(I3899*VLOOKUP($B3899,Premissas!$A$4:$E$7,2,0)+J3899*VLOOKUP($B3899,Premissas!$A$4:$E$7,3,0))+K3899*VLOOKUP($B3899,Premissas!$A$4:$E$7,4,0)+L3899*VLOOKUP($B3899,Premissas!$A$4:$E$7,5,0))</f>
        <v/>
      </c>
      <c r="N3899" s="14">
        <f>H3899-M3899</f>
        <v/>
      </c>
      <c r="O3899" t="inlineStr">
        <is>
          <t>Não</t>
        </is>
      </c>
      <c r="P3899" t="inlineStr">
        <is>
          <t>2.350</t>
        </is>
      </c>
    </row>
    <row r="3900">
      <c r="A3900" s="24" t="n">
        <v>46204</v>
      </c>
      <c r="B3900" t="inlineStr">
        <is>
          <t>Frete de venda</t>
        </is>
      </c>
      <c r="C3900" t="inlineStr">
        <is>
          <t>Frete de venda (para clientes)</t>
        </is>
      </c>
      <c r="D3900" t="inlineStr">
        <is>
          <t>CT-e</t>
        </is>
      </c>
      <c r="E3900" t="inlineStr">
        <is>
          <t>000007702</t>
        </is>
      </c>
      <c r="F3900" t="inlineStr">
        <is>
          <t>R&amp;R TRANSPORTE E LOGISTICA</t>
        </is>
      </c>
      <c r="G3900" s="27" t="n">
        <v>46224</v>
      </c>
      <c r="H3900" s="14" t="n">
        <v>31.4</v>
      </c>
      <c r="I3900" s="14" t="n">
        <v>0</v>
      </c>
      <c r="J3900" s="14" t="n">
        <v>0</v>
      </c>
      <c r="K3900" s="14" t="n">
        <v>0</v>
      </c>
      <c r="L3900" s="14" t="n">
        <v>0</v>
      </c>
      <c r="M3900" s="14">
        <f>IF(B3900="Frete de venda",0,(1-ISNUMBER(SEARCH("556",P3900)))*(I3900*VLOOKUP($B3900,Premissas!$A$4:$E$7,2,0)+J3900*VLOOKUP($B3900,Premissas!$A$4:$E$7,3,0))+K3900*VLOOKUP($B3900,Premissas!$A$4:$E$7,4,0)+L3900*VLOOKUP($B3900,Premissas!$A$4:$E$7,5,0))</f>
        <v/>
      </c>
      <c r="N3900" s="14">
        <f>H3900-M3900</f>
        <v/>
      </c>
      <c r="O3900" t="inlineStr">
        <is>
          <t>Não</t>
        </is>
      </c>
      <c r="P3900" t="inlineStr">
        <is>
          <t>2.350</t>
        </is>
      </c>
    </row>
    <row r="3901">
      <c r="A3901" s="24" t="n">
        <v>46204</v>
      </c>
      <c r="B3901" t="inlineStr">
        <is>
          <t>Frete de venda</t>
        </is>
      </c>
      <c r="C3901" t="inlineStr">
        <is>
          <t>Frete de venda (para clientes)</t>
        </is>
      </c>
      <c r="D3901" t="inlineStr">
        <is>
          <t>CT-e</t>
        </is>
      </c>
      <c r="E3901" t="inlineStr">
        <is>
          <t>000005476</t>
        </is>
      </c>
      <c r="F3901" t="inlineStr">
        <is>
          <t>UNIVERSAL CARGAS EXPRESS</t>
        </is>
      </c>
      <c r="G3901" s="27" t="n">
        <v>46231</v>
      </c>
      <c r="H3901" s="14" t="n">
        <v>800</v>
      </c>
      <c r="I3901" s="14" t="n">
        <v>0</v>
      </c>
      <c r="J3901" s="14" t="n">
        <v>0</v>
      </c>
      <c r="K3901" s="14" t="n">
        <v>0</v>
      </c>
      <c r="L3901" s="14" t="n">
        <v>0</v>
      </c>
      <c r="M3901" s="14">
        <f>IF(B3901="Frete de venda",0,(1-ISNUMBER(SEARCH("556",P3901)))*(I3901*VLOOKUP($B3901,Premissas!$A$4:$E$7,2,0)+J3901*VLOOKUP($B3901,Premissas!$A$4:$E$7,3,0))+K3901*VLOOKUP($B3901,Premissas!$A$4:$E$7,4,0)+L3901*VLOOKUP($B3901,Premissas!$A$4:$E$7,5,0))</f>
        <v/>
      </c>
      <c r="N3901" s="14">
        <f>H3901-M3901</f>
        <v/>
      </c>
      <c r="O3901" t="inlineStr">
        <is>
          <t>Sim</t>
        </is>
      </c>
      <c r="P3901" t="inlineStr">
        <is>
          <t>2.350</t>
        </is>
      </c>
    </row>
    <row r="3902">
      <c r="A3902" s="24" t="n">
        <v>46204</v>
      </c>
      <c r="B3902" t="inlineStr">
        <is>
          <t>Frete de venda</t>
        </is>
      </c>
      <c r="C3902" t="inlineStr">
        <is>
          <t>Frete de venda (para clientes)</t>
        </is>
      </c>
      <c r="D3902" t="inlineStr">
        <is>
          <t>CT-e</t>
        </is>
      </c>
      <c r="E3902" t="inlineStr">
        <is>
          <t>000007595</t>
        </is>
      </c>
      <c r="F3902" t="inlineStr">
        <is>
          <t>R&amp;R TRANSPORTE E LOGISTICA</t>
        </is>
      </c>
      <c r="G3902" s="27" t="n">
        <v>46212</v>
      </c>
      <c r="H3902" s="14" t="n">
        <v>24.09</v>
      </c>
      <c r="I3902" s="14" t="n">
        <v>0</v>
      </c>
      <c r="J3902" s="14" t="n">
        <v>0</v>
      </c>
      <c r="K3902" s="14" t="n">
        <v>0</v>
      </c>
      <c r="L3902" s="14" t="n">
        <v>0</v>
      </c>
      <c r="M3902" s="14">
        <f>IF(B3902="Frete de venda",0,(1-ISNUMBER(SEARCH("556",P3902)))*(I3902*VLOOKUP($B3902,Premissas!$A$4:$E$7,2,0)+J3902*VLOOKUP($B3902,Premissas!$A$4:$E$7,3,0))+K3902*VLOOKUP($B3902,Premissas!$A$4:$E$7,4,0)+L3902*VLOOKUP($B3902,Premissas!$A$4:$E$7,5,0))</f>
        <v/>
      </c>
      <c r="N3902" s="14">
        <f>H3902-M3902</f>
        <v/>
      </c>
      <c r="O3902" t="inlineStr">
        <is>
          <t>Não</t>
        </is>
      </c>
      <c r="P3902" t="inlineStr">
        <is>
          <t>2.350</t>
        </is>
      </c>
    </row>
    <row r="3903">
      <c r="A3903" s="24" t="n">
        <v>46204</v>
      </c>
      <c r="B3903" t="inlineStr">
        <is>
          <t>Frete de venda</t>
        </is>
      </c>
      <c r="C3903" t="inlineStr">
        <is>
          <t>Frete de venda (para clientes)</t>
        </is>
      </c>
      <c r="D3903" t="inlineStr">
        <is>
          <t>CT-e</t>
        </is>
      </c>
      <c r="E3903" t="inlineStr">
        <is>
          <t>000007804</t>
        </is>
      </c>
      <c r="F3903" t="inlineStr">
        <is>
          <t>R&amp;R TRANSPORTE E LOGISTICA</t>
        </is>
      </c>
      <c r="G3903" s="27" t="n">
        <v>46233</v>
      </c>
      <c r="H3903" s="14" t="n">
        <v>30.92</v>
      </c>
      <c r="I3903" s="14" t="n">
        <v>0</v>
      </c>
      <c r="J3903" s="14" t="n">
        <v>0</v>
      </c>
      <c r="K3903" s="14" t="n">
        <v>0</v>
      </c>
      <c r="L3903" s="14" t="n">
        <v>0</v>
      </c>
      <c r="M3903" s="14">
        <f>IF(B3903="Frete de venda",0,(1-ISNUMBER(SEARCH("556",P3903)))*(I3903*VLOOKUP($B3903,Premissas!$A$4:$E$7,2,0)+J3903*VLOOKUP($B3903,Premissas!$A$4:$E$7,3,0))+K3903*VLOOKUP($B3903,Premissas!$A$4:$E$7,4,0)+L3903*VLOOKUP($B3903,Premissas!$A$4:$E$7,5,0))</f>
        <v/>
      </c>
      <c r="N3903" s="14">
        <f>H3903-M3903</f>
        <v/>
      </c>
      <c r="O3903" t="inlineStr">
        <is>
          <t>Não</t>
        </is>
      </c>
      <c r="P3903" t="inlineStr">
        <is>
          <t>1.350</t>
        </is>
      </c>
    </row>
    <row r="3904">
      <c r="A3904" s="24" t="n">
        <v>46204</v>
      </c>
      <c r="B3904" t="inlineStr">
        <is>
          <t>Frete de venda</t>
        </is>
      </c>
      <c r="C3904" t="inlineStr">
        <is>
          <t>Frete de venda (para clientes)</t>
        </is>
      </c>
      <c r="D3904" t="inlineStr">
        <is>
          <t>CT-e</t>
        </is>
      </c>
      <c r="E3904" t="inlineStr">
        <is>
          <t>000007547</t>
        </is>
      </c>
      <c r="F3904" t="inlineStr">
        <is>
          <t>R&amp;R TRANSPORTE E LOGISTICA</t>
        </is>
      </c>
      <c r="G3904" s="27" t="n">
        <v>46211</v>
      </c>
      <c r="H3904" s="14" t="n">
        <v>64.98999999999999</v>
      </c>
      <c r="I3904" s="14" t="n">
        <v>0</v>
      </c>
      <c r="J3904" s="14" t="n">
        <v>0</v>
      </c>
      <c r="K3904" s="14" t="n">
        <v>0</v>
      </c>
      <c r="L3904" s="14" t="n">
        <v>0</v>
      </c>
      <c r="M3904" s="14">
        <f>IF(B3904="Frete de venda",0,(1-ISNUMBER(SEARCH("556",P3904)))*(I3904*VLOOKUP($B3904,Premissas!$A$4:$E$7,2,0)+J3904*VLOOKUP($B3904,Premissas!$A$4:$E$7,3,0))+K3904*VLOOKUP($B3904,Premissas!$A$4:$E$7,4,0)+L3904*VLOOKUP($B3904,Premissas!$A$4:$E$7,5,0))</f>
        <v/>
      </c>
      <c r="N3904" s="14">
        <f>H3904-M3904</f>
        <v/>
      </c>
      <c r="O3904" t="inlineStr">
        <is>
          <t>Não</t>
        </is>
      </c>
      <c r="P3904" t="inlineStr">
        <is>
          <t>2.350</t>
        </is>
      </c>
    </row>
    <row r="3905">
      <c r="A3905" s="24" t="n">
        <v>46204</v>
      </c>
      <c r="B3905" t="inlineStr">
        <is>
          <t>Frete de venda</t>
        </is>
      </c>
      <c r="C3905" t="inlineStr">
        <is>
          <t>Frete de venda (para clientes)</t>
        </is>
      </c>
      <c r="D3905" t="inlineStr">
        <is>
          <t>CT-e</t>
        </is>
      </c>
      <c r="E3905" t="inlineStr">
        <is>
          <t>000007613</t>
        </is>
      </c>
      <c r="F3905" t="inlineStr">
        <is>
          <t>R&amp;R TRANSPORTE E LOGISTICA</t>
        </is>
      </c>
      <c r="G3905" s="27" t="n">
        <v>46214</v>
      </c>
      <c r="H3905" s="14" t="n">
        <v>38.61</v>
      </c>
      <c r="I3905" s="14" t="n">
        <v>0</v>
      </c>
      <c r="J3905" s="14" t="n">
        <v>0</v>
      </c>
      <c r="K3905" s="14" t="n">
        <v>0</v>
      </c>
      <c r="L3905" s="14" t="n">
        <v>0</v>
      </c>
      <c r="M3905" s="14">
        <f>IF(B3905="Frete de venda",0,(1-ISNUMBER(SEARCH("556",P3905)))*(I3905*VLOOKUP($B3905,Premissas!$A$4:$E$7,2,0)+J3905*VLOOKUP($B3905,Premissas!$A$4:$E$7,3,0))+K3905*VLOOKUP($B3905,Premissas!$A$4:$E$7,4,0)+L3905*VLOOKUP($B3905,Premissas!$A$4:$E$7,5,0))</f>
        <v/>
      </c>
      <c r="N3905" s="14">
        <f>H3905-M3905</f>
        <v/>
      </c>
      <c r="O3905" t="inlineStr">
        <is>
          <t>Não</t>
        </is>
      </c>
      <c r="P3905" t="inlineStr">
        <is>
          <t>2.350</t>
        </is>
      </c>
    </row>
    <row r="3906">
      <c r="A3906" s="24" t="n">
        <v>46204</v>
      </c>
      <c r="B3906" t="inlineStr">
        <is>
          <t>Frete de venda</t>
        </is>
      </c>
      <c r="C3906" t="inlineStr">
        <is>
          <t>Frete de venda (para clientes)</t>
        </is>
      </c>
      <c r="D3906" t="inlineStr">
        <is>
          <t>CT-e</t>
        </is>
      </c>
      <c r="E3906" t="inlineStr">
        <is>
          <t>000007557</t>
        </is>
      </c>
      <c r="F3906" t="inlineStr">
        <is>
          <t>R&amp;R TRANSPORTE E LOGISTICA</t>
        </is>
      </c>
      <c r="G3906" s="27" t="n">
        <v>46211</v>
      </c>
      <c r="H3906" s="14" t="n">
        <v>34.24</v>
      </c>
      <c r="I3906" s="14" t="n">
        <v>0</v>
      </c>
      <c r="J3906" s="14" t="n">
        <v>0</v>
      </c>
      <c r="K3906" s="14" t="n">
        <v>0</v>
      </c>
      <c r="L3906" s="14" t="n">
        <v>0</v>
      </c>
      <c r="M3906" s="14">
        <f>IF(B3906="Frete de venda",0,(1-ISNUMBER(SEARCH("556",P3906)))*(I3906*VLOOKUP($B3906,Premissas!$A$4:$E$7,2,0)+J3906*VLOOKUP($B3906,Premissas!$A$4:$E$7,3,0))+K3906*VLOOKUP($B3906,Premissas!$A$4:$E$7,4,0)+L3906*VLOOKUP($B3906,Premissas!$A$4:$E$7,5,0))</f>
        <v/>
      </c>
      <c r="N3906" s="14">
        <f>H3906-M3906</f>
        <v/>
      </c>
      <c r="O3906" t="inlineStr">
        <is>
          <t>Não</t>
        </is>
      </c>
      <c r="P3906" t="inlineStr">
        <is>
          <t>2.350</t>
        </is>
      </c>
    </row>
    <row r="3907">
      <c r="A3907" s="24" t="n">
        <v>46204</v>
      </c>
      <c r="B3907" t="inlineStr">
        <is>
          <t>Frete de venda</t>
        </is>
      </c>
      <c r="C3907" t="inlineStr">
        <is>
          <t>Frete de venda (para clientes)</t>
        </is>
      </c>
      <c r="D3907" t="inlineStr">
        <is>
          <t>CT-e</t>
        </is>
      </c>
      <c r="E3907" t="inlineStr">
        <is>
          <t>000007782</t>
        </is>
      </c>
      <c r="F3907" t="inlineStr">
        <is>
          <t>R&amp;R TRANSPORTE E LOGISTICA</t>
        </is>
      </c>
      <c r="G3907" s="27" t="n">
        <v>46227</v>
      </c>
      <c r="H3907" s="14" t="n">
        <v>180.99</v>
      </c>
      <c r="I3907" s="14" t="n">
        <v>0</v>
      </c>
      <c r="J3907" s="14" t="n">
        <v>0</v>
      </c>
      <c r="K3907" s="14" t="n">
        <v>0</v>
      </c>
      <c r="L3907" s="14" t="n">
        <v>0</v>
      </c>
      <c r="M3907" s="14">
        <f>IF(B3907="Frete de venda",0,(1-ISNUMBER(SEARCH("556",P3907)))*(I3907*VLOOKUP($B3907,Premissas!$A$4:$E$7,2,0)+J3907*VLOOKUP($B3907,Premissas!$A$4:$E$7,3,0))+K3907*VLOOKUP($B3907,Premissas!$A$4:$E$7,4,0)+L3907*VLOOKUP($B3907,Premissas!$A$4:$E$7,5,0))</f>
        <v/>
      </c>
      <c r="N3907" s="14">
        <f>H3907-M3907</f>
        <v/>
      </c>
      <c r="O3907" t="inlineStr">
        <is>
          <t>Não</t>
        </is>
      </c>
      <c r="P3907" t="inlineStr">
        <is>
          <t>1.350</t>
        </is>
      </c>
    </row>
    <row r="3908">
      <c r="A3908" s="24" t="n">
        <v>46204</v>
      </c>
      <c r="B3908" t="inlineStr">
        <is>
          <t>Frete de venda</t>
        </is>
      </c>
      <c r="C3908" t="inlineStr">
        <is>
          <t>Frete de venda (para clientes)</t>
        </is>
      </c>
      <c r="D3908" t="inlineStr">
        <is>
          <t>CT-e</t>
        </is>
      </c>
      <c r="E3908" t="inlineStr">
        <is>
          <t>000007765</t>
        </is>
      </c>
      <c r="F3908" t="inlineStr">
        <is>
          <t>R&amp;R TRANSPORTE E LOGISTICA</t>
        </is>
      </c>
      <c r="G3908" s="27" t="n">
        <v>46227</v>
      </c>
      <c r="H3908" s="14" t="n">
        <v>30.5</v>
      </c>
      <c r="I3908" s="14" t="n">
        <v>0</v>
      </c>
      <c r="J3908" s="14" t="n">
        <v>0</v>
      </c>
      <c r="K3908" s="14" t="n">
        <v>0</v>
      </c>
      <c r="L3908" s="14" t="n">
        <v>0</v>
      </c>
      <c r="M3908" s="14">
        <f>IF(B3908="Frete de venda",0,(1-ISNUMBER(SEARCH("556",P3908)))*(I3908*VLOOKUP($B3908,Premissas!$A$4:$E$7,2,0)+J3908*VLOOKUP($B3908,Premissas!$A$4:$E$7,3,0))+K3908*VLOOKUP($B3908,Premissas!$A$4:$E$7,4,0)+L3908*VLOOKUP($B3908,Premissas!$A$4:$E$7,5,0))</f>
        <v/>
      </c>
      <c r="N3908" s="14">
        <f>H3908-M3908</f>
        <v/>
      </c>
      <c r="O3908" t="inlineStr">
        <is>
          <t>Não</t>
        </is>
      </c>
      <c r="P3908" t="inlineStr">
        <is>
          <t>1.350</t>
        </is>
      </c>
    </row>
    <row r="3909">
      <c r="A3909" s="24" t="n">
        <v>46204</v>
      </c>
      <c r="B3909" t="inlineStr">
        <is>
          <t>Frete de venda</t>
        </is>
      </c>
      <c r="C3909" t="inlineStr">
        <is>
          <t>Frete de venda (para clientes)</t>
        </is>
      </c>
      <c r="D3909" t="inlineStr">
        <is>
          <t>CT-e</t>
        </is>
      </c>
      <c r="E3909" t="inlineStr">
        <is>
          <t>000007632</t>
        </is>
      </c>
      <c r="F3909" t="inlineStr">
        <is>
          <t>R&amp;R TRANSPORTE E LOGISTICA</t>
        </is>
      </c>
      <c r="G3909" s="27" t="n">
        <v>46217</v>
      </c>
      <c r="H3909" s="14" t="n">
        <v>41.53</v>
      </c>
      <c r="I3909" s="14" t="n">
        <v>0</v>
      </c>
      <c r="J3909" s="14" t="n">
        <v>0</v>
      </c>
      <c r="K3909" s="14" t="n">
        <v>0</v>
      </c>
      <c r="L3909" s="14" t="n">
        <v>0</v>
      </c>
      <c r="M3909" s="14">
        <f>IF(B3909="Frete de venda",0,(1-ISNUMBER(SEARCH("556",P3909)))*(I3909*VLOOKUP($B3909,Premissas!$A$4:$E$7,2,0)+J3909*VLOOKUP($B3909,Premissas!$A$4:$E$7,3,0))+K3909*VLOOKUP($B3909,Premissas!$A$4:$E$7,4,0)+L3909*VLOOKUP($B3909,Premissas!$A$4:$E$7,5,0))</f>
        <v/>
      </c>
      <c r="N3909" s="14">
        <f>H3909-M3909</f>
        <v/>
      </c>
      <c r="O3909" t="inlineStr">
        <is>
          <t>Não</t>
        </is>
      </c>
      <c r="P3909" t="inlineStr">
        <is>
          <t>2.350</t>
        </is>
      </c>
    </row>
    <row r="3910">
      <c r="A3910" s="24" t="n">
        <v>46204</v>
      </c>
      <c r="B3910" t="inlineStr">
        <is>
          <t>Frete de venda</t>
        </is>
      </c>
      <c r="C3910" t="inlineStr">
        <is>
          <t>Frete de venda (para clientes)</t>
        </is>
      </c>
      <c r="D3910" t="inlineStr">
        <is>
          <t>CT-e</t>
        </is>
      </c>
      <c r="E3910" t="inlineStr">
        <is>
          <t>000007762</t>
        </is>
      </c>
      <c r="F3910" t="inlineStr">
        <is>
          <t>R&amp;R TRANSPORTE E LOGISTICA</t>
        </is>
      </c>
      <c r="G3910" s="27" t="n">
        <v>46227</v>
      </c>
      <c r="H3910" s="14" t="n">
        <v>13.82</v>
      </c>
      <c r="I3910" s="14" t="n">
        <v>0</v>
      </c>
      <c r="J3910" s="14" t="n">
        <v>0</v>
      </c>
      <c r="K3910" s="14" t="n">
        <v>0</v>
      </c>
      <c r="L3910" s="14" t="n">
        <v>0</v>
      </c>
      <c r="M3910" s="14">
        <f>IF(B3910="Frete de venda",0,(1-ISNUMBER(SEARCH("556",P3910)))*(I3910*VLOOKUP($B3910,Premissas!$A$4:$E$7,2,0)+J3910*VLOOKUP($B3910,Premissas!$A$4:$E$7,3,0))+K3910*VLOOKUP($B3910,Premissas!$A$4:$E$7,4,0)+L3910*VLOOKUP($B3910,Premissas!$A$4:$E$7,5,0))</f>
        <v/>
      </c>
      <c r="N3910" s="14">
        <f>H3910-M3910</f>
        <v/>
      </c>
      <c r="O3910" t="inlineStr">
        <is>
          <t>Não</t>
        </is>
      </c>
      <c r="P3910" t="inlineStr">
        <is>
          <t>1.350</t>
        </is>
      </c>
    </row>
    <row r="3911">
      <c r="A3911" s="24" t="n">
        <v>46204</v>
      </c>
      <c r="B3911" t="inlineStr">
        <is>
          <t>Frete de venda</t>
        </is>
      </c>
      <c r="C3911" t="inlineStr">
        <is>
          <t>Frete de venda (para clientes)</t>
        </is>
      </c>
      <c r="D3911" t="inlineStr">
        <is>
          <t>CT-e</t>
        </is>
      </c>
      <c r="E3911" t="inlineStr">
        <is>
          <t>000007781</t>
        </is>
      </c>
      <c r="F3911" t="inlineStr">
        <is>
          <t>R&amp;R TRANSPORTE E LOGISTICA</t>
        </is>
      </c>
      <c r="G3911" s="27" t="n">
        <v>46227</v>
      </c>
      <c r="H3911" s="14" t="n">
        <v>47.18</v>
      </c>
      <c r="I3911" s="14" t="n">
        <v>0</v>
      </c>
      <c r="J3911" s="14" t="n">
        <v>0</v>
      </c>
      <c r="K3911" s="14" t="n">
        <v>0</v>
      </c>
      <c r="L3911" s="14" t="n">
        <v>0</v>
      </c>
      <c r="M3911" s="14">
        <f>IF(B3911="Frete de venda",0,(1-ISNUMBER(SEARCH("556",P3911)))*(I3911*VLOOKUP($B3911,Premissas!$A$4:$E$7,2,0)+J3911*VLOOKUP($B3911,Premissas!$A$4:$E$7,3,0))+K3911*VLOOKUP($B3911,Premissas!$A$4:$E$7,4,0)+L3911*VLOOKUP($B3911,Premissas!$A$4:$E$7,5,0))</f>
        <v/>
      </c>
      <c r="N3911" s="14">
        <f>H3911-M3911</f>
        <v/>
      </c>
      <c r="O3911" t="inlineStr">
        <is>
          <t>Não</t>
        </is>
      </c>
      <c r="P3911" t="inlineStr">
        <is>
          <t>1.350</t>
        </is>
      </c>
    </row>
    <row r="3912">
      <c r="A3912" s="24" t="n">
        <v>46204</v>
      </c>
      <c r="B3912" t="inlineStr">
        <is>
          <t>Frete de venda</t>
        </is>
      </c>
      <c r="C3912" t="inlineStr">
        <is>
          <t>Frete de venda (para clientes)</t>
        </is>
      </c>
      <c r="D3912" t="inlineStr">
        <is>
          <t>CT-e</t>
        </is>
      </c>
      <c r="E3912" t="inlineStr">
        <is>
          <t>000007553</t>
        </is>
      </c>
      <c r="F3912" t="inlineStr">
        <is>
          <t>R&amp;R TRANSPORTE E LOGISTICA</t>
        </is>
      </c>
      <c r="G3912" s="27" t="n">
        <v>46211</v>
      </c>
      <c r="H3912" s="14" t="n">
        <v>32.17</v>
      </c>
      <c r="I3912" s="14" t="n">
        <v>0</v>
      </c>
      <c r="J3912" s="14" t="n">
        <v>0</v>
      </c>
      <c r="K3912" s="14" t="n">
        <v>0</v>
      </c>
      <c r="L3912" s="14" t="n">
        <v>0</v>
      </c>
      <c r="M3912" s="14">
        <f>IF(B3912="Frete de venda",0,(1-ISNUMBER(SEARCH("556",P3912)))*(I3912*VLOOKUP($B3912,Premissas!$A$4:$E$7,2,0)+J3912*VLOOKUP($B3912,Premissas!$A$4:$E$7,3,0))+K3912*VLOOKUP($B3912,Premissas!$A$4:$E$7,4,0)+L3912*VLOOKUP($B3912,Premissas!$A$4:$E$7,5,0))</f>
        <v/>
      </c>
      <c r="N3912" s="14">
        <f>H3912-M3912</f>
        <v/>
      </c>
      <c r="O3912" t="inlineStr">
        <is>
          <t>Não</t>
        </is>
      </c>
      <c r="P3912" t="inlineStr">
        <is>
          <t>2.350</t>
        </is>
      </c>
    </row>
    <row r="3913">
      <c r="A3913" s="24" t="n">
        <v>46204</v>
      </c>
      <c r="B3913" t="inlineStr">
        <is>
          <t>Frete de venda</t>
        </is>
      </c>
      <c r="C3913" t="inlineStr">
        <is>
          <t>Frete de venda (para clientes)</t>
        </is>
      </c>
      <c r="D3913" t="inlineStr">
        <is>
          <t>CT-e</t>
        </is>
      </c>
      <c r="E3913" t="inlineStr">
        <is>
          <t>000007760</t>
        </is>
      </c>
      <c r="F3913" t="inlineStr">
        <is>
          <t>R&amp;R TRANSPORTE E LOGISTICA</t>
        </is>
      </c>
      <c r="G3913" s="27" t="n">
        <v>46227</v>
      </c>
      <c r="H3913" s="14" t="n">
        <v>12.33</v>
      </c>
      <c r="I3913" s="14" t="n">
        <v>0</v>
      </c>
      <c r="J3913" s="14" t="n">
        <v>0</v>
      </c>
      <c r="K3913" s="14" t="n">
        <v>0</v>
      </c>
      <c r="L3913" s="14" t="n">
        <v>0</v>
      </c>
      <c r="M3913" s="14">
        <f>IF(B3913="Frete de venda",0,(1-ISNUMBER(SEARCH("556",P3913)))*(I3913*VLOOKUP($B3913,Premissas!$A$4:$E$7,2,0)+J3913*VLOOKUP($B3913,Premissas!$A$4:$E$7,3,0))+K3913*VLOOKUP($B3913,Premissas!$A$4:$E$7,4,0)+L3913*VLOOKUP($B3913,Premissas!$A$4:$E$7,5,0))</f>
        <v/>
      </c>
      <c r="N3913" s="14">
        <f>H3913-M3913</f>
        <v/>
      </c>
      <c r="O3913" t="inlineStr">
        <is>
          <t>Não</t>
        </is>
      </c>
      <c r="P3913" t="inlineStr">
        <is>
          <t>1.350</t>
        </is>
      </c>
    </row>
    <row r="3914">
      <c r="A3914" s="24" t="n">
        <v>46204</v>
      </c>
      <c r="B3914" t="inlineStr">
        <is>
          <t>Frete de venda</t>
        </is>
      </c>
      <c r="C3914" t="inlineStr">
        <is>
          <t>Frete de venda (para clientes)</t>
        </is>
      </c>
      <c r="D3914" t="inlineStr">
        <is>
          <t>CT-e</t>
        </is>
      </c>
      <c r="E3914" t="inlineStr">
        <is>
          <t>000007519</t>
        </is>
      </c>
      <c r="F3914" t="inlineStr">
        <is>
          <t>R&amp;R TRANSPORTE E LOGISTICA</t>
        </is>
      </c>
      <c r="G3914" s="27" t="n">
        <v>46204</v>
      </c>
      <c r="H3914" s="14" t="n">
        <v>99.26000000000001</v>
      </c>
      <c r="I3914" s="14" t="n">
        <v>0</v>
      </c>
      <c r="J3914" s="14" t="n">
        <v>0</v>
      </c>
      <c r="K3914" s="14" t="n">
        <v>0</v>
      </c>
      <c r="L3914" s="14" t="n">
        <v>0</v>
      </c>
      <c r="M3914" s="14">
        <f>IF(B3914="Frete de venda",0,(1-ISNUMBER(SEARCH("556",P3914)))*(I3914*VLOOKUP($B3914,Premissas!$A$4:$E$7,2,0)+J3914*VLOOKUP($B3914,Premissas!$A$4:$E$7,3,0))+K3914*VLOOKUP($B3914,Premissas!$A$4:$E$7,4,0)+L3914*VLOOKUP($B3914,Premissas!$A$4:$E$7,5,0))</f>
        <v/>
      </c>
      <c r="N3914" s="14">
        <f>H3914-M3914</f>
        <v/>
      </c>
      <c r="O3914" t="inlineStr">
        <is>
          <t>Não</t>
        </is>
      </c>
      <c r="P3914" t="inlineStr">
        <is>
          <t>2.350</t>
        </is>
      </c>
    </row>
    <row r="3915">
      <c r="A3915" s="24" t="n">
        <v>46204</v>
      </c>
      <c r="B3915" t="inlineStr">
        <is>
          <t>Frete de venda</t>
        </is>
      </c>
      <c r="C3915" t="inlineStr">
        <is>
          <t>Frete de venda (para clientes)</t>
        </is>
      </c>
      <c r="D3915" t="inlineStr">
        <is>
          <t>CT-e</t>
        </is>
      </c>
      <c r="E3915" t="inlineStr">
        <is>
          <t>000007753</t>
        </is>
      </c>
      <c r="F3915" t="inlineStr">
        <is>
          <t>R&amp;R TRANSPORTE E LOGISTICA</t>
        </is>
      </c>
      <c r="G3915" s="27" t="n">
        <v>46226</v>
      </c>
      <c r="H3915" s="14" t="n">
        <v>94.39</v>
      </c>
      <c r="I3915" s="14" t="n">
        <v>0</v>
      </c>
      <c r="J3915" s="14" t="n">
        <v>0</v>
      </c>
      <c r="K3915" s="14" t="n">
        <v>0</v>
      </c>
      <c r="L3915" s="14" t="n">
        <v>0</v>
      </c>
      <c r="M3915" s="14">
        <f>IF(B3915="Frete de venda",0,(1-ISNUMBER(SEARCH("556",P3915)))*(I3915*VLOOKUP($B3915,Premissas!$A$4:$E$7,2,0)+J3915*VLOOKUP($B3915,Premissas!$A$4:$E$7,3,0))+K3915*VLOOKUP($B3915,Premissas!$A$4:$E$7,4,0)+L3915*VLOOKUP($B3915,Premissas!$A$4:$E$7,5,0))</f>
        <v/>
      </c>
      <c r="N3915" s="14">
        <f>H3915-M3915</f>
        <v/>
      </c>
      <c r="O3915" t="inlineStr">
        <is>
          <t>Não</t>
        </is>
      </c>
      <c r="P3915" t="inlineStr">
        <is>
          <t>1.350</t>
        </is>
      </c>
    </row>
    <row r="3916">
      <c r="A3916" s="24" t="n">
        <v>46204</v>
      </c>
      <c r="B3916" t="inlineStr">
        <is>
          <t>Frete de venda</t>
        </is>
      </c>
      <c r="C3916" t="inlineStr">
        <is>
          <t>Frete de venda (para clientes)</t>
        </is>
      </c>
      <c r="D3916" t="inlineStr">
        <is>
          <t>CT-e</t>
        </is>
      </c>
      <c r="E3916" t="inlineStr">
        <is>
          <t>000007717</t>
        </is>
      </c>
      <c r="F3916" t="inlineStr">
        <is>
          <t>R&amp;R TRANSPORTE E LOGISTICA</t>
        </is>
      </c>
      <c r="G3916" s="27" t="n">
        <v>46225</v>
      </c>
      <c r="H3916" s="14" t="n">
        <v>19.68</v>
      </c>
      <c r="I3916" s="14" t="n">
        <v>0</v>
      </c>
      <c r="J3916" s="14" t="n">
        <v>0</v>
      </c>
      <c r="K3916" s="14" t="n">
        <v>0</v>
      </c>
      <c r="L3916" s="14" t="n">
        <v>0</v>
      </c>
      <c r="M3916" s="14">
        <f>IF(B3916="Frete de venda",0,(1-ISNUMBER(SEARCH("556",P3916)))*(I3916*VLOOKUP($B3916,Premissas!$A$4:$E$7,2,0)+J3916*VLOOKUP($B3916,Premissas!$A$4:$E$7,3,0))+K3916*VLOOKUP($B3916,Premissas!$A$4:$E$7,4,0)+L3916*VLOOKUP($B3916,Premissas!$A$4:$E$7,5,0))</f>
        <v/>
      </c>
      <c r="N3916" s="14">
        <f>H3916-M3916</f>
        <v/>
      </c>
      <c r="O3916" t="inlineStr">
        <is>
          <t>Não</t>
        </is>
      </c>
      <c r="P3916" t="inlineStr">
        <is>
          <t>2.350</t>
        </is>
      </c>
    </row>
    <row r="3917">
      <c r="A3917" s="24" t="n">
        <v>46204</v>
      </c>
      <c r="B3917" t="inlineStr">
        <is>
          <t>Frete de venda</t>
        </is>
      </c>
      <c r="C3917" t="inlineStr">
        <is>
          <t>Frete de venda (para clientes)</t>
        </is>
      </c>
      <c r="D3917" t="inlineStr">
        <is>
          <t>CT-e</t>
        </is>
      </c>
      <c r="E3917" t="inlineStr">
        <is>
          <t>000007590</t>
        </is>
      </c>
      <c r="F3917" t="inlineStr">
        <is>
          <t>R&amp;R TRANSPORTE E LOGISTICA</t>
        </is>
      </c>
      <c r="G3917" s="27" t="n">
        <v>46212</v>
      </c>
      <c r="H3917" s="14" t="n">
        <v>24.09</v>
      </c>
      <c r="I3917" s="14" t="n">
        <v>0</v>
      </c>
      <c r="J3917" s="14" t="n">
        <v>0</v>
      </c>
      <c r="K3917" s="14" t="n">
        <v>0</v>
      </c>
      <c r="L3917" s="14" t="n">
        <v>0</v>
      </c>
      <c r="M3917" s="14">
        <f>IF(B3917="Frete de venda",0,(1-ISNUMBER(SEARCH("556",P3917)))*(I3917*VLOOKUP($B3917,Premissas!$A$4:$E$7,2,0)+J3917*VLOOKUP($B3917,Premissas!$A$4:$E$7,3,0))+K3917*VLOOKUP($B3917,Premissas!$A$4:$E$7,4,0)+L3917*VLOOKUP($B3917,Premissas!$A$4:$E$7,5,0))</f>
        <v/>
      </c>
      <c r="N3917" s="14">
        <f>H3917-M3917</f>
        <v/>
      </c>
      <c r="O3917" t="inlineStr">
        <is>
          <t>Não</t>
        </is>
      </c>
      <c r="P3917" t="inlineStr">
        <is>
          <t>2.350</t>
        </is>
      </c>
    </row>
    <row r="3918">
      <c r="A3918" s="24" t="n">
        <v>46204</v>
      </c>
      <c r="B3918" t="inlineStr">
        <is>
          <t>Frete de venda</t>
        </is>
      </c>
      <c r="C3918" t="inlineStr">
        <is>
          <t>Frete de venda (para clientes)</t>
        </is>
      </c>
      <c r="D3918" t="inlineStr">
        <is>
          <t>CT-e</t>
        </is>
      </c>
      <c r="E3918" t="inlineStr">
        <is>
          <t>000007602</t>
        </is>
      </c>
      <c r="F3918" t="inlineStr">
        <is>
          <t>R&amp;R TRANSPORTE E LOGISTICA</t>
        </is>
      </c>
      <c r="G3918" s="27" t="n">
        <v>46214</v>
      </c>
      <c r="H3918" s="14" t="n">
        <v>38.61</v>
      </c>
      <c r="I3918" s="14" t="n">
        <v>0</v>
      </c>
      <c r="J3918" s="14" t="n">
        <v>0</v>
      </c>
      <c r="K3918" s="14" t="n">
        <v>0</v>
      </c>
      <c r="L3918" s="14" t="n">
        <v>0</v>
      </c>
      <c r="M3918" s="14">
        <f>IF(B3918="Frete de venda",0,(1-ISNUMBER(SEARCH("556",P3918)))*(I3918*VLOOKUP($B3918,Premissas!$A$4:$E$7,2,0)+J3918*VLOOKUP($B3918,Premissas!$A$4:$E$7,3,0))+K3918*VLOOKUP($B3918,Premissas!$A$4:$E$7,4,0)+L3918*VLOOKUP($B3918,Premissas!$A$4:$E$7,5,0))</f>
        <v/>
      </c>
      <c r="N3918" s="14">
        <f>H3918-M3918</f>
        <v/>
      </c>
      <c r="O3918" t="inlineStr">
        <is>
          <t>Não</t>
        </is>
      </c>
      <c r="P3918" t="inlineStr">
        <is>
          <t>2.350</t>
        </is>
      </c>
    </row>
    <row r="3919">
      <c r="A3919" s="24" t="n">
        <v>46204</v>
      </c>
      <c r="B3919" t="inlineStr">
        <is>
          <t>Frete de venda</t>
        </is>
      </c>
      <c r="C3919" t="inlineStr">
        <is>
          <t>Frete de venda (para clientes)</t>
        </is>
      </c>
      <c r="D3919" t="inlineStr">
        <is>
          <t>CT-e</t>
        </is>
      </c>
      <c r="E3919" t="inlineStr">
        <is>
          <t>000007719</t>
        </is>
      </c>
      <c r="F3919" t="inlineStr">
        <is>
          <t>R&amp;R TRANSPORTE E LOGISTICA</t>
        </is>
      </c>
      <c r="G3919" s="27" t="n">
        <v>46225</v>
      </c>
      <c r="H3919" s="14" t="n">
        <v>20.31</v>
      </c>
      <c r="I3919" s="14" t="n">
        <v>0</v>
      </c>
      <c r="J3919" s="14" t="n">
        <v>0</v>
      </c>
      <c r="K3919" s="14" t="n">
        <v>0</v>
      </c>
      <c r="L3919" s="14" t="n">
        <v>0</v>
      </c>
      <c r="M3919" s="14">
        <f>IF(B3919="Frete de venda",0,(1-ISNUMBER(SEARCH("556",P3919)))*(I3919*VLOOKUP($B3919,Premissas!$A$4:$E$7,2,0)+J3919*VLOOKUP($B3919,Premissas!$A$4:$E$7,3,0))+K3919*VLOOKUP($B3919,Premissas!$A$4:$E$7,4,0)+L3919*VLOOKUP($B3919,Premissas!$A$4:$E$7,5,0))</f>
        <v/>
      </c>
      <c r="N3919" s="14">
        <f>H3919-M3919</f>
        <v/>
      </c>
      <c r="O3919" t="inlineStr">
        <is>
          <t>Não</t>
        </is>
      </c>
      <c r="P3919" t="inlineStr">
        <is>
          <t>2.350</t>
        </is>
      </c>
    </row>
    <row r="3920">
      <c r="A3920" s="24" t="n">
        <v>46204</v>
      </c>
      <c r="B3920" t="inlineStr">
        <is>
          <t>Frete de venda</t>
        </is>
      </c>
      <c r="C3920" t="inlineStr">
        <is>
          <t>Frete de venda (para clientes)</t>
        </is>
      </c>
      <c r="D3920" t="inlineStr">
        <is>
          <t>CT-e</t>
        </is>
      </c>
      <c r="E3920" t="inlineStr">
        <is>
          <t>000007587</t>
        </is>
      </c>
      <c r="F3920" t="inlineStr">
        <is>
          <t>R&amp;R TRANSPORTE E LOGISTICA</t>
        </is>
      </c>
      <c r="G3920" s="27" t="n">
        <v>46212</v>
      </c>
      <c r="H3920" s="14" t="n">
        <v>24.09</v>
      </c>
      <c r="I3920" s="14" t="n">
        <v>0</v>
      </c>
      <c r="J3920" s="14" t="n">
        <v>0</v>
      </c>
      <c r="K3920" s="14" t="n">
        <v>0</v>
      </c>
      <c r="L3920" s="14" t="n">
        <v>0</v>
      </c>
      <c r="M3920" s="14">
        <f>IF(B3920="Frete de venda",0,(1-ISNUMBER(SEARCH("556",P3920)))*(I3920*VLOOKUP($B3920,Premissas!$A$4:$E$7,2,0)+J3920*VLOOKUP($B3920,Premissas!$A$4:$E$7,3,0))+K3920*VLOOKUP($B3920,Premissas!$A$4:$E$7,4,0)+L3920*VLOOKUP($B3920,Premissas!$A$4:$E$7,5,0))</f>
        <v/>
      </c>
      <c r="N3920" s="14">
        <f>H3920-M3920</f>
        <v/>
      </c>
      <c r="O3920" t="inlineStr">
        <is>
          <t>Não</t>
        </is>
      </c>
      <c r="P3920" t="inlineStr">
        <is>
          <t>2.350</t>
        </is>
      </c>
    </row>
    <row r="3921">
      <c r="A3921" s="24" t="n">
        <v>46204</v>
      </c>
      <c r="B3921" t="inlineStr">
        <is>
          <t>Frete de venda</t>
        </is>
      </c>
      <c r="C3921" t="inlineStr">
        <is>
          <t>Frete de venda (para clientes)</t>
        </is>
      </c>
      <c r="D3921" t="inlineStr">
        <is>
          <t>CT-e</t>
        </is>
      </c>
      <c r="E3921" t="inlineStr">
        <is>
          <t>000007606</t>
        </is>
      </c>
      <c r="F3921" t="inlineStr">
        <is>
          <t>R&amp;R TRANSPORTE E LOGISTICA</t>
        </is>
      </c>
      <c r="G3921" s="27" t="n">
        <v>46214</v>
      </c>
      <c r="H3921" s="14" t="n">
        <v>38.61</v>
      </c>
      <c r="I3921" s="14" t="n">
        <v>0</v>
      </c>
      <c r="J3921" s="14" t="n">
        <v>0</v>
      </c>
      <c r="K3921" s="14" t="n">
        <v>0</v>
      </c>
      <c r="L3921" s="14" t="n">
        <v>0</v>
      </c>
      <c r="M3921" s="14">
        <f>IF(B3921="Frete de venda",0,(1-ISNUMBER(SEARCH("556",P3921)))*(I3921*VLOOKUP($B3921,Premissas!$A$4:$E$7,2,0)+J3921*VLOOKUP($B3921,Premissas!$A$4:$E$7,3,0))+K3921*VLOOKUP($B3921,Premissas!$A$4:$E$7,4,0)+L3921*VLOOKUP($B3921,Premissas!$A$4:$E$7,5,0))</f>
        <v/>
      </c>
      <c r="N3921" s="14">
        <f>H3921-M3921</f>
        <v/>
      </c>
      <c r="O3921" t="inlineStr">
        <is>
          <t>Não</t>
        </is>
      </c>
      <c r="P3921" t="inlineStr">
        <is>
          <t>2.350</t>
        </is>
      </c>
    </row>
    <row r="3922">
      <c r="A3922" s="24" t="n">
        <v>46204</v>
      </c>
      <c r="B3922" t="inlineStr">
        <is>
          <t>Frete de venda</t>
        </is>
      </c>
      <c r="C3922" t="inlineStr">
        <is>
          <t>Frete de venda (para clientes)</t>
        </is>
      </c>
      <c r="D3922" t="inlineStr">
        <is>
          <t>CT-e</t>
        </is>
      </c>
      <c r="E3922" t="inlineStr">
        <is>
          <t>000007586</t>
        </is>
      </c>
      <c r="F3922" t="inlineStr">
        <is>
          <t>R&amp;R TRANSPORTE E LOGISTICA</t>
        </is>
      </c>
      <c r="G3922" s="27" t="n">
        <v>46212</v>
      </c>
      <c r="H3922" s="14" t="n">
        <v>24.09</v>
      </c>
      <c r="I3922" s="14" t="n">
        <v>0</v>
      </c>
      <c r="J3922" s="14" t="n">
        <v>0</v>
      </c>
      <c r="K3922" s="14" t="n">
        <v>0</v>
      </c>
      <c r="L3922" s="14" t="n">
        <v>0</v>
      </c>
      <c r="M3922" s="14">
        <f>IF(B3922="Frete de venda",0,(1-ISNUMBER(SEARCH("556",P3922)))*(I3922*VLOOKUP($B3922,Premissas!$A$4:$E$7,2,0)+J3922*VLOOKUP($B3922,Premissas!$A$4:$E$7,3,0))+K3922*VLOOKUP($B3922,Premissas!$A$4:$E$7,4,0)+L3922*VLOOKUP($B3922,Premissas!$A$4:$E$7,5,0))</f>
        <v/>
      </c>
      <c r="N3922" s="14">
        <f>H3922-M3922</f>
        <v/>
      </c>
      <c r="O3922" t="inlineStr">
        <is>
          <t>Não</t>
        </is>
      </c>
      <c r="P3922" t="inlineStr">
        <is>
          <t>2.350</t>
        </is>
      </c>
    </row>
    <row r="3923">
      <c r="A3923" s="24" t="n">
        <v>46204</v>
      </c>
      <c r="B3923" t="inlineStr">
        <is>
          <t>Frete de venda</t>
        </is>
      </c>
      <c r="C3923" t="inlineStr">
        <is>
          <t>Frete de venda (para clientes)</t>
        </is>
      </c>
      <c r="D3923" t="inlineStr">
        <is>
          <t>CT-e</t>
        </is>
      </c>
      <c r="E3923" t="inlineStr">
        <is>
          <t>000007759</t>
        </is>
      </c>
      <c r="F3923" t="inlineStr">
        <is>
          <t>R&amp;R TRANSPORTE E LOGISTICA</t>
        </is>
      </c>
      <c r="G3923" s="27" t="n">
        <v>46227</v>
      </c>
      <c r="H3923" s="14" t="n">
        <v>16.48</v>
      </c>
      <c r="I3923" s="14" t="n">
        <v>0</v>
      </c>
      <c r="J3923" s="14" t="n">
        <v>0</v>
      </c>
      <c r="K3923" s="14" t="n">
        <v>0</v>
      </c>
      <c r="L3923" s="14" t="n">
        <v>0</v>
      </c>
      <c r="M3923" s="14">
        <f>IF(B3923="Frete de venda",0,(1-ISNUMBER(SEARCH("556",P3923)))*(I3923*VLOOKUP($B3923,Premissas!$A$4:$E$7,2,0)+J3923*VLOOKUP($B3923,Premissas!$A$4:$E$7,3,0))+K3923*VLOOKUP($B3923,Premissas!$A$4:$E$7,4,0)+L3923*VLOOKUP($B3923,Premissas!$A$4:$E$7,5,0))</f>
        <v/>
      </c>
      <c r="N3923" s="14">
        <f>H3923-M3923</f>
        <v/>
      </c>
      <c r="O3923" t="inlineStr">
        <is>
          <t>Não</t>
        </is>
      </c>
      <c r="P3923" t="inlineStr">
        <is>
          <t>1.350</t>
        </is>
      </c>
    </row>
    <row r="3924">
      <c r="A3924" s="24" t="n">
        <v>46204</v>
      </c>
      <c r="B3924" t="inlineStr">
        <is>
          <t>Frete de venda</t>
        </is>
      </c>
      <c r="C3924" t="inlineStr">
        <is>
          <t>Frete de venda (para clientes)</t>
        </is>
      </c>
      <c r="D3924" t="inlineStr">
        <is>
          <t>CT-e</t>
        </is>
      </c>
      <c r="E3924" t="inlineStr">
        <is>
          <t>000007728</t>
        </is>
      </c>
      <c r="F3924" t="inlineStr">
        <is>
          <t>R&amp;R TRANSPORTE E LOGISTICA</t>
        </is>
      </c>
      <c r="G3924" s="27" t="n">
        <v>46225</v>
      </c>
      <c r="H3924" s="14" t="n">
        <v>19.55</v>
      </c>
      <c r="I3924" s="14" t="n">
        <v>0</v>
      </c>
      <c r="J3924" s="14" t="n">
        <v>0</v>
      </c>
      <c r="K3924" s="14" t="n">
        <v>0</v>
      </c>
      <c r="L3924" s="14" t="n">
        <v>0</v>
      </c>
      <c r="M3924" s="14">
        <f>IF(B3924="Frete de venda",0,(1-ISNUMBER(SEARCH("556",P3924)))*(I3924*VLOOKUP($B3924,Premissas!$A$4:$E$7,2,0)+J3924*VLOOKUP($B3924,Premissas!$A$4:$E$7,3,0))+K3924*VLOOKUP($B3924,Premissas!$A$4:$E$7,4,0)+L3924*VLOOKUP($B3924,Premissas!$A$4:$E$7,5,0))</f>
        <v/>
      </c>
      <c r="N3924" s="14">
        <f>H3924-M3924</f>
        <v/>
      </c>
      <c r="O3924" t="inlineStr">
        <is>
          <t>Não</t>
        </is>
      </c>
      <c r="P3924" t="inlineStr">
        <is>
          <t>2.350</t>
        </is>
      </c>
    </row>
    <row r="3925">
      <c r="A3925" s="24" t="n">
        <v>46204</v>
      </c>
      <c r="B3925" t="inlineStr">
        <is>
          <t>Frete de venda</t>
        </is>
      </c>
      <c r="C3925" t="inlineStr">
        <is>
          <t>Frete de venda (para clientes)</t>
        </is>
      </c>
      <c r="D3925" t="inlineStr">
        <is>
          <t>CT-e</t>
        </is>
      </c>
      <c r="E3925" t="inlineStr">
        <is>
          <t>000007685</t>
        </is>
      </c>
      <c r="F3925" t="inlineStr">
        <is>
          <t>R&amp;R TRANSPORTE E LOGISTICA</t>
        </is>
      </c>
      <c r="G3925" s="27" t="n">
        <v>46223</v>
      </c>
      <c r="H3925" s="14" t="n">
        <v>1400</v>
      </c>
      <c r="I3925" s="14" t="n">
        <v>0</v>
      </c>
      <c r="J3925" s="14" t="n">
        <v>0</v>
      </c>
      <c r="K3925" s="14" t="n">
        <v>0</v>
      </c>
      <c r="L3925" s="14" t="n">
        <v>0</v>
      </c>
      <c r="M3925" s="14">
        <f>IF(B3925="Frete de venda",0,(1-ISNUMBER(SEARCH("556",P3925)))*(I3925*VLOOKUP($B3925,Premissas!$A$4:$E$7,2,0)+J3925*VLOOKUP($B3925,Premissas!$A$4:$E$7,3,0))+K3925*VLOOKUP($B3925,Premissas!$A$4:$E$7,4,0)+L3925*VLOOKUP($B3925,Premissas!$A$4:$E$7,5,0))</f>
        <v/>
      </c>
      <c r="N3925" s="14">
        <f>H3925-M3925</f>
        <v/>
      </c>
      <c r="O3925" t="inlineStr">
        <is>
          <t>Não</t>
        </is>
      </c>
      <c r="P3925" t="inlineStr">
        <is>
          <t>2.350</t>
        </is>
      </c>
    </row>
    <row r="3926">
      <c r="A3926" s="24" t="n">
        <v>46204</v>
      </c>
      <c r="B3926" t="inlineStr">
        <is>
          <t>Frete de venda</t>
        </is>
      </c>
      <c r="C3926" t="inlineStr">
        <is>
          <t>Frete de venda (para clientes)</t>
        </is>
      </c>
      <c r="D3926" t="inlineStr">
        <is>
          <t>CT-e</t>
        </is>
      </c>
      <c r="E3926" t="inlineStr">
        <is>
          <t>000026342</t>
        </is>
      </c>
      <c r="F3926" t="inlineStr">
        <is>
          <t>DR CARGO TRANSPORTE DE CARGAS LTDA</t>
        </is>
      </c>
      <c r="G3926" s="27" t="n">
        <v>46233</v>
      </c>
      <c r="H3926" s="14" t="n">
        <v>470.61</v>
      </c>
      <c r="I3926" s="14" t="n">
        <v>0</v>
      </c>
      <c r="J3926" s="14" t="n">
        <v>56.47</v>
      </c>
      <c r="K3926" s="14" t="n">
        <v>0</v>
      </c>
      <c r="L3926" s="14" t="n">
        <v>0</v>
      </c>
      <c r="M3926" s="14">
        <f>IF(B3926="Frete de venda",0,(1-ISNUMBER(SEARCH("556",P3926)))*(I3926*VLOOKUP($B3926,Premissas!$A$4:$E$7,2,0)+J3926*VLOOKUP($B3926,Premissas!$A$4:$E$7,3,0))+K3926*VLOOKUP($B3926,Premissas!$A$4:$E$7,4,0)+L3926*VLOOKUP($B3926,Premissas!$A$4:$E$7,5,0))</f>
        <v/>
      </c>
      <c r="N3926" s="14">
        <f>H3926-M3926</f>
        <v/>
      </c>
      <c r="O3926" t="inlineStr">
        <is>
          <t>Sim</t>
        </is>
      </c>
      <c r="P3926" t="inlineStr">
        <is>
          <t>2.350</t>
        </is>
      </c>
    </row>
    <row r="3927">
      <c r="A3927" s="24" t="n">
        <v>46204</v>
      </c>
      <c r="B3927" t="inlineStr">
        <is>
          <t>Frete de venda</t>
        </is>
      </c>
      <c r="C3927" t="inlineStr">
        <is>
          <t>Frete de venda (para clientes)</t>
        </is>
      </c>
      <c r="D3927" t="inlineStr">
        <is>
          <t>CT-e</t>
        </is>
      </c>
      <c r="E3927" t="inlineStr">
        <is>
          <t>000007694</t>
        </is>
      </c>
      <c r="F3927" t="inlineStr">
        <is>
          <t>R&amp;R TRANSPORTE E LOGISTICA</t>
        </is>
      </c>
      <c r="G3927" s="27" t="n">
        <v>46223</v>
      </c>
      <c r="H3927" s="14" t="n">
        <v>80.69</v>
      </c>
      <c r="I3927" s="14" t="n">
        <v>0</v>
      </c>
      <c r="J3927" s="14" t="n">
        <v>0</v>
      </c>
      <c r="K3927" s="14" t="n">
        <v>0</v>
      </c>
      <c r="L3927" s="14" t="n">
        <v>0</v>
      </c>
      <c r="M3927" s="14">
        <f>IF(B3927="Frete de venda",0,(1-ISNUMBER(SEARCH("556",P3927)))*(I3927*VLOOKUP($B3927,Premissas!$A$4:$E$7,2,0)+J3927*VLOOKUP($B3927,Premissas!$A$4:$E$7,3,0))+K3927*VLOOKUP($B3927,Premissas!$A$4:$E$7,4,0)+L3927*VLOOKUP($B3927,Premissas!$A$4:$E$7,5,0))</f>
        <v/>
      </c>
      <c r="N3927" s="14">
        <f>H3927-M3927</f>
        <v/>
      </c>
      <c r="O3927" t="inlineStr">
        <is>
          <t>Não</t>
        </is>
      </c>
      <c r="P3927" t="inlineStr">
        <is>
          <t>2.350</t>
        </is>
      </c>
    </row>
    <row r="3928">
      <c r="A3928" s="24" t="n">
        <v>46204</v>
      </c>
      <c r="B3928" t="inlineStr">
        <is>
          <t>Frete de venda</t>
        </is>
      </c>
      <c r="C3928" t="inlineStr">
        <is>
          <t>Frete de venda (para clientes)</t>
        </is>
      </c>
      <c r="D3928" t="inlineStr">
        <is>
          <t>CT-e</t>
        </is>
      </c>
      <c r="E3928" t="inlineStr">
        <is>
          <t>000007773</t>
        </is>
      </c>
      <c r="F3928" t="inlineStr">
        <is>
          <t>R&amp;R TRANSPORTE E LOGISTICA</t>
        </is>
      </c>
      <c r="G3928" s="27" t="n">
        <v>46227</v>
      </c>
      <c r="H3928" s="14" t="n">
        <v>51.64</v>
      </c>
      <c r="I3928" s="14" t="n">
        <v>0</v>
      </c>
      <c r="J3928" s="14" t="n">
        <v>0</v>
      </c>
      <c r="K3928" s="14" t="n">
        <v>0</v>
      </c>
      <c r="L3928" s="14" t="n">
        <v>0</v>
      </c>
      <c r="M3928" s="14">
        <f>IF(B3928="Frete de venda",0,(1-ISNUMBER(SEARCH("556",P3928)))*(I3928*VLOOKUP($B3928,Premissas!$A$4:$E$7,2,0)+J3928*VLOOKUP($B3928,Premissas!$A$4:$E$7,3,0))+K3928*VLOOKUP($B3928,Premissas!$A$4:$E$7,4,0)+L3928*VLOOKUP($B3928,Premissas!$A$4:$E$7,5,0))</f>
        <v/>
      </c>
      <c r="N3928" s="14">
        <f>H3928-M3928</f>
        <v/>
      </c>
      <c r="O3928" t="inlineStr">
        <is>
          <t>Não</t>
        </is>
      </c>
      <c r="P3928" t="inlineStr">
        <is>
          <t>1.350</t>
        </is>
      </c>
    </row>
    <row r="3929">
      <c r="A3929" s="24" t="n">
        <v>46204</v>
      </c>
      <c r="B3929" t="inlineStr">
        <is>
          <t>Frete de venda</t>
        </is>
      </c>
      <c r="C3929" t="inlineStr">
        <is>
          <t>Frete de venda (para clientes)</t>
        </is>
      </c>
      <c r="D3929" t="inlineStr">
        <is>
          <t>CT-e</t>
        </is>
      </c>
      <c r="E3929" t="inlineStr">
        <is>
          <t>000007599</t>
        </is>
      </c>
      <c r="F3929" t="inlineStr">
        <is>
          <t>R&amp;R TRANSPORTE E LOGISTICA</t>
        </is>
      </c>
      <c r="G3929" s="27" t="n">
        <v>46213</v>
      </c>
      <c r="H3929" s="14" t="n">
        <v>103.38</v>
      </c>
      <c r="I3929" s="14" t="n">
        <v>0</v>
      </c>
      <c r="J3929" s="14" t="n">
        <v>0</v>
      </c>
      <c r="K3929" s="14" t="n">
        <v>0</v>
      </c>
      <c r="L3929" s="14" t="n">
        <v>0</v>
      </c>
      <c r="M3929" s="14">
        <f>IF(B3929="Frete de venda",0,(1-ISNUMBER(SEARCH("556",P3929)))*(I3929*VLOOKUP($B3929,Premissas!$A$4:$E$7,2,0)+J3929*VLOOKUP($B3929,Premissas!$A$4:$E$7,3,0))+K3929*VLOOKUP($B3929,Premissas!$A$4:$E$7,4,0)+L3929*VLOOKUP($B3929,Premissas!$A$4:$E$7,5,0))</f>
        <v/>
      </c>
      <c r="N3929" s="14">
        <f>H3929-M3929</f>
        <v/>
      </c>
      <c r="O3929" t="inlineStr">
        <is>
          <t>Não</t>
        </is>
      </c>
      <c r="P3929" t="inlineStr">
        <is>
          <t>2.350</t>
        </is>
      </c>
    </row>
    <row r="3930">
      <c r="A3930" s="24" t="n">
        <v>46204</v>
      </c>
      <c r="B3930" t="inlineStr">
        <is>
          <t>Frete de venda</t>
        </is>
      </c>
      <c r="C3930" t="inlineStr">
        <is>
          <t>Frete de venda (para clientes)</t>
        </is>
      </c>
      <c r="D3930" t="inlineStr">
        <is>
          <t>CT-e</t>
        </is>
      </c>
      <c r="E3930" t="inlineStr">
        <is>
          <t>000000713</t>
        </is>
      </c>
      <c r="F3930" t="inlineStr">
        <is>
          <t>REIMAG - REINALDO DOMINGUES BARROS DA SILVA</t>
        </is>
      </c>
      <c r="G3930" s="27" t="n">
        <v>46214</v>
      </c>
      <c r="H3930" s="14" t="n">
        <v>266</v>
      </c>
      <c r="I3930" s="14" t="n">
        <v>0</v>
      </c>
      <c r="J3930" s="14" t="n">
        <v>0</v>
      </c>
      <c r="K3930" s="14" t="n">
        <v>0</v>
      </c>
      <c r="L3930" s="14" t="n">
        <v>0</v>
      </c>
      <c r="M3930" s="14">
        <f>IF(B3930="Frete de venda",0,(1-ISNUMBER(SEARCH("556",P3930)))*(I3930*VLOOKUP($B3930,Premissas!$A$4:$E$7,2,0)+J3930*VLOOKUP($B3930,Premissas!$A$4:$E$7,3,0))+K3930*VLOOKUP($B3930,Premissas!$A$4:$E$7,4,0)+L3930*VLOOKUP($B3930,Premissas!$A$4:$E$7,5,0))</f>
        <v/>
      </c>
      <c r="N3930" s="14">
        <f>H3930-M3930</f>
        <v/>
      </c>
      <c r="O3930" t="inlineStr">
        <is>
          <t>Sim</t>
        </is>
      </c>
      <c r="P3930" t="inlineStr">
        <is>
          <t>2.350</t>
        </is>
      </c>
    </row>
    <row r="3931">
      <c r="A3931" s="24" t="n">
        <v>46204</v>
      </c>
      <c r="B3931" t="inlineStr">
        <is>
          <t>Frete de venda</t>
        </is>
      </c>
      <c r="C3931" t="inlineStr">
        <is>
          <t>Frete de venda (para clientes)</t>
        </is>
      </c>
      <c r="D3931" t="inlineStr">
        <is>
          <t>CT-e</t>
        </is>
      </c>
      <c r="E3931" t="inlineStr">
        <is>
          <t>000000709</t>
        </is>
      </c>
      <c r="F3931" t="inlineStr">
        <is>
          <t>REIMAG - REINALDO DOMINGUES BARROS DA SILVA</t>
        </is>
      </c>
      <c r="G3931" s="27" t="n">
        <v>46205</v>
      </c>
      <c r="H3931" s="14" t="n">
        <v>267</v>
      </c>
      <c r="I3931" s="14" t="n">
        <v>0</v>
      </c>
      <c r="J3931" s="14" t="n">
        <v>0</v>
      </c>
      <c r="K3931" s="14" t="n">
        <v>0</v>
      </c>
      <c r="L3931" s="14" t="n">
        <v>0</v>
      </c>
      <c r="M3931" s="14">
        <f>IF(B3931="Frete de venda",0,(1-ISNUMBER(SEARCH("556",P3931)))*(I3931*VLOOKUP($B3931,Premissas!$A$4:$E$7,2,0)+J3931*VLOOKUP($B3931,Premissas!$A$4:$E$7,3,0))+K3931*VLOOKUP($B3931,Premissas!$A$4:$E$7,4,0)+L3931*VLOOKUP($B3931,Premissas!$A$4:$E$7,5,0))</f>
        <v/>
      </c>
      <c r="N3931" s="14">
        <f>H3931-M3931</f>
        <v/>
      </c>
      <c r="O3931" t="inlineStr">
        <is>
          <t>Sim</t>
        </is>
      </c>
      <c r="P3931" t="inlineStr">
        <is>
          <t>2.350</t>
        </is>
      </c>
    </row>
    <row r="3932">
      <c r="A3932" s="24" t="n">
        <v>46204</v>
      </c>
      <c r="B3932" t="inlineStr">
        <is>
          <t>Frete de venda</t>
        </is>
      </c>
      <c r="C3932" t="inlineStr">
        <is>
          <t>Frete de venda (para clientes)</t>
        </is>
      </c>
      <c r="D3932" t="inlineStr">
        <is>
          <t>CT-e</t>
        </is>
      </c>
      <c r="E3932" t="inlineStr">
        <is>
          <t>000026343</t>
        </is>
      </c>
      <c r="F3932" t="inlineStr">
        <is>
          <t>DR CARGO TRANSPORTE DE CARGAS LTDA</t>
        </is>
      </c>
      <c r="G3932" s="27" t="n">
        <v>46233</v>
      </c>
      <c r="H3932" s="14" t="n">
        <v>2658.9</v>
      </c>
      <c r="I3932" s="14" t="n">
        <v>0</v>
      </c>
      <c r="J3932" s="14" t="n">
        <v>319.07</v>
      </c>
      <c r="K3932" s="14" t="n">
        <v>0</v>
      </c>
      <c r="L3932" s="14" t="n">
        <v>0</v>
      </c>
      <c r="M3932" s="14">
        <f>IF(B3932="Frete de venda",0,(1-ISNUMBER(SEARCH("556",P3932)))*(I3932*VLOOKUP($B3932,Premissas!$A$4:$E$7,2,0)+J3932*VLOOKUP($B3932,Premissas!$A$4:$E$7,3,0))+K3932*VLOOKUP($B3932,Premissas!$A$4:$E$7,4,0)+L3932*VLOOKUP($B3932,Premissas!$A$4:$E$7,5,0))</f>
        <v/>
      </c>
      <c r="N3932" s="14">
        <f>H3932-M3932</f>
        <v/>
      </c>
      <c r="O3932" t="inlineStr">
        <is>
          <t>Sim</t>
        </is>
      </c>
      <c r="P3932" t="inlineStr">
        <is>
          <t>2.350</t>
        </is>
      </c>
    </row>
    <row r="3933">
      <c r="A3933" s="24" t="n">
        <v>46204</v>
      </c>
      <c r="B3933" t="inlineStr">
        <is>
          <t>Frete de venda</t>
        </is>
      </c>
      <c r="C3933" t="inlineStr">
        <is>
          <t>Frete de venda (para clientes)</t>
        </is>
      </c>
      <c r="D3933" t="inlineStr">
        <is>
          <t>CT-e</t>
        </is>
      </c>
      <c r="E3933" t="inlineStr">
        <is>
          <t>000025073</t>
        </is>
      </c>
      <c r="F3933" t="inlineStr">
        <is>
          <t>TRANSPORTE OLIVEIRA E MELLOI - IDEALIZA TRANSPORTES</t>
        </is>
      </c>
      <c r="G3933" s="27" t="n">
        <v>46216</v>
      </c>
      <c r="H3933" s="14" t="n">
        <v>681.89</v>
      </c>
      <c r="I3933" s="14" t="n">
        <v>0</v>
      </c>
      <c r="J3933" s="14" t="n">
        <v>81.83</v>
      </c>
      <c r="K3933" s="14" t="n">
        <v>0</v>
      </c>
      <c r="L3933" s="14" t="n">
        <v>0</v>
      </c>
      <c r="M3933" s="14">
        <f>IF(B3933="Frete de venda",0,(1-ISNUMBER(SEARCH("556",P3933)))*(I3933*VLOOKUP($B3933,Premissas!$A$4:$E$7,2,0)+J3933*VLOOKUP($B3933,Premissas!$A$4:$E$7,3,0))+K3933*VLOOKUP($B3933,Premissas!$A$4:$E$7,4,0)+L3933*VLOOKUP($B3933,Premissas!$A$4:$E$7,5,0))</f>
        <v/>
      </c>
      <c r="N3933" s="14">
        <f>H3933-M3933</f>
        <v/>
      </c>
      <c r="O3933" t="inlineStr">
        <is>
          <t>Sim</t>
        </is>
      </c>
      <c r="P3933" t="inlineStr">
        <is>
          <t>2.350</t>
        </is>
      </c>
    </row>
    <row r="3934">
      <c r="A3934" s="24" t="n">
        <v>46204</v>
      </c>
      <c r="B3934" t="inlineStr">
        <is>
          <t>Frete de venda</t>
        </is>
      </c>
      <c r="C3934" t="inlineStr">
        <is>
          <t>Frete de venda (para clientes)</t>
        </is>
      </c>
      <c r="D3934" t="inlineStr">
        <is>
          <t>CT-e</t>
        </is>
      </c>
      <c r="E3934" t="inlineStr">
        <is>
          <t>000007630</t>
        </is>
      </c>
      <c r="F3934" t="inlineStr">
        <is>
          <t>R&amp;R TRANSPORTE E LOGISTICA</t>
        </is>
      </c>
      <c r="G3934" s="27" t="n">
        <v>46217</v>
      </c>
      <c r="H3934" s="14" t="n">
        <v>43.95</v>
      </c>
      <c r="I3934" s="14" t="n">
        <v>0</v>
      </c>
      <c r="J3934" s="14" t="n">
        <v>0</v>
      </c>
      <c r="K3934" s="14" t="n">
        <v>0</v>
      </c>
      <c r="L3934" s="14" t="n">
        <v>0</v>
      </c>
      <c r="M3934" s="14">
        <f>IF(B3934="Frete de venda",0,(1-ISNUMBER(SEARCH("556",P3934)))*(I3934*VLOOKUP($B3934,Premissas!$A$4:$E$7,2,0)+J3934*VLOOKUP($B3934,Premissas!$A$4:$E$7,3,0))+K3934*VLOOKUP($B3934,Premissas!$A$4:$E$7,4,0)+L3934*VLOOKUP($B3934,Premissas!$A$4:$E$7,5,0))</f>
        <v/>
      </c>
      <c r="N3934" s="14">
        <f>H3934-M3934</f>
        <v/>
      </c>
      <c r="O3934" t="inlineStr">
        <is>
          <t>Não</t>
        </is>
      </c>
      <c r="P3934" t="inlineStr">
        <is>
          <t>2.350</t>
        </is>
      </c>
    </row>
    <row r="3935">
      <c r="A3935" s="24" t="n">
        <v>46204</v>
      </c>
      <c r="B3935" t="inlineStr">
        <is>
          <t>Frete de venda</t>
        </is>
      </c>
      <c r="C3935" t="inlineStr">
        <is>
          <t>Frete de venda (para clientes)</t>
        </is>
      </c>
      <c r="D3935" t="inlineStr">
        <is>
          <t>CT-e</t>
        </is>
      </c>
      <c r="E3935" t="inlineStr">
        <is>
          <t>000007748</t>
        </is>
      </c>
      <c r="F3935" t="inlineStr">
        <is>
          <t>R&amp;R TRANSPORTE E LOGISTICA</t>
        </is>
      </c>
      <c r="G3935" s="27" t="n">
        <v>46226</v>
      </c>
      <c r="H3935" s="14" t="n">
        <v>30.35</v>
      </c>
      <c r="I3935" s="14" t="n">
        <v>0</v>
      </c>
      <c r="J3935" s="14" t="n">
        <v>0</v>
      </c>
      <c r="K3935" s="14" t="n">
        <v>0</v>
      </c>
      <c r="L3935" s="14" t="n">
        <v>0</v>
      </c>
      <c r="M3935" s="14">
        <f>IF(B3935="Frete de venda",0,(1-ISNUMBER(SEARCH("556",P3935)))*(I3935*VLOOKUP($B3935,Premissas!$A$4:$E$7,2,0)+J3935*VLOOKUP($B3935,Premissas!$A$4:$E$7,3,0))+K3935*VLOOKUP($B3935,Premissas!$A$4:$E$7,4,0)+L3935*VLOOKUP($B3935,Premissas!$A$4:$E$7,5,0))</f>
        <v/>
      </c>
      <c r="N3935" s="14">
        <f>H3935-M3935</f>
        <v/>
      </c>
      <c r="O3935" t="inlineStr">
        <is>
          <t>Não</t>
        </is>
      </c>
      <c r="P3935" t="inlineStr">
        <is>
          <t>1.350</t>
        </is>
      </c>
    </row>
    <row r="3936">
      <c r="A3936" s="24" t="n">
        <v>46204</v>
      </c>
      <c r="B3936" t="inlineStr">
        <is>
          <t>Frete de venda</t>
        </is>
      </c>
      <c r="C3936" t="inlineStr">
        <is>
          <t>Frete de venda (para clientes)</t>
        </is>
      </c>
      <c r="D3936" t="inlineStr">
        <is>
          <t>CT-e</t>
        </is>
      </c>
      <c r="E3936" t="inlineStr">
        <is>
          <t>001450723</t>
        </is>
      </c>
      <c r="F3936" t="inlineStr">
        <is>
          <t>PICCOLI TRANSPORTES LTDA</t>
        </is>
      </c>
      <c r="G3936" s="27" t="n">
        <v>46205</v>
      </c>
      <c r="H3936" s="14" t="n">
        <v>708.97</v>
      </c>
      <c r="I3936" s="14" t="n">
        <v>0</v>
      </c>
      <c r="J3936" s="14" t="n">
        <v>49.63</v>
      </c>
      <c r="K3936" s="14" t="n">
        <v>0</v>
      </c>
      <c r="L3936" s="14" t="n">
        <v>0</v>
      </c>
      <c r="M3936" s="14">
        <f>IF(B3936="Frete de venda",0,(1-ISNUMBER(SEARCH("556",P3936)))*(I3936*VLOOKUP($B3936,Premissas!$A$4:$E$7,2,0)+J3936*VLOOKUP($B3936,Premissas!$A$4:$E$7,3,0))+K3936*VLOOKUP($B3936,Premissas!$A$4:$E$7,4,0)+L3936*VLOOKUP($B3936,Premissas!$A$4:$E$7,5,0))</f>
        <v/>
      </c>
      <c r="N3936" s="14">
        <f>H3936-M3936</f>
        <v/>
      </c>
      <c r="O3936" t="inlineStr">
        <is>
          <t>Sim</t>
        </is>
      </c>
      <c r="P3936" t="inlineStr">
        <is>
          <t>2.350</t>
        </is>
      </c>
    </row>
    <row r="3937">
      <c r="A3937" s="24" t="n">
        <v>46204</v>
      </c>
      <c r="B3937" t="inlineStr">
        <is>
          <t>Frete de venda</t>
        </is>
      </c>
      <c r="C3937" t="inlineStr">
        <is>
          <t>Frete de venda (para clientes)</t>
        </is>
      </c>
      <c r="D3937" t="inlineStr">
        <is>
          <t>CT-e</t>
        </is>
      </c>
      <c r="E3937" t="inlineStr">
        <is>
          <t>000007653</t>
        </is>
      </c>
      <c r="F3937" t="inlineStr">
        <is>
          <t>R&amp;R TRANSPORTE E LOGISTICA</t>
        </is>
      </c>
      <c r="G3937" s="27" t="n">
        <v>46219</v>
      </c>
      <c r="H3937" s="14" t="n">
        <v>58.2</v>
      </c>
      <c r="I3937" s="14" t="n">
        <v>0</v>
      </c>
      <c r="J3937" s="14" t="n">
        <v>0</v>
      </c>
      <c r="K3937" s="14" t="n">
        <v>0</v>
      </c>
      <c r="L3937" s="14" t="n">
        <v>0</v>
      </c>
      <c r="M3937" s="14">
        <f>IF(B3937="Frete de venda",0,(1-ISNUMBER(SEARCH("556",P3937)))*(I3937*VLOOKUP($B3937,Premissas!$A$4:$E$7,2,0)+J3937*VLOOKUP($B3937,Premissas!$A$4:$E$7,3,0))+K3937*VLOOKUP($B3937,Premissas!$A$4:$E$7,4,0)+L3937*VLOOKUP($B3937,Premissas!$A$4:$E$7,5,0))</f>
        <v/>
      </c>
      <c r="N3937" s="14">
        <f>H3937-M3937</f>
        <v/>
      </c>
      <c r="O3937" t="inlineStr">
        <is>
          <t>Não</t>
        </is>
      </c>
      <c r="P3937" t="inlineStr">
        <is>
          <t>2.350</t>
        </is>
      </c>
    </row>
    <row r="3938">
      <c r="A3938" s="24" t="n">
        <v>46204</v>
      </c>
      <c r="B3938" t="inlineStr">
        <is>
          <t>Frete de venda</t>
        </is>
      </c>
      <c r="C3938" t="inlineStr">
        <is>
          <t>Frete de venda (para clientes)</t>
        </is>
      </c>
      <c r="D3938" t="inlineStr">
        <is>
          <t>CT-e</t>
        </is>
      </c>
      <c r="E3938" t="inlineStr">
        <is>
          <t>001455976</t>
        </is>
      </c>
      <c r="F3938" t="inlineStr">
        <is>
          <t>PICCOLI TRANSPORTES LTDA</t>
        </is>
      </c>
      <c r="G3938" s="27" t="n">
        <v>46224</v>
      </c>
      <c r="H3938" s="14" t="n">
        <v>3039.24</v>
      </c>
      <c r="I3938" s="14" t="n">
        <v>0</v>
      </c>
      <c r="J3938" s="14" t="n">
        <v>212.75</v>
      </c>
      <c r="K3938" s="14" t="n">
        <v>0</v>
      </c>
      <c r="L3938" s="14" t="n">
        <v>0</v>
      </c>
      <c r="M3938" s="14">
        <f>IF(B3938="Frete de venda",0,(1-ISNUMBER(SEARCH("556",P3938)))*(I3938*VLOOKUP($B3938,Premissas!$A$4:$E$7,2,0)+J3938*VLOOKUP($B3938,Premissas!$A$4:$E$7,3,0))+K3938*VLOOKUP($B3938,Premissas!$A$4:$E$7,4,0)+L3938*VLOOKUP($B3938,Premissas!$A$4:$E$7,5,0))</f>
        <v/>
      </c>
      <c r="N3938" s="14">
        <f>H3938-M3938</f>
        <v/>
      </c>
      <c r="O3938" t="inlineStr">
        <is>
          <t>Sim</t>
        </is>
      </c>
      <c r="P3938" t="inlineStr">
        <is>
          <t>2.350</t>
        </is>
      </c>
    </row>
    <row r="3939">
      <c r="A3939" s="24" t="n">
        <v>46204</v>
      </c>
      <c r="B3939" t="inlineStr">
        <is>
          <t>Frete de venda</t>
        </is>
      </c>
      <c r="C3939" t="inlineStr">
        <is>
          <t>Frete de venda (para clientes)</t>
        </is>
      </c>
      <c r="D3939" t="inlineStr">
        <is>
          <t>CT-e</t>
        </is>
      </c>
      <c r="E3939" t="inlineStr">
        <is>
          <t>000007610</t>
        </is>
      </c>
      <c r="F3939" t="inlineStr">
        <is>
          <t>R&amp;R TRANSPORTE E LOGISTICA</t>
        </is>
      </c>
      <c r="G3939" s="27" t="n">
        <v>46214</v>
      </c>
      <c r="H3939" s="14" t="n">
        <v>38.61</v>
      </c>
      <c r="I3939" s="14" t="n">
        <v>0</v>
      </c>
      <c r="J3939" s="14" t="n">
        <v>0</v>
      </c>
      <c r="K3939" s="14" t="n">
        <v>0</v>
      </c>
      <c r="L3939" s="14" t="n">
        <v>0</v>
      </c>
      <c r="M3939" s="14">
        <f>IF(B3939="Frete de venda",0,(1-ISNUMBER(SEARCH("556",P3939)))*(I3939*VLOOKUP($B3939,Premissas!$A$4:$E$7,2,0)+J3939*VLOOKUP($B3939,Premissas!$A$4:$E$7,3,0))+K3939*VLOOKUP($B3939,Premissas!$A$4:$E$7,4,0)+L3939*VLOOKUP($B3939,Premissas!$A$4:$E$7,5,0))</f>
        <v/>
      </c>
      <c r="N3939" s="14">
        <f>H3939-M3939</f>
        <v/>
      </c>
      <c r="O3939" t="inlineStr">
        <is>
          <t>Não</t>
        </is>
      </c>
      <c r="P3939" t="inlineStr">
        <is>
          <t>2.350</t>
        </is>
      </c>
    </row>
    <row r="3940">
      <c r="A3940" s="24" t="n">
        <v>46204</v>
      </c>
      <c r="B3940" t="inlineStr">
        <is>
          <t>Frete de venda</t>
        </is>
      </c>
      <c r="C3940" t="inlineStr">
        <is>
          <t>Frete de venda (para clientes)</t>
        </is>
      </c>
      <c r="D3940" t="inlineStr">
        <is>
          <t>CT-e</t>
        </is>
      </c>
      <c r="E3940" t="inlineStr">
        <is>
          <t>000007660</t>
        </is>
      </c>
      <c r="F3940" t="inlineStr">
        <is>
          <t>R&amp;R TRANSPORTE E LOGISTICA</t>
        </is>
      </c>
      <c r="G3940" s="27" t="n">
        <v>46219</v>
      </c>
      <c r="H3940" s="14" t="n">
        <v>58.2</v>
      </c>
      <c r="I3940" s="14" t="n">
        <v>0</v>
      </c>
      <c r="J3940" s="14" t="n">
        <v>0</v>
      </c>
      <c r="K3940" s="14" t="n">
        <v>0</v>
      </c>
      <c r="L3940" s="14" t="n">
        <v>0</v>
      </c>
      <c r="M3940" s="14">
        <f>IF(B3940="Frete de venda",0,(1-ISNUMBER(SEARCH("556",P3940)))*(I3940*VLOOKUP($B3940,Premissas!$A$4:$E$7,2,0)+J3940*VLOOKUP($B3940,Premissas!$A$4:$E$7,3,0))+K3940*VLOOKUP($B3940,Premissas!$A$4:$E$7,4,0)+L3940*VLOOKUP($B3940,Premissas!$A$4:$E$7,5,0))</f>
        <v/>
      </c>
      <c r="N3940" s="14">
        <f>H3940-M3940</f>
        <v/>
      </c>
      <c r="O3940" t="inlineStr">
        <is>
          <t>Não</t>
        </is>
      </c>
      <c r="P3940" t="inlineStr">
        <is>
          <t>2.350</t>
        </is>
      </c>
    </row>
    <row r="3941">
      <c r="A3941" s="24" t="n">
        <v>46204</v>
      </c>
      <c r="B3941" t="inlineStr">
        <is>
          <t>Frete de venda</t>
        </is>
      </c>
      <c r="C3941" t="inlineStr">
        <is>
          <t>Frete de venda (para clientes)</t>
        </is>
      </c>
      <c r="D3941" t="inlineStr">
        <is>
          <t>CT-e</t>
        </is>
      </c>
      <c r="E3941" t="inlineStr">
        <is>
          <t>000004923</t>
        </is>
      </c>
      <c r="F3941" t="inlineStr">
        <is>
          <t>UNIVERSAL CARGAS EXPRESS</t>
        </is>
      </c>
      <c r="G3941" s="27" t="n">
        <v>46210</v>
      </c>
      <c r="H3941" s="14" t="n">
        <v>350</v>
      </c>
      <c r="I3941" s="14" t="n">
        <v>0</v>
      </c>
      <c r="J3941" s="14" t="n">
        <v>0</v>
      </c>
      <c r="K3941" s="14" t="n">
        <v>0</v>
      </c>
      <c r="L3941" s="14" t="n">
        <v>0</v>
      </c>
      <c r="M3941" s="14">
        <f>IF(B3941="Frete de venda",0,(1-ISNUMBER(SEARCH("556",P3941)))*(I3941*VLOOKUP($B3941,Premissas!$A$4:$E$7,2,0)+J3941*VLOOKUP($B3941,Premissas!$A$4:$E$7,3,0))+K3941*VLOOKUP($B3941,Premissas!$A$4:$E$7,4,0)+L3941*VLOOKUP($B3941,Premissas!$A$4:$E$7,5,0))</f>
        <v/>
      </c>
      <c r="N3941" s="14">
        <f>H3941-M3941</f>
        <v/>
      </c>
      <c r="O3941" t="inlineStr">
        <is>
          <t>Sim</t>
        </is>
      </c>
      <c r="P3941" t="inlineStr">
        <is>
          <t>2.350</t>
        </is>
      </c>
    </row>
    <row r="3942">
      <c r="A3942" s="24" t="n">
        <v>46204</v>
      </c>
      <c r="B3942" t="inlineStr">
        <is>
          <t>Frete de venda</t>
        </is>
      </c>
      <c r="C3942" t="inlineStr">
        <is>
          <t>Frete de venda (para clientes)</t>
        </is>
      </c>
      <c r="D3942" t="inlineStr">
        <is>
          <t>CT-e</t>
        </is>
      </c>
      <c r="E3942" t="inlineStr">
        <is>
          <t>000007561</t>
        </is>
      </c>
      <c r="F3942" t="inlineStr">
        <is>
          <t>R&amp;R TRANSPORTE E LOGISTICA</t>
        </is>
      </c>
      <c r="G3942" s="27" t="n">
        <v>46211</v>
      </c>
      <c r="H3942" s="14" t="n">
        <v>64.48</v>
      </c>
      <c r="I3942" s="14" t="n">
        <v>0</v>
      </c>
      <c r="J3942" s="14" t="n">
        <v>0</v>
      </c>
      <c r="K3942" s="14" t="n">
        <v>0</v>
      </c>
      <c r="L3942" s="14" t="n">
        <v>0</v>
      </c>
      <c r="M3942" s="14">
        <f>IF(B3942="Frete de venda",0,(1-ISNUMBER(SEARCH("556",P3942)))*(I3942*VLOOKUP($B3942,Premissas!$A$4:$E$7,2,0)+J3942*VLOOKUP($B3942,Premissas!$A$4:$E$7,3,0))+K3942*VLOOKUP($B3942,Premissas!$A$4:$E$7,4,0)+L3942*VLOOKUP($B3942,Premissas!$A$4:$E$7,5,0))</f>
        <v/>
      </c>
      <c r="N3942" s="14">
        <f>H3942-M3942</f>
        <v/>
      </c>
      <c r="O3942" t="inlineStr">
        <is>
          <t>Não</t>
        </is>
      </c>
      <c r="P3942" t="inlineStr">
        <is>
          <t>2.350</t>
        </is>
      </c>
    </row>
    <row r="3943">
      <c r="A3943" s="24" t="n">
        <v>46204</v>
      </c>
      <c r="B3943" t="inlineStr">
        <is>
          <t>Frete de venda</t>
        </is>
      </c>
      <c r="C3943" t="inlineStr">
        <is>
          <t>Frete de venda (para clientes)</t>
        </is>
      </c>
      <c r="D3943" t="inlineStr">
        <is>
          <t>CT-e</t>
        </is>
      </c>
      <c r="E3943" t="inlineStr">
        <is>
          <t>000007710</t>
        </is>
      </c>
      <c r="F3943" t="inlineStr">
        <is>
          <t>R&amp;R TRANSPORTE E LOGISTICA</t>
        </is>
      </c>
      <c r="G3943" s="27" t="n">
        <v>46224</v>
      </c>
      <c r="H3943" s="14" t="n">
        <v>83.47</v>
      </c>
      <c r="I3943" s="14" t="n">
        <v>0</v>
      </c>
      <c r="J3943" s="14" t="n">
        <v>0</v>
      </c>
      <c r="K3943" s="14" t="n">
        <v>0</v>
      </c>
      <c r="L3943" s="14" t="n">
        <v>0</v>
      </c>
      <c r="M3943" s="14">
        <f>IF(B3943="Frete de venda",0,(1-ISNUMBER(SEARCH("556",P3943)))*(I3943*VLOOKUP($B3943,Premissas!$A$4:$E$7,2,0)+J3943*VLOOKUP($B3943,Premissas!$A$4:$E$7,3,0))+K3943*VLOOKUP($B3943,Premissas!$A$4:$E$7,4,0)+L3943*VLOOKUP($B3943,Premissas!$A$4:$E$7,5,0))</f>
        <v/>
      </c>
      <c r="N3943" s="14">
        <f>H3943-M3943</f>
        <v/>
      </c>
      <c r="O3943" t="inlineStr">
        <is>
          <t>Não</t>
        </is>
      </c>
      <c r="P3943" t="inlineStr">
        <is>
          <t>2.350</t>
        </is>
      </c>
    </row>
    <row r="3944">
      <c r="A3944" s="24" t="n">
        <v>46204</v>
      </c>
      <c r="B3944" t="inlineStr">
        <is>
          <t>Frete de venda</t>
        </is>
      </c>
      <c r="C3944" t="inlineStr">
        <is>
          <t>Frete de venda (para clientes)</t>
        </is>
      </c>
      <c r="D3944" t="inlineStr">
        <is>
          <t>CT-e</t>
        </is>
      </c>
      <c r="E3944" t="inlineStr">
        <is>
          <t>000007711</t>
        </is>
      </c>
      <c r="F3944" t="inlineStr">
        <is>
          <t>R&amp;R TRANSPORTE E LOGISTICA</t>
        </is>
      </c>
      <c r="G3944" s="27" t="n">
        <v>46224</v>
      </c>
      <c r="H3944" s="14" t="n">
        <v>49.41</v>
      </c>
      <c r="I3944" s="14" t="n">
        <v>0</v>
      </c>
      <c r="J3944" s="14" t="n">
        <v>0</v>
      </c>
      <c r="K3944" s="14" t="n">
        <v>0</v>
      </c>
      <c r="L3944" s="14" t="n">
        <v>0</v>
      </c>
      <c r="M3944" s="14">
        <f>IF(B3944="Frete de venda",0,(1-ISNUMBER(SEARCH("556",P3944)))*(I3944*VLOOKUP($B3944,Premissas!$A$4:$E$7,2,0)+J3944*VLOOKUP($B3944,Premissas!$A$4:$E$7,3,0))+K3944*VLOOKUP($B3944,Premissas!$A$4:$E$7,4,0)+L3944*VLOOKUP($B3944,Premissas!$A$4:$E$7,5,0))</f>
        <v/>
      </c>
      <c r="N3944" s="14">
        <f>H3944-M3944</f>
        <v/>
      </c>
      <c r="O3944" t="inlineStr">
        <is>
          <t>Não</t>
        </is>
      </c>
      <c r="P3944" t="inlineStr">
        <is>
          <t>2.350</t>
        </is>
      </c>
    </row>
    <row r="3945">
      <c r="A3945" s="24" t="n">
        <v>46204</v>
      </c>
      <c r="B3945" t="inlineStr">
        <is>
          <t>Frete de venda</t>
        </is>
      </c>
      <c r="C3945" t="inlineStr">
        <is>
          <t>Frete de venda (para clientes)</t>
        </is>
      </c>
      <c r="D3945" t="inlineStr">
        <is>
          <t>CT-e</t>
        </is>
      </c>
      <c r="E3945" t="inlineStr">
        <is>
          <t>000007573</t>
        </is>
      </c>
      <c r="F3945" t="inlineStr">
        <is>
          <t>R&amp;R TRANSPORTE E LOGISTICA</t>
        </is>
      </c>
      <c r="G3945" s="27" t="n">
        <v>46212</v>
      </c>
      <c r="H3945" s="14" t="n">
        <v>24.09</v>
      </c>
      <c r="I3945" s="14" t="n">
        <v>0</v>
      </c>
      <c r="J3945" s="14" t="n">
        <v>0</v>
      </c>
      <c r="K3945" s="14" t="n">
        <v>0</v>
      </c>
      <c r="L3945" s="14" t="n">
        <v>0</v>
      </c>
      <c r="M3945" s="14">
        <f>IF(B3945="Frete de venda",0,(1-ISNUMBER(SEARCH("556",P3945)))*(I3945*VLOOKUP($B3945,Premissas!$A$4:$E$7,2,0)+J3945*VLOOKUP($B3945,Premissas!$A$4:$E$7,3,0))+K3945*VLOOKUP($B3945,Premissas!$A$4:$E$7,4,0)+L3945*VLOOKUP($B3945,Premissas!$A$4:$E$7,5,0))</f>
        <v/>
      </c>
      <c r="N3945" s="14">
        <f>H3945-M3945</f>
        <v/>
      </c>
      <c r="O3945" t="inlineStr">
        <is>
          <t>Não</t>
        </is>
      </c>
      <c r="P3945" t="inlineStr">
        <is>
          <t>2.350</t>
        </is>
      </c>
    </row>
    <row r="3946">
      <c r="A3946" s="24" t="n">
        <v>46204</v>
      </c>
      <c r="B3946" t="inlineStr">
        <is>
          <t>Frete de venda</t>
        </is>
      </c>
      <c r="C3946" t="inlineStr">
        <is>
          <t>Frete de venda (para clientes)</t>
        </is>
      </c>
      <c r="D3946" t="inlineStr">
        <is>
          <t>CT-e</t>
        </is>
      </c>
      <c r="E3946" t="inlineStr">
        <is>
          <t>000007776</t>
        </is>
      </c>
      <c r="F3946" t="inlineStr">
        <is>
          <t>R&amp;R TRANSPORTE E LOGISTICA</t>
        </is>
      </c>
      <c r="G3946" s="27" t="n">
        <v>46227</v>
      </c>
      <c r="H3946" s="14" t="n">
        <v>20.45</v>
      </c>
      <c r="I3946" s="14" t="n">
        <v>0</v>
      </c>
      <c r="J3946" s="14" t="n">
        <v>0</v>
      </c>
      <c r="K3946" s="14" t="n">
        <v>0</v>
      </c>
      <c r="L3946" s="14" t="n">
        <v>0</v>
      </c>
      <c r="M3946" s="14">
        <f>IF(B3946="Frete de venda",0,(1-ISNUMBER(SEARCH("556",P3946)))*(I3946*VLOOKUP($B3946,Premissas!$A$4:$E$7,2,0)+J3946*VLOOKUP($B3946,Premissas!$A$4:$E$7,3,0))+K3946*VLOOKUP($B3946,Premissas!$A$4:$E$7,4,0)+L3946*VLOOKUP($B3946,Premissas!$A$4:$E$7,5,0))</f>
        <v/>
      </c>
      <c r="N3946" s="14">
        <f>H3946-M3946</f>
        <v/>
      </c>
      <c r="O3946" t="inlineStr">
        <is>
          <t>Não</t>
        </is>
      </c>
      <c r="P3946" t="inlineStr">
        <is>
          <t>1.350</t>
        </is>
      </c>
    </row>
    <row r="3947">
      <c r="A3947" s="24" t="n">
        <v>46204</v>
      </c>
      <c r="B3947" t="inlineStr">
        <is>
          <t>Frete de venda</t>
        </is>
      </c>
      <c r="C3947" t="inlineStr">
        <is>
          <t>Frete de venda (para clientes)</t>
        </is>
      </c>
      <c r="D3947" t="inlineStr">
        <is>
          <t>CT-e</t>
        </is>
      </c>
      <c r="E3947" t="inlineStr">
        <is>
          <t>000007571</t>
        </is>
      </c>
      <c r="F3947" t="inlineStr">
        <is>
          <t>R&amp;R TRANSPORTE E LOGISTICA</t>
        </is>
      </c>
      <c r="G3947" s="27" t="n">
        <v>46212</v>
      </c>
      <c r="H3947" s="14" t="n">
        <v>24.09</v>
      </c>
      <c r="I3947" s="14" t="n">
        <v>0</v>
      </c>
      <c r="J3947" s="14" t="n">
        <v>0</v>
      </c>
      <c r="K3947" s="14" t="n">
        <v>0</v>
      </c>
      <c r="L3947" s="14" t="n">
        <v>0</v>
      </c>
      <c r="M3947" s="14">
        <f>IF(B3947="Frete de venda",0,(1-ISNUMBER(SEARCH("556",P3947)))*(I3947*VLOOKUP($B3947,Premissas!$A$4:$E$7,2,0)+J3947*VLOOKUP($B3947,Premissas!$A$4:$E$7,3,0))+K3947*VLOOKUP($B3947,Premissas!$A$4:$E$7,4,0)+L3947*VLOOKUP($B3947,Premissas!$A$4:$E$7,5,0))</f>
        <v/>
      </c>
      <c r="N3947" s="14">
        <f>H3947-M3947</f>
        <v/>
      </c>
      <c r="O3947" t="inlineStr">
        <is>
          <t>Não</t>
        </is>
      </c>
      <c r="P3947" t="inlineStr">
        <is>
          <t>2.350</t>
        </is>
      </c>
    </row>
    <row r="3948">
      <c r="A3948" s="24" t="n">
        <v>46204</v>
      </c>
      <c r="B3948" t="inlineStr">
        <is>
          <t>Frete de venda</t>
        </is>
      </c>
      <c r="C3948" t="inlineStr">
        <is>
          <t>Frete de venda (para clientes)</t>
        </is>
      </c>
      <c r="D3948" t="inlineStr">
        <is>
          <t>CT-e</t>
        </is>
      </c>
      <c r="E3948" t="inlineStr">
        <is>
          <t>000026346</t>
        </is>
      </c>
      <c r="F3948" t="inlineStr">
        <is>
          <t>DR CARGO TRANSPORTE DE CARGAS LTDA</t>
        </is>
      </c>
      <c r="G3948" s="27" t="n">
        <v>46233</v>
      </c>
      <c r="H3948" s="14" t="n">
        <v>387.15</v>
      </c>
      <c r="I3948" s="14" t="n">
        <v>0</v>
      </c>
      <c r="J3948" s="14" t="n">
        <v>46.46</v>
      </c>
      <c r="K3948" s="14" t="n">
        <v>0</v>
      </c>
      <c r="L3948" s="14" t="n">
        <v>0</v>
      </c>
      <c r="M3948" s="14">
        <f>IF(B3948="Frete de venda",0,(1-ISNUMBER(SEARCH("556",P3948)))*(I3948*VLOOKUP($B3948,Premissas!$A$4:$E$7,2,0)+J3948*VLOOKUP($B3948,Premissas!$A$4:$E$7,3,0))+K3948*VLOOKUP($B3948,Premissas!$A$4:$E$7,4,0)+L3948*VLOOKUP($B3948,Premissas!$A$4:$E$7,5,0))</f>
        <v/>
      </c>
      <c r="N3948" s="14">
        <f>H3948-M3948</f>
        <v/>
      </c>
      <c r="O3948" t="inlineStr">
        <is>
          <t>Sim</t>
        </is>
      </c>
      <c r="P3948" t="inlineStr">
        <is>
          <t>2.350</t>
        </is>
      </c>
    </row>
    <row r="3949">
      <c r="A3949" s="24" t="n">
        <v>46204</v>
      </c>
      <c r="B3949" t="inlineStr">
        <is>
          <t>Frete de venda</t>
        </is>
      </c>
      <c r="C3949" t="inlineStr">
        <is>
          <t>Frete de venda (para clientes)</t>
        </is>
      </c>
      <c r="D3949" t="inlineStr">
        <is>
          <t>CT-e</t>
        </is>
      </c>
      <c r="E3949" t="inlineStr">
        <is>
          <t>001450134</t>
        </is>
      </c>
      <c r="F3949" t="inlineStr">
        <is>
          <t>PICCOLI TRANSPORTES LTDA</t>
        </is>
      </c>
      <c r="G3949" s="27" t="n">
        <v>46204</v>
      </c>
      <c r="H3949" s="14" t="n">
        <v>1428.67</v>
      </c>
      <c r="I3949" s="14" t="n">
        <v>0</v>
      </c>
      <c r="J3949" s="14" t="n">
        <v>100.01</v>
      </c>
      <c r="K3949" s="14" t="n">
        <v>0</v>
      </c>
      <c r="L3949" s="14" t="n">
        <v>0</v>
      </c>
      <c r="M3949" s="14">
        <f>IF(B3949="Frete de venda",0,(1-ISNUMBER(SEARCH("556",P3949)))*(I3949*VLOOKUP($B3949,Premissas!$A$4:$E$7,2,0)+J3949*VLOOKUP($B3949,Premissas!$A$4:$E$7,3,0))+K3949*VLOOKUP($B3949,Premissas!$A$4:$E$7,4,0)+L3949*VLOOKUP($B3949,Premissas!$A$4:$E$7,5,0))</f>
        <v/>
      </c>
      <c r="N3949" s="14">
        <f>H3949-M3949</f>
        <v/>
      </c>
      <c r="O3949" t="inlineStr">
        <is>
          <t>Sim</t>
        </is>
      </c>
      <c r="P3949" t="inlineStr">
        <is>
          <t>2.350</t>
        </is>
      </c>
    </row>
    <row r="3950">
      <c r="A3950" s="24" t="n">
        <v>46204</v>
      </c>
      <c r="B3950" t="inlineStr">
        <is>
          <t>Frete de venda</t>
        </is>
      </c>
      <c r="C3950" t="inlineStr">
        <is>
          <t>Frete de venda (para clientes)</t>
        </is>
      </c>
      <c r="D3950" t="inlineStr">
        <is>
          <t>CT-e</t>
        </is>
      </c>
      <c r="E3950" t="inlineStr">
        <is>
          <t>000007727</t>
        </is>
      </c>
      <c r="F3950" t="inlineStr">
        <is>
          <t>R&amp;R TRANSPORTE E LOGISTICA</t>
        </is>
      </c>
      <c r="G3950" s="27" t="n">
        <v>46225</v>
      </c>
      <c r="H3950" s="14" t="n">
        <v>21.17</v>
      </c>
      <c r="I3950" s="14" t="n">
        <v>0</v>
      </c>
      <c r="J3950" s="14" t="n">
        <v>0</v>
      </c>
      <c r="K3950" s="14" t="n">
        <v>0</v>
      </c>
      <c r="L3950" s="14" t="n">
        <v>0</v>
      </c>
      <c r="M3950" s="14">
        <f>IF(B3950="Frete de venda",0,(1-ISNUMBER(SEARCH("556",P3950)))*(I3950*VLOOKUP($B3950,Premissas!$A$4:$E$7,2,0)+J3950*VLOOKUP($B3950,Premissas!$A$4:$E$7,3,0))+K3950*VLOOKUP($B3950,Premissas!$A$4:$E$7,4,0)+L3950*VLOOKUP($B3950,Premissas!$A$4:$E$7,5,0))</f>
        <v/>
      </c>
      <c r="N3950" s="14">
        <f>H3950-M3950</f>
        <v/>
      </c>
      <c r="O3950" t="inlineStr">
        <is>
          <t>Não</t>
        </is>
      </c>
      <c r="P3950" t="inlineStr">
        <is>
          <t>2.350</t>
        </is>
      </c>
    </row>
    <row r="3951">
      <c r="A3951" s="24" t="n">
        <v>46204</v>
      </c>
      <c r="B3951" t="inlineStr">
        <is>
          <t>Frete de venda</t>
        </is>
      </c>
      <c r="C3951" t="inlineStr">
        <is>
          <t>Frete de venda (para clientes)</t>
        </is>
      </c>
      <c r="D3951" t="inlineStr">
        <is>
          <t>CT-e</t>
        </is>
      </c>
      <c r="E3951" t="inlineStr">
        <is>
          <t>000007774</t>
        </is>
      </c>
      <c r="F3951" t="inlineStr">
        <is>
          <t>R&amp;R TRANSPORTE E LOGISTICA</t>
        </is>
      </c>
      <c r="G3951" s="27" t="n">
        <v>46227</v>
      </c>
      <c r="H3951" s="14" t="n">
        <v>20.25</v>
      </c>
      <c r="I3951" s="14" t="n">
        <v>0</v>
      </c>
      <c r="J3951" s="14" t="n">
        <v>0</v>
      </c>
      <c r="K3951" s="14" t="n">
        <v>0</v>
      </c>
      <c r="L3951" s="14" t="n">
        <v>0</v>
      </c>
      <c r="M3951" s="14">
        <f>IF(B3951="Frete de venda",0,(1-ISNUMBER(SEARCH("556",P3951)))*(I3951*VLOOKUP($B3951,Premissas!$A$4:$E$7,2,0)+J3951*VLOOKUP($B3951,Premissas!$A$4:$E$7,3,0))+K3951*VLOOKUP($B3951,Premissas!$A$4:$E$7,4,0)+L3951*VLOOKUP($B3951,Premissas!$A$4:$E$7,5,0))</f>
        <v/>
      </c>
      <c r="N3951" s="14">
        <f>H3951-M3951</f>
        <v/>
      </c>
      <c r="O3951" t="inlineStr">
        <is>
          <t>Não</t>
        </is>
      </c>
      <c r="P3951" t="inlineStr">
        <is>
          <t>1.350</t>
        </is>
      </c>
    </row>
    <row r="3952">
      <c r="A3952" s="24" t="n">
        <v>46204</v>
      </c>
      <c r="B3952" t="inlineStr">
        <is>
          <t>Frete de venda</t>
        </is>
      </c>
      <c r="C3952" t="inlineStr">
        <is>
          <t>Frete de venda (para clientes)</t>
        </is>
      </c>
      <c r="D3952" t="inlineStr">
        <is>
          <t>CT-e</t>
        </is>
      </c>
      <c r="E3952" t="inlineStr">
        <is>
          <t>000007576</t>
        </is>
      </c>
      <c r="F3952" t="inlineStr">
        <is>
          <t>R&amp;R TRANSPORTE E LOGISTICA</t>
        </is>
      </c>
      <c r="G3952" s="27" t="n">
        <v>46212</v>
      </c>
      <c r="H3952" s="14" t="n">
        <v>24.09</v>
      </c>
      <c r="I3952" s="14" t="n">
        <v>0</v>
      </c>
      <c r="J3952" s="14" t="n">
        <v>0</v>
      </c>
      <c r="K3952" s="14" t="n">
        <v>0</v>
      </c>
      <c r="L3952" s="14" t="n">
        <v>0</v>
      </c>
      <c r="M3952" s="14">
        <f>IF(B3952="Frete de venda",0,(1-ISNUMBER(SEARCH("556",P3952)))*(I3952*VLOOKUP($B3952,Premissas!$A$4:$E$7,2,0)+J3952*VLOOKUP($B3952,Premissas!$A$4:$E$7,3,0))+K3952*VLOOKUP($B3952,Premissas!$A$4:$E$7,4,0)+L3952*VLOOKUP($B3952,Premissas!$A$4:$E$7,5,0))</f>
        <v/>
      </c>
      <c r="N3952" s="14">
        <f>H3952-M3952</f>
        <v/>
      </c>
      <c r="O3952" t="inlineStr">
        <is>
          <t>Não</t>
        </is>
      </c>
      <c r="P3952" t="inlineStr">
        <is>
          <t>2.350</t>
        </is>
      </c>
    </row>
    <row r="3953">
      <c r="A3953" s="24" t="n">
        <v>46204</v>
      </c>
      <c r="B3953" t="inlineStr">
        <is>
          <t>Frete de venda</t>
        </is>
      </c>
      <c r="C3953" t="inlineStr">
        <is>
          <t>Frete de venda (para clientes)</t>
        </is>
      </c>
      <c r="D3953" t="inlineStr">
        <is>
          <t>CT-e</t>
        </is>
      </c>
      <c r="E3953" t="inlineStr">
        <is>
          <t>000004921</t>
        </is>
      </c>
      <c r="F3953" t="inlineStr">
        <is>
          <t>UNIVERSAL CARGAS EXPRESS</t>
        </is>
      </c>
      <c r="G3953" s="27" t="n">
        <v>46210</v>
      </c>
      <c r="H3953" s="14" t="n">
        <v>1600</v>
      </c>
      <c r="I3953" s="14" t="n">
        <v>0</v>
      </c>
      <c r="J3953" s="14" t="n">
        <v>0</v>
      </c>
      <c r="K3953" s="14" t="n">
        <v>0</v>
      </c>
      <c r="L3953" s="14" t="n">
        <v>0</v>
      </c>
      <c r="M3953" s="14">
        <f>IF(B3953="Frete de venda",0,(1-ISNUMBER(SEARCH("556",P3953)))*(I3953*VLOOKUP($B3953,Premissas!$A$4:$E$7,2,0)+J3953*VLOOKUP($B3953,Premissas!$A$4:$E$7,3,0))+K3953*VLOOKUP($B3953,Premissas!$A$4:$E$7,4,0)+L3953*VLOOKUP($B3953,Premissas!$A$4:$E$7,5,0))</f>
        <v/>
      </c>
      <c r="N3953" s="14">
        <f>H3953-M3953</f>
        <v/>
      </c>
      <c r="O3953" t="inlineStr">
        <is>
          <t>Sim</t>
        </is>
      </c>
      <c r="P3953" t="inlineStr">
        <is>
          <t>2.350</t>
        </is>
      </c>
    </row>
    <row r="3954">
      <c r="A3954" s="24" t="n">
        <v>46204</v>
      </c>
      <c r="B3954" t="inlineStr">
        <is>
          <t>Frete de venda</t>
        </is>
      </c>
      <c r="C3954" t="inlineStr">
        <is>
          <t>Frete de venda (para clientes)</t>
        </is>
      </c>
      <c r="D3954" t="inlineStr">
        <is>
          <t>CT-e</t>
        </is>
      </c>
      <c r="E3954" t="inlineStr">
        <is>
          <t>000007611</t>
        </is>
      </c>
      <c r="F3954" t="inlineStr">
        <is>
          <t>R&amp;R TRANSPORTE E LOGISTICA</t>
        </is>
      </c>
      <c r="G3954" s="27" t="n">
        <v>46214</v>
      </c>
      <c r="H3954" s="14" t="n">
        <v>38.61</v>
      </c>
      <c r="I3954" s="14" t="n">
        <v>0</v>
      </c>
      <c r="J3954" s="14" t="n">
        <v>0</v>
      </c>
      <c r="K3954" s="14" t="n">
        <v>0</v>
      </c>
      <c r="L3954" s="14" t="n">
        <v>0</v>
      </c>
      <c r="M3954" s="14">
        <f>IF(B3954="Frete de venda",0,(1-ISNUMBER(SEARCH("556",P3954)))*(I3954*VLOOKUP($B3954,Premissas!$A$4:$E$7,2,0)+J3954*VLOOKUP($B3954,Premissas!$A$4:$E$7,3,0))+K3954*VLOOKUP($B3954,Premissas!$A$4:$E$7,4,0)+L3954*VLOOKUP($B3954,Premissas!$A$4:$E$7,5,0))</f>
        <v/>
      </c>
      <c r="N3954" s="14">
        <f>H3954-M3954</f>
        <v/>
      </c>
      <c r="O3954" t="inlineStr">
        <is>
          <t>Não</t>
        </is>
      </c>
      <c r="P3954" t="inlineStr">
        <is>
          <t>2.350</t>
        </is>
      </c>
    </row>
    <row r="3955">
      <c r="A3955" s="24" t="n">
        <v>46204</v>
      </c>
      <c r="B3955" t="inlineStr">
        <is>
          <t>Frete de venda</t>
        </is>
      </c>
      <c r="C3955" t="inlineStr">
        <is>
          <t>Frete de venda (para clientes)</t>
        </is>
      </c>
      <c r="D3955" t="inlineStr">
        <is>
          <t>CT-e</t>
        </is>
      </c>
      <c r="E3955" t="inlineStr">
        <is>
          <t>000007565</t>
        </is>
      </c>
      <c r="F3955" t="inlineStr">
        <is>
          <t>R&amp;R TRANSPORTE E LOGISTICA</t>
        </is>
      </c>
      <c r="G3955" s="27" t="n">
        <v>46211</v>
      </c>
      <c r="H3955" s="14" t="n">
        <v>32.97</v>
      </c>
      <c r="I3955" s="14" t="n">
        <v>0</v>
      </c>
      <c r="J3955" s="14" t="n">
        <v>0</v>
      </c>
      <c r="K3955" s="14" t="n">
        <v>0</v>
      </c>
      <c r="L3955" s="14" t="n">
        <v>0</v>
      </c>
      <c r="M3955" s="14">
        <f>IF(B3955="Frete de venda",0,(1-ISNUMBER(SEARCH("556",P3955)))*(I3955*VLOOKUP($B3955,Premissas!$A$4:$E$7,2,0)+J3955*VLOOKUP($B3955,Premissas!$A$4:$E$7,3,0))+K3955*VLOOKUP($B3955,Premissas!$A$4:$E$7,4,0)+L3955*VLOOKUP($B3955,Premissas!$A$4:$E$7,5,0))</f>
        <v/>
      </c>
      <c r="N3955" s="14">
        <f>H3955-M3955</f>
        <v/>
      </c>
      <c r="O3955" t="inlineStr">
        <is>
          <t>Não</t>
        </is>
      </c>
      <c r="P3955" t="inlineStr">
        <is>
          <t>2.350</t>
        </is>
      </c>
    </row>
    <row r="3956">
      <c r="A3956" s="24" t="n">
        <v>46204</v>
      </c>
      <c r="B3956" t="inlineStr">
        <is>
          <t>Frete de venda</t>
        </is>
      </c>
      <c r="C3956" t="inlineStr">
        <is>
          <t>Frete de venda (para clientes)</t>
        </is>
      </c>
      <c r="D3956" t="inlineStr">
        <is>
          <t>CT-e</t>
        </is>
      </c>
      <c r="E3956" t="inlineStr">
        <is>
          <t>000007584</t>
        </is>
      </c>
      <c r="F3956" t="inlineStr">
        <is>
          <t>R&amp;R TRANSPORTE E LOGISTICA</t>
        </is>
      </c>
      <c r="G3956" s="27" t="n">
        <v>46212</v>
      </c>
      <c r="H3956" s="14" t="n">
        <v>24.09</v>
      </c>
      <c r="I3956" s="14" t="n">
        <v>0</v>
      </c>
      <c r="J3956" s="14" t="n">
        <v>0</v>
      </c>
      <c r="K3956" s="14" t="n">
        <v>0</v>
      </c>
      <c r="L3956" s="14" t="n">
        <v>0</v>
      </c>
      <c r="M3956" s="14">
        <f>IF(B3956="Frete de venda",0,(1-ISNUMBER(SEARCH("556",P3956)))*(I3956*VLOOKUP($B3956,Premissas!$A$4:$E$7,2,0)+J3956*VLOOKUP($B3956,Premissas!$A$4:$E$7,3,0))+K3956*VLOOKUP($B3956,Premissas!$A$4:$E$7,4,0)+L3956*VLOOKUP($B3956,Premissas!$A$4:$E$7,5,0))</f>
        <v/>
      </c>
      <c r="N3956" s="14">
        <f>H3956-M3956</f>
        <v/>
      </c>
      <c r="O3956" t="inlineStr">
        <is>
          <t>Não</t>
        </is>
      </c>
      <c r="P3956" t="inlineStr">
        <is>
          <t>2.350</t>
        </is>
      </c>
    </row>
    <row r="3957">
      <c r="A3957" s="24" t="n">
        <v>46204</v>
      </c>
      <c r="B3957" t="inlineStr">
        <is>
          <t>Frete de venda</t>
        </is>
      </c>
      <c r="C3957" t="inlineStr">
        <is>
          <t>Frete de venda (para clientes)</t>
        </is>
      </c>
      <c r="D3957" t="inlineStr">
        <is>
          <t>CT-e</t>
        </is>
      </c>
      <c r="E3957" t="inlineStr">
        <is>
          <t>000007665</t>
        </is>
      </c>
      <c r="F3957" t="inlineStr">
        <is>
          <t>R&amp;R TRANSPORTE E LOGISTICA</t>
        </is>
      </c>
      <c r="G3957" s="27" t="n">
        <v>46219</v>
      </c>
      <c r="H3957" s="14" t="n">
        <v>110.89</v>
      </c>
      <c r="I3957" s="14" t="n">
        <v>0</v>
      </c>
      <c r="J3957" s="14" t="n">
        <v>0</v>
      </c>
      <c r="K3957" s="14" t="n">
        <v>0</v>
      </c>
      <c r="L3957" s="14" t="n">
        <v>0</v>
      </c>
      <c r="M3957" s="14">
        <f>IF(B3957="Frete de venda",0,(1-ISNUMBER(SEARCH("556",P3957)))*(I3957*VLOOKUP($B3957,Premissas!$A$4:$E$7,2,0)+J3957*VLOOKUP($B3957,Premissas!$A$4:$E$7,3,0))+K3957*VLOOKUP($B3957,Premissas!$A$4:$E$7,4,0)+L3957*VLOOKUP($B3957,Premissas!$A$4:$E$7,5,0))</f>
        <v/>
      </c>
      <c r="N3957" s="14">
        <f>H3957-M3957</f>
        <v/>
      </c>
      <c r="O3957" t="inlineStr">
        <is>
          <t>Não</t>
        </is>
      </c>
      <c r="P3957" t="inlineStr">
        <is>
          <t>2.350</t>
        </is>
      </c>
    </row>
    <row r="3958">
      <c r="A3958" s="24" t="n">
        <v>46204</v>
      </c>
      <c r="B3958" t="inlineStr">
        <is>
          <t>Frete de venda</t>
        </is>
      </c>
      <c r="C3958" t="inlineStr">
        <is>
          <t>Frete de venda (para clientes)</t>
        </is>
      </c>
      <c r="D3958" t="inlineStr">
        <is>
          <t>CT-e</t>
        </is>
      </c>
      <c r="E3958" t="inlineStr">
        <is>
          <t>000033946</t>
        </is>
      </c>
      <c r="F3958" t="inlineStr">
        <is>
          <t>PICCOLI LOGISTICA E TRANSPORTES LTDA</t>
        </is>
      </c>
      <c r="G3958" s="27" t="n">
        <v>46204</v>
      </c>
      <c r="H3958" s="14" t="n">
        <v>679.5</v>
      </c>
      <c r="I3958" s="14" t="n">
        <v>0</v>
      </c>
      <c r="J3958" s="14" t="n">
        <v>47.57</v>
      </c>
      <c r="K3958" s="14" t="n">
        <v>0</v>
      </c>
      <c r="L3958" s="14" t="n">
        <v>0</v>
      </c>
      <c r="M3958" s="14">
        <f>IF(B3958="Frete de venda",0,(1-ISNUMBER(SEARCH("556",P3958)))*(I3958*VLOOKUP($B3958,Premissas!$A$4:$E$7,2,0)+J3958*VLOOKUP($B3958,Premissas!$A$4:$E$7,3,0))+K3958*VLOOKUP($B3958,Premissas!$A$4:$E$7,4,0)+L3958*VLOOKUP($B3958,Premissas!$A$4:$E$7,5,0))</f>
        <v/>
      </c>
      <c r="N3958" s="14">
        <f>H3958-M3958</f>
        <v/>
      </c>
      <c r="O3958" t="inlineStr">
        <is>
          <t>Sim</t>
        </is>
      </c>
      <c r="P3958" t="inlineStr">
        <is>
          <t>2.350</t>
        </is>
      </c>
    </row>
    <row r="3959">
      <c r="A3959" s="24" t="n">
        <v>46204</v>
      </c>
      <c r="B3959" t="inlineStr">
        <is>
          <t>Frete de venda</t>
        </is>
      </c>
      <c r="C3959" t="inlineStr">
        <is>
          <t>Frete de venda (para clientes)</t>
        </is>
      </c>
      <c r="D3959" t="inlineStr">
        <is>
          <t>CT-e</t>
        </is>
      </c>
      <c r="E3959" t="inlineStr">
        <is>
          <t>000007770</t>
        </is>
      </c>
      <c r="F3959" t="inlineStr">
        <is>
          <t>R&amp;R TRANSPORTE E LOGISTICA</t>
        </is>
      </c>
      <c r="G3959" s="27" t="n">
        <v>46227</v>
      </c>
      <c r="H3959" s="14" t="n">
        <v>22.53</v>
      </c>
      <c r="I3959" s="14" t="n">
        <v>0</v>
      </c>
      <c r="J3959" s="14" t="n">
        <v>0</v>
      </c>
      <c r="K3959" s="14" t="n">
        <v>0</v>
      </c>
      <c r="L3959" s="14" t="n">
        <v>0</v>
      </c>
      <c r="M3959" s="14">
        <f>IF(B3959="Frete de venda",0,(1-ISNUMBER(SEARCH("556",P3959)))*(I3959*VLOOKUP($B3959,Premissas!$A$4:$E$7,2,0)+J3959*VLOOKUP($B3959,Premissas!$A$4:$E$7,3,0))+K3959*VLOOKUP($B3959,Premissas!$A$4:$E$7,4,0)+L3959*VLOOKUP($B3959,Premissas!$A$4:$E$7,5,0))</f>
        <v/>
      </c>
      <c r="N3959" s="14">
        <f>H3959-M3959</f>
        <v/>
      </c>
      <c r="O3959" t="inlineStr">
        <is>
          <t>Não</t>
        </is>
      </c>
      <c r="P3959" t="inlineStr">
        <is>
          <t>1.350</t>
        </is>
      </c>
    </row>
    <row r="3960">
      <c r="A3960" s="24" t="n">
        <v>46204</v>
      </c>
      <c r="B3960" t="inlineStr">
        <is>
          <t>Frete de venda</t>
        </is>
      </c>
      <c r="C3960" t="inlineStr">
        <is>
          <t>Frete de venda (para clientes)</t>
        </is>
      </c>
      <c r="D3960" t="inlineStr">
        <is>
          <t>CT-e</t>
        </is>
      </c>
      <c r="E3960" t="inlineStr">
        <is>
          <t>000007771</t>
        </is>
      </c>
      <c r="F3960" t="inlineStr">
        <is>
          <t>R&amp;R TRANSPORTE E LOGISTICA</t>
        </is>
      </c>
      <c r="G3960" s="27" t="n">
        <v>46227</v>
      </c>
      <c r="H3960" s="14" t="n">
        <v>27.54</v>
      </c>
      <c r="I3960" s="14" t="n">
        <v>0</v>
      </c>
      <c r="J3960" s="14" t="n">
        <v>0</v>
      </c>
      <c r="K3960" s="14" t="n">
        <v>0</v>
      </c>
      <c r="L3960" s="14" t="n">
        <v>0</v>
      </c>
      <c r="M3960" s="14">
        <f>IF(B3960="Frete de venda",0,(1-ISNUMBER(SEARCH("556",P3960)))*(I3960*VLOOKUP($B3960,Premissas!$A$4:$E$7,2,0)+J3960*VLOOKUP($B3960,Premissas!$A$4:$E$7,3,0))+K3960*VLOOKUP($B3960,Premissas!$A$4:$E$7,4,0)+L3960*VLOOKUP($B3960,Premissas!$A$4:$E$7,5,0))</f>
        <v/>
      </c>
      <c r="N3960" s="14">
        <f>H3960-M3960</f>
        <v/>
      </c>
      <c r="O3960" t="inlineStr">
        <is>
          <t>Não</t>
        </is>
      </c>
      <c r="P3960" t="inlineStr">
        <is>
          <t>1.350</t>
        </is>
      </c>
    </row>
    <row r="3961">
      <c r="A3961" s="24" t="n">
        <v>46204</v>
      </c>
      <c r="B3961" t="inlineStr">
        <is>
          <t>Frete de venda</t>
        </is>
      </c>
      <c r="C3961" t="inlineStr">
        <is>
          <t>Frete de venda (para clientes)</t>
        </is>
      </c>
      <c r="D3961" t="inlineStr">
        <is>
          <t>CT-e</t>
        </is>
      </c>
      <c r="E3961" t="inlineStr">
        <is>
          <t>000007704</t>
        </is>
      </c>
      <c r="F3961" t="inlineStr">
        <is>
          <t>R&amp;R TRANSPORTE E LOGISTICA</t>
        </is>
      </c>
      <c r="G3961" s="27" t="n">
        <v>46224</v>
      </c>
      <c r="H3961" s="14" t="n">
        <v>23.29</v>
      </c>
      <c r="I3961" s="14" t="n">
        <v>0</v>
      </c>
      <c r="J3961" s="14" t="n">
        <v>0</v>
      </c>
      <c r="K3961" s="14" t="n">
        <v>0</v>
      </c>
      <c r="L3961" s="14" t="n">
        <v>0</v>
      </c>
      <c r="M3961" s="14">
        <f>IF(B3961="Frete de venda",0,(1-ISNUMBER(SEARCH("556",P3961)))*(I3961*VLOOKUP($B3961,Premissas!$A$4:$E$7,2,0)+J3961*VLOOKUP($B3961,Premissas!$A$4:$E$7,3,0))+K3961*VLOOKUP($B3961,Premissas!$A$4:$E$7,4,0)+L3961*VLOOKUP($B3961,Premissas!$A$4:$E$7,5,0))</f>
        <v/>
      </c>
      <c r="N3961" s="14">
        <f>H3961-M3961</f>
        <v/>
      </c>
      <c r="O3961" t="inlineStr">
        <is>
          <t>Não</t>
        </is>
      </c>
      <c r="P3961" t="inlineStr">
        <is>
          <t>2.350</t>
        </is>
      </c>
    </row>
    <row r="3962">
      <c r="A3962" s="24" t="n">
        <v>46204</v>
      </c>
      <c r="B3962" t="inlineStr">
        <is>
          <t>Frete de venda</t>
        </is>
      </c>
      <c r="C3962" t="inlineStr">
        <is>
          <t>Frete de venda (para clientes)</t>
        </is>
      </c>
      <c r="D3962" t="inlineStr">
        <is>
          <t>CT-e</t>
        </is>
      </c>
      <c r="E3962" t="inlineStr">
        <is>
          <t>000007629</t>
        </is>
      </c>
      <c r="F3962" t="inlineStr">
        <is>
          <t>R&amp;R TRANSPORTE E LOGISTICA</t>
        </is>
      </c>
      <c r="G3962" s="27" t="n">
        <v>46217</v>
      </c>
      <c r="H3962" s="14" t="n">
        <v>41.6</v>
      </c>
      <c r="I3962" s="14" t="n">
        <v>0</v>
      </c>
      <c r="J3962" s="14" t="n">
        <v>0</v>
      </c>
      <c r="K3962" s="14" t="n">
        <v>0</v>
      </c>
      <c r="L3962" s="14" t="n">
        <v>0</v>
      </c>
      <c r="M3962" s="14">
        <f>IF(B3962="Frete de venda",0,(1-ISNUMBER(SEARCH("556",P3962)))*(I3962*VLOOKUP($B3962,Premissas!$A$4:$E$7,2,0)+J3962*VLOOKUP($B3962,Premissas!$A$4:$E$7,3,0))+K3962*VLOOKUP($B3962,Premissas!$A$4:$E$7,4,0)+L3962*VLOOKUP($B3962,Premissas!$A$4:$E$7,5,0))</f>
        <v/>
      </c>
      <c r="N3962" s="14">
        <f>H3962-M3962</f>
        <v/>
      </c>
      <c r="O3962" t="inlineStr">
        <is>
          <t>Não</t>
        </is>
      </c>
      <c r="P3962" t="inlineStr">
        <is>
          <t>2.350</t>
        </is>
      </c>
    </row>
    <row r="3963">
      <c r="A3963" s="24" t="n">
        <v>46204</v>
      </c>
      <c r="B3963" t="inlineStr">
        <is>
          <t>Frete de venda</t>
        </is>
      </c>
      <c r="C3963" t="inlineStr">
        <is>
          <t>Frete de venda (para clientes)</t>
        </is>
      </c>
      <c r="D3963" t="inlineStr">
        <is>
          <t>CT-e</t>
        </is>
      </c>
      <c r="E3963" t="inlineStr">
        <is>
          <t>000007640</t>
        </is>
      </c>
      <c r="F3963" t="inlineStr">
        <is>
          <t>R&amp;R TRANSPORTE E LOGISTICA</t>
        </is>
      </c>
      <c r="G3963" s="27" t="n">
        <v>46217</v>
      </c>
      <c r="H3963" s="14" t="n">
        <v>102.19</v>
      </c>
      <c r="I3963" s="14" t="n">
        <v>0</v>
      </c>
      <c r="J3963" s="14" t="n">
        <v>0</v>
      </c>
      <c r="K3963" s="14" t="n">
        <v>0</v>
      </c>
      <c r="L3963" s="14" t="n">
        <v>0</v>
      </c>
      <c r="M3963" s="14">
        <f>IF(B3963="Frete de venda",0,(1-ISNUMBER(SEARCH("556",P3963)))*(I3963*VLOOKUP($B3963,Premissas!$A$4:$E$7,2,0)+J3963*VLOOKUP($B3963,Premissas!$A$4:$E$7,3,0))+K3963*VLOOKUP($B3963,Premissas!$A$4:$E$7,4,0)+L3963*VLOOKUP($B3963,Premissas!$A$4:$E$7,5,0))</f>
        <v/>
      </c>
      <c r="N3963" s="14">
        <f>H3963-M3963</f>
        <v/>
      </c>
      <c r="O3963" t="inlineStr">
        <is>
          <t>Não</t>
        </is>
      </c>
      <c r="P3963" t="inlineStr">
        <is>
          <t>2.350</t>
        </is>
      </c>
    </row>
    <row r="3964">
      <c r="A3964" s="24" t="n">
        <v>46204</v>
      </c>
      <c r="B3964" t="inlineStr">
        <is>
          <t>Frete de venda</t>
        </is>
      </c>
      <c r="C3964" t="inlineStr">
        <is>
          <t>Frete de venda (para clientes)</t>
        </is>
      </c>
      <c r="D3964" t="inlineStr">
        <is>
          <t>CT-e</t>
        </is>
      </c>
      <c r="E3964" t="inlineStr">
        <is>
          <t>000007754</t>
        </is>
      </c>
      <c r="F3964" t="inlineStr">
        <is>
          <t>R&amp;R TRANSPORTE E LOGISTICA</t>
        </is>
      </c>
      <c r="G3964" s="27" t="n">
        <v>46226</v>
      </c>
      <c r="H3964" s="14" t="n">
        <v>33.5</v>
      </c>
      <c r="I3964" s="14" t="n">
        <v>0</v>
      </c>
      <c r="J3964" s="14" t="n">
        <v>0</v>
      </c>
      <c r="K3964" s="14" t="n">
        <v>0</v>
      </c>
      <c r="L3964" s="14" t="n">
        <v>0</v>
      </c>
      <c r="M3964" s="14">
        <f>IF(B3964="Frete de venda",0,(1-ISNUMBER(SEARCH("556",P3964)))*(I3964*VLOOKUP($B3964,Premissas!$A$4:$E$7,2,0)+J3964*VLOOKUP($B3964,Premissas!$A$4:$E$7,3,0))+K3964*VLOOKUP($B3964,Premissas!$A$4:$E$7,4,0)+L3964*VLOOKUP($B3964,Premissas!$A$4:$E$7,5,0))</f>
        <v/>
      </c>
      <c r="N3964" s="14">
        <f>H3964-M3964</f>
        <v/>
      </c>
      <c r="O3964" t="inlineStr">
        <is>
          <t>Não</t>
        </is>
      </c>
      <c r="P3964" t="inlineStr">
        <is>
          <t>1.350</t>
        </is>
      </c>
    </row>
    <row r="3965">
      <c r="A3965" s="24" t="n">
        <v>46204</v>
      </c>
      <c r="B3965" t="inlineStr">
        <is>
          <t>Frete de venda</t>
        </is>
      </c>
      <c r="C3965" t="inlineStr">
        <is>
          <t>Frete de venda (para clientes)</t>
        </is>
      </c>
      <c r="D3965" t="inlineStr">
        <is>
          <t>CT-e</t>
        </is>
      </c>
      <c r="E3965" t="inlineStr">
        <is>
          <t>000025074</t>
        </is>
      </c>
      <c r="F3965" t="inlineStr">
        <is>
          <t>TRANSPORTE OLIVEIRA E MELLOI - IDEALIZA TRANSPORTES</t>
        </is>
      </c>
      <c r="G3965" s="27" t="n">
        <v>46216</v>
      </c>
      <c r="H3965" s="14" t="n">
        <v>668.0599999999999</v>
      </c>
      <c r="I3965" s="14" t="n">
        <v>0</v>
      </c>
      <c r="J3965" s="14" t="n">
        <v>80.17</v>
      </c>
      <c r="K3965" s="14" t="n">
        <v>0</v>
      </c>
      <c r="L3965" s="14" t="n">
        <v>0</v>
      </c>
      <c r="M3965" s="14">
        <f>IF(B3965="Frete de venda",0,(1-ISNUMBER(SEARCH("556",P3965)))*(I3965*VLOOKUP($B3965,Premissas!$A$4:$E$7,2,0)+J3965*VLOOKUP($B3965,Premissas!$A$4:$E$7,3,0))+K3965*VLOOKUP($B3965,Premissas!$A$4:$E$7,4,0)+L3965*VLOOKUP($B3965,Premissas!$A$4:$E$7,5,0))</f>
        <v/>
      </c>
      <c r="N3965" s="14">
        <f>H3965-M3965</f>
        <v/>
      </c>
      <c r="O3965" t="inlineStr">
        <is>
          <t>Sim</t>
        </is>
      </c>
      <c r="P3965" t="inlineStr">
        <is>
          <t>2.350</t>
        </is>
      </c>
    </row>
    <row r="3966">
      <c r="A3966" s="24" t="n">
        <v>46204</v>
      </c>
      <c r="B3966" t="inlineStr">
        <is>
          <t>Frete de venda</t>
        </is>
      </c>
      <c r="C3966" t="inlineStr">
        <is>
          <t>Frete de venda (para clientes)</t>
        </is>
      </c>
      <c r="D3966" t="inlineStr">
        <is>
          <t>CT-e</t>
        </is>
      </c>
      <c r="E3966" t="inlineStr">
        <is>
          <t>000007778</t>
        </is>
      </c>
      <c r="F3966" t="inlineStr">
        <is>
          <t>R&amp;R TRANSPORTE E LOGISTICA</t>
        </is>
      </c>
      <c r="G3966" s="27" t="n">
        <v>46227</v>
      </c>
      <c r="H3966" s="14" t="n">
        <v>17.7</v>
      </c>
      <c r="I3966" s="14" t="n">
        <v>0</v>
      </c>
      <c r="J3966" s="14" t="n">
        <v>0</v>
      </c>
      <c r="K3966" s="14" t="n">
        <v>0</v>
      </c>
      <c r="L3966" s="14" t="n">
        <v>0</v>
      </c>
      <c r="M3966" s="14">
        <f>IF(B3966="Frete de venda",0,(1-ISNUMBER(SEARCH("556",P3966)))*(I3966*VLOOKUP($B3966,Premissas!$A$4:$E$7,2,0)+J3966*VLOOKUP($B3966,Premissas!$A$4:$E$7,3,0))+K3966*VLOOKUP($B3966,Premissas!$A$4:$E$7,4,0)+L3966*VLOOKUP($B3966,Premissas!$A$4:$E$7,5,0))</f>
        <v/>
      </c>
      <c r="N3966" s="14">
        <f>H3966-M3966</f>
        <v/>
      </c>
      <c r="O3966" t="inlineStr">
        <is>
          <t>Não</t>
        </is>
      </c>
      <c r="P3966" t="inlineStr">
        <is>
          <t>1.350</t>
        </is>
      </c>
    </row>
    <row r="3967">
      <c r="A3967" s="24" t="n">
        <v>46204</v>
      </c>
      <c r="B3967" t="inlineStr">
        <is>
          <t>Frete de venda</t>
        </is>
      </c>
      <c r="C3967" t="inlineStr">
        <is>
          <t>Frete de venda (para clientes)</t>
        </is>
      </c>
      <c r="D3967" t="inlineStr">
        <is>
          <t>CT-e</t>
        </is>
      </c>
      <c r="E3967" t="inlineStr">
        <is>
          <t>000007802</t>
        </is>
      </c>
      <c r="F3967" t="inlineStr">
        <is>
          <t>R&amp;R TRANSPORTE E LOGISTICA</t>
        </is>
      </c>
      <c r="G3967" s="27" t="n">
        <v>46233</v>
      </c>
      <c r="H3967" s="14" t="n">
        <v>30.92</v>
      </c>
      <c r="I3967" s="14" t="n">
        <v>0</v>
      </c>
      <c r="J3967" s="14" t="n">
        <v>0</v>
      </c>
      <c r="K3967" s="14" t="n">
        <v>0</v>
      </c>
      <c r="L3967" s="14" t="n">
        <v>0</v>
      </c>
      <c r="M3967" s="14">
        <f>IF(B3967="Frete de venda",0,(1-ISNUMBER(SEARCH("556",P3967)))*(I3967*VLOOKUP($B3967,Premissas!$A$4:$E$7,2,0)+J3967*VLOOKUP($B3967,Premissas!$A$4:$E$7,3,0))+K3967*VLOOKUP($B3967,Premissas!$A$4:$E$7,4,0)+L3967*VLOOKUP($B3967,Premissas!$A$4:$E$7,5,0))</f>
        <v/>
      </c>
      <c r="N3967" s="14">
        <f>H3967-M3967</f>
        <v/>
      </c>
      <c r="O3967" t="inlineStr">
        <is>
          <t>Não</t>
        </is>
      </c>
      <c r="P3967" t="inlineStr">
        <is>
          <t>1.350</t>
        </is>
      </c>
    </row>
    <row r="3968">
      <c r="A3968" s="24" t="n">
        <v>46204</v>
      </c>
      <c r="B3968" t="inlineStr">
        <is>
          <t>Frete de venda</t>
        </is>
      </c>
      <c r="C3968" t="inlineStr">
        <is>
          <t>Frete de venda (para clientes)</t>
        </is>
      </c>
      <c r="D3968" t="inlineStr">
        <is>
          <t>CT-e</t>
        </is>
      </c>
      <c r="E3968" t="inlineStr">
        <is>
          <t>000007691</t>
        </is>
      </c>
      <c r="F3968" t="inlineStr">
        <is>
          <t>R&amp;R TRANSPORTE E LOGISTICA</t>
        </is>
      </c>
      <c r="G3968" s="27" t="n">
        <v>46223</v>
      </c>
      <c r="H3968" s="14" t="n">
        <v>62.17</v>
      </c>
      <c r="I3968" s="14" t="n">
        <v>0</v>
      </c>
      <c r="J3968" s="14" t="n">
        <v>0</v>
      </c>
      <c r="K3968" s="14" t="n">
        <v>0</v>
      </c>
      <c r="L3968" s="14" t="n">
        <v>0</v>
      </c>
      <c r="M3968" s="14">
        <f>IF(B3968="Frete de venda",0,(1-ISNUMBER(SEARCH("556",P3968)))*(I3968*VLOOKUP($B3968,Premissas!$A$4:$E$7,2,0)+J3968*VLOOKUP($B3968,Premissas!$A$4:$E$7,3,0))+K3968*VLOOKUP($B3968,Premissas!$A$4:$E$7,4,0)+L3968*VLOOKUP($B3968,Premissas!$A$4:$E$7,5,0))</f>
        <v/>
      </c>
      <c r="N3968" s="14">
        <f>H3968-M3968</f>
        <v/>
      </c>
      <c r="O3968" t="inlineStr">
        <is>
          <t>Não</t>
        </is>
      </c>
      <c r="P3968" t="inlineStr">
        <is>
          <t>2.350</t>
        </is>
      </c>
    </row>
    <row r="3969">
      <c r="A3969" s="24" t="n">
        <v>46204</v>
      </c>
      <c r="B3969" t="inlineStr">
        <is>
          <t>Frete de venda</t>
        </is>
      </c>
      <c r="C3969" t="inlineStr">
        <is>
          <t>Frete de venda (para clientes)</t>
        </is>
      </c>
      <c r="D3969" t="inlineStr">
        <is>
          <t>CT-e</t>
        </is>
      </c>
      <c r="E3969" t="inlineStr">
        <is>
          <t>000007564</t>
        </is>
      </c>
      <c r="F3969" t="inlineStr">
        <is>
          <t>R&amp;R TRANSPORTE E LOGISTICA</t>
        </is>
      </c>
      <c r="G3969" s="27" t="n">
        <v>46211</v>
      </c>
      <c r="H3969" s="14" t="n">
        <v>103.38</v>
      </c>
      <c r="I3969" s="14" t="n">
        <v>0</v>
      </c>
      <c r="J3969" s="14" t="n">
        <v>0</v>
      </c>
      <c r="K3969" s="14" t="n">
        <v>0</v>
      </c>
      <c r="L3969" s="14" t="n">
        <v>0</v>
      </c>
      <c r="M3969" s="14">
        <f>IF(B3969="Frete de venda",0,(1-ISNUMBER(SEARCH("556",P3969)))*(I3969*VLOOKUP($B3969,Premissas!$A$4:$E$7,2,0)+J3969*VLOOKUP($B3969,Premissas!$A$4:$E$7,3,0))+K3969*VLOOKUP($B3969,Premissas!$A$4:$E$7,4,0)+L3969*VLOOKUP($B3969,Premissas!$A$4:$E$7,5,0))</f>
        <v/>
      </c>
      <c r="N3969" s="14">
        <f>H3969-M3969</f>
        <v/>
      </c>
      <c r="O3969" t="inlineStr">
        <is>
          <t>Não</t>
        </is>
      </c>
      <c r="P3969" t="inlineStr">
        <is>
          <t>2.350</t>
        </is>
      </c>
    </row>
    <row r="3970">
      <c r="A3970" s="24" t="n">
        <v>46204</v>
      </c>
      <c r="B3970" t="inlineStr">
        <is>
          <t>Frete de venda</t>
        </is>
      </c>
      <c r="C3970" t="inlineStr">
        <is>
          <t>Frete de venda (para clientes)</t>
        </is>
      </c>
      <c r="D3970" t="inlineStr">
        <is>
          <t>CT-e</t>
        </is>
      </c>
      <c r="E3970" t="inlineStr">
        <is>
          <t>000025072</t>
        </is>
      </c>
      <c r="F3970" t="inlineStr">
        <is>
          <t>TRANSPORTE OLIVEIRA E MELLOI - IDEALIZA TRANSPORTES</t>
        </is>
      </c>
      <c r="G3970" s="27" t="n">
        <v>46216</v>
      </c>
      <c r="H3970" s="14" t="n">
        <v>1149.58</v>
      </c>
      <c r="I3970" s="14" t="n">
        <v>0</v>
      </c>
      <c r="J3970" s="14" t="n">
        <v>137.95</v>
      </c>
      <c r="K3970" s="14" t="n">
        <v>0</v>
      </c>
      <c r="L3970" s="14" t="n">
        <v>0</v>
      </c>
      <c r="M3970" s="14">
        <f>IF(B3970="Frete de venda",0,(1-ISNUMBER(SEARCH("556",P3970)))*(I3970*VLOOKUP($B3970,Premissas!$A$4:$E$7,2,0)+J3970*VLOOKUP($B3970,Premissas!$A$4:$E$7,3,0))+K3970*VLOOKUP($B3970,Premissas!$A$4:$E$7,4,0)+L3970*VLOOKUP($B3970,Premissas!$A$4:$E$7,5,0))</f>
        <v/>
      </c>
      <c r="N3970" s="14">
        <f>H3970-M3970</f>
        <v/>
      </c>
      <c r="O3970" t="inlineStr">
        <is>
          <t>Sim</t>
        </is>
      </c>
      <c r="P3970" t="inlineStr">
        <is>
          <t>2.350</t>
        </is>
      </c>
    </row>
    <row r="3971">
      <c r="A3971" s="24" t="n">
        <v>46204</v>
      </c>
      <c r="B3971" t="inlineStr">
        <is>
          <t>Frete de venda</t>
        </is>
      </c>
      <c r="C3971" t="inlineStr">
        <is>
          <t>Frete de venda (para clientes)</t>
        </is>
      </c>
      <c r="D3971" t="inlineStr">
        <is>
          <t>CT-e</t>
        </is>
      </c>
      <c r="E3971" t="inlineStr">
        <is>
          <t>000025079</t>
        </is>
      </c>
      <c r="F3971" t="inlineStr">
        <is>
          <t>TRANSPORTE OLIVEIRA E MELLOI - IDEALIZA TRANSPORTES</t>
        </is>
      </c>
      <c r="G3971" s="27" t="n">
        <v>46218</v>
      </c>
      <c r="H3971" s="14" t="n">
        <v>2705.76</v>
      </c>
      <c r="I3971" s="14" t="n">
        <v>0</v>
      </c>
      <c r="J3971" s="14" t="n">
        <v>324.69</v>
      </c>
      <c r="K3971" s="14" t="n">
        <v>0</v>
      </c>
      <c r="L3971" s="14" t="n">
        <v>0</v>
      </c>
      <c r="M3971" s="14">
        <f>IF(B3971="Frete de venda",0,(1-ISNUMBER(SEARCH("556",P3971)))*(I3971*VLOOKUP($B3971,Premissas!$A$4:$E$7,2,0)+J3971*VLOOKUP($B3971,Premissas!$A$4:$E$7,3,0))+K3971*VLOOKUP($B3971,Premissas!$A$4:$E$7,4,0)+L3971*VLOOKUP($B3971,Premissas!$A$4:$E$7,5,0))</f>
        <v/>
      </c>
      <c r="N3971" s="14">
        <f>H3971-M3971</f>
        <v/>
      </c>
      <c r="O3971" t="inlineStr">
        <is>
          <t>Sim</t>
        </is>
      </c>
      <c r="P3971" t="inlineStr">
        <is>
          <t>2.350</t>
        </is>
      </c>
    </row>
    <row r="3972">
      <c r="A3972" s="24" t="n">
        <v>46204</v>
      </c>
      <c r="B3972" t="inlineStr">
        <is>
          <t>Frete de venda</t>
        </is>
      </c>
      <c r="C3972" t="inlineStr">
        <is>
          <t>Frete de venda (para clientes)</t>
        </is>
      </c>
      <c r="D3972" t="inlineStr">
        <is>
          <t>CT-e</t>
        </is>
      </c>
      <c r="E3972" t="inlineStr">
        <is>
          <t>000007659</t>
        </is>
      </c>
      <c r="F3972" t="inlineStr">
        <is>
          <t>R&amp;R TRANSPORTE E LOGISTICA</t>
        </is>
      </c>
      <c r="G3972" s="27" t="n">
        <v>46219</v>
      </c>
      <c r="H3972" s="14" t="n">
        <v>58.2</v>
      </c>
      <c r="I3972" s="14" t="n">
        <v>0</v>
      </c>
      <c r="J3972" s="14" t="n">
        <v>0</v>
      </c>
      <c r="K3972" s="14" t="n">
        <v>0</v>
      </c>
      <c r="L3972" s="14" t="n">
        <v>0</v>
      </c>
      <c r="M3972" s="14">
        <f>IF(B3972="Frete de venda",0,(1-ISNUMBER(SEARCH("556",P3972)))*(I3972*VLOOKUP($B3972,Premissas!$A$4:$E$7,2,0)+J3972*VLOOKUP($B3972,Premissas!$A$4:$E$7,3,0))+K3972*VLOOKUP($B3972,Premissas!$A$4:$E$7,4,0)+L3972*VLOOKUP($B3972,Premissas!$A$4:$E$7,5,0))</f>
        <v/>
      </c>
      <c r="N3972" s="14">
        <f>H3972-M3972</f>
        <v/>
      </c>
      <c r="O3972" t="inlineStr">
        <is>
          <t>Não</t>
        </is>
      </c>
      <c r="P3972" t="inlineStr">
        <is>
          <t>2.350</t>
        </is>
      </c>
    </row>
    <row r="3973">
      <c r="A3973" s="24" t="n">
        <v>46204</v>
      </c>
      <c r="B3973" t="inlineStr">
        <is>
          <t>Frete de venda</t>
        </is>
      </c>
      <c r="C3973" t="inlineStr">
        <is>
          <t>Frete de venda (para clientes)</t>
        </is>
      </c>
      <c r="D3973" t="inlineStr">
        <is>
          <t>CT-e</t>
        </is>
      </c>
      <c r="E3973" t="inlineStr">
        <is>
          <t>000000714</t>
        </is>
      </c>
      <c r="F3973" t="inlineStr">
        <is>
          <t>REIMAG - REINALDO DOMINGUES BARROS DA SILVA</t>
        </is>
      </c>
      <c r="G3973" s="27" t="n">
        <v>46214</v>
      </c>
      <c r="H3973" s="14" t="n">
        <v>267</v>
      </c>
      <c r="I3973" s="14" t="n">
        <v>0</v>
      </c>
      <c r="J3973" s="14" t="n">
        <v>0</v>
      </c>
      <c r="K3973" s="14" t="n">
        <v>0</v>
      </c>
      <c r="L3973" s="14" t="n">
        <v>0</v>
      </c>
      <c r="M3973" s="14">
        <f>IF(B3973="Frete de venda",0,(1-ISNUMBER(SEARCH("556",P3973)))*(I3973*VLOOKUP($B3973,Premissas!$A$4:$E$7,2,0)+J3973*VLOOKUP($B3973,Premissas!$A$4:$E$7,3,0))+K3973*VLOOKUP($B3973,Premissas!$A$4:$E$7,4,0)+L3973*VLOOKUP($B3973,Premissas!$A$4:$E$7,5,0))</f>
        <v/>
      </c>
      <c r="N3973" s="14">
        <f>H3973-M3973</f>
        <v/>
      </c>
      <c r="O3973" t="inlineStr">
        <is>
          <t>Sim</t>
        </is>
      </c>
      <c r="P3973" t="inlineStr">
        <is>
          <t>2.350</t>
        </is>
      </c>
    </row>
    <row r="3974">
      <c r="A3974" s="24" t="n">
        <v>46204</v>
      </c>
      <c r="B3974" t="inlineStr">
        <is>
          <t>Frete de venda</t>
        </is>
      </c>
      <c r="C3974" t="inlineStr">
        <is>
          <t>Frete de venda (para clientes)</t>
        </is>
      </c>
      <c r="D3974" t="inlineStr">
        <is>
          <t>CT-e</t>
        </is>
      </c>
      <c r="E3974" t="inlineStr">
        <is>
          <t>000007639</t>
        </is>
      </c>
      <c r="F3974" t="inlineStr">
        <is>
          <t>R&amp;R TRANSPORTE E LOGISTICA</t>
        </is>
      </c>
      <c r="G3974" s="27" t="n">
        <v>46217</v>
      </c>
      <c r="H3974" s="14" t="n">
        <v>58.45</v>
      </c>
      <c r="I3974" s="14" t="n">
        <v>0</v>
      </c>
      <c r="J3974" s="14" t="n">
        <v>0</v>
      </c>
      <c r="K3974" s="14" t="n">
        <v>0</v>
      </c>
      <c r="L3974" s="14" t="n">
        <v>0</v>
      </c>
      <c r="M3974" s="14">
        <f>IF(B3974="Frete de venda",0,(1-ISNUMBER(SEARCH("556",P3974)))*(I3974*VLOOKUP($B3974,Premissas!$A$4:$E$7,2,0)+J3974*VLOOKUP($B3974,Premissas!$A$4:$E$7,3,0))+K3974*VLOOKUP($B3974,Premissas!$A$4:$E$7,4,0)+L3974*VLOOKUP($B3974,Premissas!$A$4:$E$7,5,0))</f>
        <v/>
      </c>
      <c r="N3974" s="14">
        <f>H3974-M3974</f>
        <v/>
      </c>
      <c r="O3974" t="inlineStr">
        <is>
          <t>Não</t>
        </is>
      </c>
      <c r="P3974" t="inlineStr">
        <is>
          <t>2.350</t>
        </is>
      </c>
    </row>
    <row r="3975">
      <c r="A3975" s="24" t="n">
        <v>46204</v>
      </c>
      <c r="B3975" t="inlineStr">
        <is>
          <t>Frete de venda</t>
        </is>
      </c>
      <c r="C3975" t="inlineStr">
        <is>
          <t>Frete de venda (para clientes)</t>
        </is>
      </c>
      <c r="D3975" t="inlineStr">
        <is>
          <t>CT-e</t>
        </is>
      </c>
      <c r="E3975" t="inlineStr">
        <is>
          <t>000007617</t>
        </is>
      </c>
      <c r="F3975" t="inlineStr">
        <is>
          <t>R&amp;R TRANSPORTE E LOGISTICA</t>
        </is>
      </c>
      <c r="G3975" s="27" t="n">
        <v>46214</v>
      </c>
      <c r="H3975" s="14" t="n">
        <v>38.61</v>
      </c>
      <c r="I3975" s="14" t="n">
        <v>0</v>
      </c>
      <c r="J3975" s="14" t="n">
        <v>0</v>
      </c>
      <c r="K3975" s="14" t="n">
        <v>0</v>
      </c>
      <c r="L3975" s="14" t="n">
        <v>0</v>
      </c>
      <c r="M3975" s="14">
        <f>IF(B3975="Frete de venda",0,(1-ISNUMBER(SEARCH("556",P3975)))*(I3975*VLOOKUP($B3975,Premissas!$A$4:$E$7,2,0)+J3975*VLOOKUP($B3975,Premissas!$A$4:$E$7,3,0))+K3975*VLOOKUP($B3975,Premissas!$A$4:$E$7,4,0)+L3975*VLOOKUP($B3975,Premissas!$A$4:$E$7,5,0))</f>
        <v/>
      </c>
      <c r="N3975" s="14">
        <f>H3975-M3975</f>
        <v/>
      </c>
      <c r="O3975" t="inlineStr">
        <is>
          <t>Não</t>
        </is>
      </c>
      <c r="P3975" t="inlineStr">
        <is>
          <t>2.350</t>
        </is>
      </c>
    </row>
    <row r="3976">
      <c r="A3976" s="24" t="n">
        <v>46204</v>
      </c>
      <c r="B3976" t="inlineStr">
        <is>
          <t>Frete de venda</t>
        </is>
      </c>
      <c r="C3976" t="inlineStr">
        <is>
          <t>Frete de venda (para clientes)</t>
        </is>
      </c>
      <c r="D3976" t="inlineStr">
        <is>
          <t>CT-e</t>
        </is>
      </c>
      <c r="E3976" t="inlineStr">
        <is>
          <t>000007568</t>
        </is>
      </c>
      <c r="F3976" t="inlineStr">
        <is>
          <t>R&amp;R TRANSPORTE E LOGISTICA</t>
        </is>
      </c>
      <c r="G3976" s="27" t="n">
        <v>46211</v>
      </c>
      <c r="H3976" s="14" t="n">
        <v>51.1</v>
      </c>
      <c r="I3976" s="14" t="n">
        <v>0</v>
      </c>
      <c r="J3976" s="14" t="n">
        <v>0</v>
      </c>
      <c r="K3976" s="14" t="n">
        <v>0</v>
      </c>
      <c r="L3976" s="14" t="n">
        <v>0</v>
      </c>
      <c r="M3976" s="14">
        <f>IF(B3976="Frete de venda",0,(1-ISNUMBER(SEARCH("556",P3976)))*(I3976*VLOOKUP($B3976,Premissas!$A$4:$E$7,2,0)+J3976*VLOOKUP($B3976,Premissas!$A$4:$E$7,3,0))+K3976*VLOOKUP($B3976,Premissas!$A$4:$E$7,4,0)+L3976*VLOOKUP($B3976,Premissas!$A$4:$E$7,5,0))</f>
        <v/>
      </c>
      <c r="N3976" s="14">
        <f>H3976-M3976</f>
        <v/>
      </c>
      <c r="O3976" t="inlineStr">
        <is>
          <t>Não</t>
        </is>
      </c>
      <c r="P3976" t="inlineStr">
        <is>
          <t>2.350</t>
        </is>
      </c>
    </row>
    <row r="3977">
      <c r="A3977" s="24" t="n">
        <v>46204</v>
      </c>
      <c r="B3977" t="inlineStr">
        <is>
          <t>Frete de venda</t>
        </is>
      </c>
      <c r="C3977" t="inlineStr">
        <is>
          <t>Frete de venda (para clientes)</t>
        </is>
      </c>
      <c r="D3977" t="inlineStr">
        <is>
          <t>CT-e</t>
        </is>
      </c>
      <c r="E3977" t="inlineStr">
        <is>
          <t>000007566</t>
        </is>
      </c>
      <c r="F3977" t="inlineStr">
        <is>
          <t>R&amp;R TRANSPORTE E LOGISTICA</t>
        </is>
      </c>
      <c r="G3977" s="27" t="n">
        <v>46211</v>
      </c>
      <c r="H3977" s="14" t="n">
        <v>35.62</v>
      </c>
      <c r="I3977" s="14" t="n">
        <v>0</v>
      </c>
      <c r="J3977" s="14" t="n">
        <v>0</v>
      </c>
      <c r="K3977" s="14" t="n">
        <v>0</v>
      </c>
      <c r="L3977" s="14" t="n">
        <v>0</v>
      </c>
      <c r="M3977" s="14">
        <f>IF(B3977="Frete de venda",0,(1-ISNUMBER(SEARCH("556",P3977)))*(I3977*VLOOKUP($B3977,Premissas!$A$4:$E$7,2,0)+J3977*VLOOKUP($B3977,Premissas!$A$4:$E$7,3,0))+K3977*VLOOKUP($B3977,Premissas!$A$4:$E$7,4,0)+L3977*VLOOKUP($B3977,Premissas!$A$4:$E$7,5,0))</f>
        <v/>
      </c>
      <c r="N3977" s="14">
        <f>H3977-M3977</f>
        <v/>
      </c>
      <c r="O3977" t="inlineStr">
        <is>
          <t>Não</t>
        </is>
      </c>
      <c r="P3977" t="inlineStr">
        <is>
          <t>2.350</t>
        </is>
      </c>
    </row>
    <row r="3978">
      <c r="A3978" s="24" t="n">
        <v>46204</v>
      </c>
      <c r="B3978" t="inlineStr">
        <is>
          <t>Frete de venda</t>
        </is>
      </c>
      <c r="C3978" t="inlineStr">
        <is>
          <t>Frete de venda (para clientes)</t>
        </is>
      </c>
      <c r="D3978" t="inlineStr">
        <is>
          <t>CT-e</t>
        </is>
      </c>
      <c r="E3978" t="inlineStr">
        <is>
          <t>000000718</t>
        </is>
      </c>
      <c r="F3978" t="inlineStr">
        <is>
          <t>REIMAG - REINALDO DOMINGUES BARROS DA SILVA</t>
        </is>
      </c>
      <c r="G3978" s="27" t="n">
        <v>46222</v>
      </c>
      <c r="H3978" s="14" t="n">
        <v>800</v>
      </c>
      <c r="I3978" s="14" t="n">
        <v>0</v>
      </c>
      <c r="J3978" s="14" t="n">
        <v>0</v>
      </c>
      <c r="K3978" s="14" t="n">
        <v>0</v>
      </c>
      <c r="L3978" s="14" t="n">
        <v>0</v>
      </c>
      <c r="M3978" s="14">
        <f>IF(B3978="Frete de venda",0,(1-ISNUMBER(SEARCH("556",P3978)))*(I3978*VLOOKUP($B3978,Premissas!$A$4:$E$7,2,0)+J3978*VLOOKUP($B3978,Premissas!$A$4:$E$7,3,0))+K3978*VLOOKUP($B3978,Premissas!$A$4:$E$7,4,0)+L3978*VLOOKUP($B3978,Premissas!$A$4:$E$7,5,0))</f>
        <v/>
      </c>
      <c r="N3978" s="14">
        <f>H3978-M3978</f>
        <v/>
      </c>
      <c r="O3978" t="inlineStr">
        <is>
          <t>Sim</t>
        </is>
      </c>
      <c r="P3978" t="inlineStr">
        <is>
          <t>2.350</t>
        </is>
      </c>
    </row>
    <row r="3979">
      <c r="A3979" s="24" t="n">
        <v>46204</v>
      </c>
      <c r="B3979" t="inlineStr">
        <is>
          <t>Frete de venda</t>
        </is>
      </c>
      <c r="C3979" t="inlineStr">
        <is>
          <t>Frete de venda (para clientes)</t>
        </is>
      </c>
      <c r="D3979" t="inlineStr">
        <is>
          <t>CT-e</t>
        </is>
      </c>
      <c r="E3979" t="inlineStr">
        <is>
          <t>000001201</t>
        </is>
      </c>
      <c r="F3979" t="inlineStr">
        <is>
          <t>ADIL CARLOS DA SILVA</t>
        </is>
      </c>
      <c r="G3979" s="27" t="n">
        <v>46221</v>
      </c>
      <c r="H3979" s="14" t="n">
        <v>1</v>
      </c>
      <c r="I3979" s="14" t="n">
        <v>0</v>
      </c>
      <c r="J3979" s="14" t="n">
        <v>0</v>
      </c>
      <c r="K3979" s="14" t="n">
        <v>0</v>
      </c>
      <c r="L3979" s="14" t="n">
        <v>0</v>
      </c>
      <c r="M3979" s="14">
        <f>IF(B3979="Frete de venda",0,(1-ISNUMBER(SEARCH("556",P3979)))*(I3979*VLOOKUP($B3979,Premissas!$A$4:$E$7,2,0)+J3979*VLOOKUP($B3979,Premissas!$A$4:$E$7,3,0))+K3979*VLOOKUP($B3979,Premissas!$A$4:$E$7,4,0)+L3979*VLOOKUP($B3979,Premissas!$A$4:$E$7,5,0))</f>
        <v/>
      </c>
      <c r="N3979" s="14">
        <f>H3979-M3979</f>
        <v/>
      </c>
      <c r="O3979" t="inlineStr">
        <is>
          <t>Não</t>
        </is>
      </c>
      <c r="P3979" t="inlineStr">
        <is>
          <t>2.350</t>
        </is>
      </c>
    </row>
    <row r="3980">
      <c r="A3980" s="24" t="n">
        <v>46204</v>
      </c>
      <c r="B3980" t="inlineStr">
        <is>
          <t>Frete de venda</t>
        </is>
      </c>
      <c r="C3980" t="inlineStr">
        <is>
          <t>Frete de venda (para clientes)</t>
        </is>
      </c>
      <c r="D3980" t="inlineStr">
        <is>
          <t>CT-e</t>
        </is>
      </c>
      <c r="E3980" t="inlineStr">
        <is>
          <t>000001202</t>
        </is>
      </c>
      <c r="F3980" t="inlineStr">
        <is>
          <t>ADIL CARLOS DA SILVA</t>
        </is>
      </c>
      <c r="G3980" s="27" t="n">
        <v>46221</v>
      </c>
      <c r="H3980" s="14" t="n">
        <v>100</v>
      </c>
      <c r="I3980" s="14" t="n">
        <v>0</v>
      </c>
      <c r="J3980" s="14" t="n">
        <v>0</v>
      </c>
      <c r="K3980" s="14" t="n">
        <v>0</v>
      </c>
      <c r="L3980" s="14" t="n">
        <v>0</v>
      </c>
      <c r="M3980" s="14">
        <f>IF(B3980="Frete de venda",0,(1-ISNUMBER(SEARCH("556",P3980)))*(I3980*VLOOKUP($B3980,Premissas!$A$4:$E$7,2,0)+J3980*VLOOKUP($B3980,Premissas!$A$4:$E$7,3,0))+K3980*VLOOKUP($B3980,Premissas!$A$4:$E$7,4,0)+L3980*VLOOKUP($B3980,Premissas!$A$4:$E$7,5,0))</f>
        <v/>
      </c>
      <c r="N3980" s="14">
        <f>H3980-M3980</f>
        <v/>
      </c>
      <c r="O3980" t="inlineStr">
        <is>
          <t>Não</t>
        </is>
      </c>
      <c r="P3980" t="inlineStr">
        <is>
          <t>2.350</t>
        </is>
      </c>
    </row>
    <row r="3981">
      <c r="A3981" s="24" t="n">
        <v>46204</v>
      </c>
      <c r="B3981" t="inlineStr">
        <is>
          <t>Frete de venda</t>
        </is>
      </c>
      <c r="C3981" t="inlineStr">
        <is>
          <t>Frete de venda (para clientes)</t>
        </is>
      </c>
      <c r="D3981" t="inlineStr">
        <is>
          <t>CT-e</t>
        </is>
      </c>
      <c r="E3981" t="inlineStr">
        <is>
          <t>000007807</t>
        </is>
      </c>
      <c r="F3981" t="inlineStr">
        <is>
          <t>R&amp;R TRANSPORTE E LOGISTICA</t>
        </is>
      </c>
      <c r="G3981" s="27" t="n">
        <v>46233</v>
      </c>
      <c r="H3981" s="14" t="n">
        <v>128.32</v>
      </c>
      <c r="I3981" s="14" t="n">
        <v>0</v>
      </c>
      <c r="J3981" s="14" t="n">
        <v>0</v>
      </c>
      <c r="K3981" s="14" t="n">
        <v>0</v>
      </c>
      <c r="L3981" s="14" t="n">
        <v>0</v>
      </c>
      <c r="M3981" s="14">
        <f>IF(B3981="Frete de venda",0,(1-ISNUMBER(SEARCH("556",P3981)))*(I3981*VLOOKUP($B3981,Premissas!$A$4:$E$7,2,0)+J3981*VLOOKUP($B3981,Premissas!$A$4:$E$7,3,0))+K3981*VLOOKUP($B3981,Premissas!$A$4:$E$7,4,0)+L3981*VLOOKUP($B3981,Premissas!$A$4:$E$7,5,0))</f>
        <v/>
      </c>
      <c r="N3981" s="14">
        <f>H3981-M3981</f>
        <v/>
      </c>
      <c r="O3981" t="inlineStr">
        <is>
          <t>Não</t>
        </is>
      </c>
      <c r="P3981" t="inlineStr">
        <is>
          <t>2.350</t>
        </is>
      </c>
    </row>
    <row r="3982">
      <c r="A3982" s="24" t="n">
        <v>46204</v>
      </c>
      <c r="B3982" t="inlineStr">
        <is>
          <t>Frete de venda</t>
        </is>
      </c>
      <c r="C3982" t="inlineStr">
        <is>
          <t>Frete de venda (para clientes)</t>
        </is>
      </c>
      <c r="D3982" t="inlineStr">
        <is>
          <t>CT-e</t>
        </is>
      </c>
      <c r="E3982" t="inlineStr">
        <is>
          <t>000025064</t>
        </is>
      </c>
      <c r="F3982" t="inlineStr">
        <is>
          <t>TRANSPORTE OLIVEIRA E MELLOI - IDEALIZA TRANSPORTES</t>
        </is>
      </c>
      <c r="G3982" s="27" t="n">
        <v>46214</v>
      </c>
      <c r="H3982" s="14" t="n">
        <v>3554.2</v>
      </c>
      <c r="I3982" s="14" t="n">
        <v>0</v>
      </c>
      <c r="J3982" s="14" t="n">
        <v>426.5</v>
      </c>
      <c r="K3982" s="14" t="n">
        <v>0</v>
      </c>
      <c r="L3982" s="14" t="n">
        <v>0</v>
      </c>
      <c r="M3982" s="14">
        <f>IF(B3982="Frete de venda",0,(1-ISNUMBER(SEARCH("556",P3982)))*(I3982*VLOOKUP($B3982,Premissas!$A$4:$E$7,2,0)+J3982*VLOOKUP($B3982,Premissas!$A$4:$E$7,3,0))+K3982*VLOOKUP($B3982,Premissas!$A$4:$E$7,4,0)+L3982*VLOOKUP($B3982,Premissas!$A$4:$E$7,5,0))</f>
        <v/>
      </c>
      <c r="N3982" s="14">
        <f>H3982-M3982</f>
        <v/>
      </c>
      <c r="O3982" t="inlineStr">
        <is>
          <t>Sim</t>
        </is>
      </c>
      <c r="P3982" t="inlineStr">
        <is>
          <t>2.350</t>
        </is>
      </c>
    </row>
    <row r="3983">
      <c r="A3983" s="24" t="n">
        <v>46204</v>
      </c>
      <c r="B3983" t="inlineStr">
        <is>
          <t>Frete de venda</t>
        </is>
      </c>
      <c r="C3983" t="inlineStr">
        <is>
          <t>Frete de venda (para clientes)</t>
        </is>
      </c>
      <c r="D3983" t="inlineStr">
        <is>
          <t>CT-e</t>
        </is>
      </c>
      <c r="E3983" t="inlineStr">
        <is>
          <t>000007799</t>
        </is>
      </c>
      <c r="F3983" t="inlineStr">
        <is>
          <t>R&amp;R TRANSPORTE E LOGISTICA</t>
        </is>
      </c>
      <c r="G3983" s="27" t="n">
        <v>46233</v>
      </c>
      <c r="H3983" s="14" t="n">
        <v>30.6</v>
      </c>
      <c r="I3983" s="14" t="n">
        <v>0</v>
      </c>
      <c r="J3983" s="14" t="n">
        <v>0</v>
      </c>
      <c r="K3983" s="14" t="n">
        <v>0</v>
      </c>
      <c r="L3983" s="14" t="n">
        <v>0</v>
      </c>
      <c r="M3983" s="14">
        <f>IF(B3983="Frete de venda",0,(1-ISNUMBER(SEARCH("556",P3983)))*(I3983*VLOOKUP($B3983,Premissas!$A$4:$E$7,2,0)+J3983*VLOOKUP($B3983,Premissas!$A$4:$E$7,3,0))+K3983*VLOOKUP($B3983,Premissas!$A$4:$E$7,4,0)+L3983*VLOOKUP($B3983,Premissas!$A$4:$E$7,5,0))</f>
        <v/>
      </c>
      <c r="N3983" s="14">
        <f>H3983-M3983</f>
        <v/>
      </c>
      <c r="O3983" t="inlineStr">
        <is>
          <t>Não</t>
        </is>
      </c>
      <c r="P3983" t="inlineStr">
        <is>
          <t>1.350</t>
        </is>
      </c>
    </row>
    <row r="3984">
      <c r="A3984" s="24" t="n">
        <v>46204</v>
      </c>
      <c r="B3984" t="inlineStr">
        <is>
          <t>Frete de venda</t>
        </is>
      </c>
      <c r="C3984" t="inlineStr">
        <is>
          <t>Frete de venda (para clientes)</t>
        </is>
      </c>
      <c r="D3984" t="inlineStr">
        <is>
          <t>CT-e</t>
        </is>
      </c>
      <c r="E3984" t="inlineStr">
        <is>
          <t>000004924</t>
        </is>
      </c>
      <c r="F3984" t="inlineStr">
        <is>
          <t>UNIVERSAL CARGAS EXPRESS</t>
        </is>
      </c>
      <c r="G3984" s="27" t="n">
        <v>46210</v>
      </c>
      <c r="H3984" s="14" t="n">
        <v>1200</v>
      </c>
      <c r="I3984" s="14" t="n">
        <v>0</v>
      </c>
      <c r="J3984" s="14" t="n">
        <v>0</v>
      </c>
      <c r="K3984" s="14" t="n">
        <v>0</v>
      </c>
      <c r="L3984" s="14" t="n">
        <v>0</v>
      </c>
      <c r="M3984" s="14">
        <f>IF(B3984="Frete de venda",0,(1-ISNUMBER(SEARCH("556",P3984)))*(I3984*VLOOKUP($B3984,Premissas!$A$4:$E$7,2,0)+J3984*VLOOKUP($B3984,Premissas!$A$4:$E$7,3,0))+K3984*VLOOKUP($B3984,Premissas!$A$4:$E$7,4,0)+L3984*VLOOKUP($B3984,Premissas!$A$4:$E$7,5,0))</f>
        <v/>
      </c>
      <c r="N3984" s="14">
        <f>H3984-M3984</f>
        <v/>
      </c>
      <c r="O3984" t="inlineStr">
        <is>
          <t>Sim</t>
        </is>
      </c>
      <c r="P3984" t="inlineStr">
        <is>
          <t>2.350</t>
        </is>
      </c>
    </row>
    <row r="3985">
      <c r="A3985" s="24" t="n">
        <v>46204</v>
      </c>
      <c r="B3985" t="inlineStr">
        <is>
          <t>Frete de venda</t>
        </is>
      </c>
      <c r="C3985" t="inlineStr">
        <is>
          <t>Frete de venda (para clientes)</t>
        </is>
      </c>
      <c r="D3985" t="inlineStr">
        <is>
          <t>CT-e</t>
        </is>
      </c>
      <c r="E3985" t="inlineStr">
        <is>
          <t>000000708</t>
        </is>
      </c>
      <c r="F3985" t="inlineStr">
        <is>
          <t>REIMAG - REINALDO DOMINGUES BARROS DA SILVA</t>
        </is>
      </c>
      <c r="G3985" s="27" t="n">
        <v>46205</v>
      </c>
      <c r="H3985" s="14" t="n">
        <v>266</v>
      </c>
      <c r="I3985" s="14" t="n">
        <v>0</v>
      </c>
      <c r="J3985" s="14" t="n">
        <v>0</v>
      </c>
      <c r="K3985" s="14" t="n">
        <v>0</v>
      </c>
      <c r="L3985" s="14" t="n">
        <v>0</v>
      </c>
      <c r="M3985" s="14">
        <f>IF(B3985="Frete de venda",0,(1-ISNUMBER(SEARCH("556",P3985)))*(I3985*VLOOKUP($B3985,Premissas!$A$4:$E$7,2,0)+J3985*VLOOKUP($B3985,Premissas!$A$4:$E$7,3,0))+K3985*VLOOKUP($B3985,Premissas!$A$4:$E$7,4,0)+L3985*VLOOKUP($B3985,Premissas!$A$4:$E$7,5,0))</f>
        <v/>
      </c>
      <c r="N3985" s="14">
        <f>H3985-M3985</f>
        <v/>
      </c>
      <c r="O3985" t="inlineStr">
        <is>
          <t>Sim</t>
        </is>
      </c>
      <c r="P3985" t="inlineStr">
        <is>
          <t>2.350</t>
        </is>
      </c>
    </row>
    <row r="3986">
      <c r="A3986" s="24" t="n">
        <v>46204</v>
      </c>
      <c r="B3986" t="inlineStr">
        <is>
          <t>Frete de venda</t>
        </is>
      </c>
      <c r="C3986" t="inlineStr">
        <is>
          <t>Frete de venda (para clientes)</t>
        </is>
      </c>
      <c r="D3986" t="inlineStr">
        <is>
          <t>CT-e</t>
        </is>
      </c>
      <c r="E3986" t="inlineStr">
        <is>
          <t>000000715</t>
        </is>
      </c>
      <c r="F3986" t="inlineStr">
        <is>
          <t>REIMAG - REINALDO DOMINGUES BARROS DA SILVA</t>
        </is>
      </c>
      <c r="G3986" s="27" t="n">
        <v>46214</v>
      </c>
      <c r="H3986" s="14" t="n">
        <v>267</v>
      </c>
      <c r="I3986" s="14" t="n">
        <v>0</v>
      </c>
      <c r="J3986" s="14" t="n">
        <v>0</v>
      </c>
      <c r="K3986" s="14" t="n">
        <v>0</v>
      </c>
      <c r="L3986" s="14" t="n">
        <v>0</v>
      </c>
      <c r="M3986" s="14">
        <f>IF(B3986="Frete de venda",0,(1-ISNUMBER(SEARCH("556",P3986)))*(I3986*VLOOKUP($B3986,Premissas!$A$4:$E$7,2,0)+J3986*VLOOKUP($B3986,Premissas!$A$4:$E$7,3,0))+K3986*VLOOKUP($B3986,Premissas!$A$4:$E$7,4,0)+L3986*VLOOKUP($B3986,Premissas!$A$4:$E$7,5,0))</f>
        <v/>
      </c>
      <c r="N3986" s="14">
        <f>H3986-M3986</f>
        <v/>
      </c>
      <c r="O3986" t="inlineStr">
        <is>
          <t>Sim</t>
        </is>
      </c>
      <c r="P3986" t="inlineStr">
        <is>
          <t>2.350</t>
        </is>
      </c>
    </row>
    <row r="3987">
      <c r="A3987" s="24" t="n">
        <v>46204</v>
      </c>
      <c r="B3987" t="inlineStr">
        <is>
          <t>Frete de venda</t>
        </is>
      </c>
      <c r="C3987" t="inlineStr">
        <is>
          <t>Frete de venda (para clientes)</t>
        </is>
      </c>
      <c r="D3987" t="inlineStr">
        <is>
          <t>CT-e</t>
        </is>
      </c>
      <c r="E3987" t="inlineStr">
        <is>
          <t>000000724</t>
        </is>
      </c>
      <c r="F3987" t="inlineStr">
        <is>
          <t>REIMAG - REINALDO DOMINGUES BARROS DA SILVA</t>
        </is>
      </c>
      <c r="G3987" s="27" t="n">
        <v>46232</v>
      </c>
      <c r="H3987" s="14" t="n">
        <v>250</v>
      </c>
      <c r="I3987" s="14" t="n">
        <v>0</v>
      </c>
      <c r="J3987" s="14" t="n">
        <v>0</v>
      </c>
      <c r="K3987" s="14" t="n">
        <v>0</v>
      </c>
      <c r="L3987" s="14" t="n">
        <v>0</v>
      </c>
      <c r="M3987" s="14">
        <f>IF(B3987="Frete de venda",0,(1-ISNUMBER(SEARCH("556",P3987)))*(I3987*VLOOKUP($B3987,Premissas!$A$4:$E$7,2,0)+J3987*VLOOKUP($B3987,Premissas!$A$4:$E$7,3,0))+K3987*VLOOKUP($B3987,Premissas!$A$4:$E$7,4,0)+L3987*VLOOKUP($B3987,Premissas!$A$4:$E$7,5,0))</f>
        <v/>
      </c>
      <c r="N3987" s="14">
        <f>H3987-M3987</f>
        <v/>
      </c>
      <c r="O3987" t="inlineStr">
        <is>
          <t>Sim</t>
        </is>
      </c>
      <c r="P3987" t="inlineStr">
        <is>
          <t>2.350</t>
        </is>
      </c>
    </row>
    <row r="3988">
      <c r="A3988" s="24" t="n">
        <v>46204</v>
      </c>
      <c r="B3988" t="inlineStr">
        <is>
          <t>Frete de venda</t>
        </is>
      </c>
      <c r="C3988" t="inlineStr">
        <is>
          <t>Frete de venda (para clientes)</t>
        </is>
      </c>
      <c r="D3988" t="inlineStr">
        <is>
          <t>CT-e</t>
        </is>
      </c>
      <c r="E3988" t="inlineStr">
        <is>
          <t>000007798</t>
        </is>
      </c>
      <c r="F3988" t="inlineStr">
        <is>
          <t>R&amp;R TRANSPORTE E LOGISTICA</t>
        </is>
      </c>
      <c r="G3988" s="27" t="n">
        <v>46233</v>
      </c>
      <c r="H3988" s="14" t="n">
        <v>37.45</v>
      </c>
      <c r="I3988" s="14" t="n">
        <v>0</v>
      </c>
      <c r="J3988" s="14" t="n">
        <v>0</v>
      </c>
      <c r="K3988" s="14" t="n">
        <v>0</v>
      </c>
      <c r="L3988" s="14" t="n">
        <v>0</v>
      </c>
      <c r="M3988" s="14">
        <f>IF(B3988="Frete de venda",0,(1-ISNUMBER(SEARCH("556",P3988)))*(I3988*VLOOKUP($B3988,Premissas!$A$4:$E$7,2,0)+J3988*VLOOKUP($B3988,Premissas!$A$4:$E$7,3,0))+K3988*VLOOKUP($B3988,Premissas!$A$4:$E$7,4,0)+L3988*VLOOKUP($B3988,Premissas!$A$4:$E$7,5,0))</f>
        <v/>
      </c>
      <c r="N3988" s="14">
        <f>H3988-M3988</f>
        <v/>
      </c>
      <c r="O3988" t="inlineStr">
        <is>
          <t>Não</t>
        </is>
      </c>
      <c r="P3988" t="inlineStr">
        <is>
          <t>1.350</t>
        </is>
      </c>
    </row>
    <row r="3989">
      <c r="A3989" s="24" t="n">
        <v>46204</v>
      </c>
      <c r="B3989" t="inlineStr">
        <is>
          <t>Frete de venda</t>
        </is>
      </c>
      <c r="C3989" t="inlineStr">
        <is>
          <t>Frete de venda (para clientes)</t>
        </is>
      </c>
      <c r="D3989" t="inlineStr">
        <is>
          <t>CT-e</t>
        </is>
      </c>
      <c r="E3989" t="inlineStr">
        <is>
          <t>000007688</t>
        </is>
      </c>
      <c r="F3989" t="inlineStr">
        <is>
          <t>R&amp;R TRANSPORTE E LOGISTICA</t>
        </is>
      </c>
      <c r="G3989" s="27" t="n">
        <v>46223</v>
      </c>
      <c r="H3989" s="14" t="n">
        <v>1400</v>
      </c>
      <c r="I3989" s="14" t="n">
        <v>0</v>
      </c>
      <c r="J3989" s="14" t="n">
        <v>0</v>
      </c>
      <c r="K3989" s="14" t="n">
        <v>0</v>
      </c>
      <c r="L3989" s="14" t="n">
        <v>0</v>
      </c>
      <c r="M3989" s="14">
        <f>IF(B3989="Frete de venda",0,(1-ISNUMBER(SEARCH("556",P3989)))*(I3989*VLOOKUP($B3989,Premissas!$A$4:$E$7,2,0)+J3989*VLOOKUP($B3989,Premissas!$A$4:$E$7,3,0))+K3989*VLOOKUP($B3989,Premissas!$A$4:$E$7,4,0)+L3989*VLOOKUP($B3989,Premissas!$A$4:$E$7,5,0))</f>
        <v/>
      </c>
      <c r="N3989" s="14">
        <f>H3989-M3989</f>
        <v/>
      </c>
      <c r="O3989" t="inlineStr">
        <is>
          <t>Não</t>
        </is>
      </c>
      <c r="P3989" t="inlineStr">
        <is>
          <t>2.350</t>
        </is>
      </c>
    </row>
    <row r="3990">
      <c r="A3990" s="24" t="n">
        <v>46204</v>
      </c>
      <c r="B3990" t="inlineStr">
        <is>
          <t>Frete de venda</t>
        </is>
      </c>
      <c r="C3990" t="inlineStr">
        <is>
          <t>Frete de venda (para clientes)</t>
        </is>
      </c>
      <c r="D3990" t="inlineStr">
        <is>
          <t>CT-e</t>
        </is>
      </c>
      <c r="E3990" t="inlineStr">
        <is>
          <t>001450133</t>
        </is>
      </c>
      <c r="F3990" t="inlineStr">
        <is>
          <t>PICCOLI TRANSPORTES LTDA</t>
        </is>
      </c>
      <c r="G3990" s="27" t="n">
        <v>46204</v>
      </c>
      <c r="H3990" s="14" t="n">
        <v>698.37</v>
      </c>
      <c r="I3990" s="14" t="n">
        <v>0</v>
      </c>
      <c r="J3990" s="14" t="n">
        <v>48.89</v>
      </c>
      <c r="K3990" s="14" t="n">
        <v>0</v>
      </c>
      <c r="L3990" s="14" t="n">
        <v>0</v>
      </c>
      <c r="M3990" s="14">
        <f>IF(B3990="Frete de venda",0,(1-ISNUMBER(SEARCH("556",P3990)))*(I3990*VLOOKUP($B3990,Premissas!$A$4:$E$7,2,0)+J3990*VLOOKUP($B3990,Premissas!$A$4:$E$7,3,0))+K3990*VLOOKUP($B3990,Premissas!$A$4:$E$7,4,0)+L3990*VLOOKUP($B3990,Premissas!$A$4:$E$7,5,0))</f>
        <v/>
      </c>
      <c r="N3990" s="14">
        <f>H3990-M3990</f>
        <v/>
      </c>
      <c r="O3990" t="inlineStr">
        <is>
          <t>Sim</t>
        </is>
      </c>
      <c r="P3990" t="inlineStr">
        <is>
          <t>2.350</t>
        </is>
      </c>
    </row>
    <row r="3991">
      <c r="A3991" s="24" t="n">
        <v>46204</v>
      </c>
      <c r="B3991" t="inlineStr">
        <is>
          <t>Frete de venda</t>
        </is>
      </c>
      <c r="C3991" t="inlineStr">
        <is>
          <t>Frete de venda (para clientes)</t>
        </is>
      </c>
      <c r="D3991" t="inlineStr">
        <is>
          <t>CT-e</t>
        </is>
      </c>
      <c r="E3991" t="inlineStr">
        <is>
          <t>000007580</t>
        </is>
      </c>
      <c r="F3991" t="inlineStr">
        <is>
          <t>R&amp;R TRANSPORTE E LOGISTICA</t>
        </is>
      </c>
      <c r="G3991" s="27" t="n">
        <v>46212</v>
      </c>
      <c r="H3991" s="14" t="n">
        <v>24.09</v>
      </c>
      <c r="I3991" s="14" t="n">
        <v>0</v>
      </c>
      <c r="J3991" s="14" t="n">
        <v>0</v>
      </c>
      <c r="K3991" s="14" t="n">
        <v>0</v>
      </c>
      <c r="L3991" s="14" t="n">
        <v>0</v>
      </c>
      <c r="M3991" s="14">
        <f>IF(B3991="Frete de venda",0,(1-ISNUMBER(SEARCH("556",P3991)))*(I3991*VLOOKUP($B3991,Premissas!$A$4:$E$7,2,0)+J3991*VLOOKUP($B3991,Premissas!$A$4:$E$7,3,0))+K3991*VLOOKUP($B3991,Premissas!$A$4:$E$7,4,0)+L3991*VLOOKUP($B3991,Premissas!$A$4:$E$7,5,0))</f>
        <v/>
      </c>
      <c r="N3991" s="14">
        <f>H3991-M3991</f>
        <v/>
      </c>
      <c r="O3991" t="inlineStr">
        <is>
          <t>Não</t>
        </is>
      </c>
      <c r="P3991" t="inlineStr">
        <is>
          <t>2.350</t>
        </is>
      </c>
    </row>
    <row r="3992">
      <c r="A3992" s="24" t="n">
        <v>46204</v>
      </c>
      <c r="B3992" t="inlineStr">
        <is>
          <t>Frete de venda</t>
        </is>
      </c>
      <c r="C3992" t="inlineStr">
        <is>
          <t>Frete de venda (para clientes)</t>
        </is>
      </c>
      <c r="D3992" t="inlineStr">
        <is>
          <t>CT-e</t>
        </is>
      </c>
      <c r="E3992" t="inlineStr">
        <is>
          <t>000000722</t>
        </is>
      </c>
      <c r="F3992" t="inlineStr">
        <is>
          <t>REIMAG - REINALDO DOMINGUES BARROS DA SILVA</t>
        </is>
      </c>
      <c r="G3992" s="27" t="n">
        <v>46226</v>
      </c>
      <c r="H3992" s="14" t="n">
        <v>800</v>
      </c>
      <c r="I3992" s="14" t="n">
        <v>0</v>
      </c>
      <c r="J3992" s="14" t="n">
        <v>0</v>
      </c>
      <c r="K3992" s="14" t="n">
        <v>0</v>
      </c>
      <c r="L3992" s="14" t="n">
        <v>0</v>
      </c>
      <c r="M3992" s="14">
        <f>IF(B3992="Frete de venda",0,(1-ISNUMBER(SEARCH("556",P3992)))*(I3992*VLOOKUP($B3992,Premissas!$A$4:$E$7,2,0)+J3992*VLOOKUP($B3992,Premissas!$A$4:$E$7,3,0))+K3992*VLOOKUP($B3992,Premissas!$A$4:$E$7,4,0)+L3992*VLOOKUP($B3992,Premissas!$A$4:$E$7,5,0))</f>
        <v/>
      </c>
      <c r="N3992" s="14">
        <f>H3992-M3992</f>
        <v/>
      </c>
      <c r="O3992" t="inlineStr">
        <is>
          <t>Sim</t>
        </is>
      </c>
      <c r="P3992" t="inlineStr">
        <is>
          <t>2.350</t>
        </is>
      </c>
    </row>
    <row r="3993">
      <c r="A3993" s="24" t="n">
        <v>46204</v>
      </c>
      <c r="B3993" t="inlineStr">
        <is>
          <t>Frete de venda</t>
        </is>
      </c>
      <c r="C3993" t="inlineStr">
        <is>
          <t>Frete de venda (para clientes)</t>
        </is>
      </c>
      <c r="D3993" t="inlineStr">
        <is>
          <t>CT-e</t>
        </is>
      </c>
      <c r="E3993" t="inlineStr">
        <is>
          <t>000007591</t>
        </is>
      </c>
      <c r="F3993" t="inlineStr">
        <is>
          <t>R&amp;R TRANSPORTE E LOGISTICA</t>
        </is>
      </c>
      <c r="G3993" s="27" t="n">
        <v>46212</v>
      </c>
      <c r="H3993" s="14" t="n">
        <v>24.09</v>
      </c>
      <c r="I3993" s="14" t="n">
        <v>0</v>
      </c>
      <c r="J3993" s="14" t="n">
        <v>0</v>
      </c>
      <c r="K3993" s="14" t="n">
        <v>0</v>
      </c>
      <c r="L3993" s="14" t="n">
        <v>0</v>
      </c>
      <c r="M3993" s="14">
        <f>IF(B3993="Frete de venda",0,(1-ISNUMBER(SEARCH("556",P3993)))*(I3993*VLOOKUP($B3993,Premissas!$A$4:$E$7,2,0)+J3993*VLOOKUP($B3993,Premissas!$A$4:$E$7,3,0))+K3993*VLOOKUP($B3993,Premissas!$A$4:$E$7,4,0)+L3993*VLOOKUP($B3993,Premissas!$A$4:$E$7,5,0))</f>
        <v/>
      </c>
      <c r="N3993" s="14">
        <f>H3993-M3993</f>
        <v/>
      </c>
      <c r="O3993" t="inlineStr">
        <is>
          <t>Não</t>
        </is>
      </c>
      <c r="P3993" t="inlineStr">
        <is>
          <t>2.350</t>
        </is>
      </c>
    </row>
    <row r="3994">
      <c r="A3994" s="24" t="n">
        <v>46204</v>
      </c>
      <c r="B3994" t="inlineStr">
        <is>
          <t>Frete de venda</t>
        </is>
      </c>
      <c r="C3994" t="inlineStr">
        <is>
          <t>Frete de venda (para clientes)</t>
        </is>
      </c>
      <c r="D3994" t="inlineStr">
        <is>
          <t>CT-e</t>
        </is>
      </c>
      <c r="E3994" t="inlineStr">
        <is>
          <t>000007763</t>
        </is>
      </c>
      <c r="F3994" t="inlineStr">
        <is>
          <t>R&amp;R TRANSPORTE E LOGISTICA</t>
        </is>
      </c>
      <c r="G3994" s="27" t="n">
        <v>46227</v>
      </c>
      <c r="H3994" s="14" t="n">
        <v>9.300000000000001</v>
      </c>
      <c r="I3994" s="14" t="n">
        <v>0</v>
      </c>
      <c r="J3994" s="14" t="n">
        <v>0</v>
      </c>
      <c r="K3994" s="14" t="n">
        <v>0</v>
      </c>
      <c r="L3994" s="14" t="n">
        <v>0</v>
      </c>
      <c r="M3994" s="14">
        <f>IF(B3994="Frete de venda",0,(1-ISNUMBER(SEARCH("556",P3994)))*(I3994*VLOOKUP($B3994,Premissas!$A$4:$E$7,2,0)+J3994*VLOOKUP($B3994,Premissas!$A$4:$E$7,3,0))+K3994*VLOOKUP($B3994,Premissas!$A$4:$E$7,4,0)+L3994*VLOOKUP($B3994,Premissas!$A$4:$E$7,5,0))</f>
        <v/>
      </c>
      <c r="N3994" s="14">
        <f>H3994-M3994</f>
        <v/>
      </c>
      <c r="O3994" t="inlineStr">
        <is>
          <t>Não</t>
        </is>
      </c>
      <c r="P3994" t="inlineStr">
        <is>
          <t>1.350</t>
        </is>
      </c>
    </row>
    <row r="3995">
      <c r="A3995" s="24" t="n">
        <v>46204</v>
      </c>
      <c r="B3995" t="inlineStr">
        <is>
          <t>Frete de venda</t>
        </is>
      </c>
      <c r="C3995" t="inlineStr">
        <is>
          <t>Frete de venda (para clientes)</t>
        </is>
      </c>
      <c r="D3995" t="inlineStr">
        <is>
          <t>CT-e</t>
        </is>
      </c>
      <c r="E3995" t="inlineStr">
        <is>
          <t>000007731</t>
        </is>
      </c>
      <c r="F3995" t="inlineStr">
        <is>
          <t>R&amp;R TRANSPORTE E LOGISTICA</t>
        </is>
      </c>
      <c r="G3995" s="27" t="n">
        <v>46225</v>
      </c>
      <c r="H3995" s="14" t="n">
        <v>32.7</v>
      </c>
      <c r="I3995" s="14" t="n">
        <v>0</v>
      </c>
      <c r="J3995" s="14" t="n">
        <v>0</v>
      </c>
      <c r="K3995" s="14" t="n">
        <v>0</v>
      </c>
      <c r="L3995" s="14" t="n">
        <v>0</v>
      </c>
      <c r="M3995" s="14">
        <f>IF(B3995="Frete de venda",0,(1-ISNUMBER(SEARCH("556",P3995)))*(I3995*VLOOKUP($B3995,Premissas!$A$4:$E$7,2,0)+J3995*VLOOKUP($B3995,Premissas!$A$4:$E$7,3,0))+K3995*VLOOKUP($B3995,Premissas!$A$4:$E$7,4,0)+L3995*VLOOKUP($B3995,Premissas!$A$4:$E$7,5,0))</f>
        <v/>
      </c>
      <c r="N3995" s="14">
        <f>H3995-M3995</f>
        <v/>
      </c>
      <c r="O3995" t="inlineStr">
        <is>
          <t>Não</t>
        </is>
      </c>
      <c r="P3995" t="inlineStr">
        <is>
          <t>2.350</t>
        </is>
      </c>
    </row>
    <row r="3996">
      <c r="A3996" s="24" t="n">
        <v>46204</v>
      </c>
      <c r="B3996" t="inlineStr">
        <is>
          <t>Frete de venda</t>
        </is>
      </c>
      <c r="C3996" t="inlineStr">
        <is>
          <t>Frete de venda (para clientes)</t>
        </is>
      </c>
      <c r="D3996" t="inlineStr">
        <is>
          <t>CT-e</t>
        </is>
      </c>
      <c r="E3996" t="inlineStr">
        <is>
          <t>000007761</t>
        </is>
      </c>
      <c r="F3996" t="inlineStr">
        <is>
          <t>R&amp;R TRANSPORTE E LOGISTICA</t>
        </is>
      </c>
      <c r="G3996" s="27" t="n">
        <v>46227</v>
      </c>
      <c r="H3996" s="14" t="n">
        <v>10.38</v>
      </c>
      <c r="I3996" s="14" t="n">
        <v>0</v>
      </c>
      <c r="J3996" s="14" t="n">
        <v>0</v>
      </c>
      <c r="K3996" s="14" t="n">
        <v>0</v>
      </c>
      <c r="L3996" s="14" t="n">
        <v>0</v>
      </c>
      <c r="M3996" s="14">
        <f>IF(B3996="Frete de venda",0,(1-ISNUMBER(SEARCH("556",P3996)))*(I3996*VLOOKUP($B3996,Premissas!$A$4:$E$7,2,0)+J3996*VLOOKUP($B3996,Premissas!$A$4:$E$7,3,0))+K3996*VLOOKUP($B3996,Premissas!$A$4:$E$7,4,0)+L3996*VLOOKUP($B3996,Premissas!$A$4:$E$7,5,0))</f>
        <v/>
      </c>
      <c r="N3996" s="14">
        <f>H3996-M3996</f>
        <v/>
      </c>
      <c r="O3996" t="inlineStr">
        <is>
          <t>Não</t>
        </is>
      </c>
      <c r="P3996" t="inlineStr">
        <is>
          <t>1.350</t>
        </is>
      </c>
    </row>
    <row r="3997">
      <c r="A3997" s="24" t="n">
        <v>46204</v>
      </c>
      <c r="B3997" t="inlineStr">
        <is>
          <t>Frete de venda</t>
        </is>
      </c>
      <c r="C3997" t="inlineStr">
        <is>
          <t>Frete de venda (para clientes)</t>
        </is>
      </c>
      <c r="D3997" t="inlineStr">
        <is>
          <t>CT-e</t>
        </is>
      </c>
      <c r="E3997" t="inlineStr">
        <is>
          <t>000007769</t>
        </is>
      </c>
      <c r="F3997" t="inlineStr">
        <is>
          <t>R&amp;R TRANSPORTE E LOGISTICA</t>
        </is>
      </c>
      <c r="G3997" s="27" t="n">
        <v>46227</v>
      </c>
      <c r="H3997" s="14" t="n">
        <v>36.46</v>
      </c>
      <c r="I3997" s="14" t="n">
        <v>0</v>
      </c>
      <c r="J3997" s="14" t="n">
        <v>0</v>
      </c>
      <c r="K3997" s="14" t="n">
        <v>0</v>
      </c>
      <c r="L3997" s="14" t="n">
        <v>0</v>
      </c>
      <c r="M3997" s="14">
        <f>IF(B3997="Frete de venda",0,(1-ISNUMBER(SEARCH("556",P3997)))*(I3997*VLOOKUP($B3997,Premissas!$A$4:$E$7,2,0)+J3997*VLOOKUP($B3997,Premissas!$A$4:$E$7,3,0))+K3997*VLOOKUP($B3997,Premissas!$A$4:$E$7,4,0)+L3997*VLOOKUP($B3997,Premissas!$A$4:$E$7,5,0))</f>
        <v/>
      </c>
      <c r="N3997" s="14">
        <f>H3997-M3997</f>
        <v/>
      </c>
      <c r="O3997" t="inlineStr">
        <is>
          <t>Não</t>
        </is>
      </c>
      <c r="P3997" t="inlineStr">
        <is>
          <t>1.350</t>
        </is>
      </c>
    </row>
    <row r="3998">
      <c r="A3998" s="24" t="n">
        <v>46204</v>
      </c>
      <c r="B3998" t="inlineStr">
        <is>
          <t>Frete de venda</t>
        </is>
      </c>
      <c r="C3998" t="inlineStr">
        <is>
          <t>Frete de venda (para clientes)</t>
        </is>
      </c>
      <c r="D3998" t="inlineStr">
        <is>
          <t>CT-e</t>
        </is>
      </c>
      <c r="E3998" t="inlineStr">
        <is>
          <t>000007581</t>
        </is>
      </c>
      <c r="F3998" t="inlineStr">
        <is>
          <t>R&amp;R TRANSPORTE E LOGISTICA</t>
        </is>
      </c>
      <c r="G3998" s="27" t="n">
        <v>46212</v>
      </c>
      <c r="H3998" s="14" t="n">
        <v>24.09</v>
      </c>
      <c r="I3998" s="14" t="n">
        <v>0</v>
      </c>
      <c r="J3998" s="14" t="n">
        <v>0</v>
      </c>
      <c r="K3998" s="14" t="n">
        <v>0</v>
      </c>
      <c r="L3998" s="14" t="n">
        <v>0</v>
      </c>
      <c r="M3998" s="14">
        <f>IF(B3998="Frete de venda",0,(1-ISNUMBER(SEARCH("556",P3998)))*(I3998*VLOOKUP($B3998,Premissas!$A$4:$E$7,2,0)+J3998*VLOOKUP($B3998,Premissas!$A$4:$E$7,3,0))+K3998*VLOOKUP($B3998,Premissas!$A$4:$E$7,4,0)+L3998*VLOOKUP($B3998,Premissas!$A$4:$E$7,5,0))</f>
        <v/>
      </c>
      <c r="N3998" s="14">
        <f>H3998-M3998</f>
        <v/>
      </c>
      <c r="O3998" t="inlineStr">
        <is>
          <t>Não</t>
        </is>
      </c>
      <c r="P3998" t="inlineStr">
        <is>
          <t>2.350</t>
        </is>
      </c>
    </row>
    <row r="3999">
      <c r="A3999" s="24" t="n">
        <v>46204</v>
      </c>
      <c r="B3999" t="inlineStr">
        <is>
          <t>Frete de venda</t>
        </is>
      </c>
      <c r="C3999" t="inlineStr">
        <is>
          <t>Frete de venda (para clientes)</t>
        </is>
      </c>
      <c r="D3999" t="inlineStr">
        <is>
          <t>CT-e</t>
        </is>
      </c>
      <c r="E3999" t="inlineStr">
        <is>
          <t>000007579</t>
        </is>
      </c>
      <c r="F3999" t="inlineStr">
        <is>
          <t>R&amp;R TRANSPORTE E LOGISTICA</t>
        </is>
      </c>
      <c r="G3999" s="27" t="n">
        <v>46212</v>
      </c>
      <c r="H3999" s="14" t="n">
        <v>24.09</v>
      </c>
      <c r="I3999" s="14" t="n">
        <v>0</v>
      </c>
      <c r="J3999" s="14" t="n">
        <v>0</v>
      </c>
      <c r="K3999" s="14" t="n">
        <v>0</v>
      </c>
      <c r="L3999" s="14" t="n">
        <v>0</v>
      </c>
      <c r="M3999" s="14">
        <f>IF(B3999="Frete de venda",0,(1-ISNUMBER(SEARCH("556",P3999)))*(I3999*VLOOKUP($B3999,Premissas!$A$4:$E$7,2,0)+J3999*VLOOKUP($B3999,Premissas!$A$4:$E$7,3,0))+K3999*VLOOKUP($B3999,Premissas!$A$4:$E$7,4,0)+L3999*VLOOKUP($B3999,Premissas!$A$4:$E$7,5,0))</f>
        <v/>
      </c>
      <c r="N3999" s="14">
        <f>H3999-M3999</f>
        <v/>
      </c>
      <c r="O3999" t="inlineStr">
        <is>
          <t>Não</t>
        </is>
      </c>
      <c r="P3999" t="inlineStr">
        <is>
          <t>2.350</t>
        </is>
      </c>
    </row>
    <row r="4000">
      <c r="A4000" s="24" t="n">
        <v>46204</v>
      </c>
      <c r="B4000" t="inlineStr">
        <is>
          <t>Frete de venda</t>
        </is>
      </c>
      <c r="C4000" t="inlineStr">
        <is>
          <t>Frete de venda (para clientes)</t>
        </is>
      </c>
      <c r="D4000" t="inlineStr">
        <is>
          <t>CT-e</t>
        </is>
      </c>
      <c r="E4000" t="inlineStr">
        <is>
          <t>000007732</t>
        </is>
      </c>
      <c r="F4000" t="inlineStr">
        <is>
          <t>R&amp;R TRANSPORTE E LOGISTICA</t>
        </is>
      </c>
      <c r="G4000" s="27" t="n">
        <v>46225</v>
      </c>
      <c r="H4000" s="14" t="n">
        <v>33.91</v>
      </c>
      <c r="I4000" s="14" t="n">
        <v>0</v>
      </c>
      <c r="J4000" s="14" t="n">
        <v>0</v>
      </c>
      <c r="K4000" s="14" t="n">
        <v>0</v>
      </c>
      <c r="L4000" s="14" t="n">
        <v>0</v>
      </c>
      <c r="M4000" s="14">
        <f>IF(B4000="Frete de venda",0,(1-ISNUMBER(SEARCH("556",P4000)))*(I4000*VLOOKUP($B4000,Premissas!$A$4:$E$7,2,0)+J4000*VLOOKUP($B4000,Premissas!$A$4:$E$7,3,0))+K4000*VLOOKUP($B4000,Premissas!$A$4:$E$7,4,0)+L4000*VLOOKUP($B4000,Premissas!$A$4:$E$7,5,0))</f>
        <v/>
      </c>
      <c r="N4000" s="14">
        <f>H4000-M4000</f>
        <v/>
      </c>
      <c r="O4000" t="inlineStr">
        <is>
          <t>Não</t>
        </is>
      </c>
      <c r="P4000" t="inlineStr">
        <is>
          <t>2.350</t>
        </is>
      </c>
    </row>
    <row r="4001">
      <c r="A4001" s="24" t="n">
        <v>46204</v>
      </c>
      <c r="B4001" t="inlineStr">
        <is>
          <t>Frete de venda</t>
        </is>
      </c>
      <c r="C4001" t="inlineStr">
        <is>
          <t>Frete de venda (para clientes)</t>
        </is>
      </c>
      <c r="D4001" t="inlineStr">
        <is>
          <t>CT-e</t>
        </is>
      </c>
      <c r="E4001" t="inlineStr">
        <is>
          <t>000026349</t>
        </is>
      </c>
      <c r="F4001" t="inlineStr">
        <is>
          <t>DR CARGO TRANSPORTE DE CARGAS LTDA</t>
        </is>
      </c>
      <c r="G4001" s="27" t="n">
        <v>46233</v>
      </c>
      <c r="H4001" s="14" t="n">
        <v>3044.02</v>
      </c>
      <c r="I4001" s="14" t="n">
        <v>0</v>
      </c>
      <c r="J4001" s="14" t="n">
        <v>365.28</v>
      </c>
      <c r="K4001" s="14" t="n">
        <v>0</v>
      </c>
      <c r="L4001" s="14" t="n">
        <v>0</v>
      </c>
      <c r="M4001" s="14">
        <f>IF(B4001="Frete de venda",0,(1-ISNUMBER(SEARCH("556",P4001)))*(I4001*VLOOKUP($B4001,Premissas!$A$4:$E$7,2,0)+J4001*VLOOKUP($B4001,Premissas!$A$4:$E$7,3,0))+K4001*VLOOKUP($B4001,Premissas!$A$4:$E$7,4,0)+L4001*VLOOKUP($B4001,Premissas!$A$4:$E$7,5,0))</f>
        <v/>
      </c>
      <c r="N4001" s="14">
        <f>H4001-M4001</f>
        <v/>
      </c>
      <c r="O4001" t="inlineStr">
        <is>
          <t>Sim</t>
        </is>
      </c>
      <c r="P4001" t="inlineStr">
        <is>
          <t>2.350</t>
        </is>
      </c>
    </row>
    <row r="4002">
      <c r="A4002" s="24" t="n">
        <v>46204</v>
      </c>
      <c r="B4002" t="inlineStr">
        <is>
          <t>Frete de venda</t>
        </is>
      </c>
      <c r="C4002" t="inlineStr">
        <is>
          <t>Frete de venda (para clientes)</t>
        </is>
      </c>
      <c r="D4002" t="inlineStr">
        <is>
          <t>CT-e</t>
        </is>
      </c>
      <c r="E4002" t="inlineStr">
        <is>
          <t>000007569</t>
        </is>
      </c>
      <c r="F4002" t="inlineStr">
        <is>
          <t>R&amp;R TRANSPORTE E LOGISTICA</t>
        </is>
      </c>
      <c r="G4002" s="27" t="n">
        <v>46212</v>
      </c>
      <c r="H4002" s="14" t="n">
        <v>24.09</v>
      </c>
      <c r="I4002" s="14" t="n">
        <v>0</v>
      </c>
      <c r="J4002" s="14" t="n">
        <v>0</v>
      </c>
      <c r="K4002" s="14" t="n">
        <v>0</v>
      </c>
      <c r="L4002" s="14" t="n">
        <v>0</v>
      </c>
      <c r="M4002" s="14">
        <f>IF(B4002="Frete de venda",0,(1-ISNUMBER(SEARCH("556",P4002)))*(I4002*VLOOKUP($B4002,Premissas!$A$4:$E$7,2,0)+J4002*VLOOKUP($B4002,Premissas!$A$4:$E$7,3,0))+K4002*VLOOKUP($B4002,Premissas!$A$4:$E$7,4,0)+L4002*VLOOKUP($B4002,Premissas!$A$4:$E$7,5,0))</f>
        <v/>
      </c>
      <c r="N4002" s="14">
        <f>H4002-M4002</f>
        <v/>
      </c>
      <c r="O4002" t="inlineStr">
        <is>
          <t>Não</t>
        </is>
      </c>
      <c r="P4002" t="inlineStr">
        <is>
          <t>2.350</t>
        </is>
      </c>
    </row>
    <row r="4003">
      <c r="A4003" s="24" t="n">
        <v>46204</v>
      </c>
      <c r="B4003" t="inlineStr">
        <is>
          <t>Frete de venda</t>
        </is>
      </c>
      <c r="C4003" t="inlineStr">
        <is>
          <t>Frete de venda (para clientes)</t>
        </is>
      </c>
      <c r="D4003" t="inlineStr">
        <is>
          <t>CT-e</t>
        </is>
      </c>
      <c r="E4003" t="inlineStr">
        <is>
          <t>000000710</t>
        </is>
      </c>
      <c r="F4003" t="inlineStr">
        <is>
          <t>REIMAG - REINALDO DOMINGUES BARROS DA SILVA</t>
        </is>
      </c>
      <c r="G4003" s="27" t="n">
        <v>46205</v>
      </c>
      <c r="H4003" s="14" t="n">
        <v>267</v>
      </c>
      <c r="I4003" s="14" t="n">
        <v>0</v>
      </c>
      <c r="J4003" s="14" t="n">
        <v>0</v>
      </c>
      <c r="K4003" s="14" t="n">
        <v>0</v>
      </c>
      <c r="L4003" s="14" t="n">
        <v>0</v>
      </c>
      <c r="M4003" s="14">
        <f>IF(B4003="Frete de venda",0,(1-ISNUMBER(SEARCH("556",P4003)))*(I4003*VLOOKUP($B4003,Premissas!$A$4:$E$7,2,0)+J4003*VLOOKUP($B4003,Premissas!$A$4:$E$7,3,0))+K4003*VLOOKUP($B4003,Premissas!$A$4:$E$7,4,0)+L4003*VLOOKUP($B4003,Premissas!$A$4:$E$7,5,0))</f>
        <v/>
      </c>
      <c r="N4003" s="14">
        <f>H4003-M4003</f>
        <v/>
      </c>
      <c r="O4003" t="inlineStr">
        <is>
          <t>Sim</t>
        </is>
      </c>
      <c r="P4003" t="inlineStr">
        <is>
          <t>2.350</t>
        </is>
      </c>
    </row>
    <row r="4004">
      <c r="A4004" s="24" t="n">
        <v>46204</v>
      </c>
      <c r="B4004" t="inlineStr">
        <is>
          <t>Frete de venda</t>
        </is>
      </c>
      <c r="C4004" t="inlineStr">
        <is>
          <t>Frete de venda (para clientes)</t>
        </is>
      </c>
      <c r="D4004" t="inlineStr">
        <is>
          <t>CT-e</t>
        </is>
      </c>
      <c r="E4004" t="inlineStr">
        <is>
          <t>000007721</t>
        </is>
      </c>
      <c r="F4004" t="inlineStr">
        <is>
          <t>R&amp;R TRANSPORTE E LOGISTICA</t>
        </is>
      </c>
      <c r="G4004" s="27" t="n">
        <v>46225</v>
      </c>
      <c r="H4004" s="14" t="n">
        <v>23.33</v>
      </c>
      <c r="I4004" s="14" t="n">
        <v>0</v>
      </c>
      <c r="J4004" s="14" t="n">
        <v>0</v>
      </c>
      <c r="K4004" s="14" t="n">
        <v>0</v>
      </c>
      <c r="L4004" s="14" t="n">
        <v>0</v>
      </c>
      <c r="M4004" s="14">
        <f>IF(B4004="Frete de venda",0,(1-ISNUMBER(SEARCH("556",P4004)))*(I4004*VLOOKUP($B4004,Premissas!$A$4:$E$7,2,0)+J4004*VLOOKUP($B4004,Premissas!$A$4:$E$7,3,0))+K4004*VLOOKUP($B4004,Premissas!$A$4:$E$7,4,0)+L4004*VLOOKUP($B4004,Premissas!$A$4:$E$7,5,0))</f>
        <v/>
      </c>
      <c r="N4004" s="14">
        <f>H4004-M4004</f>
        <v/>
      </c>
      <c r="O4004" t="inlineStr">
        <is>
          <t>Não</t>
        </is>
      </c>
      <c r="P4004" t="inlineStr">
        <is>
          <t>2.350</t>
        </is>
      </c>
    </row>
    <row r="4005">
      <c r="A4005" s="24" t="n">
        <v>46204</v>
      </c>
      <c r="B4005" t="inlineStr">
        <is>
          <t>Frete de venda</t>
        </is>
      </c>
      <c r="C4005" t="inlineStr">
        <is>
          <t>Frete de venda (para clientes)</t>
        </is>
      </c>
      <c r="D4005" t="inlineStr">
        <is>
          <t>CT-e</t>
        </is>
      </c>
      <c r="E4005" t="inlineStr">
        <is>
          <t>000007616</t>
        </is>
      </c>
      <c r="F4005" t="inlineStr">
        <is>
          <t>R&amp;R TRANSPORTE E LOGISTICA</t>
        </is>
      </c>
      <c r="G4005" s="27" t="n">
        <v>46214</v>
      </c>
      <c r="H4005" s="14" t="n">
        <v>38.61</v>
      </c>
      <c r="I4005" s="14" t="n">
        <v>0</v>
      </c>
      <c r="J4005" s="14" t="n">
        <v>0</v>
      </c>
      <c r="K4005" s="14" t="n">
        <v>0</v>
      </c>
      <c r="L4005" s="14" t="n">
        <v>0</v>
      </c>
      <c r="M4005" s="14">
        <f>IF(B4005="Frete de venda",0,(1-ISNUMBER(SEARCH("556",P4005)))*(I4005*VLOOKUP($B4005,Premissas!$A$4:$E$7,2,0)+J4005*VLOOKUP($B4005,Premissas!$A$4:$E$7,3,0))+K4005*VLOOKUP($B4005,Premissas!$A$4:$E$7,4,0)+L4005*VLOOKUP($B4005,Premissas!$A$4:$E$7,5,0))</f>
        <v/>
      </c>
      <c r="N4005" s="14">
        <f>H4005-M4005</f>
        <v/>
      </c>
      <c r="O4005" t="inlineStr">
        <is>
          <t>Não</t>
        </is>
      </c>
      <c r="P4005" t="inlineStr">
        <is>
          <t>2.350</t>
        </is>
      </c>
    </row>
    <row r="4006">
      <c r="A4006" s="24" t="n">
        <v>46204</v>
      </c>
      <c r="B4006" t="inlineStr">
        <is>
          <t>Frete de venda</t>
        </is>
      </c>
      <c r="C4006" t="inlineStr">
        <is>
          <t>Frete de venda (para clientes)</t>
        </is>
      </c>
      <c r="D4006" t="inlineStr">
        <is>
          <t>CT-e</t>
        </is>
      </c>
      <c r="E4006" t="inlineStr">
        <is>
          <t>000007803</t>
        </is>
      </c>
      <c r="F4006" t="inlineStr">
        <is>
          <t>R&amp;R TRANSPORTE E LOGISTICA</t>
        </is>
      </c>
      <c r="G4006" s="27" t="n">
        <v>46233</v>
      </c>
      <c r="H4006" s="14" t="n">
        <v>30.71</v>
      </c>
      <c r="I4006" s="14" t="n">
        <v>0</v>
      </c>
      <c r="J4006" s="14" t="n">
        <v>0</v>
      </c>
      <c r="K4006" s="14" t="n">
        <v>0</v>
      </c>
      <c r="L4006" s="14" t="n">
        <v>0</v>
      </c>
      <c r="M4006" s="14">
        <f>IF(B4006="Frete de venda",0,(1-ISNUMBER(SEARCH("556",P4006)))*(I4006*VLOOKUP($B4006,Premissas!$A$4:$E$7,2,0)+J4006*VLOOKUP($B4006,Premissas!$A$4:$E$7,3,0))+K4006*VLOOKUP($B4006,Premissas!$A$4:$E$7,4,0)+L4006*VLOOKUP($B4006,Premissas!$A$4:$E$7,5,0))</f>
        <v/>
      </c>
      <c r="N4006" s="14">
        <f>H4006-M4006</f>
        <v/>
      </c>
      <c r="O4006" t="inlineStr">
        <is>
          <t>Não</t>
        </is>
      </c>
      <c r="P4006" t="inlineStr">
        <is>
          <t>1.350</t>
        </is>
      </c>
    </row>
    <row r="4007">
      <c r="A4007" s="24" t="n">
        <v>46204</v>
      </c>
      <c r="B4007" t="inlineStr">
        <is>
          <t>Frete de venda</t>
        </is>
      </c>
      <c r="C4007" t="inlineStr">
        <is>
          <t>Frete de venda (para clientes)</t>
        </is>
      </c>
      <c r="D4007" t="inlineStr">
        <is>
          <t>CT-e</t>
        </is>
      </c>
      <c r="E4007" t="inlineStr">
        <is>
          <t>000007633</t>
        </is>
      </c>
      <c r="F4007" t="inlineStr">
        <is>
          <t>R&amp;R TRANSPORTE E LOGISTICA</t>
        </is>
      </c>
      <c r="G4007" s="27" t="n">
        <v>46217</v>
      </c>
      <c r="H4007" s="14" t="n">
        <v>47.49</v>
      </c>
      <c r="I4007" s="14" t="n">
        <v>0</v>
      </c>
      <c r="J4007" s="14" t="n">
        <v>0</v>
      </c>
      <c r="K4007" s="14" t="n">
        <v>0</v>
      </c>
      <c r="L4007" s="14" t="n">
        <v>0</v>
      </c>
      <c r="M4007" s="14">
        <f>IF(B4007="Frete de venda",0,(1-ISNUMBER(SEARCH("556",P4007)))*(I4007*VLOOKUP($B4007,Premissas!$A$4:$E$7,2,0)+J4007*VLOOKUP($B4007,Premissas!$A$4:$E$7,3,0))+K4007*VLOOKUP($B4007,Premissas!$A$4:$E$7,4,0)+L4007*VLOOKUP($B4007,Premissas!$A$4:$E$7,5,0))</f>
        <v/>
      </c>
      <c r="N4007" s="14">
        <f>H4007-M4007</f>
        <v/>
      </c>
      <c r="O4007" t="inlineStr">
        <is>
          <t>Não</t>
        </is>
      </c>
      <c r="P4007" t="inlineStr">
        <is>
          <t>2.350</t>
        </is>
      </c>
    </row>
    <row r="4008">
      <c r="A4008" s="24" t="n">
        <v>46204</v>
      </c>
      <c r="B4008" t="inlineStr">
        <is>
          <t>Frete de venda</t>
        </is>
      </c>
      <c r="C4008" t="inlineStr">
        <is>
          <t>Frete de venda (para clientes)</t>
        </is>
      </c>
      <c r="D4008" t="inlineStr">
        <is>
          <t>CT-e</t>
        </is>
      </c>
      <c r="E4008" t="inlineStr">
        <is>
          <t>000007552</t>
        </is>
      </c>
      <c r="F4008" t="inlineStr">
        <is>
          <t>R&amp;R TRANSPORTE E LOGISTICA</t>
        </is>
      </c>
      <c r="G4008" s="27" t="n">
        <v>46211</v>
      </c>
      <c r="H4008" s="14" t="n">
        <v>99.36</v>
      </c>
      <c r="I4008" s="14" t="n">
        <v>0</v>
      </c>
      <c r="J4008" s="14" t="n">
        <v>0</v>
      </c>
      <c r="K4008" s="14" t="n">
        <v>0</v>
      </c>
      <c r="L4008" s="14" t="n">
        <v>0</v>
      </c>
      <c r="M4008" s="14">
        <f>IF(B4008="Frete de venda",0,(1-ISNUMBER(SEARCH("556",P4008)))*(I4008*VLOOKUP($B4008,Premissas!$A$4:$E$7,2,0)+J4008*VLOOKUP($B4008,Premissas!$A$4:$E$7,3,0))+K4008*VLOOKUP($B4008,Premissas!$A$4:$E$7,4,0)+L4008*VLOOKUP($B4008,Premissas!$A$4:$E$7,5,0))</f>
        <v/>
      </c>
      <c r="N4008" s="14">
        <f>H4008-M4008</f>
        <v/>
      </c>
      <c r="O4008" t="inlineStr">
        <is>
          <t>Não</t>
        </is>
      </c>
      <c r="P4008" t="inlineStr">
        <is>
          <t>2.350</t>
        </is>
      </c>
    </row>
    <row r="4009">
      <c r="A4009" s="24" t="n">
        <v>46204</v>
      </c>
      <c r="B4009" t="inlineStr">
        <is>
          <t>Frete de venda</t>
        </is>
      </c>
      <c r="C4009" t="inlineStr">
        <is>
          <t>Frete de venda (para clientes)</t>
        </is>
      </c>
      <c r="D4009" t="inlineStr">
        <is>
          <t>CT-e</t>
        </is>
      </c>
      <c r="E4009" t="inlineStr">
        <is>
          <t>000004497</t>
        </is>
      </c>
      <c r="F4009" t="inlineStr">
        <is>
          <t>RAPIDO XAPURI TRANSPORTES E LOGISTICA LTDA</t>
        </is>
      </c>
      <c r="G4009" s="27" t="n">
        <v>46216</v>
      </c>
      <c r="H4009" s="14" t="n">
        <v>6545.7</v>
      </c>
      <c r="I4009" s="14" t="n">
        <v>0</v>
      </c>
      <c r="J4009" s="14" t="n">
        <v>785.48</v>
      </c>
      <c r="K4009" s="14" t="n">
        <v>0</v>
      </c>
      <c r="L4009" s="14" t="n">
        <v>0</v>
      </c>
      <c r="M4009" s="14">
        <f>IF(B4009="Frete de venda",0,(1-ISNUMBER(SEARCH("556",P4009)))*(I4009*VLOOKUP($B4009,Premissas!$A$4:$E$7,2,0)+J4009*VLOOKUP($B4009,Premissas!$A$4:$E$7,3,0))+K4009*VLOOKUP($B4009,Premissas!$A$4:$E$7,4,0)+L4009*VLOOKUP($B4009,Premissas!$A$4:$E$7,5,0))</f>
        <v/>
      </c>
      <c r="N4009" s="14">
        <f>H4009-M4009</f>
        <v/>
      </c>
      <c r="O4009" t="inlineStr">
        <is>
          <t>Sim</t>
        </is>
      </c>
      <c r="P4009" t="inlineStr">
        <is>
          <t>2.350</t>
        </is>
      </c>
    </row>
    <row r="4010">
      <c r="A4010" s="24" t="n">
        <v>46204</v>
      </c>
      <c r="B4010" t="inlineStr">
        <is>
          <t>Frete de venda</t>
        </is>
      </c>
      <c r="C4010" t="inlineStr">
        <is>
          <t>Frete de venda (para clientes)</t>
        </is>
      </c>
      <c r="D4010" t="inlineStr">
        <is>
          <t>CT-e</t>
        </is>
      </c>
      <c r="E4010" t="inlineStr">
        <is>
          <t>000007689</t>
        </is>
      </c>
      <c r="F4010" t="inlineStr">
        <is>
          <t>R&amp;R TRANSPORTE E LOGISTICA</t>
        </is>
      </c>
      <c r="G4010" s="27" t="n">
        <v>46223</v>
      </c>
      <c r="H4010" s="14" t="n">
        <v>100</v>
      </c>
      <c r="I4010" s="14" t="n">
        <v>0</v>
      </c>
      <c r="J4010" s="14" t="n">
        <v>0</v>
      </c>
      <c r="K4010" s="14" t="n">
        <v>0</v>
      </c>
      <c r="L4010" s="14" t="n">
        <v>0</v>
      </c>
      <c r="M4010" s="14">
        <f>IF(B4010="Frete de venda",0,(1-ISNUMBER(SEARCH("556",P4010)))*(I4010*VLOOKUP($B4010,Premissas!$A$4:$E$7,2,0)+J4010*VLOOKUP($B4010,Premissas!$A$4:$E$7,3,0))+K4010*VLOOKUP($B4010,Premissas!$A$4:$E$7,4,0)+L4010*VLOOKUP($B4010,Premissas!$A$4:$E$7,5,0))</f>
        <v/>
      </c>
      <c r="N4010" s="14">
        <f>H4010-M4010</f>
        <v/>
      </c>
      <c r="O4010" t="inlineStr">
        <is>
          <t>Não</t>
        </is>
      </c>
      <c r="P4010" t="inlineStr">
        <is>
          <t>2.350</t>
        </is>
      </c>
    </row>
    <row r="4011">
      <c r="A4011" s="24" t="n">
        <v>46204</v>
      </c>
      <c r="B4011" t="inlineStr">
        <is>
          <t>Frete de venda</t>
        </is>
      </c>
      <c r="C4011" t="inlineStr">
        <is>
          <t>Frete de venda (para clientes)</t>
        </is>
      </c>
      <c r="D4011" t="inlineStr">
        <is>
          <t>CT-e</t>
        </is>
      </c>
      <c r="E4011" t="inlineStr">
        <is>
          <t>000007744</t>
        </is>
      </c>
      <c r="F4011" t="inlineStr">
        <is>
          <t>R&amp;R TRANSPORTE E LOGISTICA</t>
        </is>
      </c>
      <c r="G4011" s="27" t="n">
        <v>46226</v>
      </c>
      <c r="H4011" s="14" t="n">
        <v>48.12</v>
      </c>
      <c r="I4011" s="14" t="n">
        <v>0</v>
      </c>
      <c r="J4011" s="14" t="n">
        <v>0</v>
      </c>
      <c r="K4011" s="14" t="n">
        <v>0</v>
      </c>
      <c r="L4011" s="14" t="n">
        <v>0</v>
      </c>
      <c r="M4011" s="14">
        <f>IF(B4011="Frete de venda",0,(1-ISNUMBER(SEARCH("556",P4011)))*(I4011*VLOOKUP($B4011,Premissas!$A$4:$E$7,2,0)+J4011*VLOOKUP($B4011,Premissas!$A$4:$E$7,3,0))+K4011*VLOOKUP($B4011,Premissas!$A$4:$E$7,4,0)+L4011*VLOOKUP($B4011,Premissas!$A$4:$E$7,5,0))</f>
        <v/>
      </c>
      <c r="N4011" s="14">
        <f>H4011-M4011</f>
        <v/>
      </c>
      <c r="O4011" t="inlineStr">
        <is>
          <t>Não</t>
        </is>
      </c>
      <c r="P4011" t="inlineStr">
        <is>
          <t>2.350</t>
        </is>
      </c>
    </row>
    <row r="4012">
      <c r="A4012" s="24" t="n">
        <v>46204</v>
      </c>
      <c r="B4012" t="inlineStr">
        <is>
          <t>Frete de venda</t>
        </is>
      </c>
      <c r="C4012" t="inlineStr">
        <is>
          <t>Frete de venda (para clientes)</t>
        </is>
      </c>
      <c r="D4012" t="inlineStr">
        <is>
          <t>CT-e</t>
        </is>
      </c>
      <c r="E4012" t="inlineStr">
        <is>
          <t>000007809</t>
        </is>
      </c>
      <c r="F4012" t="inlineStr">
        <is>
          <t>R&amp;R TRANSPORTE E LOGISTICA</t>
        </is>
      </c>
      <c r="G4012" s="27" t="n">
        <v>46234</v>
      </c>
      <c r="H4012" s="14" t="n">
        <v>39.7</v>
      </c>
      <c r="I4012" s="14" t="n">
        <v>0</v>
      </c>
      <c r="J4012" s="14" t="n">
        <v>0</v>
      </c>
      <c r="K4012" s="14" t="n">
        <v>0</v>
      </c>
      <c r="L4012" s="14" t="n">
        <v>0</v>
      </c>
      <c r="M4012" s="14">
        <f>IF(B4012="Frete de venda",0,(1-ISNUMBER(SEARCH("556",P4012)))*(I4012*VLOOKUP($B4012,Premissas!$A$4:$E$7,2,0)+J4012*VLOOKUP($B4012,Premissas!$A$4:$E$7,3,0))+K4012*VLOOKUP($B4012,Premissas!$A$4:$E$7,4,0)+L4012*VLOOKUP($B4012,Premissas!$A$4:$E$7,5,0))</f>
        <v/>
      </c>
      <c r="N4012" s="14">
        <f>H4012-M4012</f>
        <v/>
      </c>
      <c r="O4012" t="inlineStr">
        <is>
          <t>Não</t>
        </is>
      </c>
      <c r="P4012" t="inlineStr">
        <is>
          <t>2.350</t>
        </is>
      </c>
    </row>
    <row r="4013">
      <c r="A4013" s="24" t="n">
        <v>46204</v>
      </c>
      <c r="B4013" t="inlineStr">
        <is>
          <t>Frete de venda</t>
        </is>
      </c>
      <c r="C4013" t="inlineStr">
        <is>
          <t>Frete de venda (para clientes)</t>
        </is>
      </c>
      <c r="D4013" t="inlineStr">
        <is>
          <t>CT-e</t>
        </is>
      </c>
      <c r="E4013" t="inlineStr">
        <is>
          <t>000007631</t>
        </is>
      </c>
      <c r="F4013" t="inlineStr">
        <is>
          <t>R&amp;R TRANSPORTE E LOGISTICA</t>
        </is>
      </c>
      <c r="G4013" s="27" t="n">
        <v>46217</v>
      </c>
      <c r="H4013" s="14" t="n">
        <v>42.73</v>
      </c>
      <c r="I4013" s="14" t="n">
        <v>0</v>
      </c>
      <c r="J4013" s="14" t="n">
        <v>0</v>
      </c>
      <c r="K4013" s="14" t="n">
        <v>0</v>
      </c>
      <c r="L4013" s="14" t="n">
        <v>0</v>
      </c>
      <c r="M4013" s="14">
        <f>IF(B4013="Frete de venda",0,(1-ISNUMBER(SEARCH("556",P4013)))*(I4013*VLOOKUP($B4013,Premissas!$A$4:$E$7,2,0)+J4013*VLOOKUP($B4013,Premissas!$A$4:$E$7,3,0))+K4013*VLOOKUP($B4013,Premissas!$A$4:$E$7,4,0)+L4013*VLOOKUP($B4013,Premissas!$A$4:$E$7,5,0))</f>
        <v/>
      </c>
      <c r="N4013" s="14">
        <f>H4013-M4013</f>
        <v/>
      </c>
      <c r="O4013" t="inlineStr">
        <is>
          <t>Não</t>
        </is>
      </c>
      <c r="P4013" t="inlineStr">
        <is>
          <t>2.350</t>
        </is>
      </c>
    </row>
    <row r="4014">
      <c r="A4014" s="24" t="n">
        <v>46204</v>
      </c>
      <c r="B4014" t="inlineStr">
        <is>
          <t>Frete de venda</t>
        </is>
      </c>
      <c r="C4014" t="inlineStr">
        <is>
          <t>Frete de venda (para clientes)</t>
        </is>
      </c>
      <c r="D4014" t="inlineStr">
        <is>
          <t>CT-e</t>
        </is>
      </c>
      <c r="E4014" t="inlineStr">
        <is>
          <t>000007662</t>
        </is>
      </c>
      <c r="F4014" t="inlineStr">
        <is>
          <t>R&amp;R TRANSPORTE E LOGISTICA</t>
        </is>
      </c>
      <c r="G4014" s="27" t="n">
        <v>46219</v>
      </c>
      <c r="H4014" s="14" t="n">
        <v>58.2</v>
      </c>
      <c r="I4014" s="14" t="n">
        <v>0</v>
      </c>
      <c r="J4014" s="14" t="n">
        <v>0</v>
      </c>
      <c r="K4014" s="14" t="n">
        <v>0</v>
      </c>
      <c r="L4014" s="14" t="n">
        <v>0</v>
      </c>
      <c r="M4014" s="14">
        <f>IF(B4014="Frete de venda",0,(1-ISNUMBER(SEARCH("556",P4014)))*(I4014*VLOOKUP($B4014,Premissas!$A$4:$E$7,2,0)+J4014*VLOOKUP($B4014,Premissas!$A$4:$E$7,3,0))+K4014*VLOOKUP($B4014,Premissas!$A$4:$E$7,4,0)+L4014*VLOOKUP($B4014,Premissas!$A$4:$E$7,5,0))</f>
        <v/>
      </c>
      <c r="N4014" s="14">
        <f>H4014-M4014</f>
        <v/>
      </c>
      <c r="O4014" t="inlineStr">
        <is>
          <t>Não</t>
        </is>
      </c>
      <c r="P4014" t="inlineStr">
        <is>
          <t>2.350</t>
        </is>
      </c>
    </row>
    <row r="4015">
      <c r="A4015" s="24" t="n">
        <v>46204</v>
      </c>
      <c r="B4015" t="inlineStr">
        <is>
          <t>Frete de venda</t>
        </is>
      </c>
      <c r="C4015" t="inlineStr">
        <is>
          <t>Frete de venda (para clientes)</t>
        </is>
      </c>
      <c r="D4015" t="inlineStr">
        <is>
          <t>CT-e</t>
        </is>
      </c>
      <c r="E4015" t="inlineStr">
        <is>
          <t>000007700</t>
        </is>
      </c>
      <c r="F4015" t="inlineStr">
        <is>
          <t>R&amp;R TRANSPORTE E LOGISTICA</t>
        </is>
      </c>
      <c r="G4015" s="27" t="n">
        <v>46224</v>
      </c>
      <c r="H4015" s="14" t="n">
        <v>39.17</v>
      </c>
      <c r="I4015" s="14" t="n">
        <v>0</v>
      </c>
      <c r="J4015" s="14" t="n">
        <v>0</v>
      </c>
      <c r="K4015" s="14" t="n">
        <v>0</v>
      </c>
      <c r="L4015" s="14" t="n">
        <v>0</v>
      </c>
      <c r="M4015" s="14">
        <f>IF(B4015="Frete de venda",0,(1-ISNUMBER(SEARCH("556",P4015)))*(I4015*VLOOKUP($B4015,Premissas!$A$4:$E$7,2,0)+J4015*VLOOKUP($B4015,Premissas!$A$4:$E$7,3,0))+K4015*VLOOKUP($B4015,Premissas!$A$4:$E$7,4,0)+L4015*VLOOKUP($B4015,Premissas!$A$4:$E$7,5,0))</f>
        <v/>
      </c>
      <c r="N4015" s="14">
        <f>H4015-M4015</f>
        <v/>
      </c>
      <c r="O4015" t="inlineStr">
        <is>
          <t>Não</t>
        </is>
      </c>
      <c r="P4015" t="inlineStr">
        <is>
          <t>2.350</t>
        </is>
      </c>
    </row>
    <row r="4016">
      <c r="A4016" s="24" t="n">
        <v>46204</v>
      </c>
      <c r="B4016" t="inlineStr">
        <is>
          <t>Frete de venda</t>
        </is>
      </c>
      <c r="C4016" t="inlineStr">
        <is>
          <t>Frete de venda (para clientes)</t>
        </is>
      </c>
      <c r="D4016" t="inlineStr">
        <is>
          <t>CT-e</t>
        </is>
      </c>
      <c r="E4016" t="inlineStr">
        <is>
          <t>000007813</t>
        </is>
      </c>
      <c r="F4016" t="inlineStr">
        <is>
          <t>R&amp;R TRANSPORTE E LOGISTICA</t>
        </is>
      </c>
      <c r="G4016" s="27" t="n">
        <v>46234</v>
      </c>
      <c r="H4016" s="14" t="n">
        <v>35.46</v>
      </c>
      <c r="I4016" s="14" t="n">
        <v>0</v>
      </c>
      <c r="J4016" s="14" t="n">
        <v>0</v>
      </c>
      <c r="K4016" s="14" t="n">
        <v>0</v>
      </c>
      <c r="L4016" s="14" t="n">
        <v>0</v>
      </c>
      <c r="M4016" s="14">
        <f>IF(B4016="Frete de venda",0,(1-ISNUMBER(SEARCH("556",P4016)))*(I4016*VLOOKUP($B4016,Premissas!$A$4:$E$7,2,0)+J4016*VLOOKUP($B4016,Premissas!$A$4:$E$7,3,0))+K4016*VLOOKUP($B4016,Premissas!$A$4:$E$7,4,0)+L4016*VLOOKUP($B4016,Premissas!$A$4:$E$7,5,0))</f>
        <v/>
      </c>
      <c r="N4016" s="14">
        <f>H4016-M4016</f>
        <v/>
      </c>
      <c r="O4016" t="inlineStr">
        <is>
          <t>Não</t>
        </is>
      </c>
      <c r="P4016" t="inlineStr">
        <is>
          <t>2.350</t>
        </is>
      </c>
    </row>
    <row r="4017">
      <c r="A4017" s="24" t="n">
        <v>46204</v>
      </c>
      <c r="B4017" t="inlineStr">
        <is>
          <t>Frete de venda</t>
        </is>
      </c>
      <c r="C4017" t="inlineStr">
        <is>
          <t>Frete de venda (para clientes)</t>
        </is>
      </c>
      <c r="D4017" t="inlineStr">
        <is>
          <t>CT-e</t>
        </is>
      </c>
      <c r="E4017" t="inlineStr">
        <is>
          <t>000007692</t>
        </is>
      </c>
      <c r="F4017" t="inlineStr">
        <is>
          <t>R&amp;R TRANSPORTE E LOGISTICA</t>
        </is>
      </c>
      <c r="G4017" s="27" t="n">
        <v>46223</v>
      </c>
      <c r="H4017" s="14" t="n">
        <v>32.08</v>
      </c>
      <c r="I4017" s="14" t="n">
        <v>0</v>
      </c>
      <c r="J4017" s="14" t="n">
        <v>0</v>
      </c>
      <c r="K4017" s="14" t="n">
        <v>0</v>
      </c>
      <c r="L4017" s="14" t="n">
        <v>0</v>
      </c>
      <c r="M4017" s="14">
        <f>IF(B4017="Frete de venda",0,(1-ISNUMBER(SEARCH("556",P4017)))*(I4017*VLOOKUP($B4017,Premissas!$A$4:$E$7,2,0)+J4017*VLOOKUP($B4017,Premissas!$A$4:$E$7,3,0))+K4017*VLOOKUP($B4017,Premissas!$A$4:$E$7,4,0)+L4017*VLOOKUP($B4017,Premissas!$A$4:$E$7,5,0))</f>
        <v/>
      </c>
      <c r="N4017" s="14">
        <f>H4017-M4017</f>
        <v/>
      </c>
      <c r="O4017" t="inlineStr">
        <is>
          <t>Não</t>
        </is>
      </c>
      <c r="P4017" t="inlineStr">
        <is>
          <t>2.350</t>
        </is>
      </c>
    </row>
    <row r="4018">
      <c r="A4018" s="24" t="n">
        <v>46204</v>
      </c>
      <c r="B4018" t="inlineStr">
        <is>
          <t>Frete de venda</t>
        </is>
      </c>
      <c r="C4018" t="inlineStr">
        <is>
          <t>Frete de venda (para clientes)</t>
        </is>
      </c>
      <c r="D4018" t="inlineStr">
        <is>
          <t>CT-e</t>
        </is>
      </c>
      <c r="E4018" t="inlineStr">
        <is>
          <t>000007598</t>
        </is>
      </c>
      <c r="F4018" t="inlineStr">
        <is>
          <t>R&amp;R TRANSPORTE E LOGISTICA</t>
        </is>
      </c>
      <c r="G4018" s="27" t="n">
        <v>46213</v>
      </c>
      <c r="H4018" s="14" t="n">
        <v>73.77</v>
      </c>
      <c r="I4018" s="14" t="n">
        <v>0</v>
      </c>
      <c r="J4018" s="14" t="n">
        <v>0</v>
      </c>
      <c r="K4018" s="14" t="n">
        <v>0</v>
      </c>
      <c r="L4018" s="14" t="n">
        <v>0</v>
      </c>
      <c r="M4018" s="14">
        <f>IF(B4018="Frete de venda",0,(1-ISNUMBER(SEARCH("556",P4018)))*(I4018*VLOOKUP($B4018,Premissas!$A$4:$E$7,2,0)+J4018*VLOOKUP($B4018,Premissas!$A$4:$E$7,3,0))+K4018*VLOOKUP($B4018,Premissas!$A$4:$E$7,4,0)+L4018*VLOOKUP($B4018,Premissas!$A$4:$E$7,5,0))</f>
        <v/>
      </c>
      <c r="N4018" s="14">
        <f>H4018-M4018</f>
        <v/>
      </c>
      <c r="O4018" t="inlineStr">
        <is>
          <t>Não</t>
        </is>
      </c>
      <c r="P4018" t="inlineStr">
        <is>
          <t>2.350</t>
        </is>
      </c>
    </row>
    <row r="4019">
      <c r="A4019" s="24" t="n">
        <v>46204</v>
      </c>
      <c r="B4019" t="inlineStr">
        <is>
          <t>Frete de venda</t>
        </is>
      </c>
      <c r="C4019" t="inlineStr">
        <is>
          <t>Frete de venda (para clientes)</t>
        </is>
      </c>
      <c r="D4019" t="inlineStr">
        <is>
          <t>CT-e</t>
        </is>
      </c>
      <c r="E4019" t="inlineStr">
        <is>
          <t>000007554</t>
        </is>
      </c>
      <c r="F4019" t="inlineStr">
        <is>
          <t>R&amp;R TRANSPORTE E LOGISTICA</t>
        </is>
      </c>
      <c r="G4019" s="27" t="n">
        <v>46211</v>
      </c>
      <c r="H4019" s="14" t="n">
        <v>51.32</v>
      </c>
      <c r="I4019" s="14" t="n">
        <v>0</v>
      </c>
      <c r="J4019" s="14" t="n">
        <v>0</v>
      </c>
      <c r="K4019" s="14" t="n">
        <v>0</v>
      </c>
      <c r="L4019" s="14" t="n">
        <v>0</v>
      </c>
      <c r="M4019" s="14">
        <f>IF(B4019="Frete de venda",0,(1-ISNUMBER(SEARCH("556",P4019)))*(I4019*VLOOKUP($B4019,Premissas!$A$4:$E$7,2,0)+J4019*VLOOKUP($B4019,Premissas!$A$4:$E$7,3,0))+K4019*VLOOKUP($B4019,Premissas!$A$4:$E$7,4,0)+L4019*VLOOKUP($B4019,Premissas!$A$4:$E$7,5,0))</f>
        <v/>
      </c>
      <c r="N4019" s="14">
        <f>H4019-M4019</f>
        <v/>
      </c>
      <c r="O4019" t="inlineStr">
        <is>
          <t>Não</t>
        </is>
      </c>
      <c r="P4019" t="inlineStr">
        <is>
          <t>2.350</t>
        </is>
      </c>
    </row>
    <row r="4020">
      <c r="A4020" s="24" t="n">
        <v>46204</v>
      </c>
      <c r="B4020" t="inlineStr">
        <is>
          <t>Frete de venda</t>
        </is>
      </c>
      <c r="C4020" t="inlineStr">
        <is>
          <t>Frete de venda (para clientes)</t>
        </is>
      </c>
      <c r="D4020" t="inlineStr">
        <is>
          <t>CT-e</t>
        </is>
      </c>
      <c r="E4020" t="inlineStr">
        <is>
          <t>000007735</t>
        </is>
      </c>
      <c r="F4020" t="inlineStr">
        <is>
          <t>R&amp;R TRANSPORTE E LOGISTICA</t>
        </is>
      </c>
      <c r="G4020" s="27" t="n">
        <v>46225</v>
      </c>
      <c r="H4020" s="14" t="n">
        <v>55.8</v>
      </c>
      <c r="I4020" s="14" t="n">
        <v>0</v>
      </c>
      <c r="J4020" s="14" t="n">
        <v>0</v>
      </c>
      <c r="K4020" s="14" t="n">
        <v>0</v>
      </c>
      <c r="L4020" s="14" t="n">
        <v>0</v>
      </c>
      <c r="M4020" s="14">
        <f>IF(B4020="Frete de venda",0,(1-ISNUMBER(SEARCH("556",P4020)))*(I4020*VLOOKUP($B4020,Premissas!$A$4:$E$7,2,0)+J4020*VLOOKUP($B4020,Premissas!$A$4:$E$7,3,0))+K4020*VLOOKUP($B4020,Premissas!$A$4:$E$7,4,0)+L4020*VLOOKUP($B4020,Premissas!$A$4:$E$7,5,0))</f>
        <v/>
      </c>
      <c r="N4020" s="14">
        <f>H4020-M4020</f>
        <v/>
      </c>
      <c r="O4020" t="inlineStr">
        <is>
          <t>Não</t>
        </is>
      </c>
      <c r="P4020" t="inlineStr">
        <is>
          <t>2.350</t>
        </is>
      </c>
    </row>
    <row r="4021">
      <c r="A4021" s="24" t="n">
        <v>46204</v>
      </c>
      <c r="B4021" t="inlineStr">
        <is>
          <t>Frete de venda</t>
        </is>
      </c>
      <c r="C4021" t="inlineStr">
        <is>
          <t>Frete de venda (para clientes)</t>
        </is>
      </c>
      <c r="D4021" t="inlineStr">
        <is>
          <t>CT-e</t>
        </is>
      </c>
      <c r="E4021" t="inlineStr">
        <is>
          <t>000007801</t>
        </is>
      </c>
      <c r="F4021" t="inlineStr">
        <is>
          <t>R&amp;R TRANSPORTE E LOGISTICA</t>
        </is>
      </c>
      <c r="G4021" s="27" t="n">
        <v>46233</v>
      </c>
      <c r="H4021" s="14" t="n">
        <v>30.77</v>
      </c>
      <c r="I4021" s="14" t="n">
        <v>0</v>
      </c>
      <c r="J4021" s="14" t="n">
        <v>0</v>
      </c>
      <c r="K4021" s="14" t="n">
        <v>0</v>
      </c>
      <c r="L4021" s="14" t="n">
        <v>0</v>
      </c>
      <c r="M4021" s="14">
        <f>IF(B4021="Frete de venda",0,(1-ISNUMBER(SEARCH("556",P4021)))*(I4021*VLOOKUP($B4021,Premissas!$A$4:$E$7,2,0)+J4021*VLOOKUP($B4021,Premissas!$A$4:$E$7,3,0))+K4021*VLOOKUP($B4021,Premissas!$A$4:$E$7,4,0)+L4021*VLOOKUP($B4021,Premissas!$A$4:$E$7,5,0))</f>
        <v/>
      </c>
      <c r="N4021" s="14">
        <f>H4021-M4021</f>
        <v/>
      </c>
      <c r="O4021" t="inlineStr">
        <is>
          <t>Não</t>
        </is>
      </c>
      <c r="P4021" t="inlineStr">
        <is>
          <t>1.350</t>
        </is>
      </c>
    </row>
    <row r="4022">
      <c r="A4022" s="24" t="n">
        <v>46204</v>
      </c>
      <c r="B4022" t="inlineStr">
        <is>
          <t>Frete de venda</t>
        </is>
      </c>
      <c r="C4022" t="inlineStr">
        <is>
          <t>Frete de venda (para clientes)</t>
        </is>
      </c>
      <c r="D4022" t="inlineStr">
        <is>
          <t>CT-e</t>
        </is>
      </c>
      <c r="E4022" t="inlineStr">
        <is>
          <t>000007600</t>
        </is>
      </c>
      <c r="F4022" t="inlineStr">
        <is>
          <t>R&amp;R TRANSPORTE E LOGISTICA</t>
        </is>
      </c>
      <c r="G4022" s="27" t="n">
        <v>46213</v>
      </c>
      <c r="H4022" s="14" t="n">
        <v>64.17</v>
      </c>
      <c r="I4022" s="14" t="n">
        <v>0</v>
      </c>
      <c r="J4022" s="14" t="n">
        <v>0</v>
      </c>
      <c r="K4022" s="14" t="n">
        <v>0</v>
      </c>
      <c r="L4022" s="14" t="n">
        <v>0</v>
      </c>
      <c r="M4022" s="14">
        <f>IF(B4022="Frete de venda",0,(1-ISNUMBER(SEARCH("556",P4022)))*(I4022*VLOOKUP($B4022,Premissas!$A$4:$E$7,2,0)+J4022*VLOOKUP($B4022,Premissas!$A$4:$E$7,3,0))+K4022*VLOOKUP($B4022,Premissas!$A$4:$E$7,4,0)+L4022*VLOOKUP($B4022,Premissas!$A$4:$E$7,5,0))</f>
        <v/>
      </c>
      <c r="N4022" s="14">
        <f>H4022-M4022</f>
        <v/>
      </c>
      <c r="O4022" t="inlineStr">
        <is>
          <t>Não</t>
        </is>
      </c>
      <c r="P4022" t="inlineStr">
        <is>
          <t>2.350</t>
        </is>
      </c>
    </row>
    <row r="4023">
      <c r="A4023" s="24" t="n">
        <v>46204</v>
      </c>
      <c r="B4023" t="inlineStr">
        <is>
          <t>Frete de venda</t>
        </is>
      </c>
      <c r="C4023" t="inlineStr">
        <is>
          <t>Frete de venda (para clientes)</t>
        </is>
      </c>
      <c r="D4023" t="inlineStr">
        <is>
          <t>CT-e</t>
        </is>
      </c>
      <c r="E4023" t="inlineStr">
        <is>
          <t>000025071</t>
        </is>
      </c>
      <c r="F4023" t="inlineStr">
        <is>
          <t>TRANSPORTE OLIVEIRA E MELLOI - IDEALIZA TRANSPORTES</t>
        </is>
      </c>
      <c r="G4023" s="27" t="n">
        <v>46216</v>
      </c>
      <c r="H4023" s="14" t="n">
        <v>1210.1</v>
      </c>
      <c r="I4023" s="14" t="n">
        <v>0</v>
      </c>
      <c r="J4023" s="14" t="n">
        <v>145.21</v>
      </c>
      <c r="K4023" s="14" t="n">
        <v>0</v>
      </c>
      <c r="L4023" s="14" t="n">
        <v>0</v>
      </c>
      <c r="M4023" s="14">
        <f>IF(B4023="Frete de venda",0,(1-ISNUMBER(SEARCH("556",P4023)))*(I4023*VLOOKUP($B4023,Premissas!$A$4:$E$7,2,0)+J4023*VLOOKUP($B4023,Premissas!$A$4:$E$7,3,0))+K4023*VLOOKUP($B4023,Premissas!$A$4:$E$7,4,0)+L4023*VLOOKUP($B4023,Premissas!$A$4:$E$7,5,0))</f>
        <v/>
      </c>
      <c r="N4023" s="14">
        <f>H4023-M4023</f>
        <v/>
      </c>
      <c r="O4023" t="inlineStr">
        <is>
          <t>Sim</t>
        </is>
      </c>
      <c r="P4023" t="inlineStr">
        <is>
          <t>2.350</t>
        </is>
      </c>
    </row>
    <row r="4024">
      <c r="A4024" s="24" t="n">
        <v>46204</v>
      </c>
      <c r="B4024" t="inlineStr">
        <is>
          <t>Frete de venda</t>
        </is>
      </c>
      <c r="C4024" t="inlineStr">
        <is>
          <t>Frete de venda (para clientes)</t>
        </is>
      </c>
      <c r="D4024" t="inlineStr">
        <is>
          <t>CT-e</t>
        </is>
      </c>
      <c r="E4024" t="inlineStr">
        <is>
          <t>000007661</t>
        </is>
      </c>
      <c r="F4024" t="inlineStr">
        <is>
          <t>R&amp;R TRANSPORTE E LOGISTICA</t>
        </is>
      </c>
      <c r="G4024" s="27" t="n">
        <v>46219</v>
      </c>
      <c r="H4024" s="14" t="n">
        <v>58.2</v>
      </c>
      <c r="I4024" s="14" t="n">
        <v>0</v>
      </c>
      <c r="J4024" s="14" t="n">
        <v>0</v>
      </c>
      <c r="K4024" s="14" t="n">
        <v>0</v>
      </c>
      <c r="L4024" s="14" t="n">
        <v>0</v>
      </c>
      <c r="M4024" s="14">
        <f>IF(B4024="Frete de venda",0,(1-ISNUMBER(SEARCH("556",P4024)))*(I4024*VLOOKUP($B4024,Premissas!$A$4:$E$7,2,0)+J4024*VLOOKUP($B4024,Premissas!$A$4:$E$7,3,0))+K4024*VLOOKUP($B4024,Premissas!$A$4:$E$7,4,0)+L4024*VLOOKUP($B4024,Premissas!$A$4:$E$7,5,0))</f>
        <v/>
      </c>
      <c r="N4024" s="14">
        <f>H4024-M4024</f>
        <v/>
      </c>
      <c r="O4024" t="inlineStr">
        <is>
          <t>Não</t>
        </is>
      </c>
      <c r="P4024" t="inlineStr">
        <is>
          <t>2.350</t>
        </is>
      </c>
    </row>
    <row r="4025">
      <c r="A4025" s="24" t="n">
        <v>46204</v>
      </c>
      <c r="B4025" t="inlineStr">
        <is>
          <t>Frete de venda</t>
        </is>
      </c>
      <c r="C4025" t="inlineStr">
        <is>
          <t>Frete de venda (para clientes)</t>
        </is>
      </c>
      <c r="D4025" t="inlineStr">
        <is>
          <t>CT-e</t>
        </is>
      </c>
      <c r="E4025" t="inlineStr">
        <is>
          <t>000007730</t>
        </is>
      </c>
      <c r="F4025" t="inlineStr">
        <is>
          <t>R&amp;R TRANSPORTE E LOGISTICA</t>
        </is>
      </c>
      <c r="G4025" s="27" t="n">
        <v>46225</v>
      </c>
      <c r="H4025" s="14" t="n">
        <v>28.44</v>
      </c>
      <c r="I4025" s="14" t="n">
        <v>0</v>
      </c>
      <c r="J4025" s="14" t="n">
        <v>0</v>
      </c>
      <c r="K4025" s="14" t="n">
        <v>0</v>
      </c>
      <c r="L4025" s="14" t="n">
        <v>0</v>
      </c>
      <c r="M4025" s="14">
        <f>IF(B4025="Frete de venda",0,(1-ISNUMBER(SEARCH("556",P4025)))*(I4025*VLOOKUP($B4025,Premissas!$A$4:$E$7,2,0)+J4025*VLOOKUP($B4025,Premissas!$A$4:$E$7,3,0))+K4025*VLOOKUP($B4025,Premissas!$A$4:$E$7,4,0)+L4025*VLOOKUP($B4025,Premissas!$A$4:$E$7,5,0))</f>
        <v/>
      </c>
      <c r="N4025" s="14">
        <f>H4025-M4025</f>
        <v/>
      </c>
      <c r="O4025" t="inlineStr">
        <is>
          <t>Não</t>
        </is>
      </c>
      <c r="P4025" t="inlineStr">
        <is>
          <t>2.350</t>
        </is>
      </c>
    </row>
    <row r="4026">
      <c r="A4026" s="24" t="n">
        <v>46204</v>
      </c>
      <c r="B4026" t="inlineStr">
        <is>
          <t>Frete de venda</t>
        </is>
      </c>
      <c r="C4026" t="inlineStr">
        <is>
          <t>Frete de venda (para clientes)</t>
        </is>
      </c>
      <c r="D4026" t="inlineStr">
        <is>
          <t>CT-e</t>
        </is>
      </c>
      <c r="E4026" t="inlineStr">
        <is>
          <t>000007582</t>
        </is>
      </c>
      <c r="F4026" t="inlineStr">
        <is>
          <t>R&amp;R TRANSPORTE E LOGISTICA</t>
        </is>
      </c>
      <c r="G4026" s="27" t="n">
        <v>46212</v>
      </c>
      <c r="H4026" s="14" t="n">
        <v>24.09</v>
      </c>
      <c r="I4026" s="14" t="n">
        <v>0</v>
      </c>
      <c r="J4026" s="14" t="n">
        <v>0</v>
      </c>
      <c r="K4026" s="14" t="n">
        <v>0</v>
      </c>
      <c r="L4026" s="14" t="n">
        <v>0</v>
      </c>
      <c r="M4026" s="14">
        <f>IF(B4026="Frete de venda",0,(1-ISNUMBER(SEARCH("556",P4026)))*(I4026*VLOOKUP($B4026,Premissas!$A$4:$E$7,2,0)+J4026*VLOOKUP($B4026,Premissas!$A$4:$E$7,3,0))+K4026*VLOOKUP($B4026,Premissas!$A$4:$E$7,4,0)+L4026*VLOOKUP($B4026,Premissas!$A$4:$E$7,5,0))</f>
        <v/>
      </c>
      <c r="N4026" s="14">
        <f>H4026-M4026</f>
        <v/>
      </c>
      <c r="O4026" t="inlineStr">
        <is>
          <t>Não</t>
        </is>
      </c>
      <c r="P4026" t="inlineStr">
        <is>
          <t>2.350</t>
        </is>
      </c>
    </row>
    <row r="4027">
      <c r="A4027" s="24" t="n">
        <v>46204</v>
      </c>
      <c r="B4027" t="inlineStr">
        <is>
          <t>Frete de venda</t>
        </is>
      </c>
      <c r="C4027" t="inlineStr">
        <is>
          <t>Frete de venda (para clientes)</t>
        </is>
      </c>
      <c r="D4027" t="inlineStr">
        <is>
          <t>CT-e</t>
        </is>
      </c>
      <c r="E4027" t="inlineStr">
        <is>
          <t>000025014</t>
        </is>
      </c>
      <c r="F4027" t="inlineStr">
        <is>
          <t>TRANSPORTE OLIVEIRA E MELLOI - IDEALIZA TRANSPORTES</t>
        </is>
      </c>
      <c r="G4027" s="27" t="n">
        <v>46211</v>
      </c>
      <c r="H4027" s="14" t="n">
        <v>1730.67</v>
      </c>
      <c r="I4027" s="14" t="n">
        <v>0</v>
      </c>
      <c r="J4027" s="14" t="n">
        <v>207.68</v>
      </c>
      <c r="K4027" s="14" t="n">
        <v>0</v>
      </c>
      <c r="L4027" s="14" t="n">
        <v>0</v>
      </c>
      <c r="M4027" s="14">
        <f>IF(B4027="Frete de venda",0,(1-ISNUMBER(SEARCH("556",P4027)))*(I4027*VLOOKUP($B4027,Premissas!$A$4:$E$7,2,0)+J4027*VLOOKUP($B4027,Premissas!$A$4:$E$7,3,0))+K4027*VLOOKUP($B4027,Premissas!$A$4:$E$7,4,0)+L4027*VLOOKUP($B4027,Premissas!$A$4:$E$7,5,0))</f>
        <v/>
      </c>
      <c r="N4027" s="14">
        <f>H4027-M4027</f>
        <v/>
      </c>
      <c r="O4027" t="inlineStr">
        <is>
          <t>Sim</t>
        </is>
      </c>
      <c r="P4027" t="inlineStr">
        <is>
          <t>2.350</t>
        </is>
      </c>
    </row>
    <row r="4028">
      <c r="A4028" s="24" t="n">
        <v>46204</v>
      </c>
      <c r="B4028" t="inlineStr">
        <is>
          <t>Frete de venda</t>
        </is>
      </c>
      <c r="C4028" t="inlineStr">
        <is>
          <t>Frete de venda (para clientes)</t>
        </is>
      </c>
      <c r="D4028" t="inlineStr">
        <is>
          <t>CT-e</t>
        </is>
      </c>
      <c r="E4028" t="inlineStr">
        <is>
          <t>000007556</t>
        </is>
      </c>
      <c r="F4028" t="inlineStr">
        <is>
          <t>R&amp;R TRANSPORTE E LOGISTICA</t>
        </is>
      </c>
      <c r="G4028" s="27" t="n">
        <v>46211</v>
      </c>
      <c r="H4028" s="14" t="n">
        <v>42.73</v>
      </c>
      <c r="I4028" s="14" t="n">
        <v>0</v>
      </c>
      <c r="J4028" s="14" t="n">
        <v>0</v>
      </c>
      <c r="K4028" s="14" t="n">
        <v>0</v>
      </c>
      <c r="L4028" s="14" t="n">
        <v>0</v>
      </c>
      <c r="M4028" s="14">
        <f>IF(B4028="Frete de venda",0,(1-ISNUMBER(SEARCH("556",P4028)))*(I4028*VLOOKUP($B4028,Premissas!$A$4:$E$7,2,0)+J4028*VLOOKUP($B4028,Premissas!$A$4:$E$7,3,0))+K4028*VLOOKUP($B4028,Premissas!$A$4:$E$7,4,0)+L4028*VLOOKUP($B4028,Premissas!$A$4:$E$7,5,0))</f>
        <v/>
      </c>
      <c r="N4028" s="14">
        <f>H4028-M4028</f>
        <v/>
      </c>
      <c r="O4028" t="inlineStr">
        <is>
          <t>Não</t>
        </is>
      </c>
      <c r="P4028" t="inlineStr">
        <is>
          <t>2.350</t>
        </is>
      </c>
    </row>
    <row r="4029">
      <c r="A4029" s="24" t="n">
        <v>46204</v>
      </c>
      <c r="B4029" t="inlineStr">
        <is>
          <t>Frete de venda</t>
        </is>
      </c>
      <c r="C4029" t="inlineStr">
        <is>
          <t>Frete de venda (para clientes)</t>
        </is>
      </c>
      <c r="D4029" t="inlineStr">
        <is>
          <t>CT-e</t>
        </is>
      </c>
      <c r="E4029" t="inlineStr">
        <is>
          <t>000007745</t>
        </is>
      </c>
      <c r="F4029" t="inlineStr">
        <is>
          <t>R&amp;R TRANSPORTE E LOGISTICA</t>
        </is>
      </c>
      <c r="G4029" s="27" t="n">
        <v>46226</v>
      </c>
      <c r="H4029" s="14" t="n">
        <v>66.01000000000001</v>
      </c>
      <c r="I4029" s="14" t="n">
        <v>0</v>
      </c>
      <c r="J4029" s="14" t="n">
        <v>0</v>
      </c>
      <c r="K4029" s="14" t="n">
        <v>0</v>
      </c>
      <c r="L4029" s="14" t="n">
        <v>0</v>
      </c>
      <c r="M4029" s="14">
        <f>IF(B4029="Frete de venda",0,(1-ISNUMBER(SEARCH("556",P4029)))*(I4029*VLOOKUP($B4029,Premissas!$A$4:$E$7,2,0)+J4029*VLOOKUP($B4029,Premissas!$A$4:$E$7,3,0))+K4029*VLOOKUP($B4029,Premissas!$A$4:$E$7,4,0)+L4029*VLOOKUP($B4029,Premissas!$A$4:$E$7,5,0))</f>
        <v/>
      </c>
      <c r="N4029" s="14">
        <f>H4029-M4029</f>
        <v/>
      </c>
      <c r="O4029" t="inlineStr">
        <is>
          <t>Não</t>
        </is>
      </c>
      <c r="P4029" t="inlineStr">
        <is>
          <t>2.350</t>
        </is>
      </c>
    </row>
    <row r="4030">
      <c r="A4030" s="24" t="n">
        <v>46204</v>
      </c>
      <c r="B4030" t="inlineStr">
        <is>
          <t>Frete de venda</t>
        </is>
      </c>
      <c r="C4030" t="inlineStr">
        <is>
          <t>Frete de venda (para clientes)</t>
        </is>
      </c>
      <c r="D4030" t="inlineStr">
        <is>
          <t>CT-e</t>
        </is>
      </c>
      <c r="E4030" t="inlineStr">
        <is>
          <t>000000719</t>
        </is>
      </c>
      <c r="F4030" t="inlineStr">
        <is>
          <t>REIMAG - REINALDO DOMINGUES BARROS DA SILVA</t>
        </is>
      </c>
      <c r="G4030" s="27" t="n">
        <v>46222</v>
      </c>
      <c r="H4030" s="14" t="n">
        <v>800</v>
      </c>
      <c r="I4030" s="14" t="n">
        <v>0</v>
      </c>
      <c r="J4030" s="14" t="n">
        <v>0</v>
      </c>
      <c r="K4030" s="14" t="n">
        <v>0</v>
      </c>
      <c r="L4030" s="14" t="n">
        <v>0</v>
      </c>
      <c r="M4030" s="14">
        <f>IF(B4030="Frete de venda",0,(1-ISNUMBER(SEARCH("556",P4030)))*(I4030*VLOOKUP($B4030,Premissas!$A$4:$E$7,2,0)+J4030*VLOOKUP($B4030,Premissas!$A$4:$E$7,3,0))+K4030*VLOOKUP($B4030,Premissas!$A$4:$E$7,4,0)+L4030*VLOOKUP($B4030,Premissas!$A$4:$E$7,5,0))</f>
        <v/>
      </c>
      <c r="N4030" s="14">
        <f>H4030-M4030</f>
        <v/>
      </c>
      <c r="O4030" t="inlineStr">
        <is>
          <t>Sim</t>
        </is>
      </c>
      <c r="P4030" t="inlineStr">
        <is>
          <t>2.350</t>
        </is>
      </c>
    </row>
    <row r="4031">
      <c r="A4031" s="24" t="n">
        <v>46204</v>
      </c>
      <c r="B4031" t="inlineStr">
        <is>
          <t>Frete de venda</t>
        </is>
      </c>
      <c r="C4031" t="inlineStr">
        <is>
          <t>Frete de venda (para clientes)</t>
        </is>
      </c>
      <c r="D4031" t="inlineStr">
        <is>
          <t>CT-e</t>
        </is>
      </c>
      <c r="E4031" t="inlineStr">
        <is>
          <t>000007794</t>
        </is>
      </c>
      <c r="F4031" t="inlineStr">
        <is>
          <t>R&amp;R TRANSPORTE E LOGISTICA</t>
        </is>
      </c>
      <c r="G4031" s="27" t="n">
        <v>46231</v>
      </c>
      <c r="H4031" s="14" t="n">
        <v>106.36</v>
      </c>
      <c r="I4031" s="14" t="n">
        <v>0</v>
      </c>
      <c r="J4031" s="14" t="n">
        <v>0</v>
      </c>
      <c r="K4031" s="14" t="n">
        <v>0</v>
      </c>
      <c r="L4031" s="14" t="n">
        <v>0</v>
      </c>
      <c r="M4031" s="14">
        <f>IF(B4031="Frete de venda",0,(1-ISNUMBER(SEARCH("556",P4031)))*(I4031*VLOOKUP($B4031,Premissas!$A$4:$E$7,2,0)+J4031*VLOOKUP($B4031,Premissas!$A$4:$E$7,3,0))+K4031*VLOOKUP($B4031,Premissas!$A$4:$E$7,4,0)+L4031*VLOOKUP($B4031,Premissas!$A$4:$E$7,5,0))</f>
        <v/>
      </c>
      <c r="N4031" s="14">
        <f>H4031-M4031</f>
        <v/>
      </c>
      <c r="O4031" t="inlineStr">
        <is>
          <t>Não</t>
        </is>
      </c>
      <c r="P4031" t="inlineStr">
        <is>
          <t>1.350</t>
        </is>
      </c>
    </row>
    <row r="4032">
      <c r="A4032" s="24" t="n">
        <v>46204</v>
      </c>
      <c r="B4032" t="inlineStr">
        <is>
          <t>Frete de venda</t>
        </is>
      </c>
      <c r="C4032" t="inlineStr">
        <is>
          <t>Frete de venda (para clientes)</t>
        </is>
      </c>
      <c r="D4032" t="inlineStr">
        <is>
          <t>CT-e</t>
        </is>
      </c>
      <c r="E4032" t="inlineStr">
        <is>
          <t>000007708</t>
        </is>
      </c>
      <c r="F4032" t="inlineStr">
        <is>
          <t>R&amp;R TRANSPORTE E LOGISTICA</t>
        </is>
      </c>
      <c r="G4032" s="27" t="n">
        <v>46224</v>
      </c>
      <c r="H4032" s="14" t="n">
        <v>43.41</v>
      </c>
      <c r="I4032" s="14" t="n">
        <v>0</v>
      </c>
      <c r="J4032" s="14" t="n">
        <v>0</v>
      </c>
      <c r="K4032" s="14" t="n">
        <v>0</v>
      </c>
      <c r="L4032" s="14" t="n">
        <v>0</v>
      </c>
      <c r="M4032" s="14">
        <f>IF(B4032="Frete de venda",0,(1-ISNUMBER(SEARCH("556",P4032)))*(I4032*VLOOKUP($B4032,Premissas!$A$4:$E$7,2,0)+J4032*VLOOKUP($B4032,Premissas!$A$4:$E$7,3,0))+K4032*VLOOKUP($B4032,Premissas!$A$4:$E$7,4,0)+L4032*VLOOKUP($B4032,Premissas!$A$4:$E$7,5,0))</f>
        <v/>
      </c>
      <c r="N4032" s="14">
        <f>H4032-M4032</f>
        <v/>
      </c>
      <c r="O4032" t="inlineStr">
        <is>
          <t>Não</t>
        </is>
      </c>
      <c r="P4032" t="inlineStr">
        <is>
          <t>2.350</t>
        </is>
      </c>
    </row>
    <row r="4033">
      <c r="A4033" s="24" t="n">
        <v>46204</v>
      </c>
      <c r="B4033" t="inlineStr">
        <is>
          <t>Frete de venda</t>
        </is>
      </c>
      <c r="C4033" t="inlineStr">
        <is>
          <t>Frete de venda (para clientes)</t>
        </is>
      </c>
      <c r="D4033" t="inlineStr">
        <is>
          <t>CT-e</t>
        </is>
      </c>
      <c r="E4033" t="inlineStr">
        <is>
          <t>000007709</t>
        </is>
      </c>
      <c r="F4033" t="inlineStr">
        <is>
          <t>R&amp;R TRANSPORTE E LOGISTICA</t>
        </is>
      </c>
      <c r="G4033" s="27" t="n">
        <v>46224</v>
      </c>
      <c r="H4033" s="14" t="n">
        <v>38.89</v>
      </c>
      <c r="I4033" s="14" t="n">
        <v>0</v>
      </c>
      <c r="J4033" s="14" t="n">
        <v>0</v>
      </c>
      <c r="K4033" s="14" t="n">
        <v>0</v>
      </c>
      <c r="L4033" s="14" t="n">
        <v>0</v>
      </c>
      <c r="M4033" s="14">
        <f>IF(B4033="Frete de venda",0,(1-ISNUMBER(SEARCH("556",P4033)))*(I4033*VLOOKUP($B4033,Premissas!$A$4:$E$7,2,0)+J4033*VLOOKUP($B4033,Premissas!$A$4:$E$7,3,0))+K4033*VLOOKUP($B4033,Premissas!$A$4:$E$7,4,0)+L4033*VLOOKUP($B4033,Premissas!$A$4:$E$7,5,0))</f>
        <v/>
      </c>
      <c r="N4033" s="14">
        <f>H4033-M4033</f>
        <v/>
      </c>
      <c r="O4033" t="inlineStr">
        <is>
          <t>Não</t>
        </is>
      </c>
      <c r="P4033" t="inlineStr">
        <is>
          <t>2.350</t>
        </is>
      </c>
    </row>
    <row r="4034">
      <c r="A4034" s="24" t="n">
        <v>46204</v>
      </c>
      <c r="B4034" t="inlineStr">
        <is>
          <t>Frete de venda</t>
        </is>
      </c>
      <c r="C4034" t="inlineStr">
        <is>
          <t>Frete de venda (para clientes)</t>
        </is>
      </c>
      <c r="D4034" t="inlineStr">
        <is>
          <t>CT-e</t>
        </is>
      </c>
      <c r="E4034" t="inlineStr">
        <is>
          <t>000000723</t>
        </is>
      </c>
      <c r="F4034" t="inlineStr">
        <is>
          <t>REIMAG - REINALDO DOMINGUES BARROS DA SILVA</t>
        </is>
      </c>
      <c r="G4034" s="27" t="n">
        <v>46226</v>
      </c>
      <c r="H4034" s="14" t="n">
        <v>800</v>
      </c>
      <c r="I4034" s="14" t="n">
        <v>0</v>
      </c>
      <c r="J4034" s="14" t="n">
        <v>0</v>
      </c>
      <c r="K4034" s="14" t="n">
        <v>0</v>
      </c>
      <c r="L4034" s="14" t="n">
        <v>0</v>
      </c>
      <c r="M4034" s="14">
        <f>IF(B4034="Frete de venda",0,(1-ISNUMBER(SEARCH("556",P4034)))*(I4034*VLOOKUP($B4034,Premissas!$A$4:$E$7,2,0)+J4034*VLOOKUP($B4034,Premissas!$A$4:$E$7,3,0))+K4034*VLOOKUP($B4034,Premissas!$A$4:$E$7,4,0)+L4034*VLOOKUP($B4034,Premissas!$A$4:$E$7,5,0))</f>
        <v/>
      </c>
      <c r="N4034" s="14">
        <f>H4034-M4034</f>
        <v/>
      </c>
      <c r="O4034" t="inlineStr">
        <is>
          <t>Sim</t>
        </is>
      </c>
      <c r="P4034" t="inlineStr">
        <is>
          <t>2.350</t>
        </is>
      </c>
    </row>
    <row r="4035">
      <c r="A4035" s="24" t="n">
        <v>46204</v>
      </c>
      <c r="B4035" t="inlineStr">
        <is>
          <t>Frete de venda</t>
        </is>
      </c>
      <c r="C4035" t="inlineStr">
        <is>
          <t>Frete de venda (para clientes)</t>
        </is>
      </c>
      <c r="D4035" t="inlineStr">
        <is>
          <t>CT-e</t>
        </is>
      </c>
      <c r="E4035" t="inlineStr">
        <is>
          <t>000026345</t>
        </is>
      </c>
      <c r="F4035" t="inlineStr">
        <is>
          <t>DR CARGO TRANSPORTE DE CARGAS LTDA</t>
        </is>
      </c>
      <c r="G4035" s="27" t="n">
        <v>46233</v>
      </c>
      <c r="H4035" s="14" t="n">
        <v>833.0700000000001</v>
      </c>
      <c r="I4035" s="14" t="n">
        <v>0</v>
      </c>
      <c r="J4035" s="14" t="n">
        <v>99.97</v>
      </c>
      <c r="K4035" s="14" t="n">
        <v>0</v>
      </c>
      <c r="L4035" s="14" t="n">
        <v>0</v>
      </c>
      <c r="M4035" s="14">
        <f>IF(B4035="Frete de venda",0,(1-ISNUMBER(SEARCH("556",P4035)))*(I4035*VLOOKUP($B4035,Premissas!$A$4:$E$7,2,0)+J4035*VLOOKUP($B4035,Premissas!$A$4:$E$7,3,0))+K4035*VLOOKUP($B4035,Premissas!$A$4:$E$7,4,0)+L4035*VLOOKUP($B4035,Premissas!$A$4:$E$7,5,0))</f>
        <v/>
      </c>
      <c r="N4035" s="14">
        <f>H4035-M4035</f>
        <v/>
      </c>
      <c r="O4035" t="inlineStr">
        <is>
          <t>Sim</t>
        </is>
      </c>
      <c r="P4035" t="inlineStr">
        <is>
          <t>2.350</t>
        </is>
      </c>
    </row>
    <row r="4036">
      <c r="A4036" s="24" t="n">
        <v>46204</v>
      </c>
      <c r="B4036" t="inlineStr">
        <is>
          <t>Frete de venda</t>
        </is>
      </c>
      <c r="C4036" t="inlineStr">
        <is>
          <t>Frete de venda (para clientes)</t>
        </is>
      </c>
      <c r="D4036" t="inlineStr">
        <is>
          <t>CT-e</t>
        </is>
      </c>
      <c r="E4036" t="inlineStr">
        <is>
          <t>000007578</t>
        </is>
      </c>
      <c r="F4036" t="inlineStr">
        <is>
          <t>R&amp;R TRANSPORTE E LOGISTICA</t>
        </is>
      </c>
      <c r="G4036" s="27" t="n">
        <v>46212</v>
      </c>
      <c r="H4036" s="14" t="n">
        <v>24.09</v>
      </c>
      <c r="I4036" s="14" t="n">
        <v>0</v>
      </c>
      <c r="J4036" s="14" t="n">
        <v>0</v>
      </c>
      <c r="K4036" s="14" t="n">
        <v>0</v>
      </c>
      <c r="L4036" s="14" t="n">
        <v>0</v>
      </c>
      <c r="M4036" s="14">
        <f>IF(B4036="Frete de venda",0,(1-ISNUMBER(SEARCH("556",P4036)))*(I4036*VLOOKUP($B4036,Premissas!$A$4:$E$7,2,0)+J4036*VLOOKUP($B4036,Premissas!$A$4:$E$7,3,0))+K4036*VLOOKUP($B4036,Premissas!$A$4:$E$7,4,0)+L4036*VLOOKUP($B4036,Premissas!$A$4:$E$7,5,0))</f>
        <v/>
      </c>
      <c r="N4036" s="14">
        <f>H4036-M4036</f>
        <v/>
      </c>
      <c r="O4036" t="inlineStr">
        <is>
          <t>Não</t>
        </is>
      </c>
      <c r="P4036" t="inlineStr">
        <is>
          <t>2.350</t>
        </is>
      </c>
    </row>
    <row r="4037">
      <c r="A4037" s="24" t="n">
        <v>46204</v>
      </c>
      <c r="B4037" t="inlineStr">
        <is>
          <t>Frete de venda</t>
        </is>
      </c>
      <c r="C4037" t="inlineStr">
        <is>
          <t>Frete de venda (para clientes)</t>
        </is>
      </c>
      <c r="D4037" t="inlineStr">
        <is>
          <t>CT-e</t>
        </is>
      </c>
      <c r="E4037" t="inlineStr">
        <is>
          <t>000000720</t>
        </is>
      </c>
      <c r="F4037" t="inlineStr">
        <is>
          <t>REIMAG - REINALDO DOMINGUES BARROS DA SILVA</t>
        </is>
      </c>
      <c r="G4037" s="27" t="n">
        <v>46224</v>
      </c>
      <c r="H4037" s="14" t="n">
        <v>800</v>
      </c>
      <c r="I4037" s="14" t="n">
        <v>0</v>
      </c>
      <c r="J4037" s="14" t="n">
        <v>0</v>
      </c>
      <c r="K4037" s="14" t="n">
        <v>0</v>
      </c>
      <c r="L4037" s="14" t="n">
        <v>0</v>
      </c>
      <c r="M4037" s="14">
        <f>IF(B4037="Frete de venda",0,(1-ISNUMBER(SEARCH("556",P4037)))*(I4037*VLOOKUP($B4037,Premissas!$A$4:$E$7,2,0)+J4037*VLOOKUP($B4037,Premissas!$A$4:$E$7,3,0))+K4037*VLOOKUP($B4037,Premissas!$A$4:$E$7,4,0)+L4037*VLOOKUP($B4037,Premissas!$A$4:$E$7,5,0))</f>
        <v/>
      </c>
      <c r="N4037" s="14">
        <f>H4037-M4037</f>
        <v/>
      </c>
      <c r="O4037" t="inlineStr">
        <is>
          <t>Sim</t>
        </is>
      </c>
      <c r="P4037" t="inlineStr">
        <is>
          <t>2.350</t>
        </is>
      </c>
    </row>
    <row r="4038">
      <c r="A4038" s="24" t="n">
        <v>46204</v>
      </c>
      <c r="B4038" t="inlineStr">
        <is>
          <t>Frete de venda</t>
        </is>
      </c>
      <c r="C4038" t="inlineStr">
        <is>
          <t>Frete de venda (para clientes)</t>
        </is>
      </c>
      <c r="D4038" t="inlineStr">
        <is>
          <t>CT-e</t>
        </is>
      </c>
      <c r="E4038" t="inlineStr">
        <is>
          <t>000007532</t>
        </is>
      </c>
      <c r="F4038" t="inlineStr">
        <is>
          <t>R&amp;R TRANSPORTE E LOGISTICA</t>
        </is>
      </c>
      <c r="G4038" s="27" t="n">
        <v>46205</v>
      </c>
      <c r="H4038" s="14" t="n">
        <v>234.5</v>
      </c>
      <c r="I4038" s="14" t="n">
        <v>0</v>
      </c>
      <c r="J4038" s="14" t="n">
        <v>0</v>
      </c>
      <c r="K4038" s="14" t="n">
        <v>0</v>
      </c>
      <c r="L4038" s="14" t="n">
        <v>0</v>
      </c>
      <c r="M4038" s="14">
        <f>IF(B4038="Frete de venda",0,(1-ISNUMBER(SEARCH("556",P4038)))*(I4038*VLOOKUP($B4038,Premissas!$A$4:$E$7,2,0)+J4038*VLOOKUP($B4038,Premissas!$A$4:$E$7,3,0))+K4038*VLOOKUP($B4038,Premissas!$A$4:$E$7,4,0)+L4038*VLOOKUP($B4038,Premissas!$A$4:$E$7,5,0))</f>
        <v/>
      </c>
      <c r="N4038" s="14">
        <f>H4038-M4038</f>
        <v/>
      </c>
      <c r="O4038" t="inlineStr">
        <is>
          <t>Não</t>
        </is>
      </c>
      <c r="P4038" t="inlineStr">
        <is>
          <t>2.350</t>
        </is>
      </c>
    </row>
    <row r="4039">
      <c r="A4039" s="24" t="n">
        <v>46204</v>
      </c>
      <c r="B4039" t="inlineStr">
        <is>
          <t>Frete de venda</t>
        </is>
      </c>
      <c r="C4039" t="inlineStr">
        <is>
          <t>Frete de venda (para clientes)</t>
        </is>
      </c>
      <c r="D4039" t="inlineStr">
        <is>
          <t>CT-e</t>
        </is>
      </c>
      <c r="E4039" t="inlineStr">
        <is>
          <t>000007620</t>
        </is>
      </c>
      <c r="F4039" t="inlineStr">
        <is>
          <t>R&amp;R TRANSPORTE E LOGISTICA</t>
        </is>
      </c>
      <c r="G4039" s="27" t="n">
        <v>46214</v>
      </c>
      <c r="H4039" s="14" t="n">
        <v>250</v>
      </c>
      <c r="I4039" s="14" t="n">
        <v>0</v>
      </c>
      <c r="J4039" s="14" t="n">
        <v>0</v>
      </c>
      <c r="K4039" s="14" t="n">
        <v>0</v>
      </c>
      <c r="L4039" s="14" t="n">
        <v>0</v>
      </c>
      <c r="M4039" s="14">
        <f>IF(B4039="Frete de venda",0,(1-ISNUMBER(SEARCH("556",P4039)))*(I4039*VLOOKUP($B4039,Premissas!$A$4:$E$7,2,0)+J4039*VLOOKUP($B4039,Premissas!$A$4:$E$7,3,0))+K4039*VLOOKUP($B4039,Premissas!$A$4:$E$7,4,0)+L4039*VLOOKUP($B4039,Premissas!$A$4:$E$7,5,0))</f>
        <v/>
      </c>
      <c r="N4039" s="14">
        <f>H4039-M4039</f>
        <v/>
      </c>
      <c r="O4039" t="inlineStr">
        <is>
          <t>Não</t>
        </is>
      </c>
      <c r="P4039" t="inlineStr">
        <is>
          <t>2.350</t>
        </is>
      </c>
    </row>
    <row r="4040">
      <c r="A4040" s="24" t="n">
        <v>46204</v>
      </c>
      <c r="B4040" t="inlineStr">
        <is>
          <t>Frete de venda</t>
        </is>
      </c>
      <c r="C4040" t="inlineStr">
        <is>
          <t>Frete de venda (para clientes)</t>
        </is>
      </c>
      <c r="D4040" t="inlineStr">
        <is>
          <t>CT-e</t>
        </is>
      </c>
      <c r="E4040" t="inlineStr">
        <is>
          <t>000004922</t>
        </is>
      </c>
      <c r="F4040" t="inlineStr">
        <is>
          <t>UNIVERSAL CARGAS EXPRESS</t>
        </is>
      </c>
      <c r="G4040" s="27" t="n">
        <v>46210</v>
      </c>
      <c r="H4040" s="14" t="n">
        <v>380</v>
      </c>
      <c r="I4040" s="14" t="n">
        <v>0</v>
      </c>
      <c r="J4040" s="14" t="n">
        <v>0</v>
      </c>
      <c r="K4040" s="14" t="n">
        <v>0</v>
      </c>
      <c r="L4040" s="14" t="n">
        <v>0</v>
      </c>
      <c r="M4040" s="14">
        <f>IF(B4040="Frete de venda",0,(1-ISNUMBER(SEARCH("556",P4040)))*(I4040*VLOOKUP($B4040,Premissas!$A$4:$E$7,2,0)+J4040*VLOOKUP($B4040,Premissas!$A$4:$E$7,3,0))+K4040*VLOOKUP($B4040,Premissas!$A$4:$E$7,4,0)+L4040*VLOOKUP($B4040,Premissas!$A$4:$E$7,5,0))</f>
        <v/>
      </c>
      <c r="N4040" s="14">
        <f>H4040-M4040</f>
        <v/>
      </c>
      <c r="O4040" t="inlineStr">
        <is>
          <t>Sim</t>
        </is>
      </c>
      <c r="P4040" t="inlineStr">
        <is>
          <t>2.350</t>
        </is>
      </c>
    </row>
    <row r="4041">
      <c r="A4041" s="24" t="n">
        <v>46204</v>
      </c>
      <c r="B4041" t="inlineStr">
        <is>
          <t>Frete de venda</t>
        </is>
      </c>
      <c r="C4041" t="inlineStr">
        <is>
          <t>Frete de venda (para clientes)</t>
        </is>
      </c>
      <c r="D4041" t="inlineStr">
        <is>
          <t>CT-e</t>
        </is>
      </c>
      <c r="E4041" t="inlineStr">
        <is>
          <t>000007712</t>
        </is>
      </c>
      <c r="F4041" t="inlineStr">
        <is>
          <t>R&amp;R TRANSPORTE E LOGISTICA</t>
        </is>
      </c>
      <c r="G4041" s="27" t="n">
        <v>46224</v>
      </c>
      <c r="H4041" s="14" t="n">
        <v>46.63</v>
      </c>
      <c r="I4041" s="14" t="n">
        <v>0</v>
      </c>
      <c r="J4041" s="14" t="n">
        <v>0</v>
      </c>
      <c r="K4041" s="14" t="n">
        <v>0</v>
      </c>
      <c r="L4041" s="14" t="n">
        <v>0</v>
      </c>
      <c r="M4041" s="14">
        <f>IF(B4041="Frete de venda",0,(1-ISNUMBER(SEARCH("556",P4041)))*(I4041*VLOOKUP($B4041,Premissas!$A$4:$E$7,2,0)+J4041*VLOOKUP($B4041,Premissas!$A$4:$E$7,3,0))+K4041*VLOOKUP($B4041,Premissas!$A$4:$E$7,4,0)+L4041*VLOOKUP($B4041,Premissas!$A$4:$E$7,5,0))</f>
        <v/>
      </c>
      <c r="N4041" s="14">
        <f>H4041-M4041</f>
        <v/>
      </c>
      <c r="O4041" t="inlineStr">
        <is>
          <t>Não</t>
        </is>
      </c>
      <c r="P4041" t="inlineStr">
        <is>
          <t>2.350</t>
        </is>
      </c>
    </row>
    <row r="4042">
      <c r="A4042" s="24" t="n">
        <v>46204</v>
      </c>
      <c r="B4042" t="inlineStr">
        <is>
          <t>Frete de venda</t>
        </is>
      </c>
      <c r="C4042" t="inlineStr">
        <is>
          <t>Frete de venda (para clientes)</t>
        </is>
      </c>
      <c r="D4042" t="inlineStr">
        <is>
          <t>CT-e</t>
        </is>
      </c>
      <c r="E4042" t="inlineStr">
        <is>
          <t>000007736</t>
        </is>
      </c>
      <c r="F4042" t="inlineStr">
        <is>
          <t>R&amp;R TRANSPORTE E LOGISTICA</t>
        </is>
      </c>
      <c r="G4042" s="27" t="n">
        <v>46225</v>
      </c>
      <c r="H4042" s="14" t="n">
        <v>24.26</v>
      </c>
      <c r="I4042" s="14" t="n">
        <v>0</v>
      </c>
      <c r="J4042" s="14" t="n">
        <v>0</v>
      </c>
      <c r="K4042" s="14" t="n">
        <v>0</v>
      </c>
      <c r="L4042" s="14" t="n">
        <v>0</v>
      </c>
      <c r="M4042" s="14">
        <f>IF(B4042="Frete de venda",0,(1-ISNUMBER(SEARCH("556",P4042)))*(I4042*VLOOKUP($B4042,Premissas!$A$4:$E$7,2,0)+J4042*VLOOKUP($B4042,Premissas!$A$4:$E$7,3,0))+K4042*VLOOKUP($B4042,Premissas!$A$4:$E$7,4,0)+L4042*VLOOKUP($B4042,Premissas!$A$4:$E$7,5,0))</f>
        <v/>
      </c>
      <c r="N4042" s="14">
        <f>H4042-M4042</f>
        <v/>
      </c>
      <c r="O4042" t="inlineStr">
        <is>
          <t>Não</t>
        </is>
      </c>
      <c r="P4042" t="inlineStr">
        <is>
          <t>2.350</t>
        </is>
      </c>
    </row>
    <row r="4043">
      <c r="A4043" s="24" t="n">
        <v>46204</v>
      </c>
      <c r="B4043" t="inlineStr">
        <is>
          <t>Frete de venda</t>
        </is>
      </c>
      <c r="C4043" t="inlineStr">
        <is>
          <t>Frete de venda (para clientes)</t>
        </is>
      </c>
      <c r="D4043" t="inlineStr">
        <is>
          <t>CT-e</t>
        </is>
      </c>
      <c r="E4043" t="inlineStr">
        <is>
          <t>000007718</t>
        </is>
      </c>
      <c r="F4043" t="inlineStr">
        <is>
          <t>R&amp;R TRANSPORTE E LOGISTICA</t>
        </is>
      </c>
      <c r="G4043" s="27" t="n">
        <v>46225</v>
      </c>
      <c r="H4043" s="14" t="n">
        <v>19.22</v>
      </c>
      <c r="I4043" s="14" t="n">
        <v>0</v>
      </c>
      <c r="J4043" s="14" t="n">
        <v>0</v>
      </c>
      <c r="K4043" s="14" t="n">
        <v>0</v>
      </c>
      <c r="L4043" s="14" t="n">
        <v>0</v>
      </c>
      <c r="M4043" s="14">
        <f>IF(B4043="Frete de venda",0,(1-ISNUMBER(SEARCH("556",P4043)))*(I4043*VLOOKUP($B4043,Premissas!$A$4:$E$7,2,0)+J4043*VLOOKUP($B4043,Premissas!$A$4:$E$7,3,0))+K4043*VLOOKUP($B4043,Premissas!$A$4:$E$7,4,0)+L4043*VLOOKUP($B4043,Premissas!$A$4:$E$7,5,0))</f>
        <v/>
      </c>
      <c r="N4043" s="14">
        <f>H4043-M4043</f>
        <v/>
      </c>
      <c r="O4043" t="inlineStr">
        <is>
          <t>Não</t>
        </is>
      </c>
      <c r="P4043" t="inlineStr">
        <is>
          <t>2.350</t>
        </is>
      </c>
    </row>
    <row r="4044">
      <c r="A4044" s="24" t="n">
        <v>46204</v>
      </c>
      <c r="B4044" t="inlineStr">
        <is>
          <t>Frete de venda</t>
        </is>
      </c>
      <c r="C4044" t="inlineStr">
        <is>
          <t>Frete de venda (para clientes)</t>
        </is>
      </c>
      <c r="D4044" t="inlineStr">
        <is>
          <t>CT-e</t>
        </is>
      </c>
      <c r="E4044" t="inlineStr">
        <is>
          <t>000007766</t>
        </is>
      </c>
      <c r="F4044" t="inlineStr">
        <is>
          <t>R&amp;R TRANSPORTE E LOGISTICA</t>
        </is>
      </c>
      <c r="G4044" s="27" t="n">
        <v>46227</v>
      </c>
      <c r="H4044" s="14" t="n">
        <v>20.63</v>
      </c>
      <c r="I4044" s="14" t="n">
        <v>0</v>
      </c>
      <c r="J4044" s="14" t="n">
        <v>0</v>
      </c>
      <c r="K4044" s="14" t="n">
        <v>0</v>
      </c>
      <c r="L4044" s="14" t="n">
        <v>0</v>
      </c>
      <c r="M4044" s="14">
        <f>IF(B4044="Frete de venda",0,(1-ISNUMBER(SEARCH("556",P4044)))*(I4044*VLOOKUP($B4044,Premissas!$A$4:$E$7,2,0)+J4044*VLOOKUP($B4044,Premissas!$A$4:$E$7,3,0))+K4044*VLOOKUP($B4044,Premissas!$A$4:$E$7,4,0)+L4044*VLOOKUP($B4044,Premissas!$A$4:$E$7,5,0))</f>
        <v/>
      </c>
      <c r="N4044" s="14">
        <f>H4044-M4044</f>
        <v/>
      </c>
      <c r="O4044" t="inlineStr">
        <is>
          <t>Não</t>
        </is>
      </c>
      <c r="P4044" t="inlineStr">
        <is>
          <t>1.350</t>
        </is>
      </c>
    </row>
    <row r="4045">
      <c r="A4045" s="24" t="n">
        <v>46204</v>
      </c>
      <c r="B4045" t="inlineStr">
        <is>
          <t>Frete de venda</t>
        </is>
      </c>
      <c r="C4045" t="inlineStr">
        <is>
          <t>Frete de venda (para clientes)</t>
        </is>
      </c>
      <c r="D4045" t="inlineStr">
        <is>
          <t>CT-e</t>
        </is>
      </c>
      <c r="E4045" t="inlineStr">
        <is>
          <t>000007618</t>
        </is>
      </c>
      <c r="F4045" t="inlineStr">
        <is>
          <t>R&amp;R TRANSPORTE E LOGISTICA</t>
        </is>
      </c>
      <c r="G4045" s="27" t="n">
        <v>46214</v>
      </c>
      <c r="H4045" s="14" t="n">
        <v>38.61</v>
      </c>
      <c r="I4045" s="14" t="n">
        <v>0</v>
      </c>
      <c r="J4045" s="14" t="n">
        <v>0</v>
      </c>
      <c r="K4045" s="14" t="n">
        <v>0</v>
      </c>
      <c r="L4045" s="14" t="n">
        <v>0</v>
      </c>
      <c r="M4045" s="14">
        <f>IF(B4045="Frete de venda",0,(1-ISNUMBER(SEARCH("556",P4045)))*(I4045*VLOOKUP($B4045,Premissas!$A$4:$E$7,2,0)+J4045*VLOOKUP($B4045,Premissas!$A$4:$E$7,3,0))+K4045*VLOOKUP($B4045,Premissas!$A$4:$E$7,4,0)+L4045*VLOOKUP($B4045,Premissas!$A$4:$E$7,5,0))</f>
        <v/>
      </c>
      <c r="N4045" s="14">
        <f>H4045-M4045</f>
        <v/>
      </c>
      <c r="O4045" t="inlineStr">
        <is>
          <t>Não</t>
        </is>
      </c>
      <c r="P4045" t="inlineStr">
        <is>
          <t>2.350</t>
        </is>
      </c>
    </row>
    <row r="4046">
      <c r="A4046" s="24" t="n">
        <v>46204</v>
      </c>
      <c r="B4046" t="inlineStr">
        <is>
          <t>Frete de venda</t>
        </is>
      </c>
      <c r="C4046" t="inlineStr">
        <is>
          <t>Frete de venda (para clientes)</t>
        </is>
      </c>
      <c r="D4046" t="inlineStr">
        <is>
          <t>CT-e</t>
        </is>
      </c>
      <c r="E4046" t="inlineStr">
        <is>
          <t>000007638</t>
        </is>
      </c>
      <c r="F4046" t="inlineStr">
        <is>
          <t>R&amp;R TRANSPORTE E LOGISTICA</t>
        </is>
      </c>
      <c r="G4046" s="27" t="n">
        <v>46217</v>
      </c>
      <c r="H4046" s="14" t="n">
        <v>61.89</v>
      </c>
      <c r="I4046" s="14" t="n">
        <v>0</v>
      </c>
      <c r="J4046" s="14" t="n">
        <v>0</v>
      </c>
      <c r="K4046" s="14" t="n">
        <v>0</v>
      </c>
      <c r="L4046" s="14" t="n">
        <v>0</v>
      </c>
      <c r="M4046" s="14">
        <f>IF(B4046="Frete de venda",0,(1-ISNUMBER(SEARCH("556",P4046)))*(I4046*VLOOKUP($B4046,Premissas!$A$4:$E$7,2,0)+J4046*VLOOKUP($B4046,Premissas!$A$4:$E$7,3,0))+K4046*VLOOKUP($B4046,Premissas!$A$4:$E$7,4,0)+L4046*VLOOKUP($B4046,Premissas!$A$4:$E$7,5,0))</f>
        <v/>
      </c>
      <c r="N4046" s="14">
        <f>H4046-M4046</f>
        <v/>
      </c>
      <c r="O4046" t="inlineStr">
        <is>
          <t>Não</t>
        </is>
      </c>
      <c r="P4046" t="inlineStr">
        <is>
          <t>2.350</t>
        </is>
      </c>
    </row>
    <row r="4047">
      <c r="A4047" s="24" t="n">
        <v>46204</v>
      </c>
      <c r="B4047" t="inlineStr">
        <is>
          <t>Frete de venda</t>
        </is>
      </c>
      <c r="C4047" t="inlineStr">
        <is>
          <t>Frete de venda (para clientes)</t>
        </is>
      </c>
      <c r="D4047" t="inlineStr">
        <is>
          <t>CT-e</t>
        </is>
      </c>
      <c r="E4047" t="inlineStr">
        <is>
          <t>000000725</t>
        </is>
      </c>
      <c r="F4047" t="inlineStr">
        <is>
          <t>REIMAG - REINALDO DOMINGUES BARROS DA SILVA</t>
        </is>
      </c>
      <c r="G4047" s="27" t="n">
        <v>46233</v>
      </c>
      <c r="H4047" s="14" t="n">
        <v>800</v>
      </c>
      <c r="I4047" s="14" t="n">
        <v>0</v>
      </c>
      <c r="J4047" s="14" t="n">
        <v>0</v>
      </c>
      <c r="K4047" s="14" t="n">
        <v>0</v>
      </c>
      <c r="L4047" s="14" t="n">
        <v>0</v>
      </c>
      <c r="M4047" s="14">
        <f>IF(B4047="Frete de venda",0,(1-ISNUMBER(SEARCH("556",P4047)))*(I4047*VLOOKUP($B4047,Premissas!$A$4:$E$7,2,0)+J4047*VLOOKUP($B4047,Premissas!$A$4:$E$7,3,0))+K4047*VLOOKUP($B4047,Premissas!$A$4:$E$7,4,0)+L4047*VLOOKUP($B4047,Premissas!$A$4:$E$7,5,0))</f>
        <v/>
      </c>
      <c r="N4047" s="14">
        <f>H4047-M4047</f>
        <v/>
      </c>
      <c r="O4047" t="inlineStr">
        <is>
          <t>Sim</t>
        </is>
      </c>
      <c r="P4047" t="inlineStr">
        <is>
          <t>2.350</t>
        </is>
      </c>
    </row>
    <row r="4048">
      <c r="A4048" s="24" t="n">
        <v>46204</v>
      </c>
      <c r="B4048" t="inlineStr">
        <is>
          <t>Frete de venda</t>
        </is>
      </c>
      <c r="C4048" t="inlineStr">
        <is>
          <t>Frete de venda (para clientes)</t>
        </is>
      </c>
      <c r="D4048" t="inlineStr">
        <is>
          <t>CT-e</t>
        </is>
      </c>
      <c r="E4048" t="inlineStr">
        <is>
          <t>000007593</t>
        </is>
      </c>
      <c r="F4048" t="inlineStr">
        <is>
          <t>R&amp;R TRANSPORTE E LOGISTICA</t>
        </is>
      </c>
      <c r="G4048" s="27" t="n">
        <v>46212</v>
      </c>
      <c r="H4048" s="14" t="n">
        <v>24.09</v>
      </c>
      <c r="I4048" s="14" t="n">
        <v>0</v>
      </c>
      <c r="J4048" s="14" t="n">
        <v>0</v>
      </c>
      <c r="K4048" s="14" t="n">
        <v>0</v>
      </c>
      <c r="L4048" s="14" t="n">
        <v>0</v>
      </c>
      <c r="M4048" s="14">
        <f>IF(B4048="Frete de venda",0,(1-ISNUMBER(SEARCH("556",P4048)))*(I4048*VLOOKUP($B4048,Premissas!$A$4:$E$7,2,0)+J4048*VLOOKUP($B4048,Premissas!$A$4:$E$7,3,0))+K4048*VLOOKUP($B4048,Premissas!$A$4:$E$7,4,0)+L4048*VLOOKUP($B4048,Premissas!$A$4:$E$7,5,0))</f>
        <v/>
      </c>
      <c r="N4048" s="14">
        <f>H4048-M4048</f>
        <v/>
      </c>
      <c r="O4048" t="inlineStr">
        <is>
          <t>Não</t>
        </is>
      </c>
      <c r="P4048" t="inlineStr">
        <is>
          <t>2.350</t>
        </is>
      </c>
    </row>
    <row r="4049">
      <c r="A4049" s="24" t="n">
        <v>46204</v>
      </c>
      <c r="B4049" t="inlineStr">
        <is>
          <t>Frete de venda</t>
        </is>
      </c>
      <c r="C4049" t="inlineStr">
        <is>
          <t>Frete de venda (para clientes)</t>
        </is>
      </c>
      <c r="D4049" t="inlineStr">
        <is>
          <t>CT-e</t>
        </is>
      </c>
      <c r="E4049" t="inlineStr">
        <is>
          <t>000007549</t>
        </is>
      </c>
      <c r="F4049" t="inlineStr">
        <is>
          <t>R&amp;R TRANSPORTE E LOGISTICA</t>
        </is>
      </c>
      <c r="G4049" s="27" t="n">
        <v>46211</v>
      </c>
      <c r="H4049" s="14" t="n">
        <v>38.75</v>
      </c>
      <c r="I4049" s="14" t="n">
        <v>0</v>
      </c>
      <c r="J4049" s="14" t="n">
        <v>0</v>
      </c>
      <c r="K4049" s="14" t="n">
        <v>0</v>
      </c>
      <c r="L4049" s="14" t="n">
        <v>0</v>
      </c>
      <c r="M4049" s="14">
        <f>IF(B4049="Frete de venda",0,(1-ISNUMBER(SEARCH("556",P4049)))*(I4049*VLOOKUP($B4049,Premissas!$A$4:$E$7,2,0)+J4049*VLOOKUP($B4049,Premissas!$A$4:$E$7,3,0))+K4049*VLOOKUP($B4049,Premissas!$A$4:$E$7,4,0)+L4049*VLOOKUP($B4049,Premissas!$A$4:$E$7,5,0))</f>
        <v/>
      </c>
      <c r="N4049" s="14">
        <f>H4049-M4049</f>
        <v/>
      </c>
      <c r="O4049" t="inlineStr">
        <is>
          <t>Não</t>
        </is>
      </c>
      <c r="P4049" t="inlineStr">
        <is>
          <t>2.350</t>
        </is>
      </c>
    </row>
    <row r="4050">
      <c r="A4050" s="24" t="n">
        <v>46204</v>
      </c>
      <c r="B4050" t="inlineStr">
        <is>
          <t>Frete de venda</t>
        </is>
      </c>
      <c r="C4050" t="inlineStr">
        <is>
          <t>Frete de venda (para clientes)</t>
        </is>
      </c>
      <c r="D4050" t="inlineStr">
        <is>
          <t>CT-e</t>
        </is>
      </c>
      <c r="E4050" t="inlineStr">
        <is>
          <t>000004496</t>
        </is>
      </c>
      <c r="F4050" t="inlineStr">
        <is>
          <t>RAPIDO XAPURI TRANSPORTES E LOGISTICA LTDA</t>
        </is>
      </c>
      <c r="G4050" s="27" t="n">
        <v>46216</v>
      </c>
      <c r="H4050" s="14" t="n">
        <v>1445.73</v>
      </c>
      <c r="I4050" s="14" t="n">
        <v>0</v>
      </c>
      <c r="J4050" s="14" t="n">
        <v>173.49</v>
      </c>
      <c r="K4050" s="14" t="n">
        <v>0</v>
      </c>
      <c r="L4050" s="14" t="n">
        <v>0</v>
      </c>
      <c r="M4050" s="14">
        <f>IF(B4050="Frete de venda",0,(1-ISNUMBER(SEARCH("556",P4050)))*(I4050*VLOOKUP($B4050,Premissas!$A$4:$E$7,2,0)+J4050*VLOOKUP($B4050,Premissas!$A$4:$E$7,3,0))+K4050*VLOOKUP($B4050,Premissas!$A$4:$E$7,4,0)+L4050*VLOOKUP($B4050,Premissas!$A$4:$E$7,5,0))</f>
        <v/>
      </c>
      <c r="N4050" s="14">
        <f>H4050-M4050</f>
        <v/>
      </c>
      <c r="O4050" t="inlineStr">
        <is>
          <t>Sim</t>
        </is>
      </c>
      <c r="P4050" t="inlineStr">
        <is>
          <t>2.350</t>
        </is>
      </c>
    </row>
    <row r="4051">
      <c r="A4051" s="24" t="n">
        <v>46204</v>
      </c>
      <c r="B4051" t="inlineStr">
        <is>
          <t>Frete de venda</t>
        </is>
      </c>
      <c r="C4051" t="inlineStr">
        <is>
          <t>Frete de venda (para clientes)</t>
        </is>
      </c>
      <c r="D4051" t="inlineStr">
        <is>
          <t>CT-e</t>
        </is>
      </c>
      <c r="E4051" t="inlineStr">
        <is>
          <t>000007592</t>
        </is>
      </c>
      <c r="F4051" t="inlineStr">
        <is>
          <t>R&amp;R TRANSPORTE E LOGISTICA</t>
        </is>
      </c>
      <c r="G4051" s="27" t="n">
        <v>46212</v>
      </c>
      <c r="H4051" s="14" t="n">
        <v>24.09</v>
      </c>
      <c r="I4051" s="14" t="n">
        <v>0</v>
      </c>
      <c r="J4051" s="14" t="n">
        <v>0</v>
      </c>
      <c r="K4051" s="14" t="n">
        <v>0</v>
      </c>
      <c r="L4051" s="14" t="n">
        <v>0</v>
      </c>
      <c r="M4051" s="14">
        <f>IF(B4051="Frete de venda",0,(1-ISNUMBER(SEARCH("556",P4051)))*(I4051*VLOOKUP($B4051,Premissas!$A$4:$E$7,2,0)+J4051*VLOOKUP($B4051,Premissas!$A$4:$E$7,3,0))+K4051*VLOOKUP($B4051,Premissas!$A$4:$E$7,4,0)+L4051*VLOOKUP($B4051,Premissas!$A$4:$E$7,5,0))</f>
        <v/>
      </c>
      <c r="N4051" s="14">
        <f>H4051-M4051</f>
        <v/>
      </c>
      <c r="O4051" t="inlineStr">
        <is>
          <t>Não</t>
        </is>
      </c>
      <c r="P4051" t="inlineStr">
        <is>
          <t>2.350</t>
        </is>
      </c>
    </row>
    <row r="4052">
      <c r="A4052" s="24" t="n">
        <v>46204</v>
      </c>
      <c r="B4052" t="inlineStr">
        <is>
          <t>Frete de venda</t>
        </is>
      </c>
      <c r="C4052" t="inlineStr">
        <is>
          <t>Frete de venda (para clientes)</t>
        </is>
      </c>
      <c r="D4052" t="inlineStr">
        <is>
          <t>CT-e</t>
        </is>
      </c>
      <c r="E4052" t="inlineStr">
        <is>
          <t>000007577</t>
        </is>
      </c>
      <c r="F4052" t="inlineStr">
        <is>
          <t>R&amp;R TRANSPORTE E LOGISTICA</t>
        </is>
      </c>
      <c r="G4052" s="27" t="n">
        <v>46212</v>
      </c>
      <c r="H4052" s="14" t="n">
        <v>24.09</v>
      </c>
      <c r="I4052" s="14" t="n">
        <v>0</v>
      </c>
      <c r="J4052" s="14" t="n">
        <v>0</v>
      </c>
      <c r="K4052" s="14" t="n">
        <v>0</v>
      </c>
      <c r="L4052" s="14" t="n">
        <v>0</v>
      </c>
      <c r="M4052" s="14">
        <f>IF(B4052="Frete de venda",0,(1-ISNUMBER(SEARCH("556",P4052)))*(I4052*VLOOKUP($B4052,Premissas!$A$4:$E$7,2,0)+J4052*VLOOKUP($B4052,Premissas!$A$4:$E$7,3,0))+K4052*VLOOKUP($B4052,Premissas!$A$4:$E$7,4,0)+L4052*VLOOKUP($B4052,Premissas!$A$4:$E$7,5,0))</f>
        <v/>
      </c>
      <c r="N4052" s="14">
        <f>H4052-M4052</f>
        <v/>
      </c>
      <c r="O4052" t="inlineStr">
        <is>
          <t>Não</t>
        </is>
      </c>
      <c r="P4052" t="inlineStr">
        <is>
          <t>2.350</t>
        </is>
      </c>
    </row>
    <row r="4053">
      <c r="A4053" s="24" t="n">
        <v>46204</v>
      </c>
      <c r="B4053" t="inlineStr">
        <is>
          <t>Frete de venda</t>
        </is>
      </c>
      <c r="C4053" t="inlineStr">
        <is>
          <t>Frete de venda (para clientes)</t>
        </is>
      </c>
      <c r="D4053" t="inlineStr">
        <is>
          <t>CT-e</t>
        </is>
      </c>
      <c r="E4053" t="inlineStr">
        <is>
          <t>000007548</t>
        </is>
      </c>
      <c r="F4053" t="inlineStr">
        <is>
          <t>R&amp;R TRANSPORTE E LOGISTICA</t>
        </is>
      </c>
      <c r="G4053" s="27" t="n">
        <v>46211</v>
      </c>
      <c r="H4053" s="14" t="n">
        <v>89.91</v>
      </c>
      <c r="I4053" s="14" t="n">
        <v>0</v>
      </c>
      <c r="J4053" s="14" t="n">
        <v>0</v>
      </c>
      <c r="K4053" s="14" t="n">
        <v>0</v>
      </c>
      <c r="L4053" s="14" t="n">
        <v>0</v>
      </c>
      <c r="M4053" s="14">
        <f>IF(B4053="Frete de venda",0,(1-ISNUMBER(SEARCH("556",P4053)))*(I4053*VLOOKUP($B4053,Premissas!$A$4:$E$7,2,0)+J4053*VLOOKUP($B4053,Premissas!$A$4:$E$7,3,0))+K4053*VLOOKUP($B4053,Premissas!$A$4:$E$7,4,0)+L4053*VLOOKUP($B4053,Premissas!$A$4:$E$7,5,0))</f>
        <v/>
      </c>
      <c r="N4053" s="14">
        <f>H4053-M4053</f>
        <v/>
      </c>
      <c r="O4053" t="inlineStr">
        <is>
          <t>Não</t>
        </is>
      </c>
      <c r="P4053" t="inlineStr">
        <is>
          <t>2.350</t>
        </is>
      </c>
    </row>
    <row r="4054">
      <c r="A4054" s="24" t="n">
        <v>46204</v>
      </c>
      <c r="B4054" t="inlineStr">
        <is>
          <t>Frete de venda</t>
        </is>
      </c>
      <c r="C4054" t="inlineStr">
        <is>
          <t>Frete de venda (para clientes)</t>
        </is>
      </c>
      <c r="D4054" t="inlineStr">
        <is>
          <t>CT-e</t>
        </is>
      </c>
      <c r="E4054" t="inlineStr">
        <is>
          <t>000007521</t>
        </is>
      </c>
      <c r="F4054" t="inlineStr">
        <is>
          <t>R&amp;R TRANSPORTE E LOGISTICA</t>
        </is>
      </c>
      <c r="G4054" s="27" t="n">
        <v>46204</v>
      </c>
      <c r="H4054" s="14" t="n">
        <v>291.4</v>
      </c>
      <c r="I4054" s="14" t="n">
        <v>0</v>
      </c>
      <c r="J4054" s="14" t="n">
        <v>0</v>
      </c>
      <c r="K4054" s="14" t="n">
        <v>0</v>
      </c>
      <c r="L4054" s="14" t="n">
        <v>0</v>
      </c>
      <c r="M4054" s="14">
        <f>IF(B4054="Frete de venda",0,(1-ISNUMBER(SEARCH("556",P4054)))*(I4054*VLOOKUP($B4054,Premissas!$A$4:$E$7,2,0)+J4054*VLOOKUP($B4054,Premissas!$A$4:$E$7,3,0))+K4054*VLOOKUP($B4054,Premissas!$A$4:$E$7,4,0)+L4054*VLOOKUP($B4054,Premissas!$A$4:$E$7,5,0))</f>
        <v/>
      </c>
      <c r="N4054" s="14">
        <f>H4054-M4054</f>
        <v/>
      </c>
      <c r="O4054" t="inlineStr">
        <is>
          <t>Não</t>
        </is>
      </c>
      <c r="P4054" t="inlineStr">
        <is>
          <t>2.350</t>
        </is>
      </c>
    </row>
    <row r="4055">
      <c r="A4055" s="24" t="n">
        <v>46204</v>
      </c>
      <c r="B4055" t="inlineStr">
        <is>
          <t>Frete de venda</t>
        </is>
      </c>
      <c r="C4055" t="inlineStr">
        <is>
          <t>Frete de venda (para clientes)</t>
        </is>
      </c>
      <c r="D4055" t="inlineStr">
        <is>
          <t>CT-e</t>
        </is>
      </c>
      <c r="E4055" t="inlineStr">
        <is>
          <t>000007775</t>
        </is>
      </c>
      <c r="F4055" t="inlineStr">
        <is>
          <t>R&amp;R TRANSPORTE E LOGISTICA</t>
        </is>
      </c>
      <c r="G4055" s="27" t="n">
        <v>46227</v>
      </c>
      <c r="H4055" s="14" t="n">
        <v>39.02</v>
      </c>
      <c r="I4055" s="14" t="n">
        <v>0</v>
      </c>
      <c r="J4055" s="14" t="n">
        <v>0</v>
      </c>
      <c r="K4055" s="14" t="n">
        <v>0</v>
      </c>
      <c r="L4055" s="14" t="n">
        <v>0</v>
      </c>
      <c r="M4055" s="14">
        <f>IF(B4055="Frete de venda",0,(1-ISNUMBER(SEARCH("556",P4055)))*(I4055*VLOOKUP($B4055,Premissas!$A$4:$E$7,2,0)+J4055*VLOOKUP($B4055,Premissas!$A$4:$E$7,3,0))+K4055*VLOOKUP($B4055,Premissas!$A$4:$E$7,4,0)+L4055*VLOOKUP($B4055,Premissas!$A$4:$E$7,5,0))</f>
        <v/>
      </c>
      <c r="N4055" s="14">
        <f>H4055-M4055</f>
        <v/>
      </c>
      <c r="O4055" t="inlineStr">
        <is>
          <t>Não</t>
        </is>
      </c>
      <c r="P4055" t="inlineStr">
        <is>
          <t>1.350</t>
        </is>
      </c>
    </row>
    <row r="4056">
      <c r="A4056" s="24" t="n">
        <v>46204</v>
      </c>
      <c r="B4056" t="inlineStr">
        <is>
          <t>Frete de venda</t>
        </is>
      </c>
      <c r="C4056" t="inlineStr">
        <is>
          <t>Frete de venda (para clientes)</t>
        </is>
      </c>
      <c r="D4056" t="inlineStr">
        <is>
          <t>CT-e</t>
        </is>
      </c>
      <c r="E4056" t="inlineStr">
        <is>
          <t>000007777</t>
        </is>
      </c>
      <c r="F4056" t="inlineStr">
        <is>
          <t>R&amp;R TRANSPORTE E LOGISTICA</t>
        </is>
      </c>
      <c r="G4056" s="27" t="n">
        <v>46227</v>
      </c>
      <c r="H4056" s="14" t="n">
        <v>26.08</v>
      </c>
      <c r="I4056" s="14" t="n">
        <v>0</v>
      </c>
      <c r="J4056" s="14" t="n">
        <v>0</v>
      </c>
      <c r="K4056" s="14" t="n">
        <v>0</v>
      </c>
      <c r="L4056" s="14" t="n">
        <v>0</v>
      </c>
      <c r="M4056" s="14">
        <f>IF(B4056="Frete de venda",0,(1-ISNUMBER(SEARCH("556",P4056)))*(I4056*VLOOKUP($B4056,Premissas!$A$4:$E$7,2,0)+J4056*VLOOKUP($B4056,Premissas!$A$4:$E$7,3,0))+K4056*VLOOKUP($B4056,Premissas!$A$4:$E$7,4,0)+L4056*VLOOKUP($B4056,Premissas!$A$4:$E$7,5,0))</f>
        <v/>
      </c>
      <c r="N4056" s="14">
        <f>H4056-M4056</f>
        <v/>
      </c>
      <c r="O4056" t="inlineStr">
        <is>
          <t>Não</t>
        </is>
      </c>
      <c r="P4056" t="inlineStr">
        <is>
          <t>1.350</t>
        </is>
      </c>
    </row>
    <row r="4057">
      <c r="A4057" s="24" t="n">
        <v>46204</v>
      </c>
      <c r="B4057" t="inlineStr">
        <is>
          <t>Frete de venda</t>
        </is>
      </c>
      <c r="C4057" t="inlineStr">
        <is>
          <t>Frete de venda (para clientes)</t>
        </is>
      </c>
      <c r="D4057" t="inlineStr">
        <is>
          <t>CT-e</t>
        </is>
      </c>
      <c r="E4057" t="inlineStr">
        <is>
          <t>000007594</t>
        </is>
      </c>
      <c r="F4057" t="inlineStr">
        <is>
          <t>R&amp;R TRANSPORTE E LOGISTICA</t>
        </is>
      </c>
      <c r="G4057" s="27" t="n">
        <v>46212</v>
      </c>
      <c r="H4057" s="14" t="n">
        <v>24.09</v>
      </c>
      <c r="I4057" s="14" t="n">
        <v>0</v>
      </c>
      <c r="J4057" s="14" t="n">
        <v>0</v>
      </c>
      <c r="K4057" s="14" t="n">
        <v>0</v>
      </c>
      <c r="L4057" s="14" t="n">
        <v>0</v>
      </c>
      <c r="M4057" s="14">
        <f>IF(B4057="Frete de venda",0,(1-ISNUMBER(SEARCH("556",P4057)))*(I4057*VLOOKUP($B4057,Premissas!$A$4:$E$7,2,0)+J4057*VLOOKUP($B4057,Premissas!$A$4:$E$7,3,0))+K4057*VLOOKUP($B4057,Premissas!$A$4:$E$7,4,0)+L4057*VLOOKUP($B4057,Premissas!$A$4:$E$7,5,0))</f>
        <v/>
      </c>
      <c r="N4057" s="14">
        <f>H4057-M4057</f>
        <v/>
      </c>
      <c r="O4057" t="inlineStr">
        <is>
          <t>Não</t>
        </is>
      </c>
      <c r="P4057" t="inlineStr">
        <is>
          <t>2.350</t>
        </is>
      </c>
    </row>
    <row r="4058">
      <c r="A4058" s="24" t="n">
        <v>46204</v>
      </c>
      <c r="B4058" t="inlineStr">
        <is>
          <t>Frete de venda</t>
        </is>
      </c>
      <c r="C4058" t="inlineStr">
        <is>
          <t>Frete de venda (para clientes)</t>
        </is>
      </c>
      <c r="D4058" t="inlineStr">
        <is>
          <t>CT-e</t>
        </is>
      </c>
      <c r="E4058" t="inlineStr">
        <is>
          <t>000007739</t>
        </is>
      </c>
      <c r="F4058" t="inlineStr">
        <is>
          <t>R&amp;R TRANSPORTE E LOGISTICA</t>
        </is>
      </c>
      <c r="G4058" s="27" t="n">
        <v>46225</v>
      </c>
      <c r="H4058" s="14" t="n">
        <v>40.19</v>
      </c>
      <c r="I4058" s="14" t="n">
        <v>0</v>
      </c>
      <c r="J4058" s="14" t="n">
        <v>0</v>
      </c>
      <c r="K4058" s="14" t="n">
        <v>0</v>
      </c>
      <c r="L4058" s="14" t="n">
        <v>0</v>
      </c>
      <c r="M4058" s="14">
        <f>IF(B4058="Frete de venda",0,(1-ISNUMBER(SEARCH("556",P4058)))*(I4058*VLOOKUP($B4058,Premissas!$A$4:$E$7,2,0)+J4058*VLOOKUP($B4058,Premissas!$A$4:$E$7,3,0))+K4058*VLOOKUP($B4058,Premissas!$A$4:$E$7,4,0)+L4058*VLOOKUP($B4058,Premissas!$A$4:$E$7,5,0))</f>
        <v/>
      </c>
      <c r="N4058" s="14">
        <f>H4058-M4058</f>
        <v/>
      </c>
      <c r="O4058" t="inlineStr">
        <is>
          <t>Não</t>
        </is>
      </c>
      <c r="P4058" t="inlineStr">
        <is>
          <t>2.350</t>
        </is>
      </c>
    </row>
    <row r="4059">
      <c r="A4059" s="24" t="n">
        <v>46204</v>
      </c>
      <c r="B4059" t="inlineStr">
        <is>
          <t>Frete de venda</t>
        </is>
      </c>
      <c r="C4059" t="inlineStr">
        <is>
          <t>Frete de venda (para clientes)</t>
        </is>
      </c>
      <c r="D4059" t="inlineStr">
        <is>
          <t>CT-e</t>
        </is>
      </c>
      <c r="E4059" t="inlineStr">
        <is>
          <t>000007703</t>
        </is>
      </c>
      <c r="F4059" t="inlineStr">
        <is>
          <t>R&amp;R TRANSPORTE E LOGISTICA</t>
        </is>
      </c>
      <c r="G4059" s="27" t="n">
        <v>46224</v>
      </c>
      <c r="H4059" s="14" t="n">
        <v>23.2</v>
      </c>
      <c r="I4059" s="14" t="n">
        <v>0</v>
      </c>
      <c r="J4059" s="14" t="n">
        <v>0</v>
      </c>
      <c r="K4059" s="14" t="n">
        <v>0</v>
      </c>
      <c r="L4059" s="14" t="n">
        <v>0</v>
      </c>
      <c r="M4059" s="14">
        <f>IF(B4059="Frete de venda",0,(1-ISNUMBER(SEARCH("556",P4059)))*(I4059*VLOOKUP($B4059,Premissas!$A$4:$E$7,2,0)+J4059*VLOOKUP($B4059,Premissas!$A$4:$E$7,3,0))+K4059*VLOOKUP($B4059,Premissas!$A$4:$E$7,4,0)+L4059*VLOOKUP($B4059,Premissas!$A$4:$E$7,5,0))</f>
        <v/>
      </c>
      <c r="N4059" s="14">
        <f>H4059-M4059</f>
        <v/>
      </c>
      <c r="O4059" t="inlineStr">
        <is>
          <t>Não</t>
        </is>
      </c>
      <c r="P4059" t="inlineStr">
        <is>
          <t>2.350</t>
        </is>
      </c>
    </row>
    <row r="4060">
      <c r="A4060" s="24" t="n">
        <v>46204</v>
      </c>
      <c r="B4060" t="inlineStr">
        <is>
          <t>Frete de venda</t>
        </is>
      </c>
      <c r="C4060" t="inlineStr">
        <is>
          <t>Frete de venda (para clientes)</t>
        </is>
      </c>
      <c r="D4060" t="inlineStr">
        <is>
          <t>CT-e</t>
        </is>
      </c>
      <c r="E4060" t="inlineStr">
        <is>
          <t>000005478</t>
        </is>
      </c>
      <c r="F4060" t="inlineStr">
        <is>
          <t>UNIVERSAL CARGAS EXPRESS</t>
        </is>
      </c>
      <c r="G4060" s="27" t="n">
        <v>46231</v>
      </c>
      <c r="H4060" s="14" t="n">
        <v>380</v>
      </c>
      <c r="I4060" s="14" t="n">
        <v>0</v>
      </c>
      <c r="J4060" s="14" t="n">
        <v>0</v>
      </c>
      <c r="K4060" s="14" t="n">
        <v>0</v>
      </c>
      <c r="L4060" s="14" t="n">
        <v>0</v>
      </c>
      <c r="M4060" s="14">
        <f>IF(B4060="Frete de venda",0,(1-ISNUMBER(SEARCH("556",P4060)))*(I4060*VLOOKUP($B4060,Premissas!$A$4:$E$7,2,0)+J4060*VLOOKUP($B4060,Premissas!$A$4:$E$7,3,0))+K4060*VLOOKUP($B4060,Premissas!$A$4:$E$7,4,0)+L4060*VLOOKUP($B4060,Premissas!$A$4:$E$7,5,0))</f>
        <v/>
      </c>
      <c r="N4060" s="14">
        <f>H4060-M4060</f>
        <v/>
      </c>
      <c r="O4060" t="inlineStr">
        <is>
          <t>Sim</t>
        </is>
      </c>
      <c r="P4060" t="inlineStr">
        <is>
          <t>2.350</t>
        </is>
      </c>
    </row>
    <row r="4061">
      <c r="A4061" s="24" t="n">
        <v>46204</v>
      </c>
      <c r="B4061" t="inlineStr">
        <is>
          <t>Frete de venda</t>
        </is>
      </c>
      <c r="C4061" t="inlineStr">
        <is>
          <t>Frete de venda (para clientes)</t>
        </is>
      </c>
      <c r="D4061" t="inlineStr">
        <is>
          <t>CT-e</t>
        </is>
      </c>
      <c r="E4061" t="inlineStr">
        <is>
          <t>000007585</t>
        </is>
      </c>
      <c r="F4061" t="inlineStr">
        <is>
          <t>R&amp;R TRANSPORTE E LOGISTICA</t>
        </is>
      </c>
      <c r="G4061" s="27" t="n">
        <v>46212</v>
      </c>
      <c r="H4061" s="14" t="n">
        <v>24.09</v>
      </c>
      <c r="I4061" s="14" t="n">
        <v>0</v>
      </c>
      <c r="J4061" s="14" t="n">
        <v>0</v>
      </c>
      <c r="K4061" s="14" t="n">
        <v>0</v>
      </c>
      <c r="L4061" s="14" t="n">
        <v>0</v>
      </c>
      <c r="M4061" s="14">
        <f>IF(B4061="Frete de venda",0,(1-ISNUMBER(SEARCH("556",P4061)))*(I4061*VLOOKUP($B4061,Premissas!$A$4:$E$7,2,0)+J4061*VLOOKUP($B4061,Premissas!$A$4:$E$7,3,0))+K4061*VLOOKUP($B4061,Premissas!$A$4:$E$7,4,0)+L4061*VLOOKUP($B4061,Premissas!$A$4:$E$7,5,0))</f>
        <v/>
      </c>
      <c r="N4061" s="14">
        <f>H4061-M4061</f>
        <v/>
      </c>
      <c r="O4061" t="inlineStr">
        <is>
          <t>Não</t>
        </is>
      </c>
      <c r="P4061" t="inlineStr">
        <is>
          <t>2.350</t>
        </is>
      </c>
    </row>
    <row r="4062">
      <c r="A4062" s="24" t="n">
        <v>46204</v>
      </c>
      <c r="B4062" t="inlineStr">
        <is>
          <t>Frete de venda</t>
        </is>
      </c>
      <c r="C4062" t="inlineStr">
        <is>
          <t>Frete de venda (para clientes)</t>
        </is>
      </c>
      <c r="D4062" t="inlineStr">
        <is>
          <t>CT-e</t>
        </is>
      </c>
      <c r="E4062" t="inlineStr">
        <is>
          <t>000007723</t>
        </is>
      </c>
      <c r="F4062" t="inlineStr">
        <is>
          <t>R&amp;R TRANSPORTE E LOGISTICA</t>
        </is>
      </c>
      <c r="G4062" s="27" t="n">
        <v>46225</v>
      </c>
      <c r="H4062" s="14" t="n">
        <v>20.97</v>
      </c>
      <c r="I4062" s="14" t="n">
        <v>0</v>
      </c>
      <c r="J4062" s="14" t="n">
        <v>0</v>
      </c>
      <c r="K4062" s="14" t="n">
        <v>0</v>
      </c>
      <c r="L4062" s="14" t="n">
        <v>0</v>
      </c>
      <c r="M4062" s="14">
        <f>IF(B4062="Frete de venda",0,(1-ISNUMBER(SEARCH("556",P4062)))*(I4062*VLOOKUP($B4062,Premissas!$A$4:$E$7,2,0)+J4062*VLOOKUP($B4062,Premissas!$A$4:$E$7,3,0))+K4062*VLOOKUP($B4062,Premissas!$A$4:$E$7,4,0)+L4062*VLOOKUP($B4062,Premissas!$A$4:$E$7,5,0))</f>
        <v/>
      </c>
      <c r="N4062" s="14">
        <f>H4062-M4062</f>
        <v/>
      </c>
      <c r="O4062" t="inlineStr">
        <is>
          <t>Não</t>
        </is>
      </c>
      <c r="P4062" t="inlineStr">
        <is>
          <t>2.350</t>
        </is>
      </c>
    </row>
    <row r="4063">
      <c r="A4063" s="24" t="n">
        <v>46204</v>
      </c>
      <c r="B4063" t="inlineStr">
        <is>
          <t>Frete de venda</t>
        </is>
      </c>
      <c r="C4063" t="inlineStr">
        <is>
          <t>Frete de venda (para clientes)</t>
        </is>
      </c>
      <c r="D4063" t="inlineStr">
        <is>
          <t>CT-e</t>
        </is>
      </c>
      <c r="E4063" t="inlineStr">
        <is>
          <t>000007758</t>
        </is>
      </c>
      <c r="F4063" t="inlineStr">
        <is>
          <t>R&amp;R TRANSPORTE E LOGISTICA</t>
        </is>
      </c>
      <c r="G4063" s="27" t="n">
        <v>46227</v>
      </c>
      <c r="H4063" s="14" t="n">
        <v>11.28</v>
      </c>
      <c r="I4063" s="14" t="n">
        <v>0</v>
      </c>
      <c r="J4063" s="14" t="n">
        <v>0</v>
      </c>
      <c r="K4063" s="14" t="n">
        <v>0</v>
      </c>
      <c r="L4063" s="14" t="n">
        <v>0</v>
      </c>
      <c r="M4063" s="14">
        <f>IF(B4063="Frete de venda",0,(1-ISNUMBER(SEARCH("556",P4063)))*(I4063*VLOOKUP($B4063,Premissas!$A$4:$E$7,2,0)+J4063*VLOOKUP($B4063,Premissas!$A$4:$E$7,3,0))+K4063*VLOOKUP($B4063,Premissas!$A$4:$E$7,4,0)+L4063*VLOOKUP($B4063,Premissas!$A$4:$E$7,5,0))</f>
        <v/>
      </c>
      <c r="N4063" s="14">
        <f>H4063-M4063</f>
        <v/>
      </c>
      <c r="O4063" t="inlineStr">
        <is>
          <t>Não</t>
        </is>
      </c>
      <c r="P4063" t="inlineStr">
        <is>
          <t>1.350</t>
        </is>
      </c>
    </row>
    <row r="4064">
      <c r="A4064" s="24" t="n">
        <v>46204</v>
      </c>
      <c r="B4064" t="inlineStr">
        <is>
          <t>Frete de venda</t>
        </is>
      </c>
      <c r="C4064" t="inlineStr">
        <is>
          <t>Frete de venda (para clientes)</t>
        </is>
      </c>
      <c r="D4064" t="inlineStr">
        <is>
          <t>CT-e</t>
        </is>
      </c>
      <c r="E4064" t="inlineStr">
        <is>
          <t>000046050</t>
        </is>
      </c>
      <c r="F4064" t="inlineStr">
        <is>
          <t>TRANSFORRECHI TRANSPORTES LTDA</t>
        </is>
      </c>
      <c r="G4064" s="27" t="n">
        <v>46220</v>
      </c>
      <c r="H4064" s="14" t="n">
        <v>720</v>
      </c>
      <c r="I4064" s="14" t="n">
        <v>0</v>
      </c>
      <c r="J4064" s="14" t="n">
        <v>86.40000000000001</v>
      </c>
      <c r="K4064" s="14" t="n">
        <v>0</v>
      </c>
      <c r="L4064" s="14" t="n">
        <v>0</v>
      </c>
      <c r="M4064" s="14">
        <f>IF(B4064="Frete de venda",0,(1-ISNUMBER(SEARCH("556",P4064)))*(I4064*VLOOKUP($B4064,Premissas!$A$4:$E$7,2,0)+J4064*VLOOKUP($B4064,Premissas!$A$4:$E$7,3,0))+K4064*VLOOKUP($B4064,Premissas!$A$4:$E$7,4,0)+L4064*VLOOKUP($B4064,Premissas!$A$4:$E$7,5,0))</f>
        <v/>
      </c>
      <c r="N4064" s="14">
        <f>H4064-M4064</f>
        <v/>
      </c>
      <c r="O4064" t="inlineStr">
        <is>
          <t>Sim</t>
        </is>
      </c>
      <c r="P4064" t="inlineStr">
        <is>
          <t>2.350</t>
        </is>
      </c>
    </row>
    <row r="4065">
      <c r="A4065" s="24" t="n">
        <v>46204</v>
      </c>
      <c r="B4065" t="inlineStr">
        <is>
          <t>Frete de venda</t>
        </is>
      </c>
      <c r="C4065" t="inlineStr">
        <is>
          <t>Frete de venda (para clientes)</t>
        </is>
      </c>
      <c r="D4065" t="inlineStr">
        <is>
          <t>CT-e</t>
        </is>
      </c>
      <c r="E4065" t="inlineStr">
        <is>
          <t>000007522</t>
        </is>
      </c>
      <c r="F4065" t="inlineStr">
        <is>
          <t>R&amp;R TRANSPORTE E LOGISTICA</t>
        </is>
      </c>
      <c r="G4065" s="27" t="n">
        <v>46204</v>
      </c>
      <c r="H4065" s="14" t="n">
        <v>71.86</v>
      </c>
      <c r="I4065" s="14" t="n">
        <v>0</v>
      </c>
      <c r="J4065" s="14" t="n">
        <v>0</v>
      </c>
      <c r="K4065" s="14" t="n">
        <v>0</v>
      </c>
      <c r="L4065" s="14" t="n">
        <v>0</v>
      </c>
      <c r="M4065" s="14">
        <f>IF(B4065="Frete de venda",0,(1-ISNUMBER(SEARCH("556",P4065)))*(I4065*VLOOKUP($B4065,Premissas!$A$4:$E$7,2,0)+J4065*VLOOKUP($B4065,Premissas!$A$4:$E$7,3,0))+K4065*VLOOKUP($B4065,Premissas!$A$4:$E$7,4,0)+L4065*VLOOKUP($B4065,Premissas!$A$4:$E$7,5,0))</f>
        <v/>
      </c>
      <c r="N4065" s="14">
        <f>H4065-M4065</f>
        <v/>
      </c>
      <c r="O4065" t="inlineStr">
        <is>
          <t>Não</t>
        </is>
      </c>
      <c r="P4065" t="inlineStr">
        <is>
          <t>2.350</t>
        </is>
      </c>
    </row>
    <row r="4066">
      <c r="A4066" s="24" t="n">
        <v>46204</v>
      </c>
      <c r="B4066" t="inlineStr">
        <is>
          <t>Frete de venda</t>
        </is>
      </c>
      <c r="C4066" t="inlineStr">
        <is>
          <t>Frete de venda (para clientes)</t>
        </is>
      </c>
      <c r="D4066" t="inlineStr">
        <is>
          <t>CT-e</t>
        </is>
      </c>
      <c r="E4066" t="inlineStr">
        <is>
          <t>000007523</t>
        </is>
      </c>
      <c r="F4066" t="inlineStr">
        <is>
          <t>R&amp;R TRANSPORTE E LOGISTICA</t>
        </is>
      </c>
      <c r="G4066" s="27" t="n">
        <v>46204</v>
      </c>
      <c r="H4066" s="14" t="n">
        <v>88.79000000000001</v>
      </c>
      <c r="I4066" s="14" t="n">
        <v>0</v>
      </c>
      <c r="J4066" s="14" t="n">
        <v>0</v>
      </c>
      <c r="K4066" s="14" t="n">
        <v>0</v>
      </c>
      <c r="L4066" s="14" t="n">
        <v>0</v>
      </c>
      <c r="M4066" s="14">
        <f>IF(B4066="Frete de venda",0,(1-ISNUMBER(SEARCH("556",P4066)))*(I4066*VLOOKUP($B4066,Premissas!$A$4:$E$7,2,0)+J4066*VLOOKUP($B4066,Premissas!$A$4:$E$7,3,0))+K4066*VLOOKUP($B4066,Premissas!$A$4:$E$7,4,0)+L4066*VLOOKUP($B4066,Premissas!$A$4:$E$7,5,0))</f>
        <v/>
      </c>
      <c r="N4066" s="14">
        <f>H4066-M4066</f>
        <v/>
      </c>
      <c r="O4066" t="inlineStr">
        <is>
          <t>Não</t>
        </is>
      </c>
      <c r="P4066" t="inlineStr">
        <is>
          <t>2.350</t>
        </is>
      </c>
    </row>
    <row r="4067">
      <c r="A4067" s="24" t="n">
        <v>46204</v>
      </c>
      <c r="B4067" t="inlineStr">
        <is>
          <t>Frete de venda</t>
        </is>
      </c>
      <c r="C4067" t="inlineStr">
        <is>
          <t>Frete de venda (para clientes)</t>
        </is>
      </c>
      <c r="D4067" t="inlineStr">
        <is>
          <t>CT-e</t>
        </is>
      </c>
      <c r="E4067" t="inlineStr">
        <is>
          <t>000007614</t>
        </is>
      </c>
      <c r="F4067" t="inlineStr">
        <is>
          <t>R&amp;R TRANSPORTE E LOGISTICA</t>
        </is>
      </c>
      <c r="G4067" s="27" t="n">
        <v>46214</v>
      </c>
      <c r="H4067" s="14" t="n">
        <v>38.61</v>
      </c>
      <c r="I4067" s="14" t="n">
        <v>0</v>
      </c>
      <c r="J4067" s="14" t="n">
        <v>0</v>
      </c>
      <c r="K4067" s="14" t="n">
        <v>0</v>
      </c>
      <c r="L4067" s="14" t="n">
        <v>0</v>
      </c>
      <c r="M4067" s="14">
        <f>IF(B4067="Frete de venda",0,(1-ISNUMBER(SEARCH("556",P4067)))*(I4067*VLOOKUP($B4067,Premissas!$A$4:$E$7,2,0)+J4067*VLOOKUP($B4067,Premissas!$A$4:$E$7,3,0))+K4067*VLOOKUP($B4067,Premissas!$A$4:$E$7,4,0)+L4067*VLOOKUP($B4067,Premissas!$A$4:$E$7,5,0))</f>
        <v/>
      </c>
      <c r="N4067" s="14">
        <f>H4067-M4067</f>
        <v/>
      </c>
      <c r="O4067" t="inlineStr">
        <is>
          <t>Não</t>
        </is>
      </c>
      <c r="P4067" t="inlineStr">
        <is>
          <t>2.350</t>
        </is>
      </c>
    </row>
    <row r="4068">
      <c r="A4068" s="24" t="n">
        <v>46204</v>
      </c>
      <c r="B4068" t="inlineStr">
        <is>
          <t>Frete de venda</t>
        </is>
      </c>
      <c r="C4068" t="inlineStr">
        <is>
          <t>Frete de venda (para clientes)</t>
        </is>
      </c>
      <c r="D4068" t="inlineStr">
        <is>
          <t>CT-e</t>
        </is>
      </c>
      <c r="E4068" t="inlineStr">
        <is>
          <t>000007690</t>
        </is>
      </c>
      <c r="F4068" t="inlineStr">
        <is>
          <t>R&amp;R TRANSPORTE E LOGISTICA</t>
        </is>
      </c>
      <c r="G4068" s="27" t="n">
        <v>46223</v>
      </c>
      <c r="H4068" s="14" t="n">
        <v>146.34</v>
      </c>
      <c r="I4068" s="14" t="n">
        <v>0</v>
      </c>
      <c r="J4068" s="14" t="n">
        <v>0</v>
      </c>
      <c r="K4068" s="14" t="n">
        <v>0</v>
      </c>
      <c r="L4068" s="14" t="n">
        <v>0</v>
      </c>
      <c r="M4068" s="14">
        <f>IF(B4068="Frete de venda",0,(1-ISNUMBER(SEARCH("556",P4068)))*(I4068*VLOOKUP($B4068,Premissas!$A$4:$E$7,2,0)+J4068*VLOOKUP($B4068,Premissas!$A$4:$E$7,3,0))+K4068*VLOOKUP($B4068,Premissas!$A$4:$E$7,4,0)+L4068*VLOOKUP($B4068,Premissas!$A$4:$E$7,5,0))</f>
        <v/>
      </c>
      <c r="N4068" s="14">
        <f>H4068-M4068</f>
        <v/>
      </c>
      <c r="O4068" t="inlineStr">
        <is>
          <t>Não</t>
        </is>
      </c>
      <c r="P4068" t="inlineStr">
        <is>
          <t>2.350</t>
        </is>
      </c>
    </row>
    <row r="4069">
      <c r="A4069" s="24" t="n">
        <v>46204</v>
      </c>
      <c r="B4069" t="inlineStr">
        <is>
          <t>Frete de venda</t>
        </is>
      </c>
      <c r="C4069" t="inlineStr">
        <is>
          <t>Frete de venda (para clientes)</t>
        </is>
      </c>
      <c r="D4069" t="inlineStr">
        <is>
          <t>CT-e</t>
        </is>
      </c>
      <c r="E4069" t="inlineStr">
        <is>
          <t>000026348</t>
        </is>
      </c>
      <c r="F4069" t="inlineStr">
        <is>
          <t>DR CARGO TRANSPORTE DE CARGAS LTDA</t>
        </is>
      </c>
      <c r="G4069" s="27" t="n">
        <v>46233</v>
      </c>
      <c r="H4069" s="14" t="n">
        <v>797.86</v>
      </c>
      <c r="I4069" s="14" t="n">
        <v>0</v>
      </c>
      <c r="J4069" s="14" t="n">
        <v>95.73999999999999</v>
      </c>
      <c r="K4069" s="14" t="n">
        <v>0</v>
      </c>
      <c r="L4069" s="14" t="n">
        <v>0</v>
      </c>
      <c r="M4069" s="14">
        <f>IF(B4069="Frete de venda",0,(1-ISNUMBER(SEARCH("556",P4069)))*(I4069*VLOOKUP($B4069,Premissas!$A$4:$E$7,2,0)+J4069*VLOOKUP($B4069,Premissas!$A$4:$E$7,3,0))+K4069*VLOOKUP($B4069,Premissas!$A$4:$E$7,4,0)+L4069*VLOOKUP($B4069,Premissas!$A$4:$E$7,5,0))</f>
        <v/>
      </c>
      <c r="N4069" s="14">
        <f>H4069-M4069</f>
        <v/>
      </c>
      <c r="O4069" t="inlineStr">
        <is>
          <t>Sim</t>
        </is>
      </c>
      <c r="P4069" t="inlineStr">
        <is>
          <t>2.350</t>
        </is>
      </c>
    </row>
    <row r="4070">
      <c r="A4070" s="24" t="n">
        <v>46204</v>
      </c>
      <c r="B4070" t="inlineStr">
        <is>
          <t>Frete de venda</t>
        </is>
      </c>
      <c r="C4070" t="inlineStr">
        <is>
          <t>Frete de venda (para clientes)</t>
        </is>
      </c>
      <c r="D4070" t="inlineStr">
        <is>
          <t>CT-e</t>
        </is>
      </c>
      <c r="E4070" t="inlineStr">
        <is>
          <t>000007567</t>
        </is>
      </c>
      <c r="F4070" t="inlineStr">
        <is>
          <t>R&amp;R TRANSPORTE E LOGISTICA</t>
        </is>
      </c>
      <c r="G4070" s="27" t="n">
        <v>46211</v>
      </c>
      <c r="H4070" s="14" t="n">
        <v>35.83</v>
      </c>
      <c r="I4070" s="14" t="n">
        <v>0</v>
      </c>
      <c r="J4070" s="14" t="n">
        <v>0</v>
      </c>
      <c r="K4070" s="14" t="n">
        <v>0</v>
      </c>
      <c r="L4070" s="14" t="n">
        <v>0</v>
      </c>
      <c r="M4070" s="14">
        <f>IF(B4070="Frete de venda",0,(1-ISNUMBER(SEARCH("556",P4070)))*(I4070*VLOOKUP($B4070,Premissas!$A$4:$E$7,2,0)+J4070*VLOOKUP($B4070,Premissas!$A$4:$E$7,3,0))+K4070*VLOOKUP($B4070,Premissas!$A$4:$E$7,4,0)+L4070*VLOOKUP($B4070,Premissas!$A$4:$E$7,5,0))</f>
        <v/>
      </c>
      <c r="N4070" s="14">
        <f>H4070-M4070</f>
        <v/>
      </c>
      <c r="O4070" t="inlineStr">
        <is>
          <t>Não</t>
        </is>
      </c>
      <c r="P4070" t="inlineStr">
        <is>
          <t>2.350</t>
        </is>
      </c>
    </row>
    <row r="4071">
      <c r="A4071" s="24" t="n">
        <v>46204</v>
      </c>
      <c r="B4071" t="inlineStr">
        <is>
          <t>Frete de venda</t>
        </is>
      </c>
      <c r="C4071" t="inlineStr">
        <is>
          <t>Frete de venda (para clientes)</t>
        </is>
      </c>
      <c r="D4071" t="inlineStr">
        <is>
          <t>CT-e</t>
        </is>
      </c>
      <c r="E4071" t="inlineStr">
        <is>
          <t>000007706</t>
        </is>
      </c>
      <c r="F4071" t="inlineStr">
        <is>
          <t>R&amp;R TRANSPORTE E LOGISTICA</t>
        </is>
      </c>
      <c r="G4071" s="27" t="n">
        <v>46224</v>
      </c>
      <c r="H4071" s="14" t="n">
        <v>44.75</v>
      </c>
      <c r="I4071" s="14" t="n">
        <v>0</v>
      </c>
      <c r="J4071" s="14" t="n">
        <v>0</v>
      </c>
      <c r="K4071" s="14" t="n">
        <v>0</v>
      </c>
      <c r="L4071" s="14" t="n">
        <v>0</v>
      </c>
      <c r="M4071" s="14">
        <f>IF(B4071="Frete de venda",0,(1-ISNUMBER(SEARCH("556",P4071)))*(I4071*VLOOKUP($B4071,Premissas!$A$4:$E$7,2,0)+J4071*VLOOKUP($B4071,Premissas!$A$4:$E$7,3,0))+K4071*VLOOKUP($B4071,Premissas!$A$4:$E$7,4,0)+L4071*VLOOKUP($B4071,Premissas!$A$4:$E$7,5,0))</f>
        <v/>
      </c>
      <c r="N4071" s="14">
        <f>H4071-M4071</f>
        <v/>
      </c>
      <c r="O4071" t="inlineStr">
        <is>
          <t>Não</t>
        </is>
      </c>
      <c r="P4071" t="inlineStr">
        <is>
          <t>2.350</t>
        </is>
      </c>
    </row>
    <row r="4072">
      <c r="A4072" s="24" t="n">
        <v>46204</v>
      </c>
      <c r="B4072" t="inlineStr">
        <is>
          <t>Frete de venda</t>
        </is>
      </c>
      <c r="C4072" t="inlineStr">
        <is>
          <t>Frete de venda (para clientes)</t>
        </is>
      </c>
      <c r="D4072" t="inlineStr">
        <is>
          <t>CT-e</t>
        </is>
      </c>
      <c r="E4072" t="inlineStr">
        <is>
          <t>000007767</t>
        </is>
      </c>
      <c r="F4072" t="inlineStr">
        <is>
          <t>R&amp;R TRANSPORTE E LOGISTICA</t>
        </is>
      </c>
      <c r="G4072" s="27" t="n">
        <v>46227</v>
      </c>
      <c r="H4072" s="14" t="n">
        <v>39.41</v>
      </c>
      <c r="I4072" s="14" t="n">
        <v>0</v>
      </c>
      <c r="J4072" s="14" t="n">
        <v>0</v>
      </c>
      <c r="K4072" s="14" t="n">
        <v>0</v>
      </c>
      <c r="L4072" s="14" t="n">
        <v>0</v>
      </c>
      <c r="M4072" s="14">
        <f>IF(B4072="Frete de venda",0,(1-ISNUMBER(SEARCH("556",P4072)))*(I4072*VLOOKUP($B4072,Premissas!$A$4:$E$7,2,0)+J4072*VLOOKUP($B4072,Premissas!$A$4:$E$7,3,0))+K4072*VLOOKUP($B4072,Premissas!$A$4:$E$7,4,0)+L4072*VLOOKUP($B4072,Premissas!$A$4:$E$7,5,0))</f>
        <v/>
      </c>
      <c r="N4072" s="14">
        <f>H4072-M4072</f>
        <v/>
      </c>
      <c r="O4072" t="inlineStr">
        <is>
          <t>Não</t>
        </is>
      </c>
      <c r="P4072" t="inlineStr">
        <is>
          <t>1.350</t>
        </is>
      </c>
    </row>
    <row r="4073">
      <c r="A4073" s="24" t="n">
        <v>46204</v>
      </c>
      <c r="B4073" t="inlineStr">
        <is>
          <t>Frete de venda</t>
        </is>
      </c>
      <c r="C4073" t="inlineStr">
        <is>
          <t>Frete de venda (para clientes)</t>
        </is>
      </c>
      <c r="D4073" t="inlineStr">
        <is>
          <t>CT-e</t>
        </is>
      </c>
      <c r="E4073" t="inlineStr">
        <is>
          <t>000007751</t>
        </is>
      </c>
      <c r="F4073" t="inlineStr">
        <is>
          <t>R&amp;R TRANSPORTE E LOGISTICA</t>
        </is>
      </c>
      <c r="G4073" s="27" t="n">
        <v>46226</v>
      </c>
      <c r="H4073" s="14" t="n">
        <v>45.65</v>
      </c>
      <c r="I4073" s="14" t="n">
        <v>0</v>
      </c>
      <c r="J4073" s="14" t="n">
        <v>0</v>
      </c>
      <c r="K4073" s="14" t="n">
        <v>0</v>
      </c>
      <c r="L4073" s="14" t="n">
        <v>0</v>
      </c>
      <c r="M4073" s="14">
        <f>IF(B4073="Frete de venda",0,(1-ISNUMBER(SEARCH("556",P4073)))*(I4073*VLOOKUP($B4073,Premissas!$A$4:$E$7,2,0)+J4073*VLOOKUP($B4073,Premissas!$A$4:$E$7,3,0))+K4073*VLOOKUP($B4073,Premissas!$A$4:$E$7,4,0)+L4073*VLOOKUP($B4073,Premissas!$A$4:$E$7,5,0))</f>
        <v/>
      </c>
      <c r="N4073" s="14">
        <f>H4073-M4073</f>
        <v/>
      </c>
      <c r="O4073" t="inlineStr">
        <is>
          <t>Não</t>
        </is>
      </c>
      <c r="P4073" t="inlineStr">
        <is>
          <t>1.350</t>
        </is>
      </c>
    </row>
    <row r="4074">
      <c r="A4074" s="24" t="n">
        <v>46204</v>
      </c>
      <c r="B4074" t="inlineStr">
        <is>
          <t>Frete de venda</t>
        </is>
      </c>
      <c r="C4074" t="inlineStr">
        <is>
          <t>Frete de venda (para clientes)</t>
        </is>
      </c>
      <c r="D4074" t="inlineStr">
        <is>
          <t>CT-e</t>
        </is>
      </c>
      <c r="E4074" t="inlineStr">
        <is>
          <t>000007560</t>
        </is>
      </c>
      <c r="F4074" t="inlineStr">
        <is>
          <t>R&amp;R TRANSPORTE E LOGISTICA</t>
        </is>
      </c>
      <c r="G4074" s="27" t="n">
        <v>46211</v>
      </c>
      <c r="H4074" s="14" t="n">
        <v>31.29</v>
      </c>
      <c r="I4074" s="14" t="n">
        <v>0</v>
      </c>
      <c r="J4074" s="14" t="n">
        <v>0</v>
      </c>
      <c r="K4074" s="14" t="n">
        <v>0</v>
      </c>
      <c r="L4074" s="14" t="n">
        <v>0</v>
      </c>
      <c r="M4074" s="14">
        <f>IF(B4074="Frete de venda",0,(1-ISNUMBER(SEARCH("556",P4074)))*(I4074*VLOOKUP($B4074,Premissas!$A$4:$E$7,2,0)+J4074*VLOOKUP($B4074,Premissas!$A$4:$E$7,3,0))+K4074*VLOOKUP($B4074,Premissas!$A$4:$E$7,4,0)+L4074*VLOOKUP($B4074,Premissas!$A$4:$E$7,5,0))</f>
        <v/>
      </c>
      <c r="N4074" s="14">
        <f>H4074-M4074</f>
        <v/>
      </c>
      <c r="O4074" t="inlineStr">
        <is>
          <t>Não</t>
        </is>
      </c>
      <c r="P4074" t="inlineStr">
        <is>
          <t>2.350</t>
        </is>
      </c>
    </row>
    <row r="4075">
      <c r="A4075" s="24" t="n">
        <v>46204</v>
      </c>
      <c r="B4075" t="inlineStr">
        <is>
          <t>Frete de venda</t>
        </is>
      </c>
      <c r="C4075" t="inlineStr">
        <is>
          <t>Frete de venda (para clientes)</t>
        </is>
      </c>
      <c r="D4075" t="inlineStr">
        <is>
          <t>CT-e</t>
        </is>
      </c>
      <c r="E4075" t="inlineStr">
        <is>
          <t>000005430</t>
        </is>
      </c>
      <c r="F4075" t="inlineStr">
        <is>
          <t>UNIVERSAL CARGAS EXPRESS</t>
        </is>
      </c>
      <c r="G4075" s="27" t="n">
        <v>46227</v>
      </c>
      <c r="H4075" s="14" t="n">
        <v>350</v>
      </c>
      <c r="I4075" s="14" t="n">
        <v>0</v>
      </c>
      <c r="J4075" s="14" t="n">
        <v>0</v>
      </c>
      <c r="K4075" s="14" t="n">
        <v>0</v>
      </c>
      <c r="L4075" s="14" t="n">
        <v>0</v>
      </c>
      <c r="M4075" s="14">
        <f>IF(B4075="Frete de venda",0,(1-ISNUMBER(SEARCH("556",P4075)))*(I4075*VLOOKUP($B4075,Premissas!$A$4:$E$7,2,0)+J4075*VLOOKUP($B4075,Premissas!$A$4:$E$7,3,0))+K4075*VLOOKUP($B4075,Premissas!$A$4:$E$7,4,0)+L4075*VLOOKUP($B4075,Premissas!$A$4:$E$7,5,0))</f>
        <v/>
      </c>
      <c r="N4075" s="14">
        <f>H4075-M4075</f>
        <v/>
      </c>
      <c r="O4075" t="inlineStr">
        <is>
          <t>Sim</t>
        </is>
      </c>
      <c r="P4075" t="inlineStr">
        <is>
          <t>2.350</t>
        </is>
      </c>
    </row>
    <row r="4076">
      <c r="A4076" s="24" t="n">
        <v>46204</v>
      </c>
      <c r="B4076" t="inlineStr">
        <is>
          <t>Frete de venda</t>
        </is>
      </c>
      <c r="C4076" t="inlineStr">
        <is>
          <t>Frete de venda (para clientes)</t>
        </is>
      </c>
      <c r="D4076" t="inlineStr">
        <is>
          <t>CT-e</t>
        </is>
      </c>
      <c r="E4076" t="inlineStr">
        <is>
          <t>000007749</t>
        </is>
      </c>
      <c r="F4076" t="inlineStr">
        <is>
          <t>R&amp;R TRANSPORTE E LOGISTICA</t>
        </is>
      </c>
      <c r="G4076" s="27" t="n">
        <v>46226</v>
      </c>
      <c r="H4076" s="14" t="n">
        <v>30.16</v>
      </c>
      <c r="I4076" s="14" t="n">
        <v>0</v>
      </c>
      <c r="J4076" s="14" t="n">
        <v>0</v>
      </c>
      <c r="K4076" s="14" t="n">
        <v>0</v>
      </c>
      <c r="L4076" s="14" t="n">
        <v>0</v>
      </c>
      <c r="M4076" s="14">
        <f>IF(B4076="Frete de venda",0,(1-ISNUMBER(SEARCH("556",P4076)))*(I4076*VLOOKUP($B4076,Premissas!$A$4:$E$7,2,0)+J4076*VLOOKUP($B4076,Premissas!$A$4:$E$7,3,0))+K4076*VLOOKUP($B4076,Premissas!$A$4:$E$7,4,0)+L4076*VLOOKUP($B4076,Premissas!$A$4:$E$7,5,0))</f>
        <v/>
      </c>
      <c r="N4076" s="14">
        <f>H4076-M4076</f>
        <v/>
      </c>
      <c r="O4076" t="inlineStr">
        <is>
          <t>Não</t>
        </is>
      </c>
      <c r="P4076" t="inlineStr">
        <is>
          <t>1.350</t>
        </is>
      </c>
    </row>
    <row r="4077">
      <c r="A4077" s="24" t="n">
        <v>46204</v>
      </c>
      <c r="B4077" t="inlineStr">
        <is>
          <t>Frete de venda</t>
        </is>
      </c>
      <c r="C4077" t="inlineStr">
        <is>
          <t>Frete de venda (para clientes)</t>
        </is>
      </c>
      <c r="D4077" t="inlineStr">
        <is>
          <t>CT-e</t>
        </is>
      </c>
      <c r="E4077" t="inlineStr">
        <is>
          <t>000001149</t>
        </is>
      </c>
      <c r="F4077" t="inlineStr">
        <is>
          <t>ADIL CARLOS DA SILVA</t>
        </is>
      </c>
      <c r="G4077" s="27" t="n">
        <v>46205</v>
      </c>
      <c r="H4077" s="14" t="n">
        <v>1</v>
      </c>
      <c r="I4077" s="14" t="n">
        <v>0</v>
      </c>
      <c r="J4077" s="14" t="n">
        <v>0</v>
      </c>
      <c r="K4077" s="14" t="n">
        <v>0</v>
      </c>
      <c r="L4077" s="14" t="n">
        <v>0</v>
      </c>
      <c r="M4077" s="14">
        <f>IF(B4077="Frete de venda",0,(1-ISNUMBER(SEARCH("556",P4077)))*(I4077*VLOOKUP($B4077,Premissas!$A$4:$E$7,2,0)+J4077*VLOOKUP($B4077,Premissas!$A$4:$E$7,3,0))+K4077*VLOOKUP($B4077,Premissas!$A$4:$E$7,4,0)+L4077*VLOOKUP($B4077,Premissas!$A$4:$E$7,5,0))</f>
        <v/>
      </c>
      <c r="N4077" s="14">
        <f>H4077-M4077</f>
        <v/>
      </c>
      <c r="O4077" t="inlineStr">
        <is>
          <t>Não</t>
        </is>
      </c>
      <c r="P4077" t="inlineStr">
        <is>
          <t>2.350</t>
        </is>
      </c>
    </row>
    <row r="4078">
      <c r="A4078" s="24" t="n">
        <v>46204</v>
      </c>
      <c r="B4078" t="inlineStr">
        <is>
          <t>Frete de venda</t>
        </is>
      </c>
      <c r="C4078" t="inlineStr">
        <is>
          <t>Frete de venda (para clientes)</t>
        </is>
      </c>
      <c r="D4078" t="inlineStr">
        <is>
          <t>CT-e</t>
        </is>
      </c>
      <c r="E4078" t="inlineStr">
        <is>
          <t>000001150</t>
        </is>
      </c>
      <c r="F4078" t="inlineStr">
        <is>
          <t>ADIL CARLOS DA SILVA</t>
        </is>
      </c>
      <c r="G4078" s="27" t="n">
        <v>46205</v>
      </c>
      <c r="H4078" s="14" t="n">
        <v>100</v>
      </c>
      <c r="I4078" s="14" t="n">
        <v>0</v>
      </c>
      <c r="J4078" s="14" t="n">
        <v>0</v>
      </c>
      <c r="K4078" s="14" t="n">
        <v>0</v>
      </c>
      <c r="L4078" s="14" t="n">
        <v>0</v>
      </c>
      <c r="M4078" s="14">
        <f>IF(B4078="Frete de venda",0,(1-ISNUMBER(SEARCH("556",P4078)))*(I4078*VLOOKUP($B4078,Premissas!$A$4:$E$7,2,0)+J4078*VLOOKUP($B4078,Premissas!$A$4:$E$7,3,0))+K4078*VLOOKUP($B4078,Premissas!$A$4:$E$7,4,0)+L4078*VLOOKUP($B4078,Premissas!$A$4:$E$7,5,0))</f>
        <v/>
      </c>
      <c r="N4078" s="14">
        <f>H4078-M4078</f>
        <v/>
      </c>
      <c r="O4078" t="inlineStr">
        <is>
          <t>Não</t>
        </is>
      </c>
      <c r="P4078" t="inlineStr">
        <is>
          <t>2.350</t>
        </is>
      </c>
    </row>
    <row r="4079">
      <c r="A4079" s="24" t="n">
        <v>46204</v>
      </c>
      <c r="B4079" t="inlineStr">
        <is>
          <t>Frete de venda</t>
        </is>
      </c>
      <c r="C4079" t="inlineStr">
        <is>
          <t>Frete de venda (para clientes)</t>
        </is>
      </c>
      <c r="D4079" t="inlineStr">
        <is>
          <t>CT-e</t>
        </is>
      </c>
      <c r="E4079" t="inlineStr">
        <is>
          <t>000007647</t>
        </is>
      </c>
      <c r="F4079" t="inlineStr">
        <is>
          <t>R&amp;R TRANSPORTE E LOGISTICA</t>
        </is>
      </c>
      <c r="G4079" s="27" t="n">
        <v>46218</v>
      </c>
      <c r="H4079" s="14" t="n">
        <v>925</v>
      </c>
      <c r="I4079" s="14" t="n">
        <v>0</v>
      </c>
      <c r="J4079" s="14" t="n">
        <v>0</v>
      </c>
      <c r="K4079" s="14" t="n">
        <v>0</v>
      </c>
      <c r="L4079" s="14" t="n">
        <v>0</v>
      </c>
      <c r="M4079" s="14">
        <f>IF(B4079="Frete de venda",0,(1-ISNUMBER(SEARCH("556",P4079)))*(I4079*VLOOKUP($B4079,Premissas!$A$4:$E$7,2,0)+J4079*VLOOKUP($B4079,Premissas!$A$4:$E$7,3,0))+K4079*VLOOKUP($B4079,Premissas!$A$4:$E$7,4,0)+L4079*VLOOKUP($B4079,Premissas!$A$4:$E$7,5,0))</f>
        <v/>
      </c>
      <c r="N4079" s="14">
        <f>H4079-M4079</f>
        <v/>
      </c>
      <c r="O4079" t="inlineStr">
        <is>
          <t>Não</t>
        </is>
      </c>
      <c r="P4079" t="inlineStr">
        <is>
          <t>2.350</t>
        </is>
      </c>
    </row>
    <row r="4080">
      <c r="A4080" s="24" t="n">
        <v>46204</v>
      </c>
      <c r="B4080" t="inlineStr">
        <is>
          <t>Frete de venda</t>
        </is>
      </c>
      <c r="C4080" t="inlineStr">
        <is>
          <t>Frete de venda (para clientes)</t>
        </is>
      </c>
      <c r="D4080" t="inlineStr">
        <is>
          <t>CT-e</t>
        </is>
      </c>
      <c r="E4080" t="inlineStr">
        <is>
          <t>000007819</t>
        </is>
      </c>
      <c r="F4080" t="inlineStr">
        <is>
          <t>R&amp;R TRANSPORTE E LOGISTICA</t>
        </is>
      </c>
      <c r="G4080" s="27" t="n">
        <v>46234</v>
      </c>
      <c r="H4080" s="14" t="n">
        <v>231.36</v>
      </c>
      <c r="I4080" s="14" t="n">
        <v>0</v>
      </c>
      <c r="J4080" s="14" t="n">
        <v>0</v>
      </c>
      <c r="K4080" s="14" t="n">
        <v>0</v>
      </c>
      <c r="L4080" s="14" t="n">
        <v>0</v>
      </c>
      <c r="M4080" s="14">
        <f>IF(B4080="Frete de venda",0,(1-ISNUMBER(SEARCH("556",P4080)))*(I4080*VLOOKUP($B4080,Premissas!$A$4:$E$7,2,0)+J4080*VLOOKUP($B4080,Premissas!$A$4:$E$7,3,0))+K4080*VLOOKUP($B4080,Premissas!$A$4:$E$7,4,0)+L4080*VLOOKUP($B4080,Premissas!$A$4:$E$7,5,0))</f>
        <v/>
      </c>
      <c r="N4080" s="14">
        <f>H4080-M4080</f>
        <v/>
      </c>
      <c r="O4080" t="inlineStr">
        <is>
          <t>Não</t>
        </is>
      </c>
      <c r="P4080" t="inlineStr">
        <is>
          <t>2.350</t>
        </is>
      </c>
    </row>
    <row r="4081">
      <c r="A4081" s="24" t="n">
        <v>46204</v>
      </c>
      <c r="B4081" t="inlineStr">
        <is>
          <t>Frete de venda</t>
        </is>
      </c>
      <c r="C4081" t="inlineStr">
        <is>
          <t>Frete de venda (para clientes)</t>
        </is>
      </c>
      <c r="D4081" t="inlineStr">
        <is>
          <t>CT-e</t>
        </is>
      </c>
      <c r="E4081" t="inlineStr">
        <is>
          <t>000007588</t>
        </is>
      </c>
      <c r="F4081" t="inlineStr">
        <is>
          <t>R&amp;R TRANSPORTE E LOGISTICA</t>
        </is>
      </c>
      <c r="G4081" s="27" t="n">
        <v>46212</v>
      </c>
      <c r="H4081" s="14" t="n">
        <v>24.09</v>
      </c>
      <c r="I4081" s="14" t="n">
        <v>0</v>
      </c>
      <c r="J4081" s="14" t="n">
        <v>0</v>
      </c>
      <c r="K4081" s="14" t="n">
        <v>0</v>
      </c>
      <c r="L4081" s="14" t="n">
        <v>0</v>
      </c>
      <c r="M4081" s="14">
        <f>IF(B4081="Frete de venda",0,(1-ISNUMBER(SEARCH("556",P4081)))*(I4081*VLOOKUP($B4081,Premissas!$A$4:$E$7,2,0)+J4081*VLOOKUP($B4081,Premissas!$A$4:$E$7,3,0))+K4081*VLOOKUP($B4081,Premissas!$A$4:$E$7,4,0)+L4081*VLOOKUP($B4081,Premissas!$A$4:$E$7,5,0))</f>
        <v/>
      </c>
      <c r="N4081" s="14">
        <f>H4081-M4081</f>
        <v/>
      </c>
      <c r="O4081" t="inlineStr">
        <is>
          <t>Não</t>
        </is>
      </c>
      <c r="P4081" t="inlineStr">
        <is>
          <t>2.350</t>
        </is>
      </c>
    </row>
    <row r="4082">
      <c r="A4082" s="24" t="n">
        <v>46204</v>
      </c>
      <c r="B4082" t="inlineStr">
        <is>
          <t>Frete de venda</t>
        </is>
      </c>
      <c r="C4082" t="inlineStr">
        <is>
          <t>Frete de venda (para clientes)</t>
        </is>
      </c>
      <c r="D4082" t="inlineStr">
        <is>
          <t>CT-e</t>
        </is>
      </c>
      <c r="E4082" t="inlineStr">
        <is>
          <t>000007658</t>
        </is>
      </c>
      <c r="F4082" t="inlineStr">
        <is>
          <t>R&amp;R TRANSPORTE E LOGISTICA</t>
        </is>
      </c>
      <c r="G4082" s="27" t="n">
        <v>46219</v>
      </c>
      <c r="H4082" s="14" t="n">
        <v>58.2</v>
      </c>
      <c r="I4082" s="14" t="n">
        <v>0</v>
      </c>
      <c r="J4082" s="14" t="n">
        <v>0</v>
      </c>
      <c r="K4082" s="14" t="n">
        <v>0</v>
      </c>
      <c r="L4082" s="14" t="n">
        <v>0</v>
      </c>
      <c r="M4082" s="14">
        <f>IF(B4082="Frete de venda",0,(1-ISNUMBER(SEARCH("556",P4082)))*(I4082*VLOOKUP($B4082,Premissas!$A$4:$E$7,2,0)+J4082*VLOOKUP($B4082,Premissas!$A$4:$E$7,3,0))+K4082*VLOOKUP($B4082,Premissas!$A$4:$E$7,4,0)+L4082*VLOOKUP($B4082,Premissas!$A$4:$E$7,5,0))</f>
        <v/>
      </c>
      <c r="N4082" s="14">
        <f>H4082-M4082</f>
        <v/>
      </c>
      <c r="O4082" t="inlineStr">
        <is>
          <t>Não</t>
        </is>
      </c>
      <c r="P4082" t="inlineStr">
        <is>
          <t>2.350</t>
        </is>
      </c>
    </row>
    <row r="4083">
      <c r="A4083" s="24" t="n">
        <v>46204</v>
      </c>
      <c r="B4083" t="inlineStr">
        <is>
          <t>Frete de venda</t>
        </is>
      </c>
      <c r="C4083" t="inlineStr">
        <is>
          <t>Frete de venda (para clientes)</t>
        </is>
      </c>
      <c r="D4083" t="inlineStr">
        <is>
          <t>CT-e</t>
        </is>
      </c>
      <c r="E4083" t="inlineStr">
        <is>
          <t>000007663</t>
        </is>
      </c>
      <c r="F4083" t="inlineStr">
        <is>
          <t>R&amp;R TRANSPORTE E LOGISTICA</t>
        </is>
      </c>
      <c r="G4083" s="27" t="n">
        <v>46219</v>
      </c>
      <c r="H4083" s="14" t="n">
        <v>58.2</v>
      </c>
      <c r="I4083" s="14" t="n">
        <v>0</v>
      </c>
      <c r="J4083" s="14" t="n">
        <v>0</v>
      </c>
      <c r="K4083" s="14" t="n">
        <v>0</v>
      </c>
      <c r="L4083" s="14" t="n">
        <v>0</v>
      </c>
      <c r="M4083" s="14">
        <f>IF(B4083="Frete de venda",0,(1-ISNUMBER(SEARCH("556",P4083)))*(I4083*VLOOKUP($B4083,Premissas!$A$4:$E$7,2,0)+J4083*VLOOKUP($B4083,Premissas!$A$4:$E$7,3,0))+K4083*VLOOKUP($B4083,Premissas!$A$4:$E$7,4,0)+L4083*VLOOKUP($B4083,Premissas!$A$4:$E$7,5,0))</f>
        <v/>
      </c>
      <c r="N4083" s="14">
        <f>H4083-M4083</f>
        <v/>
      </c>
      <c r="O4083" t="inlineStr">
        <is>
          <t>Não</t>
        </is>
      </c>
      <c r="P4083" t="inlineStr">
        <is>
          <t>2.350</t>
        </is>
      </c>
    </row>
    <row r="4084">
      <c r="A4084" s="24" t="n">
        <v>46204</v>
      </c>
      <c r="B4084" t="inlineStr">
        <is>
          <t>Frete de venda</t>
        </is>
      </c>
      <c r="C4084" t="inlineStr">
        <is>
          <t>Frete de venda (para clientes)</t>
        </is>
      </c>
      <c r="D4084" t="inlineStr">
        <is>
          <t>CT-e</t>
        </is>
      </c>
      <c r="E4084" t="inlineStr">
        <is>
          <t>000007772</t>
        </is>
      </c>
      <c r="F4084" t="inlineStr">
        <is>
          <t>R&amp;R TRANSPORTE E LOGISTICA</t>
        </is>
      </c>
      <c r="G4084" s="27" t="n">
        <v>46227</v>
      </c>
      <c r="H4084" s="14" t="n">
        <v>22.09</v>
      </c>
      <c r="I4084" s="14" t="n">
        <v>0</v>
      </c>
      <c r="J4084" s="14" t="n">
        <v>0</v>
      </c>
      <c r="K4084" s="14" t="n">
        <v>0</v>
      </c>
      <c r="L4084" s="14" t="n">
        <v>0</v>
      </c>
      <c r="M4084" s="14">
        <f>IF(B4084="Frete de venda",0,(1-ISNUMBER(SEARCH("556",P4084)))*(I4084*VLOOKUP($B4084,Premissas!$A$4:$E$7,2,0)+J4084*VLOOKUP($B4084,Premissas!$A$4:$E$7,3,0))+K4084*VLOOKUP($B4084,Premissas!$A$4:$E$7,4,0)+L4084*VLOOKUP($B4084,Premissas!$A$4:$E$7,5,0))</f>
        <v/>
      </c>
      <c r="N4084" s="14">
        <f>H4084-M4084</f>
        <v/>
      </c>
      <c r="O4084" t="inlineStr">
        <is>
          <t>Não</t>
        </is>
      </c>
      <c r="P4084" t="inlineStr">
        <is>
          <t>1.350</t>
        </is>
      </c>
    </row>
    <row r="4085">
      <c r="A4085" s="24" t="n">
        <v>46204</v>
      </c>
      <c r="B4085" t="inlineStr">
        <is>
          <t>Frete de venda</t>
        </is>
      </c>
      <c r="C4085" t="inlineStr">
        <is>
          <t>Frete de venda (para clientes)</t>
        </is>
      </c>
      <c r="D4085" t="inlineStr">
        <is>
          <t>CT-e</t>
        </is>
      </c>
      <c r="E4085" t="inlineStr">
        <is>
          <t>000007621</t>
        </is>
      </c>
      <c r="F4085" t="inlineStr">
        <is>
          <t>R&amp;R TRANSPORTE E LOGISTICA</t>
        </is>
      </c>
      <c r="G4085" s="27" t="n">
        <v>46214</v>
      </c>
      <c r="H4085" s="14" t="n">
        <v>250</v>
      </c>
      <c r="I4085" s="14" t="n">
        <v>0</v>
      </c>
      <c r="J4085" s="14" t="n">
        <v>0</v>
      </c>
      <c r="K4085" s="14" t="n">
        <v>0</v>
      </c>
      <c r="L4085" s="14" t="n">
        <v>0</v>
      </c>
      <c r="M4085" s="14">
        <f>IF(B4085="Frete de venda",0,(1-ISNUMBER(SEARCH("556",P4085)))*(I4085*VLOOKUP($B4085,Premissas!$A$4:$E$7,2,0)+J4085*VLOOKUP($B4085,Premissas!$A$4:$E$7,3,0))+K4085*VLOOKUP($B4085,Premissas!$A$4:$E$7,4,0)+L4085*VLOOKUP($B4085,Premissas!$A$4:$E$7,5,0))</f>
        <v/>
      </c>
      <c r="N4085" s="14">
        <f>H4085-M4085</f>
        <v/>
      </c>
      <c r="O4085" t="inlineStr">
        <is>
          <t>Não</t>
        </is>
      </c>
      <c r="P4085" t="inlineStr">
        <is>
          <t>2.350</t>
        </is>
      </c>
    </row>
    <row r="4086">
      <c r="A4086" s="24" t="n">
        <v>46204</v>
      </c>
      <c r="B4086" t="inlineStr">
        <is>
          <t>Frete de venda</t>
        </is>
      </c>
      <c r="C4086" t="inlineStr">
        <is>
          <t>Frete de venda (para clientes)</t>
        </is>
      </c>
      <c r="D4086" t="inlineStr">
        <is>
          <t>CT-e</t>
        </is>
      </c>
      <c r="E4086" t="inlineStr">
        <is>
          <t>000007622</t>
        </is>
      </c>
      <c r="F4086" t="inlineStr">
        <is>
          <t>R&amp;R TRANSPORTE E LOGISTICA</t>
        </is>
      </c>
      <c r="G4086" s="27" t="n">
        <v>46214</v>
      </c>
      <c r="H4086" s="14" t="n">
        <v>250</v>
      </c>
      <c r="I4086" s="14" t="n">
        <v>0</v>
      </c>
      <c r="J4086" s="14" t="n">
        <v>0</v>
      </c>
      <c r="K4086" s="14" t="n">
        <v>0</v>
      </c>
      <c r="L4086" s="14" t="n">
        <v>0</v>
      </c>
      <c r="M4086" s="14">
        <f>IF(B4086="Frete de venda",0,(1-ISNUMBER(SEARCH("556",P4086)))*(I4086*VLOOKUP($B4086,Premissas!$A$4:$E$7,2,0)+J4086*VLOOKUP($B4086,Premissas!$A$4:$E$7,3,0))+K4086*VLOOKUP($B4086,Premissas!$A$4:$E$7,4,0)+L4086*VLOOKUP($B4086,Premissas!$A$4:$E$7,5,0))</f>
        <v/>
      </c>
      <c r="N4086" s="14">
        <f>H4086-M4086</f>
        <v/>
      </c>
      <c r="O4086" t="inlineStr">
        <is>
          <t>Não</t>
        </is>
      </c>
      <c r="P4086" t="inlineStr">
        <is>
          <t>2.350</t>
        </is>
      </c>
    </row>
    <row r="4087">
      <c r="A4087" s="24" t="n">
        <v>46204</v>
      </c>
      <c r="B4087" t="inlineStr">
        <is>
          <t>Frete de venda</t>
        </is>
      </c>
      <c r="C4087" t="inlineStr">
        <is>
          <t>Frete de venda (para clientes)</t>
        </is>
      </c>
      <c r="D4087" t="inlineStr">
        <is>
          <t>CT-e</t>
        </is>
      </c>
      <c r="E4087" t="inlineStr">
        <is>
          <t>000007623</t>
        </is>
      </c>
      <c r="F4087" t="inlineStr">
        <is>
          <t>R&amp;R TRANSPORTE E LOGISTICA</t>
        </is>
      </c>
      <c r="G4087" s="27" t="n">
        <v>46214</v>
      </c>
      <c r="H4087" s="14" t="n">
        <v>250</v>
      </c>
      <c r="I4087" s="14" t="n">
        <v>0</v>
      </c>
      <c r="J4087" s="14" t="n">
        <v>0</v>
      </c>
      <c r="K4087" s="14" t="n">
        <v>0</v>
      </c>
      <c r="L4087" s="14" t="n">
        <v>0</v>
      </c>
      <c r="M4087" s="14">
        <f>IF(B4087="Frete de venda",0,(1-ISNUMBER(SEARCH("556",P4087)))*(I4087*VLOOKUP($B4087,Premissas!$A$4:$E$7,2,0)+J4087*VLOOKUP($B4087,Premissas!$A$4:$E$7,3,0))+K4087*VLOOKUP($B4087,Premissas!$A$4:$E$7,4,0)+L4087*VLOOKUP($B4087,Premissas!$A$4:$E$7,5,0))</f>
        <v/>
      </c>
      <c r="N4087" s="14">
        <f>H4087-M4087</f>
        <v/>
      </c>
      <c r="O4087" t="inlineStr">
        <is>
          <t>Não</t>
        </is>
      </c>
      <c r="P4087" t="inlineStr">
        <is>
          <t>2.350</t>
        </is>
      </c>
    </row>
    <row r="4088">
      <c r="A4088" s="24" t="n">
        <v>46204</v>
      </c>
      <c r="B4088" t="inlineStr">
        <is>
          <t>Frete de venda</t>
        </is>
      </c>
      <c r="C4088" t="inlineStr">
        <is>
          <t>Frete de venda (para clientes)</t>
        </is>
      </c>
      <c r="D4088" t="inlineStr">
        <is>
          <t>CT-e</t>
        </is>
      </c>
      <c r="E4088" t="inlineStr">
        <is>
          <t>000007812</t>
        </is>
      </c>
      <c r="F4088" t="inlineStr">
        <is>
          <t>R&amp;R TRANSPORTE E LOGISTICA</t>
        </is>
      </c>
      <c r="G4088" s="27" t="n">
        <v>46234</v>
      </c>
      <c r="H4088" s="14" t="n">
        <v>29.73</v>
      </c>
      <c r="I4088" s="14" t="n">
        <v>0</v>
      </c>
      <c r="J4088" s="14" t="n">
        <v>0</v>
      </c>
      <c r="K4088" s="14" t="n">
        <v>0</v>
      </c>
      <c r="L4088" s="14" t="n">
        <v>0</v>
      </c>
      <c r="M4088" s="14">
        <f>IF(B4088="Frete de venda",0,(1-ISNUMBER(SEARCH("556",P4088)))*(I4088*VLOOKUP($B4088,Premissas!$A$4:$E$7,2,0)+J4088*VLOOKUP($B4088,Premissas!$A$4:$E$7,3,0))+K4088*VLOOKUP($B4088,Premissas!$A$4:$E$7,4,0)+L4088*VLOOKUP($B4088,Premissas!$A$4:$E$7,5,0))</f>
        <v/>
      </c>
      <c r="N4088" s="14">
        <f>H4088-M4088</f>
        <v/>
      </c>
      <c r="O4088" t="inlineStr">
        <is>
          <t>Não</t>
        </is>
      </c>
      <c r="P4088" t="inlineStr">
        <is>
          <t>2.350</t>
        </is>
      </c>
    </row>
    <row r="4089">
      <c r="A4089" s="24" t="n">
        <v>46204</v>
      </c>
      <c r="B4089" t="inlineStr">
        <is>
          <t>Frete de venda</t>
        </is>
      </c>
      <c r="C4089" t="inlineStr">
        <is>
          <t>Frete de venda (para clientes)</t>
        </is>
      </c>
      <c r="D4089" t="inlineStr">
        <is>
          <t>CT-e</t>
        </is>
      </c>
      <c r="E4089" t="inlineStr">
        <is>
          <t>000007805</t>
        </is>
      </c>
      <c r="F4089" t="inlineStr">
        <is>
          <t>R&amp;R TRANSPORTE E LOGISTICA</t>
        </is>
      </c>
      <c r="G4089" s="27" t="n">
        <v>46233</v>
      </c>
      <c r="H4089" s="14" t="n">
        <v>941.36</v>
      </c>
      <c r="I4089" s="14" t="n">
        <v>0</v>
      </c>
      <c r="J4089" s="14" t="n">
        <v>0</v>
      </c>
      <c r="K4089" s="14" t="n">
        <v>0</v>
      </c>
      <c r="L4089" s="14" t="n">
        <v>0</v>
      </c>
      <c r="M4089" s="14">
        <f>IF(B4089="Frete de venda",0,(1-ISNUMBER(SEARCH("556",P4089)))*(I4089*VLOOKUP($B4089,Premissas!$A$4:$E$7,2,0)+J4089*VLOOKUP($B4089,Premissas!$A$4:$E$7,3,0))+K4089*VLOOKUP($B4089,Premissas!$A$4:$E$7,4,0)+L4089*VLOOKUP($B4089,Premissas!$A$4:$E$7,5,0))</f>
        <v/>
      </c>
      <c r="N4089" s="14">
        <f>H4089-M4089</f>
        <v/>
      </c>
      <c r="O4089" t="inlineStr">
        <is>
          <t>Não</t>
        </is>
      </c>
      <c r="P4089" t="inlineStr">
        <is>
          <t>1.350</t>
        </is>
      </c>
    </row>
    <row r="4090">
      <c r="A4090" s="24" t="n">
        <v>46204</v>
      </c>
      <c r="B4090" t="inlineStr">
        <is>
          <t>Frete de venda</t>
        </is>
      </c>
      <c r="C4090" t="inlineStr">
        <is>
          <t>Frete de venda (para clientes)</t>
        </is>
      </c>
      <c r="D4090" t="inlineStr">
        <is>
          <t>CT-e</t>
        </is>
      </c>
      <c r="E4090" t="inlineStr">
        <is>
          <t>000007741</t>
        </is>
      </c>
      <c r="F4090" t="inlineStr">
        <is>
          <t>R&amp;R TRANSPORTE E LOGISTICA</t>
        </is>
      </c>
      <c r="G4090" s="27" t="n">
        <v>46226</v>
      </c>
      <c r="H4090" s="14" t="n">
        <v>37.18</v>
      </c>
      <c r="I4090" s="14" t="n">
        <v>0</v>
      </c>
      <c r="J4090" s="14" t="n">
        <v>0</v>
      </c>
      <c r="K4090" s="14" t="n">
        <v>0</v>
      </c>
      <c r="L4090" s="14" t="n">
        <v>0</v>
      </c>
      <c r="M4090" s="14">
        <f>IF(B4090="Frete de venda",0,(1-ISNUMBER(SEARCH("556",P4090)))*(I4090*VLOOKUP($B4090,Premissas!$A$4:$E$7,2,0)+J4090*VLOOKUP($B4090,Premissas!$A$4:$E$7,3,0))+K4090*VLOOKUP($B4090,Premissas!$A$4:$E$7,4,0)+L4090*VLOOKUP($B4090,Premissas!$A$4:$E$7,5,0))</f>
        <v/>
      </c>
      <c r="N4090" s="14">
        <f>H4090-M4090</f>
        <v/>
      </c>
      <c r="O4090" t="inlineStr">
        <is>
          <t>Não</t>
        </is>
      </c>
      <c r="P4090" t="inlineStr">
        <is>
          <t>2.350</t>
        </is>
      </c>
    </row>
    <row r="4091">
      <c r="A4091" s="24" t="n">
        <v>46204</v>
      </c>
      <c r="B4091" t="inlineStr">
        <is>
          <t>Frete de venda</t>
        </is>
      </c>
      <c r="C4091" t="inlineStr">
        <is>
          <t>Frete de venda (para clientes)</t>
        </is>
      </c>
      <c r="D4091" t="inlineStr">
        <is>
          <t>CT-e</t>
        </is>
      </c>
      <c r="E4091" t="inlineStr">
        <is>
          <t>000001168</t>
        </is>
      </c>
      <c r="F4091" t="inlineStr">
        <is>
          <t>ADIL CARLOS DA SILVA</t>
        </is>
      </c>
      <c r="G4091" s="27" t="n">
        <v>46210</v>
      </c>
      <c r="H4091" s="14" t="n">
        <v>100</v>
      </c>
      <c r="I4091" s="14" t="n">
        <v>0</v>
      </c>
      <c r="J4091" s="14" t="n">
        <v>0</v>
      </c>
      <c r="K4091" s="14" t="n">
        <v>0</v>
      </c>
      <c r="L4091" s="14" t="n">
        <v>0</v>
      </c>
      <c r="M4091" s="14">
        <f>IF(B4091="Frete de venda",0,(1-ISNUMBER(SEARCH("556",P4091)))*(I4091*VLOOKUP($B4091,Premissas!$A$4:$E$7,2,0)+J4091*VLOOKUP($B4091,Premissas!$A$4:$E$7,3,0))+K4091*VLOOKUP($B4091,Premissas!$A$4:$E$7,4,0)+L4091*VLOOKUP($B4091,Premissas!$A$4:$E$7,5,0))</f>
        <v/>
      </c>
      <c r="N4091" s="14">
        <f>H4091-M4091</f>
        <v/>
      </c>
      <c r="O4091" t="inlineStr">
        <is>
          <t>Não</t>
        </is>
      </c>
      <c r="P4091" t="inlineStr">
        <is>
          <t>2.350</t>
        </is>
      </c>
    </row>
    <row r="4092">
      <c r="A4092" s="24" t="n">
        <v>46204</v>
      </c>
      <c r="B4092" t="inlineStr">
        <is>
          <t>Frete de venda</t>
        </is>
      </c>
      <c r="C4092" t="inlineStr">
        <is>
          <t>Frete de venda (para clientes)</t>
        </is>
      </c>
      <c r="D4092" t="inlineStr">
        <is>
          <t>CT-e</t>
        </is>
      </c>
      <c r="E4092" t="inlineStr">
        <is>
          <t>000001166</t>
        </is>
      </c>
      <c r="F4092" t="inlineStr">
        <is>
          <t>ADIL CARLOS DA SILVA</t>
        </is>
      </c>
      <c r="G4092" s="27" t="n">
        <v>46210</v>
      </c>
      <c r="H4092" s="14" t="n">
        <v>1</v>
      </c>
      <c r="I4092" s="14" t="n">
        <v>0</v>
      </c>
      <c r="J4092" s="14" t="n">
        <v>0</v>
      </c>
      <c r="K4092" s="14" t="n">
        <v>0</v>
      </c>
      <c r="L4092" s="14" t="n">
        <v>0</v>
      </c>
      <c r="M4092" s="14">
        <f>IF(B4092="Frete de venda",0,(1-ISNUMBER(SEARCH("556",P4092)))*(I4092*VLOOKUP($B4092,Premissas!$A$4:$E$7,2,0)+J4092*VLOOKUP($B4092,Premissas!$A$4:$E$7,3,0))+K4092*VLOOKUP($B4092,Premissas!$A$4:$E$7,4,0)+L4092*VLOOKUP($B4092,Premissas!$A$4:$E$7,5,0))</f>
        <v/>
      </c>
      <c r="N4092" s="14">
        <f>H4092-M4092</f>
        <v/>
      </c>
      <c r="O4092" t="inlineStr">
        <is>
          <t>Não</t>
        </is>
      </c>
      <c r="P4092" t="inlineStr">
        <is>
          <t>2.350</t>
        </is>
      </c>
    </row>
    <row r="4093">
      <c r="A4093" s="24" t="n">
        <v>46204</v>
      </c>
      <c r="B4093" t="inlineStr">
        <is>
          <t>Frete de venda</t>
        </is>
      </c>
      <c r="C4093" t="inlineStr">
        <is>
          <t>Frete de venda (para clientes)</t>
        </is>
      </c>
      <c r="D4093" t="inlineStr">
        <is>
          <t>CT-e</t>
        </is>
      </c>
      <c r="E4093" t="inlineStr">
        <is>
          <t>000001167</t>
        </is>
      </c>
      <c r="F4093" t="inlineStr">
        <is>
          <t>ADIL CARLOS DA SILVA</t>
        </is>
      </c>
      <c r="G4093" s="27" t="n">
        <v>46210</v>
      </c>
      <c r="H4093" s="14" t="n">
        <v>100</v>
      </c>
      <c r="I4093" s="14" t="n">
        <v>0</v>
      </c>
      <c r="J4093" s="14" t="n">
        <v>0</v>
      </c>
      <c r="K4093" s="14" t="n">
        <v>0</v>
      </c>
      <c r="L4093" s="14" t="n">
        <v>0</v>
      </c>
      <c r="M4093" s="14">
        <f>IF(B4093="Frete de venda",0,(1-ISNUMBER(SEARCH("556",P4093)))*(I4093*VLOOKUP($B4093,Premissas!$A$4:$E$7,2,0)+J4093*VLOOKUP($B4093,Premissas!$A$4:$E$7,3,0))+K4093*VLOOKUP($B4093,Premissas!$A$4:$E$7,4,0)+L4093*VLOOKUP($B4093,Premissas!$A$4:$E$7,5,0))</f>
        <v/>
      </c>
      <c r="N4093" s="14">
        <f>H4093-M4093</f>
        <v/>
      </c>
      <c r="O4093" t="inlineStr">
        <is>
          <t>Não</t>
        </is>
      </c>
      <c r="P4093" t="inlineStr">
        <is>
          <t>2.350</t>
        </is>
      </c>
    </row>
    <row r="4094">
      <c r="A4094" s="24" t="n">
        <v>46204</v>
      </c>
      <c r="B4094" t="inlineStr">
        <is>
          <t>Frete de venda</t>
        </is>
      </c>
      <c r="C4094" t="inlineStr">
        <is>
          <t>Frete de venda (para clientes)</t>
        </is>
      </c>
      <c r="D4094" t="inlineStr">
        <is>
          <t>CT-e</t>
        </is>
      </c>
      <c r="E4094" t="inlineStr">
        <is>
          <t>000005477</t>
        </is>
      </c>
      <c r="F4094" t="inlineStr">
        <is>
          <t>UNIVERSAL CARGAS EXPRESS</t>
        </is>
      </c>
      <c r="G4094" s="27" t="n">
        <v>46231</v>
      </c>
      <c r="H4094" s="14" t="n">
        <v>360</v>
      </c>
      <c r="I4094" s="14" t="n">
        <v>0</v>
      </c>
      <c r="J4094" s="14" t="n">
        <v>0</v>
      </c>
      <c r="K4094" s="14" t="n">
        <v>0</v>
      </c>
      <c r="L4094" s="14" t="n">
        <v>0</v>
      </c>
      <c r="M4094" s="14">
        <f>IF(B4094="Frete de venda",0,(1-ISNUMBER(SEARCH("556",P4094)))*(I4094*VLOOKUP($B4094,Premissas!$A$4:$E$7,2,0)+J4094*VLOOKUP($B4094,Premissas!$A$4:$E$7,3,0))+K4094*VLOOKUP($B4094,Premissas!$A$4:$E$7,4,0)+L4094*VLOOKUP($B4094,Premissas!$A$4:$E$7,5,0))</f>
        <v/>
      </c>
      <c r="N4094" s="14">
        <f>H4094-M4094</f>
        <v/>
      </c>
      <c r="O4094" t="inlineStr">
        <is>
          <t>Sim</t>
        </is>
      </c>
      <c r="P4094" t="inlineStr">
        <is>
          <t>2.350</t>
        </is>
      </c>
    </row>
    <row r="4095">
      <c r="A4095" s="24" t="n">
        <v>46204</v>
      </c>
      <c r="B4095" t="inlineStr">
        <is>
          <t>Frete de venda</t>
        </is>
      </c>
      <c r="C4095" t="inlineStr">
        <is>
          <t>Frete de venda (para clientes)</t>
        </is>
      </c>
      <c r="D4095" t="inlineStr">
        <is>
          <t>CT-e</t>
        </is>
      </c>
      <c r="E4095" t="inlineStr">
        <is>
          <t>000001169</t>
        </is>
      </c>
      <c r="F4095" t="inlineStr">
        <is>
          <t>ADIL CARLOS DA SILVA</t>
        </is>
      </c>
      <c r="G4095" s="27" t="n">
        <v>46210</v>
      </c>
      <c r="H4095" s="14" t="n">
        <v>100</v>
      </c>
      <c r="I4095" s="14" t="n">
        <v>0</v>
      </c>
      <c r="J4095" s="14" t="n">
        <v>0</v>
      </c>
      <c r="K4095" s="14" t="n">
        <v>0</v>
      </c>
      <c r="L4095" s="14" t="n">
        <v>0</v>
      </c>
      <c r="M4095" s="14">
        <f>IF(B4095="Frete de venda",0,(1-ISNUMBER(SEARCH("556",P4095)))*(I4095*VLOOKUP($B4095,Premissas!$A$4:$E$7,2,0)+J4095*VLOOKUP($B4095,Premissas!$A$4:$E$7,3,0))+K4095*VLOOKUP($B4095,Premissas!$A$4:$E$7,4,0)+L4095*VLOOKUP($B4095,Premissas!$A$4:$E$7,5,0))</f>
        <v/>
      </c>
      <c r="N4095" s="14">
        <f>H4095-M4095</f>
        <v/>
      </c>
      <c r="O4095" t="inlineStr">
        <is>
          <t>Não</t>
        </is>
      </c>
      <c r="P4095" t="inlineStr">
        <is>
          <t>2.350</t>
        </is>
      </c>
    </row>
    <row r="4096">
      <c r="A4096" s="24" t="n">
        <v>46204</v>
      </c>
      <c r="B4096" t="inlineStr">
        <is>
          <t>Insumos e papel</t>
        </is>
      </c>
      <c r="C4096" t="inlineStr">
        <is>
          <t>2.01.03 Compra de Matéria Prima (Papel)</t>
        </is>
      </c>
      <c r="D4096" t="inlineStr">
        <is>
          <t>NF-e</t>
        </is>
      </c>
      <c r="E4096" t="inlineStr">
        <is>
          <t>000013990</t>
        </is>
      </c>
      <c r="F4096" t="inlineStr">
        <is>
          <t>CMPC Iguacu Embalagens Ltda</t>
        </is>
      </c>
      <c r="G4096" s="27" t="n">
        <v>46223</v>
      </c>
      <c r="H4096" s="14" t="n">
        <v>148439.44</v>
      </c>
      <c r="I4096" s="14" t="n">
        <v>4672.43</v>
      </c>
      <c r="J4096" s="14" t="n">
        <v>10063.69</v>
      </c>
      <c r="K4096" s="14" t="n">
        <v>2206.1</v>
      </c>
      <c r="L4096" s="14" t="n">
        <v>10161.46</v>
      </c>
      <c r="M4096" s="14">
        <f>IF(B4096="Frete de venda",0,(1-ISNUMBER(SEARCH("556",P4096)))*(I4096*VLOOKUP($B4096,Premissas!$A$4:$E$7,2,0)+J4096*VLOOKUP($B4096,Premissas!$A$4:$E$7,3,0))+K4096*VLOOKUP($B4096,Premissas!$A$4:$E$7,4,0)+L4096*VLOOKUP($B4096,Premissas!$A$4:$E$7,5,0))</f>
        <v/>
      </c>
      <c r="N4096" s="14">
        <f>H4096-M4096</f>
        <v/>
      </c>
      <c r="O4096" t="inlineStr">
        <is>
          <t>Sim</t>
        </is>
      </c>
      <c r="P4096" t="inlineStr">
        <is>
          <t>2.101</t>
        </is>
      </c>
    </row>
    <row r="4097">
      <c r="A4097" s="24" t="n">
        <v>46204</v>
      </c>
      <c r="B4097" t="inlineStr">
        <is>
          <t>Insumos e papel</t>
        </is>
      </c>
      <c r="C4097" t="inlineStr">
        <is>
          <t>2.01.03 Compra de Matéria Prima (Papel)</t>
        </is>
      </c>
      <c r="D4097" t="inlineStr">
        <is>
          <t>NF-e</t>
        </is>
      </c>
      <c r="E4097" t="inlineStr">
        <is>
          <t>000013985</t>
        </is>
      </c>
      <c r="F4097" t="inlineStr">
        <is>
          <t>CMPC Iguacu Embalagens Ltda</t>
        </is>
      </c>
      <c r="G4097" s="27" t="n">
        <v>46223</v>
      </c>
      <c r="H4097" s="14" t="n">
        <v>147213.34</v>
      </c>
      <c r="I4097" s="14" t="n">
        <v>4633.84</v>
      </c>
      <c r="J4097" s="14" t="n">
        <v>9980.57</v>
      </c>
      <c r="K4097" s="14" t="n">
        <v>2187.88</v>
      </c>
      <c r="L4097" s="14" t="n">
        <v>10077.51</v>
      </c>
      <c r="M4097" s="14">
        <f>IF(B4097="Frete de venda",0,(1-ISNUMBER(SEARCH("556",P4097)))*(I4097*VLOOKUP($B4097,Premissas!$A$4:$E$7,2,0)+J4097*VLOOKUP($B4097,Premissas!$A$4:$E$7,3,0))+K4097*VLOOKUP($B4097,Premissas!$A$4:$E$7,4,0)+L4097*VLOOKUP($B4097,Premissas!$A$4:$E$7,5,0))</f>
        <v/>
      </c>
      <c r="N4097" s="14">
        <f>H4097-M4097</f>
        <v/>
      </c>
      <c r="O4097" t="inlineStr">
        <is>
          <t>Sim</t>
        </is>
      </c>
      <c r="P4097" t="inlineStr">
        <is>
          <t>2.101</t>
        </is>
      </c>
    </row>
    <row r="4098">
      <c r="A4098" s="24" t="n">
        <v>46204</v>
      </c>
      <c r="B4098" t="inlineStr">
        <is>
          <t>Insumos e papel</t>
        </is>
      </c>
      <c r="C4098" t="inlineStr">
        <is>
          <t>2.01.03 Compra de Matéria Prima (Papel)</t>
        </is>
      </c>
      <c r="D4098" t="inlineStr">
        <is>
          <t>NF-e</t>
        </is>
      </c>
      <c r="E4098" t="inlineStr">
        <is>
          <t>000013992</t>
        </is>
      </c>
      <c r="F4098" t="inlineStr">
        <is>
          <t>CMPC Iguacu Embalagens Ltda</t>
        </is>
      </c>
      <c r="G4098" s="27" t="n">
        <v>46223</v>
      </c>
      <c r="H4098" s="14" t="n">
        <v>148708.84</v>
      </c>
      <c r="I4098" s="14" t="n">
        <v>4680.91</v>
      </c>
      <c r="J4098" s="14" t="n">
        <v>10081.95</v>
      </c>
      <c r="K4098" s="14" t="n">
        <v>2210.11</v>
      </c>
      <c r="L4098" s="14" t="n">
        <v>10179.89</v>
      </c>
      <c r="M4098" s="14">
        <f>IF(B4098="Frete de venda",0,(1-ISNUMBER(SEARCH("556",P4098)))*(I4098*VLOOKUP($B4098,Premissas!$A$4:$E$7,2,0)+J4098*VLOOKUP($B4098,Premissas!$A$4:$E$7,3,0))+K4098*VLOOKUP($B4098,Premissas!$A$4:$E$7,4,0)+L4098*VLOOKUP($B4098,Premissas!$A$4:$E$7,5,0))</f>
        <v/>
      </c>
      <c r="N4098" s="14">
        <f>H4098-M4098</f>
        <v/>
      </c>
      <c r="O4098" t="inlineStr">
        <is>
          <t>Sim</t>
        </is>
      </c>
      <c r="P4098" t="inlineStr">
        <is>
          <t>2.101</t>
        </is>
      </c>
    </row>
    <row r="4099">
      <c r="A4099" s="24" t="n">
        <v>46204</v>
      </c>
      <c r="B4099" t="inlineStr">
        <is>
          <t>Insumos e papel</t>
        </is>
      </c>
      <c r="C4099" t="inlineStr">
        <is>
          <t>2.01.03 Compra de Matéria Prima (Papel)</t>
        </is>
      </c>
      <c r="D4099" t="inlineStr">
        <is>
          <t>NF-e</t>
        </is>
      </c>
      <c r="E4099" t="inlineStr">
        <is>
          <t>000014005</t>
        </is>
      </c>
      <c r="F4099" t="inlineStr">
        <is>
          <t>CMPC Iguacu Embalagens Ltda</t>
        </is>
      </c>
      <c r="G4099" s="27" t="n">
        <v>46224</v>
      </c>
      <c r="H4099" s="14" t="n">
        <v>146883.45</v>
      </c>
      <c r="I4099" s="14" t="n">
        <v>4623.45</v>
      </c>
      <c r="J4099" s="14" t="n">
        <v>9958.200000000001</v>
      </c>
      <c r="K4099" s="14" t="n">
        <v>2182.98</v>
      </c>
      <c r="L4099" s="14" t="n">
        <v>10054.94</v>
      </c>
      <c r="M4099" s="14">
        <f>IF(B4099="Frete de venda",0,(1-ISNUMBER(SEARCH("556",P4099)))*(I4099*VLOOKUP($B4099,Premissas!$A$4:$E$7,2,0)+J4099*VLOOKUP($B4099,Premissas!$A$4:$E$7,3,0))+K4099*VLOOKUP($B4099,Premissas!$A$4:$E$7,4,0)+L4099*VLOOKUP($B4099,Premissas!$A$4:$E$7,5,0))</f>
        <v/>
      </c>
      <c r="N4099" s="14">
        <f>H4099-M4099</f>
        <v/>
      </c>
      <c r="O4099" t="inlineStr">
        <is>
          <t>Sim</t>
        </is>
      </c>
      <c r="P4099" t="inlineStr">
        <is>
          <t>2.101</t>
        </is>
      </c>
    </row>
    <row r="4100">
      <c r="A4100" s="24" t="n">
        <v>46204</v>
      </c>
      <c r="B4100" t="inlineStr">
        <is>
          <t>Insumos e papel</t>
        </is>
      </c>
      <c r="C4100" t="inlineStr">
        <is>
          <t>2.01.03 Compra de Matéria Prima (Papel)</t>
        </is>
      </c>
      <c r="D4100" t="inlineStr">
        <is>
          <t>NF-e</t>
        </is>
      </c>
      <c r="E4100" t="inlineStr">
        <is>
          <t>000014010</t>
        </is>
      </c>
      <c r="F4100" t="inlineStr">
        <is>
          <t>CMPC Iguacu Embalagens Ltda</t>
        </is>
      </c>
      <c r="G4100" s="27" t="n">
        <v>46224</v>
      </c>
      <c r="H4100" s="14" t="n">
        <v>147240.84</v>
      </c>
      <c r="I4100" s="14" t="n">
        <v>4634.7</v>
      </c>
      <c r="J4100" s="14" t="n">
        <v>9982.43</v>
      </c>
      <c r="K4100" s="14" t="n">
        <v>2188.29</v>
      </c>
      <c r="L4100" s="14" t="n">
        <v>10079.41</v>
      </c>
      <c r="M4100" s="14">
        <f>IF(B4100="Frete de venda",0,(1-ISNUMBER(SEARCH("556",P4100)))*(I4100*VLOOKUP($B4100,Premissas!$A$4:$E$7,2,0)+J4100*VLOOKUP($B4100,Premissas!$A$4:$E$7,3,0))+K4100*VLOOKUP($B4100,Premissas!$A$4:$E$7,4,0)+L4100*VLOOKUP($B4100,Premissas!$A$4:$E$7,5,0))</f>
        <v/>
      </c>
      <c r="N4100" s="14">
        <f>H4100-M4100</f>
        <v/>
      </c>
      <c r="O4100" t="inlineStr">
        <is>
          <t>Sim</t>
        </is>
      </c>
      <c r="P4100" t="inlineStr">
        <is>
          <t>2.101</t>
        </is>
      </c>
    </row>
    <row r="4101">
      <c r="A4101" s="24" t="n">
        <v>46204</v>
      </c>
      <c r="B4101" t="inlineStr">
        <is>
          <t>Insumos e papel</t>
        </is>
      </c>
      <c r="C4101" t="inlineStr">
        <is>
          <t>2.01.03 Compra de Matéria Prima (Papel)</t>
        </is>
      </c>
      <c r="D4101" t="inlineStr">
        <is>
          <t>NF-e</t>
        </is>
      </c>
      <c r="E4101" t="inlineStr">
        <is>
          <t>000014002</t>
        </is>
      </c>
      <c r="F4101" t="inlineStr">
        <is>
          <t>CMPC Iguacu Embalagens Ltda</t>
        </is>
      </c>
      <c r="G4101" s="27" t="n">
        <v>46224</v>
      </c>
      <c r="H4101" s="14" t="n">
        <v>148444.94</v>
      </c>
      <c r="I4101" s="14" t="n">
        <v>4672.61</v>
      </c>
      <c r="J4101" s="14" t="n">
        <v>10064.06</v>
      </c>
      <c r="K4101" s="14" t="n">
        <v>2206.19</v>
      </c>
      <c r="L4101" s="14" t="n">
        <v>10161.82</v>
      </c>
      <c r="M4101" s="14">
        <f>IF(B4101="Frete de venda",0,(1-ISNUMBER(SEARCH("556",P4101)))*(I4101*VLOOKUP($B4101,Premissas!$A$4:$E$7,2,0)+J4101*VLOOKUP($B4101,Premissas!$A$4:$E$7,3,0))+K4101*VLOOKUP($B4101,Premissas!$A$4:$E$7,4,0)+L4101*VLOOKUP($B4101,Premissas!$A$4:$E$7,5,0))</f>
        <v/>
      </c>
      <c r="N4101" s="14">
        <f>H4101-M4101</f>
        <v/>
      </c>
      <c r="O4101" t="inlineStr">
        <is>
          <t>Sim</t>
        </is>
      </c>
      <c r="P4101" t="inlineStr">
        <is>
          <t>2.101</t>
        </is>
      </c>
    </row>
    <row r="4102">
      <c r="A4102" s="24" t="n">
        <v>46204</v>
      </c>
      <c r="B4102" t="inlineStr">
        <is>
          <t>Insumos e papel</t>
        </is>
      </c>
      <c r="C4102" t="inlineStr">
        <is>
          <t>2.01.03 Compra de Matéria Prima (Papel)</t>
        </is>
      </c>
      <c r="D4102" t="inlineStr">
        <is>
          <t>NF-e</t>
        </is>
      </c>
      <c r="E4102" t="inlineStr">
        <is>
          <t>000014071</t>
        </is>
      </c>
      <c r="F4102" t="inlineStr">
        <is>
          <t>CMPC Iguacu Embalagens Ltda</t>
        </is>
      </c>
      <c r="G4102" s="27" t="n">
        <v>46230</v>
      </c>
      <c r="H4102" s="14" t="n">
        <v>148131.55</v>
      </c>
      <c r="I4102" s="14" t="n">
        <v>4662.74</v>
      </c>
      <c r="J4102" s="14" t="n">
        <v>10042.82</v>
      </c>
      <c r="K4102" s="14" t="n">
        <v>2201.53</v>
      </c>
      <c r="L4102" s="14" t="n">
        <v>10140.37</v>
      </c>
      <c r="M4102" s="14">
        <f>IF(B4102="Frete de venda",0,(1-ISNUMBER(SEARCH("556",P4102)))*(I4102*VLOOKUP($B4102,Premissas!$A$4:$E$7,2,0)+J4102*VLOOKUP($B4102,Premissas!$A$4:$E$7,3,0))+K4102*VLOOKUP($B4102,Premissas!$A$4:$E$7,4,0)+L4102*VLOOKUP($B4102,Premissas!$A$4:$E$7,5,0))</f>
        <v/>
      </c>
      <c r="N4102" s="14">
        <f>H4102-M4102</f>
        <v/>
      </c>
      <c r="O4102" t="inlineStr">
        <is>
          <t>Sim</t>
        </is>
      </c>
      <c r="P4102" t="inlineStr">
        <is>
          <t>2.101</t>
        </is>
      </c>
    </row>
    <row r="4103">
      <c r="A4103" s="24" t="n">
        <v>46204</v>
      </c>
      <c r="B4103" t="inlineStr">
        <is>
          <t>Insumos e papel</t>
        </is>
      </c>
      <c r="C4103" t="inlineStr">
        <is>
          <t>2.01.03 Compra de Matéria Prima (Papel)</t>
        </is>
      </c>
      <c r="D4103" t="inlineStr">
        <is>
          <t>NF-e</t>
        </is>
      </c>
      <c r="E4103" t="inlineStr">
        <is>
          <t>000014073</t>
        </is>
      </c>
      <c r="F4103" t="inlineStr">
        <is>
          <t>CMPC Iguacu Embalagens Ltda</t>
        </is>
      </c>
      <c r="G4103" s="27" t="n">
        <v>46230</v>
      </c>
      <c r="H4103" s="14" t="n">
        <v>147537.73</v>
      </c>
      <c r="I4103" s="14" t="n">
        <v>4644.04</v>
      </c>
      <c r="J4103" s="14" t="n">
        <v>10002.56</v>
      </c>
      <c r="K4103" s="14" t="n">
        <v>2192.7</v>
      </c>
      <c r="L4103" s="14" t="n">
        <v>10099.73</v>
      </c>
      <c r="M4103" s="14">
        <f>IF(B4103="Frete de venda",0,(1-ISNUMBER(SEARCH("556",P4103)))*(I4103*VLOOKUP($B4103,Premissas!$A$4:$E$7,2,0)+J4103*VLOOKUP($B4103,Premissas!$A$4:$E$7,3,0))+K4103*VLOOKUP($B4103,Premissas!$A$4:$E$7,4,0)+L4103*VLOOKUP($B4103,Premissas!$A$4:$E$7,5,0))</f>
        <v/>
      </c>
      <c r="N4103" s="14">
        <f>H4103-M4103</f>
        <v/>
      </c>
      <c r="O4103" t="inlineStr">
        <is>
          <t>Sim</t>
        </is>
      </c>
      <c r="P4103" t="inlineStr">
        <is>
          <t>2.101</t>
        </is>
      </c>
    </row>
    <row r="4104">
      <c r="A4104" s="24" t="n">
        <v>46204</v>
      </c>
      <c r="B4104" t="inlineStr">
        <is>
          <t>Insumos e papel</t>
        </is>
      </c>
      <c r="C4104" t="inlineStr">
        <is>
          <t>2.01.03 Compra de Matéria Prima (Papel)</t>
        </is>
      </c>
      <c r="D4104" t="inlineStr">
        <is>
          <t>NF-e</t>
        </is>
      </c>
      <c r="E4104" t="inlineStr">
        <is>
          <t>000014084</t>
        </is>
      </c>
      <c r="F4104" t="inlineStr">
        <is>
          <t>CMPC Iguacu Embalagens Ltda</t>
        </is>
      </c>
      <c r="G4104" s="27" t="n">
        <v>46230</v>
      </c>
      <c r="H4104" s="14" t="n">
        <v>147488.26</v>
      </c>
      <c r="I4104" s="14" t="n">
        <v>4642.49</v>
      </c>
      <c r="J4104" s="14" t="n">
        <v>9999.200000000001</v>
      </c>
      <c r="K4104" s="14" t="n">
        <v>2191.97</v>
      </c>
      <c r="L4104" s="14" t="n">
        <v>10096.34</v>
      </c>
      <c r="M4104" s="14">
        <f>IF(B4104="Frete de venda",0,(1-ISNUMBER(SEARCH("556",P4104)))*(I4104*VLOOKUP($B4104,Premissas!$A$4:$E$7,2,0)+J4104*VLOOKUP($B4104,Premissas!$A$4:$E$7,3,0))+K4104*VLOOKUP($B4104,Premissas!$A$4:$E$7,4,0)+L4104*VLOOKUP($B4104,Premissas!$A$4:$E$7,5,0))</f>
        <v/>
      </c>
      <c r="N4104" s="14">
        <f>H4104-M4104</f>
        <v/>
      </c>
      <c r="O4104" t="inlineStr">
        <is>
          <t>Sim</t>
        </is>
      </c>
      <c r="P4104" t="inlineStr">
        <is>
          <t>2.101</t>
        </is>
      </c>
    </row>
    <row r="4105">
      <c r="A4105" s="24" t="n">
        <v>46204</v>
      </c>
      <c r="B4105" t="inlineStr">
        <is>
          <t>Insumos e papel</t>
        </is>
      </c>
      <c r="C4105" t="inlineStr">
        <is>
          <t>2.01.03 Compra de Matéria Prima (Papel)</t>
        </is>
      </c>
      <c r="D4105" t="inlineStr">
        <is>
          <t>NF-e</t>
        </is>
      </c>
      <c r="E4105" t="inlineStr">
        <is>
          <t>000014088</t>
        </is>
      </c>
      <c r="F4105" t="inlineStr">
        <is>
          <t>CMPC Iguacu Embalagens Ltda</t>
        </is>
      </c>
      <c r="G4105" s="27" t="n">
        <v>46231</v>
      </c>
      <c r="H4105" s="14" t="n">
        <v>148912.28</v>
      </c>
      <c r="I4105" s="14" t="n">
        <v>4687.31</v>
      </c>
      <c r="J4105" s="14" t="n">
        <v>10095.75</v>
      </c>
      <c r="K4105" s="14" t="n">
        <v>2213.13</v>
      </c>
      <c r="L4105" s="14" t="n">
        <v>10193.82</v>
      </c>
      <c r="M4105" s="14">
        <f>IF(B4105="Frete de venda",0,(1-ISNUMBER(SEARCH("556",P4105)))*(I4105*VLOOKUP($B4105,Premissas!$A$4:$E$7,2,0)+J4105*VLOOKUP($B4105,Premissas!$A$4:$E$7,3,0))+K4105*VLOOKUP($B4105,Premissas!$A$4:$E$7,4,0)+L4105*VLOOKUP($B4105,Premissas!$A$4:$E$7,5,0))</f>
        <v/>
      </c>
      <c r="N4105" s="14">
        <f>H4105-M4105</f>
        <v/>
      </c>
      <c r="O4105" t="inlineStr">
        <is>
          <t>Sim</t>
        </is>
      </c>
      <c r="P4105" t="inlineStr">
        <is>
          <t>2.101</t>
        </is>
      </c>
    </row>
    <row r="4106">
      <c r="A4106" s="24" t="n">
        <v>46204</v>
      </c>
      <c r="B4106" t="inlineStr">
        <is>
          <t>Insumos e papel</t>
        </is>
      </c>
      <c r="C4106" t="inlineStr">
        <is>
          <t>2.01.03 Compra de Matéria Prima (Papel)</t>
        </is>
      </c>
      <c r="D4106" t="inlineStr">
        <is>
          <t>NF-e</t>
        </is>
      </c>
      <c r="E4106" t="inlineStr">
        <is>
          <t>000014093</t>
        </is>
      </c>
      <c r="F4106" t="inlineStr">
        <is>
          <t>CMPC Iguacu Embalagens Ltda</t>
        </is>
      </c>
      <c r="G4106" s="27" t="n">
        <v>46231</v>
      </c>
      <c r="H4106" s="14" t="n">
        <v>147119.87</v>
      </c>
      <c r="I4106" s="14" t="n">
        <v>4630.89</v>
      </c>
      <c r="J4106" s="14" t="n">
        <v>9974.23</v>
      </c>
      <c r="K4106" s="14" t="n">
        <v>2186.5</v>
      </c>
      <c r="L4106" s="14" t="n">
        <v>10071.12</v>
      </c>
      <c r="M4106" s="14">
        <f>IF(B4106="Frete de venda",0,(1-ISNUMBER(SEARCH("556",P4106)))*(I4106*VLOOKUP($B4106,Premissas!$A$4:$E$7,2,0)+J4106*VLOOKUP($B4106,Premissas!$A$4:$E$7,3,0))+K4106*VLOOKUP($B4106,Premissas!$A$4:$E$7,4,0)+L4106*VLOOKUP($B4106,Premissas!$A$4:$E$7,5,0))</f>
        <v/>
      </c>
      <c r="N4106" s="14">
        <f>H4106-M4106</f>
        <v/>
      </c>
      <c r="O4106" t="inlineStr">
        <is>
          <t>Sim</t>
        </is>
      </c>
      <c r="P4106" t="inlineStr">
        <is>
          <t>2.101</t>
        </is>
      </c>
    </row>
    <row r="4107">
      <c r="A4107" s="24" t="n">
        <v>46204</v>
      </c>
      <c r="B4107" t="inlineStr">
        <is>
          <t>Insumos e papel</t>
        </is>
      </c>
      <c r="C4107" t="inlineStr">
        <is>
          <t>2.01.03 Compra de Matéria Prima (Papel)</t>
        </is>
      </c>
      <c r="D4107" t="inlineStr">
        <is>
          <t>NF-e</t>
        </is>
      </c>
      <c r="E4107" t="inlineStr">
        <is>
          <t>000014096</t>
        </is>
      </c>
      <c r="F4107" t="inlineStr">
        <is>
          <t>CMPC Iguacu Embalagens Ltda</t>
        </is>
      </c>
      <c r="G4107" s="27" t="n">
        <v>46231</v>
      </c>
      <c r="H4107" s="14" t="n">
        <v>146993.41</v>
      </c>
      <c r="I4107" s="14" t="n">
        <v>4626.91</v>
      </c>
      <c r="J4107" s="14" t="n">
        <v>9965.65</v>
      </c>
      <c r="K4107" s="14" t="n">
        <v>2184.62</v>
      </c>
      <c r="L4107" s="14" t="n">
        <v>10062.46</v>
      </c>
      <c r="M4107" s="14">
        <f>IF(B4107="Frete de venda",0,(1-ISNUMBER(SEARCH("556",P4107)))*(I4107*VLOOKUP($B4107,Premissas!$A$4:$E$7,2,0)+J4107*VLOOKUP($B4107,Premissas!$A$4:$E$7,3,0))+K4107*VLOOKUP($B4107,Premissas!$A$4:$E$7,4,0)+L4107*VLOOKUP($B4107,Premissas!$A$4:$E$7,5,0))</f>
        <v/>
      </c>
      <c r="N4107" s="14">
        <f>H4107-M4107</f>
        <v/>
      </c>
      <c r="O4107" t="inlineStr">
        <is>
          <t>Sim</t>
        </is>
      </c>
      <c r="P4107" t="inlineStr">
        <is>
          <t>2.101</t>
        </is>
      </c>
    </row>
    <row r="4108">
      <c r="A4108" s="24" t="n">
        <v>46204</v>
      </c>
      <c r="B4108" t="inlineStr">
        <is>
          <t>Insumos e papel</t>
        </is>
      </c>
      <c r="C4108" t="inlineStr">
        <is>
          <t>2.01.03 Compra de Matéria Prima (Papel)</t>
        </is>
      </c>
      <c r="D4108" t="inlineStr">
        <is>
          <t>NF-e</t>
        </is>
      </c>
      <c r="E4108" t="inlineStr">
        <is>
          <t>000014107</t>
        </is>
      </c>
      <c r="F4108" t="inlineStr">
        <is>
          <t>CMPC Iguacu Embalagens Ltda</t>
        </is>
      </c>
      <c r="G4108" s="27" t="n">
        <v>46232</v>
      </c>
      <c r="H4108" s="14" t="n">
        <v>148824.3</v>
      </c>
      <c r="I4108" s="14" t="n">
        <v>4684.54</v>
      </c>
      <c r="J4108" s="14" t="n">
        <v>10089.78</v>
      </c>
      <c r="K4108" s="14" t="n">
        <v>2211.82</v>
      </c>
      <c r="L4108" s="14" t="n">
        <v>10187.8</v>
      </c>
      <c r="M4108" s="14">
        <f>IF(B4108="Frete de venda",0,(1-ISNUMBER(SEARCH("556",P4108)))*(I4108*VLOOKUP($B4108,Premissas!$A$4:$E$7,2,0)+J4108*VLOOKUP($B4108,Premissas!$A$4:$E$7,3,0))+K4108*VLOOKUP($B4108,Premissas!$A$4:$E$7,4,0)+L4108*VLOOKUP($B4108,Premissas!$A$4:$E$7,5,0))</f>
        <v/>
      </c>
      <c r="N4108" s="14">
        <f>H4108-M4108</f>
        <v/>
      </c>
      <c r="O4108" t="inlineStr">
        <is>
          <t>Sim</t>
        </is>
      </c>
      <c r="P4108" t="inlineStr">
        <is>
          <t>2.101</t>
        </is>
      </c>
    </row>
    <row r="4109">
      <c r="A4109" s="24" t="n">
        <v>46204</v>
      </c>
      <c r="B4109" t="inlineStr">
        <is>
          <t>Insumos e papel</t>
        </is>
      </c>
      <c r="C4109" t="inlineStr">
        <is>
          <t>2.01.03 Compra de Matéria Prima (Papel)</t>
        </is>
      </c>
      <c r="D4109" t="inlineStr">
        <is>
          <t>NF-e</t>
        </is>
      </c>
      <c r="E4109" t="inlineStr">
        <is>
          <t>000014115</t>
        </is>
      </c>
      <c r="F4109" t="inlineStr">
        <is>
          <t>CMPC Iguacu Embalagens Ltda</t>
        </is>
      </c>
      <c r="G4109" s="27" t="n">
        <v>46232</v>
      </c>
      <c r="H4109" s="14" t="n">
        <v>147999.58</v>
      </c>
      <c r="I4109" s="14" t="n">
        <v>4658.58</v>
      </c>
      <c r="J4109" s="14" t="n">
        <v>10033.87</v>
      </c>
      <c r="K4109" s="14" t="n">
        <v>2199.56</v>
      </c>
      <c r="L4109" s="14" t="n">
        <v>10131.34</v>
      </c>
      <c r="M4109" s="14">
        <f>IF(B4109="Frete de venda",0,(1-ISNUMBER(SEARCH("556",P4109)))*(I4109*VLOOKUP($B4109,Premissas!$A$4:$E$7,2,0)+J4109*VLOOKUP($B4109,Premissas!$A$4:$E$7,3,0))+K4109*VLOOKUP($B4109,Premissas!$A$4:$E$7,4,0)+L4109*VLOOKUP($B4109,Premissas!$A$4:$E$7,5,0))</f>
        <v/>
      </c>
      <c r="N4109" s="14">
        <f>H4109-M4109</f>
        <v/>
      </c>
      <c r="O4109" t="inlineStr">
        <is>
          <t>Sim</t>
        </is>
      </c>
      <c r="P4109" t="inlineStr">
        <is>
          <t>2.101</t>
        </is>
      </c>
    </row>
    <row r="4110">
      <c r="A4110" s="24" t="n">
        <v>46204</v>
      </c>
      <c r="B4110" t="inlineStr">
        <is>
          <t>Insumos e papel</t>
        </is>
      </c>
      <c r="C4110" t="inlineStr">
        <is>
          <t>2.01.03 Compra de Matéria Prima (Papel)</t>
        </is>
      </c>
      <c r="D4110" t="inlineStr">
        <is>
          <t>NF-e</t>
        </is>
      </c>
      <c r="E4110" t="inlineStr">
        <is>
          <t>000014153</t>
        </is>
      </c>
      <c r="F4110" t="inlineStr">
        <is>
          <t>CMPC Iguacu Embalagens Ltda</t>
        </is>
      </c>
      <c r="G4110" s="27" t="n">
        <v>46234</v>
      </c>
      <c r="H4110" s="14" t="n">
        <v>148521.91</v>
      </c>
      <c r="I4110" s="14" t="n">
        <v>4675.02</v>
      </c>
      <c r="J4110" s="14" t="n">
        <v>10069.28</v>
      </c>
      <c r="K4110" s="14" t="n">
        <v>2207.33</v>
      </c>
      <c r="L4110" s="14" t="n">
        <v>10167.1</v>
      </c>
      <c r="M4110" s="14">
        <f>IF(B4110="Frete de venda",0,(1-ISNUMBER(SEARCH("556",P4110)))*(I4110*VLOOKUP($B4110,Premissas!$A$4:$E$7,2,0)+J4110*VLOOKUP($B4110,Premissas!$A$4:$E$7,3,0))+K4110*VLOOKUP($B4110,Premissas!$A$4:$E$7,4,0)+L4110*VLOOKUP($B4110,Premissas!$A$4:$E$7,5,0))</f>
        <v/>
      </c>
      <c r="N4110" s="14">
        <f>H4110-M4110</f>
        <v/>
      </c>
      <c r="O4110" t="inlineStr">
        <is>
          <t>Sim</t>
        </is>
      </c>
      <c r="P4110" t="inlineStr">
        <is>
          <t>2.101</t>
        </is>
      </c>
    </row>
    <row r="4111">
      <c r="A4111" s="24" t="n">
        <v>46204</v>
      </c>
      <c r="B4111" t="inlineStr">
        <is>
          <t>Insumos e papel</t>
        </is>
      </c>
      <c r="C4111" t="inlineStr">
        <is>
          <t>2.01.03 Compra de Matéria Prima (Papel)</t>
        </is>
      </c>
      <c r="D4111" t="inlineStr">
        <is>
          <t>NF-e</t>
        </is>
      </c>
      <c r="E4111" t="inlineStr">
        <is>
          <t>000014162</t>
        </is>
      </c>
      <c r="F4111" t="inlineStr">
        <is>
          <t>CMPC Iguacu Embalagens Ltda</t>
        </is>
      </c>
      <c r="G4111" s="27" t="n">
        <v>46234</v>
      </c>
      <c r="H4111" s="14" t="n">
        <v>147928.11</v>
      </c>
      <c r="I4111" s="14" t="n">
        <v>4656.33</v>
      </c>
      <c r="J4111" s="14" t="n">
        <v>10029.02</v>
      </c>
      <c r="K4111" s="14" t="n">
        <v>2198.51</v>
      </c>
      <c r="L4111" s="14" t="n">
        <v>10126.45</v>
      </c>
      <c r="M4111" s="14">
        <f>IF(B4111="Frete de venda",0,(1-ISNUMBER(SEARCH("556",P4111)))*(I4111*VLOOKUP($B4111,Premissas!$A$4:$E$7,2,0)+J4111*VLOOKUP($B4111,Premissas!$A$4:$E$7,3,0))+K4111*VLOOKUP($B4111,Premissas!$A$4:$E$7,4,0)+L4111*VLOOKUP($B4111,Premissas!$A$4:$E$7,5,0))</f>
        <v/>
      </c>
      <c r="N4111" s="14">
        <f>H4111-M4111</f>
        <v/>
      </c>
      <c r="O4111" t="inlineStr">
        <is>
          <t>Sim</t>
        </is>
      </c>
      <c r="P4111" t="inlineStr">
        <is>
          <t>2.101</t>
        </is>
      </c>
    </row>
    <row r="4112">
      <c r="A4112" s="24" t="n">
        <v>46204</v>
      </c>
      <c r="B4112" t="inlineStr">
        <is>
          <t>Insumos e papel</t>
        </is>
      </c>
      <c r="C4112" t="inlineStr">
        <is>
          <t>2.01.03 Compra de Matéria Prima (Papel)</t>
        </is>
      </c>
      <c r="D4112" t="inlineStr">
        <is>
          <t>NF-e</t>
        </is>
      </c>
      <c r="E4112" t="inlineStr">
        <is>
          <t>000014166</t>
        </is>
      </c>
      <c r="F4112" t="inlineStr">
        <is>
          <t>CMPC Iguacu Embalagens Ltda</t>
        </is>
      </c>
      <c r="G4112" s="27" t="n">
        <v>46234</v>
      </c>
      <c r="H4112" s="14" t="n">
        <v>146449.09</v>
      </c>
      <c r="I4112" s="14" t="n">
        <v>4609.77</v>
      </c>
      <c r="J4112" s="14" t="n">
        <v>9928.75</v>
      </c>
      <c r="K4112" s="14" t="n">
        <v>2176.52</v>
      </c>
      <c r="L4112" s="14" t="n">
        <v>10025.2</v>
      </c>
      <c r="M4112" s="14">
        <f>IF(B4112="Frete de venda",0,(1-ISNUMBER(SEARCH("556",P4112)))*(I4112*VLOOKUP($B4112,Premissas!$A$4:$E$7,2,0)+J4112*VLOOKUP($B4112,Premissas!$A$4:$E$7,3,0))+K4112*VLOOKUP($B4112,Premissas!$A$4:$E$7,4,0)+L4112*VLOOKUP($B4112,Premissas!$A$4:$E$7,5,0))</f>
        <v/>
      </c>
      <c r="N4112" s="14">
        <f>H4112-M4112</f>
        <v/>
      </c>
      <c r="O4112" t="inlineStr">
        <is>
          <t>Sim</t>
        </is>
      </c>
      <c r="P4112" t="inlineStr">
        <is>
          <t>2.101</t>
        </is>
      </c>
    </row>
    <row r="4113">
      <c r="A4113" s="24" t="n">
        <v>46204</v>
      </c>
      <c r="B4113" t="inlineStr">
        <is>
          <t>Insumos e papel</t>
        </is>
      </c>
      <c r="C4113" t="inlineStr">
        <is>
          <t>2.01.03 Compra de Matéria Prima (Papel)</t>
        </is>
      </c>
      <c r="D4113" t="inlineStr">
        <is>
          <t>NF-e</t>
        </is>
      </c>
      <c r="E4113" t="inlineStr">
        <is>
          <t>000100065</t>
        </is>
      </c>
      <c r="F4113" t="inlineStr">
        <is>
          <t>COCELPA CIA DE CEL. E PAPEL DO PARANA SA</t>
        </is>
      </c>
      <c r="G4113" s="27" t="n">
        <v>46206</v>
      </c>
      <c r="H4113" s="14" t="n">
        <v>93957.5</v>
      </c>
      <c r="I4113" s="14" t="n">
        <v>2957.5</v>
      </c>
      <c r="J4113" s="14" t="n">
        <v>6370</v>
      </c>
      <c r="K4113" s="14" t="n">
        <v>1396.4</v>
      </c>
      <c r="L4113" s="14" t="n">
        <v>6431.88</v>
      </c>
      <c r="M4113" s="14">
        <f>IF(B4113="Frete de venda",0,(1-ISNUMBER(SEARCH("556",P4113)))*(I4113*VLOOKUP($B4113,Premissas!$A$4:$E$7,2,0)+J4113*VLOOKUP($B4113,Premissas!$A$4:$E$7,3,0))+K4113*VLOOKUP($B4113,Premissas!$A$4:$E$7,4,0)+L4113*VLOOKUP($B4113,Premissas!$A$4:$E$7,5,0))</f>
        <v/>
      </c>
      <c r="N4113" s="14">
        <f>H4113-M4113</f>
        <v/>
      </c>
      <c r="O4113" t="inlineStr">
        <is>
          <t>Sim</t>
        </is>
      </c>
      <c r="P4113" t="inlineStr">
        <is>
          <t>2.101</t>
        </is>
      </c>
    </row>
    <row r="4114">
      <c r="A4114" s="24" t="n">
        <v>46204</v>
      </c>
      <c r="B4114" t="inlineStr">
        <is>
          <t>Insumos e papel</t>
        </is>
      </c>
      <c r="C4114" t="inlineStr">
        <is>
          <t>2.01.03 Compra de Matéria Prima (Papel)</t>
        </is>
      </c>
      <c r="D4114" t="inlineStr">
        <is>
          <t>NF-e</t>
        </is>
      </c>
      <c r="E4114" t="inlineStr">
        <is>
          <t>000100067</t>
        </is>
      </c>
      <c r="F4114" t="inlineStr">
        <is>
          <t>COCELPA CIA DE CEL. E PAPEL DO PARANA SA</t>
        </is>
      </c>
      <c r="G4114" s="27" t="n">
        <v>46206</v>
      </c>
      <c r="H4114" s="14" t="n">
        <v>93957.5</v>
      </c>
      <c r="I4114" s="14" t="n">
        <v>2957.5</v>
      </c>
      <c r="J4114" s="14" t="n">
        <v>6370</v>
      </c>
      <c r="K4114" s="14" t="n">
        <v>1396.4</v>
      </c>
      <c r="L4114" s="14" t="n">
        <v>6431.88</v>
      </c>
      <c r="M4114" s="14">
        <f>IF(B4114="Frete de venda",0,(1-ISNUMBER(SEARCH("556",P4114)))*(I4114*VLOOKUP($B4114,Premissas!$A$4:$E$7,2,0)+J4114*VLOOKUP($B4114,Premissas!$A$4:$E$7,3,0))+K4114*VLOOKUP($B4114,Premissas!$A$4:$E$7,4,0)+L4114*VLOOKUP($B4114,Premissas!$A$4:$E$7,5,0))</f>
        <v/>
      </c>
      <c r="N4114" s="14">
        <f>H4114-M4114</f>
        <v/>
      </c>
      <c r="O4114" t="inlineStr">
        <is>
          <t>Sim</t>
        </is>
      </c>
      <c r="P4114" t="inlineStr">
        <is>
          <t>2.101</t>
        </is>
      </c>
    </row>
    <row r="4115">
      <c r="A4115" s="24" t="n">
        <v>46204</v>
      </c>
      <c r="B4115" t="inlineStr">
        <is>
          <t>Insumos e papel</t>
        </is>
      </c>
      <c r="C4115" t="inlineStr">
        <is>
          <t>2.01.03 Compra de Matéria Prima (Papel)</t>
        </is>
      </c>
      <c r="D4115" t="inlineStr">
        <is>
          <t>NF-e</t>
        </is>
      </c>
      <c r="E4115" t="inlineStr">
        <is>
          <t>000100069</t>
        </is>
      </c>
      <c r="F4115" t="inlineStr">
        <is>
          <t>COCELPA CIA DE CEL. E PAPEL DO PARANA SA</t>
        </is>
      </c>
      <c r="G4115" s="27" t="n">
        <v>46206</v>
      </c>
      <c r="H4115" s="14" t="n">
        <v>93957.5</v>
      </c>
      <c r="I4115" s="14" t="n">
        <v>2957.5</v>
      </c>
      <c r="J4115" s="14" t="n">
        <v>6370</v>
      </c>
      <c r="K4115" s="14" t="n">
        <v>1396.4</v>
      </c>
      <c r="L4115" s="14" t="n">
        <v>6431.88</v>
      </c>
      <c r="M4115" s="14">
        <f>IF(B4115="Frete de venda",0,(1-ISNUMBER(SEARCH("556",P4115)))*(I4115*VLOOKUP($B4115,Premissas!$A$4:$E$7,2,0)+J4115*VLOOKUP($B4115,Premissas!$A$4:$E$7,3,0))+K4115*VLOOKUP($B4115,Premissas!$A$4:$E$7,4,0)+L4115*VLOOKUP($B4115,Premissas!$A$4:$E$7,5,0))</f>
        <v/>
      </c>
      <c r="N4115" s="14">
        <f>H4115-M4115</f>
        <v/>
      </c>
      <c r="O4115" t="inlineStr">
        <is>
          <t>Sim</t>
        </is>
      </c>
      <c r="P4115" t="inlineStr">
        <is>
          <t>2.101</t>
        </is>
      </c>
    </row>
    <row r="4116">
      <c r="A4116" s="24" t="n">
        <v>46204</v>
      </c>
      <c r="B4116" t="inlineStr">
        <is>
          <t>Insumos e papel</t>
        </is>
      </c>
      <c r="C4116" t="inlineStr">
        <is>
          <t>2.01.03 Compra de Matéria Prima (Papel)</t>
        </is>
      </c>
      <c r="D4116" t="inlineStr">
        <is>
          <t>NF-e</t>
        </is>
      </c>
      <c r="E4116" t="inlineStr">
        <is>
          <t>000100075</t>
        </is>
      </c>
      <c r="F4116" t="inlineStr">
        <is>
          <t>COCELPA CIA DE CEL. E PAPEL DO PARANA SA</t>
        </is>
      </c>
      <c r="G4116" s="27" t="n">
        <v>46206</v>
      </c>
      <c r="H4116" s="14" t="n">
        <v>93957.5</v>
      </c>
      <c r="I4116" s="14" t="n">
        <v>2957.5</v>
      </c>
      <c r="J4116" s="14" t="n">
        <v>6370</v>
      </c>
      <c r="K4116" s="14" t="n">
        <v>1396.4</v>
      </c>
      <c r="L4116" s="14" t="n">
        <v>6431.88</v>
      </c>
      <c r="M4116" s="14">
        <f>IF(B4116="Frete de venda",0,(1-ISNUMBER(SEARCH("556",P4116)))*(I4116*VLOOKUP($B4116,Premissas!$A$4:$E$7,2,0)+J4116*VLOOKUP($B4116,Premissas!$A$4:$E$7,3,0))+K4116*VLOOKUP($B4116,Premissas!$A$4:$E$7,4,0)+L4116*VLOOKUP($B4116,Premissas!$A$4:$E$7,5,0))</f>
        <v/>
      </c>
      <c r="N4116" s="14">
        <f>H4116-M4116</f>
        <v/>
      </c>
      <c r="O4116" t="inlineStr">
        <is>
          <t>Sim</t>
        </is>
      </c>
      <c r="P4116" t="inlineStr">
        <is>
          <t>2.101</t>
        </is>
      </c>
    </row>
    <row r="4117">
      <c r="A4117" s="24" t="n">
        <v>46204</v>
      </c>
      <c r="B4117" t="inlineStr">
        <is>
          <t>Insumos e papel</t>
        </is>
      </c>
      <c r="C4117" t="inlineStr">
        <is>
          <t>2.01.03 Compra de Matéria Prima (Papel)</t>
        </is>
      </c>
      <c r="D4117" t="inlineStr">
        <is>
          <t>NF-e</t>
        </is>
      </c>
      <c r="E4117" t="inlineStr">
        <is>
          <t>000100073</t>
        </is>
      </c>
      <c r="F4117" t="inlineStr">
        <is>
          <t>COCELPA CIA DE CEL. E PAPEL DO PARANA SA</t>
        </is>
      </c>
      <c r="G4117" s="27" t="n">
        <v>46206</v>
      </c>
      <c r="H4117" s="14" t="n">
        <v>93957.5</v>
      </c>
      <c r="I4117" s="14" t="n">
        <v>2957.5</v>
      </c>
      <c r="J4117" s="14" t="n">
        <v>6370</v>
      </c>
      <c r="K4117" s="14" t="n">
        <v>1396.4</v>
      </c>
      <c r="L4117" s="14" t="n">
        <v>6431.88</v>
      </c>
      <c r="M4117" s="14">
        <f>IF(B4117="Frete de venda",0,(1-ISNUMBER(SEARCH("556",P4117)))*(I4117*VLOOKUP($B4117,Premissas!$A$4:$E$7,2,0)+J4117*VLOOKUP($B4117,Premissas!$A$4:$E$7,3,0))+K4117*VLOOKUP($B4117,Premissas!$A$4:$E$7,4,0)+L4117*VLOOKUP($B4117,Premissas!$A$4:$E$7,5,0))</f>
        <v/>
      </c>
      <c r="N4117" s="14">
        <f>H4117-M4117</f>
        <v/>
      </c>
      <c r="O4117" t="inlineStr">
        <is>
          <t>Sim</t>
        </is>
      </c>
      <c r="P4117" t="inlineStr">
        <is>
          <t>2.101</t>
        </is>
      </c>
    </row>
    <row r="4118">
      <c r="A4118" s="24" t="n">
        <v>46204</v>
      </c>
      <c r="B4118" t="inlineStr">
        <is>
          <t>Insumos e papel</t>
        </is>
      </c>
      <c r="C4118" t="inlineStr">
        <is>
          <t>2.01.03 Compra de Matéria Prima (Papel)</t>
        </is>
      </c>
      <c r="D4118" t="inlineStr">
        <is>
          <t>NF-e</t>
        </is>
      </c>
      <c r="E4118" t="inlineStr">
        <is>
          <t>000100071</t>
        </is>
      </c>
      <c r="F4118" t="inlineStr">
        <is>
          <t>COCELPA CIA DE CEL. E PAPEL DO PARANA SA</t>
        </is>
      </c>
      <c r="G4118" s="27" t="n">
        <v>46206</v>
      </c>
      <c r="H4118" s="14" t="n">
        <v>93957.5</v>
      </c>
      <c r="I4118" s="14" t="n">
        <v>2957.5</v>
      </c>
      <c r="J4118" s="14" t="n">
        <v>6370</v>
      </c>
      <c r="K4118" s="14" t="n">
        <v>1396.4</v>
      </c>
      <c r="L4118" s="14" t="n">
        <v>6431.88</v>
      </c>
      <c r="M4118" s="14">
        <f>IF(B4118="Frete de venda",0,(1-ISNUMBER(SEARCH("556",P4118)))*(I4118*VLOOKUP($B4118,Premissas!$A$4:$E$7,2,0)+J4118*VLOOKUP($B4118,Premissas!$A$4:$E$7,3,0))+K4118*VLOOKUP($B4118,Premissas!$A$4:$E$7,4,0)+L4118*VLOOKUP($B4118,Premissas!$A$4:$E$7,5,0))</f>
        <v/>
      </c>
      <c r="N4118" s="14">
        <f>H4118-M4118</f>
        <v/>
      </c>
      <c r="O4118" t="inlineStr">
        <is>
          <t>Sim</t>
        </is>
      </c>
      <c r="P4118" t="inlineStr">
        <is>
          <t>2.101</t>
        </is>
      </c>
    </row>
    <row r="4119">
      <c r="A4119" s="24" t="n">
        <v>46204</v>
      </c>
      <c r="B4119" t="inlineStr">
        <is>
          <t>Insumos e papel</t>
        </is>
      </c>
      <c r="C4119" t="inlineStr">
        <is>
          <t>2.01.03 Compra de Matéria Prima (Papel)</t>
        </is>
      </c>
      <c r="D4119" t="inlineStr">
        <is>
          <t>NF-e</t>
        </is>
      </c>
      <c r="E4119" t="inlineStr">
        <is>
          <t>000100187</t>
        </is>
      </c>
      <c r="F4119" t="inlineStr">
        <is>
          <t>COCELPA CIA DE CEL. E PAPEL DO PARANA SA</t>
        </is>
      </c>
      <c r="G4119" s="27" t="n">
        <v>46216</v>
      </c>
      <c r="H4119" s="14" t="n">
        <v>6298.77</v>
      </c>
      <c r="I4119" s="14" t="n">
        <v>198.27</v>
      </c>
      <c r="J4119" s="14" t="n">
        <v>427.04</v>
      </c>
      <c r="K4119" s="14" t="n">
        <v>93.61</v>
      </c>
      <c r="L4119" s="14" t="n">
        <v>431.18</v>
      </c>
      <c r="M4119" s="14">
        <f>IF(B4119="Frete de venda",0,(1-ISNUMBER(SEARCH("556",P4119)))*(I4119*VLOOKUP($B4119,Premissas!$A$4:$E$7,2,0)+J4119*VLOOKUP($B4119,Premissas!$A$4:$E$7,3,0))+K4119*VLOOKUP($B4119,Premissas!$A$4:$E$7,4,0)+L4119*VLOOKUP($B4119,Premissas!$A$4:$E$7,5,0))</f>
        <v/>
      </c>
      <c r="N4119" s="14">
        <f>H4119-M4119</f>
        <v/>
      </c>
      <c r="O4119" t="inlineStr">
        <is>
          <t>Sim</t>
        </is>
      </c>
      <c r="P4119" t="inlineStr">
        <is>
          <t>2.101</t>
        </is>
      </c>
    </row>
    <row r="4120">
      <c r="A4120" s="24" t="n">
        <v>46204</v>
      </c>
      <c r="B4120" t="inlineStr">
        <is>
          <t>Insumos e papel</t>
        </is>
      </c>
      <c r="C4120" t="inlineStr">
        <is>
          <t>2.01.03 Compra de Matéria Prima (Papel)</t>
        </is>
      </c>
      <c r="D4120" t="inlineStr">
        <is>
          <t>NF-e</t>
        </is>
      </c>
      <c r="E4120" t="inlineStr">
        <is>
          <t>000100189</t>
        </is>
      </c>
      <c r="F4120" t="inlineStr">
        <is>
          <t>COCELPA CIA DE CEL. E PAPEL DO PARANA SA</t>
        </is>
      </c>
      <c r="G4120" s="27" t="n">
        <v>46216</v>
      </c>
      <c r="H4120" s="14" t="n">
        <v>8029.75</v>
      </c>
      <c r="I4120" s="14" t="n">
        <v>252.75</v>
      </c>
      <c r="J4120" s="14" t="n">
        <v>544.39</v>
      </c>
      <c r="K4120" s="14" t="n">
        <v>119.34</v>
      </c>
      <c r="L4120" s="14" t="n">
        <v>549.6799999999999</v>
      </c>
      <c r="M4120" s="14">
        <f>IF(B4120="Frete de venda",0,(1-ISNUMBER(SEARCH("556",P4120)))*(I4120*VLOOKUP($B4120,Premissas!$A$4:$E$7,2,0)+J4120*VLOOKUP($B4120,Premissas!$A$4:$E$7,3,0))+K4120*VLOOKUP($B4120,Premissas!$A$4:$E$7,4,0)+L4120*VLOOKUP($B4120,Premissas!$A$4:$E$7,5,0))</f>
        <v/>
      </c>
      <c r="N4120" s="14">
        <f>H4120-M4120</f>
        <v/>
      </c>
      <c r="O4120" t="inlineStr">
        <is>
          <t>Sim</t>
        </is>
      </c>
      <c r="P4120" t="inlineStr">
        <is>
          <t>2.101</t>
        </is>
      </c>
    </row>
    <row r="4121">
      <c r="A4121" s="24" t="n">
        <v>46204</v>
      </c>
      <c r="B4121" t="inlineStr">
        <is>
          <t>Insumos e papel</t>
        </is>
      </c>
      <c r="C4121" t="inlineStr">
        <is>
          <t>2.01.03 Compra de Matéria Prima (Papel)</t>
        </is>
      </c>
      <c r="D4121" t="inlineStr">
        <is>
          <t>NF-e</t>
        </is>
      </c>
      <c r="E4121" t="inlineStr">
        <is>
          <t>000100191</t>
        </is>
      </c>
      <c r="F4121" t="inlineStr">
        <is>
          <t>COCELPA CIA DE CEL. E PAPEL DO PARANA SA</t>
        </is>
      </c>
      <c r="G4121" s="27" t="n">
        <v>46216</v>
      </c>
      <c r="H4121" s="14" t="n">
        <v>7061.27</v>
      </c>
      <c r="I4121" s="14" t="n">
        <v>222.27</v>
      </c>
      <c r="J4121" s="14" t="n">
        <v>478.73</v>
      </c>
      <c r="K4121" s="14" t="n">
        <v>104.94</v>
      </c>
      <c r="L4121" s="14" t="n">
        <v>483.38</v>
      </c>
      <c r="M4121" s="14">
        <f>IF(B4121="Frete de venda",0,(1-ISNUMBER(SEARCH("556",P4121)))*(I4121*VLOOKUP($B4121,Premissas!$A$4:$E$7,2,0)+J4121*VLOOKUP($B4121,Premissas!$A$4:$E$7,3,0))+K4121*VLOOKUP($B4121,Premissas!$A$4:$E$7,4,0)+L4121*VLOOKUP($B4121,Premissas!$A$4:$E$7,5,0))</f>
        <v/>
      </c>
      <c r="N4121" s="14">
        <f>H4121-M4121</f>
        <v/>
      </c>
      <c r="O4121" t="inlineStr">
        <is>
          <t>Sim</t>
        </is>
      </c>
      <c r="P4121" t="inlineStr">
        <is>
          <t>2.101</t>
        </is>
      </c>
    </row>
    <row r="4122">
      <c r="A4122" s="24" t="n">
        <v>46204</v>
      </c>
      <c r="B4122" t="inlineStr">
        <is>
          <t>Insumos e papel</t>
        </is>
      </c>
      <c r="C4122" t="inlineStr">
        <is>
          <t>2.01.03 Compra de Matéria Prima (Papel)</t>
        </is>
      </c>
      <c r="D4122" t="inlineStr">
        <is>
          <t>NF-e</t>
        </is>
      </c>
      <c r="E4122" t="inlineStr">
        <is>
          <t>000100204</t>
        </is>
      </c>
      <c r="F4122" t="inlineStr">
        <is>
          <t>COCELPA CIA DE CEL. E PAPEL DO PARANA SA</t>
        </is>
      </c>
      <c r="G4122" s="27" t="n">
        <v>46216</v>
      </c>
      <c r="H4122" s="14" t="n">
        <v>5832.59</v>
      </c>
      <c r="I4122" s="14" t="n">
        <v>183.59</v>
      </c>
      <c r="J4122" s="14" t="n">
        <v>395.43</v>
      </c>
      <c r="K4122" s="14" t="n">
        <v>86.68000000000001</v>
      </c>
      <c r="L4122" s="14" t="n">
        <v>399.27</v>
      </c>
      <c r="M4122" s="14">
        <f>IF(B4122="Frete de venda",0,(1-ISNUMBER(SEARCH("556",P4122)))*(I4122*VLOOKUP($B4122,Premissas!$A$4:$E$7,2,0)+J4122*VLOOKUP($B4122,Premissas!$A$4:$E$7,3,0))+K4122*VLOOKUP($B4122,Premissas!$A$4:$E$7,4,0)+L4122*VLOOKUP($B4122,Premissas!$A$4:$E$7,5,0))</f>
        <v/>
      </c>
      <c r="N4122" s="14">
        <f>H4122-M4122</f>
        <v/>
      </c>
      <c r="O4122" t="inlineStr">
        <is>
          <t>Sim</t>
        </is>
      </c>
      <c r="P4122" t="inlineStr">
        <is>
          <t>2.101</t>
        </is>
      </c>
    </row>
    <row r="4123">
      <c r="A4123" s="24" t="n">
        <v>46204</v>
      </c>
      <c r="B4123" t="inlineStr">
        <is>
          <t>Insumos e papel</t>
        </is>
      </c>
      <c r="C4123" t="inlineStr">
        <is>
          <t>2.01.03 Compra de Matéria Prima (Papel)</t>
        </is>
      </c>
      <c r="D4123" t="inlineStr">
        <is>
          <t>NF-e</t>
        </is>
      </c>
      <c r="E4123" t="inlineStr">
        <is>
          <t>000100206</t>
        </is>
      </c>
      <c r="F4123" t="inlineStr">
        <is>
          <t>COCELPA CIA DE CEL. E PAPEL DO PARANA SA</t>
        </is>
      </c>
      <c r="G4123" s="27" t="n">
        <v>46216</v>
      </c>
      <c r="H4123" s="14" t="n">
        <v>4712.33</v>
      </c>
      <c r="I4123" s="14" t="n">
        <v>148.33</v>
      </c>
      <c r="J4123" s="14" t="n">
        <v>319.48</v>
      </c>
      <c r="K4123" s="14" t="n">
        <v>70.03</v>
      </c>
      <c r="L4123" s="14" t="n">
        <v>322.58</v>
      </c>
      <c r="M4123" s="14">
        <f>IF(B4123="Frete de venda",0,(1-ISNUMBER(SEARCH("556",P4123)))*(I4123*VLOOKUP($B4123,Premissas!$A$4:$E$7,2,0)+J4123*VLOOKUP($B4123,Premissas!$A$4:$E$7,3,0))+K4123*VLOOKUP($B4123,Premissas!$A$4:$E$7,4,0)+L4123*VLOOKUP($B4123,Premissas!$A$4:$E$7,5,0))</f>
        <v/>
      </c>
      <c r="N4123" s="14">
        <f>H4123-M4123</f>
        <v/>
      </c>
      <c r="O4123" t="inlineStr">
        <is>
          <t>Sim</t>
        </is>
      </c>
      <c r="P4123" t="inlineStr">
        <is>
          <t>2.101</t>
        </is>
      </c>
    </row>
    <row r="4124">
      <c r="A4124" s="24" t="n">
        <v>46204</v>
      </c>
      <c r="B4124" t="inlineStr">
        <is>
          <t>Insumos e papel</t>
        </is>
      </c>
      <c r="C4124" t="inlineStr">
        <is>
          <t>2.01.03 Compra de Matéria Prima (Papel)</t>
        </is>
      </c>
      <c r="D4124" t="inlineStr">
        <is>
          <t>NF-e</t>
        </is>
      </c>
      <c r="E4124" t="inlineStr">
        <is>
          <t>000100210</t>
        </is>
      </c>
      <c r="F4124" t="inlineStr">
        <is>
          <t>COCELPA CIA DE CEL. E PAPEL DO PARANA SA</t>
        </is>
      </c>
      <c r="G4124" s="27" t="n">
        <v>46216</v>
      </c>
      <c r="H4124" s="14" t="n">
        <v>1459.96</v>
      </c>
      <c r="I4124" s="14" t="n">
        <v>45.96</v>
      </c>
      <c r="J4124" s="14" t="n">
        <v>98.98</v>
      </c>
      <c r="K4124" s="14" t="n">
        <v>21.7</v>
      </c>
      <c r="L4124" s="14" t="n">
        <v>99.94</v>
      </c>
      <c r="M4124" s="14">
        <f>IF(B4124="Frete de venda",0,(1-ISNUMBER(SEARCH("556",P4124)))*(I4124*VLOOKUP($B4124,Premissas!$A$4:$E$7,2,0)+J4124*VLOOKUP($B4124,Premissas!$A$4:$E$7,3,0))+K4124*VLOOKUP($B4124,Premissas!$A$4:$E$7,4,0)+L4124*VLOOKUP($B4124,Premissas!$A$4:$E$7,5,0))</f>
        <v/>
      </c>
      <c r="N4124" s="14">
        <f>H4124-M4124</f>
        <v/>
      </c>
      <c r="O4124" t="inlineStr">
        <is>
          <t>Sim</t>
        </is>
      </c>
      <c r="P4124" t="inlineStr">
        <is>
          <t>2.101</t>
        </is>
      </c>
    </row>
    <row r="4125">
      <c r="A4125" s="24" t="n">
        <v>46204</v>
      </c>
      <c r="B4125" t="inlineStr">
        <is>
          <t>Insumos e papel</t>
        </is>
      </c>
      <c r="C4125" t="inlineStr">
        <is>
          <t>2.01.03 Compra de Matéria Prima (Papel)</t>
        </is>
      </c>
      <c r="D4125" t="inlineStr">
        <is>
          <t>NF-e</t>
        </is>
      </c>
      <c r="E4125" t="inlineStr">
        <is>
          <t>000016825</t>
        </is>
      </c>
      <c r="F4125" t="inlineStr">
        <is>
          <t>NOVA CONPEL COMPANHIA NORDESTINA DE PAPEL LTDA</t>
        </is>
      </c>
      <c r="G4125" s="27" t="n">
        <v>46220</v>
      </c>
      <c r="H4125" s="14" t="n">
        <v>31730.57</v>
      </c>
      <c r="I4125" s="14" t="n">
        <v>998.78</v>
      </c>
      <c r="J4125" s="14" t="n">
        <v>6146.35</v>
      </c>
      <c r="K4125" s="14" t="n">
        <v>405.66</v>
      </c>
      <c r="L4125" s="14" t="n">
        <v>1868.49</v>
      </c>
      <c r="M4125" s="14">
        <f>IF(B4125="Frete de venda",0,(1-ISNUMBER(SEARCH("556",P4125)))*(I4125*VLOOKUP($B4125,Premissas!$A$4:$E$7,2,0)+J4125*VLOOKUP($B4125,Premissas!$A$4:$E$7,3,0))+K4125*VLOOKUP($B4125,Premissas!$A$4:$E$7,4,0)+L4125*VLOOKUP($B4125,Premissas!$A$4:$E$7,5,0))</f>
        <v/>
      </c>
      <c r="N4125" s="14">
        <f>H4125-M4125</f>
        <v/>
      </c>
      <c r="O4125" t="inlineStr">
        <is>
          <t>Sim</t>
        </is>
      </c>
      <c r="P4125" t="inlineStr">
        <is>
          <t>1.556</t>
        </is>
      </c>
    </row>
    <row r="4126">
      <c r="A4126" s="24" t="n">
        <v>46204</v>
      </c>
      <c r="B4126" t="inlineStr">
        <is>
          <t>Insumos e papel</t>
        </is>
      </c>
      <c r="C4126" t="inlineStr">
        <is>
          <t>2.01.03 Compra de Matéria Prima (Papel)</t>
        </is>
      </c>
      <c r="D4126" t="inlineStr">
        <is>
          <t>NF-e</t>
        </is>
      </c>
      <c r="E4126" t="inlineStr">
        <is>
          <t>000178356</t>
        </is>
      </c>
      <c r="F4126" t="inlineStr">
        <is>
          <t>SANTA MARIA CIA DE PAPEL E CELULOSE</t>
        </is>
      </c>
      <c r="G4126" s="27" t="n">
        <v>46206</v>
      </c>
      <c r="H4126" s="14" t="n">
        <v>70976.21000000001</v>
      </c>
      <c r="I4126" s="14" t="n">
        <v>2234.12</v>
      </c>
      <c r="J4126" s="14" t="n">
        <v>4811.95</v>
      </c>
      <c r="K4126" s="14" t="n">
        <v>1054.85</v>
      </c>
      <c r="L4126" s="14" t="n">
        <v>4858.69</v>
      </c>
      <c r="M4126" s="14">
        <f>IF(B4126="Frete de venda",0,(1-ISNUMBER(SEARCH("556",P4126)))*(I4126*VLOOKUP($B4126,Premissas!$A$4:$E$7,2,0)+J4126*VLOOKUP($B4126,Premissas!$A$4:$E$7,3,0))+K4126*VLOOKUP($B4126,Premissas!$A$4:$E$7,4,0)+L4126*VLOOKUP($B4126,Premissas!$A$4:$E$7,5,0))</f>
        <v/>
      </c>
      <c r="N4126" s="14">
        <f>H4126-M4126</f>
        <v/>
      </c>
      <c r="O4126" t="inlineStr">
        <is>
          <t>Sim</t>
        </is>
      </c>
      <c r="P4126" t="inlineStr">
        <is>
          <t>2.101</t>
        </is>
      </c>
    </row>
    <row r="4127">
      <c r="A4127" s="24" t="n">
        <v>46204</v>
      </c>
      <c r="B4127" t="inlineStr">
        <is>
          <t>Insumos e papel</t>
        </is>
      </c>
      <c r="C4127" t="inlineStr">
        <is>
          <t>2.01.03 Compra de Matéria Prima (Papel)</t>
        </is>
      </c>
      <c r="D4127" t="inlineStr">
        <is>
          <t>NF-e</t>
        </is>
      </c>
      <c r="E4127" t="inlineStr">
        <is>
          <t>000178889</t>
        </is>
      </c>
      <c r="F4127" t="inlineStr">
        <is>
          <t>SANTA MARIA CIA DE PAPEL E CELULOSE</t>
        </is>
      </c>
      <c r="G4127" s="27" t="n">
        <v>46230</v>
      </c>
      <c r="H4127" s="14" t="n">
        <v>334752.09</v>
      </c>
      <c r="I4127" s="14" t="n">
        <v>10536.99</v>
      </c>
      <c r="J4127" s="14" t="n">
        <v>22695.06</v>
      </c>
      <c r="K4127" s="14" t="n">
        <v>4975.08</v>
      </c>
      <c r="L4127" s="14" t="n">
        <v>22915.51</v>
      </c>
      <c r="M4127" s="14">
        <f>IF(B4127="Frete de venda",0,(1-ISNUMBER(SEARCH("556",P4127)))*(I4127*VLOOKUP($B4127,Premissas!$A$4:$E$7,2,0)+J4127*VLOOKUP($B4127,Premissas!$A$4:$E$7,3,0))+K4127*VLOOKUP($B4127,Premissas!$A$4:$E$7,4,0)+L4127*VLOOKUP($B4127,Premissas!$A$4:$E$7,5,0))</f>
        <v/>
      </c>
      <c r="N4127" s="14">
        <f>H4127-M4127</f>
        <v/>
      </c>
      <c r="O4127" t="inlineStr">
        <is>
          <t>Sim</t>
        </is>
      </c>
      <c r="P4127" t="inlineStr">
        <is>
          <t>2.102</t>
        </is>
      </c>
    </row>
    <row r="4128">
      <c r="A4128" s="24" t="n">
        <v>46204</v>
      </c>
      <c r="B4128" t="inlineStr">
        <is>
          <t>Insumos e papel</t>
        </is>
      </c>
      <c r="C4128" t="inlineStr">
        <is>
          <t>2.01.79 Compra de Gás</t>
        </is>
      </c>
      <c r="D4128" t="inlineStr">
        <is>
          <t>NF-e</t>
        </is>
      </c>
      <c r="E4128" t="inlineStr">
        <is>
          <t>000008334</t>
        </is>
      </c>
      <c r="F4128" t="inlineStr">
        <is>
          <t>SUPERGASBRAS ENERGIA LTDA</t>
        </is>
      </c>
      <c r="G4128" s="27" t="n">
        <v>46210</v>
      </c>
      <c r="H4128" s="14" t="n">
        <v>472.47</v>
      </c>
      <c r="I4128" s="14" t="n">
        <v>0</v>
      </c>
      <c r="J4128" s="14" t="n">
        <v>0</v>
      </c>
      <c r="K4128" s="14" t="n">
        <v>0</v>
      </c>
      <c r="L4128" s="14" t="n">
        <v>0</v>
      </c>
      <c r="M4128" s="14">
        <f>IF(B4128="Frete de venda",0,(1-ISNUMBER(SEARCH("556",P4128)))*(I4128*VLOOKUP($B4128,Premissas!$A$4:$E$7,2,0)+J4128*VLOOKUP($B4128,Premissas!$A$4:$E$7,3,0))+K4128*VLOOKUP($B4128,Premissas!$A$4:$E$7,4,0)+L4128*VLOOKUP($B4128,Premissas!$A$4:$E$7,5,0))</f>
        <v/>
      </c>
      <c r="N4128" s="14">
        <f>H4128-M4128</f>
        <v/>
      </c>
      <c r="O4128" t="inlineStr">
        <is>
          <t>Sim</t>
        </is>
      </c>
      <c r="P4128" t="inlineStr">
        <is>
          <t>1.556</t>
        </is>
      </c>
    </row>
    <row r="4129">
      <c r="A4129" s="24" t="n">
        <v>46204</v>
      </c>
      <c r="B4129" t="inlineStr">
        <is>
          <t>Insumos e papel</t>
        </is>
      </c>
      <c r="C4129" t="inlineStr">
        <is>
          <t>2.01.79 Compra de Gás</t>
        </is>
      </c>
      <c r="D4129" t="inlineStr">
        <is>
          <t>NF-e</t>
        </is>
      </c>
      <c r="E4129" t="inlineStr">
        <is>
          <t>000008388</t>
        </is>
      </c>
      <c r="F4129" t="inlineStr">
        <is>
          <t>SUPERGASBRAS ENERGIA LTDA</t>
        </is>
      </c>
      <c r="G4129" s="27" t="n">
        <v>46217</v>
      </c>
      <c r="H4129" s="14" t="n">
        <v>944.9400000000001</v>
      </c>
      <c r="I4129" s="14" t="n">
        <v>0</v>
      </c>
      <c r="J4129" s="14" t="n">
        <v>0</v>
      </c>
      <c r="K4129" s="14" t="n">
        <v>0</v>
      </c>
      <c r="L4129" s="14" t="n">
        <v>0</v>
      </c>
      <c r="M4129" s="14">
        <f>IF(B4129="Frete de venda",0,(1-ISNUMBER(SEARCH("556",P4129)))*(I4129*VLOOKUP($B4129,Premissas!$A$4:$E$7,2,0)+J4129*VLOOKUP($B4129,Premissas!$A$4:$E$7,3,0))+K4129*VLOOKUP($B4129,Premissas!$A$4:$E$7,4,0)+L4129*VLOOKUP($B4129,Premissas!$A$4:$E$7,5,0))</f>
        <v/>
      </c>
      <c r="N4129" s="14">
        <f>H4129-M4129</f>
        <v/>
      </c>
      <c r="O4129" t="inlineStr">
        <is>
          <t>Sim</t>
        </is>
      </c>
      <c r="P4129" t="inlineStr">
        <is>
          <t>1.556</t>
        </is>
      </c>
    </row>
    <row r="4130">
      <c r="A4130" s="24" t="n">
        <v>46204</v>
      </c>
      <c r="B4130" t="inlineStr">
        <is>
          <t>Insumos e papel</t>
        </is>
      </c>
      <c r="C4130" t="inlineStr">
        <is>
          <t>2.01.79 Compra de Gás</t>
        </is>
      </c>
      <c r="D4130" t="inlineStr">
        <is>
          <t>NF-e</t>
        </is>
      </c>
      <c r="E4130" t="inlineStr">
        <is>
          <t>000008441</t>
        </is>
      </c>
      <c r="F4130" t="inlineStr">
        <is>
          <t>SUPERGASBRAS ENERGIA LTDA</t>
        </is>
      </c>
      <c r="G4130" s="27" t="n">
        <v>46224</v>
      </c>
      <c r="H4130" s="14" t="n">
        <v>472.47</v>
      </c>
      <c r="I4130" s="14" t="n">
        <v>0</v>
      </c>
      <c r="J4130" s="14" t="n">
        <v>0</v>
      </c>
      <c r="K4130" s="14" t="n">
        <v>0</v>
      </c>
      <c r="L4130" s="14" t="n">
        <v>0</v>
      </c>
      <c r="M4130" s="14">
        <f>IF(B4130="Frete de venda",0,(1-ISNUMBER(SEARCH("556",P4130)))*(I4130*VLOOKUP($B4130,Premissas!$A$4:$E$7,2,0)+J4130*VLOOKUP($B4130,Premissas!$A$4:$E$7,3,0))+K4130*VLOOKUP($B4130,Premissas!$A$4:$E$7,4,0)+L4130*VLOOKUP($B4130,Premissas!$A$4:$E$7,5,0))</f>
        <v/>
      </c>
      <c r="N4130" s="14">
        <f>H4130-M4130</f>
        <v/>
      </c>
      <c r="O4130" t="inlineStr">
        <is>
          <t>Sim</t>
        </is>
      </c>
      <c r="P4130" t="inlineStr">
        <is>
          <t>1.556</t>
        </is>
      </c>
    </row>
    <row r="4131">
      <c r="A4131" s="24" t="n">
        <v>46204</v>
      </c>
      <c r="B4131" t="inlineStr">
        <is>
          <t>Insumos e papel</t>
        </is>
      </c>
      <c r="C4131" t="inlineStr">
        <is>
          <t>2.01.79 Compra de Gás</t>
        </is>
      </c>
      <c r="D4131" t="inlineStr">
        <is>
          <t>NF-e</t>
        </is>
      </c>
      <c r="E4131" t="inlineStr">
        <is>
          <t>000008496</t>
        </is>
      </c>
      <c r="F4131" t="inlineStr">
        <is>
          <t>SUPERGASBRAS ENERGIA LTDA</t>
        </is>
      </c>
      <c r="G4131" s="27" t="n">
        <v>46231</v>
      </c>
      <c r="H4131" s="14" t="n">
        <v>472.47</v>
      </c>
      <c r="I4131" s="14" t="n">
        <v>0</v>
      </c>
      <c r="J4131" s="14" t="n">
        <v>0</v>
      </c>
      <c r="K4131" s="14" t="n">
        <v>0</v>
      </c>
      <c r="L4131" s="14" t="n">
        <v>0</v>
      </c>
      <c r="M4131" s="14">
        <f>IF(B4131="Frete de venda",0,(1-ISNUMBER(SEARCH("556",P4131)))*(I4131*VLOOKUP($B4131,Premissas!$A$4:$E$7,2,0)+J4131*VLOOKUP($B4131,Premissas!$A$4:$E$7,3,0))+K4131*VLOOKUP($B4131,Premissas!$A$4:$E$7,4,0)+L4131*VLOOKUP($B4131,Premissas!$A$4:$E$7,5,0))</f>
        <v/>
      </c>
      <c r="N4131" s="14">
        <f>H4131-M4131</f>
        <v/>
      </c>
      <c r="O4131" t="inlineStr">
        <is>
          <t>Sim</t>
        </is>
      </c>
      <c r="P4131" t="inlineStr">
        <is>
          <t>1.556</t>
        </is>
      </c>
    </row>
    <row r="4132">
      <c r="A4132" s="24" t="n">
        <v>46204</v>
      </c>
      <c r="B4132" t="inlineStr">
        <is>
          <t>Uso e consumo</t>
        </is>
      </c>
      <c r="C4132" t="inlineStr">
        <is>
          <t>2.01.85 Compra de Uso e Consumo</t>
        </is>
      </c>
      <c r="D4132" t="inlineStr">
        <is>
          <t>NF-e</t>
        </is>
      </c>
      <c r="E4132" t="inlineStr">
        <is>
          <t>000014649</t>
        </is>
      </c>
      <c r="F4132" t="inlineStr">
        <is>
          <t>EDNA DE ARAUJO PACHECO LTDA</t>
        </is>
      </c>
      <c r="G4132" s="27" t="n">
        <v>46210</v>
      </c>
      <c r="H4132" s="14" t="n">
        <v>286.1</v>
      </c>
      <c r="I4132" s="14" t="n">
        <v>0</v>
      </c>
      <c r="J4132" s="14" t="n">
        <v>0</v>
      </c>
      <c r="K4132" s="14" t="n">
        <v>0</v>
      </c>
      <c r="L4132" s="14" t="n">
        <v>0</v>
      </c>
      <c r="M4132" s="14">
        <f>IF(B4132="Frete de venda",0,(1-ISNUMBER(SEARCH("556",P4132)))*(I4132*VLOOKUP($B4132,Premissas!$A$4:$E$7,2,0)+J4132*VLOOKUP($B4132,Premissas!$A$4:$E$7,3,0))+K4132*VLOOKUP($B4132,Premissas!$A$4:$E$7,4,0)+L4132*VLOOKUP($B4132,Premissas!$A$4:$E$7,5,0))</f>
        <v/>
      </c>
      <c r="N4132" s="14">
        <f>H4132-M4132</f>
        <v/>
      </c>
      <c r="O4132" t="inlineStr">
        <is>
          <t>Sim</t>
        </is>
      </c>
      <c r="P4132" t="inlineStr">
        <is>
          <t>1.556</t>
        </is>
      </c>
    </row>
    <row r="4133">
      <c r="A4133" s="24" t="n">
        <v>46204</v>
      </c>
      <c r="B4133" t="inlineStr">
        <is>
          <t>Uso e consumo</t>
        </is>
      </c>
      <c r="C4133" t="inlineStr">
        <is>
          <t>2.01.85 Compra de Uso e Consumo</t>
        </is>
      </c>
      <c r="D4133" t="inlineStr">
        <is>
          <t>NF-e</t>
        </is>
      </c>
      <c r="E4133" t="inlineStr">
        <is>
          <t>000001065</t>
        </is>
      </c>
      <c r="F4133" t="inlineStr">
        <is>
          <t>ELETRICA UNIAO MATERIAIS ELETRICOS E HIDRAULICOS LTDA</t>
        </is>
      </c>
      <c r="G4133" s="27" t="n">
        <v>46223</v>
      </c>
      <c r="H4133" s="14" t="n">
        <v>120.73</v>
      </c>
      <c r="I4133" s="14" t="n">
        <v>0</v>
      </c>
      <c r="J4133" s="14" t="n">
        <v>8.449999999999999</v>
      </c>
      <c r="K4133" s="14" t="n">
        <v>1.85</v>
      </c>
      <c r="L4133" s="14" t="n">
        <v>7.52</v>
      </c>
      <c r="M4133" s="14">
        <f>IF(B4133="Frete de venda",0,(1-ISNUMBER(SEARCH("556",P4133)))*(I4133*VLOOKUP($B4133,Premissas!$A$4:$E$7,2,0)+J4133*VLOOKUP($B4133,Premissas!$A$4:$E$7,3,0))+K4133*VLOOKUP($B4133,Premissas!$A$4:$E$7,4,0)+L4133*VLOOKUP($B4133,Premissas!$A$4:$E$7,5,0))</f>
        <v/>
      </c>
      <c r="N4133" s="14">
        <f>H4133-M4133</f>
        <v/>
      </c>
      <c r="O4133" t="inlineStr">
        <is>
          <t>Sim</t>
        </is>
      </c>
      <c r="P4133" t="inlineStr">
        <is>
          <t>2.556</t>
        </is>
      </c>
    </row>
    <row r="4134">
      <c r="A4134" s="24" t="n">
        <v>46204</v>
      </c>
      <c r="B4134" t="inlineStr">
        <is>
          <t>Uso e consumo</t>
        </is>
      </c>
      <c r="C4134" t="inlineStr">
        <is>
          <t>2.01.85 Compra de Uso e Consumo</t>
        </is>
      </c>
      <c r="D4134" t="inlineStr">
        <is>
          <t>NF-e</t>
        </is>
      </c>
      <c r="E4134" t="inlineStr">
        <is>
          <t>000000300</t>
        </is>
      </c>
      <c r="F4134" t="inlineStr">
        <is>
          <t>INFORPOINT SERVICOS E COMERCIO EM TECNOLOGIA LTDA</t>
        </is>
      </c>
      <c r="G4134" s="27" t="n">
        <v>46206</v>
      </c>
      <c r="H4134" s="14" t="n">
        <v>500</v>
      </c>
      <c r="I4134" s="14" t="n">
        <v>0</v>
      </c>
      <c r="J4134" s="14" t="n">
        <v>0</v>
      </c>
      <c r="K4134" s="14" t="n">
        <v>0</v>
      </c>
      <c r="L4134" s="14" t="n">
        <v>0</v>
      </c>
      <c r="M4134" s="14">
        <f>IF(B4134="Frete de venda",0,(1-ISNUMBER(SEARCH("556",P4134)))*(I4134*VLOOKUP($B4134,Premissas!$A$4:$E$7,2,0)+J4134*VLOOKUP($B4134,Premissas!$A$4:$E$7,3,0))+K4134*VLOOKUP($B4134,Premissas!$A$4:$E$7,4,0)+L4134*VLOOKUP($B4134,Premissas!$A$4:$E$7,5,0))</f>
        <v/>
      </c>
      <c r="N4134" s="14">
        <f>H4134-M4134</f>
        <v/>
      </c>
      <c r="O4134" t="inlineStr">
        <is>
          <t>Sim</t>
        </is>
      </c>
      <c r="P4134" t="inlineStr">
        <is>
          <t>1.556</t>
        </is>
      </c>
    </row>
    <row r="4135">
      <c r="A4135" s="24" t="n">
        <v>46204</v>
      </c>
      <c r="B4135" t="inlineStr">
        <is>
          <t>Uso e consumo</t>
        </is>
      </c>
      <c r="C4135" t="inlineStr">
        <is>
          <t>2.01.85 Compra de Uso e Consumo</t>
        </is>
      </c>
      <c r="D4135" t="inlineStr">
        <is>
          <t>NF-e</t>
        </is>
      </c>
      <c r="E4135" t="inlineStr">
        <is>
          <t>000009822</t>
        </is>
      </c>
      <c r="F4135" t="inlineStr">
        <is>
          <t>PAULO V. M. DO NASCIMENTO</t>
        </is>
      </c>
      <c r="G4135" s="27" t="n">
        <v>46210</v>
      </c>
      <c r="H4135" s="14" t="n">
        <v>219</v>
      </c>
      <c r="I4135" s="14" t="n">
        <v>0</v>
      </c>
      <c r="J4135" s="14" t="n">
        <v>43.8</v>
      </c>
      <c r="K4135" s="14" t="n">
        <v>0</v>
      </c>
      <c r="L4135" s="14" t="n">
        <v>0</v>
      </c>
      <c r="M4135" s="14">
        <f>IF(B4135="Frete de venda",0,(1-ISNUMBER(SEARCH("556",P4135)))*(I4135*VLOOKUP($B4135,Premissas!$A$4:$E$7,2,0)+J4135*VLOOKUP($B4135,Premissas!$A$4:$E$7,3,0))+K4135*VLOOKUP($B4135,Premissas!$A$4:$E$7,4,0)+L4135*VLOOKUP($B4135,Premissas!$A$4:$E$7,5,0))</f>
        <v/>
      </c>
      <c r="N4135" s="14">
        <f>H4135-M4135</f>
        <v/>
      </c>
      <c r="O4135" t="inlineStr">
        <is>
          <t>Sim</t>
        </is>
      </c>
      <c r="P4135" t="inlineStr">
        <is>
          <t>1.556</t>
        </is>
      </c>
    </row>
    <row r="4136">
      <c r="A4136" s="24" t="n">
        <v>46204</v>
      </c>
      <c r="B4136" t="inlineStr">
        <is>
          <t>Uso e consumo</t>
        </is>
      </c>
      <c r="C4136" t="inlineStr">
        <is>
          <t>2.01.85 Compra de Uso e Consumo</t>
        </is>
      </c>
      <c r="D4136" t="inlineStr">
        <is>
          <t>NF-e</t>
        </is>
      </c>
      <c r="E4136" t="inlineStr">
        <is>
          <t>000104609</t>
        </is>
      </c>
      <c r="F4136" t="inlineStr">
        <is>
          <t>PERNAMBUCO DISTRIBUIDORA ATAC EPIS, INS IND e MRO LTDA</t>
        </is>
      </c>
      <c r="G4136" s="27" t="n">
        <v>46217</v>
      </c>
      <c r="H4136" s="14" t="n">
        <v>11964.24</v>
      </c>
      <c r="I4136" s="14" t="n">
        <v>0</v>
      </c>
      <c r="J4136" s="14" t="n">
        <v>2392.84</v>
      </c>
      <c r="K4136" s="14" t="n">
        <v>157.92</v>
      </c>
      <c r="L4136" s="14" t="n">
        <v>727.42</v>
      </c>
      <c r="M4136" s="14">
        <f>IF(B4136="Frete de venda",0,(1-ISNUMBER(SEARCH("556",P4136)))*(I4136*VLOOKUP($B4136,Premissas!$A$4:$E$7,2,0)+J4136*VLOOKUP($B4136,Premissas!$A$4:$E$7,3,0))+K4136*VLOOKUP($B4136,Premissas!$A$4:$E$7,4,0)+L4136*VLOOKUP($B4136,Premissas!$A$4:$E$7,5,0))</f>
        <v/>
      </c>
      <c r="N4136" s="14">
        <f>H4136-M4136</f>
        <v/>
      </c>
      <c r="O4136" t="inlineStr">
        <is>
          <t>Sim</t>
        </is>
      </c>
      <c r="P4136" t="inlineStr">
        <is>
          <t>1.556</t>
        </is>
      </c>
    </row>
    <row r="4137">
      <c r="A4137" s="24" t="n">
        <v>46204</v>
      </c>
      <c r="B4137" t="inlineStr">
        <is>
          <t>Uso e consumo</t>
        </is>
      </c>
      <c r="C4137" t="inlineStr">
        <is>
          <t>2.01.85 Compra de Uso e Consumo</t>
        </is>
      </c>
      <c r="D4137" t="inlineStr">
        <is>
          <t>NF-e</t>
        </is>
      </c>
      <c r="E4137" t="inlineStr">
        <is>
          <t>000105806</t>
        </is>
      </c>
      <c r="F4137" t="inlineStr">
        <is>
          <t>PERNAMBUCO DISTRIBUIDORA ATAC EPIS, INS IND e MRO LTDA</t>
        </is>
      </c>
      <c r="G4137" s="27" t="n">
        <v>46233</v>
      </c>
      <c r="H4137" s="14" t="n">
        <v>65</v>
      </c>
      <c r="I4137" s="14" t="n">
        <v>0</v>
      </c>
      <c r="J4137" s="14" t="n">
        <v>140.6</v>
      </c>
      <c r="K4137" s="14" t="n">
        <v>9.24</v>
      </c>
      <c r="L4137" s="14" t="n">
        <v>42.71</v>
      </c>
      <c r="M4137" s="14">
        <f>IF(B4137="Frete de venda",0,(1-ISNUMBER(SEARCH("556",P4137)))*(I4137*VLOOKUP($B4137,Premissas!$A$4:$E$7,2,0)+J4137*VLOOKUP($B4137,Premissas!$A$4:$E$7,3,0))+K4137*VLOOKUP($B4137,Premissas!$A$4:$E$7,4,0)+L4137*VLOOKUP($B4137,Premissas!$A$4:$E$7,5,0))</f>
        <v/>
      </c>
      <c r="N4137" s="14">
        <f>H4137-M4137</f>
        <v/>
      </c>
      <c r="O4137" t="inlineStr">
        <is>
          <t>Sim</t>
        </is>
      </c>
      <c r="P4137" t="inlineStr">
        <is>
          <t>1.556</t>
        </is>
      </c>
    </row>
    <row r="4138">
      <c r="A4138" s="24" t="n">
        <v>46204</v>
      </c>
      <c r="B4138" t="inlineStr">
        <is>
          <t>Uso e consumo</t>
        </is>
      </c>
      <c r="C4138" t="inlineStr">
        <is>
          <t>2.01.85 Compra de Uso e Consumo</t>
        </is>
      </c>
      <c r="D4138" t="inlineStr">
        <is>
          <t>NF-e</t>
        </is>
      </c>
      <c r="E4138" t="inlineStr">
        <is>
          <t>000003669</t>
        </is>
      </c>
      <c r="F4138" t="inlineStr">
        <is>
          <t>PRESENTES ESPECIAIS LTDA</t>
        </is>
      </c>
      <c r="G4138" s="27" t="n">
        <v>46225</v>
      </c>
      <c r="H4138" s="14" t="n">
        <v>1500</v>
      </c>
      <c r="I4138" s="14" t="n">
        <v>0</v>
      </c>
      <c r="J4138" s="14" t="n">
        <v>0</v>
      </c>
      <c r="K4138" s="14" t="n">
        <v>0</v>
      </c>
      <c r="L4138" s="14" t="n">
        <v>0</v>
      </c>
      <c r="M4138" s="14">
        <f>IF(B4138="Frete de venda",0,(1-ISNUMBER(SEARCH("556",P4138)))*(I4138*VLOOKUP($B4138,Premissas!$A$4:$E$7,2,0)+J4138*VLOOKUP($B4138,Premissas!$A$4:$E$7,3,0))+K4138*VLOOKUP($B4138,Premissas!$A$4:$E$7,4,0)+L4138*VLOOKUP($B4138,Premissas!$A$4:$E$7,5,0))</f>
        <v/>
      </c>
      <c r="N4138" s="14">
        <f>H4138-M4138</f>
        <v/>
      </c>
      <c r="O4138" t="inlineStr">
        <is>
          <t>Sim</t>
        </is>
      </c>
      <c r="P4138" t="inlineStr">
        <is>
          <t>2.556</t>
        </is>
      </c>
    </row>
    <row r="4139">
      <c r="A4139" s="24" t="n">
        <v>46204</v>
      </c>
      <c r="B4139" t="inlineStr">
        <is>
          <t>Uso e consumo</t>
        </is>
      </c>
      <c r="C4139" t="inlineStr">
        <is>
          <t>2.01.87 Compra de Peças de Máquinas</t>
        </is>
      </c>
      <c r="D4139" t="inlineStr">
        <is>
          <t>NF-e</t>
        </is>
      </c>
      <c r="E4139" t="inlineStr">
        <is>
          <t>000025998</t>
        </is>
      </c>
      <c r="F4139" t="inlineStr">
        <is>
          <t>CLAUDIA FERREIRA GODOI</t>
        </is>
      </c>
      <c r="G4139" s="27" t="n">
        <v>46225</v>
      </c>
      <c r="H4139" s="14" t="n">
        <v>103</v>
      </c>
      <c r="I4139" s="14" t="n">
        <v>0</v>
      </c>
      <c r="J4139" s="14" t="n">
        <v>0</v>
      </c>
      <c r="K4139" s="14" t="n">
        <v>0</v>
      </c>
      <c r="L4139" s="14" t="n">
        <v>0</v>
      </c>
      <c r="M4139" s="14">
        <f>IF(B4139="Frete de venda",0,(1-ISNUMBER(SEARCH("556",P4139)))*(I4139*VLOOKUP($B4139,Premissas!$A$4:$E$7,2,0)+J4139*VLOOKUP($B4139,Premissas!$A$4:$E$7,3,0))+K4139*VLOOKUP($B4139,Premissas!$A$4:$E$7,4,0)+L4139*VLOOKUP($B4139,Premissas!$A$4:$E$7,5,0))</f>
        <v/>
      </c>
      <c r="N4139" s="14">
        <f>H4139-M4139</f>
        <v/>
      </c>
      <c r="O4139" t="inlineStr">
        <is>
          <t>Sim</t>
        </is>
      </c>
      <c r="P4139" t="inlineStr">
        <is>
          <t>2.556</t>
        </is>
      </c>
    </row>
    <row r="4140">
      <c r="A4140" s="24" t="n">
        <v>46204</v>
      </c>
      <c r="B4140" t="inlineStr">
        <is>
          <t>Uso e consumo</t>
        </is>
      </c>
      <c r="C4140" t="inlineStr">
        <is>
          <t>2.01.87 Compra de Peças de Máquinas</t>
        </is>
      </c>
      <c r="D4140" t="inlineStr">
        <is>
          <t>NF-e</t>
        </is>
      </c>
      <c r="E4140" t="inlineStr">
        <is>
          <t>000060088</t>
        </is>
      </c>
      <c r="F4140" t="inlineStr">
        <is>
          <t>ELETROPOLO ELETRICIDADE LTDA</t>
        </is>
      </c>
      <c r="G4140" s="27" t="n">
        <v>46230</v>
      </c>
      <c r="H4140" s="14" t="n">
        <v>320</v>
      </c>
      <c r="I4140" s="14" t="n">
        <v>0</v>
      </c>
      <c r="J4140" s="14" t="n">
        <v>64</v>
      </c>
      <c r="K4140" s="14" t="n">
        <v>4.22</v>
      </c>
      <c r="L4140" s="14" t="n">
        <v>19.46</v>
      </c>
      <c r="M4140" s="14">
        <f>IF(B4140="Frete de venda",0,(1-ISNUMBER(SEARCH("556",P4140)))*(I4140*VLOOKUP($B4140,Premissas!$A$4:$E$7,2,0)+J4140*VLOOKUP($B4140,Premissas!$A$4:$E$7,3,0))+K4140*VLOOKUP($B4140,Premissas!$A$4:$E$7,4,0)+L4140*VLOOKUP($B4140,Premissas!$A$4:$E$7,5,0))</f>
        <v/>
      </c>
      <c r="N4140" s="14">
        <f>H4140-M4140</f>
        <v/>
      </c>
      <c r="O4140" t="inlineStr">
        <is>
          <t>Sim</t>
        </is>
      </c>
      <c r="P4140" t="inlineStr">
        <is>
          <t>1.556</t>
        </is>
      </c>
    </row>
    <row r="4141">
      <c r="A4141" s="24" t="n">
        <v>46204</v>
      </c>
      <c r="B4141" t="inlineStr">
        <is>
          <t>Uso e consumo</t>
        </is>
      </c>
      <c r="C4141" t="inlineStr">
        <is>
          <t>2.01.87 Compra de Peças de Máquinas</t>
        </is>
      </c>
      <c r="D4141" t="inlineStr">
        <is>
          <t>NF-e</t>
        </is>
      </c>
      <c r="E4141" t="inlineStr">
        <is>
          <t>000105689</t>
        </is>
      </c>
      <c r="F4141" t="inlineStr">
        <is>
          <t>FERGE COMERCIO DE PRODUTOS INDUSTRIAIS LTDA</t>
        </is>
      </c>
      <c r="G4141" s="27" t="n">
        <v>46210</v>
      </c>
      <c r="H4141" s="14" t="n">
        <v>640</v>
      </c>
      <c r="I4141" s="14" t="n">
        <v>0</v>
      </c>
      <c r="J4141" s="14" t="n">
        <v>128</v>
      </c>
      <c r="K4141" s="14" t="n">
        <v>0</v>
      </c>
      <c r="L4141" s="14" t="n">
        <v>0</v>
      </c>
      <c r="M4141" s="14">
        <f>IF(B4141="Frete de venda",0,(1-ISNUMBER(SEARCH("556",P4141)))*(I4141*VLOOKUP($B4141,Premissas!$A$4:$E$7,2,0)+J4141*VLOOKUP($B4141,Premissas!$A$4:$E$7,3,0))+K4141*VLOOKUP($B4141,Premissas!$A$4:$E$7,4,0)+L4141*VLOOKUP($B4141,Premissas!$A$4:$E$7,5,0))</f>
        <v/>
      </c>
      <c r="N4141" s="14">
        <f>H4141-M4141</f>
        <v/>
      </c>
      <c r="O4141" t="inlineStr">
        <is>
          <t>Sim</t>
        </is>
      </c>
      <c r="P4141" t="inlineStr">
        <is>
          <t>1.556</t>
        </is>
      </c>
    </row>
    <row r="4142">
      <c r="A4142" s="24" t="n">
        <v>46204</v>
      </c>
      <c r="B4142" t="inlineStr">
        <is>
          <t>Uso e consumo</t>
        </is>
      </c>
      <c r="C4142" t="inlineStr">
        <is>
          <t>2.01.87 Compra de Peças de Máquinas</t>
        </is>
      </c>
      <c r="D4142" t="inlineStr">
        <is>
          <t>NF-e</t>
        </is>
      </c>
      <c r="E4142" t="inlineStr">
        <is>
          <t>000106017</t>
        </is>
      </c>
      <c r="F4142" t="inlineStr">
        <is>
          <t>FERGE COMERCIO DE PRODUTOS INDUSTRIAIS LTDA</t>
        </is>
      </c>
      <c r="G4142" s="27" t="n">
        <v>46219</v>
      </c>
      <c r="H4142" s="14" t="n">
        <v>2895</v>
      </c>
      <c r="I4142" s="14" t="n">
        <v>0</v>
      </c>
      <c r="J4142" s="14" t="n">
        <v>579</v>
      </c>
      <c r="K4142" s="14" t="n">
        <v>0</v>
      </c>
      <c r="L4142" s="14" t="n">
        <v>0</v>
      </c>
      <c r="M4142" s="14">
        <f>IF(B4142="Frete de venda",0,(1-ISNUMBER(SEARCH("556",P4142)))*(I4142*VLOOKUP($B4142,Premissas!$A$4:$E$7,2,0)+J4142*VLOOKUP($B4142,Premissas!$A$4:$E$7,3,0))+K4142*VLOOKUP($B4142,Premissas!$A$4:$E$7,4,0)+L4142*VLOOKUP($B4142,Premissas!$A$4:$E$7,5,0))</f>
        <v/>
      </c>
      <c r="N4142" s="14">
        <f>H4142-M4142</f>
        <v/>
      </c>
      <c r="O4142" t="inlineStr">
        <is>
          <t>Sim</t>
        </is>
      </c>
      <c r="P4142" t="inlineStr">
        <is>
          <t>1.556</t>
        </is>
      </c>
    </row>
    <row r="4143">
      <c r="A4143" s="24" t="n">
        <v>46204</v>
      </c>
      <c r="B4143" t="inlineStr">
        <is>
          <t>Uso e consumo</t>
        </is>
      </c>
      <c r="C4143" t="inlineStr">
        <is>
          <t>2.01.87 Compra de Peças de Máquinas</t>
        </is>
      </c>
      <c r="D4143" t="inlineStr">
        <is>
          <t>NF-e</t>
        </is>
      </c>
      <c r="E4143" t="inlineStr">
        <is>
          <t>000106288</t>
        </is>
      </c>
      <c r="F4143" t="inlineStr">
        <is>
          <t>FERGE COMERCIO DE PRODUTOS INDUSTRIAIS LTDA</t>
        </is>
      </c>
      <c r="G4143" s="27" t="n">
        <v>46227</v>
      </c>
      <c r="H4143" s="14" t="n">
        <v>240</v>
      </c>
      <c r="I4143" s="14" t="n">
        <v>0</v>
      </c>
      <c r="J4143" s="14" t="n">
        <v>48</v>
      </c>
      <c r="K4143" s="14" t="n">
        <v>0</v>
      </c>
      <c r="L4143" s="14" t="n">
        <v>0</v>
      </c>
      <c r="M4143" s="14">
        <f>IF(B4143="Frete de venda",0,(1-ISNUMBER(SEARCH("556",P4143)))*(I4143*VLOOKUP($B4143,Premissas!$A$4:$E$7,2,0)+J4143*VLOOKUP($B4143,Premissas!$A$4:$E$7,3,0))+K4143*VLOOKUP($B4143,Premissas!$A$4:$E$7,4,0)+L4143*VLOOKUP($B4143,Premissas!$A$4:$E$7,5,0))</f>
        <v/>
      </c>
      <c r="N4143" s="14">
        <f>H4143-M4143</f>
        <v/>
      </c>
      <c r="O4143" t="inlineStr">
        <is>
          <t>Sim</t>
        </is>
      </c>
      <c r="P4143" t="inlineStr">
        <is>
          <t>1.556</t>
        </is>
      </c>
    </row>
    <row r="4144">
      <c r="A4144" s="24" t="n">
        <v>46204</v>
      </c>
      <c r="B4144" t="inlineStr">
        <is>
          <t>Uso e consumo</t>
        </is>
      </c>
      <c r="C4144" t="inlineStr">
        <is>
          <t>2.01.87 Compra de Peças de Máquinas</t>
        </is>
      </c>
      <c r="D4144" t="inlineStr">
        <is>
          <t>NF-e</t>
        </is>
      </c>
      <c r="E4144" t="inlineStr">
        <is>
          <t>000003819</t>
        </is>
      </c>
      <c r="F4144" t="inlineStr">
        <is>
          <t>FERMEC FERRAGENS E MECANICA INDUSTRIAL LTDA</t>
        </is>
      </c>
      <c r="G4144" s="27" t="n">
        <v>46223</v>
      </c>
      <c r="H4144" s="14" t="n">
        <v>2500</v>
      </c>
      <c r="I4144" s="14" t="n">
        <v>0</v>
      </c>
      <c r="J4144" s="14" t="n">
        <v>0</v>
      </c>
      <c r="K4144" s="14" t="n">
        <v>0</v>
      </c>
      <c r="L4144" s="14" t="n">
        <v>0</v>
      </c>
      <c r="M4144" s="14">
        <f>IF(B4144="Frete de venda",0,(1-ISNUMBER(SEARCH("556",P4144)))*(I4144*VLOOKUP($B4144,Premissas!$A$4:$E$7,2,0)+J4144*VLOOKUP($B4144,Premissas!$A$4:$E$7,3,0))+K4144*VLOOKUP($B4144,Premissas!$A$4:$E$7,4,0)+L4144*VLOOKUP($B4144,Premissas!$A$4:$E$7,5,0))</f>
        <v/>
      </c>
      <c r="N4144" s="14">
        <f>H4144-M4144</f>
        <v/>
      </c>
      <c r="O4144" t="inlineStr">
        <is>
          <t>Sim</t>
        </is>
      </c>
      <c r="P4144" t="inlineStr">
        <is>
          <t>1.556</t>
        </is>
      </c>
    </row>
    <row r="4145">
      <c r="A4145" s="24" t="n">
        <v>46204</v>
      </c>
      <c r="B4145" t="inlineStr">
        <is>
          <t>Uso e consumo</t>
        </is>
      </c>
      <c r="C4145" t="inlineStr">
        <is>
          <t>2.01.87 Compra de Peças de Máquinas</t>
        </is>
      </c>
      <c r="D4145" t="inlineStr">
        <is>
          <t>NF-e</t>
        </is>
      </c>
      <c r="E4145" t="inlineStr">
        <is>
          <t>000072616</t>
        </is>
      </c>
      <c r="F4145" t="inlineStr">
        <is>
          <t>FURNAX COMERCIAL E IMPORTADORA EIRELI</t>
        </is>
      </c>
      <c r="G4145" s="27" t="n">
        <v>46219</v>
      </c>
      <c r="H4145" s="14" t="n">
        <v>12544.88</v>
      </c>
      <c r="I4145" s="14" t="n">
        <v>394.88</v>
      </c>
      <c r="J4145" s="14" t="n">
        <v>501.8</v>
      </c>
      <c r="K4145" s="14" t="n">
        <v>192.2</v>
      </c>
      <c r="L4145" s="14" t="n">
        <v>885.26</v>
      </c>
      <c r="M4145" s="14">
        <f>IF(B4145="Frete de venda",0,(1-ISNUMBER(SEARCH("556",P4145)))*(I4145*VLOOKUP($B4145,Premissas!$A$4:$E$7,2,0)+J4145*VLOOKUP($B4145,Premissas!$A$4:$E$7,3,0))+K4145*VLOOKUP($B4145,Premissas!$A$4:$E$7,4,0)+L4145*VLOOKUP($B4145,Premissas!$A$4:$E$7,5,0))</f>
        <v/>
      </c>
      <c r="N4145" s="14">
        <f>H4145-M4145</f>
        <v/>
      </c>
      <c r="O4145" t="inlineStr">
        <is>
          <t>Sim</t>
        </is>
      </c>
      <c r="P4145" t="inlineStr">
        <is>
          <t>2.556</t>
        </is>
      </c>
    </row>
    <row r="4146">
      <c r="A4146" s="24" t="n">
        <v>46204</v>
      </c>
      <c r="B4146" t="inlineStr">
        <is>
          <t>Uso e consumo</t>
        </is>
      </c>
      <c r="C4146" t="inlineStr">
        <is>
          <t>2.01.87 Compra de Peças de Máquinas</t>
        </is>
      </c>
      <c r="D4146" t="inlineStr">
        <is>
          <t>NF-e</t>
        </is>
      </c>
      <c r="E4146" t="inlineStr">
        <is>
          <t>000006999</t>
        </is>
      </c>
      <c r="F4146" t="inlineStr">
        <is>
          <t>GF COMERCIO DE PRODUTOS INDUSTRIAIS LTDA</t>
        </is>
      </c>
      <c r="G4146" s="27" t="n">
        <v>46204</v>
      </c>
      <c r="H4146" s="14" t="n">
        <v>615</v>
      </c>
      <c r="I4146" s="14" t="n">
        <v>0</v>
      </c>
      <c r="J4146" s="14" t="n">
        <v>0</v>
      </c>
      <c r="K4146" s="14" t="n">
        <v>0</v>
      </c>
      <c r="L4146" s="14" t="n">
        <v>0</v>
      </c>
      <c r="M4146" s="14">
        <f>IF(B4146="Frete de venda",0,(1-ISNUMBER(SEARCH("556",P4146)))*(I4146*VLOOKUP($B4146,Premissas!$A$4:$E$7,2,0)+J4146*VLOOKUP($B4146,Premissas!$A$4:$E$7,3,0))+K4146*VLOOKUP($B4146,Premissas!$A$4:$E$7,4,0)+L4146*VLOOKUP($B4146,Premissas!$A$4:$E$7,5,0))</f>
        <v/>
      </c>
      <c r="N4146" s="14">
        <f>H4146-M4146</f>
        <v/>
      </c>
      <c r="O4146" t="inlineStr">
        <is>
          <t>Sim</t>
        </is>
      </c>
      <c r="P4146" t="inlineStr">
        <is>
          <t>1.556</t>
        </is>
      </c>
    </row>
    <row r="4147">
      <c r="A4147" s="24" t="n">
        <v>46204</v>
      </c>
      <c r="B4147" t="inlineStr">
        <is>
          <t>Uso e consumo</t>
        </is>
      </c>
      <c r="C4147" t="inlineStr">
        <is>
          <t>2.01.87 Compra de Peças de Máquinas</t>
        </is>
      </c>
      <c r="D4147" t="inlineStr">
        <is>
          <t>NF-e</t>
        </is>
      </c>
      <c r="E4147" t="inlineStr">
        <is>
          <t>000007051</t>
        </is>
      </c>
      <c r="F4147" t="inlineStr">
        <is>
          <t>GF COMERCIO DE PRODUTOS INDUSTRIAIS LTDA</t>
        </is>
      </c>
      <c r="G4147" s="27" t="n">
        <v>46210</v>
      </c>
      <c r="H4147" s="14" t="n">
        <v>497.64</v>
      </c>
      <c r="I4147" s="14" t="n">
        <v>0</v>
      </c>
      <c r="J4147" s="14" t="n">
        <v>0</v>
      </c>
      <c r="K4147" s="14" t="n">
        <v>0</v>
      </c>
      <c r="L4147" s="14" t="n">
        <v>0</v>
      </c>
      <c r="M4147" s="14">
        <f>IF(B4147="Frete de venda",0,(1-ISNUMBER(SEARCH("556",P4147)))*(I4147*VLOOKUP($B4147,Premissas!$A$4:$E$7,2,0)+J4147*VLOOKUP($B4147,Premissas!$A$4:$E$7,3,0))+K4147*VLOOKUP($B4147,Premissas!$A$4:$E$7,4,0)+L4147*VLOOKUP($B4147,Premissas!$A$4:$E$7,5,0))</f>
        <v/>
      </c>
      <c r="N4147" s="14">
        <f>H4147-M4147</f>
        <v/>
      </c>
      <c r="O4147" t="inlineStr">
        <is>
          <t>Sim</t>
        </is>
      </c>
      <c r="P4147" t="inlineStr">
        <is>
          <t>1.556</t>
        </is>
      </c>
    </row>
    <row r="4148">
      <c r="A4148" s="24" t="n">
        <v>46204</v>
      </c>
      <c r="B4148" t="inlineStr">
        <is>
          <t>Uso e consumo</t>
        </is>
      </c>
      <c r="C4148" t="inlineStr">
        <is>
          <t>2.01.87 Compra de Peças de Máquinas</t>
        </is>
      </c>
      <c r="D4148" t="inlineStr">
        <is>
          <t>NF-e</t>
        </is>
      </c>
      <c r="E4148" t="inlineStr">
        <is>
          <t>000007052</t>
        </is>
      </c>
      <c r="F4148" t="inlineStr">
        <is>
          <t>GF COMERCIO DE PRODUTOS INDUSTRIAIS LTDA</t>
        </is>
      </c>
      <c r="G4148" s="27" t="n">
        <v>46210</v>
      </c>
      <c r="H4148" s="14" t="n">
        <v>300</v>
      </c>
      <c r="I4148" s="14" t="n">
        <v>0</v>
      </c>
      <c r="J4148" s="14" t="n">
        <v>0</v>
      </c>
      <c r="K4148" s="14" t="n">
        <v>0</v>
      </c>
      <c r="L4148" s="14" t="n">
        <v>0</v>
      </c>
      <c r="M4148" s="14">
        <f>IF(B4148="Frete de venda",0,(1-ISNUMBER(SEARCH("556",P4148)))*(I4148*VLOOKUP($B4148,Premissas!$A$4:$E$7,2,0)+J4148*VLOOKUP($B4148,Premissas!$A$4:$E$7,3,0))+K4148*VLOOKUP($B4148,Premissas!$A$4:$E$7,4,0)+L4148*VLOOKUP($B4148,Premissas!$A$4:$E$7,5,0))</f>
        <v/>
      </c>
      <c r="N4148" s="14">
        <f>H4148-M4148</f>
        <v/>
      </c>
      <c r="O4148" t="inlineStr">
        <is>
          <t>Sim</t>
        </is>
      </c>
      <c r="P4148" t="inlineStr">
        <is>
          <t>1.556</t>
        </is>
      </c>
    </row>
    <row r="4149">
      <c r="A4149" s="24" t="n">
        <v>46204</v>
      </c>
      <c r="B4149" t="inlineStr">
        <is>
          <t>Uso e consumo</t>
        </is>
      </c>
      <c r="C4149" t="inlineStr">
        <is>
          <t>2.01.87 Compra de Peças de Máquinas</t>
        </is>
      </c>
      <c r="D4149" t="inlineStr">
        <is>
          <t>NF-e</t>
        </is>
      </c>
      <c r="E4149" t="inlineStr">
        <is>
          <t>000007173</t>
        </is>
      </c>
      <c r="F4149" t="inlineStr">
        <is>
          <t>GF COMERCIO DE PRODUTOS INDUSTRIAIS LTDA</t>
        </is>
      </c>
      <c r="G4149" s="27" t="n">
        <v>46219</v>
      </c>
      <c r="H4149" s="14" t="n">
        <v>2486.2</v>
      </c>
      <c r="I4149" s="14" t="n">
        <v>0</v>
      </c>
      <c r="J4149" s="14" t="n">
        <v>0</v>
      </c>
      <c r="K4149" s="14" t="n">
        <v>0</v>
      </c>
      <c r="L4149" s="14" t="n">
        <v>0</v>
      </c>
      <c r="M4149" s="14">
        <f>IF(B4149="Frete de venda",0,(1-ISNUMBER(SEARCH("556",P4149)))*(I4149*VLOOKUP($B4149,Premissas!$A$4:$E$7,2,0)+J4149*VLOOKUP($B4149,Premissas!$A$4:$E$7,3,0))+K4149*VLOOKUP($B4149,Premissas!$A$4:$E$7,4,0)+L4149*VLOOKUP($B4149,Premissas!$A$4:$E$7,5,0))</f>
        <v/>
      </c>
      <c r="N4149" s="14">
        <f>H4149-M4149</f>
        <v/>
      </c>
      <c r="O4149" t="inlineStr">
        <is>
          <t>Sim</t>
        </is>
      </c>
      <c r="P4149" t="inlineStr">
        <is>
          <t>1.102, 1.556</t>
        </is>
      </c>
    </row>
    <row r="4150">
      <c r="A4150" s="24" t="n">
        <v>46204</v>
      </c>
      <c r="B4150" t="inlineStr">
        <is>
          <t>Uso e consumo</t>
        </is>
      </c>
      <c r="C4150" t="inlineStr">
        <is>
          <t>2.01.87 Compra de Peças de Máquinas</t>
        </is>
      </c>
      <c r="D4150" t="inlineStr">
        <is>
          <t>NF-e</t>
        </is>
      </c>
      <c r="E4150" t="inlineStr">
        <is>
          <t>000007260</t>
        </is>
      </c>
      <c r="F4150" t="inlineStr">
        <is>
          <t>GF COMERCIO DE PRODUTOS INDUSTRIAIS LTDA</t>
        </is>
      </c>
      <c r="G4150" s="27" t="n">
        <v>46227</v>
      </c>
      <c r="H4150" s="14" t="n">
        <v>238.2</v>
      </c>
      <c r="I4150" s="14" t="n">
        <v>0</v>
      </c>
      <c r="J4150" s="14" t="n">
        <v>0</v>
      </c>
      <c r="K4150" s="14" t="n">
        <v>0</v>
      </c>
      <c r="L4150" s="14" t="n">
        <v>0</v>
      </c>
      <c r="M4150" s="14">
        <f>IF(B4150="Frete de venda",0,(1-ISNUMBER(SEARCH("556",P4150)))*(I4150*VLOOKUP($B4150,Premissas!$A$4:$E$7,2,0)+J4150*VLOOKUP($B4150,Premissas!$A$4:$E$7,3,0))+K4150*VLOOKUP($B4150,Premissas!$A$4:$E$7,4,0)+L4150*VLOOKUP($B4150,Premissas!$A$4:$E$7,5,0))</f>
        <v/>
      </c>
      <c r="N4150" s="14">
        <f>H4150-M4150</f>
        <v/>
      </c>
      <c r="O4150" t="inlineStr">
        <is>
          <t>Sim</t>
        </is>
      </c>
      <c r="P4150" t="inlineStr">
        <is>
          <t>1.556</t>
        </is>
      </c>
    </row>
    <row r="4151">
      <c r="A4151" s="24" t="n">
        <v>46204</v>
      </c>
      <c r="B4151" t="inlineStr">
        <is>
          <t>Uso e consumo</t>
        </is>
      </c>
      <c r="C4151" t="inlineStr">
        <is>
          <t>2.01.87 Compra de Peças de Máquinas</t>
        </is>
      </c>
      <c r="D4151" t="inlineStr">
        <is>
          <t>NF-e</t>
        </is>
      </c>
      <c r="E4151" t="inlineStr">
        <is>
          <t>000007344</t>
        </is>
      </c>
      <c r="F4151" t="inlineStr">
        <is>
          <t>GF COMERCIO DE PRODUTOS INDUSTRIAIS LTDA</t>
        </is>
      </c>
      <c r="G4151" s="27" t="n">
        <v>46234</v>
      </c>
      <c r="H4151" s="14" t="n">
        <v>682.5</v>
      </c>
      <c r="I4151" s="14" t="n">
        <v>0</v>
      </c>
      <c r="J4151" s="14" t="n">
        <v>0</v>
      </c>
      <c r="K4151" s="14" t="n">
        <v>0</v>
      </c>
      <c r="L4151" s="14" t="n">
        <v>0</v>
      </c>
      <c r="M4151" s="14">
        <f>IF(B4151="Frete de venda",0,(1-ISNUMBER(SEARCH("556",P4151)))*(I4151*VLOOKUP($B4151,Premissas!$A$4:$E$7,2,0)+J4151*VLOOKUP($B4151,Premissas!$A$4:$E$7,3,0))+K4151*VLOOKUP($B4151,Premissas!$A$4:$E$7,4,0)+L4151*VLOOKUP($B4151,Premissas!$A$4:$E$7,5,0))</f>
        <v/>
      </c>
      <c r="N4151" s="14">
        <f>H4151-M4151</f>
        <v/>
      </c>
      <c r="O4151" t="inlineStr">
        <is>
          <t>Sim</t>
        </is>
      </c>
      <c r="P4151" t="inlineStr">
        <is>
          <t>1.556</t>
        </is>
      </c>
    </row>
    <row r="4152">
      <c r="A4152" s="24" t="n">
        <v>46204</v>
      </c>
      <c r="B4152" t="inlineStr">
        <is>
          <t>Uso e consumo</t>
        </is>
      </c>
      <c r="C4152" t="inlineStr">
        <is>
          <t>2.01.87 Compra de Peças de Máquinas</t>
        </is>
      </c>
      <c r="D4152" t="inlineStr">
        <is>
          <t>NF-e</t>
        </is>
      </c>
      <c r="E4152" t="inlineStr">
        <is>
          <t>000007348</t>
        </is>
      </c>
      <c r="F4152" t="inlineStr">
        <is>
          <t>GF COMERCIO DE PRODUTOS INDUSTRIAIS LTDA</t>
        </is>
      </c>
      <c r="G4152" s="27" t="n">
        <v>46234</v>
      </c>
      <c r="H4152" s="14" t="n">
        <v>209.4</v>
      </c>
      <c r="I4152" s="14" t="n">
        <v>0</v>
      </c>
      <c r="J4152" s="14" t="n">
        <v>0</v>
      </c>
      <c r="K4152" s="14" t="n">
        <v>0</v>
      </c>
      <c r="L4152" s="14" t="n">
        <v>0</v>
      </c>
      <c r="M4152" s="14">
        <f>IF(B4152="Frete de venda",0,(1-ISNUMBER(SEARCH("556",P4152)))*(I4152*VLOOKUP($B4152,Premissas!$A$4:$E$7,2,0)+J4152*VLOOKUP($B4152,Premissas!$A$4:$E$7,3,0))+K4152*VLOOKUP($B4152,Premissas!$A$4:$E$7,4,0)+L4152*VLOOKUP($B4152,Premissas!$A$4:$E$7,5,0))</f>
        <v/>
      </c>
      <c r="N4152" s="14">
        <f>H4152-M4152</f>
        <v/>
      </c>
      <c r="O4152" t="inlineStr">
        <is>
          <t>Sim</t>
        </is>
      </c>
      <c r="P4152" t="inlineStr">
        <is>
          <t>1.556</t>
        </is>
      </c>
    </row>
    <row r="4153">
      <c r="A4153" s="24" t="n">
        <v>46204</v>
      </c>
      <c r="B4153" t="inlineStr">
        <is>
          <t>Uso e consumo</t>
        </is>
      </c>
      <c r="C4153" t="inlineStr">
        <is>
          <t>2.01.87 Compra de Peças de Máquinas</t>
        </is>
      </c>
      <c r="D4153" t="inlineStr">
        <is>
          <t>NF-e</t>
        </is>
      </c>
      <c r="E4153" t="inlineStr">
        <is>
          <t>000000353</t>
        </is>
      </c>
      <c r="F4153" t="inlineStr">
        <is>
          <t>GUIATEC COMERCIO E SERVICOS LTDA</t>
        </is>
      </c>
      <c r="G4153" s="27" t="n">
        <v>46231</v>
      </c>
      <c r="H4153" s="14" t="n">
        <v>2932.6</v>
      </c>
      <c r="I4153" s="14" t="n">
        <v>0</v>
      </c>
      <c r="J4153" s="14" t="n">
        <v>205.28</v>
      </c>
      <c r="K4153" s="14" t="n">
        <v>0</v>
      </c>
      <c r="L4153" s="14" t="n">
        <v>0</v>
      </c>
      <c r="M4153" s="14">
        <f>IF(B4153="Frete de venda",0,(1-ISNUMBER(SEARCH("556",P4153)))*(I4153*VLOOKUP($B4153,Premissas!$A$4:$E$7,2,0)+J4153*VLOOKUP($B4153,Premissas!$A$4:$E$7,3,0))+K4153*VLOOKUP($B4153,Premissas!$A$4:$E$7,4,0)+L4153*VLOOKUP($B4153,Premissas!$A$4:$E$7,5,0))</f>
        <v/>
      </c>
      <c r="N4153" s="14">
        <f>H4153-M4153</f>
        <v/>
      </c>
      <c r="O4153" t="inlineStr">
        <is>
          <t>Sim</t>
        </is>
      </c>
      <c r="P4153" t="inlineStr">
        <is>
          <t>2.556</t>
        </is>
      </c>
    </row>
    <row r="4154">
      <c r="A4154" s="24" t="n">
        <v>46204</v>
      </c>
      <c r="B4154" t="inlineStr">
        <is>
          <t>Uso e consumo</t>
        </is>
      </c>
      <c r="C4154" t="inlineStr">
        <is>
          <t>2.01.87 Compra de Peças de Máquinas</t>
        </is>
      </c>
      <c r="D4154" t="inlineStr">
        <is>
          <t>NF-e</t>
        </is>
      </c>
      <c r="E4154" t="inlineStr">
        <is>
          <t>000002431</t>
        </is>
      </c>
      <c r="F4154" t="inlineStr">
        <is>
          <t>SHOP DA ELETRICA COMERCIO ELETRONICO LTDA</t>
        </is>
      </c>
      <c r="G4154" s="27" t="n">
        <v>46204</v>
      </c>
      <c r="H4154" s="14" t="n">
        <v>1139</v>
      </c>
      <c r="I4154" s="14" t="n">
        <v>0</v>
      </c>
      <c r="J4154" s="14" t="n">
        <v>0</v>
      </c>
      <c r="K4154" s="14" t="n">
        <v>0</v>
      </c>
      <c r="L4154" s="14" t="n">
        <v>0</v>
      </c>
      <c r="M4154" s="14">
        <f>IF(B4154="Frete de venda",0,(1-ISNUMBER(SEARCH("556",P4154)))*(I4154*VLOOKUP($B4154,Premissas!$A$4:$E$7,2,0)+J4154*VLOOKUP($B4154,Premissas!$A$4:$E$7,3,0))+K4154*VLOOKUP($B4154,Premissas!$A$4:$E$7,4,0)+L4154*VLOOKUP($B4154,Premissas!$A$4:$E$7,5,0))</f>
        <v/>
      </c>
      <c r="N4154" s="14">
        <f>H4154-M4154</f>
        <v/>
      </c>
      <c r="O4154" t="inlineStr">
        <is>
          <t>Sim</t>
        </is>
      </c>
      <c r="P4154" t="inlineStr">
        <is>
          <t>2.556</t>
        </is>
      </c>
    </row>
    <row r="4155">
      <c r="A4155" s="24" t="n">
        <v>46204</v>
      </c>
      <c r="B4155" t="inlineStr">
        <is>
          <t>Uso e consumo</t>
        </is>
      </c>
      <c r="C4155" t="inlineStr">
        <is>
          <t>2.01.87 Compra de Peças de Máquinas</t>
        </is>
      </c>
      <c r="D4155" t="inlineStr">
        <is>
          <t>NF-e</t>
        </is>
      </c>
      <c r="E4155" t="inlineStr">
        <is>
          <t>000003921</t>
        </is>
      </c>
      <c r="F4155" t="inlineStr">
        <is>
          <t>TRANSBELT - COMERCIO, IMPORTACAO E EXPORTACAO DE CORREIAS IN</t>
        </is>
      </c>
      <c r="G4155" s="27" t="n">
        <v>46209</v>
      </c>
      <c r="H4155" s="14" t="n">
        <v>3448.06</v>
      </c>
      <c r="I4155" s="14" t="n">
        <v>0</v>
      </c>
      <c r="J4155" s="14" t="n">
        <v>0</v>
      </c>
      <c r="K4155" s="14" t="n">
        <v>0</v>
      </c>
      <c r="L4155" s="14" t="n">
        <v>0</v>
      </c>
      <c r="M4155" s="14">
        <f>IF(B4155="Frete de venda",0,(1-ISNUMBER(SEARCH("556",P4155)))*(I4155*VLOOKUP($B4155,Premissas!$A$4:$E$7,2,0)+J4155*VLOOKUP($B4155,Premissas!$A$4:$E$7,3,0))+K4155*VLOOKUP($B4155,Premissas!$A$4:$E$7,4,0)+L4155*VLOOKUP($B4155,Premissas!$A$4:$E$7,5,0))</f>
        <v/>
      </c>
      <c r="N4155" s="14">
        <f>H4155-M4155</f>
        <v/>
      </c>
      <c r="O4155" t="inlineStr">
        <is>
          <t>Sim</t>
        </is>
      </c>
      <c r="P4155" t="inlineStr">
        <is>
          <t>2.556</t>
        </is>
      </c>
    </row>
    <row r="4156">
      <c r="A4156" s="24" t="n">
        <v>46204</v>
      </c>
      <c r="B4156" t="inlineStr">
        <is>
          <t>Insumos e papel</t>
        </is>
      </c>
      <c r="C4156" t="inlineStr">
        <is>
          <t>2.01.89 Compra de Pallet</t>
        </is>
      </c>
      <c r="D4156" t="inlineStr">
        <is>
          <t>NF-e</t>
        </is>
      </c>
      <c r="E4156" t="inlineStr">
        <is>
          <t>000004352</t>
        </is>
      </c>
      <c r="F4156" t="inlineStr">
        <is>
          <t>RECICLAGEM LIBERDADE LTDA</t>
        </is>
      </c>
      <c r="G4156" s="27" t="n">
        <v>46217</v>
      </c>
      <c r="H4156" s="14" t="n">
        <v>2400</v>
      </c>
      <c r="I4156" s="14" t="n">
        <v>0</v>
      </c>
      <c r="J4156" s="14" t="n">
        <v>0</v>
      </c>
      <c r="K4156" s="14" t="n">
        <v>0</v>
      </c>
      <c r="L4156" s="14" t="n">
        <v>0</v>
      </c>
      <c r="M4156" s="14">
        <f>IF(B4156="Frete de venda",0,(1-ISNUMBER(SEARCH("556",P4156)))*(I4156*VLOOKUP($B4156,Premissas!$A$4:$E$7,2,0)+J4156*VLOOKUP($B4156,Premissas!$A$4:$E$7,3,0))+K4156*VLOOKUP($B4156,Premissas!$A$4:$E$7,4,0)+L4156*VLOOKUP($B4156,Premissas!$A$4:$E$7,5,0))</f>
        <v/>
      </c>
      <c r="N4156" s="14">
        <f>H4156-M4156</f>
        <v/>
      </c>
      <c r="O4156" t="inlineStr">
        <is>
          <t>Sim</t>
        </is>
      </c>
      <c r="P4156" t="inlineStr">
        <is>
          <t>1.556</t>
        </is>
      </c>
    </row>
    <row r="4157">
      <c r="A4157" s="24" t="n">
        <v>46204</v>
      </c>
      <c r="B4157" t="inlineStr">
        <is>
          <t>Insumos e papel</t>
        </is>
      </c>
      <c r="C4157" t="inlineStr">
        <is>
          <t>2.01.89 Compra de Pallet</t>
        </is>
      </c>
      <c r="D4157" t="inlineStr">
        <is>
          <t>NF-e</t>
        </is>
      </c>
      <c r="E4157" t="inlineStr">
        <is>
          <t>000004383</t>
        </is>
      </c>
      <c r="F4157" t="inlineStr">
        <is>
          <t>RECICLAGEM LIBERDADE LTDA</t>
        </is>
      </c>
      <c r="G4157" s="27" t="n">
        <v>46233</v>
      </c>
      <c r="H4157" s="14" t="n">
        <v>1500</v>
      </c>
      <c r="I4157" s="14" t="n">
        <v>0</v>
      </c>
      <c r="J4157" s="14" t="n">
        <v>0</v>
      </c>
      <c r="K4157" s="14" t="n">
        <v>0</v>
      </c>
      <c r="L4157" s="14" t="n">
        <v>0</v>
      </c>
      <c r="M4157" s="14">
        <f>IF(B4157="Frete de venda",0,(1-ISNUMBER(SEARCH("556",P4157)))*(I4157*VLOOKUP($B4157,Premissas!$A$4:$E$7,2,0)+J4157*VLOOKUP($B4157,Premissas!$A$4:$E$7,3,0))+K4157*VLOOKUP($B4157,Premissas!$A$4:$E$7,4,0)+L4157*VLOOKUP($B4157,Premissas!$A$4:$E$7,5,0))</f>
        <v/>
      </c>
      <c r="N4157" s="14">
        <f>H4157-M4157</f>
        <v/>
      </c>
      <c r="O4157" t="inlineStr">
        <is>
          <t>Sim</t>
        </is>
      </c>
      <c r="P4157" t="inlineStr">
        <is>
          <t>1.556</t>
        </is>
      </c>
    </row>
    <row r="4158">
      <c r="A4158" s="24" t="n">
        <v>46204</v>
      </c>
      <c r="B4158" t="inlineStr">
        <is>
          <t>Insumos e papel</t>
        </is>
      </c>
      <c r="C4158" t="inlineStr">
        <is>
          <t>2.01.91 Compra de Filme Strech</t>
        </is>
      </c>
      <c r="D4158" t="inlineStr">
        <is>
          <t>NF-e</t>
        </is>
      </c>
      <c r="E4158" t="inlineStr">
        <is>
          <t>000006716</t>
        </is>
      </c>
      <c r="F4158" t="inlineStr">
        <is>
          <t>GDM INDUSTRIA E COMERCIO DE PLASTICOS LTDA.</t>
        </is>
      </c>
      <c r="G4158" s="27" t="n">
        <v>46233</v>
      </c>
      <c r="H4158" s="14" t="n">
        <v>15693.73</v>
      </c>
      <c r="I4158" s="14" t="n">
        <v>2047.01</v>
      </c>
      <c r="J4158" s="14" t="n">
        <v>1637.61</v>
      </c>
      <c r="K4158" s="14" t="n">
        <v>198.15</v>
      </c>
      <c r="L4158" s="14" t="n">
        <v>912.6900000000001</v>
      </c>
      <c r="M4158" s="14">
        <f>IF(B4158="Frete de venda",0,(1-ISNUMBER(SEARCH("556",P4158)))*(I4158*VLOOKUP($B4158,Premissas!$A$4:$E$7,2,0)+J4158*VLOOKUP($B4158,Premissas!$A$4:$E$7,3,0))+K4158*VLOOKUP($B4158,Premissas!$A$4:$E$7,4,0)+L4158*VLOOKUP($B4158,Premissas!$A$4:$E$7,5,0))</f>
        <v/>
      </c>
      <c r="N4158" s="14">
        <f>H4158-M4158</f>
        <v/>
      </c>
      <c r="O4158" t="inlineStr">
        <is>
          <t>Sim</t>
        </is>
      </c>
      <c r="P4158" t="inlineStr">
        <is>
          <t>2.556</t>
        </is>
      </c>
    </row>
    <row r="4159">
      <c r="A4159" s="24" t="n">
        <v>46204</v>
      </c>
      <c r="B4159" t="inlineStr">
        <is>
          <t>Insumos e papel</t>
        </is>
      </c>
      <c r="C4159" t="inlineStr">
        <is>
          <t>2.01.92 Compra de Tinta</t>
        </is>
      </c>
      <c r="D4159" t="inlineStr">
        <is>
          <t>NF-e</t>
        </is>
      </c>
      <c r="E4159" t="inlineStr">
        <is>
          <t>000016441</t>
        </is>
      </c>
      <c r="F4159" t="inlineStr">
        <is>
          <t>FITTYCOR - INDUSTRIA E COMERCIO DE TINTAS ESPECIAIS LTDA</t>
        </is>
      </c>
      <c r="G4159" s="27" t="n">
        <v>46225</v>
      </c>
      <c r="H4159" s="14" t="n">
        <v>15485</v>
      </c>
      <c r="I4159" s="14" t="n">
        <v>0</v>
      </c>
      <c r="J4159" s="14" t="n">
        <v>1083.95</v>
      </c>
      <c r="K4159" s="14" t="n">
        <v>100.65</v>
      </c>
      <c r="L4159" s="14" t="n">
        <v>464.55</v>
      </c>
      <c r="M4159" s="14">
        <f>IF(B4159="Frete de venda",0,(1-ISNUMBER(SEARCH("556",P4159)))*(I4159*VLOOKUP($B4159,Premissas!$A$4:$E$7,2,0)+J4159*VLOOKUP($B4159,Premissas!$A$4:$E$7,3,0))+K4159*VLOOKUP($B4159,Premissas!$A$4:$E$7,4,0)+L4159*VLOOKUP($B4159,Premissas!$A$4:$E$7,5,0))</f>
        <v/>
      </c>
      <c r="N4159" s="14">
        <f>H4159-M4159</f>
        <v/>
      </c>
      <c r="O4159" t="inlineStr">
        <is>
          <t>Sim</t>
        </is>
      </c>
      <c r="P4159" t="inlineStr">
        <is>
          <t>1.556</t>
        </is>
      </c>
    </row>
    <row r="4160">
      <c r="A4160" s="24" t="n">
        <v>46204</v>
      </c>
      <c r="B4160" t="inlineStr">
        <is>
          <t>Insumos e papel</t>
        </is>
      </c>
      <c r="C4160" t="inlineStr">
        <is>
          <t>2.01.92 Compra de Tinta</t>
        </is>
      </c>
      <c r="D4160" t="inlineStr">
        <is>
          <t>NF-e</t>
        </is>
      </c>
      <c r="E4160" t="inlineStr">
        <is>
          <t>000003417</t>
        </is>
      </c>
      <c r="F4160" t="inlineStr">
        <is>
          <t>PRODUTOS, SERVICOS E TINTAS LATINOAMERICANOS PROYSA LTDA</t>
        </is>
      </c>
      <c r="G4160" s="27" t="n">
        <v>46224</v>
      </c>
      <c r="H4160" s="14" t="n">
        <v>14100</v>
      </c>
      <c r="I4160" s="14" t="n">
        <v>0</v>
      </c>
      <c r="J4160" s="14" t="n">
        <v>564</v>
      </c>
      <c r="K4160" s="14" t="n">
        <v>223.34</v>
      </c>
      <c r="L4160" s="14" t="n">
        <v>1028.74</v>
      </c>
      <c r="M4160" s="14">
        <f>IF(B4160="Frete de venda",0,(1-ISNUMBER(SEARCH("556",P4160)))*(I4160*VLOOKUP($B4160,Premissas!$A$4:$E$7,2,0)+J4160*VLOOKUP($B4160,Premissas!$A$4:$E$7,3,0))+K4160*VLOOKUP($B4160,Premissas!$A$4:$E$7,4,0)+L4160*VLOOKUP($B4160,Premissas!$A$4:$E$7,5,0))</f>
        <v/>
      </c>
      <c r="N4160" s="14">
        <f>H4160-M4160</f>
        <v/>
      </c>
      <c r="O4160" t="inlineStr">
        <is>
          <t>Sim</t>
        </is>
      </c>
      <c r="P4160" t="inlineStr">
        <is>
          <t>1.556</t>
        </is>
      </c>
    </row>
    <row r="4161">
      <c r="A4161" s="24" t="n">
        <v>46204</v>
      </c>
      <c r="B4161" t="inlineStr">
        <is>
          <t>Insumos e papel</t>
        </is>
      </c>
      <c r="C4161" t="inlineStr">
        <is>
          <t>2.01.92 Compra de Tinta</t>
        </is>
      </c>
      <c r="D4161" t="inlineStr">
        <is>
          <t>NF-e</t>
        </is>
      </c>
      <c r="E4161" t="inlineStr">
        <is>
          <t>000107066</t>
        </is>
      </c>
      <c r="F4161" t="inlineStr">
        <is>
          <t>VIVACOR INDUSTRIA DE TINTAS E VERNIZES LTDA</t>
        </is>
      </c>
      <c r="G4161" s="27" t="n">
        <v>46226</v>
      </c>
      <c r="H4161" s="14" t="n">
        <v>12587.8</v>
      </c>
      <c r="I4161" s="14" t="n">
        <v>0</v>
      </c>
      <c r="J4161" s="14" t="n">
        <v>881.15</v>
      </c>
      <c r="K4161" s="14" t="n">
        <v>193.16</v>
      </c>
      <c r="L4161" s="14" t="n">
        <v>889.7</v>
      </c>
      <c r="M4161" s="14">
        <f>IF(B4161="Frete de venda",0,(1-ISNUMBER(SEARCH("556",P4161)))*(I4161*VLOOKUP($B4161,Premissas!$A$4:$E$7,2,0)+J4161*VLOOKUP($B4161,Premissas!$A$4:$E$7,3,0))+K4161*VLOOKUP($B4161,Premissas!$A$4:$E$7,4,0)+L4161*VLOOKUP($B4161,Premissas!$A$4:$E$7,5,0))</f>
        <v/>
      </c>
      <c r="N4161" s="14">
        <f>H4161-M4161</f>
        <v/>
      </c>
      <c r="O4161" t="inlineStr">
        <is>
          <t>Sim</t>
        </is>
      </c>
      <c r="P4161" t="inlineStr">
        <is>
          <t>2.556</t>
        </is>
      </c>
    </row>
    <row r="4162">
      <c r="A4162" s="24" t="n">
        <v>46204</v>
      </c>
      <c r="B4162" t="inlineStr">
        <is>
          <t>Insumos e papel</t>
        </is>
      </c>
      <c r="C4162" t="inlineStr">
        <is>
          <t>2.01.93 Compra de Plástico Poliolefínico</t>
        </is>
      </c>
      <c r="D4162" t="inlineStr">
        <is>
          <t>NF-e</t>
        </is>
      </c>
      <c r="E4162" t="inlineStr">
        <is>
          <t>000009170</t>
        </is>
      </c>
      <c r="F4162" t="inlineStr">
        <is>
          <t>ALSTEK SOLUCOES EM EMBALAGENS LTDA</t>
        </is>
      </c>
      <c r="G4162" s="27" t="n">
        <v>46213</v>
      </c>
      <c r="H4162" s="14" t="n">
        <v>95329.39</v>
      </c>
      <c r="I4162" s="14" t="n">
        <v>12434.27</v>
      </c>
      <c r="J4162" s="14" t="n">
        <v>3315.79</v>
      </c>
      <c r="K4162" s="14" t="n">
        <v>517.26</v>
      </c>
      <c r="L4162" s="14" t="n">
        <v>2387.37</v>
      </c>
      <c r="M4162" s="14">
        <f>IF(B4162="Frete de venda",0,(1-ISNUMBER(SEARCH("556",P4162)))*(I4162*VLOOKUP($B4162,Premissas!$A$4:$E$7,2,0)+J4162*VLOOKUP($B4162,Premissas!$A$4:$E$7,3,0))+K4162*VLOOKUP($B4162,Premissas!$A$4:$E$7,4,0)+L4162*VLOOKUP($B4162,Premissas!$A$4:$E$7,5,0))</f>
        <v/>
      </c>
      <c r="N4162" s="14">
        <f>H4162-M4162</f>
        <v/>
      </c>
      <c r="O4162" t="inlineStr">
        <is>
          <t>Sim</t>
        </is>
      </c>
      <c r="P4162" t="inlineStr">
        <is>
          <t>2.101, 2.102</t>
        </is>
      </c>
    </row>
    <row r="4163">
      <c r="A4163" s="24" t="n">
        <v>46204</v>
      </c>
      <c r="B4163" t="inlineStr">
        <is>
          <t>Insumos e papel</t>
        </is>
      </c>
      <c r="C4163" t="inlineStr">
        <is>
          <t>2.01.94 Compra de Fita Adesiva</t>
        </is>
      </c>
      <c r="D4163" t="inlineStr">
        <is>
          <t>NF-e</t>
        </is>
      </c>
      <c r="E4163" t="inlineStr">
        <is>
          <t>000000430</t>
        </is>
      </c>
      <c r="F4163" t="inlineStr">
        <is>
          <t>ODAFLEXO COMERCIO DE PRODUTOS FLEXOGRAFICOS LTDA</t>
        </is>
      </c>
      <c r="G4163" s="27" t="n">
        <v>46204</v>
      </c>
      <c r="H4163" s="14" t="n">
        <v>5400</v>
      </c>
      <c r="I4163" s="14" t="n">
        <v>0</v>
      </c>
      <c r="J4163" s="14" t="n">
        <v>0</v>
      </c>
      <c r="K4163" s="14" t="n">
        <v>0</v>
      </c>
      <c r="L4163" s="14" t="n">
        <v>0</v>
      </c>
      <c r="M4163" s="14">
        <f>IF(B4163="Frete de venda",0,(1-ISNUMBER(SEARCH("556",P4163)))*(I4163*VLOOKUP($B4163,Premissas!$A$4:$E$7,2,0)+J4163*VLOOKUP($B4163,Premissas!$A$4:$E$7,3,0))+K4163*VLOOKUP($B4163,Premissas!$A$4:$E$7,4,0)+L4163*VLOOKUP($B4163,Premissas!$A$4:$E$7,5,0))</f>
        <v/>
      </c>
      <c r="N4163" s="14">
        <f>H4163-M4163</f>
        <v/>
      </c>
      <c r="O4163" t="inlineStr">
        <is>
          <t>Sim</t>
        </is>
      </c>
      <c r="P4163" t="inlineStr">
        <is>
          <t>2.556</t>
        </is>
      </c>
    </row>
    <row r="4164">
      <c r="A4164" s="24" t="n">
        <v>46204</v>
      </c>
      <c r="B4164" t="inlineStr">
        <is>
          <t>Insumos e papel</t>
        </is>
      </c>
      <c r="C4164" t="inlineStr">
        <is>
          <t>2.01.95 Compra de Etiqueta</t>
        </is>
      </c>
      <c r="D4164" t="inlineStr">
        <is>
          <t>NF-e</t>
        </is>
      </c>
      <c r="E4164" t="inlineStr">
        <is>
          <t>000004699</t>
        </is>
      </c>
      <c r="F4164" t="inlineStr">
        <is>
          <t>FLEXOPEL LTDA</t>
        </is>
      </c>
      <c r="G4164" s="27" t="n">
        <v>46210</v>
      </c>
      <c r="H4164" s="14" t="n">
        <v>4640</v>
      </c>
      <c r="I4164" s="14" t="n">
        <v>0</v>
      </c>
      <c r="J4164" s="14" t="n">
        <v>928</v>
      </c>
      <c r="K4164" s="14" t="n">
        <v>61.25</v>
      </c>
      <c r="L4164" s="14" t="n">
        <v>282.11</v>
      </c>
      <c r="M4164" s="14">
        <f>IF(B4164="Frete de venda",0,(1-ISNUMBER(SEARCH("556",P4164)))*(I4164*VLOOKUP($B4164,Premissas!$A$4:$E$7,2,0)+J4164*VLOOKUP($B4164,Premissas!$A$4:$E$7,3,0))+K4164*VLOOKUP($B4164,Premissas!$A$4:$E$7,4,0)+L4164*VLOOKUP($B4164,Premissas!$A$4:$E$7,5,0))</f>
        <v/>
      </c>
      <c r="N4164" s="14">
        <f>H4164-M4164</f>
        <v/>
      </c>
      <c r="O4164" t="inlineStr">
        <is>
          <t>Sim</t>
        </is>
      </c>
      <c r="P4164" t="inlineStr">
        <is>
          <t>1.556</t>
        </is>
      </c>
    </row>
    <row r="4165">
      <c r="A4165" s="24" t="n">
        <v>46204</v>
      </c>
      <c r="B4165" t="inlineStr">
        <is>
          <t>Insumos e papel</t>
        </is>
      </c>
      <c r="C4165" t="inlineStr">
        <is>
          <t>2.01.95 Compra de Etiqueta</t>
        </is>
      </c>
      <c r="D4165" t="inlineStr">
        <is>
          <t>NF-e</t>
        </is>
      </c>
      <c r="E4165" t="inlineStr">
        <is>
          <t>000004769</t>
        </is>
      </c>
      <c r="F4165" t="inlineStr">
        <is>
          <t>FLEXOPEL LTDA</t>
        </is>
      </c>
      <c r="G4165" s="27" t="n">
        <v>46213</v>
      </c>
      <c r="H4165" s="14" t="n">
        <v>3119.5</v>
      </c>
      <c r="I4165" s="14" t="n">
        <v>0</v>
      </c>
      <c r="J4165" s="14" t="n">
        <v>623.9</v>
      </c>
      <c r="K4165" s="14" t="n">
        <v>41.17</v>
      </c>
      <c r="L4165" s="14" t="n">
        <v>189.67</v>
      </c>
      <c r="M4165" s="14">
        <f>IF(B4165="Frete de venda",0,(1-ISNUMBER(SEARCH("556",P4165)))*(I4165*VLOOKUP($B4165,Premissas!$A$4:$E$7,2,0)+J4165*VLOOKUP($B4165,Premissas!$A$4:$E$7,3,0))+K4165*VLOOKUP($B4165,Premissas!$A$4:$E$7,4,0)+L4165*VLOOKUP($B4165,Premissas!$A$4:$E$7,5,0))</f>
        <v/>
      </c>
      <c r="N4165" s="14">
        <f>H4165-M4165</f>
        <v/>
      </c>
      <c r="O4165" t="inlineStr">
        <is>
          <t>Sim</t>
        </is>
      </c>
      <c r="P4165" t="inlineStr">
        <is>
          <t>1.556</t>
        </is>
      </c>
    </row>
    <row r="4166">
      <c r="A4166" s="24" t="n">
        <v>46204</v>
      </c>
      <c r="B4166" t="inlineStr">
        <is>
          <t>Insumos e papel</t>
        </is>
      </c>
      <c r="C4166" t="inlineStr">
        <is>
          <t>2.01.95 Compra de Etiqueta</t>
        </is>
      </c>
      <c r="D4166" t="inlineStr">
        <is>
          <t>NF-e</t>
        </is>
      </c>
      <c r="E4166" t="inlineStr">
        <is>
          <t>000004852</t>
        </is>
      </c>
      <c r="F4166" t="inlineStr">
        <is>
          <t>FLEXOPEL LTDA</t>
        </is>
      </c>
      <c r="G4166" s="27" t="n">
        <v>46219</v>
      </c>
      <c r="H4166" s="14" t="n">
        <v>2400</v>
      </c>
      <c r="I4166" s="14" t="n">
        <v>0</v>
      </c>
      <c r="J4166" s="14" t="n">
        <v>480</v>
      </c>
      <c r="K4166" s="14" t="n">
        <v>31.68</v>
      </c>
      <c r="L4166" s="14" t="n">
        <v>145.92</v>
      </c>
      <c r="M4166" s="14">
        <f>IF(B4166="Frete de venda",0,(1-ISNUMBER(SEARCH("556",P4166)))*(I4166*VLOOKUP($B4166,Premissas!$A$4:$E$7,2,0)+J4166*VLOOKUP($B4166,Premissas!$A$4:$E$7,3,0))+K4166*VLOOKUP($B4166,Premissas!$A$4:$E$7,4,0)+L4166*VLOOKUP($B4166,Premissas!$A$4:$E$7,5,0))</f>
        <v/>
      </c>
      <c r="N4166" s="14">
        <f>H4166-M4166</f>
        <v/>
      </c>
      <c r="O4166" t="inlineStr">
        <is>
          <t>Sim</t>
        </is>
      </c>
      <c r="P4166" t="inlineStr">
        <is>
          <t>1.556</t>
        </is>
      </c>
    </row>
    <row r="4167">
      <c r="A4167" s="24" t="n">
        <v>46204</v>
      </c>
      <c r="B4167" t="inlineStr">
        <is>
          <t>Insumos e papel</t>
        </is>
      </c>
      <c r="C4167" t="inlineStr">
        <is>
          <t>2.01.96 Compra de Cola</t>
        </is>
      </c>
      <c r="D4167" t="inlineStr">
        <is>
          <t>NF-e</t>
        </is>
      </c>
      <c r="E4167" t="inlineStr">
        <is>
          <t>000037749</t>
        </is>
      </c>
      <c r="F4167" t="inlineStr">
        <is>
          <t>COLAMID</t>
        </is>
      </c>
      <c r="G4167" s="27" t="n">
        <v>46204</v>
      </c>
      <c r="H4167" s="14" t="n">
        <v>26250</v>
      </c>
      <c r="I4167" s="14" t="n">
        <v>0</v>
      </c>
      <c r="J4167" s="14" t="n">
        <v>3150</v>
      </c>
      <c r="K4167" s="14" t="n">
        <v>0</v>
      </c>
      <c r="L4167" s="14" t="n">
        <v>0</v>
      </c>
      <c r="M4167" s="14">
        <f>IF(B4167="Frete de venda",0,(1-ISNUMBER(SEARCH("556",P4167)))*(I4167*VLOOKUP($B4167,Premissas!$A$4:$E$7,2,0)+J4167*VLOOKUP($B4167,Premissas!$A$4:$E$7,3,0))+K4167*VLOOKUP($B4167,Premissas!$A$4:$E$7,4,0)+L4167*VLOOKUP($B4167,Premissas!$A$4:$E$7,5,0))</f>
        <v/>
      </c>
      <c r="N4167" s="14">
        <f>H4167-M4167</f>
        <v/>
      </c>
      <c r="O4167" t="inlineStr">
        <is>
          <t>Sim</t>
        </is>
      </c>
      <c r="P4167" t="inlineStr">
        <is>
          <t>2.101</t>
        </is>
      </c>
    </row>
    <row r="4168">
      <c r="A4168" s="24" t="n">
        <v>46204</v>
      </c>
      <c r="B4168" t="inlineStr">
        <is>
          <t>Insumos e papel</t>
        </is>
      </c>
      <c r="C4168" t="inlineStr">
        <is>
          <t>2.01.96 Compra de Cola</t>
        </is>
      </c>
      <c r="D4168" t="inlineStr">
        <is>
          <t>NF-e</t>
        </is>
      </c>
      <c r="E4168" t="inlineStr">
        <is>
          <t>000037748</t>
        </is>
      </c>
      <c r="F4168" t="inlineStr">
        <is>
          <t>COLAMID</t>
        </is>
      </c>
      <c r="G4168" s="27" t="n">
        <v>46204</v>
      </c>
      <c r="H4168" s="14" t="n">
        <v>44250</v>
      </c>
      <c r="I4168" s="14" t="n">
        <v>0</v>
      </c>
      <c r="J4168" s="14" t="n">
        <v>5310</v>
      </c>
      <c r="K4168" s="14" t="n">
        <v>0</v>
      </c>
      <c r="L4168" s="14" t="n">
        <v>0</v>
      </c>
      <c r="M4168" s="14">
        <f>IF(B4168="Frete de venda",0,(1-ISNUMBER(SEARCH("556",P4168)))*(I4168*VLOOKUP($B4168,Premissas!$A$4:$E$7,2,0)+J4168*VLOOKUP($B4168,Premissas!$A$4:$E$7,3,0))+K4168*VLOOKUP($B4168,Premissas!$A$4:$E$7,4,0)+L4168*VLOOKUP($B4168,Premissas!$A$4:$E$7,5,0))</f>
        <v/>
      </c>
      <c r="N4168" s="14">
        <f>H4168-M4168</f>
        <v/>
      </c>
      <c r="O4168" t="inlineStr">
        <is>
          <t>Sim</t>
        </is>
      </c>
      <c r="P4168" t="inlineStr">
        <is>
          <t>2.101</t>
        </is>
      </c>
    </row>
    <row r="4169">
      <c r="A4169" s="24" t="n">
        <v>46204</v>
      </c>
      <c r="B4169" t="inlineStr">
        <is>
          <t>Insumos e papel</t>
        </is>
      </c>
      <c r="C4169" t="inlineStr">
        <is>
          <t>2.01.96 Compra de Cola</t>
        </is>
      </c>
      <c r="D4169" t="inlineStr">
        <is>
          <t>NF-e</t>
        </is>
      </c>
      <c r="E4169" t="inlineStr">
        <is>
          <t>000037756</t>
        </is>
      </c>
      <c r="F4169" t="inlineStr">
        <is>
          <t>COLAMID</t>
        </is>
      </c>
      <c r="G4169" s="27" t="n">
        <v>46205</v>
      </c>
      <c r="H4169" s="14" t="n">
        <v>44150</v>
      </c>
      <c r="I4169" s="14" t="n">
        <v>0</v>
      </c>
      <c r="J4169" s="14" t="n">
        <v>5298</v>
      </c>
      <c r="K4169" s="14" t="n">
        <v>0</v>
      </c>
      <c r="L4169" s="14" t="n">
        <v>0</v>
      </c>
      <c r="M4169" s="14">
        <f>IF(B4169="Frete de venda",0,(1-ISNUMBER(SEARCH("556",P4169)))*(I4169*VLOOKUP($B4169,Premissas!$A$4:$E$7,2,0)+J4169*VLOOKUP($B4169,Premissas!$A$4:$E$7,3,0))+K4169*VLOOKUP($B4169,Premissas!$A$4:$E$7,4,0)+L4169*VLOOKUP($B4169,Premissas!$A$4:$E$7,5,0))</f>
        <v/>
      </c>
      <c r="N4169" s="14">
        <f>H4169-M4169</f>
        <v/>
      </c>
      <c r="O4169" t="inlineStr">
        <is>
          <t>Sim</t>
        </is>
      </c>
      <c r="P4169" t="inlineStr">
        <is>
          <t>2.101</t>
        </is>
      </c>
    </row>
    <row r="4170">
      <c r="A4170" s="24" t="n">
        <v>46204</v>
      </c>
      <c r="B4170" t="inlineStr">
        <is>
          <t>Insumos e papel</t>
        </is>
      </c>
      <c r="C4170" t="inlineStr">
        <is>
          <t>2.01.96 Compra de Cola</t>
        </is>
      </c>
      <c r="D4170" t="inlineStr">
        <is>
          <t>NF-e</t>
        </is>
      </c>
      <c r="E4170" t="inlineStr">
        <is>
          <t>000037927</t>
        </is>
      </c>
      <c r="F4170" t="inlineStr">
        <is>
          <t>COLAMID</t>
        </is>
      </c>
      <c r="G4170" s="27" t="n">
        <v>46230</v>
      </c>
      <c r="H4170" s="14" t="n">
        <v>105900</v>
      </c>
      <c r="I4170" s="14" t="n">
        <v>0</v>
      </c>
      <c r="J4170" s="14" t="n">
        <v>12708</v>
      </c>
      <c r="K4170" s="14" t="n">
        <v>0</v>
      </c>
      <c r="L4170" s="14" t="n">
        <v>0</v>
      </c>
      <c r="M4170" s="14">
        <f>IF(B4170="Frete de venda",0,(1-ISNUMBER(SEARCH("556",P4170)))*(I4170*VLOOKUP($B4170,Premissas!$A$4:$E$7,2,0)+J4170*VLOOKUP($B4170,Premissas!$A$4:$E$7,3,0))+K4170*VLOOKUP($B4170,Premissas!$A$4:$E$7,4,0)+L4170*VLOOKUP($B4170,Premissas!$A$4:$E$7,5,0))</f>
        <v/>
      </c>
      <c r="N4170" s="14">
        <f>H4170-M4170</f>
        <v/>
      </c>
      <c r="O4170" t="inlineStr">
        <is>
          <t>Sim</t>
        </is>
      </c>
      <c r="P4170" t="inlineStr">
        <is>
          <t>2.101</t>
        </is>
      </c>
    </row>
    <row r="4171">
      <c r="A4171" s="24" t="n">
        <v>46204</v>
      </c>
      <c r="B4171" t="inlineStr">
        <is>
          <t>Insumos e papel</t>
        </is>
      </c>
      <c r="C4171" t="inlineStr">
        <is>
          <t>2.01.96 Compra de Cola</t>
        </is>
      </c>
      <c r="D4171" t="inlineStr">
        <is>
          <t>NF-e</t>
        </is>
      </c>
      <c r="E4171" t="inlineStr">
        <is>
          <t>000037954</t>
        </is>
      </c>
      <c r="F4171" t="inlineStr">
        <is>
          <t>COLAMID</t>
        </is>
      </c>
      <c r="G4171" s="27" t="n">
        <v>46232</v>
      </c>
      <c r="H4171" s="14" t="n">
        <v>10320</v>
      </c>
      <c r="I4171" s="14" t="n">
        <v>0</v>
      </c>
      <c r="J4171" s="14" t="n">
        <v>1238.4</v>
      </c>
      <c r="K4171" s="14" t="n">
        <v>0</v>
      </c>
      <c r="L4171" s="14" t="n">
        <v>0</v>
      </c>
      <c r="M4171" s="14">
        <f>IF(B4171="Frete de venda",0,(1-ISNUMBER(SEARCH("556",P4171)))*(I4171*VLOOKUP($B4171,Premissas!$A$4:$E$7,2,0)+J4171*VLOOKUP($B4171,Premissas!$A$4:$E$7,3,0))+K4171*VLOOKUP($B4171,Premissas!$A$4:$E$7,4,0)+L4171*VLOOKUP($B4171,Premissas!$A$4:$E$7,5,0))</f>
        <v/>
      </c>
      <c r="N4171" s="14">
        <f>H4171-M4171</f>
        <v/>
      </c>
      <c r="O4171" t="inlineStr">
        <is>
          <t>Sim</t>
        </is>
      </c>
      <c r="P4171" t="inlineStr">
        <is>
          <t>2.102</t>
        </is>
      </c>
    </row>
    <row r="4172">
      <c r="A4172" s="24" t="n">
        <v>46204</v>
      </c>
      <c r="B4172" t="inlineStr">
        <is>
          <t>Insumos e papel</t>
        </is>
      </c>
      <c r="C4172" t="inlineStr">
        <is>
          <t>2.01.96 Compra de Cola</t>
        </is>
      </c>
      <c r="D4172" t="inlineStr">
        <is>
          <t>NF-e</t>
        </is>
      </c>
      <c r="E4172" t="inlineStr">
        <is>
          <t>000022158</t>
        </is>
      </c>
      <c r="F4172" t="inlineStr">
        <is>
          <t>REQUIM PRODUTOS QUIMICOS LTDA</t>
        </is>
      </c>
      <c r="G4172" s="27" t="n">
        <v>46230</v>
      </c>
      <c r="H4172" s="14" t="n">
        <v>41580</v>
      </c>
      <c r="I4172" s="14" t="n">
        <v>0</v>
      </c>
      <c r="J4172" s="14" t="n">
        <v>1663.2</v>
      </c>
      <c r="K4172" s="14" t="n">
        <v>259.46</v>
      </c>
      <c r="L4172" s="14" t="n">
        <v>1197.5</v>
      </c>
      <c r="M4172" s="14">
        <f>IF(B4172="Frete de venda",0,(1-ISNUMBER(SEARCH("556",P4172)))*(I4172*VLOOKUP($B4172,Premissas!$A$4:$E$7,2,0)+J4172*VLOOKUP($B4172,Premissas!$A$4:$E$7,3,0))+K4172*VLOOKUP($B4172,Premissas!$A$4:$E$7,4,0)+L4172*VLOOKUP($B4172,Premissas!$A$4:$E$7,5,0))</f>
        <v/>
      </c>
      <c r="N4172" s="14">
        <f>H4172-M4172</f>
        <v/>
      </c>
      <c r="O4172" t="inlineStr">
        <is>
          <t>Sim</t>
        </is>
      </c>
      <c r="P4172" t="inlineStr">
        <is>
          <t>2.101</t>
        </is>
      </c>
    </row>
    <row r="4173">
      <c r="A4173" s="24" t="n">
        <v>46204</v>
      </c>
      <c r="B4173" t="inlineStr">
        <is>
          <t>Insumos e papel</t>
        </is>
      </c>
      <c r="C4173" t="inlineStr">
        <is>
          <t>2.01.97 Compra de Clichê</t>
        </is>
      </c>
      <c r="D4173" t="inlineStr">
        <is>
          <t>NF-e</t>
        </is>
      </c>
      <c r="E4173" t="inlineStr">
        <is>
          <t>000003539</t>
        </is>
      </c>
      <c r="F4173" t="inlineStr">
        <is>
          <t>BAHIA CLICHERIA LTDA</t>
        </is>
      </c>
      <c r="G4173" s="27" t="n">
        <v>46226</v>
      </c>
      <c r="H4173" s="14" t="n">
        <v>7101.86</v>
      </c>
      <c r="I4173" s="14" t="n">
        <v>0</v>
      </c>
      <c r="J4173" s="14" t="n">
        <v>0</v>
      </c>
      <c r="K4173" s="14" t="n">
        <v>0</v>
      </c>
      <c r="L4173" s="14" t="n">
        <v>0</v>
      </c>
      <c r="M4173" s="14">
        <f>IF(B4173="Frete de venda",0,(1-ISNUMBER(SEARCH("556",P4173)))*(I4173*VLOOKUP($B4173,Premissas!$A$4:$E$7,2,0)+J4173*VLOOKUP($B4173,Premissas!$A$4:$E$7,3,0))+K4173*VLOOKUP($B4173,Premissas!$A$4:$E$7,4,0)+L4173*VLOOKUP($B4173,Premissas!$A$4:$E$7,5,0))</f>
        <v/>
      </c>
      <c r="N4173" s="14">
        <f>H4173-M4173</f>
        <v/>
      </c>
      <c r="O4173" t="inlineStr">
        <is>
          <t>Sim</t>
        </is>
      </c>
      <c r="P4173" t="inlineStr">
        <is>
          <t>2.556</t>
        </is>
      </c>
    </row>
    <row r="4174">
      <c r="A4174" s="24" t="n">
        <v>46204</v>
      </c>
      <c r="B4174" t="inlineStr">
        <is>
          <t>Insumos e papel</t>
        </is>
      </c>
      <c r="C4174" t="inlineStr">
        <is>
          <t>2.01.99 Compra de Caixas</t>
        </is>
      </c>
      <c r="D4174" t="inlineStr">
        <is>
          <t>NF-e</t>
        </is>
      </c>
      <c r="E4174" t="inlineStr">
        <is>
          <t>000016360</t>
        </is>
      </c>
      <c r="F4174" t="inlineStr">
        <is>
          <t>NOVA CONPEL COMPANHIA NORDESTINA DE PAPEL LTDA</t>
        </is>
      </c>
      <c r="G4174" s="27" t="n">
        <v>46206</v>
      </c>
      <c r="H4174" s="14" t="n">
        <v>63656.95</v>
      </c>
      <c r="I4174" s="14" t="n">
        <v>8303.08</v>
      </c>
      <c r="J4174" s="14" t="n">
        <v>11070.77</v>
      </c>
      <c r="K4174" s="14" t="n">
        <v>730.67</v>
      </c>
      <c r="L4174" s="14" t="n">
        <v>3365.52</v>
      </c>
      <c r="M4174" s="14">
        <f>IF(B4174="Frete de venda",0,(1-ISNUMBER(SEARCH("556",P4174)))*(I4174*VLOOKUP($B4174,Premissas!$A$4:$E$7,2,0)+J4174*VLOOKUP($B4174,Premissas!$A$4:$E$7,3,0))+K4174*VLOOKUP($B4174,Premissas!$A$4:$E$7,4,0)+L4174*VLOOKUP($B4174,Premissas!$A$4:$E$7,5,0))</f>
        <v/>
      </c>
      <c r="N4174" s="14">
        <f>H4174-M4174</f>
        <v/>
      </c>
      <c r="O4174" t="inlineStr">
        <is>
          <t>Sim</t>
        </is>
      </c>
      <c r="P4174" t="inlineStr">
        <is>
          <t>1.556</t>
        </is>
      </c>
    </row>
    <row r="4175">
      <c r="A4175" s="24" t="n">
        <v>46204</v>
      </c>
      <c r="B4175" t="inlineStr">
        <is>
          <t>Insumos e papel</t>
        </is>
      </c>
      <c r="C4175" t="inlineStr">
        <is>
          <t>2.01.99 Compra de Caixas</t>
        </is>
      </c>
      <c r="D4175" t="inlineStr">
        <is>
          <t>NF-e</t>
        </is>
      </c>
      <c r="E4175" t="inlineStr">
        <is>
          <t>000016353</t>
        </is>
      </c>
      <c r="F4175" t="inlineStr">
        <is>
          <t>NOVA CONPEL COMPANHIA NORDESTINA DE PAPEL LTDA</t>
        </is>
      </c>
      <c r="G4175" s="27" t="n">
        <v>46206</v>
      </c>
      <c r="H4175" s="14" t="n">
        <v>63240.89</v>
      </c>
      <c r="I4175" s="14" t="n">
        <v>8248.809999999999</v>
      </c>
      <c r="J4175" s="14" t="n">
        <v>10998.41</v>
      </c>
      <c r="K4175" s="14" t="n">
        <v>725.9</v>
      </c>
      <c r="L4175" s="14" t="n">
        <v>3343.52</v>
      </c>
      <c r="M4175" s="14">
        <f>IF(B4175="Frete de venda",0,(1-ISNUMBER(SEARCH("556",P4175)))*(I4175*VLOOKUP($B4175,Premissas!$A$4:$E$7,2,0)+J4175*VLOOKUP($B4175,Premissas!$A$4:$E$7,3,0))+K4175*VLOOKUP($B4175,Premissas!$A$4:$E$7,4,0)+L4175*VLOOKUP($B4175,Premissas!$A$4:$E$7,5,0))</f>
        <v/>
      </c>
      <c r="N4175" s="14">
        <f>H4175-M4175</f>
        <v/>
      </c>
      <c r="O4175" t="inlineStr">
        <is>
          <t>Sim</t>
        </is>
      </c>
      <c r="P4175" t="inlineStr">
        <is>
          <t>1.556</t>
        </is>
      </c>
    </row>
    <row r="4176">
      <c r="A4176" s="24" t="n">
        <v>46204</v>
      </c>
      <c r="B4176" t="inlineStr">
        <is>
          <t>Insumos e papel</t>
        </is>
      </c>
      <c r="C4176" t="inlineStr">
        <is>
          <t>2.01.99 Compra de Caixas</t>
        </is>
      </c>
      <c r="D4176" t="inlineStr">
        <is>
          <t>NF-e</t>
        </is>
      </c>
      <c r="E4176" t="inlineStr">
        <is>
          <t>000016359</t>
        </is>
      </c>
      <c r="F4176" t="inlineStr">
        <is>
          <t>NOVA CONPEL COMPANHIA NORDESTINA DE PAPEL LTDA</t>
        </is>
      </c>
      <c r="G4176" s="27" t="n">
        <v>46206</v>
      </c>
      <c r="H4176" s="14" t="n">
        <v>62824.83</v>
      </c>
      <c r="I4176" s="14" t="n">
        <v>8194.540000000001</v>
      </c>
      <c r="J4176" s="14" t="n">
        <v>10926.05</v>
      </c>
      <c r="K4176" s="14" t="n">
        <v>721.12</v>
      </c>
      <c r="L4176" s="14" t="n">
        <v>3321.52</v>
      </c>
      <c r="M4176" s="14">
        <f>IF(B4176="Frete de venda",0,(1-ISNUMBER(SEARCH("556",P4176)))*(I4176*VLOOKUP($B4176,Premissas!$A$4:$E$7,2,0)+J4176*VLOOKUP($B4176,Premissas!$A$4:$E$7,3,0))+K4176*VLOOKUP($B4176,Premissas!$A$4:$E$7,4,0)+L4176*VLOOKUP($B4176,Premissas!$A$4:$E$7,5,0))</f>
        <v/>
      </c>
      <c r="N4176" s="14">
        <f>H4176-M4176</f>
        <v/>
      </c>
      <c r="O4176" t="inlineStr">
        <is>
          <t>Sim</t>
        </is>
      </c>
      <c r="P4176" t="inlineStr">
        <is>
          <t>1.556</t>
        </is>
      </c>
    </row>
    <row r="4177">
      <c r="A4177" s="24" t="n">
        <v>46204</v>
      </c>
      <c r="B4177" t="inlineStr">
        <is>
          <t>Insumos e papel</t>
        </is>
      </c>
      <c r="C4177" t="inlineStr">
        <is>
          <t>2.01.99 Compra de Caixas</t>
        </is>
      </c>
      <c r="D4177" t="inlineStr">
        <is>
          <t>NF-e</t>
        </is>
      </c>
      <c r="E4177" t="inlineStr">
        <is>
          <t>000016356</t>
        </is>
      </c>
      <c r="F4177" t="inlineStr">
        <is>
          <t>NOVA CONPEL COMPANHIA NORDESTINA DE PAPEL LTDA</t>
        </is>
      </c>
      <c r="G4177" s="27" t="n">
        <v>46206</v>
      </c>
      <c r="H4177" s="14" t="n">
        <v>60536.51</v>
      </c>
      <c r="I4177" s="14" t="n">
        <v>7896.06</v>
      </c>
      <c r="J4177" s="14" t="n">
        <v>10528.09</v>
      </c>
      <c r="K4177" s="14" t="n">
        <v>694.85</v>
      </c>
      <c r="L4177" s="14" t="n">
        <v>3200.54</v>
      </c>
      <c r="M4177" s="14">
        <f>IF(B4177="Frete de venda",0,(1-ISNUMBER(SEARCH("556",P4177)))*(I4177*VLOOKUP($B4177,Premissas!$A$4:$E$7,2,0)+J4177*VLOOKUP($B4177,Premissas!$A$4:$E$7,3,0))+K4177*VLOOKUP($B4177,Premissas!$A$4:$E$7,4,0)+L4177*VLOOKUP($B4177,Premissas!$A$4:$E$7,5,0))</f>
        <v/>
      </c>
      <c r="N4177" s="14">
        <f>H4177-M4177</f>
        <v/>
      </c>
      <c r="O4177" t="inlineStr">
        <is>
          <t>Sim</t>
        </is>
      </c>
      <c r="P4177" t="inlineStr">
        <is>
          <t>1.556</t>
        </is>
      </c>
    </row>
    <row r="4178">
      <c r="A4178" s="24" t="n">
        <v>46204</v>
      </c>
      <c r="B4178" t="inlineStr">
        <is>
          <t>Insumos e papel</t>
        </is>
      </c>
      <c r="C4178" t="inlineStr">
        <is>
          <t>2.01.99 Compra de Caixas</t>
        </is>
      </c>
      <c r="D4178" t="inlineStr">
        <is>
          <t>NF-e</t>
        </is>
      </c>
      <c r="E4178" t="inlineStr">
        <is>
          <t>000016355</t>
        </is>
      </c>
      <c r="F4178" t="inlineStr">
        <is>
          <t>NOVA CONPEL COMPANHIA NORDESTINA DE PAPEL LTDA</t>
        </is>
      </c>
      <c r="G4178" s="27" t="n">
        <v>46206</v>
      </c>
      <c r="H4178" s="14" t="n">
        <v>63032.86</v>
      </c>
      <c r="I4178" s="14" t="n">
        <v>8221.67</v>
      </c>
      <c r="J4178" s="14" t="n">
        <v>10962.23</v>
      </c>
      <c r="K4178" s="14" t="n">
        <v>723.51</v>
      </c>
      <c r="L4178" s="14" t="n">
        <v>3332.52</v>
      </c>
      <c r="M4178" s="14">
        <f>IF(B4178="Frete de venda",0,(1-ISNUMBER(SEARCH("556",P4178)))*(I4178*VLOOKUP($B4178,Premissas!$A$4:$E$7,2,0)+J4178*VLOOKUP($B4178,Premissas!$A$4:$E$7,3,0))+K4178*VLOOKUP($B4178,Premissas!$A$4:$E$7,4,0)+L4178*VLOOKUP($B4178,Premissas!$A$4:$E$7,5,0))</f>
        <v/>
      </c>
      <c r="N4178" s="14">
        <f>H4178-M4178</f>
        <v/>
      </c>
      <c r="O4178" t="inlineStr">
        <is>
          <t>Sim</t>
        </is>
      </c>
      <c r="P4178" t="inlineStr">
        <is>
          <t>1.556</t>
        </is>
      </c>
    </row>
    <row r="4179">
      <c r="A4179" s="24" t="n">
        <v>46204</v>
      </c>
      <c r="B4179" t="inlineStr">
        <is>
          <t>Insumos e papel</t>
        </is>
      </c>
      <c r="C4179" t="inlineStr">
        <is>
          <t>2.01.99 Compra de Caixas</t>
        </is>
      </c>
      <c r="D4179" t="inlineStr">
        <is>
          <t>NF-e</t>
        </is>
      </c>
      <c r="E4179" t="inlineStr">
        <is>
          <t>000016354</t>
        </is>
      </c>
      <c r="F4179" t="inlineStr">
        <is>
          <t>NOVA CONPEL COMPANHIA NORDESTINA DE PAPEL LTDA</t>
        </is>
      </c>
      <c r="G4179" s="27" t="n">
        <v>46206</v>
      </c>
      <c r="H4179" s="14" t="n">
        <v>61992.71</v>
      </c>
      <c r="I4179" s="14" t="n">
        <v>8086</v>
      </c>
      <c r="J4179" s="14" t="n">
        <v>10781.34</v>
      </c>
      <c r="K4179" s="14" t="n">
        <v>711.5700000000001</v>
      </c>
      <c r="L4179" s="14" t="n">
        <v>3277.53</v>
      </c>
      <c r="M4179" s="14">
        <f>IF(B4179="Frete de venda",0,(1-ISNUMBER(SEARCH("556",P4179)))*(I4179*VLOOKUP($B4179,Premissas!$A$4:$E$7,2,0)+J4179*VLOOKUP($B4179,Premissas!$A$4:$E$7,3,0))+K4179*VLOOKUP($B4179,Premissas!$A$4:$E$7,4,0)+L4179*VLOOKUP($B4179,Premissas!$A$4:$E$7,5,0))</f>
        <v/>
      </c>
      <c r="N4179" s="14">
        <f>H4179-M4179</f>
        <v/>
      </c>
      <c r="O4179" t="inlineStr">
        <is>
          <t>Sim</t>
        </is>
      </c>
      <c r="P4179" t="inlineStr">
        <is>
          <t>1.556</t>
        </is>
      </c>
    </row>
    <row r="4180">
      <c r="A4180" s="24" t="n">
        <v>46204</v>
      </c>
      <c r="B4180" t="inlineStr">
        <is>
          <t>Insumos e papel</t>
        </is>
      </c>
      <c r="C4180" t="inlineStr">
        <is>
          <t>2.01.99 Compra de Caixas</t>
        </is>
      </c>
      <c r="D4180" t="inlineStr">
        <is>
          <t>NF-e</t>
        </is>
      </c>
      <c r="E4180" t="inlineStr">
        <is>
          <t>000016358</t>
        </is>
      </c>
      <c r="F4180" t="inlineStr">
        <is>
          <t>NOVA CONPEL COMPANHIA NORDESTINA DE PAPEL LTDA</t>
        </is>
      </c>
      <c r="G4180" s="27" t="n">
        <v>46206</v>
      </c>
      <c r="H4180" s="14" t="n">
        <v>61576.65</v>
      </c>
      <c r="I4180" s="14" t="n">
        <v>8031.73</v>
      </c>
      <c r="J4180" s="14" t="n">
        <v>10708.98</v>
      </c>
      <c r="K4180" s="14" t="n">
        <v>706.79</v>
      </c>
      <c r="L4180" s="14" t="n">
        <v>3255.53</v>
      </c>
      <c r="M4180" s="14">
        <f>IF(B4180="Frete de venda",0,(1-ISNUMBER(SEARCH("556",P4180)))*(I4180*VLOOKUP($B4180,Premissas!$A$4:$E$7,2,0)+J4180*VLOOKUP($B4180,Premissas!$A$4:$E$7,3,0))+K4180*VLOOKUP($B4180,Premissas!$A$4:$E$7,4,0)+L4180*VLOOKUP($B4180,Premissas!$A$4:$E$7,5,0))</f>
        <v/>
      </c>
      <c r="N4180" s="14">
        <f>H4180-M4180</f>
        <v/>
      </c>
      <c r="O4180" t="inlineStr">
        <is>
          <t>Sim</t>
        </is>
      </c>
      <c r="P4180" t="inlineStr">
        <is>
          <t>1.556</t>
        </is>
      </c>
    </row>
    <row r="4181">
      <c r="A4181" s="24" t="n">
        <v>46204</v>
      </c>
      <c r="B4181" t="inlineStr">
        <is>
          <t>Insumos e papel</t>
        </is>
      </c>
      <c r="C4181" t="inlineStr">
        <is>
          <t>2.01.99 Compra de Caixas</t>
        </is>
      </c>
      <c r="D4181" t="inlineStr">
        <is>
          <t>NF-e</t>
        </is>
      </c>
      <c r="E4181" t="inlineStr">
        <is>
          <t>000016357</t>
        </is>
      </c>
      <c r="F4181" t="inlineStr">
        <is>
          <t>NOVA CONPEL COMPANHIA NORDESTINA DE PAPEL LTDA</t>
        </is>
      </c>
      <c r="G4181" s="27" t="n">
        <v>46206</v>
      </c>
      <c r="H4181" s="14" t="n">
        <v>63656.95</v>
      </c>
      <c r="I4181" s="14" t="n">
        <v>8303.08</v>
      </c>
      <c r="J4181" s="14" t="n">
        <v>11070.77</v>
      </c>
      <c r="K4181" s="14" t="n">
        <v>730.67</v>
      </c>
      <c r="L4181" s="14" t="n">
        <v>3365.52</v>
      </c>
      <c r="M4181" s="14">
        <f>IF(B4181="Frete de venda",0,(1-ISNUMBER(SEARCH("556",P4181)))*(I4181*VLOOKUP($B4181,Premissas!$A$4:$E$7,2,0)+J4181*VLOOKUP($B4181,Premissas!$A$4:$E$7,3,0))+K4181*VLOOKUP($B4181,Premissas!$A$4:$E$7,4,0)+L4181*VLOOKUP($B4181,Premissas!$A$4:$E$7,5,0))</f>
        <v/>
      </c>
      <c r="N4181" s="14">
        <f>H4181-M4181</f>
        <v/>
      </c>
      <c r="O4181" t="inlineStr">
        <is>
          <t>Sim</t>
        </is>
      </c>
      <c r="P4181" t="inlineStr">
        <is>
          <t>1.556</t>
        </is>
      </c>
    </row>
    <row r="4182">
      <c r="A4182" s="24" t="n">
        <v>46204</v>
      </c>
      <c r="B4182" t="inlineStr">
        <is>
          <t>Uso e consumo</t>
        </is>
      </c>
      <c r="C4182" t="inlineStr">
        <is>
          <t>2.03.88 Compra de Fardamento</t>
        </is>
      </c>
      <c r="D4182" t="inlineStr">
        <is>
          <t>NF-e</t>
        </is>
      </c>
      <c r="E4182" t="inlineStr">
        <is>
          <t>000845000</t>
        </is>
      </c>
      <c r="F4182" t="inlineStr">
        <is>
          <t>MIRANTE IND. E COM. EIRELI - ME</t>
        </is>
      </c>
      <c r="G4182" s="27" t="n">
        <v>46210</v>
      </c>
      <c r="H4182" s="14" t="n">
        <v>2784.6</v>
      </c>
      <c r="I4182" s="14" t="n">
        <v>0</v>
      </c>
      <c r="J4182" s="14" t="n">
        <v>194.92</v>
      </c>
      <c r="K4182" s="14" t="n">
        <v>16.84</v>
      </c>
      <c r="L4182" s="14" t="n">
        <v>77.69</v>
      </c>
      <c r="M4182" s="14">
        <f>IF(B4182="Frete de venda",0,(1-ISNUMBER(SEARCH("556",P4182)))*(I4182*VLOOKUP($B4182,Premissas!$A$4:$E$7,2,0)+J4182*VLOOKUP($B4182,Premissas!$A$4:$E$7,3,0))+K4182*VLOOKUP($B4182,Premissas!$A$4:$E$7,4,0)+L4182*VLOOKUP($B4182,Premissas!$A$4:$E$7,5,0))</f>
        <v/>
      </c>
      <c r="N4182" s="14">
        <f>H4182-M4182</f>
        <v/>
      </c>
      <c r="O4182" t="inlineStr">
        <is>
          <t>Sim</t>
        </is>
      </c>
      <c r="P4182" t="inlineStr">
        <is>
          <t>2.556</t>
        </is>
      </c>
    </row>
    <row r="4183">
      <c r="A4183" s="24" t="n">
        <v>46204</v>
      </c>
      <c r="B4183" t="inlineStr">
        <is>
          <t>Uso e consumo</t>
        </is>
      </c>
      <c r="C4183" t="inlineStr">
        <is>
          <t>2.03.88 Compra de Fardamento</t>
        </is>
      </c>
      <c r="D4183" t="inlineStr">
        <is>
          <t>NF-e</t>
        </is>
      </c>
      <c r="E4183" t="inlineStr">
        <is>
          <t>000003204</t>
        </is>
      </c>
      <c r="F4183" t="inlineStr">
        <is>
          <t>R M FARDAMENTOS LTDA</t>
        </is>
      </c>
      <c r="G4183" s="27" t="n">
        <v>46227</v>
      </c>
      <c r="H4183" s="14" t="n">
        <v>13444.11</v>
      </c>
      <c r="I4183" s="14" t="n">
        <v>0</v>
      </c>
      <c r="J4183" s="14" t="n">
        <v>0</v>
      </c>
      <c r="K4183" s="14" t="n">
        <v>0</v>
      </c>
      <c r="L4183" s="14" t="n">
        <v>0</v>
      </c>
      <c r="M4183" s="14">
        <f>IF(B4183="Frete de venda",0,(1-ISNUMBER(SEARCH("556",P4183)))*(I4183*VLOOKUP($B4183,Premissas!$A$4:$E$7,2,0)+J4183*VLOOKUP($B4183,Premissas!$A$4:$E$7,3,0))+K4183*VLOOKUP($B4183,Premissas!$A$4:$E$7,4,0)+L4183*VLOOKUP($B4183,Premissas!$A$4:$E$7,5,0))</f>
        <v/>
      </c>
      <c r="N4183" s="14">
        <f>H4183-M4183</f>
        <v/>
      </c>
      <c r="O4183" t="inlineStr">
        <is>
          <t>Sim</t>
        </is>
      </c>
      <c r="P4183" t="inlineStr">
        <is>
          <t>1.556</t>
        </is>
      </c>
    </row>
    <row r="4184">
      <c r="A4184" s="24" t="n">
        <v>46204</v>
      </c>
      <c r="B4184" t="inlineStr">
        <is>
          <t>Uso e consumo</t>
        </is>
      </c>
      <c r="C4184" t="inlineStr">
        <is>
          <t>2.03.90 Compra de EPI</t>
        </is>
      </c>
      <c r="D4184" t="inlineStr">
        <is>
          <t>NF-e</t>
        </is>
      </c>
      <c r="E4184" t="inlineStr">
        <is>
          <t>000730714</t>
        </is>
      </c>
      <c r="F4184" t="inlineStr">
        <is>
          <t>1000 MARCAS SAFETY BRASIL LTDA</t>
        </is>
      </c>
      <c r="G4184" s="27" t="n">
        <v>46204</v>
      </c>
      <c r="H4184" s="14" t="n">
        <v>261.6</v>
      </c>
      <c r="I4184" s="14" t="n">
        <v>0</v>
      </c>
      <c r="J4184" s="14" t="n">
        <v>18.31</v>
      </c>
      <c r="K4184" s="14" t="n">
        <v>4.01</v>
      </c>
      <c r="L4184" s="14" t="n">
        <v>18.49</v>
      </c>
      <c r="M4184" s="14">
        <f>IF(B4184="Frete de venda",0,(1-ISNUMBER(SEARCH("556",P4184)))*(I4184*VLOOKUP($B4184,Premissas!$A$4:$E$7,2,0)+J4184*VLOOKUP($B4184,Premissas!$A$4:$E$7,3,0))+K4184*VLOOKUP($B4184,Premissas!$A$4:$E$7,4,0)+L4184*VLOOKUP($B4184,Premissas!$A$4:$E$7,5,0))</f>
        <v/>
      </c>
      <c r="N4184" s="14">
        <f>H4184-M4184</f>
        <v/>
      </c>
      <c r="O4184" t="inlineStr">
        <is>
          <t>Sim</t>
        </is>
      </c>
      <c r="P4184" t="inlineStr">
        <is>
          <t>2.556</t>
        </is>
      </c>
    </row>
    <row r="4185">
      <c r="A4185" s="24" t="n">
        <v>46204</v>
      </c>
      <c r="B4185" t="inlineStr">
        <is>
          <t>Uso e consumo</t>
        </is>
      </c>
      <c r="C4185" t="inlineStr">
        <is>
          <t>2.03.90 Compra de EPI</t>
        </is>
      </c>
      <c r="D4185" t="inlineStr">
        <is>
          <t>NF-e</t>
        </is>
      </c>
      <c r="E4185" t="inlineStr">
        <is>
          <t>000072013</t>
        </is>
      </c>
      <c r="F4185" t="inlineStr">
        <is>
          <t>INDUSTRIA E COMERCIO DE BOLAS E CHUTEIRAS CARREIRO LTDA</t>
        </is>
      </c>
      <c r="G4185" s="27" t="n">
        <v>46227</v>
      </c>
      <c r="H4185" s="14" t="n">
        <v>2166</v>
      </c>
      <c r="I4185" s="14" t="n">
        <v>0</v>
      </c>
      <c r="J4185" s="14" t="n">
        <v>433.2</v>
      </c>
      <c r="K4185" s="14" t="n">
        <v>14.08</v>
      </c>
      <c r="L4185" s="14" t="n">
        <v>64.98</v>
      </c>
      <c r="M4185" s="14">
        <f>IF(B4185="Frete de venda",0,(1-ISNUMBER(SEARCH("556",P4185)))*(I4185*VLOOKUP($B4185,Premissas!$A$4:$E$7,2,0)+J4185*VLOOKUP($B4185,Premissas!$A$4:$E$7,3,0))+K4185*VLOOKUP($B4185,Premissas!$A$4:$E$7,4,0)+L4185*VLOOKUP($B4185,Premissas!$A$4:$E$7,5,0))</f>
        <v/>
      </c>
      <c r="N4185" s="14">
        <f>H4185-M4185</f>
        <v/>
      </c>
      <c r="O4185" t="inlineStr">
        <is>
          <t>Sim</t>
        </is>
      </c>
      <c r="P4185" t="inlineStr">
        <is>
          <t>1.556</t>
        </is>
      </c>
    </row>
    <row r="4186">
      <c r="A4186" s="24" t="n">
        <v>46204</v>
      </c>
      <c r="B4186" t="inlineStr">
        <is>
          <t>Uso e consumo</t>
        </is>
      </c>
      <c r="C4186" t="inlineStr">
        <is>
          <t>2.03.90 Compra de EPI</t>
        </is>
      </c>
      <c r="D4186" t="inlineStr">
        <is>
          <t>NF-e</t>
        </is>
      </c>
      <c r="E4186" t="inlineStr">
        <is>
          <t>000001124</t>
        </is>
      </c>
      <c r="F4186" t="inlineStr">
        <is>
          <t>NH SHOP ECOMERCE LTDA</t>
        </is>
      </c>
      <c r="G4186" s="27" t="n">
        <v>46205</v>
      </c>
      <c r="H4186" s="14" t="n">
        <v>2342.45</v>
      </c>
      <c r="I4186" s="14" t="n">
        <v>0</v>
      </c>
      <c r="J4186" s="14" t="n">
        <v>0</v>
      </c>
      <c r="K4186" s="14" t="n">
        <v>0</v>
      </c>
      <c r="L4186" s="14" t="n">
        <v>0</v>
      </c>
      <c r="M4186" s="14">
        <f>IF(B4186="Frete de venda",0,(1-ISNUMBER(SEARCH("556",P4186)))*(I4186*VLOOKUP($B4186,Premissas!$A$4:$E$7,2,0)+J4186*VLOOKUP($B4186,Premissas!$A$4:$E$7,3,0))+K4186*VLOOKUP($B4186,Premissas!$A$4:$E$7,4,0)+L4186*VLOOKUP($B4186,Premissas!$A$4:$E$7,5,0))</f>
        <v/>
      </c>
      <c r="N4186" s="14">
        <f>H4186-M4186</f>
        <v/>
      </c>
      <c r="O4186" t="inlineStr">
        <is>
          <t>Sim</t>
        </is>
      </c>
      <c r="P4186" t="inlineStr">
        <is>
          <t>2.556</t>
        </is>
      </c>
    </row>
    <row r="4187">
      <c r="A4187" s="24" t="n">
        <v>46204</v>
      </c>
      <c r="B4187" t="inlineStr">
        <is>
          <t>Uso e consumo</t>
        </is>
      </c>
      <c r="C4187" t="inlineStr">
        <is>
          <t>2.03.90 Compra de EPI</t>
        </is>
      </c>
      <c r="D4187" t="inlineStr">
        <is>
          <t>NF-e</t>
        </is>
      </c>
      <c r="E4187" t="inlineStr">
        <is>
          <t>000001125</t>
        </is>
      </c>
      <c r="F4187" t="inlineStr">
        <is>
          <t>NH SHOP ECOMERCE LTDA</t>
        </is>
      </c>
      <c r="G4187" s="27" t="n">
        <v>46205</v>
      </c>
      <c r="H4187" s="14" t="n">
        <v>6090.37</v>
      </c>
      <c r="I4187" s="14" t="n">
        <v>0</v>
      </c>
      <c r="J4187" s="14" t="n">
        <v>0</v>
      </c>
      <c r="K4187" s="14" t="n">
        <v>0</v>
      </c>
      <c r="L4187" s="14" t="n">
        <v>0</v>
      </c>
      <c r="M4187" s="14">
        <f>IF(B4187="Frete de venda",0,(1-ISNUMBER(SEARCH("556",P4187)))*(I4187*VLOOKUP($B4187,Premissas!$A$4:$E$7,2,0)+J4187*VLOOKUP($B4187,Premissas!$A$4:$E$7,3,0))+K4187*VLOOKUP($B4187,Premissas!$A$4:$E$7,4,0)+L4187*VLOOKUP($B4187,Premissas!$A$4:$E$7,5,0))</f>
        <v/>
      </c>
      <c r="N4187" s="14">
        <f>H4187-M4187</f>
        <v/>
      </c>
      <c r="O4187" t="inlineStr">
        <is>
          <t>Sim</t>
        </is>
      </c>
      <c r="P4187" t="inlineStr">
        <is>
          <t>2.556</t>
        </is>
      </c>
    </row>
    <row r="4188">
      <c r="A4188" s="24" t="n">
        <v>46204</v>
      </c>
      <c r="B4188" t="inlineStr">
        <is>
          <t>Uso e consumo</t>
        </is>
      </c>
      <c r="C4188" t="inlineStr">
        <is>
          <t>2.03.90 Compra de EPI</t>
        </is>
      </c>
      <c r="D4188" t="inlineStr">
        <is>
          <t>NF-e</t>
        </is>
      </c>
      <c r="E4188" t="inlineStr">
        <is>
          <t>000104217</t>
        </is>
      </c>
      <c r="F4188" t="inlineStr">
        <is>
          <t>PERNAMBUCO DISTRIBUIDORA ATAC EPIS, INS IND e MRO LTDA</t>
        </is>
      </c>
      <c r="G4188" s="27" t="n">
        <v>46211</v>
      </c>
      <c r="H4188" s="14" t="n">
        <v>680.4</v>
      </c>
      <c r="I4188" s="14" t="n">
        <v>0</v>
      </c>
      <c r="J4188" s="14" t="n">
        <v>136.08</v>
      </c>
      <c r="K4188" s="14" t="n">
        <v>8.94</v>
      </c>
      <c r="L4188" s="14" t="n">
        <v>41.34</v>
      </c>
      <c r="M4188" s="14">
        <f>IF(B4188="Frete de venda",0,(1-ISNUMBER(SEARCH("556",P4188)))*(I4188*VLOOKUP($B4188,Premissas!$A$4:$E$7,2,0)+J4188*VLOOKUP($B4188,Premissas!$A$4:$E$7,3,0))+K4188*VLOOKUP($B4188,Premissas!$A$4:$E$7,4,0)+L4188*VLOOKUP($B4188,Premissas!$A$4:$E$7,5,0))</f>
        <v/>
      </c>
      <c r="N4188" s="14">
        <f>H4188-M4188</f>
        <v/>
      </c>
      <c r="O4188" t="inlineStr">
        <is>
          <t>Sim</t>
        </is>
      </c>
      <c r="P4188" t="inlineStr">
        <is>
          <t>1.556</t>
        </is>
      </c>
    </row>
    <row r="4189">
      <c r="A4189" s="24" t="n">
        <v>46204</v>
      </c>
      <c r="B4189" t="inlineStr">
        <is>
          <t>Uso e consumo</t>
        </is>
      </c>
      <c r="C4189" t="inlineStr">
        <is>
          <t>2.03.90 Compra de EPI</t>
        </is>
      </c>
      <c r="D4189" t="inlineStr">
        <is>
          <t>NF-e</t>
        </is>
      </c>
      <c r="E4189" t="inlineStr">
        <is>
          <t>000105806</t>
        </is>
      </c>
      <c r="F4189" t="inlineStr">
        <is>
          <t>PERNAMBUCO DISTRIBUIDORA ATAC EPIS, INS IND e MRO LTDA</t>
        </is>
      </c>
      <c r="G4189" s="27" t="n">
        <v>46233</v>
      </c>
      <c r="H4189" s="14" t="n">
        <v>638</v>
      </c>
      <c r="I4189" s="14" t="n">
        <v>0</v>
      </c>
      <c r="J4189" s="14" t="n">
        <v>0</v>
      </c>
      <c r="K4189" s="14" t="n">
        <v>0</v>
      </c>
      <c r="L4189" s="14" t="n">
        <v>0</v>
      </c>
      <c r="M4189" s="14">
        <f>IF(B4189="Frete de venda",0,(1-ISNUMBER(SEARCH("556",P4189)))*(I4189*VLOOKUP($B4189,Premissas!$A$4:$E$7,2,0)+J4189*VLOOKUP($B4189,Premissas!$A$4:$E$7,3,0))+K4189*VLOOKUP($B4189,Premissas!$A$4:$E$7,4,0)+L4189*VLOOKUP($B4189,Premissas!$A$4:$E$7,5,0))</f>
        <v/>
      </c>
      <c r="N4189" s="14">
        <f>H4189-M4189</f>
        <v/>
      </c>
      <c r="O4189" t="inlineStr">
        <is>
          <t>Sim</t>
        </is>
      </c>
      <c r="P4189" t="inlineStr">
        <is>
          <t>1.556</t>
        </is>
      </c>
    </row>
    <row r="4190">
      <c r="A4190" s="24" t="n">
        <v>46204</v>
      </c>
      <c r="B4190" t="inlineStr">
        <is>
          <t>Uso e consumo</t>
        </is>
      </c>
      <c r="C4190" t="inlineStr">
        <is>
          <t>2.04.06 Material de Escritório</t>
        </is>
      </c>
      <c r="D4190" t="inlineStr">
        <is>
          <t>NF-e</t>
        </is>
      </c>
      <c r="E4190" t="inlineStr">
        <is>
          <t>000001226</t>
        </is>
      </c>
      <c r="F4190" t="inlineStr">
        <is>
          <t>Limptech Paper Comercio Ltda</t>
        </is>
      </c>
      <c r="G4190" s="27" t="n">
        <v>46204</v>
      </c>
      <c r="H4190" s="14" t="n">
        <v>1833.97</v>
      </c>
      <c r="I4190" s="14" t="n">
        <v>0</v>
      </c>
      <c r="J4190" s="14" t="n">
        <v>0</v>
      </c>
      <c r="K4190" s="14" t="n">
        <v>0</v>
      </c>
      <c r="L4190" s="14" t="n">
        <v>0</v>
      </c>
      <c r="M4190" s="14">
        <f>IF(B4190="Frete de venda",0,(1-ISNUMBER(SEARCH("556",P4190)))*(I4190*VLOOKUP($B4190,Premissas!$A$4:$E$7,2,0)+J4190*VLOOKUP($B4190,Premissas!$A$4:$E$7,3,0))+K4190*VLOOKUP($B4190,Premissas!$A$4:$E$7,4,0)+L4190*VLOOKUP($B4190,Premissas!$A$4:$E$7,5,0))</f>
        <v/>
      </c>
      <c r="N4190" s="14">
        <f>H4190-M4190</f>
        <v/>
      </c>
      <c r="O4190" t="inlineStr">
        <is>
          <t>Sim</t>
        </is>
      </c>
      <c r="P4190" t="inlineStr">
        <is>
          <t>1.556</t>
        </is>
      </c>
    </row>
    <row r="4191">
      <c r="A4191" s="24" t="n">
        <v>46204</v>
      </c>
      <c r="B4191" t="inlineStr">
        <is>
          <t>Uso e consumo</t>
        </is>
      </c>
      <c r="C4191" t="inlineStr">
        <is>
          <t>2.04.06 Material de Escritório</t>
        </is>
      </c>
      <c r="D4191" t="inlineStr">
        <is>
          <t>NF-e</t>
        </is>
      </c>
      <c r="E4191" t="inlineStr">
        <is>
          <t>000001337</t>
        </is>
      </c>
      <c r="F4191" t="inlineStr">
        <is>
          <t>Limptech Paper Comercio Ltda</t>
        </is>
      </c>
      <c r="G4191" s="27" t="n">
        <v>46231</v>
      </c>
      <c r="H4191" s="14" t="n">
        <v>2398.45</v>
      </c>
      <c r="I4191" s="14" t="n">
        <v>0</v>
      </c>
      <c r="J4191" s="14" t="n">
        <v>0</v>
      </c>
      <c r="K4191" s="14" t="n">
        <v>0</v>
      </c>
      <c r="L4191" s="14" t="n">
        <v>0</v>
      </c>
      <c r="M4191" s="14">
        <f>IF(B4191="Frete de venda",0,(1-ISNUMBER(SEARCH("556",P4191)))*(I4191*VLOOKUP($B4191,Premissas!$A$4:$E$7,2,0)+J4191*VLOOKUP($B4191,Premissas!$A$4:$E$7,3,0))+K4191*VLOOKUP($B4191,Premissas!$A$4:$E$7,4,0)+L4191*VLOOKUP($B4191,Premissas!$A$4:$E$7,5,0))</f>
        <v/>
      </c>
      <c r="N4191" s="14">
        <f>H4191-M4191</f>
        <v/>
      </c>
      <c r="O4191" t="inlineStr">
        <is>
          <t>Sim</t>
        </is>
      </c>
      <c r="P4191" t="inlineStr">
        <is>
          <t>1.102, 1.403, 1.556</t>
        </is>
      </c>
    </row>
    <row r="4192">
      <c r="A4192" s="24" t="n">
        <v>46204</v>
      </c>
      <c r="B4192" t="inlineStr">
        <is>
          <t>Uso e consumo</t>
        </is>
      </c>
      <c r="C4192" t="inlineStr">
        <is>
          <t>2.04.91 Compra de Material de Limpeza</t>
        </is>
      </c>
      <c r="D4192" t="inlineStr">
        <is>
          <t>NF-e</t>
        </is>
      </c>
      <c r="E4192" t="inlineStr">
        <is>
          <t>000000008</t>
        </is>
      </c>
      <c r="F4192" t="inlineStr">
        <is>
          <t>COSMETICOS ALLIM LTDA</t>
        </is>
      </c>
      <c r="G4192" s="27" t="n">
        <v>46217</v>
      </c>
      <c r="H4192" s="14" t="n">
        <v>500</v>
      </c>
      <c r="I4192" s="14" t="n">
        <v>0</v>
      </c>
      <c r="J4192" s="14" t="n">
        <v>60</v>
      </c>
      <c r="K4192" s="14" t="n">
        <v>3.25</v>
      </c>
      <c r="L4192" s="14" t="n">
        <v>15</v>
      </c>
      <c r="M4192" s="14">
        <f>IF(B4192="Frete de venda",0,(1-ISNUMBER(SEARCH("556",P4192)))*(I4192*VLOOKUP($B4192,Premissas!$A$4:$E$7,2,0)+J4192*VLOOKUP($B4192,Premissas!$A$4:$E$7,3,0))+K4192*VLOOKUP($B4192,Premissas!$A$4:$E$7,4,0)+L4192*VLOOKUP($B4192,Premissas!$A$4:$E$7,5,0))</f>
        <v/>
      </c>
      <c r="N4192" s="14">
        <f>H4192-M4192</f>
        <v/>
      </c>
      <c r="O4192" t="inlineStr">
        <is>
          <t>Sim</t>
        </is>
      </c>
      <c r="P4192" t="inlineStr">
        <is>
          <t>2.556</t>
        </is>
      </c>
    </row>
    <row r="4193">
      <c r="A4193" s="24" t="n">
        <v>46204</v>
      </c>
      <c r="B4193" t="inlineStr">
        <is>
          <t>Uso e consumo</t>
        </is>
      </c>
      <c r="C4193" t="inlineStr">
        <is>
          <t>2.04.91 Compra de Material de Limpeza</t>
        </is>
      </c>
      <c r="D4193" t="inlineStr">
        <is>
          <t>NF-e</t>
        </is>
      </c>
      <c r="E4193" t="inlineStr">
        <is>
          <t>000001242</t>
        </is>
      </c>
      <c r="F4193" t="inlineStr">
        <is>
          <t>Limptech Paper Comercio Ltda</t>
        </is>
      </c>
      <c r="G4193" s="27" t="n">
        <v>46209</v>
      </c>
      <c r="H4193" s="14" t="n">
        <v>1263.85</v>
      </c>
      <c r="I4193" s="14" t="n">
        <v>0</v>
      </c>
      <c r="J4193" s="14" t="n">
        <v>0</v>
      </c>
      <c r="K4193" s="14" t="n">
        <v>0</v>
      </c>
      <c r="L4193" s="14" t="n">
        <v>0</v>
      </c>
      <c r="M4193" s="14">
        <f>IF(B4193="Frete de venda",0,(1-ISNUMBER(SEARCH("556",P4193)))*(I4193*VLOOKUP($B4193,Premissas!$A$4:$E$7,2,0)+J4193*VLOOKUP($B4193,Premissas!$A$4:$E$7,3,0))+K4193*VLOOKUP($B4193,Premissas!$A$4:$E$7,4,0)+L4193*VLOOKUP($B4193,Premissas!$A$4:$E$7,5,0))</f>
        <v/>
      </c>
      <c r="N4193" s="14">
        <f>H4193-M4193</f>
        <v/>
      </c>
      <c r="O4193" t="inlineStr">
        <is>
          <t>Sim</t>
        </is>
      </c>
      <c r="P4193" t="inlineStr">
        <is>
          <t>1.102, 1.556</t>
        </is>
      </c>
    </row>
    <row r="4194">
      <c r="A4194" s="24" t="n">
        <v>46204</v>
      </c>
      <c r="B4194" t="inlineStr">
        <is>
          <t>Uso e consumo</t>
        </is>
      </c>
      <c r="C4194" t="inlineStr">
        <is>
          <t>2.04.91 Compra de Material de Limpeza</t>
        </is>
      </c>
      <c r="D4194" t="inlineStr">
        <is>
          <t>NF-e</t>
        </is>
      </c>
      <c r="E4194" t="inlineStr">
        <is>
          <t>000001247</t>
        </is>
      </c>
      <c r="F4194" t="inlineStr">
        <is>
          <t>Limptech Paper Comercio Ltda</t>
        </is>
      </c>
      <c r="G4194" s="27" t="n">
        <v>46210</v>
      </c>
      <c r="H4194" s="14" t="n">
        <v>3535.47</v>
      </c>
      <c r="I4194" s="14" t="n">
        <v>0</v>
      </c>
      <c r="J4194" s="14" t="n">
        <v>0</v>
      </c>
      <c r="K4194" s="14" t="n">
        <v>0</v>
      </c>
      <c r="L4194" s="14" t="n">
        <v>0</v>
      </c>
      <c r="M4194" s="14">
        <f>IF(B4194="Frete de venda",0,(1-ISNUMBER(SEARCH("556",P4194)))*(I4194*VLOOKUP($B4194,Premissas!$A$4:$E$7,2,0)+J4194*VLOOKUP($B4194,Premissas!$A$4:$E$7,3,0))+K4194*VLOOKUP($B4194,Premissas!$A$4:$E$7,4,0)+L4194*VLOOKUP($B4194,Premissas!$A$4:$E$7,5,0))</f>
        <v/>
      </c>
      <c r="N4194" s="14">
        <f>H4194-M4194</f>
        <v/>
      </c>
      <c r="O4194" t="inlineStr">
        <is>
          <t>Sim</t>
        </is>
      </c>
      <c r="P4194" t="inlineStr">
        <is>
          <t>1.102, 1.556</t>
        </is>
      </c>
    </row>
    <row r="4195">
      <c r="A4195" s="24" t="n">
        <v>46204</v>
      </c>
      <c r="B4195" t="inlineStr">
        <is>
          <t>Uso e consumo</t>
        </is>
      </c>
      <c r="C4195" t="inlineStr">
        <is>
          <t>2.04.91 Compra de Material de Limpeza</t>
        </is>
      </c>
      <c r="D4195" t="inlineStr">
        <is>
          <t>NF-e</t>
        </is>
      </c>
      <c r="E4195" t="inlineStr">
        <is>
          <t>000001326</t>
        </is>
      </c>
      <c r="F4195" t="inlineStr">
        <is>
          <t>Limptech Paper Comercio Ltda</t>
        </is>
      </c>
      <c r="G4195" s="27" t="n">
        <v>46227</v>
      </c>
      <c r="H4195" s="14" t="n">
        <v>359.5</v>
      </c>
      <c r="I4195" s="14" t="n">
        <v>0</v>
      </c>
      <c r="J4195" s="14" t="n">
        <v>0</v>
      </c>
      <c r="K4195" s="14" t="n">
        <v>0</v>
      </c>
      <c r="L4195" s="14" t="n">
        <v>0</v>
      </c>
      <c r="M4195" s="14">
        <f>IF(B4195="Frete de venda",0,(1-ISNUMBER(SEARCH("556",P4195)))*(I4195*VLOOKUP($B4195,Premissas!$A$4:$E$7,2,0)+J4195*VLOOKUP($B4195,Premissas!$A$4:$E$7,3,0))+K4195*VLOOKUP($B4195,Premissas!$A$4:$E$7,4,0)+L4195*VLOOKUP($B4195,Premissas!$A$4:$E$7,5,0))</f>
        <v/>
      </c>
      <c r="N4195" s="14">
        <f>H4195-M4195</f>
        <v/>
      </c>
      <c r="O4195" t="inlineStr">
        <is>
          <t>Sim</t>
        </is>
      </c>
      <c r="P4195" t="inlineStr">
        <is>
          <t>1.102, 1.556</t>
        </is>
      </c>
    </row>
    <row r="4196">
      <c r="A4196" s="24" t="n">
        <v>46235</v>
      </c>
      <c r="B4196" t="inlineStr">
        <is>
          <t>Frete de compra</t>
        </is>
      </c>
      <c r="C4196" t="inlineStr">
        <is>
          <t>Frete de compra</t>
        </is>
      </c>
      <c r="D4196" t="inlineStr">
        <is>
          <t>CT-e</t>
        </is>
      </c>
      <c r="E4196" t="inlineStr">
        <is>
          <t>000203477</t>
        </is>
      </c>
      <c r="F4196" t="inlineStr">
        <is>
          <t>ALIANCA NAVEGACAO E LOGISTICA LTDA</t>
        </is>
      </c>
      <c r="G4196" s="27" t="n">
        <v>46265</v>
      </c>
      <c r="H4196" s="14" t="n">
        <v>23327.56</v>
      </c>
      <c r="I4196" s="14" t="n">
        <v>0</v>
      </c>
      <c r="J4196" s="14" t="n">
        <v>1632.93</v>
      </c>
      <c r="K4196" s="14" t="n">
        <v>0</v>
      </c>
      <c r="L4196" s="14" t="n">
        <v>0</v>
      </c>
      <c r="M4196" s="14">
        <f>IF(B4196="Frete de venda",0,(1-ISNUMBER(SEARCH("556",P4196)))*(I4196*VLOOKUP($B4196,Premissas!$A$4:$E$7,2,0)+J4196*VLOOKUP($B4196,Premissas!$A$4:$E$7,3,0))+K4196*VLOOKUP($B4196,Premissas!$A$4:$E$7,4,0)+L4196*VLOOKUP($B4196,Premissas!$A$4:$E$7,5,0))</f>
        <v/>
      </c>
      <c r="N4196" s="14">
        <f>H4196-M4196</f>
        <v/>
      </c>
      <c r="O4196" t="inlineStr">
        <is>
          <t>Sim</t>
        </is>
      </c>
      <c r="P4196" t="inlineStr">
        <is>
          <t>2.350</t>
        </is>
      </c>
    </row>
    <row r="4197">
      <c r="A4197" s="24" t="n">
        <v>46235</v>
      </c>
      <c r="B4197" t="inlineStr">
        <is>
          <t>Frete de compra</t>
        </is>
      </c>
      <c r="C4197" t="inlineStr">
        <is>
          <t>Frete de compra</t>
        </is>
      </c>
      <c r="D4197" t="inlineStr">
        <is>
          <t>CT-e</t>
        </is>
      </c>
      <c r="E4197" t="inlineStr">
        <is>
          <t>000202094</t>
        </is>
      </c>
      <c r="F4197" t="inlineStr">
        <is>
          <t>ALIANCA NAVEGACAO E LOGISTICA LTDA</t>
        </is>
      </c>
      <c r="G4197" s="27" t="n">
        <v>46241</v>
      </c>
      <c r="H4197" s="14" t="n">
        <v>3561.29</v>
      </c>
      <c r="I4197" s="14" t="n">
        <v>0</v>
      </c>
      <c r="J4197" s="14" t="n">
        <v>249.29</v>
      </c>
      <c r="K4197" s="14" t="n">
        <v>0</v>
      </c>
      <c r="L4197" s="14" t="n">
        <v>0</v>
      </c>
      <c r="M4197" s="14">
        <f>IF(B4197="Frete de venda",0,(1-ISNUMBER(SEARCH("556",P4197)))*(I4197*VLOOKUP($B4197,Premissas!$A$4:$E$7,2,0)+J4197*VLOOKUP($B4197,Premissas!$A$4:$E$7,3,0))+K4197*VLOOKUP($B4197,Premissas!$A$4:$E$7,4,0)+L4197*VLOOKUP($B4197,Premissas!$A$4:$E$7,5,0))</f>
        <v/>
      </c>
      <c r="N4197" s="14">
        <f>H4197-M4197</f>
        <v/>
      </c>
      <c r="O4197" t="inlineStr">
        <is>
          <t>Sim</t>
        </is>
      </c>
      <c r="P4197" t="inlineStr">
        <is>
          <t>2.350</t>
        </is>
      </c>
    </row>
    <row r="4198">
      <c r="A4198" s="24" t="n">
        <v>46235</v>
      </c>
      <c r="B4198" t="inlineStr">
        <is>
          <t>Frete de compra</t>
        </is>
      </c>
      <c r="C4198" t="inlineStr">
        <is>
          <t>Frete de compra</t>
        </is>
      </c>
      <c r="D4198" t="inlineStr">
        <is>
          <t>CT-e</t>
        </is>
      </c>
      <c r="E4198" t="inlineStr">
        <is>
          <t>000202080</t>
        </is>
      </c>
      <c r="F4198" t="inlineStr">
        <is>
          <t>ALIANCA NAVEGACAO E LOGISTICA LTDA</t>
        </is>
      </c>
      <c r="G4198" s="27" t="n">
        <v>46241</v>
      </c>
      <c r="H4198" s="14" t="n">
        <v>619.35</v>
      </c>
      <c r="I4198" s="14" t="n">
        <v>0</v>
      </c>
      <c r="J4198" s="14" t="n">
        <v>43.35</v>
      </c>
      <c r="K4198" s="14" t="n">
        <v>0</v>
      </c>
      <c r="L4198" s="14" t="n">
        <v>0</v>
      </c>
      <c r="M4198" s="14">
        <f>IF(B4198="Frete de venda",0,(1-ISNUMBER(SEARCH("556",P4198)))*(I4198*VLOOKUP($B4198,Premissas!$A$4:$E$7,2,0)+J4198*VLOOKUP($B4198,Premissas!$A$4:$E$7,3,0))+K4198*VLOOKUP($B4198,Premissas!$A$4:$E$7,4,0)+L4198*VLOOKUP($B4198,Premissas!$A$4:$E$7,5,0))</f>
        <v/>
      </c>
      <c r="N4198" s="14">
        <f>H4198-M4198</f>
        <v/>
      </c>
      <c r="O4198" t="inlineStr">
        <is>
          <t>Sim</t>
        </is>
      </c>
      <c r="P4198" t="inlineStr">
        <is>
          <t>2.350</t>
        </is>
      </c>
    </row>
    <row r="4199">
      <c r="A4199" s="24" t="n">
        <v>46235</v>
      </c>
      <c r="B4199" t="inlineStr">
        <is>
          <t>Frete de compra</t>
        </is>
      </c>
      <c r="C4199" t="inlineStr">
        <is>
          <t>Frete de compra</t>
        </is>
      </c>
      <c r="D4199" t="inlineStr">
        <is>
          <t>CT-e</t>
        </is>
      </c>
      <c r="E4199" t="inlineStr">
        <is>
          <t>000202079</t>
        </is>
      </c>
      <c r="F4199" t="inlineStr">
        <is>
          <t>ALIANCA NAVEGACAO E LOGISTICA LTDA</t>
        </is>
      </c>
      <c r="G4199" s="27" t="n">
        <v>46241</v>
      </c>
      <c r="H4199" s="14" t="n">
        <v>619.35</v>
      </c>
      <c r="I4199" s="14" t="n">
        <v>0</v>
      </c>
      <c r="J4199" s="14" t="n">
        <v>43.35</v>
      </c>
      <c r="K4199" s="14" t="n">
        <v>0</v>
      </c>
      <c r="L4199" s="14" t="n">
        <v>0</v>
      </c>
      <c r="M4199" s="14">
        <f>IF(B4199="Frete de venda",0,(1-ISNUMBER(SEARCH("556",P4199)))*(I4199*VLOOKUP($B4199,Premissas!$A$4:$E$7,2,0)+J4199*VLOOKUP($B4199,Premissas!$A$4:$E$7,3,0))+K4199*VLOOKUP($B4199,Premissas!$A$4:$E$7,4,0)+L4199*VLOOKUP($B4199,Premissas!$A$4:$E$7,5,0))</f>
        <v/>
      </c>
      <c r="N4199" s="14">
        <f>H4199-M4199</f>
        <v/>
      </c>
      <c r="O4199" t="inlineStr">
        <is>
          <t>Sim</t>
        </is>
      </c>
      <c r="P4199" t="inlineStr">
        <is>
          <t>2.350</t>
        </is>
      </c>
    </row>
    <row r="4200">
      <c r="A4200" s="24" t="n">
        <v>46235</v>
      </c>
      <c r="B4200" t="inlineStr">
        <is>
          <t>Frete de compra</t>
        </is>
      </c>
      <c r="C4200" t="inlineStr">
        <is>
          <t>Frete de compra</t>
        </is>
      </c>
      <c r="D4200" t="inlineStr">
        <is>
          <t>CT-e</t>
        </is>
      </c>
      <c r="E4200" t="inlineStr">
        <is>
          <t>000202096</t>
        </is>
      </c>
      <c r="F4200" t="inlineStr">
        <is>
          <t>ALIANCA NAVEGACAO E LOGISTICA LTDA</t>
        </is>
      </c>
      <c r="G4200" s="27" t="n">
        <v>46241</v>
      </c>
      <c r="H4200" s="14" t="n">
        <v>4025.81</v>
      </c>
      <c r="I4200" s="14" t="n">
        <v>0</v>
      </c>
      <c r="J4200" s="14" t="n">
        <v>281.81</v>
      </c>
      <c r="K4200" s="14" t="n">
        <v>0</v>
      </c>
      <c r="L4200" s="14" t="n">
        <v>0</v>
      </c>
      <c r="M4200" s="14">
        <f>IF(B4200="Frete de venda",0,(1-ISNUMBER(SEARCH("556",P4200)))*(I4200*VLOOKUP($B4200,Premissas!$A$4:$E$7,2,0)+J4200*VLOOKUP($B4200,Premissas!$A$4:$E$7,3,0))+K4200*VLOOKUP($B4200,Premissas!$A$4:$E$7,4,0)+L4200*VLOOKUP($B4200,Premissas!$A$4:$E$7,5,0))</f>
        <v/>
      </c>
      <c r="N4200" s="14">
        <f>H4200-M4200</f>
        <v/>
      </c>
      <c r="O4200" t="inlineStr">
        <is>
          <t>Sim</t>
        </is>
      </c>
      <c r="P4200" t="inlineStr">
        <is>
          <t>2.350</t>
        </is>
      </c>
    </row>
    <row r="4201">
      <c r="A4201" s="24" t="n">
        <v>46235</v>
      </c>
      <c r="B4201" t="inlineStr">
        <is>
          <t>Frete de compra</t>
        </is>
      </c>
      <c r="C4201" t="inlineStr">
        <is>
          <t>Frete de compra</t>
        </is>
      </c>
      <c r="D4201" t="inlineStr">
        <is>
          <t>CT-e</t>
        </is>
      </c>
      <c r="E4201" t="inlineStr">
        <is>
          <t>000202669</t>
        </is>
      </c>
      <c r="F4201" t="inlineStr">
        <is>
          <t>ALIANCA NAVEGACAO E LOGISTICA LTDA</t>
        </is>
      </c>
      <c r="G4201" s="27" t="n">
        <v>46248</v>
      </c>
      <c r="H4201" s="14" t="n">
        <v>309.68</v>
      </c>
      <c r="I4201" s="14" t="n">
        <v>0</v>
      </c>
      <c r="J4201" s="14" t="n">
        <v>21.68</v>
      </c>
      <c r="K4201" s="14" t="n">
        <v>0</v>
      </c>
      <c r="L4201" s="14" t="n">
        <v>0</v>
      </c>
      <c r="M4201" s="14">
        <f>IF(B4201="Frete de venda",0,(1-ISNUMBER(SEARCH("556",P4201)))*(I4201*VLOOKUP($B4201,Premissas!$A$4:$E$7,2,0)+J4201*VLOOKUP($B4201,Premissas!$A$4:$E$7,3,0))+K4201*VLOOKUP($B4201,Premissas!$A$4:$E$7,4,0)+L4201*VLOOKUP($B4201,Premissas!$A$4:$E$7,5,0))</f>
        <v/>
      </c>
      <c r="N4201" s="14">
        <f>H4201-M4201</f>
        <v/>
      </c>
      <c r="O4201" t="inlineStr">
        <is>
          <t>Sim</t>
        </is>
      </c>
      <c r="P4201" t="inlineStr">
        <is>
          <t>2.350</t>
        </is>
      </c>
    </row>
    <row r="4202">
      <c r="A4202" s="24" t="n">
        <v>46235</v>
      </c>
      <c r="B4202" t="inlineStr">
        <is>
          <t>Frete de compra</t>
        </is>
      </c>
      <c r="C4202" t="inlineStr">
        <is>
          <t>Frete de compra</t>
        </is>
      </c>
      <c r="D4202" t="inlineStr">
        <is>
          <t>CT-e</t>
        </is>
      </c>
      <c r="E4202" t="inlineStr">
        <is>
          <t>000202668</t>
        </is>
      </c>
      <c r="F4202" t="inlineStr">
        <is>
          <t>ALIANCA NAVEGACAO E LOGISTICA LTDA</t>
        </is>
      </c>
      <c r="G4202" s="27" t="n">
        <v>46248</v>
      </c>
      <c r="H4202" s="14" t="n">
        <v>154.84</v>
      </c>
      <c r="I4202" s="14" t="n">
        <v>0</v>
      </c>
      <c r="J4202" s="14" t="n">
        <v>10.84</v>
      </c>
      <c r="K4202" s="14" t="n">
        <v>0</v>
      </c>
      <c r="L4202" s="14" t="n">
        <v>0</v>
      </c>
      <c r="M4202" s="14">
        <f>IF(B4202="Frete de venda",0,(1-ISNUMBER(SEARCH("556",P4202)))*(I4202*VLOOKUP($B4202,Premissas!$A$4:$E$7,2,0)+J4202*VLOOKUP($B4202,Premissas!$A$4:$E$7,3,0))+K4202*VLOOKUP($B4202,Premissas!$A$4:$E$7,4,0)+L4202*VLOOKUP($B4202,Premissas!$A$4:$E$7,5,0))</f>
        <v/>
      </c>
      <c r="N4202" s="14">
        <f>H4202-M4202</f>
        <v/>
      </c>
      <c r="O4202" t="inlineStr">
        <is>
          <t>Sim</t>
        </is>
      </c>
      <c r="P4202" t="inlineStr">
        <is>
          <t>2.350</t>
        </is>
      </c>
    </row>
    <row r="4203">
      <c r="A4203" s="24" t="n">
        <v>46235</v>
      </c>
      <c r="B4203" t="inlineStr">
        <is>
          <t>Frete de compra</t>
        </is>
      </c>
      <c r="C4203" t="inlineStr">
        <is>
          <t>Frete de compra</t>
        </is>
      </c>
      <c r="D4203" t="inlineStr">
        <is>
          <t>CT-e</t>
        </is>
      </c>
      <c r="E4203" t="inlineStr">
        <is>
          <t>000202675</t>
        </is>
      </c>
      <c r="F4203" t="inlineStr">
        <is>
          <t>ALIANCA NAVEGACAO E LOGISTICA LTDA</t>
        </is>
      </c>
      <c r="G4203" s="27" t="n">
        <v>46248</v>
      </c>
      <c r="H4203" s="14" t="n">
        <v>464.52</v>
      </c>
      <c r="I4203" s="14" t="n">
        <v>0</v>
      </c>
      <c r="J4203" s="14" t="n">
        <v>32.52</v>
      </c>
      <c r="K4203" s="14" t="n">
        <v>0</v>
      </c>
      <c r="L4203" s="14" t="n">
        <v>0</v>
      </c>
      <c r="M4203" s="14">
        <f>IF(B4203="Frete de venda",0,(1-ISNUMBER(SEARCH("556",P4203)))*(I4203*VLOOKUP($B4203,Premissas!$A$4:$E$7,2,0)+J4203*VLOOKUP($B4203,Premissas!$A$4:$E$7,3,0))+K4203*VLOOKUP($B4203,Premissas!$A$4:$E$7,4,0)+L4203*VLOOKUP($B4203,Premissas!$A$4:$E$7,5,0))</f>
        <v/>
      </c>
      <c r="N4203" s="14">
        <f>H4203-M4203</f>
        <v/>
      </c>
      <c r="O4203" t="inlineStr">
        <is>
          <t>Sim</t>
        </is>
      </c>
      <c r="P4203" t="inlineStr">
        <is>
          <t>2.350</t>
        </is>
      </c>
    </row>
    <row r="4204">
      <c r="A4204" s="24" t="n">
        <v>46235</v>
      </c>
      <c r="B4204" t="inlineStr">
        <is>
          <t>Frete de compra</t>
        </is>
      </c>
      <c r="C4204" t="inlineStr">
        <is>
          <t>Frete de compra</t>
        </is>
      </c>
      <c r="D4204" t="inlineStr">
        <is>
          <t>CT-e</t>
        </is>
      </c>
      <c r="E4204" t="inlineStr">
        <is>
          <t>000202670</t>
        </is>
      </c>
      <c r="F4204" t="inlineStr">
        <is>
          <t>ALIANCA NAVEGACAO E LOGISTICA LTDA</t>
        </is>
      </c>
      <c r="G4204" s="27" t="n">
        <v>46248</v>
      </c>
      <c r="H4204" s="14" t="n">
        <v>154.84</v>
      </c>
      <c r="I4204" s="14" t="n">
        <v>0</v>
      </c>
      <c r="J4204" s="14" t="n">
        <v>10.84</v>
      </c>
      <c r="K4204" s="14" t="n">
        <v>0</v>
      </c>
      <c r="L4204" s="14" t="n">
        <v>0</v>
      </c>
      <c r="M4204" s="14">
        <f>IF(B4204="Frete de venda",0,(1-ISNUMBER(SEARCH("556",P4204)))*(I4204*VLOOKUP($B4204,Premissas!$A$4:$E$7,2,0)+J4204*VLOOKUP($B4204,Premissas!$A$4:$E$7,3,0))+K4204*VLOOKUP($B4204,Premissas!$A$4:$E$7,4,0)+L4204*VLOOKUP($B4204,Premissas!$A$4:$E$7,5,0))</f>
        <v/>
      </c>
      <c r="N4204" s="14">
        <f>H4204-M4204</f>
        <v/>
      </c>
      <c r="O4204" t="inlineStr">
        <is>
          <t>Sim</t>
        </is>
      </c>
      <c r="P4204" t="inlineStr">
        <is>
          <t>2.350</t>
        </is>
      </c>
    </row>
    <row r="4205">
      <c r="A4205" s="24" t="n">
        <v>46235</v>
      </c>
      <c r="B4205" t="inlineStr">
        <is>
          <t>Frete de compra</t>
        </is>
      </c>
      <c r="C4205" t="inlineStr">
        <is>
          <t>Frete de compra</t>
        </is>
      </c>
      <c r="D4205" t="inlineStr">
        <is>
          <t>CT-e</t>
        </is>
      </c>
      <c r="E4205" t="inlineStr">
        <is>
          <t>000202677</t>
        </is>
      </c>
      <c r="F4205" t="inlineStr">
        <is>
          <t>ALIANCA NAVEGACAO E LOGISTICA LTDA</t>
        </is>
      </c>
      <c r="G4205" s="27" t="n">
        <v>46248</v>
      </c>
      <c r="H4205" s="14" t="n">
        <v>619.35</v>
      </c>
      <c r="I4205" s="14" t="n">
        <v>0</v>
      </c>
      <c r="J4205" s="14" t="n">
        <v>43.35</v>
      </c>
      <c r="K4205" s="14" t="n">
        <v>0</v>
      </c>
      <c r="L4205" s="14" t="n">
        <v>0</v>
      </c>
      <c r="M4205" s="14">
        <f>IF(B4205="Frete de venda",0,(1-ISNUMBER(SEARCH("556",P4205)))*(I4205*VLOOKUP($B4205,Premissas!$A$4:$E$7,2,0)+J4205*VLOOKUP($B4205,Premissas!$A$4:$E$7,3,0))+K4205*VLOOKUP($B4205,Premissas!$A$4:$E$7,4,0)+L4205*VLOOKUP($B4205,Premissas!$A$4:$E$7,5,0))</f>
        <v/>
      </c>
      <c r="N4205" s="14">
        <f>H4205-M4205</f>
        <v/>
      </c>
      <c r="O4205" t="inlineStr">
        <is>
          <t>Sim</t>
        </is>
      </c>
      <c r="P4205" t="inlineStr">
        <is>
          <t>2.350</t>
        </is>
      </c>
    </row>
    <row r="4206">
      <c r="A4206" s="24" t="n">
        <v>46235</v>
      </c>
      <c r="B4206" t="inlineStr">
        <is>
          <t>Frete de compra</t>
        </is>
      </c>
      <c r="C4206" t="inlineStr">
        <is>
          <t>Frete de compra</t>
        </is>
      </c>
      <c r="D4206" t="inlineStr">
        <is>
          <t>CT-e</t>
        </is>
      </c>
      <c r="E4206" t="inlineStr">
        <is>
          <t>000202678</t>
        </is>
      </c>
      <c r="F4206" t="inlineStr">
        <is>
          <t>ALIANCA NAVEGACAO E LOGISTICA LTDA</t>
        </is>
      </c>
      <c r="G4206" s="27" t="n">
        <v>46248</v>
      </c>
      <c r="H4206" s="14" t="n">
        <v>619.35</v>
      </c>
      <c r="I4206" s="14" t="n">
        <v>0</v>
      </c>
      <c r="J4206" s="14" t="n">
        <v>43.35</v>
      </c>
      <c r="K4206" s="14" t="n">
        <v>0</v>
      </c>
      <c r="L4206" s="14" t="n">
        <v>0</v>
      </c>
      <c r="M4206" s="14">
        <f>IF(B4206="Frete de venda",0,(1-ISNUMBER(SEARCH("556",P4206)))*(I4206*VLOOKUP($B4206,Premissas!$A$4:$E$7,2,0)+J4206*VLOOKUP($B4206,Premissas!$A$4:$E$7,3,0))+K4206*VLOOKUP($B4206,Premissas!$A$4:$E$7,4,0)+L4206*VLOOKUP($B4206,Premissas!$A$4:$E$7,5,0))</f>
        <v/>
      </c>
      <c r="N4206" s="14">
        <f>H4206-M4206</f>
        <v/>
      </c>
      <c r="O4206" t="inlineStr">
        <is>
          <t>Sim</t>
        </is>
      </c>
      <c r="P4206" t="inlineStr">
        <is>
          <t>2.350</t>
        </is>
      </c>
    </row>
    <row r="4207">
      <c r="A4207" s="24" t="n">
        <v>46235</v>
      </c>
      <c r="B4207" t="inlineStr">
        <is>
          <t>Frete de compra</t>
        </is>
      </c>
      <c r="C4207" t="inlineStr">
        <is>
          <t>Frete de compra</t>
        </is>
      </c>
      <c r="D4207" t="inlineStr">
        <is>
          <t>CT-e</t>
        </is>
      </c>
      <c r="E4207" t="inlineStr">
        <is>
          <t>000203478</t>
        </is>
      </c>
      <c r="F4207" t="inlineStr">
        <is>
          <t>ALIANCA NAVEGACAO E LOGISTICA LTDA</t>
        </is>
      </c>
      <c r="G4207" s="27" t="n">
        <v>46265</v>
      </c>
      <c r="H4207" s="14" t="n">
        <v>23324.05</v>
      </c>
      <c r="I4207" s="14" t="n">
        <v>0</v>
      </c>
      <c r="J4207" s="14" t="n">
        <v>1632.68</v>
      </c>
      <c r="K4207" s="14" t="n">
        <v>0</v>
      </c>
      <c r="L4207" s="14" t="n">
        <v>0</v>
      </c>
      <c r="M4207" s="14">
        <f>IF(B4207="Frete de venda",0,(1-ISNUMBER(SEARCH("556",P4207)))*(I4207*VLOOKUP($B4207,Premissas!$A$4:$E$7,2,0)+J4207*VLOOKUP($B4207,Premissas!$A$4:$E$7,3,0))+K4207*VLOOKUP($B4207,Premissas!$A$4:$E$7,4,0)+L4207*VLOOKUP($B4207,Premissas!$A$4:$E$7,5,0))</f>
        <v/>
      </c>
      <c r="N4207" s="14">
        <f>H4207-M4207</f>
        <v/>
      </c>
      <c r="O4207" t="inlineStr">
        <is>
          <t>Sim</t>
        </is>
      </c>
      <c r="P4207" t="inlineStr">
        <is>
          <t>2.350</t>
        </is>
      </c>
    </row>
    <row r="4208">
      <c r="A4208" s="24" t="n">
        <v>46235</v>
      </c>
      <c r="B4208" t="inlineStr">
        <is>
          <t>Frete de venda</t>
        </is>
      </c>
      <c r="C4208" t="inlineStr">
        <is>
          <t>Frete de venda (para clientes)</t>
        </is>
      </c>
      <c r="D4208" t="inlineStr">
        <is>
          <t>CT-e</t>
        </is>
      </c>
      <c r="E4208" t="inlineStr">
        <is>
          <t>000229218</t>
        </is>
      </c>
      <c r="F4208" t="inlineStr">
        <is>
          <t>CAZAN TRANSPORTES LTDA</t>
        </is>
      </c>
      <c r="G4208" s="27" t="n">
        <v>46246</v>
      </c>
      <c r="H4208" s="14" t="n">
        <v>254.04</v>
      </c>
      <c r="I4208" s="14" t="n">
        <v>0</v>
      </c>
      <c r="J4208" s="14" t="n">
        <v>17.78</v>
      </c>
      <c r="K4208" s="14" t="n">
        <v>0</v>
      </c>
      <c r="L4208" s="14" t="n">
        <v>0</v>
      </c>
      <c r="M4208" s="14">
        <f>IF(B4208="Frete de venda",0,(1-ISNUMBER(SEARCH("556",P4208)))*(I4208*VLOOKUP($B4208,Premissas!$A$4:$E$7,2,0)+J4208*VLOOKUP($B4208,Premissas!$A$4:$E$7,3,0))+K4208*VLOOKUP($B4208,Premissas!$A$4:$E$7,4,0)+L4208*VLOOKUP($B4208,Premissas!$A$4:$E$7,5,0))</f>
        <v/>
      </c>
      <c r="N4208" s="14">
        <f>H4208-M4208</f>
        <v/>
      </c>
      <c r="O4208" t="inlineStr">
        <is>
          <t>Sim</t>
        </is>
      </c>
      <c r="P4208" t="inlineStr">
        <is>
          <t>2.350</t>
        </is>
      </c>
    </row>
    <row r="4209">
      <c r="A4209" s="24" t="n">
        <v>46235</v>
      </c>
      <c r="B4209" t="inlineStr">
        <is>
          <t>Frete de venda</t>
        </is>
      </c>
      <c r="C4209" t="inlineStr">
        <is>
          <t>Frete de venda (para clientes)</t>
        </is>
      </c>
      <c r="D4209" t="inlineStr">
        <is>
          <t>CT-e</t>
        </is>
      </c>
      <c r="E4209" t="inlineStr">
        <is>
          <t>000229245</t>
        </is>
      </c>
      <c r="F4209" t="inlineStr">
        <is>
          <t>CAZAN TRANSPORTES LTDA</t>
        </is>
      </c>
      <c r="G4209" s="27" t="n">
        <v>46246</v>
      </c>
      <c r="H4209" s="14" t="n">
        <v>145.91</v>
      </c>
      <c r="I4209" s="14" t="n">
        <v>0</v>
      </c>
      <c r="J4209" s="14" t="n">
        <v>10.21</v>
      </c>
      <c r="K4209" s="14" t="n">
        <v>0</v>
      </c>
      <c r="L4209" s="14" t="n">
        <v>0</v>
      </c>
      <c r="M4209" s="14">
        <f>IF(B4209="Frete de venda",0,(1-ISNUMBER(SEARCH("556",P4209)))*(I4209*VLOOKUP($B4209,Premissas!$A$4:$E$7,2,0)+J4209*VLOOKUP($B4209,Premissas!$A$4:$E$7,3,0))+K4209*VLOOKUP($B4209,Premissas!$A$4:$E$7,4,0)+L4209*VLOOKUP($B4209,Premissas!$A$4:$E$7,5,0))</f>
        <v/>
      </c>
      <c r="N4209" s="14">
        <f>H4209-M4209</f>
        <v/>
      </c>
      <c r="O4209" t="inlineStr">
        <is>
          <t>Sim</t>
        </is>
      </c>
      <c r="P4209" t="inlineStr">
        <is>
          <t>2.350</t>
        </is>
      </c>
    </row>
    <row r="4210">
      <c r="A4210" s="24" t="n">
        <v>46235</v>
      </c>
      <c r="B4210" t="inlineStr">
        <is>
          <t>Frete de venda</t>
        </is>
      </c>
      <c r="C4210" t="inlineStr">
        <is>
          <t>Frete de venda (para clientes)</t>
        </is>
      </c>
      <c r="D4210" t="inlineStr">
        <is>
          <t>CT-e</t>
        </is>
      </c>
      <c r="E4210" t="inlineStr">
        <is>
          <t>000049874</t>
        </is>
      </c>
      <c r="F4210" t="inlineStr">
        <is>
          <t>GLOBAL AIR CARGO LTDA</t>
        </is>
      </c>
      <c r="G4210" s="27" t="n">
        <v>46241</v>
      </c>
      <c r="H4210" s="14" t="n">
        <v>319.22</v>
      </c>
      <c r="I4210" s="14" t="n">
        <v>0</v>
      </c>
      <c r="J4210" s="14" t="n">
        <v>22.35</v>
      </c>
      <c r="K4210" s="14" t="n">
        <v>0</v>
      </c>
      <c r="L4210" s="14" t="n">
        <v>0</v>
      </c>
      <c r="M4210" s="14">
        <f>IF(B4210="Frete de venda",0,(1-ISNUMBER(SEARCH("556",P4210)))*(I4210*VLOOKUP($B4210,Premissas!$A$4:$E$7,2,0)+J4210*VLOOKUP($B4210,Premissas!$A$4:$E$7,3,0))+K4210*VLOOKUP($B4210,Premissas!$A$4:$E$7,4,0)+L4210*VLOOKUP($B4210,Premissas!$A$4:$E$7,5,0))</f>
        <v/>
      </c>
      <c r="N4210" s="14">
        <f>H4210-M4210</f>
        <v/>
      </c>
      <c r="O4210" t="inlineStr">
        <is>
          <t>Sim</t>
        </is>
      </c>
      <c r="P4210" t="inlineStr">
        <is>
          <t>2.350</t>
        </is>
      </c>
    </row>
    <row r="4211">
      <c r="A4211" s="24" t="n">
        <v>46235</v>
      </c>
      <c r="B4211" t="inlineStr">
        <is>
          <t>Frete de venda</t>
        </is>
      </c>
      <c r="C4211" t="inlineStr">
        <is>
          <t>Frete de venda (para clientes)</t>
        </is>
      </c>
      <c r="D4211" t="inlineStr">
        <is>
          <t>CT-e</t>
        </is>
      </c>
      <c r="E4211" t="inlineStr">
        <is>
          <t>000000409</t>
        </is>
      </c>
      <c r="F4211" t="inlineStr">
        <is>
          <t>DURA MAIS TRANSPORTES LTDA</t>
        </is>
      </c>
      <c r="G4211" s="27" t="n">
        <v>46262</v>
      </c>
      <c r="H4211" s="14" t="n">
        <v>464.06</v>
      </c>
      <c r="I4211" s="14" t="n">
        <v>0</v>
      </c>
      <c r="J4211" s="14" t="n">
        <v>55.69</v>
      </c>
      <c r="K4211" s="14" t="n">
        <v>0</v>
      </c>
      <c r="L4211" s="14" t="n">
        <v>0</v>
      </c>
      <c r="M4211" s="14">
        <f>IF(B4211="Frete de venda",0,(1-ISNUMBER(SEARCH("556",P4211)))*(I4211*VLOOKUP($B4211,Premissas!$A$4:$E$7,2,0)+J4211*VLOOKUP($B4211,Premissas!$A$4:$E$7,3,0))+K4211*VLOOKUP($B4211,Premissas!$A$4:$E$7,4,0)+L4211*VLOOKUP($B4211,Premissas!$A$4:$E$7,5,0))</f>
        <v/>
      </c>
      <c r="N4211" s="14">
        <f>H4211-M4211</f>
        <v/>
      </c>
      <c r="O4211" t="inlineStr">
        <is>
          <t>Sim</t>
        </is>
      </c>
      <c r="P4211" t="inlineStr">
        <is>
          <t>2.350</t>
        </is>
      </c>
    </row>
    <row r="4212">
      <c r="A4212" s="24" t="n">
        <v>46235</v>
      </c>
      <c r="B4212" t="inlineStr">
        <is>
          <t>Frete de venda</t>
        </is>
      </c>
      <c r="C4212" t="inlineStr">
        <is>
          <t>Frete de venda (para clientes)</t>
        </is>
      </c>
      <c r="D4212" t="inlineStr">
        <is>
          <t>CT-e</t>
        </is>
      </c>
      <c r="E4212" t="inlineStr">
        <is>
          <t>000007902</t>
        </is>
      </c>
      <c r="F4212" t="inlineStr">
        <is>
          <t>R&amp;R TRANSPORTE E LOGISTICA</t>
        </is>
      </c>
      <c r="G4212" s="27" t="n">
        <v>46253</v>
      </c>
      <c r="H4212" s="14" t="n">
        <v>375</v>
      </c>
      <c r="I4212" s="14" t="n">
        <v>0</v>
      </c>
      <c r="J4212" s="14" t="n">
        <v>0</v>
      </c>
      <c r="K4212" s="14" t="n">
        <v>0</v>
      </c>
      <c r="L4212" s="14" t="n">
        <v>0</v>
      </c>
      <c r="M4212" s="14">
        <f>IF(B4212="Frete de venda",0,(1-ISNUMBER(SEARCH("556",P4212)))*(I4212*VLOOKUP($B4212,Premissas!$A$4:$E$7,2,0)+J4212*VLOOKUP($B4212,Premissas!$A$4:$E$7,3,0))+K4212*VLOOKUP($B4212,Premissas!$A$4:$E$7,4,0)+L4212*VLOOKUP($B4212,Premissas!$A$4:$E$7,5,0))</f>
        <v/>
      </c>
      <c r="N4212" s="14">
        <f>H4212-M4212</f>
        <v/>
      </c>
      <c r="O4212" t="inlineStr">
        <is>
          <t>Sim</t>
        </is>
      </c>
      <c r="P4212" t="inlineStr">
        <is>
          <t>2.350</t>
        </is>
      </c>
    </row>
    <row r="4213">
      <c r="A4213" s="24" t="n">
        <v>46235</v>
      </c>
      <c r="B4213" t="inlineStr">
        <is>
          <t>Frete de venda</t>
        </is>
      </c>
      <c r="C4213" t="inlineStr">
        <is>
          <t>Frete de venda (para clientes)</t>
        </is>
      </c>
      <c r="D4213" t="inlineStr">
        <is>
          <t>CT-e</t>
        </is>
      </c>
      <c r="E4213" t="inlineStr">
        <is>
          <t>000007929</t>
        </is>
      </c>
      <c r="F4213" t="inlineStr">
        <is>
          <t>R&amp;R TRANSPORTE E LOGISTICA</t>
        </is>
      </c>
      <c r="G4213" s="27" t="n">
        <v>46259</v>
      </c>
      <c r="H4213" s="14" t="n">
        <v>800</v>
      </c>
      <c r="I4213" s="14" t="n">
        <v>0</v>
      </c>
      <c r="J4213" s="14" t="n">
        <v>0</v>
      </c>
      <c r="K4213" s="14" t="n">
        <v>0</v>
      </c>
      <c r="L4213" s="14" t="n">
        <v>0</v>
      </c>
      <c r="M4213" s="14">
        <f>IF(B4213="Frete de venda",0,(1-ISNUMBER(SEARCH("556",P4213)))*(I4213*VLOOKUP($B4213,Premissas!$A$4:$E$7,2,0)+J4213*VLOOKUP($B4213,Premissas!$A$4:$E$7,3,0))+K4213*VLOOKUP($B4213,Premissas!$A$4:$E$7,4,0)+L4213*VLOOKUP($B4213,Premissas!$A$4:$E$7,5,0))</f>
        <v/>
      </c>
      <c r="N4213" s="14">
        <f>H4213-M4213</f>
        <v/>
      </c>
      <c r="O4213" t="inlineStr">
        <is>
          <t>Sim</t>
        </is>
      </c>
      <c r="P4213" t="inlineStr">
        <is>
          <t>2.350</t>
        </is>
      </c>
    </row>
    <row r="4214">
      <c r="A4214" s="24" t="n">
        <v>46235</v>
      </c>
      <c r="B4214" t="inlineStr">
        <is>
          <t>Frete de venda</t>
        </is>
      </c>
      <c r="C4214" t="inlineStr">
        <is>
          <t>Frete de venda (para clientes)</t>
        </is>
      </c>
      <c r="D4214" t="inlineStr">
        <is>
          <t>CT-e</t>
        </is>
      </c>
      <c r="E4214" t="inlineStr">
        <is>
          <t>000000151</t>
        </is>
      </c>
      <c r="F4214" t="inlineStr">
        <is>
          <t>DURA MAIS TRANSPORTES LTDA</t>
        </is>
      </c>
      <c r="G4214" s="27" t="n">
        <v>46240</v>
      </c>
      <c r="H4214" s="14" t="n">
        <v>4725</v>
      </c>
      <c r="I4214" s="14" t="n">
        <v>0</v>
      </c>
      <c r="J4214" s="14" t="n">
        <v>567</v>
      </c>
      <c r="K4214" s="14" t="n">
        <v>0</v>
      </c>
      <c r="L4214" s="14" t="n">
        <v>0</v>
      </c>
      <c r="M4214" s="14">
        <f>IF(B4214="Frete de venda",0,(1-ISNUMBER(SEARCH("556",P4214)))*(I4214*VLOOKUP($B4214,Premissas!$A$4:$E$7,2,0)+J4214*VLOOKUP($B4214,Premissas!$A$4:$E$7,3,0))+K4214*VLOOKUP($B4214,Premissas!$A$4:$E$7,4,0)+L4214*VLOOKUP($B4214,Premissas!$A$4:$E$7,5,0))</f>
        <v/>
      </c>
      <c r="N4214" s="14">
        <f>H4214-M4214</f>
        <v/>
      </c>
      <c r="O4214" t="inlineStr">
        <is>
          <t>Sim</t>
        </is>
      </c>
      <c r="P4214" t="inlineStr">
        <is>
          <t>1.350</t>
        </is>
      </c>
    </row>
    <row r="4215">
      <c r="A4215" s="24" t="n">
        <v>46235</v>
      </c>
      <c r="B4215" t="inlineStr">
        <is>
          <t>Frete de venda</t>
        </is>
      </c>
      <c r="C4215" t="inlineStr">
        <is>
          <t>Frete de venda (para clientes)</t>
        </is>
      </c>
      <c r="D4215" t="inlineStr">
        <is>
          <t>CT-e</t>
        </is>
      </c>
      <c r="E4215" t="inlineStr">
        <is>
          <t>000000407</t>
        </is>
      </c>
      <c r="F4215" t="inlineStr">
        <is>
          <t>DURA MAIS TRANSPORTES LTDA</t>
        </is>
      </c>
      <c r="G4215" s="27" t="n">
        <v>46262</v>
      </c>
      <c r="H4215" s="14" t="n">
        <v>464.06</v>
      </c>
      <c r="I4215" s="14" t="n">
        <v>0</v>
      </c>
      <c r="J4215" s="14" t="n">
        <v>55.69</v>
      </c>
      <c r="K4215" s="14" t="n">
        <v>0</v>
      </c>
      <c r="L4215" s="14" t="n">
        <v>0</v>
      </c>
      <c r="M4215" s="14">
        <f>IF(B4215="Frete de venda",0,(1-ISNUMBER(SEARCH("556",P4215)))*(I4215*VLOOKUP($B4215,Premissas!$A$4:$E$7,2,0)+J4215*VLOOKUP($B4215,Premissas!$A$4:$E$7,3,0))+K4215*VLOOKUP($B4215,Premissas!$A$4:$E$7,4,0)+L4215*VLOOKUP($B4215,Premissas!$A$4:$E$7,5,0))</f>
        <v/>
      </c>
      <c r="N4215" s="14">
        <f>H4215-M4215</f>
        <v/>
      </c>
      <c r="O4215" t="inlineStr">
        <is>
          <t>Sim</t>
        </is>
      </c>
      <c r="P4215" t="inlineStr">
        <is>
          <t>2.350</t>
        </is>
      </c>
    </row>
    <row r="4216">
      <c r="A4216" s="24" t="n">
        <v>46235</v>
      </c>
      <c r="B4216" t="inlineStr">
        <is>
          <t>Frete de venda</t>
        </is>
      </c>
      <c r="C4216" t="inlineStr">
        <is>
          <t>Frete de venda (para clientes)</t>
        </is>
      </c>
      <c r="D4216" t="inlineStr">
        <is>
          <t>CT-e</t>
        </is>
      </c>
      <c r="E4216" t="inlineStr">
        <is>
          <t>000000218</t>
        </is>
      </c>
      <c r="F4216" t="inlineStr">
        <is>
          <t>DURA MAIS TRANSPORTES LTDA</t>
        </is>
      </c>
      <c r="G4216" s="27" t="n">
        <v>46249</v>
      </c>
      <c r="H4216" s="14" t="n">
        <v>408.55</v>
      </c>
      <c r="I4216" s="14" t="n">
        <v>0</v>
      </c>
      <c r="J4216" s="14" t="n">
        <v>49.03</v>
      </c>
      <c r="K4216" s="14" t="n">
        <v>0</v>
      </c>
      <c r="L4216" s="14" t="n">
        <v>0</v>
      </c>
      <c r="M4216" s="14">
        <f>IF(B4216="Frete de venda",0,(1-ISNUMBER(SEARCH("556",P4216)))*(I4216*VLOOKUP($B4216,Premissas!$A$4:$E$7,2,0)+J4216*VLOOKUP($B4216,Premissas!$A$4:$E$7,3,0))+K4216*VLOOKUP($B4216,Premissas!$A$4:$E$7,4,0)+L4216*VLOOKUP($B4216,Premissas!$A$4:$E$7,5,0))</f>
        <v/>
      </c>
      <c r="N4216" s="14">
        <f>H4216-M4216</f>
        <v/>
      </c>
      <c r="O4216" t="inlineStr">
        <is>
          <t>Sim</t>
        </is>
      </c>
      <c r="P4216" t="inlineStr">
        <is>
          <t>2.350</t>
        </is>
      </c>
    </row>
    <row r="4217">
      <c r="A4217" s="24" t="n">
        <v>46235</v>
      </c>
      <c r="B4217" t="inlineStr">
        <is>
          <t>Frete de venda</t>
        </is>
      </c>
      <c r="C4217" t="inlineStr">
        <is>
          <t>Frete de venda (para clientes)</t>
        </is>
      </c>
      <c r="D4217" t="inlineStr">
        <is>
          <t>CT-e</t>
        </is>
      </c>
      <c r="E4217" t="inlineStr">
        <is>
          <t>000000273</t>
        </is>
      </c>
      <c r="F4217" t="inlineStr">
        <is>
          <t>DURA MAIS TRANSPORTES LTDA</t>
        </is>
      </c>
      <c r="G4217" s="27" t="n">
        <v>46254</v>
      </c>
      <c r="H4217" s="14" t="n">
        <v>1150</v>
      </c>
      <c r="I4217" s="14" t="n">
        <v>0</v>
      </c>
      <c r="J4217" s="14" t="n">
        <v>138</v>
      </c>
      <c r="K4217" s="14" t="n">
        <v>0</v>
      </c>
      <c r="L4217" s="14" t="n">
        <v>0</v>
      </c>
      <c r="M4217" s="14">
        <f>IF(B4217="Frete de venda",0,(1-ISNUMBER(SEARCH("556",P4217)))*(I4217*VLOOKUP($B4217,Premissas!$A$4:$E$7,2,0)+J4217*VLOOKUP($B4217,Premissas!$A$4:$E$7,3,0))+K4217*VLOOKUP($B4217,Premissas!$A$4:$E$7,4,0)+L4217*VLOOKUP($B4217,Premissas!$A$4:$E$7,5,0))</f>
        <v/>
      </c>
      <c r="N4217" s="14">
        <f>H4217-M4217</f>
        <v/>
      </c>
      <c r="O4217" t="inlineStr">
        <is>
          <t>Sim</t>
        </is>
      </c>
      <c r="P4217" t="inlineStr">
        <is>
          <t>2.350</t>
        </is>
      </c>
    </row>
    <row r="4218">
      <c r="A4218" s="24" t="n">
        <v>46235</v>
      </c>
      <c r="B4218" t="inlineStr">
        <is>
          <t>Frete de venda</t>
        </is>
      </c>
      <c r="C4218" t="inlineStr">
        <is>
          <t>Frete de venda (para clientes)</t>
        </is>
      </c>
      <c r="D4218" t="inlineStr">
        <is>
          <t>CT-e</t>
        </is>
      </c>
      <c r="E4218" t="inlineStr">
        <is>
          <t>000004863</t>
        </is>
      </c>
      <c r="F4218" t="inlineStr">
        <is>
          <t>RAPIDO XAPURI TRANSPORTES E LOGISTICA LTDA</t>
        </is>
      </c>
      <c r="G4218" s="27" t="n">
        <v>46251</v>
      </c>
      <c r="H4218" s="14" t="n">
        <v>534.36</v>
      </c>
      <c r="I4218" s="14" t="n">
        <v>0</v>
      </c>
      <c r="J4218" s="14" t="n">
        <v>64.12</v>
      </c>
      <c r="K4218" s="14" t="n">
        <v>0</v>
      </c>
      <c r="L4218" s="14" t="n">
        <v>0</v>
      </c>
      <c r="M4218" s="14">
        <f>IF(B4218="Frete de venda",0,(1-ISNUMBER(SEARCH("556",P4218)))*(I4218*VLOOKUP($B4218,Premissas!$A$4:$E$7,2,0)+J4218*VLOOKUP($B4218,Premissas!$A$4:$E$7,3,0))+K4218*VLOOKUP($B4218,Premissas!$A$4:$E$7,4,0)+L4218*VLOOKUP($B4218,Premissas!$A$4:$E$7,5,0))</f>
        <v/>
      </c>
      <c r="N4218" s="14">
        <f>H4218-M4218</f>
        <v/>
      </c>
      <c r="O4218" t="inlineStr">
        <is>
          <t>Sim</t>
        </is>
      </c>
      <c r="P4218" t="inlineStr">
        <is>
          <t>2.350</t>
        </is>
      </c>
    </row>
    <row r="4219">
      <c r="A4219" s="24" t="n">
        <v>46235</v>
      </c>
      <c r="B4219" t="inlineStr">
        <is>
          <t>Frete de venda</t>
        </is>
      </c>
      <c r="C4219" t="inlineStr">
        <is>
          <t>Frete de venda (para clientes)</t>
        </is>
      </c>
      <c r="D4219" t="inlineStr">
        <is>
          <t>CT-e</t>
        </is>
      </c>
      <c r="E4219" t="inlineStr">
        <is>
          <t>000000311</t>
        </is>
      </c>
      <c r="F4219" t="inlineStr">
        <is>
          <t>DURA MAIS TRANSPORTES LTDA</t>
        </is>
      </c>
      <c r="G4219" s="27" t="n">
        <v>46255</v>
      </c>
      <c r="H4219" s="14" t="n">
        <v>1080</v>
      </c>
      <c r="I4219" s="14" t="n">
        <v>0</v>
      </c>
      <c r="J4219" s="14" t="n">
        <v>129.6</v>
      </c>
      <c r="K4219" s="14" t="n">
        <v>0</v>
      </c>
      <c r="L4219" s="14" t="n">
        <v>0</v>
      </c>
      <c r="M4219" s="14">
        <f>IF(B4219="Frete de venda",0,(1-ISNUMBER(SEARCH("556",P4219)))*(I4219*VLOOKUP($B4219,Premissas!$A$4:$E$7,2,0)+J4219*VLOOKUP($B4219,Premissas!$A$4:$E$7,3,0))+K4219*VLOOKUP($B4219,Premissas!$A$4:$E$7,4,0)+L4219*VLOOKUP($B4219,Premissas!$A$4:$E$7,5,0))</f>
        <v/>
      </c>
      <c r="N4219" s="14">
        <f>H4219-M4219</f>
        <v/>
      </c>
      <c r="O4219" t="inlineStr">
        <is>
          <t>Sim</t>
        </is>
      </c>
      <c r="P4219" t="inlineStr">
        <is>
          <t>2.350</t>
        </is>
      </c>
    </row>
    <row r="4220">
      <c r="A4220" s="24" t="n">
        <v>46235</v>
      </c>
      <c r="B4220" t="inlineStr">
        <is>
          <t>Frete de venda</t>
        </is>
      </c>
      <c r="C4220" t="inlineStr">
        <is>
          <t>Frete de venda (para clientes)</t>
        </is>
      </c>
      <c r="D4220" t="inlineStr">
        <is>
          <t>CT-e</t>
        </is>
      </c>
      <c r="E4220" t="inlineStr">
        <is>
          <t>000000418</t>
        </is>
      </c>
      <c r="F4220" t="inlineStr">
        <is>
          <t>DURA MAIS TRANSPORTES LTDA</t>
        </is>
      </c>
      <c r="G4220" s="27" t="n">
        <v>46262</v>
      </c>
      <c r="H4220" s="14" t="n">
        <v>464.06</v>
      </c>
      <c r="I4220" s="14" t="n">
        <v>0</v>
      </c>
      <c r="J4220" s="14" t="n">
        <v>55.69</v>
      </c>
      <c r="K4220" s="14" t="n">
        <v>0</v>
      </c>
      <c r="L4220" s="14" t="n">
        <v>0</v>
      </c>
      <c r="M4220" s="14">
        <f>IF(B4220="Frete de venda",0,(1-ISNUMBER(SEARCH("556",P4220)))*(I4220*VLOOKUP($B4220,Premissas!$A$4:$E$7,2,0)+J4220*VLOOKUP($B4220,Premissas!$A$4:$E$7,3,0))+K4220*VLOOKUP($B4220,Premissas!$A$4:$E$7,4,0)+L4220*VLOOKUP($B4220,Premissas!$A$4:$E$7,5,0))</f>
        <v/>
      </c>
      <c r="N4220" s="14">
        <f>H4220-M4220</f>
        <v/>
      </c>
      <c r="O4220" t="inlineStr">
        <is>
          <t>Sim</t>
        </is>
      </c>
      <c r="P4220" t="inlineStr">
        <is>
          <t>2.350</t>
        </is>
      </c>
    </row>
    <row r="4221">
      <c r="A4221" s="24" t="n">
        <v>46235</v>
      </c>
      <c r="B4221" t="inlineStr">
        <is>
          <t>Frete de venda</t>
        </is>
      </c>
      <c r="C4221" t="inlineStr">
        <is>
          <t>Frete de venda (para clientes)</t>
        </is>
      </c>
      <c r="D4221" t="inlineStr">
        <is>
          <t>CT-e</t>
        </is>
      </c>
      <c r="E4221" t="inlineStr">
        <is>
          <t>000000180</t>
        </is>
      </c>
      <c r="F4221" t="inlineStr">
        <is>
          <t>DURA MAIS TRANSPORTES LTDA</t>
        </is>
      </c>
      <c r="G4221" s="27" t="n">
        <v>46246</v>
      </c>
      <c r="H4221" s="14" t="n">
        <v>560</v>
      </c>
      <c r="I4221" s="14" t="n">
        <v>0</v>
      </c>
      <c r="J4221" s="14" t="n">
        <v>67.2</v>
      </c>
      <c r="K4221" s="14" t="n">
        <v>0</v>
      </c>
      <c r="L4221" s="14" t="n">
        <v>0</v>
      </c>
      <c r="M4221" s="14">
        <f>IF(B4221="Frete de venda",0,(1-ISNUMBER(SEARCH("556",P4221)))*(I4221*VLOOKUP($B4221,Premissas!$A$4:$E$7,2,0)+J4221*VLOOKUP($B4221,Premissas!$A$4:$E$7,3,0))+K4221*VLOOKUP($B4221,Premissas!$A$4:$E$7,4,0)+L4221*VLOOKUP($B4221,Premissas!$A$4:$E$7,5,0))</f>
        <v/>
      </c>
      <c r="N4221" s="14">
        <f>H4221-M4221</f>
        <v/>
      </c>
      <c r="O4221" t="inlineStr">
        <is>
          <t>Sim</t>
        </is>
      </c>
      <c r="P4221" t="inlineStr">
        <is>
          <t>2.350</t>
        </is>
      </c>
    </row>
    <row r="4222">
      <c r="A4222" s="24" t="n">
        <v>46235</v>
      </c>
      <c r="B4222" t="inlineStr">
        <is>
          <t>Frete de venda</t>
        </is>
      </c>
      <c r="C4222" t="inlineStr">
        <is>
          <t>Frete de venda (para clientes)</t>
        </is>
      </c>
      <c r="D4222" t="inlineStr">
        <is>
          <t>CT-e</t>
        </is>
      </c>
      <c r="E4222" t="inlineStr">
        <is>
          <t>000000192</t>
        </is>
      </c>
      <c r="F4222" t="inlineStr">
        <is>
          <t>DURA MAIS TRANSPORTES LTDA</t>
        </is>
      </c>
      <c r="G4222" s="27" t="n">
        <v>46246</v>
      </c>
      <c r="H4222" s="14" t="n">
        <v>260</v>
      </c>
      <c r="I4222" s="14" t="n">
        <v>0</v>
      </c>
      <c r="J4222" s="14" t="n">
        <v>31.2</v>
      </c>
      <c r="K4222" s="14" t="n">
        <v>0</v>
      </c>
      <c r="L4222" s="14" t="n">
        <v>0</v>
      </c>
      <c r="M4222" s="14">
        <f>IF(B4222="Frete de venda",0,(1-ISNUMBER(SEARCH("556",P4222)))*(I4222*VLOOKUP($B4222,Premissas!$A$4:$E$7,2,0)+J4222*VLOOKUP($B4222,Premissas!$A$4:$E$7,3,0))+K4222*VLOOKUP($B4222,Premissas!$A$4:$E$7,4,0)+L4222*VLOOKUP($B4222,Premissas!$A$4:$E$7,5,0))</f>
        <v/>
      </c>
      <c r="N4222" s="14">
        <f>H4222-M4222</f>
        <v/>
      </c>
      <c r="O4222" t="inlineStr">
        <is>
          <t>Sim</t>
        </is>
      </c>
      <c r="P4222" t="inlineStr">
        <is>
          <t>2.350</t>
        </is>
      </c>
    </row>
    <row r="4223">
      <c r="A4223" s="24" t="n">
        <v>46235</v>
      </c>
      <c r="B4223" t="inlineStr">
        <is>
          <t>Frete de venda</t>
        </is>
      </c>
      <c r="C4223" t="inlineStr">
        <is>
          <t>Frete de venda (para clientes)</t>
        </is>
      </c>
      <c r="D4223" t="inlineStr">
        <is>
          <t>CT-e</t>
        </is>
      </c>
      <c r="E4223" t="inlineStr">
        <is>
          <t>000000191</t>
        </is>
      </c>
      <c r="F4223" t="inlineStr">
        <is>
          <t>DURA MAIS TRANSPORTES LTDA</t>
        </is>
      </c>
      <c r="G4223" s="27" t="n">
        <v>46246</v>
      </c>
      <c r="H4223" s="14" t="n">
        <v>300</v>
      </c>
      <c r="I4223" s="14" t="n">
        <v>0</v>
      </c>
      <c r="J4223" s="14" t="n">
        <v>36</v>
      </c>
      <c r="K4223" s="14" t="n">
        <v>0</v>
      </c>
      <c r="L4223" s="14" t="n">
        <v>0</v>
      </c>
      <c r="M4223" s="14">
        <f>IF(B4223="Frete de venda",0,(1-ISNUMBER(SEARCH("556",P4223)))*(I4223*VLOOKUP($B4223,Premissas!$A$4:$E$7,2,0)+J4223*VLOOKUP($B4223,Premissas!$A$4:$E$7,3,0))+K4223*VLOOKUP($B4223,Premissas!$A$4:$E$7,4,0)+L4223*VLOOKUP($B4223,Premissas!$A$4:$E$7,5,0))</f>
        <v/>
      </c>
      <c r="N4223" s="14">
        <f>H4223-M4223</f>
        <v/>
      </c>
      <c r="O4223" t="inlineStr">
        <is>
          <t>Sim</t>
        </is>
      </c>
      <c r="P4223" t="inlineStr">
        <is>
          <t>2.350</t>
        </is>
      </c>
    </row>
    <row r="4224">
      <c r="A4224" s="24" t="n">
        <v>46235</v>
      </c>
      <c r="B4224" t="inlineStr">
        <is>
          <t>Frete de venda</t>
        </is>
      </c>
      <c r="C4224" t="inlineStr">
        <is>
          <t>Frete de venda (para clientes)</t>
        </is>
      </c>
      <c r="D4224" t="inlineStr">
        <is>
          <t>CT-e</t>
        </is>
      </c>
      <c r="E4224" t="inlineStr">
        <is>
          <t>000000202</t>
        </is>
      </c>
      <c r="F4224" t="inlineStr">
        <is>
          <t>DURA MAIS TRANSPORTES LTDA</t>
        </is>
      </c>
      <c r="G4224" s="27" t="n">
        <v>46248</v>
      </c>
      <c r="H4224" s="14" t="n">
        <v>2170</v>
      </c>
      <c r="I4224" s="14" t="n">
        <v>0</v>
      </c>
      <c r="J4224" s="14" t="n">
        <v>260.4</v>
      </c>
      <c r="K4224" s="14" t="n">
        <v>0</v>
      </c>
      <c r="L4224" s="14" t="n">
        <v>0</v>
      </c>
      <c r="M4224" s="14">
        <f>IF(B4224="Frete de venda",0,(1-ISNUMBER(SEARCH("556",P4224)))*(I4224*VLOOKUP($B4224,Premissas!$A$4:$E$7,2,0)+J4224*VLOOKUP($B4224,Premissas!$A$4:$E$7,3,0))+K4224*VLOOKUP($B4224,Premissas!$A$4:$E$7,4,0)+L4224*VLOOKUP($B4224,Premissas!$A$4:$E$7,5,0))</f>
        <v/>
      </c>
      <c r="N4224" s="14">
        <f>H4224-M4224</f>
        <v/>
      </c>
      <c r="O4224" t="inlineStr">
        <is>
          <t>Sim</t>
        </is>
      </c>
      <c r="P4224" t="inlineStr">
        <is>
          <t>2.350</t>
        </is>
      </c>
    </row>
    <row r="4225">
      <c r="A4225" s="24" t="n">
        <v>46235</v>
      </c>
      <c r="B4225" t="inlineStr">
        <is>
          <t>Frete de venda</t>
        </is>
      </c>
      <c r="C4225" t="inlineStr">
        <is>
          <t>Frete de venda (para clientes)</t>
        </is>
      </c>
      <c r="D4225" t="inlineStr">
        <is>
          <t>CT-e</t>
        </is>
      </c>
      <c r="E4225" t="inlineStr">
        <is>
          <t>000007903</t>
        </is>
      </c>
      <c r="F4225" t="inlineStr">
        <is>
          <t>R&amp;R TRANSPORTE E LOGISTICA</t>
        </is>
      </c>
      <c r="G4225" s="27" t="n">
        <v>46253</v>
      </c>
      <c r="H4225" s="14" t="n">
        <v>375</v>
      </c>
      <c r="I4225" s="14" t="n">
        <v>0</v>
      </c>
      <c r="J4225" s="14" t="n">
        <v>0</v>
      </c>
      <c r="K4225" s="14" t="n">
        <v>0</v>
      </c>
      <c r="L4225" s="14" t="n">
        <v>0</v>
      </c>
      <c r="M4225" s="14">
        <f>IF(B4225="Frete de venda",0,(1-ISNUMBER(SEARCH("556",P4225)))*(I4225*VLOOKUP($B4225,Premissas!$A$4:$E$7,2,0)+J4225*VLOOKUP($B4225,Premissas!$A$4:$E$7,3,0))+K4225*VLOOKUP($B4225,Premissas!$A$4:$E$7,4,0)+L4225*VLOOKUP($B4225,Premissas!$A$4:$E$7,5,0))</f>
        <v/>
      </c>
      <c r="N4225" s="14">
        <f>H4225-M4225</f>
        <v/>
      </c>
      <c r="O4225" t="inlineStr">
        <is>
          <t>Sim</t>
        </is>
      </c>
      <c r="P4225" t="inlineStr">
        <is>
          <t>2.350</t>
        </is>
      </c>
    </row>
    <row r="4226">
      <c r="A4226" s="24" t="n">
        <v>46235</v>
      </c>
      <c r="B4226" t="inlineStr">
        <is>
          <t>Frete de venda</t>
        </is>
      </c>
      <c r="C4226" t="inlineStr">
        <is>
          <t>Frete de venda (para clientes)</t>
        </is>
      </c>
      <c r="D4226" t="inlineStr">
        <is>
          <t>CT-e</t>
        </is>
      </c>
      <c r="E4226" t="inlineStr">
        <is>
          <t>000006210</t>
        </is>
      </c>
      <c r="F4226" t="inlineStr">
        <is>
          <t>UNIVERSAL CARGAS EXPRESS</t>
        </is>
      </c>
      <c r="G4226" s="27" t="n">
        <v>46254</v>
      </c>
      <c r="H4226" s="14" t="n">
        <v>350</v>
      </c>
      <c r="I4226" s="14" t="n">
        <v>0</v>
      </c>
      <c r="J4226" s="14" t="n">
        <v>0</v>
      </c>
      <c r="K4226" s="14" t="n">
        <v>0</v>
      </c>
      <c r="L4226" s="14" t="n">
        <v>0</v>
      </c>
      <c r="M4226" s="14">
        <f>IF(B4226="Frete de venda",0,(1-ISNUMBER(SEARCH("556",P4226)))*(I4226*VLOOKUP($B4226,Premissas!$A$4:$E$7,2,0)+J4226*VLOOKUP($B4226,Premissas!$A$4:$E$7,3,0))+K4226*VLOOKUP($B4226,Premissas!$A$4:$E$7,4,0)+L4226*VLOOKUP($B4226,Premissas!$A$4:$E$7,5,0))</f>
        <v/>
      </c>
      <c r="N4226" s="14">
        <f>H4226-M4226</f>
        <v/>
      </c>
      <c r="O4226" t="inlineStr">
        <is>
          <t>Sim</t>
        </is>
      </c>
      <c r="P4226" t="inlineStr">
        <is>
          <t>2.350</t>
        </is>
      </c>
    </row>
    <row r="4227">
      <c r="A4227" s="24" t="n">
        <v>46235</v>
      </c>
      <c r="B4227" t="inlineStr">
        <is>
          <t>Frete de venda</t>
        </is>
      </c>
      <c r="C4227" t="inlineStr">
        <is>
          <t>Frete de venda (para clientes)</t>
        </is>
      </c>
      <c r="D4227" t="inlineStr">
        <is>
          <t>CT-e</t>
        </is>
      </c>
      <c r="E4227" t="inlineStr">
        <is>
          <t>000000434</t>
        </is>
      </c>
      <c r="F4227" t="inlineStr">
        <is>
          <t>DURA MAIS TRANSPORTES LTDA</t>
        </is>
      </c>
      <c r="G4227" s="27" t="n">
        <v>46263</v>
      </c>
      <c r="H4227" s="14" t="n">
        <v>368.18</v>
      </c>
      <c r="I4227" s="14" t="n">
        <v>0</v>
      </c>
      <c r="J4227" s="14" t="n">
        <v>44.18</v>
      </c>
      <c r="K4227" s="14" t="n">
        <v>0</v>
      </c>
      <c r="L4227" s="14" t="n">
        <v>0</v>
      </c>
      <c r="M4227" s="14">
        <f>IF(B4227="Frete de venda",0,(1-ISNUMBER(SEARCH("556",P4227)))*(I4227*VLOOKUP($B4227,Premissas!$A$4:$E$7,2,0)+J4227*VLOOKUP($B4227,Premissas!$A$4:$E$7,3,0))+K4227*VLOOKUP($B4227,Premissas!$A$4:$E$7,4,0)+L4227*VLOOKUP($B4227,Premissas!$A$4:$E$7,5,0))</f>
        <v/>
      </c>
      <c r="N4227" s="14">
        <f>H4227-M4227</f>
        <v/>
      </c>
      <c r="O4227" t="inlineStr">
        <is>
          <t>Sim</t>
        </is>
      </c>
      <c r="P4227" t="inlineStr">
        <is>
          <t>2.350</t>
        </is>
      </c>
    </row>
    <row r="4228">
      <c r="A4228" s="24" t="n">
        <v>46235</v>
      </c>
      <c r="B4228" t="inlineStr">
        <is>
          <t>Frete de venda</t>
        </is>
      </c>
      <c r="C4228" t="inlineStr">
        <is>
          <t>Frete de venda (para clientes)</t>
        </is>
      </c>
      <c r="D4228" t="inlineStr">
        <is>
          <t>CT-e</t>
        </is>
      </c>
      <c r="E4228" t="inlineStr">
        <is>
          <t>000007949</t>
        </is>
      </c>
      <c r="F4228" t="inlineStr">
        <is>
          <t>R&amp;R TRANSPORTE E LOGISTICA</t>
        </is>
      </c>
      <c r="G4228" s="27" t="n">
        <v>46265</v>
      </c>
      <c r="H4228" s="14" t="n">
        <v>500</v>
      </c>
      <c r="I4228" s="14" t="n">
        <v>0</v>
      </c>
      <c r="J4228" s="14" t="n">
        <v>0</v>
      </c>
      <c r="K4228" s="14" t="n">
        <v>0</v>
      </c>
      <c r="L4228" s="14" t="n">
        <v>0</v>
      </c>
      <c r="M4228" s="14">
        <f>IF(B4228="Frete de venda",0,(1-ISNUMBER(SEARCH("556",P4228)))*(I4228*VLOOKUP($B4228,Premissas!$A$4:$E$7,2,0)+J4228*VLOOKUP($B4228,Premissas!$A$4:$E$7,3,0))+K4228*VLOOKUP($B4228,Premissas!$A$4:$E$7,4,0)+L4228*VLOOKUP($B4228,Premissas!$A$4:$E$7,5,0))</f>
        <v/>
      </c>
      <c r="N4228" s="14">
        <f>H4228-M4228</f>
        <v/>
      </c>
      <c r="O4228" t="inlineStr">
        <is>
          <t>Sim</t>
        </is>
      </c>
      <c r="P4228" t="inlineStr">
        <is>
          <t>2.350</t>
        </is>
      </c>
    </row>
    <row r="4229">
      <c r="A4229" s="24" t="n">
        <v>46235</v>
      </c>
      <c r="B4229" t="inlineStr">
        <is>
          <t>Frete de venda</t>
        </is>
      </c>
      <c r="C4229" t="inlineStr">
        <is>
          <t>Frete de venda (para clientes)</t>
        </is>
      </c>
      <c r="D4229" t="inlineStr">
        <is>
          <t>CT-e</t>
        </is>
      </c>
      <c r="E4229" t="inlineStr">
        <is>
          <t>000000269</t>
        </is>
      </c>
      <c r="F4229" t="inlineStr">
        <is>
          <t>DURA MAIS TRANSPORTES LTDA</t>
        </is>
      </c>
      <c r="G4229" s="27" t="n">
        <v>46254</v>
      </c>
      <c r="H4229" s="14" t="n">
        <v>1150</v>
      </c>
      <c r="I4229" s="14" t="n">
        <v>0</v>
      </c>
      <c r="J4229" s="14" t="n">
        <v>138</v>
      </c>
      <c r="K4229" s="14" t="n">
        <v>0</v>
      </c>
      <c r="L4229" s="14" t="n">
        <v>0</v>
      </c>
      <c r="M4229" s="14">
        <f>IF(B4229="Frete de venda",0,(1-ISNUMBER(SEARCH("556",P4229)))*(I4229*VLOOKUP($B4229,Premissas!$A$4:$E$7,2,0)+J4229*VLOOKUP($B4229,Premissas!$A$4:$E$7,3,0))+K4229*VLOOKUP($B4229,Premissas!$A$4:$E$7,4,0)+L4229*VLOOKUP($B4229,Premissas!$A$4:$E$7,5,0))</f>
        <v/>
      </c>
      <c r="N4229" s="14">
        <f>H4229-M4229</f>
        <v/>
      </c>
      <c r="O4229" t="inlineStr">
        <is>
          <t>Sim</t>
        </is>
      </c>
      <c r="P4229" t="inlineStr">
        <is>
          <t>2.350</t>
        </is>
      </c>
    </row>
    <row r="4230">
      <c r="A4230" s="24" t="n">
        <v>46235</v>
      </c>
      <c r="B4230" t="inlineStr">
        <is>
          <t>Frete de venda</t>
        </is>
      </c>
      <c r="C4230" t="inlineStr">
        <is>
          <t>Frete de venda (para clientes)</t>
        </is>
      </c>
      <c r="D4230" t="inlineStr">
        <is>
          <t>CT-e</t>
        </is>
      </c>
      <c r="E4230" t="inlineStr">
        <is>
          <t>000000231</t>
        </is>
      </c>
      <c r="F4230" t="inlineStr">
        <is>
          <t>DURA MAIS TRANSPORTES LTDA</t>
        </is>
      </c>
      <c r="G4230" s="27" t="n">
        <v>46249</v>
      </c>
      <c r="H4230" s="14" t="n">
        <v>408.55</v>
      </c>
      <c r="I4230" s="14" t="n">
        <v>0</v>
      </c>
      <c r="J4230" s="14" t="n">
        <v>49.03</v>
      </c>
      <c r="K4230" s="14" t="n">
        <v>0</v>
      </c>
      <c r="L4230" s="14" t="n">
        <v>0</v>
      </c>
      <c r="M4230" s="14">
        <f>IF(B4230="Frete de venda",0,(1-ISNUMBER(SEARCH("556",P4230)))*(I4230*VLOOKUP($B4230,Premissas!$A$4:$E$7,2,0)+J4230*VLOOKUP($B4230,Premissas!$A$4:$E$7,3,0))+K4230*VLOOKUP($B4230,Premissas!$A$4:$E$7,4,0)+L4230*VLOOKUP($B4230,Premissas!$A$4:$E$7,5,0))</f>
        <v/>
      </c>
      <c r="N4230" s="14">
        <f>H4230-M4230</f>
        <v/>
      </c>
      <c r="O4230" t="inlineStr">
        <is>
          <t>Sim</t>
        </is>
      </c>
      <c r="P4230" t="inlineStr">
        <is>
          <t>2.350</t>
        </is>
      </c>
    </row>
    <row r="4231">
      <c r="A4231" s="24" t="n">
        <v>46235</v>
      </c>
      <c r="B4231" t="inlineStr">
        <is>
          <t>Frete de venda</t>
        </is>
      </c>
      <c r="C4231" t="inlineStr">
        <is>
          <t>Frete de venda (para clientes)</t>
        </is>
      </c>
      <c r="D4231" t="inlineStr">
        <is>
          <t>CT-e</t>
        </is>
      </c>
      <c r="E4231" t="inlineStr">
        <is>
          <t>000000314</t>
        </is>
      </c>
      <c r="F4231" t="inlineStr">
        <is>
          <t>DURA MAIS TRANSPORTES LTDA</t>
        </is>
      </c>
      <c r="G4231" s="27" t="n">
        <v>46255</v>
      </c>
      <c r="H4231" s="14" t="n">
        <v>4500</v>
      </c>
      <c r="I4231" s="14" t="n">
        <v>0</v>
      </c>
      <c r="J4231" s="14" t="n">
        <v>540</v>
      </c>
      <c r="K4231" s="14" t="n">
        <v>0</v>
      </c>
      <c r="L4231" s="14" t="n">
        <v>0</v>
      </c>
      <c r="M4231" s="14">
        <f>IF(B4231="Frete de venda",0,(1-ISNUMBER(SEARCH("556",P4231)))*(I4231*VLOOKUP($B4231,Premissas!$A$4:$E$7,2,0)+J4231*VLOOKUP($B4231,Premissas!$A$4:$E$7,3,0))+K4231*VLOOKUP($B4231,Premissas!$A$4:$E$7,4,0)+L4231*VLOOKUP($B4231,Premissas!$A$4:$E$7,5,0))</f>
        <v/>
      </c>
      <c r="N4231" s="14">
        <f>H4231-M4231</f>
        <v/>
      </c>
      <c r="O4231" t="inlineStr">
        <is>
          <t>Sim</t>
        </is>
      </c>
      <c r="P4231" t="inlineStr">
        <is>
          <t>2.350</t>
        </is>
      </c>
    </row>
    <row r="4232">
      <c r="A4232" s="24" t="n">
        <v>46235</v>
      </c>
      <c r="B4232" t="inlineStr">
        <is>
          <t>Frete de venda</t>
        </is>
      </c>
      <c r="C4232" t="inlineStr">
        <is>
          <t>Frete de venda (para clientes)</t>
        </is>
      </c>
      <c r="D4232" t="inlineStr">
        <is>
          <t>CT-e</t>
        </is>
      </c>
      <c r="E4232" t="inlineStr">
        <is>
          <t>000000410</t>
        </is>
      </c>
      <c r="F4232" t="inlineStr">
        <is>
          <t>DURA MAIS TRANSPORTES LTDA</t>
        </is>
      </c>
      <c r="G4232" s="27" t="n">
        <v>46262</v>
      </c>
      <c r="H4232" s="14" t="n">
        <v>464.06</v>
      </c>
      <c r="I4232" s="14" t="n">
        <v>0</v>
      </c>
      <c r="J4232" s="14" t="n">
        <v>55.69</v>
      </c>
      <c r="K4232" s="14" t="n">
        <v>0</v>
      </c>
      <c r="L4232" s="14" t="n">
        <v>0</v>
      </c>
      <c r="M4232" s="14">
        <f>IF(B4232="Frete de venda",0,(1-ISNUMBER(SEARCH("556",P4232)))*(I4232*VLOOKUP($B4232,Premissas!$A$4:$E$7,2,0)+J4232*VLOOKUP($B4232,Premissas!$A$4:$E$7,3,0))+K4232*VLOOKUP($B4232,Premissas!$A$4:$E$7,4,0)+L4232*VLOOKUP($B4232,Premissas!$A$4:$E$7,5,0))</f>
        <v/>
      </c>
      <c r="N4232" s="14">
        <f>H4232-M4232</f>
        <v/>
      </c>
      <c r="O4232" t="inlineStr">
        <is>
          <t>Sim</t>
        </is>
      </c>
      <c r="P4232" t="inlineStr">
        <is>
          <t>2.350</t>
        </is>
      </c>
    </row>
    <row r="4233">
      <c r="A4233" s="24" t="n">
        <v>46235</v>
      </c>
      <c r="B4233" t="inlineStr">
        <is>
          <t>Frete de venda</t>
        </is>
      </c>
      <c r="C4233" t="inlineStr">
        <is>
          <t>Frete de venda (para clientes)</t>
        </is>
      </c>
      <c r="D4233" t="inlineStr">
        <is>
          <t>CT-e</t>
        </is>
      </c>
      <c r="E4233" t="inlineStr">
        <is>
          <t>000026503</t>
        </is>
      </c>
      <c r="F4233" t="inlineStr">
        <is>
          <t>DR CARGO TRANSPORTE DE CARGAS LTDA</t>
        </is>
      </c>
      <c r="G4233" s="27" t="n">
        <v>46240</v>
      </c>
      <c r="H4233" s="14" t="n">
        <v>903.97</v>
      </c>
      <c r="I4233" s="14" t="n">
        <v>0</v>
      </c>
      <c r="J4233" s="14" t="n">
        <v>108.48</v>
      </c>
      <c r="K4233" s="14" t="n">
        <v>0</v>
      </c>
      <c r="L4233" s="14" t="n">
        <v>0</v>
      </c>
      <c r="M4233" s="14">
        <f>IF(B4233="Frete de venda",0,(1-ISNUMBER(SEARCH("556",P4233)))*(I4233*VLOOKUP($B4233,Premissas!$A$4:$E$7,2,0)+J4233*VLOOKUP($B4233,Premissas!$A$4:$E$7,3,0))+K4233*VLOOKUP($B4233,Premissas!$A$4:$E$7,4,0)+L4233*VLOOKUP($B4233,Premissas!$A$4:$E$7,5,0))</f>
        <v/>
      </c>
      <c r="N4233" s="14">
        <f>H4233-M4233</f>
        <v/>
      </c>
      <c r="O4233" t="inlineStr">
        <is>
          <t>Sim</t>
        </is>
      </c>
      <c r="P4233" t="inlineStr">
        <is>
          <t>2.350</t>
        </is>
      </c>
    </row>
    <row r="4234">
      <c r="A4234" s="24" t="n">
        <v>46235</v>
      </c>
      <c r="B4234" t="inlineStr">
        <is>
          <t>Frete de venda</t>
        </is>
      </c>
      <c r="C4234" t="inlineStr">
        <is>
          <t>Frete de venda (para clientes)</t>
        </is>
      </c>
      <c r="D4234" t="inlineStr">
        <is>
          <t>CT-e</t>
        </is>
      </c>
      <c r="E4234" t="inlineStr">
        <is>
          <t>000000212</t>
        </is>
      </c>
      <c r="F4234" t="inlineStr">
        <is>
          <t>DURA MAIS TRANSPORTES LTDA</t>
        </is>
      </c>
      <c r="G4234" s="27" t="n">
        <v>46249</v>
      </c>
      <c r="H4234" s="14" t="n">
        <v>817.1</v>
      </c>
      <c r="I4234" s="14" t="n">
        <v>0</v>
      </c>
      <c r="J4234" s="14" t="n">
        <v>98.05</v>
      </c>
      <c r="K4234" s="14" t="n">
        <v>0</v>
      </c>
      <c r="L4234" s="14" t="n">
        <v>0</v>
      </c>
      <c r="M4234" s="14">
        <f>IF(B4234="Frete de venda",0,(1-ISNUMBER(SEARCH("556",P4234)))*(I4234*VLOOKUP($B4234,Premissas!$A$4:$E$7,2,0)+J4234*VLOOKUP($B4234,Premissas!$A$4:$E$7,3,0))+K4234*VLOOKUP($B4234,Premissas!$A$4:$E$7,4,0)+L4234*VLOOKUP($B4234,Premissas!$A$4:$E$7,5,0))</f>
        <v/>
      </c>
      <c r="N4234" s="14">
        <f>H4234-M4234</f>
        <v/>
      </c>
      <c r="O4234" t="inlineStr">
        <is>
          <t>Sim</t>
        </is>
      </c>
      <c r="P4234" t="inlineStr">
        <is>
          <t>2.350</t>
        </is>
      </c>
    </row>
    <row r="4235">
      <c r="A4235" s="24" t="n">
        <v>46235</v>
      </c>
      <c r="B4235" t="inlineStr">
        <is>
          <t>Frete de venda</t>
        </is>
      </c>
      <c r="C4235" t="inlineStr">
        <is>
          <t>Frete de venda (para clientes)</t>
        </is>
      </c>
      <c r="D4235" t="inlineStr">
        <is>
          <t>CT-e</t>
        </is>
      </c>
      <c r="E4235" t="inlineStr">
        <is>
          <t>000000270</t>
        </is>
      </c>
      <c r="F4235" t="inlineStr">
        <is>
          <t>DURA MAIS TRANSPORTES LTDA</t>
        </is>
      </c>
      <c r="G4235" s="27" t="n">
        <v>46254</v>
      </c>
      <c r="H4235" s="14" t="n">
        <v>1150</v>
      </c>
      <c r="I4235" s="14" t="n">
        <v>0</v>
      </c>
      <c r="J4235" s="14" t="n">
        <v>138</v>
      </c>
      <c r="K4235" s="14" t="n">
        <v>0</v>
      </c>
      <c r="L4235" s="14" t="n">
        <v>0</v>
      </c>
      <c r="M4235" s="14">
        <f>IF(B4235="Frete de venda",0,(1-ISNUMBER(SEARCH("556",P4235)))*(I4235*VLOOKUP($B4235,Premissas!$A$4:$E$7,2,0)+J4235*VLOOKUP($B4235,Premissas!$A$4:$E$7,3,0))+K4235*VLOOKUP($B4235,Premissas!$A$4:$E$7,4,0)+L4235*VLOOKUP($B4235,Premissas!$A$4:$E$7,5,0))</f>
        <v/>
      </c>
      <c r="N4235" s="14">
        <f>H4235-M4235</f>
        <v/>
      </c>
      <c r="O4235" t="inlineStr">
        <is>
          <t>Sim</t>
        </is>
      </c>
      <c r="P4235" t="inlineStr">
        <is>
          <t>2.350</t>
        </is>
      </c>
    </row>
    <row r="4236">
      <c r="A4236" s="24" t="n">
        <v>46235</v>
      </c>
      <c r="B4236" t="inlineStr">
        <is>
          <t>Frete de venda</t>
        </is>
      </c>
      <c r="C4236" t="inlineStr">
        <is>
          <t>Frete de venda (para clientes)</t>
        </is>
      </c>
      <c r="D4236" t="inlineStr">
        <is>
          <t>CT-e</t>
        </is>
      </c>
      <c r="E4236" t="inlineStr">
        <is>
          <t>000007834</t>
        </is>
      </c>
      <c r="F4236" t="inlineStr">
        <is>
          <t>R&amp;R TRANSPORTE E LOGISTICA</t>
        </is>
      </c>
      <c r="G4236" s="27" t="n">
        <v>46235</v>
      </c>
      <c r="H4236" s="14" t="n">
        <v>37.44</v>
      </c>
      <c r="I4236" s="14" t="n">
        <v>0</v>
      </c>
      <c r="J4236" s="14" t="n">
        <v>0</v>
      </c>
      <c r="K4236" s="14" t="n">
        <v>0</v>
      </c>
      <c r="L4236" s="14" t="n">
        <v>0</v>
      </c>
      <c r="M4236" s="14">
        <f>IF(B4236="Frete de venda",0,(1-ISNUMBER(SEARCH("556",P4236)))*(I4236*VLOOKUP($B4236,Premissas!$A$4:$E$7,2,0)+J4236*VLOOKUP($B4236,Premissas!$A$4:$E$7,3,0))+K4236*VLOOKUP($B4236,Premissas!$A$4:$E$7,4,0)+L4236*VLOOKUP($B4236,Premissas!$A$4:$E$7,5,0))</f>
        <v/>
      </c>
      <c r="N4236" s="14">
        <f>H4236-M4236</f>
        <v/>
      </c>
      <c r="O4236" t="inlineStr">
        <is>
          <t>Não</t>
        </is>
      </c>
      <c r="P4236" t="inlineStr">
        <is>
          <t>2.350</t>
        </is>
      </c>
    </row>
    <row r="4237">
      <c r="A4237" s="24" t="n">
        <v>46235</v>
      </c>
      <c r="B4237" t="inlineStr">
        <is>
          <t>Frete de venda</t>
        </is>
      </c>
      <c r="C4237" t="inlineStr">
        <is>
          <t>Frete de venda (para clientes)</t>
        </is>
      </c>
      <c r="D4237" t="inlineStr">
        <is>
          <t>CT-e</t>
        </is>
      </c>
      <c r="E4237" t="inlineStr">
        <is>
          <t>000000186</t>
        </is>
      </c>
      <c r="F4237" t="inlineStr">
        <is>
          <t>DURA MAIS TRANSPORTES LTDA</t>
        </is>
      </c>
      <c r="G4237" s="27" t="n">
        <v>46246</v>
      </c>
      <c r="H4237" s="14" t="n">
        <v>560</v>
      </c>
      <c r="I4237" s="14" t="n">
        <v>0</v>
      </c>
      <c r="J4237" s="14" t="n">
        <v>67.2</v>
      </c>
      <c r="K4237" s="14" t="n">
        <v>0</v>
      </c>
      <c r="L4237" s="14" t="n">
        <v>0</v>
      </c>
      <c r="M4237" s="14">
        <f>IF(B4237="Frete de venda",0,(1-ISNUMBER(SEARCH("556",P4237)))*(I4237*VLOOKUP($B4237,Premissas!$A$4:$E$7,2,0)+J4237*VLOOKUP($B4237,Premissas!$A$4:$E$7,3,0))+K4237*VLOOKUP($B4237,Premissas!$A$4:$E$7,4,0)+L4237*VLOOKUP($B4237,Premissas!$A$4:$E$7,5,0))</f>
        <v/>
      </c>
      <c r="N4237" s="14">
        <f>H4237-M4237</f>
        <v/>
      </c>
      <c r="O4237" t="inlineStr">
        <is>
          <t>Sim</t>
        </is>
      </c>
      <c r="P4237" t="inlineStr">
        <is>
          <t>2.350</t>
        </is>
      </c>
    </row>
    <row r="4238">
      <c r="A4238" s="24" t="n">
        <v>46235</v>
      </c>
      <c r="B4238" t="inlineStr">
        <is>
          <t>Frete de venda</t>
        </is>
      </c>
      <c r="C4238" t="inlineStr">
        <is>
          <t>Frete de venda (para clientes)</t>
        </is>
      </c>
      <c r="D4238" t="inlineStr">
        <is>
          <t>CT-e</t>
        </is>
      </c>
      <c r="E4238" t="inlineStr">
        <is>
          <t>000000198</t>
        </is>
      </c>
      <c r="F4238" t="inlineStr">
        <is>
          <t>DURA MAIS TRANSPORTES LTDA</t>
        </is>
      </c>
      <c r="G4238" s="27" t="n">
        <v>46248</v>
      </c>
      <c r="H4238" s="14" t="n">
        <v>2025</v>
      </c>
      <c r="I4238" s="14" t="n">
        <v>0</v>
      </c>
      <c r="J4238" s="14" t="n">
        <v>243</v>
      </c>
      <c r="K4238" s="14" t="n">
        <v>0</v>
      </c>
      <c r="L4238" s="14" t="n">
        <v>0</v>
      </c>
      <c r="M4238" s="14">
        <f>IF(B4238="Frete de venda",0,(1-ISNUMBER(SEARCH("556",P4238)))*(I4238*VLOOKUP($B4238,Premissas!$A$4:$E$7,2,0)+J4238*VLOOKUP($B4238,Premissas!$A$4:$E$7,3,0))+K4238*VLOOKUP($B4238,Premissas!$A$4:$E$7,4,0)+L4238*VLOOKUP($B4238,Premissas!$A$4:$E$7,5,0))</f>
        <v/>
      </c>
      <c r="N4238" s="14">
        <f>H4238-M4238</f>
        <v/>
      </c>
      <c r="O4238" t="inlineStr">
        <is>
          <t>Sim</t>
        </is>
      </c>
      <c r="P4238" t="inlineStr">
        <is>
          <t>2.350</t>
        </is>
      </c>
    </row>
    <row r="4239">
      <c r="A4239" s="24" t="n">
        <v>46235</v>
      </c>
      <c r="B4239" t="inlineStr">
        <is>
          <t>Frete de venda</t>
        </is>
      </c>
      <c r="C4239" t="inlineStr">
        <is>
          <t>Frete de venda (para clientes)</t>
        </is>
      </c>
      <c r="D4239" t="inlineStr">
        <is>
          <t>CT-e</t>
        </is>
      </c>
      <c r="E4239" t="inlineStr">
        <is>
          <t>000007841</t>
        </is>
      </c>
      <c r="F4239" t="inlineStr">
        <is>
          <t>R&amp;R TRANSPORTE E LOGISTICA</t>
        </is>
      </c>
      <c r="G4239" s="27" t="n">
        <v>46235</v>
      </c>
      <c r="H4239" s="14" t="n">
        <v>37.44</v>
      </c>
      <c r="I4239" s="14" t="n">
        <v>0</v>
      </c>
      <c r="J4239" s="14" t="n">
        <v>0</v>
      </c>
      <c r="K4239" s="14" t="n">
        <v>0</v>
      </c>
      <c r="L4239" s="14" t="n">
        <v>0</v>
      </c>
      <c r="M4239" s="14">
        <f>IF(B4239="Frete de venda",0,(1-ISNUMBER(SEARCH("556",P4239)))*(I4239*VLOOKUP($B4239,Premissas!$A$4:$E$7,2,0)+J4239*VLOOKUP($B4239,Premissas!$A$4:$E$7,3,0))+K4239*VLOOKUP($B4239,Premissas!$A$4:$E$7,4,0)+L4239*VLOOKUP($B4239,Premissas!$A$4:$E$7,5,0))</f>
        <v/>
      </c>
      <c r="N4239" s="14">
        <f>H4239-M4239</f>
        <v/>
      </c>
      <c r="O4239" t="inlineStr">
        <is>
          <t>Não</t>
        </is>
      </c>
      <c r="P4239" t="inlineStr">
        <is>
          <t>2.350</t>
        </is>
      </c>
    </row>
    <row r="4240">
      <c r="A4240" s="24" t="n">
        <v>46235</v>
      </c>
      <c r="B4240" t="inlineStr">
        <is>
          <t>Frete de venda</t>
        </is>
      </c>
      <c r="C4240" t="inlineStr">
        <is>
          <t>Frete de venda (para clientes)</t>
        </is>
      </c>
      <c r="D4240" t="inlineStr">
        <is>
          <t>CT-e</t>
        </is>
      </c>
      <c r="E4240" t="inlineStr">
        <is>
          <t>000007941</t>
        </is>
      </c>
      <c r="F4240" t="inlineStr">
        <is>
          <t>R&amp;R TRANSPORTE E LOGISTICA</t>
        </is>
      </c>
      <c r="G4240" s="27" t="n">
        <v>46263</v>
      </c>
      <c r="H4240" s="14" t="n">
        <v>600</v>
      </c>
      <c r="I4240" s="14" t="n">
        <v>0</v>
      </c>
      <c r="J4240" s="14" t="n">
        <v>0</v>
      </c>
      <c r="K4240" s="14" t="n">
        <v>0</v>
      </c>
      <c r="L4240" s="14" t="n">
        <v>0</v>
      </c>
      <c r="M4240" s="14">
        <f>IF(B4240="Frete de venda",0,(1-ISNUMBER(SEARCH("556",P4240)))*(I4240*VLOOKUP($B4240,Premissas!$A$4:$E$7,2,0)+J4240*VLOOKUP($B4240,Premissas!$A$4:$E$7,3,0))+K4240*VLOOKUP($B4240,Premissas!$A$4:$E$7,4,0)+L4240*VLOOKUP($B4240,Premissas!$A$4:$E$7,5,0))</f>
        <v/>
      </c>
      <c r="N4240" s="14">
        <f>H4240-M4240</f>
        <v/>
      </c>
      <c r="O4240" t="inlineStr">
        <is>
          <t>Sim</t>
        </is>
      </c>
      <c r="P4240" t="inlineStr">
        <is>
          <t>2.350</t>
        </is>
      </c>
    </row>
    <row r="4241">
      <c r="A4241" s="24" t="n">
        <v>46235</v>
      </c>
      <c r="B4241" t="inlineStr">
        <is>
          <t>Frete de venda</t>
        </is>
      </c>
      <c r="C4241" t="inlineStr">
        <is>
          <t>Frete de venda (para clientes)</t>
        </is>
      </c>
      <c r="D4241" t="inlineStr">
        <is>
          <t>CT-e</t>
        </is>
      </c>
      <c r="E4241" t="inlineStr">
        <is>
          <t>000000274</t>
        </is>
      </c>
      <c r="F4241" t="inlineStr">
        <is>
          <t>DURA MAIS TRANSPORTES LTDA</t>
        </is>
      </c>
      <c r="G4241" s="27" t="n">
        <v>46254</v>
      </c>
      <c r="H4241" s="14" t="n">
        <v>1150</v>
      </c>
      <c r="I4241" s="14" t="n">
        <v>0</v>
      </c>
      <c r="J4241" s="14" t="n">
        <v>138</v>
      </c>
      <c r="K4241" s="14" t="n">
        <v>0</v>
      </c>
      <c r="L4241" s="14" t="n">
        <v>0</v>
      </c>
      <c r="M4241" s="14">
        <f>IF(B4241="Frete de venda",0,(1-ISNUMBER(SEARCH("556",P4241)))*(I4241*VLOOKUP($B4241,Premissas!$A$4:$E$7,2,0)+J4241*VLOOKUP($B4241,Premissas!$A$4:$E$7,3,0))+K4241*VLOOKUP($B4241,Premissas!$A$4:$E$7,4,0)+L4241*VLOOKUP($B4241,Premissas!$A$4:$E$7,5,0))</f>
        <v/>
      </c>
      <c r="N4241" s="14">
        <f>H4241-M4241</f>
        <v/>
      </c>
      <c r="O4241" t="inlineStr">
        <is>
          <t>Sim</t>
        </is>
      </c>
      <c r="P4241" t="inlineStr">
        <is>
          <t>2.350</t>
        </is>
      </c>
    </row>
    <row r="4242">
      <c r="A4242" s="24" t="n">
        <v>46235</v>
      </c>
      <c r="B4242" t="inlineStr">
        <is>
          <t>Frete de venda</t>
        </is>
      </c>
      <c r="C4242" t="inlineStr">
        <is>
          <t>Frete de venda (para clientes)</t>
        </is>
      </c>
      <c r="D4242" t="inlineStr">
        <is>
          <t>CT-e</t>
        </is>
      </c>
      <c r="E4242" t="inlineStr">
        <is>
          <t>000000383</t>
        </is>
      </c>
      <c r="F4242" t="inlineStr">
        <is>
          <t>DURA MAIS TRANSPORTES LTDA</t>
        </is>
      </c>
      <c r="G4242" s="27" t="n">
        <v>46261</v>
      </c>
      <c r="H4242" s="14" t="n">
        <v>22950</v>
      </c>
      <c r="I4242" s="14" t="n">
        <v>0</v>
      </c>
      <c r="J4242" s="14" t="n">
        <v>2754</v>
      </c>
      <c r="K4242" s="14" t="n">
        <v>0</v>
      </c>
      <c r="L4242" s="14" t="n">
        <v>0</v>
      </c>
      <c r="M4242" s="14">
        <f>IF(B4242="Frete de venda",0,(1-ISNUMBER(SEARCH("556",P4242)))*(I4242*VLOOKUP($B4242,Premissas!$A$4:$E$7,2,0)+J4242*VLOOKUP($B4242,Premissas!$A$4:$E$7,3,0))+K4242*VLOOKUP($B4242,Premissas!$A$4:$E$7,4,0)+L4242*VLOOKUP($B4242,Premissas!$A$4:$E$7,5,0))</f>
        <v/>
      </c>
      <c r="N4242" s="14">
        <f>H4242-M4242</f>
        <v/>
      </c>
      <c r="O4242" t="inlineStr">
        <is>
          <t>Sim</t>
        </is>
      </c>
      <c r="P4242" t="inlineStr">
        <is>
          <t>2.350</t>
        </is>
      </c>
    </row>
    <row r="4243">
      <c r="A4243" s="24" t="n">
        <v>46235</v>
      </c>
      <c r="B4243" t="inlineStr">
        <is>
          <t>Frete de venda</t>
        </is>
      </c>
      <c r="C4243" t="inlineStr">
        <is>
          <t>Frete de venda (para clientes)</t>
        </is>
      </c>
      <c r="D4243" t="inlineStr">
        <is>
          <t>CT-e</t>
        </is>
      </c>
      <c r="E4243" t="inlineStr">
        <is>
          <t>000000310</t>
        </is>
      </c>
      <c r="F4243" t="inlineStr">
        <is>
          <t>DURA MAIS TRANSPORTES LTDA</t>
        </is>
      </c>
      <c r="G4243" s="27" t="n">
        <v>46255</v>
      </c>
      <c r="H4243" s="14" t="n">
        <v>1080</v>
      </c>
      <c r="I4243" s="14" t="n">
        <v>0</v>
      </c>
      <c r="J4243" s="14" t="n">
        <v>129.6</v>
      </c>
      <c r="K4243" s="14" t="n">
        <v>0</v>
      </c>
      <c r="L4243" s="14" t="n">
        <v>0</v>
      </c>
      <c r="M4243" s="14">
        <f>IF(B4243="Frete de venda",0,(1-ISNUMBER(SEARCH("556",P4243)))*(I4243*VLOOKUP($B4243,Premissas!$A$4:$E$7,2,0)+J4243*VLOOKUP($B4243,Premissas!$A$4:$E$7,3,0))+K4243*VLOOKUP($B4243,Premissas!$A$4:$E$7,4,0)+L4243*VLOOKUP($B4243,Premissas!$A$4:$E$7,5,0))</f>
        <v/>
      </c>
      <c r="N4243" s="14">
        <f>H4243-M4243</f>
        <v/>
      </c>
      <c r="O4243" t="inlineStr">
        <is>
          <t>Sim</t>
        </is>
      </c>
      <c r="P4243" t="inlineStr">
        <is>
          <t>2.350</t>
        </is>
      </c>
    </row>
    <row r="4244">
      <c r="A4244" s="24" t="n">
        <v>46235</v>
      </c>
      <c r="B4244" t="inlineStr">
        <is>
          <t>Frete de venda</t>
        </is>
      </c>
      <c r="C4244" t="inlineStr">
        <is>
          <t>Frete de venda (para clientes)</t>
        </is>
      </c>
      <c r="D4244" t="inlineStr">
        <is>
          <t>CT-e</t>
        </is>
      </c>
      <c r="E4244" t="inlineStr">
        <is>
          <t>000007854</t>
        </is>
      </c>
      <c r="F4244" t="inlineStr">
        <is>
          <t>R&amp;R TRANSPORTE E LOGISTICA</t>
        </is>
      </c>
      <c r="G4244" s="27" t="n">
        <v>46235</v>
      </c>
      <c r="H4244" s="14" t="n">
        <v>37.44</v>
      </c>
      <c r="I4244" s="14" t="n">
        <v>0</v>
      </c>
      <c r="J4244" s="14" t="n">
        <v>0</v>
      </c>
      <c r="K4244" s="14" t="n">
        <v>0</v>
      </c>
      <c r="L4244" s="14" t="n">
        <v>0</v>
      </c>
      <c r="M4244" s="14">
        <f>IF(B4244="Frete de venda",0,(1-ISNUMBER(SEARCH("556",P4244)))*(I4244*VLOOKUP($B4244,Premissas!$A$4:$E$7,2,0)+J4244*VLOOKUP($B4244,Premissas!$A$4:$E$7,3,0))+K4244*VLOOKUP($B4244,Premissas!$A$4:$E$7,4,0)+L4244*VLOOKUP($B4244,Premissas!$A$4:$E$7,5,0))</f>
        <v/>
      </c>
      <c r="N4244" s="14">
        <f>H4244-M4244</f>
        <v/>
      </c>
      <c r="O4244" t="inlineStr">
        <is>
          <t>Não</t>
        </is>
      </c>
      <c r="P4244" t="inlineStr">
        <is>
          <t>2.350</t>
        </is>
      </c>
    </row>
    <row r="4245">
      <c r="A4245" s="24" t="n">
        <v>46235</v>
      </c>
      <c r="B4245" t="inlineStr">
        <is>
          <t>Frete de venda</t>
        </is>
      </c>
      <c r="C4245" t="inlineStr">
        <is>
          <t>Frete de venda (para clientes)</t>
        </is>
      </c>
      <c r="D4245" t="inlineStr">
        <is>
          <t>CT-e</t>
        </is>
      </c>
      <c r="E4245" t="inlineStr">
        <is>
          <t>000000229</t>
        </is>
      </c>
      <c r="F4245" t="inlineStr">
        <is>
          <t>DURA MAIS TRANSPORTES LTDA</t>
        </is>
      </c>
      <c r="G4245" s="27" t="n">
        <v>46249</v>
      </c>
      <c r="H4245" s="14" t="n">
        <v>817.1</v>
      </c>
      <c r="I4245" s="14" t="n">
        <v>0</v>
      </c>
      <c r="J4245" s="14" t="n">
        <v>98.05</v>
      </c>
      <c r="K4245" s="14" t="n">
        <v>0</v>
      </c>
      <c r="L4245" s="14" t="n">
        <v>0</v>
      </c>
      <c r="M4245" s="14">
        <f>IF(B4245="Frete de venda",0,(1-ISNUMBER(SEARCH("556",P4245)))*(I4245*VLOOKUP($B4245,Premissas!$A$4:$E$7,2,0)+J4245*VLOOKUP($B4245,Premissas!$A$4:$E$7,3,0))+K4245*VLOOKUP($B4245,Premissas!$A$4:$E$7,4,0)+L4245*VLOOKUP($B4245,Premissas!$A$4:$E$7,5,0))</f>
        <v/>
      </c>
      <c r="N4245" s="14">
        <f>H4245-M4245</f>
        <v/>
      </c>
      <c r="O4245" t="inlineStr">
        <is>
          <t>Sim</t>
        </is>
      </c>
      <c r="P4245" t="inlineStr">
        <is>
          <t>2.350</t>
        </is>
      </c>
    </row>
    <row r="4246">
      <c r="A4246" s="24" t="n">
        <v>46235</v>
      </c>
      <c r="B4246" t="inlineStr">
        <is>
          <t>Frete de venda</t>
        </is>
      </c>
      <c r="C4246" t="inlineStr">
        <is>
          <t>Frete de venda (para clientes)</t>
        </is>
      </c>
      <c r="D4246" t="inlineStr">
        <is>
          <t>CT-e</t>
        </is>
      </c>
      <c r="E4246" t="inlineStr">
        <is>
          <t>000000420</t>
        </is>
      </c>
      <c r="F4246" t="inlineStr">
        <is>
          <t>DURA MAIS TRANSPORTES LTDA</t>
        </is>
      </c>
      <c r="G4246" s="27" t="n">
        <v>46262</v>
      </c>
      <c r="H4246" s="14" t="n">
        <v>464.06</v>
      </c>
      <c r="I4246" s="14" t="n">
        <v>0</v>
      </c>
      <c r="J4246" s="14" t="n">
        <v>55.69</v>
      </c>
      <c r="K4246" s="14" t="n">
        <v>0</v>
      </c>
      <c r="L4246" s="14" t="n">
        <v>0</v>
      </c>
      <c r="M4246" s="14">
        <f>IF(B4246="Frete de venda",0,(1-ISNUMBER(SEARCH("556",P4246)))*(I4246*VLOOKUP($B4246,Premissas!$A$4:$E$7,2,0)+J4246*VLOOKUP($B4246,Premissas!$A$4:$E$7,3,0))+K4246*VLOOKUP($B4246,Premissas!$A$4:$E$7,4,0)+L4246*VLOOKUP($B4246,Premissas!$A$4:$E$7,5,0))</f>
        <v/>
      </c>
      <c r="N4246" s="14">
        <f>H4246-M4246</f>
        <v/>
      </c>
      <c r="O4246" t="inlineStr">
        <is>
          <t>Sim</t>
        </is>
      </c>
      <c r="P4246" t="inlineStr">
        <is>
          <t>2.350</t>
        </is>
      </c>
    </row>
    <row r="4247">
      <c r="A4247" s="24" t="n">
        <v>46235</v>
      </c>
      <c r="B4247" t="inlineStr">
        <is>
          <t>Frete de venda</t>
        </is>
      </c>
      <c r="C4247" t="inlineStr">
        <is>
          <t>Frete de venda (para clientes)</t>
        </is>
      </c>
      <c r="D4247" t="inlineStr">
        <is>
          <t>CT-e</t>
        </is>
      </c>
      <c r="E4247" t="inlineStr">
        <is>
          <t>000000127</t>
        </is>
      </c>
      <c r="F4247" t="inlineStr">
        <is>
          <t>DURA MAIS TRANSPORTES LTDA</t>
        </is>
      </c>
      <c r="G4247" s="27" t="n">
        <v>46239</v>
      </c>
      <c r="H4247" s="14" t="n">
        <v>1050</v>
      </c>
      <c r="I4247" s="14" t="n">
        <v>0</v>
      </c>
      <c r="J4247" s="14" t="n">
        <v>126</v>
      </c>
      <c r="K4247" s="14" t="n">
        <v>0</v>
      </c>
      <c r="L4247" s="14" t="n">
        <v>0</v>
      </c>
      <c r="M4247" s="14">
        <f>IF(B4247="Frete de venda",0,(1-ISNUMBER(SEARCH("556",P4247)))*(I4247*VLOOKUP($B4247,Premissas!$A$4:$E$7,2,0)+J4247*VLOOKUP($B4247,Premissas!$A$4:$E$7,3,0))+K4247*VLOOKUP($B4247,Premissas!$A$4:$E$7,4,0)+L4247*VLOOKUP($B4247,Premissas!$A$4:$E$7,5,0))</f>
        <v/>
      </c>
      <c r="N4247" s="14">
        <f>H4247-M4247</f>
        <v/>
      </c>
      <c r="O4247" t="inlineStr">
        <is>
          <t>Não</t>
        </is>
      </c>
      <c r="P4247" t="inlineStr">
        <is>
          <t>1.350</t>
        </is>
      </c>
    </row>
    <row r="4248">
      <c r="A4248" s="24" t="n">
        <v>46235</v>
      </c>
      <c r="B4248" t="inlineStr">
        <is>
          <t>Frete de venda</t>
        </is>
      </c>
      <c r="C4248" t="inlineStr">
        <is>
          <t>Frete de venda (para clientes)</t>
        </is>
      </c>
      <c r="D4248" t="inlineStr">
        <is>
          <t>CT-e</t>
        </is>
      </c>
      <c r="E4248" t="inlineStr">
        <is>
          <t>000000366</t>
        </is>
      </c>
      <c r="F4248" t="inlineStr">
        <is>
          <t>DURA MAIS TRANSPORTES LTDA</t>
        </is>
      </c>
      <c r="G4248" s="27" t="n">
        <v>46259</v>
      </c>
      <c r="H4248" s="14" t="n">
        <v>700</v>
      </c>
      <c r="I4248" s="14" t="n">
        <v>0</v>
      </c>
      <c r="J4248" s="14" t="n">
        <v>84</v>
      </c>
      <c r="K4248" s="14" t="n">
        <v>0</v>
      </c>
      <c r="L4248" s="14" t="n">
        <v>0</v>
      </c>
      <c r="M4248" s="14">
        <f>IF(B4248="Frete de venda",0,(1-ISNUMBER(SEARCH("556",P4248)))*(I4248*VLOOKUP($B4248,Premissas!$A$4:$E$7,2,0)+J4248*VLOOKUP($B4248,Premissas!$A$4:$E$7,3,0))+K4248*VLOOKUP($B4248,Premissas!$A$4:$E$7,4,0)+L4248*VLOOKUP($B4248,Premissas!$A$4:$E$7,5,0))</f>
        <v/>
      </c>
      <c r="N4248" s="14">
        <f>H4248-M4248</f>
        <v/>
      </c>
      <c r="O4248" t="inlineStr">
        <is>
          <t>Sim</t>
        </is>
      </c>
      <c r="P4248" t="inlineStr">
        <is>
          <t>2.350</t>
        </is>
      </c>
    </row>
    <row r="4249">
      <c r="A4249" s="24" t="n">
        <v>46235</v>
      </c>
      <c r="B4249" t="inlineStr">
        <is>
          <t>Frete de venda</t>
        </is>
      </c>
      <c r="C4249" t="inlineStr">
        <is>
          <t>Frete de venda (para clientes)</t>
        </is>
      </c>
      <c r="D4249" t="inlineStr">
        <is>
          <t>CT-e</t>
        </is>
      </c>
      <c r="E4249" t="inlineStr">
        <is>
          <t>000000209</t>
        </is>
      </c>
      <c r="F4249" t="inlineStr">
        <is>
          <t>DURA MAIS TRANSPORTES LTDA</t>
        </is>
      </c>
      <c r="G4249" s="27" t="n">
        <v>46249</v>
      </c>
      <c r="H4249" s="14" t="n">
        <v>817.1</v>
      </c>
      <c r="I4249" s="14" t="n">
        <v>0</v>
      </c>
      <c r="J4249" s="14" t="n">
        <v>98.05</v>
      </c>
      <c r="K4249" s="14" t="n">
        <v>0</v>
      </c>
      <c r="L4249" s="14" t="n">
        <v>0</v>
      </c>
      <c r="M4249" s="14">
        <f>IF(B4249="Frete de venda",0,(1-ISNUMBER(SEARCH("556",P4249)))*(I4249*VLOOKUP($B4249,Premissas!$A$4:$E$7,2,0)+J4249*VLOOKUP($B4249,Premissas!$A$4:$E$7,3,0))+K4249*VLOOKUP($B4249,Premissas!$A$4:$E$7,4,0)+L4249*VLOOKUP($B4249,Premissas!$A$4:$E$7,5,0))</f>
        <v/>
      </c>
      <c r="N4249" s="14">
        <f>H4249-M4249</f>
        <v/>
      </c>
      <c r="O4249" t="inlineStr">
        <is>
          <t>Sim</t>
        </is>
      </c>
      <c r="P4249" t="inlineStr">
        <is>
          <t>2.350</t>
        </is>
      </c>
    </row>
    <row r="4250">
      <c r="A4250" s="24" t="n">
        <v>46235</v>
      </c>
      <c r="B4250" t="inlineStr">
        <is>
          <t>Frete de venda</t>
        </is>
      </c>
      <c r="C4250" t="inlineStr">
        <is>
          <t>Frete de venda (para clientes)</t>
        </is>
      </c>
      <c r="D4250" t="inlineStr">
        <is>
          <t>CT-e</t>
        </is>
      </c>
      <c r="E4250" t="inlineStr">
        <is>
          <t>000000433</t>
        </is>
      </c>
      <c r="F4250" t="inlineStr">
        <is>
          <t>DURA MAIS TRANSPORTES LTDA</t>
        </is>
      </c>
      <c r="G4250" s="27" t="n">
        <v>46263</v>
      </c>
      <c r="H4250" s="14" t="n">
        <v>368.18</v>
      </c>
      <c r="I4250" s="14" t="n">
        <v>0</v>
      </c>
      <c r="J4250" s="14" t="n">
        <v>44.18</v>
      </c>
      <c r="K4250" s="14" t="n">
        <v>0</v>
      </c>
      <c r="L4250" s="14" t="n">
        <v>0</v>
      </c>
      <c r="M4250" s="14">
        <f>IF(B4250="Frete de venda",0,(1-ISNUMBER(SEARCH("556",P4250)))*(I4250*VLOOKUP($B4250,Premissas!$A$4:$E$7,2,0)+J4250*VLOOKUP($B4250,Premissas!$A$4:$E$7,3,0))+K4250*VLOOKUP($B4250,Premissas!$A$4:$E$7,4,0)+L4250*VLOOKUP($B4250,Premissas!$A$4:$E$7,5,0))</f>
        <v/>
      </c>
      <c r="N4250" s="14">
        <f>H4250-M4250</f>
        <v/>
      </c>
      <c r="O4250" t="inlineStr">
        <is>
          <t>Sim</t>
        </is>
      </c>
      <c r="P4250" t="inlineStr">
        <is>
          <t>2.350</t>
        </is>
      </c>
    </row>
    <row r="4251">
      <c r="A4251" s="24" t="n">
        <v>46235</v>
      </c>
      <c r="B4251" t="inlineStr">
        <is>
          <t>Frete de venda</t>
        </is>
      </c>
      <c r="C4251" t="inlineStr">
        <is>
          <t>Frete de venda (para clientes)</t>
        </is>
      </c>
      <c r="D4251" t="inlineStr">
        <is>
          <t>CT-e</t>
        </is>
      </c>
      <c r="E4251" t="inlineStr">
        <is>
          <t>000000362</t>
        </is>
      </c>
      <c r="F4251" t="inlineStr">
        <is>
          <t>DURA MAIS TRANSPORTES LTDA</t>
        </is>
      </c>
      <c r="G4251" s="27" t="n">
        <v>46259</v>
      </c>
      <c r="H4251" s="14" t="n">
        <v>700</v>
      </c>
      <c r="I4251" s="14" t="n">
        <v>0</v>
      </c>
      <c r="J4251" s="14" t="n">
        <v>84</v>
      </c>
      <c r="K4251" s="14" t="n">
        <v>0</v>
      </c>
      <c r="L4251" s="14" t="n">
        <v>0</v>
      </c>
      <c r="M4251" s="14">
        <f>IF(B4251="Frete de venda",0,(1-ISNUMBER(SEARCH("556",P4251)))*(I4251*VLOOKUP($B4251,Premissas!$A$4:$E$7,2,0)+J4251*VLOOKUP($B4251,Premissas!$A$4:$E$7,3,0))+K4251*VLOOKUP($B4251,Premissas!$A$4:$E$7,4,0)+L4251*VLOOKUP($B4251,Premissas!$A$4:$E$7,5,0))</f>
        <v/>
      </c>
      <c r="N4251" s="14">
        <f>H4251-M4251</f>
        <v/>
      </c>
      <c r="O4251" t="inlineStr">
        <is>
          <t>Sim</t>
        </is>
      </c>
      <c r="P4251" t="inlineStr">
        <is>
          <t>2.350</t>
        </is>
      </c>
    </row>
    <row r="4252">
      <c r="A4252" s="24" t="n">
        <v>46235</v>
      </c>
      <c r="B4252" t="inlineStr">
        <is>
          <t>Frete de venda</t>
        </is>
      </c>
      <c r="C4252" t="inlineStr">
        <is>
          <t>Frete de venda (para clientes)</t>
        </is>
      </c>
      <c r="D4252" t="inlineStr">
        <is>
          <t>CT-e</t>
        </is>
      </c>
      <c r="E4252" t="inlineStr">
        <is>
          <t>000000136</t>
        </is>
      </c>
      <c r="F4252" t="inlineStr">
        <is>
          <t>DURA MAIS TRANSPORTES LTDA</t>
        </is>
      </c>
      <c r="G4252" s="27" t="n">
        <v>46239</v>
      </c>
      <c r="H4252" s="14" t="n">
        <v>525</v>
      </c>
      <c r="I4252" s="14" t="n">
        <v>0</v>
      </c>
      <c r="J4252" s="14" t="n">
        <v>63</v>
      </c>
      <c r="K4252" s="14" t="n">
        <v>0</v>
      </c>
      <c r="L4252" s="14" t="n">
        <v>0</v>
      </c>
      <c r="M4252" s="14">
        <f>IF(B4252="Frete de venda",0,(1-ISNUMBER(SEARCH("556",P4252)))*(I4252*VLOOKUP($B4252,Premissas!$A$4:$E$7,2,0)+J4252*VLOOKUP($B4252,Premissas!$A$4:$E$7,3,0))+K4252*VLOOKUP($B4252,Premissas!$A$4:$E$7,4,0)+L4252*VLOOKUP($B4252,Premissas!$A$4:$E$7,5,0))</f>
        <v/>
      </c>
      <c r="N4252" s="14">
        <f>H4252-M4252</f>
        <v/>
      </c>
      <c r="O4252" t="inlineStr">
        <is>
          <t>Não</t>
        </is>
      </c>
      <c r="P4252" t="inlineStr">
        <is>
          <t>1.350</t>
        </is>
      </c>
    </row>
    <row r="4253">
      <c r="A4253" s="24" t="n">
        <v>46235</v>
      </c>
      <c r="B4253" t="inlineStr">
        <is>
          <t>Frete de venda</t>
        </is>
      </c>
      <c r="C4253" t="inlineStr">
        <is>
          <t>Frete de venda (para clientes)</t>
        </is>
      </c>
      <c r="D4253" t="inlineStr">
        <is>
          <t>CT-e</t>
        </is>
      </c>
      <c r="E4253" t="inlineStr">
        <is>
          <t>000000347</t>
        </is>
      </c>
      <c r="F4253" t="inlineStr">
        <is>
          <t>DURA MAIS TRANSPORTES LTDA</t>
        </is>
      </c>
      <c r="G4253" s="27" t="n">
        <v>46259</v>
      </c>
      <c r="H4253" s="14" t="n">
        <v>700</v>
      </c>
      <c r="I4253" s="14" t="n">
        <v>0</v>
      </c>
      <c r="J4253" s="14" t="n">
        <v>84</v>
      </c>
      <c r="K4253" s="14" t="n">
        <v>0</v>
      </c>
      <c r="L4253" s="14" t="n">
        <v>0</v>
      </c>
      <c r="M4253" s="14">
        <f>IF(B4253="Frete de venda",0,(1-ISNUMBER(SEARCH("556",P4253)))*(I4253*VLOOKUP($B4253,Premissas!$A$4:$E$7,2,0)+J4253*VLOOKUP($B4253,Premissas!$A$4:$E$7,3,0))+K4253*VLOOKUP($B4253,Premissas!$A$4:$E$7,4,0)+L4253*VLOOKUP($B4253,Premissas!$A$4:$E$7,5,0))</f>
        <v/>
      </c>
      <c r="N4253" s="14">
        <f>H4253-M4253</f>
        <v/>
      </c>
      <c r="O4253" t="inlineStr">
        <is>
          <t>Sim</t>
        </is>
      </c>
      <c r="P4253" t="inlineStr">
        <is>
          <t>2.350</t>
        </is>
      </c>
    </row>
    <row r="4254">
      <c r="A4254" s="24" t="n">
        <v>46235</v>
      </c>
      <c r="B4254" t="inlineStr">
        <is>
          <t>Frete de venda</t>
        </is>
      </c>
      <c r="C4254" t="inlineStr">
        <is>
          <t>Frete de venda (para clientes)</t>
        </is>
      </c>
      <c r="D4254" t="inlineStr">
        <is>
          <t>CT-e</t>
        </is>
      </c>
      <c r="E4254" t="inlineStr">
        <is>
          <t>000000131</t>
        </is>
      </c>
      <c r="F4254" t="inlineStr">
        <is>
          <t>DURA MAIS TRANSPORTES LTDA</t>
        </is>
      </c>
      <c r="G4254" s="27" t="n">
        <v>46239</v>
      </c>
      <c r="H4254" s="14" t="n">
        <v>1050</v>
      </c>
      <c r="I4254" s="14" t="n">
        <v>0</v>
      </c>
      <c r="J4254" s="14" t="n">
        <v>126</v>
      </c>
      <c r="K4254" s="14" t="n">
        <v>0</v>
      </c>
      <c r="L4254" s="14" t="n">
        <v>0</v>
      </c>
      <c r="M4254" s="14">
        <f>IF(B4254="Frete de venda",0,(1-ISNUMBER(SEARCH("556",P4254)))*(I4254*VLOOKUP($B4254,Premissas!$A$4:$E$7,2,0)+J4254*VLOOKUP($B4254,Premissas!$A$4:$E$7,3,0))+K4254*VLOOKUP($B4254,Premissas!$A$4:$E$7,4,0)+L4254*VLOOKUP($B4254,Premissas!$A$4:$E$7,5,0))</f>
        <v/>
      </c>
      <c r="N4254" s="14">
        <f>H4254-M4254</f>
        <v/>
      </c>
      <c r="O4254" t="inlineStr">
        <is>
          <t>Não</t>
        </is>
      </c>
      <c r="P4254" t="inlineStr">
        <is>
          <t>1.350</t>
        </is>
      </c>
    </row>
    <row r="4255">
      <c r="A4255" s="24" t="n">
        <v>46235</v>
      </c>
      <c r="B4255" t="inlineStr">
        <is>
          <t>Frete de venda</t>
        </is>
      </c>
      <c r="C4255" t="inlineStr">
        <is>
          <t>Frete de venda (para clientes)</t>
        </is>
      </c>
      <c r="D4255" t="inlineStr">
        <is>
          <t>CT-e</t>
        </is>
      </c>
      <c r="E4255" t="inlineStr">
        <is>
          <t>000000398</t>
        </is>
      </c>
      <c r="F4255" t="inlineStr">
        <is>
          <t>DURA MAIS TRANSPORTES LTDA</t>
        </is>
      </c>
      <c r="G4255" s="27" t="n">
        <v>46261</v>
      </c>
      <c r="H4255" s="14" t="n">
        <v>2587.5</v>
      </c>
      <c r="I4255" s="14" t="n">
        <v>0</v>
      </c>
      <c r="J4255" s="14" t="n">
        <v>310.5</v>
      </c>
      <c r="K4255" s="14" t="n">
        <v>0</v>
      </c>
      <c r="L4255" s="14" t="n">
        <v>0</v>
      </c>
      <c r="M4255" s="14">
        <f>IF(B4255="Frete de venda",0,(1-ISNUMBER(SEARCH("556",P4255)))*(I4255*VLOOKUP($B4255,Premissas!$A$4:$E$7,2,0)+J4255*VLOOKUP($B4255,Premissas!$A$4:$E$7,3,0))+K4255*VLOOKUP($B4255,Premissas!$A$4:$E$7,4,0)+L4255*VLOOKUP($B4255,Premissas!$A$4:$E$7,5,0))</f>
        <v/>
      </c>
      <c r="N4255" s="14">
        <f>H4255-M4255</f>
        <v/>
      </c>
      <c r="O4255" t="inlineStr">
        <is>
          <t>Sim</t>
        </is>
      </c>
      <c r="P4255" t="inlineStr">
        <is>
          <t>2.350</t>
        </is>
      </c>
    </row>
    <row r="4256">
      <c r="A4256" s="24" t="n">
        <v>46235</v>
      </c>
      <c r="B4256" t="inlineStr">
        <is>
          <t>Frete de venda</t>
        </is>
      </c>
      <c r="C4256" t="inlineStr">
        <is>
          <t>Frete de venda (para clientes)</t>
        </is>
      </c>
      <c r="D4256" t="inlineStr">
        <is>
          <t>CT-e</t>
        </is>
      </c>
      <c r="E4256" t="inlineStr">
        <is>
          <t>000000232</t>
        </is>
      </c>
      <c r="F4256" t="inlineStr">
        <is>
          <t>DURA MAIS TRANSPORTES LTDA</t>
        </is>
      </c>
      <c r="G4256" s="27" t="n">
        <v>46249</v>
      </c>
      <c r="H4256" s="14" t="n">
        <v>817.1</v>
      </c>
      <c r="I4256" s="14" t="n">
        <v>0</v>
      </c>
      <c r="J4256" s="14" t="n">
        <v>98.05</v>
      </c>
      <c r="K4256" s="14" t="n">
        <v>0</v>
      </c>
      <c r="L4256" s="14" t="n">
        <v>0</v>
      </c>
      <c r="M4256" s="14">
        <f>IF(B4256="Frete de venda",0,(1-ISNUMBER(SEARCH("556",P4256)))*(I4256*VLOOKUP($B4256,Premissas!$A$4:$E$7,2,0)+J4256*VLOOKUP($B4256,Premissas!$A$4:$E$7,3,0))+K4256*VLOOKUP($B4256,Premissas!$A$4:$E$7,4,0)+L4256*VLOOKUP($B4256,Premissas!$A$4:$E$7,5,0))</f>
        <v/>
      </c>
      <c r="N4256" s="14">
        <f>H4256-M4256</f>
        <v/>
      </c>
      <c r="O4256" t="inlineStr">
        <is>
          <t>Sim</t>
        </is>
      </c>
      <c r="P4256" t="inlineStr">
        <is>
          <t>2.350</t>
        </is>
      </c>
    </row>
    <row r="4257">
      <c r="A4257" s="24" t="n">
        <v>46235</v>
      </c>
      <c r="B4257" t="inlineStr">
        <is>
          <t>Frete de venda</t>
        </is>
      </c>
      <c r="C4257" t="inlineStr">
        <is>
          <t>Frete de venda (para clientes)</t>
        </is>
      </c>
      <c r="D4257" t="inlineStr">
        <is>
          <t>CT-e</t>
        </is>
      </c>
      <c r="E4257" t="inlineStr">
        <is>
          <t>000000315</t>
        </is>
      </c>
      <c r="F4257" t="inlineStr">
        <is>
          <t>DURA MAIS TRANSPORTES LTDA</t>
        </is>
      </c>
      <c r="G4257" s="27" t="n">
        <v>46255</v>
      </c>
      <c r="H4257" s="14" t="n">
        <v>9000</v>
      </c>
      <c r="I4257" s="14" t="n">
        <v>0</v>
      </c>
      <c r="J4257" s="14" t="n">
        <v>1080</v>
      </c>
      <c r="K4257" s="14" t="n">
        <v>0</v>
      </c>
      <c r="L4257" s="14" t="n">
        <v>0</v>
      </c>
      <c r="M4257" s="14">
        <f>IF(B4257="Frete de venda",0,(1-ISNUMBER(SEARCH("556",P4257)))*(I4257*VLOOKUP($B4257,Premissas!$A$4:$E$7,2,0)+J4257*VLOOKUP($B4257,Premissas!$A$4:$E$7,3,0))+K4257*VLOOKUP($B4257,Premissas!$A$4:$E$7,4,0)+L4257*VLOOKUP($B4257,Premissas!$A$4:$E$7,5,0))</f>
        <v/>
      </c>
      <c r="N4257" s="14">
        <f>H4257-M4257</f>
        <v/>
      </c>
      <c r="O4257" t="inlineStr">
        <is>
          <t>Sim</t>
        </is>
      </c>
      <c r="P4257" t="inlineStr">
        <is>
          <t>2.350</t>
        </is>
      </c>
    </row>
    <row r="4258">
      <c r="A4258" s="24" t="n">
        <v>46235</v>
      </c>
      <c r="B4258" t="inlineStr">
        <is>
          <t>Frete de venda</t>
        </is>
      </c>
      <c r="C4258" t="inlineStr">
        <is>
          <t>Frete de venda (para clientes)</t>
        </is>
      </c>
      <c r="D4258" t="inlineStr">
        <is>
          <t>CT-e</t>
        </is>
      </c>
      <c r="E4258" t="inlineStr">
        <is>
          <t>000007851</t>
        </is>
      </c>
      <c r="F4258" t="inlineStr">
        <is>
          <t>R&amp;R TRANSPORTE E LOGISTICA</t>
        </is>
      </c>
      <c r="G4258" s="27" t="n">
        <v>46235</v>
      </c>
      <c r="H4258" s="14" t="n">
        <v>37.44</v>
      </c>
      <c r="I4258" s="14" t="n">
        <v>0</v>
      </c>
      <c r="J4258" s="14" t="n">
        <v>0</v>
      </c>
      <c r="K4258" s="14" t="n">
        <v>0</v>
      </c>
      <c r="L4258" s="14" t="n">
        <v>0</v>
      </c>
      <c r="M4258" s="14">
        <f>IF(B4258="Frete de venda",0,(1-ISNUMBER(SEARCH("556",P4258)))*(I4258*VLOOKUP($B4258,Premissas!$A$4:$E$7,2,0)+J4258*VLOOKUP($B4258,Premissas!$A$4:$E$7,3,0))+K4258*VLOOKUP($B4258,Premissas!$A$4:$E$7,4,0)+L4258*VLOOKUP($B4258,Premissas!$A$4:$E$7,5,0))</f>
        <v/>
      </c>
      <c r="N4258" s="14">
        <f>H4258-M4258</f>
        <v/>
      </c>
      <c r="O4258" t="inlineStr">
        <is>
          <t>Não</t>
        </is>
      </c>
      <c r="P4258" t="inlineStr">
        <is>
          <t>2.350</t>
        </is>
      </c>
    </row>
    <row r="4259">
      <c r="A4259" s="24" t="n">
        <v>46235</v>
      </c>
      <c r="B4259" t="inlineStr">
        <is>
          <t>Frete de venda</t>
        </is>
      </c>
      <c r="C4259" t="inlineStr">
        <is>
          <t>Frete de venda (para clientes)</t>
        </is>
      </c>
      <c r="D4259" t="inlineStr">
        <is>
          <t>CT-e</t>
        </is>
      </c>
      <c r="E4259" t="inlineStr">
        <is>
          <t>000000302</t>
        </is>
      </c>
      <c r="F4259" t="inlineStr">
        <is>
          <t>DURA MAIS TRANSPORTES LTDA</t>
        </is>
      </c>
      <c r="G4259" s="27" t="n">
        <v>46255</v>
      </c>
      <c r="H4259" s="14" t="n">
        <v>1080</v>
      </c>
      <c r="I4259" s="14" t="n">
        <v>0</v>
      </c>
      <c r="J4259" s="14" t="n">
        <v>129.6</v>
      </c>
      <c r="K4259" s="14" t="n">
        <v>0</v>
      </c>
      <c r="L4259" s="14" t="n">
        <v>0</v>
      </c>
      <c r="M4259" s="14">
        <f>IF(B4259="Frete de venda",0,(1-ISNUMBER(SEARCH("556",P4259)))*(I4259*VLOOKUP($B4259,Premissas!$A$4:$E$7,2,0)+J4259*VLOOKUP($B4259,Premissas!$A$4:$E$7,3,0))+K4259*VLOOKUP($B4259,Premissas!$A$4:$E$7,4,0)+L4259*VLOOKUP($B4259,Premissas!$A$4:$E$7,5,0))</f>
        <v/>
      </c>
      <c r="N4259" s="14">
        <f>H4259-M4259</f>
        <v/>
      </c>
      <c r="O4259" t="inlineStr">
        <is>
          <t>Sim</t>
        </is>
      </c>
      <c r="P4259" t="inlineStr">
        <is>
          <t>2.350</t>
        </is>
      </c>
    </row>
    <row r="4260">
      <c r="A4260" s="24" t="n">
        <v>46235</v>
      </c>
      <c r="B4260" t="inlineStr">
        <is>
          <t>Frete de venda</t>
        </is>
      </c>
      <c r="C4260" t="inlineStr">
        <is>
          <t>Frete de venda (para clientes)</t>
        </is>
      </c>
      <c r="D4260" t="inlineStr">
        <is>
          <t>CT-e</t>
        </is>
      </c>
      <c r="E4260" t="inlineStr">
        <is>
          <t>000046579</t>
        </is>
      </c>
      <c r="F4260" t="inlineStr">
        <is>
          <t>TRANSFORRECHI TRANSPORTES LTDA</t>
        </is>
      </c>
      <c r="G4260" s="27" t="n">
        <v>46248</v>
      </c>
      <c r="H4260" s="14" t="n">
        <v>720</v>
      </c>
      <c r="I4260" s="14" t="n">
        <v>0</v>
      </c>
      <c r="J4260" s="14" t="n">
        <v>86.40000000000001</v>
      </c>
      <c r="K4260" s="14" t="n">
        <v>0</v>
      </c>
      <c r="L4260" s="14" t="n">
        <v>0</v>
      </c>
      <c r="M4260" s="14">
        <f>IF(B4260="Frete de venda",0,(1-ISNUMBER(SEARCH("556",P4260)))*(I4260*VLOOKUP($B4260,Premissas!$A$4:$E$7,2,0)+J4260*VLOOKUP($B4260,Premissas!$A$4:$E$7,3,0))+K4260*VLOOKUP($B4260,Premissas!$A$4:$E$7,4,0)+L4260*VLOOKUP($B4260,Premissas!$A$4:$E$7,5,0))</f>
        <v/>
      </c>
      <c r="N4260" s="14">
        <f>H4260-M4260</f>
        <v/>
      </c>
      <c r="O4260" t="inlineStr">
        <is>
          <t>Sim</t>
        </is>
      </c>
      <c r="P4260" t="inlineStr">
        <is>
          <t>2.350</t>
        </is>
      </c>
    </row>
    <row r="4261">
      <c r="A4261" s="24" t="n">
        <v>46235</v>
      </c>
      <c r="B4261" t="inlineStr">
        <is>
          <t>Frete de venda</t>
        </is>
      </c>
      <c r="C4261" t="inlineStr">
        <is>
          <t>Frete de venda (para clientes)</t>
        </is>
      </c>
      <c r="D4261" t="inlineStr">
        <is>
          <t>CT-e</t>
        </is>
      </c>
      <c r="E4261" t="inlineStr">
        <is>
          <t>000046580</t>
        </is>
      </c>
      <c r="F4261" t="inlineStr">
        <is>
          <t>TRANSFORRECHI TRANSPORTES LTDA</t>
        </is>
      </c>
      <c r="G4261" s="27" t="n">
        <v>46248</v>
      </c>
      <c r="H4261" s="14" t="n">
        <v>720</v>
      </c>
      <c r="I4261" s="14" t="n">
        <v>0</v>
      </c>
      <c r="J4261" s="14" t="n">
        <v>86.40000000000001</v>
      </c>
      <c r="K4261" s="14" t="n">
        <v>0</v>
      </c>
      <c r="L4261" s="14" t="n">
        <v>0</v>
      </c>
      <c r="M4261" s="14">
        <f>IF(B4261="Frete de venda",0,(1-ISNUMBER(SEARCH("556",P4261)))*(I4261*VLOOKUP($B4261,Premissas!$A$4:$E$7,2,0)+J4261*VLOOKUP($B4261,Premissas!$A$4:$E$7,3,0))+K4261*VLOOKUP($B4261,Premissas!$A$4:$E$7,4,0)+L4261*VLOOKUP($B4261,Premissas!$A$4:$E$7,5,0))</f>
        <v/>
      </c>
      <c r="N4261" s="14">
        <f>H4261-M4261</f>
        <v/>
      </c>
      <c r="O4261" t="inlineStr">
        <is>
          <t>Sim</t>
        </is>
      </c>
      <c r="P4261" t="inlineStr">
        <is>
          <t>2.350</t>
        </is>
      </c>
    </row>
    <row r="4262">
      <c r="A4262" s="24" t="n">
        <v>46235</v>
      </c>
      <c r="B4262" t="inlineStr">
        <is>
          <t>Frete de venda</t>
        </is>
      </c>
      <c r="C4262" t="inlineStr">
        <is>
          <t>Frete de venda (para clientes)</t>
        </is>
      </c>
      <c r="D4262" t="inlineStr">
        <is>
          <t>CT-e</t>
        </is>
      </c>
      <c r="E4262" t="inlineStr">
        <is>
          <t>000046800</t>
        </is>
      </c>
      <c r="F4262" t="inlineStr">
        <is>
          <t>TRANSFORRECHI TRANSPORTES LTDA</t>
        </is>
      </c>
      <c r="G4262" s="27" t="n">
        <v>46261</v>
      </c>
      <c r="H4262" s="14" t="n">
        <v>3240</v>
      </c>
      <c r="I4262" s="14" t="n">
        <v>0</v>
      </c>
      <c r="J4262" s="14" t="n">
        <v>388.8</v>
      </c>
      <c r="K4262" s="14" t="n">
        <v>0</v>
      </c>
      <c r="L4262" s="14" t="n">
        <v>0</v>
      </c>
      <c r="M4262" s="14">
        <f>IF(B4262="Frete de venda",0,(1-ISNUMBER(SEARCH("556",P4262)))*(I4262*VLOOKUP($B4262,Premissas!$A$4:$E$7,2,0)+J4262*VLOOKUP($B4262,Premissas!$A$4:$E$7,3,0))+K4262*VLOOKUP($B4262,Premissas!$A$4:$E$7,4,0)+L4262*VLOOKUP($B4262,Premissas!$A$4:$E$7,5,0))</f>
        <v/>
      </c>
      <c r="N4262" s="14">
        <f>H4262-M4262</f>
        <v/>
      </c>
      <c r="O4262" t="inlineStr">
        <is>
          <t>Sim</t>
        </is>
      </c>
      <c r="P4262" t="inlineStr">
        <is>
          <t>2.350</t>
        </is>
      </c>
    </row>
    <row r="4263">
      <c r="A4263" s="24" t="n">
        <v>46235</v>
      </c>
      <c r="B4263" t="inlineStr">
        <is>
          <t>Frete de venda</t>
        </is>
      </c>
      <c r="C4263" t="inlineStr">
        <is>
          <t>Frete de venda (para clientes)</t>
        </is>
      </c>
      <c r="D4263" t="inlineStr">
        <is>
          <t>CT-e</t>
        </is>
      </c>
      <c r="E4263" t="inlineStr">
        <is>
          <t>000000189</t>
        </is>
      </c>
      <c r="F4263" t="inlineStr">
        <is>
          <t>DURA MAIS TRANSPORTES LTDA</t>
        </is>
      </c>
      <c r="G4263" s="27" t="n">
        <v>46246</v>
      </c>
      <c r="H4263" s="14" t="n">
        <v>560</v>
      </c>
      <c r="I4263" s="14" t="n">
        <v>0</v>
      </c>
      <c r="J4263" s="14" t="n">
        <v>67.2</v>
      </c>
      <c r="K4263" s="14" t="n">
        <v>0</v>
      </c>
      <c r="L4263" s="14" t="n">
        <v>0</v>
      </c>
      <c r="M4263" s="14">
        <f>IF(B4263="Frete de venda",0,(1-ISNUMBER(SEARCH("556",P4263)))*(I4263*VLOOKUP($B4263,Premissas!$A$4:$E$7,2,0)+J4263*VLOOKUP($B4263,Premissas!$A$4:$E$7,3,0))+K4263*VLOOKUP($B4263,Premissas!$A$4:$E$7,4,0)+L4263*VLOOKUP($B4263,Premissas!$A$4:$E$7,5,0))</f>
        <v/>
      </c>
      <c r="N4263" s="14">
        <f>H4263-M4263</f>
        <v/>
      </c>
      <c r="O4263" t="inlineStr">
        <is>
          <t>Sim</t>
        </is>
      </c>
      <c r="P4263" t="inlineStr">
        <is>
          <t>2.350</t>
        </is>
      </c>
    </row>
    <row r="4264">
      <c r="A4264" s="24" t="n">
        <v>46235</v>
      </c>
      <c r="B4264" t="inlineStr">
        <is>
          <t>Frete de venda</t>
        </is>
      </c>
      <c r="C4264" t="inlineStr">
        <is>
          <t>Frete de venda (para clientes)</t>
        </is>
      </c>
      <c r="D4264" t="inlineStr">
        <is>
          <t>CT-e</t>
        </is>
      </c>
      <c r="E4264" t="inlineStr">
        <is>
          <t>000007931</t>
        </is>
      </c>
      <c r="F4264" t="inlineStr">
        <is>
          <t>R&amp;R TRANSPORTE E LOGISTICA</t>
        </is>
      </c>
      <c r="G4264" s="27" t="n">
        <v>46260</v>
      </c>
      <c r="H4264" s="14" t="n">
        <v>1500</v>
      </c>
      <c r="I4264" s="14" t="n">
        <v>0</v>
      </c>
      <c r="J4264" s="14" t="n">
        <v>0</v>
      </c>
      <c r="K4264" s="14" t="n">
        <v>0</v>
      </c>
      <c r="L4264" s="14" t="n">
        <v>0</v>
      </c>
      <c r="M4264" s="14">
        <f>IF(B4264="Frete de venda",0,(1-ISNUMBER(SEARCH("556",P4264)))*(I4264*VLOOKUP($B4264,Premissas!$A$4:$E$7,2,0)+J4264*VLOOKUP($B4264,Premissas!$A$4:$E$7,3,0))+K4264*VLOOKUP($B4264,Premissas!$A$4:$E$7,4,0)+L4264*VLOOKUP($B4264,Premissas!$A$4:$E$7,5,0))</f>
        <v/>
      </c>
      <c r="N4264" s="14">
        <f>H4264-M4264</f>
        <v/>
      </c>
      <c r="O4264" t="inlineStr">
        <is>
          <t>Sim</t>
        </is>
      </c>
      <c r="P4264" t="inlineStr">
        <is>
          <t>2.350</t>
        </is>
      </c>
    </row>
    <row r="4265">
      <c r="A4265" s="24" t="n">
        <v>46235</v>
      </c>
      <c r="B4265" t="inlineStr">
        <is>
          <t>Frete de venda</t>
        </is>
      </c>
      <c r="C4265" t="inlineStr">
        <is>
          <t>Frete de venda (para clientes)</t>
        </is>
      </c>
      <c r="D4265" t="inlineStr">
        <is>
          <t>CT-e</t>
        </is>
      </c>
      <c r="E4265" t="inlineStr">
        <is>
          <t>000007932</t>
        </is>
      </c>
      <c r="F4265" t="inlineStr">
        <is>
          <t>R&amp;R TRANSPORTE E LOGISTICA</t>
        </is>
      </c>
      <c r="G4265" s="27" t="n">
        <v>46260</v>
      </c>
      <c r="H4265" s="14" t="n">
        <v>1500</v>
      </c>
      <c r="I4265" s="14" t="n">
        <v>0</v>
      </c>
      <c r="J4265" s="14" t="n">
        <v>0</v>
      </c>
      <c r="K4265" s="14" t="n">
        <v>0</v>
      </c>
      <c r="L4265" s="14" t="n">
        <v>0</v>
      </c>
      <c r="M4265" s="14">
        <f>IF(B4265="Frete de venda",0,(1-ISNUMBER(SEARCH("556",P4265)))*(I4265*VLOOKUP($B4265,Premissas!$A$4:$E$7,2,0)+J4265*VLOOKUP($B4265,Premissas!$A$4:$E$7,3,0))+K4265*VLOOKUP($B4265,Premissas!$A$4:$E$7,4,0)+L4265*VLOOKUP($B4265,Premissas!$A$4:$E$7,5,0))</f>
        <v/>
      </c>
      <c r="N4265" s="14">
        <f>H4265-M4265</f>
        <v/>
      </c>
      <c r="O4265" t="inlineStr">
        <is>
          <t>Sim</t>
        </is>
      </c>
      <c r="P4265" t="inlineStr">
        <is>
          <t>2.350</t>
        </is>
      </c>
    </row>
    <row r="4266">
      <c r="A4266" s="24" t="n">
        <v>46235</v>
      </c>
      <c r="B4266" t="inlineStr">
        <is>
          <t>Frete de venda</t>
        </is>
      </c>
      <c r="C4266" t="inlineStr">
        <is>
          <t>Frete de venda (para clientes)</t>
        </is>
      </c>
      <c r="D4266" t="inlineStr">
        <is>
          <t>CT-e</t>
        </is>
      </c>
      <c r="E4266" t="inlineStr">
        <is>
          <t>000000346</t>
        </is>
      </c>
      <c r="F4266" t="inlineStr">
        <is>
          <t>DURA MAIS TRANSPORTES LTDA</t>
        </is>
      </c>
      <c r="G4266" s="27" t="n">
        <v>46259</v>
      </c>
      <c r="H4266" s="14" t="n">
        <v>700</v>
      </c>
      <c r="I4266" s="14" t="n">
        <v>0</v>
      </c>
      <c r="J4266" s="14" t="n">
        <v>84</v>
      </c>
      <c r="K4266" s="14" t="n">
        <v>0</v>
      </c>
      <c r="L4266" s="14" t="n">
        <v>0</v>
      </c>
      <c r="M4266" s="14">
        <f>IF(B4266="Frete de venda",0,(1-ISNUMBER(SEARCH("556",P4266)))*(I4266*VLOOKUP($B4266,Premissas!$A$4:$E$7,2,0)+J4266*VLOOKUP($B4266,Premissas!$A$4:$E$7,3,0))+K4266*VLOOKUP($B4266,Premissas!$A$4:$E$7,4,0)+L4266*VLOOKUP($B4266,Premissas!$A$4:$E$7,5,0))</f>
        <v/>
      </c>
      <c r="N4266" s="14">
        <f>H4266-M4266</f>
        <v/>
      </c>
      <c r="O4266" t="inlineStr">
        <is>
          <t>Sim</t>
        </is>
      </c>
      <c r="P4266" t="inlineStr">
        <is>
          <t>2.350</t>
        </is>
      </c>
    </row>
    <row r="4267">
      <c r="A4267" s="24" t="n">
        <v>46235</v>
      </c>
      <c r="B4267" t="inlineStr">
        <is>
          <t>Frete de venda</t>
        </is>
      </c>
      <c r="C4267" t="inlineStr">
        <is>
          <t>Frete de venda (para clientes)</t>
        </is>
      </c>
      <c r="D4267" t="inlineStr">
        <is>
          <t>CT-e</t>
        </is>
      </c>
      <c r="E4267" t="inlineStr">
        <is>
          <t>001466137</t>
        </is>
      </c>
      <c r="F4267" t="inlineStr">
        <is>
          <t>PICCOLI TRANSPORTES LTDA</t>
        </is>
      </c>
      <c r="G4267" s="27" t="n">
        <v>46259</v>
      </c>
      <c r="H4267" s="14" t="n">
        <v>3504.45</v>
      </c>
      <c r="I4267" s="14" t="n">
        <v>0</v>
      </c>
      <c r="J4267" s="14" t="n">
        <v>245.31</v>
      </c>
      <c r="K4267" s="14" t="n">
        <v>0</v>
      </c>
      <c r="L4267" s="14" t="n">
        <v>0</v>
      </c>
      <c r="M4267" s="14">
        <f>IF(B4267="Frete de venda",0,(1-ISNUMBER(SEARCH("556",P4267)))*(I4267*VLOOKUP($B4267,Premissas!$A$4:$E$7,2,0)+J4267*VLOOKUP($B4267,Premissas!$A$4:$E$7,3,0))+K4267*VLOOKUP($B4267,Premissas!$A$4:$E$7,4,0)+L4267*VLOOKUP($B4267,Premissas!$A$4:$E$7,5,0))</f>
        <v/>
      </c>
      <c r="N4267" s="14">
        <f>H4267-M4267</f>
        <v/>
      </c>
      <c r="O4267" t="inlineStr">
        <is>
          <t>Sim</t>
        </is>
      </c>
      <c r="P4267" t="inlineStr">
        <is>
          <t>2.350</t>
        </is>
      </c>
    </row>
    <row r="4268">
      <c r="A4268" s="24" t="n">
        <v>46235</v>
      </c>
      <c r="B4268" t="inlineStr">
        <is>
          <t>Frete de venda</t>
        </is>
      </c>
      <c r="C4268" t="inlineStr">
        <is>
          <t>Frete de venda (para clientes)</t>
        </is>
      </c>
      <c r="D4268" t="inlineStr">
        <is>
          <t>CT-e</t>
        </is>
      </c>
      <c r="E4268" t="inlineStr">
        <is>
          <t>000000437</t>
        </is>
      </c>
      <c r="F4268" t="inlineStr">
        <is>
          <t>DURA MAIS TRANSPORTES LTDA</t>
        </is>
      </c>
      <c r="G4268" s="27" t="n">
        <v>46263</v>
      </c>
      <c r="H4268" s="14" t="n">
        <v>368.18</v>
      </c>
      <c r="I4268" s="14" t="n">
        <v>0</v>
      </c>
      <c r="J4268" s="14" t="n">
        <v>44.18</v>
      </c>
      <c r="K4268" s="14" t="n">
        <v>0</v>
      </c>
      <c r="L4268" s="14" t="n">
        <v>0</v>
      </c>
      <c r="M4268" s="14">
        <f>IF(B4268="Frete de venda",0,(1-ISNUMBER(SEARCH("556",P4268)))*(I4268*VLOOKUP($B4268,Premissas!$A$4:$E$7,2,0)+J4268*VLOOKUP($B4268,Premissas!$A$4:$E$7,3,0))+K4268*VLOOKUP($B4268,Premissas!$A$4:$E$7,4,0)+L4268*VLOOKUP($B4268,Premissas!$A$4:$E$7,5,0))</f>
        <v/>
      </c>
      <c r="N4268" s="14">
        <f>H4268-M4268</f>
        <v/>
      </c>
      <c r="O4268" t="inlineStr">
        <is>
          <t>Sim</t>
        </is>
      </c>
      <c r="P4268" t="inlineStr">
        <is>
          <t>2.350</t>
        </is>
      </c>
    </row>
    <row r="4269">
      <c r="A4269" s="24" t="n">
        <v>46235</v>
      </c>
      <c r="B4269" t="inlineStr">
        <is>
          <t>Frete de venda</t>
        </is>
      </c>
      <c r="C4269" t="inlineStr">
        <is>
          <t>Frete de venda (para clientes)</t>
        </is>
      </c>
      <c r="D4269" t="inlineStr">
        <is>
          <t>CT-e</t>
        </is>
      </c>
      <c r="E4269" t="inlineStr">
        <is>
          <t>000000139</t>
        </is>
      </c>
      <c r="F4269" t="inlineStr">
        <is>
          <t>DURA MAIS TRANSPORTES LTDA</t>
        </is>
      </c>
      <c r="G4269" s="27" t="n">
        <v>46239</v>
      </c>
      <c r="H4269" s="14" t="n">
        <v>525</v>
      </c>
      <c r="I4269" s="14" t="n">
        <v>0</v>
      </c>
      <c r="J4269" s="14" t="n">
        <v>63</v>
      </c>
      <c r="K4269" s="14" t="n">
        <v>0</v>
      </c>
      <c r="L4269" s="14" t="n">
        <v>0</v>
      </c>
      <c r="M4269" s="14">
        <f>IF(B4269="Frete de venda",0,(1-ISNUMBER(SEARCH("556",P4269)))*(I4269*VLOOKUP($B4269,Premissas!$A$4:$E$7,2,0)+J4269*VLOOKUP($B4269,Premissas!$A$4:$E$7,3,0))+K4269*VLOOKUP($B4269,Premissas!$A$4:$E$7,4,0)+L4269*VLOOKUP($B4269,Premissas!$A$4:$E$7,5,0))</f>
        <v/>
      </c>
      <c r="N4269" s="14">
        <f>H4269-M4269</f>
        <v/>
      </c>
      <c r="O4269" t="inlineStr">
        <is>
          <t>Não</t>
        </is>
      </c>
      <c r="P4269" t="inlineStr">
        <is>
          <t>1.350</t>
        </is>
      </c>
    </row>
    <row r="4270">
      <c r="A4270" s="24" t="n">
        <v>46235</v>
      </c>
      <c r="B4270" t="inlineStr">
        <is>
          <t>Frete de venda</t>
        </is>
      </c>
      <c r="C4270" t="inlineStr">
        <is>
          <t>Frete de venda (para clientes)</t>
        </is>
      </c>
      <c r="D4270" t="inlineStr">
        <is>
          <t>CT-e</t>
        </is>
      </c>
      <c r="E4270" t="inlineStr">
        <is>
          <t>000000147</t>
        </is>
      </c>
      <c r="F4270" t="inlineStr">
        <is>
          <t>DURA MAIS TRANSPORTES LTDA</t>
        </is>
      </c>
      <c r="G4270" s="27" t="n">
        <v>46240</v>
      </c>
      <c r="H4270" s="14" t="n">
        <v>525</v>
      </c>
      <c r="I4270" s="14" t="n">
        <v>0</v>
      </c>
      <c r="J4270" s="14" t="n">
        <v>63</v>
      </c>
      <c r="K4270" s="14" t="n">
        <v>0</v>
      </c>
      <c r="L4270" s="14" t="n">
        <v>0</v>
      </c>
      <c r="M4270" s="14">
        <f>IF(B4270="Frete de venda",0,(1-ISNUMBER(SEARCH("556",P4270)))*(I4270*VLOOKUP($B4270,Premissas!$A$4:$E$7,2,0)+J4270*VLOOKUP($B4270,Premissas!$A$4:$E$7,3,0))+K4270*VLOOKUP($B4270,Premissas!$A$4:$E$7,4,0)+L4270*VLOOKUP($B4270,Premissas!$A$4:$E$7,5,0))</f>
        <v/>
      </c>
      <c r="N4270" s="14">
        <f>H4270-M4270</f>
        <v/>
      </c>
      <c r="O4270" t="inlineStr">
        <is>
          <t>Não</t>
        </is>
      </c>
      <c r="P4270" t="inlineStr">
        <is>
          <t>1.350</t>
        </is>
      </c>
    </row>
    <row r="4271">
      <c r="A4271" s="24" t="n">
        <v>46235</v>
      </c>
      <c r="B4271" t="inlineStr">
        <is>
          <t>Frete de venda</t>
        </is>
      </c>
      <c r="C4271" t="inlineStr">
        <is>
          <t>Frete de venda (para clientes)</t>
        </is>
      </c>
      <c r="D4271" t="inlineStr">
        <is>
          <t>CT-e</t>
        </is>
      </c>
      <c r="E4271" t="inlineStr">
        <is>
          <t>000000435</t>
        </is>
      </c>
      <c r="F4271" t="inlineStr">
        <is>
          <t>DURA MAIS TRANSPORTES LTDA</t>
        </is>
      </c>
      <c r="G4271" s="27" t="n">
        <v>46263</v>
      </c>
      <c r="H4271" s="14" t="n">
        <v>368.18</v>
      </c>
      <c r="I4271" s="14" t="n">
        <v>0</v>
      </c>
      <c r="J4271" s="14" t="n">
        <v>44.18</v>
      </c>
      <c r="K4271" s="14" t="n">
        <v>0</v>
      </c>
      <c r="L4271" s="14" t="n">
        <v>0</v>
      </c>
      <c r="M4271" s="14">
        <f>IF(B4271="Frete de venda",0,(1-ISNUMBER(SEARCH("556",P4271)))*(I4271*VLOOKUP($B4271,Premissas!$A$4:$E$7,2,0)+J4271*VLOOKUP($B4271,Premissas!$A$4:$E$7,3,0))+K4271*VLOOKUP($B4271,Premissas!$A$4:$E$7,4,0)+L4271*VLOOKUP($B4271,Premissas!$A$4:$E$7,5,0))</f>
        <v/>
      </c>
      <c r="N4271" s="14">
        <f>H4271-M4271</f>
        <v/>
      </c>
      <c r="O4271" t="inlineStr">
        <is>
          <t>Sim</t>
        </is>
      </c>
      <c r="P4271" t="inlineStr">
        <is>
          <t>2.350</t>
        </is>
      </c>
    </row>
    <row r="4272">
      <c r="A4272" s="24" t="n">
        <v>46235</v>
      </c>
      <c r="B4272" t="inlineStr">
        <is>
          <t>Frete de venda</t>
        </is>
      </c>
      <c r="C4272" t="inlineStr">
        <is>
          <t>Frete de venda (para clientes)</t>
        </is>
      </c>
      <c r="D4272" t="inlineStr">
        <is>
          <t>CT-e</t>
        </is>
      </c>
      <c r="E4272" t="inlineStr">
        <is>
          <t>000000211</t>
        </is>
      </c>
      <c r="F4272" t="inlineStr">
        <is>
          <t>DURA MAIS TRANSPORTES LTDA</t>
        </is>
      </c>
      <c r="G4272" s="27" t="n">
        <v>46249</v>
      </c>
      <c r="H4272" s="14" t="n">
        <v>817.1</v>
      </c>
      <c r="I4272" s="14" t="n">
        <v>0</v>
      </c>
      <c r="J4272" s="14" t="n">
        <v>98.05</v>
      </c>
      <c r="K4272" s="14" t="n">
        <v>0</v>
      </c>
      <c r="L4272" s="14" t="n">
        <v>0</v>
      </c>
      <c r="M4272" s="14">
        <f>IF(B4272="Frete de venda",0,(1-ISNUMBER(SEARCH("556",P4272)))*(I4272*VLOOKUP($B4272,Premissas!$A$4:$E$7,2,0)+J4272*VLOOKUP($B4272,Premissas!$A$4:$E$7,3,0))+K4272*VLOOKUP($B4272,Premissas!$A$4:$E$7,4,0)+L4272*VLOOKUP($B4272,Premissas!$A$4:$E$7,5,0))</f>
        <v/>
      </c>
      <c r="N4272" s="14">
        <f>H4272-M4272</f>
        <v/>
      </c>
      <c r="O4272" t="inlineStr">
        <is>
          <t>Sim</t>
        </is>
      </c>
      <c r="P4272" t="inlineStr">
        <is>
          <t>2.350</t>
        </is>
      </c>
    </row>
    <row r="4273">
      <c r="A4273" s="24" t="n">
        <v>46235</v>
      </c>
      <c r="B4273" t="inlineStr">
        <is>
          <t>Frete de venda</t>
        </is>
      </c>
      <c r="C4273" t="inlineStr">
        <is>
          <t>Frete de venda (para clientes)</t>
        </is>
      </c>
      <c r="D4273" t="inlineStr">
        <is>
          <t>CT-e</t>
        </is>
      </c>
      <c r="E4273" t="inlineStr">
        <is>
          <t>000046570</t>
        </is>
      </c>
      <c r="F4273" t="inlineStr">
        <is>
          <t>TRANSFORRECHI TRANSPORTES LTDA</t>
        </is>
      </c>
      <c r="G4273" s="27" t="n">
        <v>46248</v>
      </c>
      <c r="H4273" s="14" t="n">
        <v>2500</v>
      </c>
      <c r="I4273" s="14" t="n">
        <v>0</v>
      </c>
      <c r="J4273" s="14" t="n">
        <v>300</v>
      </c>
      <c r="K4273" s="14" t="n">
        <v>0</v>
      </c>
      <c r="L4273" s="14" t="n">
        <v>0</v>
      </c>
      <c r="M4273" s="14">
        <f>IF(B4273="Frete de venda",0,(1-ISNUMBER(SEARCH("556",P4273)))*(I4273*VLOOKUP($B4273,Premissas!$A$4:$E$7,2,0)+J4273*VLOOKUP($B4273,Premissas!$A$4:$E$7,3,0))+K4273*VLOOKUP($B4273,Premissas!$A$4:$E$7,4,0)+L4273*VLOOKUP($B4273,Premissas!$A$4:$E$7,5,0))</f>
        <v/>
      </c>
      <c r="N4273" s="14">
        <f>H4273-M4273</f>
        <v/>
      </c>
      <c r="O4273" t="inlineStr">
        <is>
          <t>Sim</t>
        </is>
      </c>
      <c r="P4273" t="inlineStr">
        <is>
          <t>2.350</t>
        </is>
      </c>
    </row>
    <row r="4274">
      <c r="A4274" s="24" t="n">
        <v>46235</v>
      </c>
      <c r="B4274" t="inlineStr">
        <is>
          <t>Frete de venda</t>
        </is>
      </c>
      <c r="C4274" t="inlineStr">
        <is>
          <t>Frete de venda (para clientes)</t>
        </is>
      </c>
      <c r="D4274" t="inlineStr">
        <is>
          <t>CT-e</t>
        </is>
      </c>
      <c r="E4274" t="inlineStr">
        <is>
          <t>000046788</t>
        </is>
      </c>
      <c r="F4274" t="inlineStr">
        <is>
          <t>TRANSFORRECHI TRANSPORTES LTDA</t>
        </is>
      </c>
      <c r="G4274" s="27" t="n">
        <v>46261</v>
      </c>
      <c r="H4274" s="14" t="n">
        <v>1200</v>
      </c>
      <c r="I4274" s="14" t="n">
        <v>0</v>
      </c>
      <c r="J4274" s="14" t="n">
        <v>144</v>
      </c>
      <c r="K4274" s="14" t="n">
        <v>0</v>
      </c>
      <c r="L4274" s="14" t="n">
        <v>0</v>
      </c>
      <c r="M4274" s="14">
        <f>IF(B4274="Frete de venda",0,(1-ISNUMBER(SEARCH("556",P4274)))*(I4274*VLOOKUP($B4274,Premissas!$A$4:$E$7,2,0)+J4274*VLOOKUP($B4274,Premissas!$A$4:$E$7,3,0))+K4274*VLOOKUP($B4274,Premissas!$A$4:$E$7,4,0)+L4274*VLOOKUP($B4274,Premissas!$A$4:$E$7,5,0))</f>
        <v/>
      </c>
      <c r="N4274" s="14">
        <f>H4274-M4274</f>
        <v/>
      </c>
      <c r="O4274" t="inlineStr">
        <is>
          <t>Sim</t>
        </is>
      </c>
      <c r="P4274" t="inlineStr">
        <is>
          <t>2.350</t>
        </is>
      </c>
    </row>
    <row r="4275">
      <c r="A4275" s="24" t="n">
        <v>46235</v>
      </c>
      <c r="B4275" t="inlineStr">
        <is>
          <t>Frete de venda</t>
        </is>
      </c>
      <c r="C4275" t="inlineStr">
        <is>
          <t>Frete de venda (para clientes)</t>
        </is>
      </c>
      <c r="D4275" t="inlineStr">
        <is>
          <t>CT-e</t>
        </is>
      </c>
      <c r="E4275" t="inlineStr">
        <is>
          <t>000000360</t>
        </is>
      </c>
      <c r="F4275" t="inlineStr">
        <is>
          <t>DURA MAIS TRANSPORTES LTDA</t>
        </is>
      </c>
      <c r="G4275" s="27" t="n">
        <v>46259</v>
      </c>
      <c r="H4275" s="14" t="n">
        <v>700</v>
      </c>
      <c r="I4275" s="14" t="n">
        <v>0</v>
      </c>
      <c r="J4275" s="14" t="n">
        <v>84</v>
      </c>
      <c r="K4275" s="14" t="n">
        <v>0</v>
      </c>
      <c r="L4275" s="14" t="n">
        <v>0</v>
      </c>
      <c r="M4275" s="14">
        <f>IF(B4275="Frete de venda",0,(1-ISNUMBER(SEARCH("556",P4275)))*(I4275*VLOOKUP($B4275,Premissas!$A$4:$E$7,2,0)+J4275*VLOOKUP($B4275,Premissas!$A$4:$E$7,3,0))+K4275*VLOOKUP($B4275,Premissas!$A$4:$E$7,4,0)+L4275*VLOOKUP($B4275,Premissas!$A$4:$E$7,5,0))</f>
        <v/>
      </c>
      <c r="N4275" s="14">
        <f>H4275-M4275</f>
        <v/>
      </c>
      <c r="O4275" t="inlineStr">
        <is>
          <t>Sim</t>
        </is>
      </c>
      <c r="P4275" t="inlineStr">
        <is>
          <t>2.350</t>
        </is>
      </c>
    </row>
    <row r="4276">
      <c r="A4276" s="24" t="n">
        <v>46235</v>
      </c>
      <c r="B4276" t="inlineStr">
        <is>
          <t>Frete de venda</t>
        </is>
      </c>
      <c r="C4276" t="inlineStr">
        <is>
          <t>Frete de venda (para clientes)</t>
        </is>
      </c>
      <c r="D4276" t="inlineStr">
        <is>
          <t>CT-e</t>
        </is>
      </c>
      <c r="E4276" t="inlineStr">
        <is>
          <t>000020402</t>
        </is>
      </c>
      <c r="F4276" t="inlineStr">
        <is>
          <t>ANGELA PAULA MASSARUT ME</t>
        </is>
      </c>
      <c r="G4276" s="27" t="n">
        <v>46265</v>
      </c>
      <c r="H4276" s="14" t="n">
        <v>1000</v>
      </c>
      <c r="I4276" s="14" t="n">
        <v>0</v>
      </c>
      <c r="J4276" s="14" t="n">
        <v>120</v>
      </c>
      <c r="K4276" s="14" t="n">
        <v>0</v>
      </c>
      <c r="L4276" s="14" t="n">
        <v>0</v>
      </c>
      <c r="M4276" s="14">
        <f>IF(B4276="Frete de venda",0,(1-ISNUMBER(SEARCH("556",P4276)))*(I4276*VLOOKUP($B4276,Premissas!$A$4:$E$7,2,0)+J4276*VLOOKUP($B4276,Premissas!$A$4:$E$7,3,0))+K4276*VLOOKUP($B4276,Premissas!$A$4:$E$7,4,0)+L4276*VLOOKUP($B4276,Premissas!$A$4:$E$7,5,0))</f>
        <v/>
      </c>
      <c r="N4276" s="14">
        <f>H4276-M4276</f>
        <v/>
      </c>
      <c r="O4276" t="inlineStr">
        <is>
          <t>Sim</t>
        </is>
      </c>
      <c r="P4276" t="inlineStr">
        <is>
          <t>2.350</t>
        </is>
      </c>
    </row>
    <row r="4277">
      <c r="A4277" s="24" t="n">
        <v>46235</v>
      </c>
      <c r="B4277" t="inlineStr">
        <is>
          <t>Frete de venda</t>
        </is>
      </c>
      <c r="C4277" t="inlineStr">
        <is>
          <t>Frete de venda (para clientes)</t>
        </is>
      </c>
      <c r="D4277" t="inlineStr">
        <is>
          <t>CT-e</t>
        </is>
      </c>
      <c r="E4277" t="inlineStr">
        <is>
          <t>000000396</t>
        </is>
      </c>
      <c r="F4277" t="inlineStr">
        <is>
          <t>DURA MAIS TRANSPORTES LTDA</t>
        </is>
      </c>
      <c r="G4277" s="27" t="n">
        <v>46261</v>
      </c>
      <c r="H4277" s="14" t="n">
        <v>2587.5</v>
      </c>
      <c r="I4277" s="14" t="n">
        <v>0</v>
      </c>
      <c r="J4277" s="14" t="n">
        <v>310.5</v>
      </c>
      <c r="K4277" s="14" t="n">
        <v>0</v>
      </c>
      <c r="L4277" s="14" t="n">
        <v>0</v>
      </c>
      <c r="M4277" s="14">
        <f>IF(B4277="Frete de venda",0,(1-ISNUMBER(SEARCH("556",P4277)))*(I4277*VLOOKUP($B4277,Premissas!$A$4:$E$7,2,0)+J4277*VLOOKUP($B4277,Premissas!$A$4:$E$7,3,0))+K4277*VLOOKUP($B4277,Premissas!$A$4:$E$7,4,0)+L4277*VLOOKUP($B4277,Premissas!$A$4:$E$7,5,0))</f>
        <v/>
      </c>
      <c r="N4277" s="14">
        <f>H4277-M4277</f>
        <v/>
      </c>
      <c r="O4277" t="inlineStr">
        <is>
          <t>Sim</t>
        </is>
      </c>
      <c r="P4277" t="inlineStr">
        <is>
          <t>2.350</t>
        </is>
      </c>
    </row>
    <row r="4278">
      <c r="A4278" s="24" t="n">
        <v>46235</v>
      </c>
      <c r="B4278" t="inlineStr">
        <is>
          <t>Frete de venda</t>
        </is>
      </c>
      <c r="C4278" t="inlineStr">
        <is>
          <t>Frete de venda (para clientes)</t>
        </is>
      </c>
      <c r="D4278" t="inlineStr">
        <is>
          <t>CT-e</t>
        </is>
      </c>
      <c r="E4278" t="inlineStr">
        <is>
          <t>000046572</t>
        </is>
      </c>
      <c r="F4278" t="inlineStr">
        <is>
          <t>TRANSFORRECHI TRANSPORTES LTDA</t>
        </is>
      </c>
      <c r="G4278" s="27" t="n">
        <v>46248</v>
      </c>
      <c r="H4278" s="14" t="n">
        <v>680</v>
      </c>
      <c r="I4278" s="14" t="n">
        <v>0</v>
      </c>
      <c r="J4278" s="14" t="n">
        <v>81.59999999999999</v>
      </c>
      <c r="K4278" s="14" t="n">
        <v>0</v>
      </c>
      <c r="L4278" s="14" t="n">
        <v>0</v>
      </c>
      <c r="M4278" s="14">
        <f>IF(B4278="Frete de venda",0,(1-ISNUMBER(SEARCH("556",P4278)))*(I4278*VLOOKUP($B4278,Premissas!$A$4:$E$7,2,0)+J4278*VLOOKUP($B4278,Premissas!$A$4:$E$7,3,0))+K4278*VLOOKUP($B4278,Premissas!$A$4:$E$7,4,0)+L4278*VLOOKUP($B4278,Premissas!$A$4:$E$7,5,0))</f>
        <v/>
      </c>
      <c r="N4278" s="14">
        <f>H4278-M4278</f>
        <v/>
      </c>
      <c r="O4278" t="inlineStr">
        <is>
          <t>Sim</t>
        </is>
      </c>
      <c r="P4278" t="inlineStr">
        <is>
          <t>2.350</t>
        </is>
      </c>
    </row>
    <row r="4279">
      <c r="A4279" s="24" t="n">
        <v>46235</v>
      </c>
      <c r="B4279" t="inlineStr">
        <is>
          <t>Frete de venda</t>
        </is>
      </c>
      <c r="C4279" t="inlineStr">
        <is>
          <t>Frete de venda (para clientes)</t>
        </is>
      </c>
      <c r="D4279" t="inlineStr">
        <is>
          <t>CT-e</t>
        </is>
      </c>
      <c r="E4279" t="inlineStr">
        <is>
          <t>000046789</t>
        </is>
      </c>
      <c r="F4279" t="inlineStr">
        <is>
          <t>TRANSFORRECHI TRANSPORTES LTDA</t>
        </is>
      </c>
      <c r="G4279" s="27" t="n">
        <v>46261</v>
      </c>
      <c r="H4279" s="14" t="n">
        <v>540</v>
      </c>
      <c r="I4279" s="14" t="n">
        <v>0</v>
      </c>
      <c r="J4279" s="14" t="n">
        <v>64.8</v>
      </c>
      <c r="K4279" s="14" t="n">
        <v>0</v>
      </c>
      <c r="L4279" s="14" t="n">
        <v>0</v>
      </c>
      <c r="M4279" s="14">
        <f>IF(B4279="Frete de venda",0,(1-ISNUMBER(SEARCH("556",P4279)))*(I4279*VLOOKUP($B4279,Premissas!$A$4:$E$7,2,0)+J4279*VLOOKUP($B4279,Premissas!$A$4:$E$7,3,0))+K4279*VLOOKUP($B4279,Premissas!$A$4:$E$7,4,0)+L4279*VLOOKUP($B4279,Premissas!$A$4:$E$7,5,0))</f>
        <v/>
      </c>
      <c r="N4279" s="14">
        <f>H4279-M4279</f>
        <v/>
      </c>
      <c r="O4279" t="inlineStr">
        <is>
          <t>Sim</t>
        </is>
      </c>
      <c r="P4279" t="inlineStr">
        <is>
          <t>2.350</t>
        </is>
      </c>
    </row>
    <row r="4280">
      <c r="A4280" s="24" t="n">
        <v>46235</v>
      </c>
      <c r="B4280" t="inlineStr">
        <is>
          <t>Frete de venda</t>
        </is>
      </c>
      <c r="C4280" t="inlineStr">
        <is>
          <t>Frete de venda (para clientes)</t>
        </is>
      </c>
      <c r="D4280" t="inlineStr">
        <is>
          <t>CT-e</t>
        </is>
      </c>
      <c r="E4280" t="inlineStr">
        <is>
          <t>000004864</t>
        </is>
      </c>
      <c r="F4280" t="inlineStr">
        <is>
          <t>RAPIDO XAPURI TRANSPORTES E LOGISTICA LTDA</t>
        </is>
      </c>
      <c r="G4280" s="27" t="n">
        <v>46251</v>
      </c>
      <c r="H4280" s="14" t="n">
        <v>421.05</v>
      </c>
      <c r="I4280" s="14" t="n">
        <v>0</v>
      </c>
      <c r="J4280" s="14" t="n">
        <v>50.53</v>
      </c>
      <c r="K4280" s="14" t="n">
        <v>0</v>
      </c>
      <c r="L4280" s="14" t="n">
        <v>0</v>
      </c>
      <c r="M4280" s="14">
        <f>IF(B4280="Frete de venda",0,(1-ISNUMBER(SEARCH("556",P4280)))*(I4280*VLOOKUP($B4280,Premissas!$A$4:$E$7,2,0)+J4280*VLOOKUP($B4280,Premissas!$A$4:$E$7,3,0))+K4280*VLOOKUP($B4280,Premissas!$A$4:$E$7,4,0)+L4280*VLOOKUP($B4280,Premissas!$A$4:$E$7,5,0))</f>
        <v/>
      </c>
      <c r="N4280" s="14">
        <f>H4280-M4280</f>
        <v/>
      </c>
      <c r="O4280" t="inlineStr">
        <is>
          <t>Sim</t>
        </is>
      </c>
      <c r="P4280" t="inlineStr">
        <is>
          <t>2.350</t>
        </is>
      </c>
    </row>
    <row r="4281">
      <c r="A4281" s="24" t="n">
        <v>46235</v>
      </c>
      <c r="B4281" t="inlineStr">
        <is>
          <t>Frete de venda</t>
        </is>
      </c>
      <c r="C4281" t="inlineStr">
        <is>
          <t>Frete de venda (para clientes)</t>
        </is>
      </c>
      <c r="D4281" t="inlineStr">
        <is>
          <t>CT-e</t>
        </is>
      </c>
      <c r="E4281" t="inlineStr">
        <is>
          <t>000000144</t>
        </is>
      </c>
      <c r="F4281" t="inlineStr">
        <is>
          <t>DURA MAIS TRANSPORTES LTDA</t>
        </is>
      </c>
      <c r="G4281" s="27" t="n">
        <v>46239</v>
      </c>
      <c r="H4281" s="14" t="n">
        <v>1050</v>
      </c>
      <c r="I4281" s="14" t="n">
        <v>0</v>
      </c>
      <c r="J4281" s="14" t="n">
        <v>126</v>
      </c>
      <c r="K4281" s="14" t="n">
        <v>0</v>
      </c>
      <c r="L4281" s="14" t="n">
        <v>0</v>
      </c>
      <c r="M4281" s="14">
        <f>IF(B4281="Frete de venda",0,(1-ISNUMBER(SEARCH("556",P4281)))*(I4281*VLOOKUP($B4281,Premissas!$A$4:$E$7,2,0)+J4281*VLOOKUP($B4281,Premissas!$A$4:$E$7,3,0))+K4281*VLOOKUP($B4281,Premissas!$A$4:$E$7,4,0)+L4281*VLOOKUP($B4281,Premissas!$A$4:$E$7,5,0))</f>
        <v/>
      </c>
      <c r="N4281" s="14">
        <f>H4281-M4281</f>
        <v/>
      </c>
      <c r="O4281" t="inlineStr">
        <is>
          <t>Não</t>
        </is>
      </c>
      <c r="P4281" t="inlineStr">
        <is>
          <t>1.350</t>
        </is>
      </c>
    </row>
    <row r="4282">
      <c r="A4282" s="24" t="n">
        <v>46235</v>
      </c>
      <c r="B4282" t="inlineStr">
        <is>
          <t>Frete de venda</t>
        </is>
      </c>
      <c r="C4282" t="inlineStr">
        <is>
          <t>Frete de venda (para clientes)</t>
        </is>
      </c>
      <c r="D4282" t="inlineStr">
        <is>
          <t>CT-e</t>
        </is>
      </c>
      <c r="E4282" t="inlineStr">
        <is>
          <t>000046792</t>
        </is>
      </c>
      <c r="F4282" t="inlineStr">
        <is>
          <t>TRANSFORRECHI TRANSPORTES LTDA</t>
        </is>
      </c>
      <c r="G4282" s="27" t="n">
        <v>46261</v>
      </c>
      <c r="H4282" s="14" t="n">
        <v>6600</v>
      </c>
      <c r="I4282" s="14" t="n">
        <v>0</v>
      </c>
      <c r="J4282" s="14" t="n">
        <v>792</v>
      </c>
      <c r="K4282" s="14" t="n">
        <v>0</v>
      </c>
      <c r="L4282" s="14" t="n">
        <v>0</v>
      </c>
      <c r="M4282" s="14">
        <f>IF(B4282="Frete de venda",0,(1-ISNUMBER(SEARCH("556",P4282)))*(I4282*VLOOKUP($B4282,Premissas!$A$4:$E$7,2,0)+J4282*VLOOKUP($B4282,Premissas!$A$4:$E$7,3,0))+K4282*VLOOKUP($B4282,Premissas!$A$4:$E$7,4,0)+L4282*VLOOKUP($B4282,Premissas!$A$4:$E$7,5,0))</f>
        <v/>
      </c>
      <c r="N4282" s="14">
        <f>H4282-M4282</f>
        <v/>
      </c>
      <c r="O4282" t="inlineStr">
        <is>
          <t>Sim</t>
        </is>
      </c>
      <c r="P4282" t="inlineStr">
        <is>
          <t>2.350</t>
        </is>
      </c>
    </row>
    <row r="4283">
      <c r="A4283" s="24" t="n">
        <v>46235</v>
      </c>
      <c r="B4283" t="inlineStr">
        <is>
          <t>Frete de venda</t>
        </is>
      </c>
      <c r="C4283" t="inlineStr">
        <is>
          <t>Frete de venda (para clientes)</t>
        </is>
      </c>
      <c r="D4283" t="inlineStr">
        <is>
          <t>CT-e</t>
        </is>
      </c>
      <c r="E4283" t="inlineStr">
        <is>
          <t>000000355</t>
        </is>
      </c>
      <c r="F4283" t="inlineStr">
        <is>
          <t>DURA MAIS TRANSPORTES LTDA</t>
        </is>
      </c>
      <c r="G4283" s="27" t="n">
        <v>46259</v>
      </c>
      <c r="H4283" s="14" t="n">
        <v>700</v>
      </c>
      <c r="I4283" s="14" t="n">
        <v>0</v>
      </c>
      <c r="J4283" s="14" t="n">
        <v>84</v>
      </c>
      <c r="K4283" s="14" t="n">
        <v>0</v>
      </c>
      <c r="L4283" s="14" t="n">
        <v>0</v>
      </c>
      <c r="M4283" s="14">
        <f>IF(B4283="Frete de venda",0,(1-ISNUMBER(SEARCH("556",P4283)))*(I4283*VLOOKUP($B4283,Premissas!$A$4:$E$7,2,0)+J4283*VLOOKUP($B4283,Premissas!$A$4:$E$7,3,0))+K4283*VLOOKUP($B4283,Premissas!$A$4:$E$7,4,0)+L4283*VLOOKUP($B4283,Premissas!$A$4:$E$7,5,0))</f>
        <v/>
      </c>
      <c r="N4283" s="14">
        <f>H4283-M4283</f>
        <v/>
      </c>
      <c r="O4283" t="inlineStr">
        <is>
          <t>Sim</t>
        </is>
      </c>
      <c r="P4283" t="inlineStr">
        <is>
          <t>2.350</t>
        </is>
      </c>
    </row>
    <row r="4284">
      <c r="A4284" s="24" t="n">
        <v>46235</v>
      </c>
      <c r="B4284" t="inlineStr">
        <is>
          <t>Frete de venda</t>
        </is>
      </c>
      <c r="C4284" t="inlineStr">
        <is>
          <t>Frete de venda (para clientes)</t>
        </is>
      </c>
      <c r="D4284" t="inlineStr">
        <is>
          <t>CT-e</t>
        </is>
      </c>
      <c r="E4284" t="inlineStr">
        <is>
          <t>000000350</t>
        </is>
      </c>
      <c r="F4284" t="inlineStr">
        <is>
          <t>DURA MAIS TRANSPORTES LTDA</t>
        </is>
      </c>
      <c r="G4284" s="27" t="n">
        <v>46259</v>
      </c>
      <c r="H4284" s="14" t="n">
        <v>700</v>
      </c>
      <c r="I4284" s="14" t="n">
        <v>0</v>
      </c>
      <c r="J4284" s="14" t="n">
        <v>84</v>
      </c>
      <c r="K4284" s="14" t="n">
        <v>0</v>
      </c>
      <c r="L4284" s="14" t="n">
        <v>0</v>
      </c>
      <c r="M4284" s="14">
        <f>IF(B4284="Frete de venda",0,(1-ISNUMBER(SEARCH("556",P4284)))*(I4284*VLOOKUP($B4284,Premissas!$A$4:$E$7,2,0)+J4284*VLOOKUP($B4284,Premissas!$A$4:$E$7,3,0))+K4284*VLOOKUP($B4284,Premissas!$A$4:$E$7,4,0)+L4284*VLOOKUP($B4284,Premissas!$A$4:$E$7,5,0))</f>
        <v/>
      </c>
      <c r="N4284" s="14">
        <f>H4284-M4284</f>
        <v/>
      </c>
      <c r="O4284" t="inlineStr">
        <is>
          <t>Sim</t>
        </is>
      </c>
      <c r="P4284" t="inlineStr">
        <is>
          <t>2.350</t>
        </is>
      </c>
    </row>
    <row r="4285">
      <c r="A4285" s="24" t="n">
        <v>46235</v>
      </c>
      <c r="B4285" t="inlineStr">
        <is>
          <t>Frete de venda</t>
        </is>
      </c>
      <c r="C4285" t="inlineStr">
        <is>
          <t>Frete de venda (para clientes)</t>
        </is>
      </c>
      <c r="D4285" t="inlineStr">
        <is>
          <t>CT-e</t>
        </is>
      </c>
      <c r="E4285" t="inlineStr">
        <is>
          <t>000000130</t>
        </is>
      </c>
      <c r="F4285" t="inlineStr">
        <is>
          <t>DURA MAIS TRANSPORTES LTDA</t>
        </is>
      </c>
      <c r="G4285" s="27" t="n">
        <v>46239</v>
      </c>
      <c r="H4285" s="14" t="n">
        <v>525</v>
      </c>
      <c r="I4285" s="14" t="n">
        <v>0</v>
      </c>
      <c r="J4285" s="14" t="n">
        <v>63</v>
      </c>
      <c r="K4285" s="14" t="n">
        <v>0</v>
      </c>
      <c r="L4285" s="14" t="n">
        <v>0</v>
      </c>
      <c r="M4285" s="14">
        <f>IF(B4285="Frete de venda",0,(1-ISNUMBER(SEARCH("556",P4285)))*(I4285*VLOOKUP($B4285,Premissas!$A$4:$E$7,2,0)+J4285*VLOOKUP($B4285,Premissas!$A$4:$E$7,3,0))+K4285*VLOOKUP($B4285,Premissas!$A$4:$E$7,4,0)+L4285*VLOOKUP($B4285,Premissas!$A$4:$E$7,5,0))</f>
        <v/>
      </c>
      <c r="N4285" s="14">
        <f>H4285-M4285</f>
        <v/>
      </c>
      <c r="O4285" t="inlineStr">
        <is>
          <t>Não</t>
        </is>
      </c>
      <c r="P4285" t="inlineStr">
        <is>
          <t>1.350</t>
        </is>
      </c>
    </row>
    <row r="4286">
      <c r="A4286" s="24" t="n">
        <v>46235</v>
      </c>
      <c r="B4286" t="inlineStr">
        <is>
          <t>Frete de venda</t>
        </is>
      </c>
      <c r="C4286" t="inlineStr">
        <is>
          <t>Frete de venda (para clientes)</t>
        </is>
      </c>
      <c r="D4286" t="inlineStr">
        <is>
          <t>CT-e</t>
        </is>
      </c>
      <c r="E4286" t="inlineStr">
        <is>
          <t>000046577</t>
        </is>
      </c>
      <c r="F4286" t="inlineStr">
        <is>
          <t>TRANSFORRECHI TRANSPORTES LTDA</t>
        </is>
      </c>
      <c r="G4286" s="27" t="n">
        <v>46248</v>
      </c>
      <c r="H4286" s="14" t="n">
        <v>720</v>
      </c>
      <c r="I4286" s="14" t="n">
        <v>0</v>
      </c>
      <c r="J4286" s="14" t="n">
        <v>86.40000000000001</v>
      </c>
      <c r="K4286" s="14" t="n">
        <v>0</v>
      </c>
      <c r="L4286" s="14" t="n">
        <v>0</v>
      </c>
      <c r="M4286" s="14">
        <f>IF(B4286="Frete de venda",0,(1-ISNUMBER(SEARCH("556",P4286)))*(I4286*VLOOKUP($B4286,Premissas!$A$4:$E$7,2,0)+J4286*VLOOKUP($B4286,Premissas!$A$4:$E$7,3,0))+K4286*VLOOKUP($B4286,Premissas!$A$4:$E$7,4,0)+L4286*VLOOKUP($B4286,Premissas!$A$4:$E$7,5,0))</f>
        <v/>
      </c>
      <c r="N4286" s="14">
        <f>H4286-M4286</f>
        <v/>
      </c>
      <c r="O4286" t="inlineStr">
        <is>
          <t>Sim</t>
        </is>
      </c>
      <c r="P4286" t="inlineStr">
        <is>
          <t>2.350</t>
        </is>
      </c>
    </row>
    <row r="4287">
      <c r="A4287" s="24" t="n">
        <v>46235</v>
      </c>
      <c r="B4287" t="inlineStr">
        <is>
          <t>Frete de venda</t>
        </is>
      </c>
      <c r="C4287" t="inlineStr">
        <is>
          <t>Frete de venda (para clientes)</t>
        </is>
      </c>
      <c r="D4287" t="inlineStr">
        <is>
          <t>CT-e</t>
        </is>
      </c>
      <c r="E4287" t="inlineStr">
        <is>
          <t>000000308</t>
        </is>
      </c>
      <c r="F4287" t="inlineStr">
        <is>
          <t>DURA MAIS TRANSPORTES LTDA</t>
        </is>
      </c>
      <c r="G4287" s="27" t="n">
        <v>46255</v>
      </c>
      <c r="H4287" s="14" t="n">
        <v>1080</v>
      </c>
      <c r="I4287" s="14" t="n">
        <v>0</v>
      </c>
      <c r="J4287" s="14" t="n">
        <v>129.6</v>
      </c>
      <c r="K4287" s="14" t="n">
        <v>0</v>
      </c>
      <c r="L4287" s="14" t="n">
        <v>0</v>
      </c>
      <c r="M4287" s="14">
        <f>IF(B4287="Frete de venda",0,(1-ISNUMBER(SEARCH("556",P4287)))*(I4287*VLOOKUP($B4287,Premissas!$A$4:$E$7,2,0)+J4287*VLOOKUP($B4287,Premissas!$A$4:$E$7,3,0))+K4287*VLOOKUP($B4287,Premissas!$A$4:$E$7,4,0)+L4287*VLOOKUP($B4287,Premissas!$A$4:$E$7,5,0))</f>
        <v/>
      </c>
      <c r="N4287" s="14">
        <f>H4287-M4287</f>
        <v/>
      </c>
      <c r="O4287" t="inlineStr">
        <is>
          <t>Sim</t>
        </is>
      </c>
      <c r="P4287" t="inlineStr">
        <is>
          <t>2.350</t>
        </is>
      </c>
    </row>
    <row r="4288">
      <c r="A4288" s="24" t="n">
        <v>46235</v>
      </c>
      <c r="B4288" t="inlineStr">
        <is>
          <t>Frete de venda</t>
        </is>
      </c>
      <c r="C4288" t="inlineStr">
        <is>
          <t>Frete de venda (para clientes)</t>
        </is>
      </c>
      <c r="D4288" t="inlineStr">
        <is>
          <t>CT-e</t>
        </is>
      </c>
      <c r="E4288" t="inlineStr">
        <is>
          <t>000000415</t>
        </is>
      </c>
      <c r="F4288" t="inlineStr">
        <is>
          <t>DURA MAIS TRANSPORTES LTDA</t>
        </is>
      </c>
      <c r="G4288" s="27" t="n">
        <v>46262</v>
      </c>
      <c r="H4288" s="14" t="n">
        <v>464.06</v>
      </c>
      <c r="I4288" s="14" t="n">
        <v>0</v>
      </c>
      <c r="J4288" s="14" t="n">
        <v>55.69</v>
      </c>
      <c r="K4288" s="14" t="n">
        <v>0</v>
      </c>
      <c r="L4288" s="14" t="n">
        <v>0</v>
      </c>
      <c r="M4288" s="14">
        <f>IF(B4288="Frete de venda",0,(1-ISNUMBER(SEARCH("556",P4288)))*(I4288*VLOOKUP($B4288,Premissas!$A$4:$E$7,2,0)+J4288*VLOOKUP($B4288,Premissas!$A$4:$E$7,3,0))+K4288*VLOOKUP($B4288,Premissas!$A$4:$E$7,4,0)+L4288*VLOOKUP($B4288,Premissas!$A$4:$E$7,5,0))</f>
        <v/>
      </c>
      <c r="N4288" s="14">
        <f>H4288-M4288</f>
        <v/>
      </c>
      <c r="O4288" t="inlineStr">
        <is>
          <t>Sim</t>
        </is>
      </c>
      <c r="P4288" t="inlineStr">
        <is>
          <t>2.350</t>
        </is>
      </c>
    </row>
    <row r="4289">
      <c r="A4289" s="24" t="n">
        <v>46235</v>
      </c>
      <c r="B4289" t="inlineStr">
        <is>
          <t>Frete de venda</t>
        </is>
      </c>
      <c r="C4289" t="inlineStr">
        <is>
          <t>Frete de venda (para clientes)</t>
        </is>
      </c>
      <c r="D4289" t="inlineStr">
        <is>
          <t>CT-e</t>
        </is>
      </c>
      <c r="E4289" t="inlineStr">
        <is>
          <t>000000196</t>
        </is>
      </c>
      <c r="F4289" t="inlineStr">
        <is>
          <t>DURA MAIS TRANSPORTES LTDA</t>
        </is>
      </c>
      <c r="G4289" s="27" t="n">
        <v>46248</v>
      </c>
      <c r="H4289" s="14" t="n">
        <v>2025</v>
      </c>
      <c r="I4289" s="14" t="n">
        <v>0</v>
      </c>
      <c r="J4289" s="14" t="n">
        <v>243</v>
      </c>
      <c r="K4289" s="14" t="n">
        <v>0</v>
      </c>
      <c r="L4289" s="14" t="n">
        <v>0</v>
      </c>
      <c r="M4289" s="14">
        <f>IF(B4289="Frete de venda",0,(1-ISNUMBER(SEARCH("556",P4289)))*(I4289*VLOOKUP($B4289,Premissas!$A$4:$E$7,2,0)+J4289*VLOOKUP($B4289,Premissas!$A$4:$E$7,3,0))+K4289*VLOOKUP($B4289,Premissas!$A$4:$E$7,4,0)+L4289*VLOOKUP($B4289,Premissas!$A$4:$E$7,5,0))</f>
        <v/>
      </c>
      <c r="N4289" s="14">
        <f>H4289-M4289</f>
        <v/>
      </c>
      <c r="O4289" t="inlineStr">
        <is>
          <t>Sim</t>
        </is>
      </c>
      <c r="P4289" t="inlineStr">
        <is>
          <t>2.350</t>
        </is>
      </c>
    </row>
    <row r="4290">
      <c r="A4290" s="24" t="n">
        <v>46235</v>
      </c>
      <c r="B4290" t="inlineStr">
        <is>
          <t>Frete de venda</t>
        </is>
      </c>
      <c r="C4290" t="inlineStr">
        <is>
          <t>Frete de venda (para clientes)</t>
        </is>
      </c>
      <c r="D4290" t="inlineStr">
        <is>
          <t>CT-e</t>
        </is>
      </c>
      <c r="E4290" t="inlineStr">
        <is>
          <t>000000141</t>
        </is>
      </c>
      <c r="F4290" t="inlineStr">
        <is>
          <t>DURA MAIS TRANSPORTES LTDA</t>
        </is>
      </c>
      <c r="G4290" s="27" t="n">
        <v>46239</v>
      </c>
      <c r="H4290" s="14" t="n">
        <v>1050</v>
      </c>
      <c r="I4290" s="14" t="n">
        <v>0</v>
      </c>
      <c r="J4290" s="14" t="n">
        <v>126</v>
      </c>
      <c r="K4290" s="14" t="n">
        <v>0</v>
      </c>
      <c r="L4290" s="14" t="n">
        <v>0</v>
      </c>
      <c r="M4290" s="14">
        <f>IF(B4290="Frete de venda",0,(1-ISNUMBER(SEARCH("556",P4290)))*(I4290*VLOOKUP($B4290,Premissas!$A$4:$E$7,2,0)+J4290*VLOOKUP($B4290,Premissas!$A$4:$E$7,3,0))+K4290*VLOOKUP($B4290,Premissas!$A$4:$E$7,4,0)+L4290*VLOOKUP($B4290,Premissas!$A$4:$E$7,5,0))</f>
        <v/>
      </c>
      <c r="N4290" s="14">
        <f>H4290-M4290</f>
        <v/>
      </c>
      <c r="O4290" t="inlineStr">
        <is>
          <t>Não</t>
        </is>
      </c>
      <c r="P4290" t="inlineStr">
        <is>
          <t>1.350</t>
        </is>
      </c>
    </row>
    <row r="4291">
      <c r="A4291" s="24" t="n">
        <v>46235</v>
      </c>
      <c r="B4291" t="inlineStr">
        <is>
          <t>Frete de venda</t>
        </is>
      </c>
      <c r="C4291" t="inlineStr">
        <is>
          <t>Frete de venda (para clientes)</t>
        </is>
      </c>
      <c r="D4291" t="inlineStr">
        <is>
          <t>CT-e</t>
        </is>
      </c>
      <c r="E4291" t="inlineStr">
        <is>
          <t>000007835</t>
        </is>
      </c>
      <c r="F4291" t="inlineStr">
        <is>
          <t>R&amp;R TRANSPORTE E LOGISTICA</t>
        </is>
      </c>
      <c r="G4291" s="27" t="n">
        <v>46235</v>
      </c>
      <c r="H4291" s="14" t="n">
        <v>37.44</v>
      </c>
      <c r="I4291" s="14" t="n">
        <v>0</v>
      </c>
      <c r="J4291" s="14" t="n">
        <v>0</v>
      </c>
      <c r="K4291" s="14" t="n">
        <v>0</v>
      </c>
      <c r="L4291" s="14" t="n">
        <v>0</v>
      </c>
      <c r="M4291" s="14">
        <f>IF(B4291="Frete de venda",0,(1-ISNUMBER(SEARCH("556",P4291)))*(I4291*VLOOKUP($B4291,Premissas!$A$4:$E$7,2,0)+J4291*VLOOKUP($B4291,Premissas!$A$4:$E$7,3,0))+K4291*VLOOKUP($B4291,Premissas!$A$4:$E$7,4,0)+L4291*VLOOKUP($B4291,Premissas!$A$4:$E$7,5,0))</f>
        <v/>
      </c>
      <c r="N4291" s="14">
        <f>H4291-M4291</f>
        <v/>
      </c>
      <c r="O4291" t="inlineStr">
        <is>
          <t>Não</t>
        </is>
      </c>
      <c r="P4291" t="inlineStr">
        <is>
          <t>2.350</t>
        </is>
      </c>
    </row>
    <row r="4292">
      <c r="A4292" s="24" t="n">
        <v>46235</v>
      </c>
      <c r="B4292" t="inlineStr">
        <is>
          <t>Frete de venda</t>
        </is>
      </c>
      <c r="C4292" t="inlineStr">
        <is>
          <t>Frete de venda (para clientes)</t>
        </is>
      </c>
      <c r="D4292" t="inlineStr">
        <is>
          <t>CT-e</t>
        </is>
      </c>
      <c r="E4292" t="inlineStr">
        <is>
          <t>000000268</t>
        </is>
      </c>
      <c r="F4292" t="inlineStr">
        <is>
          <t>DURA MAIS TRANSPORTES LTDA</t>
        </is>
      </c>
      <c r="G4292" s="27" t="n">
        <v>46254</v>
      </c>
      <c r="H4292" s="14" t="n">
        <v>1150</v>
      </c>
      <c r="I4292" s="14" t="n">
        <v>0</v>
      </c>
      <c r="J4292" s="14" t="n">
        <v>138</v>
      </c>
      <c r="K4292" s="14" t="n">
        <v>0</v>
      </c>
      <c r="L4292" s="14" t="n">
        <v>0</v>
      </c>
      <c r="M4292" s="14">
        <f>IF(B4292="Frete de venda",0,(1-ISNUMBER(SEARCH("556",P4292)))*(I4292*VLOOKUP($B4292,Premissas!$A$4:$E$7,2,0)+J4292*VLOOKUP($B4292,Premissas!$A$4:$E$7,3,0))+K4292*VLOOKUP($B4292,Premissas!$A$4:$E$7,4,0)+L4292*VLOOKUP($B4292,Premissas!$A$4:$E$7,5,0))</f>
        <v/>
      </c>
      <c r="N4292" s="14">
        <f>H4292-M4292</f>
        <v/>
      </c>
      <c r="O4292" t="inlineStr">
        <is>
          <t>Sim</t>
        </is>
      </c>
      <c r="P4292" t="inlineStr">
        <is>
          <t>2.350</t>
        </is>
      </c>
    </row>
    <row r="4293">
      <c r="A4293" s="24" t="n">
        <v>46235</v>
      </c>
      <c r="B4293" t="inlineStr">
        <is>
          <t>Frete de venda</t>
        </is>
      </c>
      <c r="C4293" t="inlineStr">
        <is>
          <t>Frete de venda (para clientes)</t>
        </is>
      </c>
      <c r="D4293" t="inlineStr">
        <is>
          <t>CT-e</t>
        </is>
      </c>
      <c r="E4293" t="inlineStr">
        <is>
          <t>000000281</t>
        </is>
      </c>
      <c r="F4293" t="inlineStr">
        <is>
          <t>DURA MAIS TRANSPORTES LTDA</t>
        </is>
      </c>
      <c r="G4293" s="27" t="n">
        <v>46254</v>
      </c>
      <c r="H4293" s="14" t="n">
        <v>1150</v>
      </c>
      <c r="I4293" s="14" t="n">
        <v>0</v>
      </c>
      <c r="J4293" s="14" t="n">
        <v>138</v>
      </c>
      <c r="K4293" s="14" t="n">
        <v>0</v>
      </c>
      <c r="L4293" s="14" t="n">
        <v>0</v>
      </c>
      <c r="M4293" s="14">
        <f>IF(B4293="Frete de venda",0,(1-ISNUMBER(SEARCH("556",P4293)))*(I4293*VLOOKUP($B4293,Premissas!$A$4:$E$7,2,0)+J4293*VLOOKUP($B4293,Premissas!$A$4:$E$7,3,0))+K4293*VLOOKUP($B4293,Premissas!$A$4:$E$7,4,0)+L4293*VLOOKUP($B4293,Premissas!$A$4:$E$7,5,0))</f>
        <v/>
      </c>
      <c r="N4293" s="14">
        <f>H4293-M4293</f>
        <v/>
      </c>
      <c r="O4293" t="inlineStr">
        <is>
          <t>Sim</t>
        </is>
      </c>
      <c r="P4293" t="inlineStr">
        <is>
          <t>2.350</t>
        </is>
      </c>
    </row>
    <row r="4294">
      <c r="A4294" s="24" t="n">
        <v>46235</v>
      </c>
      <c r="B4294" t="inlineStr">
        <is>
          <t>Frete de venda</t>
        </is>
      </c>
      <c r="C4294" t="inlineStr">
        <is>
          <t>Frete de venda (para clientes)</t>
        </is>
      </c>
      <c r="D4294" t="inlineStr">
        <is>
          <t>CT-e</t>
        </is>
      </c>
      <c r="E4294" t="inlineStr">
        <is>
          <t>000007940</t>
        </is>
      </c>
      <c r="F4294" t="inlineStr">
        <is>
          <t>R&amp;R TRANSPORTE E LOGISTICA</t>
        </is>
      </c>
      <c r="G4294" s="27" t="n">
        <v>46263</v>
      </c>
      <c r="H4294" s="14" t="n">
        <v>600</v>
      </c>
      <c r="I4294" s="14" t="n">
        <v>0</v>
      </c>
      <c r="J4294" s="14" t="n">
        <v>0</v>
      </c>
      <c r="K4294" s="14" t="n">
        <v>0</v>
      </c>
      <c r="L4294" s="14" t="n">
        <v>0</v>
      </c>
      <c r="M4294" s="14">
        <f>IF(B4294="Frete de venda",0,(1-ISNUMBER(SEARCH("556",P4294)))*(I4294*VLOOKUP($B4294,Premissas!$A$4:$E$7,2,0)+J4294*VLOOKUP($B4294,Premissas!$A$4:$E$7,3,0))+K4294*VLOOKUP($B4294,Premissas!$A$4:$E$7,4,0)+L4294*VLOOKUP($B4294,Premissas!$A$4:$E$7,5,0))</f>
        <v/>
      </c>
      <c r="N4294" s="14">
        <f>H4294-M4294</f>
        <v/>
      </c>
      <c r="O4294" t="inlineStr">
        <is>
          <t>Sim</t>
        </is>
      </c>
      <c r="P4294" t="inlineStr">
        <is>
          <t>2.350</t>
        </is>
      </c>
    </row>
    <row r="4295">
      <c r="A4295" s="24" t="n">
        <v>46235</v>
      </c>
      <c r="B4295" t="inlineStr">
        <is>
          <t>Frete de venda</t>
        </is>
      </c>
      <c r="C4295" t="inlineStr">
        <is>
          <t>Frete de venda (para clientes)</t>
        </is>
      </c>
      <c r="D4295" t="inlineStr">
        <is>
          <t>CT-e</t>
        </is>
      </c>
      <c r="E4295" t="inlineStr">
        <is>
          <t>000000305</t>
        </is>
      </c>
      <c r="F4295" t="inlineStr">
        <is>
          <t>DURA MAIS TRANSPORTES LTDA</t>
        </is>
      </c>
      <c r="G4295" s="27" t="n">
        <v>46255</v>
      </c>
      <c r="H4295" s="14" t="n">
        <v>1080</v>
      </c>
      <c r="I4295" s="14" t="n">
        <v>0</v>
      </c>
      <c r="J4295" s="14" t="n">
        <v>129.6</v>
      </c>
      <c r="K4295" s="14" t="n">
        <v>0</v>
      </c>
      <c r="L4295" s="14" t="n">
        <v>0</v>
      </c>
      <c r="M4295" s="14">
        <f>IF(B4295="Frete de venda",0,(1-ISNUMBER(SEARCH("556",P4295)))*(I4295*VLOOKUP($B4295,Premissas!$A$4:$E$7,2,0)+J4295*VLOOKUP($B4295,Premissas!$A$4:$E$7,3,0))+K4295*VLOOKUP($B4295,Premissas!$A$4:$E$7,4,0)+L4295*VLOOKUP($B4295,Premissas!$A$4:$E$7,5,0))</f>
        <v/>
      </c>
      <c r="N4295" s="14">
        <f>H4295-M4295</f>
        <v/>
      </c>
      <c r="O4295" t="inlineStr">
        <is>
          <t>Sim</t>
        </is>
      </c>
      <c r="P4295" t="inlineStr">
        <is>
          <t>2.350</t>
        </is>
      </c>
    </row>
    <row r="4296">
      <c r="A4296" s="24" t="n">
        <v>46235</v>
      </c>
      <c r="B4296" t="inlineStr">
        <is>
          <t>Frete de venda</t>
        </is>
      </c>
      <c r="C4296" t="inlineStr">
        <is>
          <t>Frete de venda (para clientes)</t>
        </is>
      </c>
      <c r="D4296" t="inlineStr">
        <is>
          <t>CT-e</t>
        </is>
      </c>
      <c r="E4296" t="inlineStr">
        <is>
          <t>000000183</t>
        </is>
      </c>
      <c r="F4296" t="inlineStr">
        <is>
          <t>DURA MAIS TRANSPORTES LTDA</t>
        </is>
      </c>
      <c r="G4296" s="27" t="n">
        <v>46246</v>
      </c>
      <c r="H4296" s="14" t="n">
        <v>560</v>
      </c>
      <c r="I4296" s="14" t="n">
        <v>0</v>
      </c>
      <c r="J4296" s="14" t="n">
        <v>67.2</v>
      </c>
      <c r="K4296" s="14" t="n">
        <v>0</v>
      </c>
      <c r="L4296" s="14" t="n">
        <v>0</v>
      </c>
      <c r="M4296" s="14">
        <f>IF(B4296="Frete de venda",0,(1-ISNUMBER(SEARCH("556",P4296)))*(I4296*VLOOKUP($B4296,Premissas!$A$4:$E$7,2,0)+J4296*VLOOKUP($B4296,Premissas!$A$4:$E$7,3,0))+K4296*VLOOKUP($B4296,Premissas!$A$4:$E$7,4,0)+L4296*VLOOKUP($B4296,Premissas!$A$4:$E$7,5,0))</f>
        <v/>
      </c>
      <c r="N4296" s="14">
        <f>H4296-M4296</f>
        <v/>
      </c>
      <c r="O4296" t="inlineStr">
        <is>
          <t>Sim</t>
        </is>
      </c>
      <c r="P4296" t="inlineStr">
        <is>
          <t>2.350</t>
        </is>
      </c>
    </row>
    <row r="4297">
      <c r="A4297" s="24" t="n">
        <v>46235</v>
      </c>
      <c r="B4297" t="inlineStr">
        <is>
          <t>Frete de venda</t>
        </is>
      </c>
      <c r="C4297" t="inlineStr">
        <is>
          <t>Frete de venda (para clientes)</t>
        </is>
      </c>
      <c r="D4297" t="inlineStr">
        <is>
          <t>CT-e</t>
        </is>
      </c>
      <c r="E4297" t="inlineStr">
        <is>
          <t>000000394</t>
        </is>
      </c>
      <c r="F4297" t="inlineStr">
        <is>
          <t>DURA MAIS TRANSPORTES LTDA</t>
        </is>
      </c>
      <c r="G4297" s="27" t="n">
        <v>46261</v>
      </c>
      <c r="H4297" s="14" t="n">
        <v>2587.5</v>
      </c>
      <c r="I4297" s="14" t="n">
        <v>0</v>
      </c>
      <c r="J4297" s="14" t="n">
        <v>310.5</v>
      </c>
      <c r="K4297" s="14" t="n">
        <v>0</v>
      </c>
      <c r="L4297" s="14" t="n">
        <v>0</v>
      </c>
      <c r="M4297" s="14">
        <f>IF(B4297="Frete de venda",0,(1-ISNUMBER(SEARCH("556",P4297)))*(I4297*VLOOKUP($B4297,Premissas!$A$4:$E$7,2,0)+J4297*VLOOKUP($B4297,Premissas!$A$4:$E$7,3,0))+K4297*VLOOKUP($B4297,Premissas!$A$4:$E$7,4,0)+L4297*VLOOKUP($B4297,Premissas!$A$4:$E$7,5,0))</f>
        <v/>
      </c>
      <c r="N4297" s="14">
        <f>H4297-M4297</f>
        <v/>
      </c>
      <c r="O4297" t="inlineStr">
        <is>
          <t>Sim</t>
        </is>
      </c>
      <c r="P4297" t="inlineStr">
        <is>
          <t>2.350</t>
        </is>
      </c>
    </row>
    <row r="4298">
      <c r="A4298" s="24" t="n">
        <v>46235</v>
      </c>
      <c r="B4298" t="inlineStr">
        <is>
          <t>Frete de venda</t>
        </is>
      </c>
      <c r="C4298" t="inlineStr">
        <is>
          <t>Frete de venda (para clientes)</t>
        </is>
      </c>
      <c r="D4298" t="inlineStr">
        <is>
          <t>CT-e</t>
        </is>
      </c>
      <c r="E4298" t="inlineStr">
        <is>
          <t>000036522</t>
        </is>
      </c>
      <c r="F4298" t="inlineStr">
        <is>
          <t>PICCOLI LOGISTICA E TRANSPORTES LTDA</t>
        </is>
      </c>
      <c r="G4298" s="27" t="n">
        <v>46247</v>
      </c>
      <c r="H4298" s="14" t="n">
        <v>206.78</v>
      </c>
      <c r="I4298" s="14" t="n">
        <v>0</v>
      </c>
      <c r="J4298" s="14" t="n">
        <v>14.47</v>
      </c>
      <c r="K4298" s="14" t="n">
        <v>0</v>
      </c>
      <c r="L4298" s="14" t="n">
        <v>0</v>
      </c>
      <c r="M4298" s="14">
        <f>IF(B4298="Frete de venda",0,(1-ISNUMBER(SEARCH("556",P4298)))*(I4298*VLOOKUP($B4298,Premissas!$A$4:$E$7,2,0)+J4298*VLOOKUP($B4298,Premissas!$A$4:$E$7,3,0))+K4298*VLOOKUP($B4298,Premissas!$A$4:$E$7,4,0)+L4298*VLOOKUP($B4298,Premissas!$A$4:$E$7,5,0))</f>
        <v/>
      </c>
      <c r="N4298" s="14">
        <f>H4298-M4298</f>
        <v/>
      </c>
      <c r="O4298" t="inlineStr">
        <is>
          <t>Sim</t>
        </is>
      </c>
      <c r="P4298" t="inlineStr">
        <is>
          <t>2.350</t>
        </is>
      </c>
    </row>
    <row r="4299">
      <c r="A4299" s="24" t="n">
        <v>46235</v>
      </c>
      <c r="B4299" t="inlineStr">
        <is>
          <t>Frete de venda</t>
        </is>
      </c>
      <c r="C4299" t="inlineStr">
        <is>
          <t>Frete de venda (para clientes)</t>
        </is>
      </c>
      <c r="D4299" t="inlineStr">
        <is>
          <t>CT-e</t>
        </is>
      </c>
      <c r="E4299" t="inlineStr">
        <is>
          <t>000000359</t>
        </is>
      </c>
      <c r="F4299" t="inlineStr">
        <is>
          <t>DURA MAIS TRANSPORTES LTDA</t>
        </is>
      </c>
      <c r="G4299" s="27" t="n">
        <v>46259</v>
      </c>
      <c r="H4299" s="14" t="n">
        <v>700</v>
      </c>
      <c r="I4299" s="14" t="n">
        <v>0</v>
      </c>
      <c r="J4299" s="14" t="n">
        <v>84</v>
      </c>
      <c r="K4299" s="14" t="n">
        <v>0</v>
      </c>
      <c r="L4299" s="14" t="n">
        <v>0</v>
      </c>
      <c r="M4299" s="14">
        <f>IF(B4299="Frete de venda",0,(1-ISNUMBER(SEARCH("556",P4299)))*(I4299*VLOOKUP($B4299,Premissas!$A$4:$E$7,2,0)+J4299*VLOOKUP($B4299,Premissas!$A$4:$E$7,3,0))+K4299*VLOOKUP($B4299,Premissas!$A$4:$E$7,4,0)+L4299*VLOOKUP($B4299,Premissas!$A$4:$E$7,5,0))</f>
        <v/>
      </c>
      <c r="N4299" s="14">
        <f>H4299-M4299</f>
        <v/>
      </c>
      <c r="O4299" t="inlineStr">
        <is>
          <t>Sim</t>
        </is>
      </c>
      <c r="P4299" t="inlineStr">
        <is>
          <t>2.350</t>
        </is>
      </c>
    </row>
    <row r="4300">
      <c r="A4300" s="24" t="n">
        <v>46235</v>
      </c>
      <c r="B4300" t="inlineStr">
        <is>
          <t>Frete de venda</t>
        </is>
      </c>
      <c r="C4300" t="inlineStr">
        <is>
          <t>Frete de venda (para clientes)</t>
        </is>
      </c>
      <c r="D4300" t="inlineStr">
        <is>
          <t>CT-e</t>
        </is>
      </c>
      <c r="E4300" t="inlineStr">
        <is>
          <t>000000135</t>
        </is>
      </c>
      <c r="F4300" t="inlineStr">
        <is>
          <t>DURA MAIS TRANSPORTES LTDA</t>
        </is>
      </c>
      <c r="G4300" s="27" t="n">
        <v>46239</v>
      </c>
      <c r="H4300" s="14" t="n">
        <v>525</v>
      </c>
      <c r="I4300" s="14" t="n">
        <v>0</v>
      </c>
      <c r="J4300" s="14" t="n">
        <v>63</v>
      </c>
      <c r="K4300" s="14" t="n">
        <v>0</v>
      </c>
      <c r="L4300" s="14" t="n">
        <v>0</v>
      </c>
      <c r="M4300" s="14">
        <f>IF(B4300="Frete de venda",0,(1-ISNUMBER(SEARCH("556",P4300)))*(I4300*VLOOKUP($B4300,Premissas!$A$4:$E$7,2,0)+J4300*VLOOKUP($B4300,Premissas!$A$4:$E$7,3,0))+K4300*VLOOKUP($B4300,Premissas!$A$4:$E$7,4,0)+L4300*VLOOKUP($B4300,Premissas!$A$4:$E$7,5,0))</f>
        <v/>
      </c>
      <c r="N4300" s="14">
        <f>H4300-M4300</f>
        <v/>
      </c>
      <c r="O4300" t="inlineStr">
        <is>
          <t>Não</t>
        </is>
      </c>
      <c r="P4300" t="inlineStr">
        <is>
          <t>1.350</t>
        </is>
      </c>
    </row>
    <row r="4301">
      <c r="A4301" s="24" t="n">
        <v>46235</v>
      </c>
      <c r="B4301" t="inlineStr">
        <is>
          <t>Frete de venda</t>
        </is>
      </c>
      <c r="C4301" t="inlineStr">
        <is>
          <t>Frete de venda (para clientes)</t>
        </is>
      </c>
      <c r="D4301" t="inlineStr">
        <is>
          <t>CT-e</t>
        </is>
      </c>
      <c r="E4301" t="inlineStr">
        <is>
          <t>000000215</t>
        </is>
      </c>
      <c r="F4301" t="inlineStr">
        <is>
          <t>DURA MAIS TRANSPORTES LTDA</t>
        </is>
      </c>
      <c r="G4301" s="27" t="n">
        <v>46249</v>
      </c>
      <c r="H4301" s="14" t="n">
        <v>408.55</v>
      </c>
      <c r="I4301" s="14" t="n">
        <v>0</v>
      </c>
      <c r="J4301" s="14" t="n">
        <v>49.03</v>
      </c>
      <c r="K4301" s="14" t="n">
        <v>0</v>
      </c>
      <c r="L4301" s="14" t="n">
        <v>0</v>
      </c>
      <c r="M4301" s="14">
        <f>IF(B4301="Frete de venda",0,(1-ISNUMBER(SEARCH("556",P4301)))*(I4301*VLOOKUP($B4301,Premissas!$A$4:$E$7,2,0)+J4301*VLOOKUP($B4301,Premissas!$A$4:$E$7,3,0))+K4301*VLOOKUP($B4301,Premissas!$A$4:$E$7,4,0)+L4301*VLOOKUP($B4301,Premissas!$A$4:$E$7,5,0))</f>
        <v/>
      </c>
      <c r="N4301" s="14">
        <f>H4301-M4301</f>
        <v/>
      </c>
      <c r="O4301" t="inlineStr">
        <is>
          <t>Sim</t>
        </is>
      </c>
      <c r="P4301" t="inlineStr">
        <is>
          <t>2.350</t>
        </is>
      </c>
    </row>
    <row r="4302">
      <c r="A4302" s="24" t="n">
        <v>46235</v>
      </c>
      <c r="B4302" t="inlineStr">
        <is>
          <t>Frete de venda</t>
        </is>
      </c>
      <c r="C4302" t="inlineStr">
        <is>
          <t>Frete de venda (para clientes)</t>
        </is>
      </c>
      <c r="D4302" t="inlineStr">
        <is>
          <t>CT-e</t>
        </is>
      </c>
      <c r="E4302" t="inlineStr">
        <is>
          <t>000000210</t>
        </is>
      </c>
      <c r="F4302" t="inlineStr">
        <is>
          <t>DURA MAIS TRANSPORTES LTDA</t>
        </is>
      </c>
      <c r="G4302" s="27" t="n">
        <v>46249</v>
      </c>
      <c r="H4302" s="14" t="n">
        <v>817.1</v>
      </c>
      <c r="I4302" s="14" t="n">
        <v>0</v>
      </c>
      <c r="J4302" s="14" t="n">
        <v>98.05</v>
      </c>
      <c r="K4302" s="14" t="n">
        <v>0</v>
      </c>
      <c r="L4302" s="14" t="n">
        <v>0</v>
      </c>
      <c r="M4302" s="14">
        <f>IF(B4302="Frete de venda",0,(1-ISNUMBER(SEARCH("556",P4302)))*(I4302*VLOOKUP($B4302,Premissas!$A$4:$E$7,2,0)+J4302*VLOOKUP($B4302,Premissas!$A$4:$E$7,3,0))+K4302*VLOOKUP($B4302,Premissas!$A$4:$E$7,4,0)+L4302*VLOOKUP($B4302,Premissas!$A$4:$E$7,5,0))</f>
        <v/>
      </c>
      <c r="N4302" s="14">
        <f>H4302-M4302</f>
        <v/>
      </c>
      <c r="O4302" t="inlineStr">
        <is>
          <t>Sim</t>
        </is>
      </c>
      <c r="P4302" t="inlineStr">
        <is>
          <t>2.350</t>
        </is>
      </c>
    </row>
    <row r="4303">
      <c r="A4303" s="24" t="n">
        <v>46235</v>
      </c>
      <c r="B4303" t="inlineStr">
        <is>
          <t>Frete de venda</t>
        </is>
      </c>
      <c r="C4303" t="inlineStr">
        <is>
          <t>Frete de venda (para clientes)</t>
        </is>
      </c>
      <c r="D4303" t="inlineStr">
        <is>
          <t>CT-e</t>
        </is>
      </c>
      <c r="E4303" t="inlineStr">
        <is>
          <t>000000222</t>
        </is>
      </c>
      <c r="F4303" t="inlineStr">
        <is>
          <t>DURA MAIS TRANSPORTES LTDA</t>
        </is>
      </c>
      <c r="G4303" s="27" t="n">
        <v>46249</v>
      </c>
      <c r="H4303" s="14" t="n">
        <v>408.55</v>
      </c>
      <c r="I4303" s="14" t="n">
        <v>0</v>
      </c>
      <c r="J4303" s="14" t="n">
        <v>49.03</v>
      </c>
      <c r="K4303" s="14" t="n">
        <v>0</v>
      </c>
      <c r="L4303" s="14" t="n">
        <v>0</v>
      </c>
      <c r="M4303" s="14">
        <f>IF(B4303="Frete de venda",0,(1-ISNUMBER(SEARCH("556",P4303)))*(I4303*VLOOKUP($B4303,Premissas!$A$4:$E$7,2,0)+J4303*VLOOKUP($B4303,Premissas!$A$4:$E$7,3,0))+K4303*VLOOKUP($B4303,Premissas!$A$4:$E$7,4,0)+L4303*VLOOKUP($B4303,Premissas!$A$4:$E$7,5,0))</f>
        <v/>
      </c>
      <c r="N4303" s="14">
        <f>H4303-M4303</f>
        <v/>
      </c>
      <c r="O4303" t="inlineStr">
        <is>
          <t>Sim</t>
        </is>
      </c>
      <c r="P4303" t="inlineStr">
        <is>
          <t>2.350</t>
        </is>
      </c>
    </row>
    <row r="4304">
      <c r="A4304" s="24" t="n">
        <v>46235</v>
      </c>
      <c r="B4304" t="inlineStr">
        <is>
          <t>Frete de venda</t>
        </is>
      </c>
      <c r="C4304" t="inlineStr">
        <is>
          <t>Frete de venda (para clientes)</t>
        </is>
      </c>
      <c r="D4304" t="inlineStr">
        <is>
          <t>CT-e</t>
        </is>
      </c>
      <c r="E4304" t="inlineStr">
        <is>
          <t>000000306</t>
        </is>
      </c>
      <c r="F4304" t="inlineStr">
        <is>
          <t>DURA MAIS TRANSPORTES LTDA</t>
        </is>
      </c>
      <c r="G4304" s="27" t="n">
        <v>46255</v>
      </c>
      <c r="H4304" s="14" t="n">
        <v>2160</v>
      </c>
      <c r="I4304" s="14" t="n">
        <v>0</v>
      </c>
      <c r="J4304" s="14" t="n">
        <v>259.2</v>
      </c>
      <c r="K4304" s="14" t="n">
        <v>0</v>
      </c>
      <c r="L4304" s="14" t="n">
        <v>0</v>
      </c>
      <c r="M4304" s="14">
        <f>IF(B4304="Frete de venda",0,(1-ISNUMBER(SEARCH("556",P4304)))*(I4304*VLOOKUP($B4304,Premissas!$A$4:$E$7,2,0)+J4304*VLOOKUP($B4304,Premissas!$A$4:$E$7,3,0))+K4304*VLOOKUP($B4304,Premissas!$A$4:$E$7,4,0)+L4304*VLOOKUP($B4304,Premissas!$A$4:$E$7,5,0))</f>
        <v/>
      </c>
      <c r="N4304" s="14">
        <f>H4304-M4304</f>
        <v/>
      </c>
      <c r="O4304" t="inlineStr">
        <is>
          <t>Sim</t>
        </is>
      </c>
      <c r="P4304" t="inlineStr">
        <is>
          <t>2.350</t>
        </is>
      </c>
    </row>
    <row r="4305">
      <c r="A4305" s="24" t="n">
        <v>46235</v>
      </c>
      <c r="B4305" t="inlineStr">
        <is>
          <t>Frete de venda</t>
        </is>
      </c>
      <c r="C4305" t="inlineStr">
        <is>
          <t>Frete de venda (para clientes)</t>
        </is>
      </c>
      <c r="D4305" t="inlineStr">
        <is>
          <t>CT-e</t>
        </is>
      </c>
      <c r="E4305" t="inlineStr">
        <is>
          <t>000007824</t>
        </is>
      </c>
      <c r="F4305" t="inlineStr">
        <is>
          <t>R&amp;R TRANSPORTE E LOGISTICA</t>
        </is>
      </c>
      <c r="G4305" s="27" t="n">
        <v>46235</v>
      </c>
      <c r="H4305" s="14" t="n">
        <v>557.66</v>
      </c>
      <c r="I4305" s="14" t="n">
        <v>0</v>
      </c>
      <c r="J4305" s="14" t="n">
        <v>0</v>
      </c>
      <c r="K4305" s="14" t="n">
        <v>0</v>
      </c>
      <c r="L4305" s="14" t="n">
        <v>0</v>
      </c>
      <c r="M4305" s="14">
        <f>IF(B4305="Frete de venda",0,(1-ISNUMBER(SEARCH("556",P4305)))*(I4305*VLOOKUP($B4305,Premissas!$A$4:$E$7,2,0)+J4305*VLOOKUP($B4305,Premissas!$A$4:$E$7,3,0))+K4305*VLOOKUP($B4305,Premissas!$A$4:$E$7,4,0)+L4305*VLOOKUP($B4305,Premissas!$A$4:$E$7,5,0))</f>
        <v/>
      </c>
      <c r="N4305" s="14">
        <f>H4305-M4305</f>
        <v/>
      </c>
      <c r="O4305" t="inlineStr">
        <is>
          <t>Não</t>
        </is>
      </c>
      <c r="P4305" t="inlineStr">
        <is>
          <t>2.350</t>
        </is>
      </c>
    </row>
    <row r="4306">
      <c r="A4306" s="24" t="n">
        <v>46235</v>
      </c>
      <c r="B4306" t="inlineStr">
        <is>
          <t>Frete de venda</t>
        </is>
      </c>
      <c r="C4306" t="inlineStr">
        <is>
          <t>Frete de venda (para clientes)</t>
        </is>
      </c>
      <c r="D4306" t="inlineStr">
        <is>
          <t>CT-e</t>
        </is>
      </c>
      <c r="E4306" t="inlineStr">
        <is>
          <t>000000122</t>
        </is>
      </c>
      <c r="F4306" t="inlineStr">
        <is>
          <t>DURA MAIS TRANSPORTES LTDA</t>
        </is>
      </c>
      <c r="G4306" s="27" t="n">
        <v>46239</v>
      </c>
      <c r="H4306" s="14" t="n">
        <v>14175</v>
      </c>
      <c r="I4306" s="14" t="n">
        <v>0</v>
      </c>
      <c r="J4306" s="14" t="n">
        <v>1701</v>
      </c>
      <c r="K4306" s="14" t="n">
        <v>0</v>
      </c>
      <c r="L4306" s="14" t="n">
        <v>0</v>
      </c>
      <c r="M4306" s="14">
        <f>IF(B4306="Frete de venda",0,(1-ISNUMBER(SEARCH("556",P4306)))*(I4306*VLOOKUP($B4306,Premissas!$A$4:$E$7,2,0)+J4306*VLOOKUP($B4306,Premissas!$A$4:$E$7,3,0))+K4306*VLOOKUP($B4306,Premissas!$A$4:$E$7,4,0)+L4306*VLOOKUP($B4306,Premissas!$A$4:$E$7,5,0))</f>
        <v/>
      </c>
      <c r="N4306" s="14">
        <f>H4306-M4306</f>
        <v/>
      </c>
      <c r="O4306" t="inlineStr">
        <is>
          <t>Não</t>
        </is>
      </c>
      <c r="P4306" t="inlineStr">
        <is>
          <t>1.350</t>
        </is>
      </c>
    </row>
    <row r="4307">
      <c r="A4307" s="24" t="n">
        <v>46235</v>
      </c>
      <c r="B4307" t="inlineStr">
        <is>
          <t>Frete de venda</t>
        </is>
      </c>
      <c r="C4307" t="inlineStr">
        <is>
          <t>Frete de venda (para clientes)</t>
        </is>
      </c>
      <c r="D4307" t="inlineStr">
        <is>
          <t>CT-e</t>
        </is>
      </c>
      <c r="E4307" t="inlineStr">
        <is>
          <t>000000207</t>
        </is>
      </c>
      <c r="F4307" t="inlineStr">
        <is>
          <t>DURA MAIS TRANSPORTES LTDA</t>
        </is>
      </c>
      <c r="G4307" s="27" t="n">
        <v>46248</v>
      </c>
      <c r="H4307" s="14" t="n">
        <v>13500</v>
      </c>
      <c r="I4307" s="14" t="n">
        <v>0</v>
      </c>
      <c r="J4307" s="14" t="n">
        <v>1620</v>
      </c>
      <c r="K4307" s="14" t="n">
        <v>0</v>
      </c>
      <c r="L4307" s="14" t="n">
        <v>0</v>
      </c>
      <c r="M4307" s="14">
        <f>IF(B4307="Frete de venda",0,(1-ISNUMBER(SEARCH("556",P4307)))*(I4307*VLOOKUP($B4307,Premissas!$A$4:$E$7,2,0)+J4307*VLOOKUP($B4307,Premissas!$A$4:$E$7,3,0))+K4307*VLOOKUP($B4307,Premissas!$A$4:$E$7,4,0)+L4307*VLOOKUP($B4307,Premissas!$A$4:$E$7,5,0))</f>
        <v/>
      </c>
      <c r="N4307" s="14">
        <f>H4307-M4307</f>
        <v/>
      </c>
      <c r="O4307" t="inlineStr">
        <is>
          <t>Sim</t>
        </is>
      </c>
      <c r="P4307" t="inlineStr">
        <is>
          <t>2.350</t>
        </is>
      </c>
    </row>
    <row r="4308">
      <c r="A4308" s="24" t="n">
        <v>46235</v>
      </c>
      <c r="B4308" t="inlineStr">
        <is>
          <t>Frete de venda</t>
        </is>
      </c>
      <c r="C4308" t="inlineStr">
        <is>
          <t>Frete de venda (para clientes)</t>
        </is>
      </c>
      <c r="D4308" t="inlineStr">
        <is>
          <t>CT-e</t>
        </is>
      </c>
      <c r="E4308" t="inlineStr">
        <is>
          <t>000000429</t>
        </is>
      </c>
      <c r="F4308" t="inlineStr">
        <is>
          <t>DURA MAIS TRANSPORTES LTDA</t>
        </is>
      </c>
      <c r="G4308" s="27" t="n">
        <v>46263</v>
      </c>
      <c r="H4308" s="14" t="n">
        <v>14175</v>
      </c>
      <c r="I4308" s="14" t="n">
        <v>0</v>
      </c>
      <c r="J4308" s="14" t="n">
        <v>1701</v>
      </c>
      <c r="K4308" s="14" t="n">
        <v>0</v>
      </c>
      <c r="L4308" s="14" t="n">
        <v>0</v>
      </c>
      <c r="M4308" s="14">
        <f>IF(B4308="Frete de venda",0,(1-ISNUMBER(SEARCH("556",P4308)))*(I4308*VLOOKUP($B4308,Premissas!$A$4:$E$7,2,0)+J4308*VLOOKUP($B4308,Premissas!$A$4:$E$7,3,0))+K4308*VLOOKUP($B4308,Premissas!$A$4:$E$7,4,0)+L4308*VLOOKUP($B4308,Premissas!$A$4:$E$7,5,0))</f>
        <v/>
      </c>
      <c r="N4308" s="14">
        <f>H4308-M4308</f>
        <v/>
      </c>
      <c r="O4308" t="inlineStr">
        <is>
          <t>Sim</t>
        </is>
      </c>
      <c r="P4308" t="inlineStr">
        <is>
          <t>2.350</t>
        </is>
      </c>
    </row>
    <row r="4309">
      <c r="A4309" s="24" t="n">
        <v>46235</v>
      </c>
      <c r="B4309" t="inlineStr">
        <is>
          <t>Frete de venda</t>
        </is>
      </c>
      <c r="C4309" t="inlineStr">
        <is>
          <t>Frete de venda (para clientes)</t>
        </is>
      </c>
      <c r="D4309" t="inlineStr">
        <is>
          <t>CT-e</t>
        </is>
      </c>
      <c r="E4309" t="inlineStr">
        <is>
          <t>000000353</t>
        </is>
      </c>
      <c r="F4309" t="inlineStr">
        <is>
          <t>DURA MAIS TRANSPORTES LTDA</t>
        </is>
      </c>
      <c r="G4309" s="27" t="n">
        <v>46259</v>
      </c>
      <c r="H4309" s="14" t="n">
        <v>700</v>
      </c>
      <c r="I4309" s="14" t="n">
        <v>0</v>
      </c>
      <c r="J4309" s="14" t="n">
        <v>84</v>
      </c>
      <c r="K4309" s="14" t="n">
        <v>0</v>
      </c>
      <c r="L4309" s="14" t="n">
        <v>0</v>
      </c>
      <c r="M4309" s="14">
        <f>IF(B4309="Frete de venda",0,(1-ISNUMBER(SEARCH("556",P4309)))*(I4309*VLOOKUP($B4309,Premissas!$A$4:$E$7,2,0)+J4309*VLOOKUP($B4309,Premissas!$A$4:$E$7,3,0))+K4309*VLOOKUP($B4309,Premissas!$A$4:$E$7,4,0)+L4309*VLOOKUP($B4309,Premissas!$A$4:$E$7,5,0))</f>
        <v/>
      </c>
      <c r="N4309" s="14">
        <f>H4309-M4309</f>
        <v/>
      </c>
      <c r="O4309" t="inlineStr">
        <is>
          <t>Sim</t>
        </is>
      </c>
      <c r="P4309" t="inlineStr">
        <is>
          <t>2.350</t>
        </is>
      </c>
    </row>
    <row r="4310">
      <c r="A4310" s="24" t="n">
        <v>46235</v>
      </c>
      <c r="B4310" t="inlineStr">
        <is>
          <t>Frete de venda</t>
        </is>
      </c>
      <c r="C4310" t="inlineStr">
        <is>
          <t>Frete de venda (para clientes)</t>
        </is>
      </c>
      <c r="D4310" t="inlineStr">
        <is>
          <t>CT-e</t>
        </is>
      </c>
      <c r="E4310" t="inlineStr">
        <is>
          <t>000000283</t>
        </is>
      </c>
      <c r="F4310" t="inlineStr">
        <is>
          <t>DURA MAIS TRANSPORTES LTDA</t>
        </is>
      </c>
      <c r="G4310" s="27" t="n">
        <v>46254</v>
      </c>
      <c r="H4310" s="14" t="n">
        <v>575</v>
      </c>
      <c r="I4310" s="14" t="n">
        <v>0</v>
      </c>
      <c r="J4310" s="14" t="n">
        <v>69</v>
      </c>
      <c r="K4310" s="14" t="n">
        <v>0</v>
      </c>
      <c r="L4310" s="14" t="n">
        <v>0</v>
      </c>
      <c r="M4310" s="14">
        <f>IF(B4310="Frete de venda",0,(1-ISNUMBER(SEARCH("556",P4310)))*(I4310*VLOOKUP($B4310,Premissas!$A$4:$E$7,2,0)+J4310*VLOOKUP($B4310,Premissas!$A$4:$E$7,3,0))+K4310*VLOOKUP($B4310,Premissas!$A$4:$E$7,4,0)+L4310*VLOOKUP($B4310,Premissas!$A$4:$E$7,5,0))</f>
        <v/>
      </c>
      <c r="N4310" s="14">
        <f>H4310-M4310</f>
        <v/>
      </c>
      <c r="O4310" t="inlineStr">
        <is>
          <t>Sim</t>
        </is>
      </c>
      <c r="P4310" t="inlineStr">
        <is>
          <t>2.350</t>
        </is>
      </c>
    </row>
    <row r="4311">
      <c r="A4311" s="24" t="n">
        <v>46235</v>
      </c>
      <c r="B4311" t="inlineStr">
        <is>
          <t>Frete de venda</t>
        </is>
      </c>
      <c r="C4311" t="inlineStr">
        <is>
          <t>Frete de venda (para clientes)</t>
        </is>
      </c>
      <c r="D4311" t="inlineStr">
        <is>
          <t>CT-e</t>
        </is>
      </c>
      <c r="E4311" t="inlineStr">
        <is>
          <t>000000284</t>
        </is>
      </c>
      <c r="F4311" t="inlineStr">
        <is>
          <t>DURA MAIS TRANSPORTES LTDA</t>
        </is>
      </c>
      <c r="G4311" s="27" t="n">
        <v>46254</v>
      </c>
      <c r="H4311" s="14" t="n">
        <v>575</v>
      </c>
      <c r="I4311" s="14" t="n">
        <v>0</v>
      </c>
      <c r="J4311" s="14" t="n">
        <v>69</v>
      </c>
      <c r="K4311" s="14" t="n">
        <v>0</v>
      </c>
      <c r="L4311" s="14" t="n">
        <v>0</v>
      </c>
      <c r="M4311" s="14">
        <f>IF(B4311="Frete de venda",0,(1-ISNUMBER(SEARCH("556",P4311)))*(I4311*VLOOKUP($B4311,Premissas!$A$4:$E$7,2,0)+J4311*VLOOKUP($B4311,Premissas!$A$4:$E$7,3,0))+K4311*VLOOKUP($B4311,Premissas!$A$4:$E$7,4,0)+L4311*VLOOKUP($B4311,Premissas!$A$4:$E$7,5,0))</f>
        <v/>
      </c>
      <c r="N4311" s="14">
        <f>H4311-M4311</f>
        <v/>
      </c>
      <c r="O4311" t="inlineStr">
        <is>
          <t>Sim</t>
        </is>
      </c>
      <c r="P4311" t="inlineStr">
        <is>
          <t>2.350</t>
        </is>
      </c>
    </row>
    <row r="4312">
      <c r="A4312" s="24" t="n">
        <v>46235</v>
      </c>
      <c r="B4312" t="inlineStr">
        <is>
          <t>Frete de venda</t>
        </is>
      </c>
      <c r="C4312" t="inlineStr">
        <is>
          <t>Frete de venda (para clientes)</t>
        </is>
      </c>
      <c r="D4312" t="inlineStr">
        <is>
          <t>CT-e</t>
        </is>
      </c>
      <c r="E4312" t="inlineStr">
        <is>
          <t>000000230</t>
        </is>
      </c>
      <c r="F4312" t="inlineStr">
        <is>
          <t>DURA MAIS TRANSPORTES LTDA</t>
        </is>
      </c>
      <c r="G4312" s="27" t="n">
        <v>46249</v>
      </c>
      <c r="H4312" s="14" t="n">
        <v>817.1</v>
      </c>
      <c r="I4312" s="14" t="n">
        <v>0</v>
      </c>
      <c r="J4312" s="14" t="n">
        <v>98.05</v>
      </c>
      <c r="K4312" s="14" t="n">
        <v>0</v>
      </c>
      <c r="L4312" s="14" t="n">
        <v>0</v>
      </c>
      <c r="M4312" s="14">
        <f>IF(B4312="Frete de venda",0,(1-ISNUMBER(SEARCH("556",P4312)))*(I4312*VLOOKUP($B4312,Premissas!$A$4:$E$7,2,0)+J4312*VLOOKUP($B4312,Premissas!$A$4:$E$7,3,0))+K4312*VLOOKUP($B4312,Premissas!$A$4:$E$7,4,0)+L4312*VLOOKUP($B4312,Premissas!$A$4:$E$7,5,0))</f>
        <v/>
      </c>
      <c r="N4312" s="14">
        <f>H4312-M4312</f>
        <v/>
      </c>
      <c r="O4312" t="inlineStr">
        <is>
          <t>Sim</t>
        </is>
      </c>
      <c r="P4312" t="inlineStr">
        <is>
          <t>2.350</t>
        </is>
      </c>
    </row>
    <row r="4313">
      <c r="A4313" s="24" t="n">
        <v>46235</v>
      </c>
      <c r="B4313" t="inlineStr">
        <is>
          <t>Frete de venda</t>
        </is>
      </c>
      <c r="C4313" t="inlineStr">
        <is>
          <t>Frete de venda (para clientes)</t>
        </is>
      </c>
      <c r="D4313" t="inlineStr">
        <is>
          <t>CT-e</t>
        </is>
      </c>
      <c r="E4313" t="inlineStr">
        <is>
          <t>000000303</t>
        </is>
      </c>
      <c r="F4313" t="inlineStr">
        <is>
          <t>DURA MAIS TRANSPORTES LTDA</t>
        </is>
      </c>
      <c r="G4313" s="27" t="n">
        <v>46255</v>
      </c>
      <c r="H4313" s="14" t="n">
        <v>2160</v>
      </c>
      <c r="I4313" s="14" t="n">
        <v>0</v>
      </c>
      <c r="J4313" s="14" t="n">
        <v>259.2</v>
      </c>
      <c r="K4313" s="14" t="n">
        <v>0</v>
      </c>
      <c r="L4313" s="14" t="n">
        <v>0</v>
      </c>
      <c r="M4313" s="14">
        <f>IF(B4313="Frete de venda",0,(1-ISNUMBER(SEARCH("556",P4313)))*(I4313*VLOOKUP($B4313,Premissas!$A$4:$E$7,2,0)+J4313*VLOOKUP($B4313,Premissas!$A$4:$E$7,3,0))+K4313*VLOOKUP($B4313,Premissas!$A$4:$E$7,4,0)+L4313*VLOOKUP($B4313,Premissas!$A$4:$E$7,5,0))</f>
        <v/>
      </c>
      <c r="N4313" s="14">
        <f>H4313-M4313</f>
        <v/>
      </c>
      <c r="O4313" t="inlineStr">
        <is>
          <t>Sim</t>
        </is>
      </c>
      <c r="P4313" t="inlineStr">
        <is>
          <t>2.350</t>
        </is>
      </c>
    </row>
    <row r="4314">
      <c r="A4314" s="24" t="n">
        <v>46235</v>
      </c>
      <c r="B4314" t="inlineStr">
        <is>
          <t>Frete de venda</t>
        </is>
      </c>
      <c r="C4314" t="inlineStr">
        <is>
          <t>Frete de venda (para clientes)</t>
        </is>
      </c>
      <c r="D4314" t="inlineStr">
        <is>
          <t>CT-e</t>
        </is>
      </c>
      <c r="E4314" t="inlineStr">
        <is>
          <t>000000416</t>
        </is>
      </c>
      <c r="F4314" t="inlineStr">
        <is>
          <t>DURA MAIS TRANSPORTES LTDA</t>
        </is>
      </c>
      <c r="G4314" s="27" t="n">
        <v>46262</v>
      </c>
      <c r="H4314" s="14" t="n">
        <v>464.06</v>
      </c>
      <c r="I4314" s="14" t="n">
        <v>0</v>
      </c>
      <c r="J4314" s="14" t="n">
        <v>55.69</v>
      </c>
      <c r="K4314" s="14" t="n">
        <v>0</v>
      </c>
      <c r="L4314" s="14" t="n">
        <v>0</v>
      </c>
      <c r="M4314" s="14">
        <f>IF(B4314="Frete de venda",0,(1-ISNUMBER(SEARCH("556",P4314)))*(I4314*VLOOKUP($B4314,Premissas!$A$4:$E$7,2,0)+J4314*VLOOKUP($B4314,Premissas!$A$4:$E$7,3,0))+K4314*VLOOKUP($B4314,Premissas!$A$4:$E$7,4,0)+L4314*VLOOKUP($B4314,Premissas!$A$4:$E$7,5,0))</f>
        <v/>
      </c>
      <c r="N4314" s="14">
        <f>H4314-M4314</f>
        <v/>
      </c>
      <c r="O4314" t="inlineStr">
        <is>
          <t>Sim</t>
        </is>
      </c>
      <c r="P4314" t="inlineStr">
        <is>
          <t>2.350</t>
        </is>
      </c>
    </row>
    <row r="4315">
      <c r="A4315" s="24" t="n">
        <v>46235</v>
      </c>
      <c r="B4315" t="inlineStr">
        <is>
          <t>Frete de venda</t>
        </is>
      </c>
      <c r="C4315" t="inlineStr">
        <is>
          <t>Frete de venda (para clientes)</t>
        </is>
      </c>
      <c r="D4315" t="inlineStr">
        <is>
          <t>CT-e</t>
        </is>
      </c>
      <c r="E4315" t="inlineStr">
        <is>
          <t>000000185</t>
        </is>
      </c>
      <c r="F4315" t="inlineStr">
        <is>
          <t>DURA MAIS TRANSPORTES LTDA</t>
        </is>
      </c>
      <c r="G4315" s="27" t="n">
        <v>46246</v>
      </c>
      <c r="H4315" s="14" t="n">
        <v>560</v>
      </c>
      <c r="I4315" s="14" t="n">
        <v>0</v>
      </c>
      <c r="J4315" s="14" t="n">
        <v>67.2</v>
      </c>
      <c r="K4315" s="14" t="n">
        <v>0</v>
      </c>
      <c r="L4315" s="14" t="n">
        <v>0</v>
      </c>
      <c r="M4315" s="14">
        <f>IF(B4315="Frete de venda",0,(1-ISNUMBER(SEARCH("556",P4315)))*(I4315*VLOOKUP($B4315,Premissas!$A$4:$E$7,2,0)+J4315*VLOOKUP($B4315,Premissas!$A$4:$E$7,3,0))+K4315*VLOOKUP($B4315,Premissas!$A$4:$E$7,4,0)+L4315*VLOOKUP($B4315,Premissas!$A$4:$E$7,5,0))</f>
        <v/>
      </c>
      <c r="N4315" s="14">
        <f>H4315-M4315</f>
        <v/>
      </c>
      <c r="O4315" t="inlineStr">
        <is>
          <t>Sim</t>
        </is>
      </c>
      <c r="P4315" t="inlineStr">
        <is>
          <t>2.350</t>
        </is>
      </c>
    </row>
    <row r="4316">
      <c r="A4316" s="24" t="n">
        <v>46235</v>
      </c>
      <c r="B4316" t="inlineStr">
        <is>
          <t>Frete de venda</t>
        </is>
      </c>
      <c r="C4316" t="inlineStr">
        <is>
          <t>Frete de venda (para clientes)</t>
        </is>
      </c>
      <c r="D4316" t="inlineStr">
        <is>
          <t>CT-e</t>
        </is>
      </c>
      <c r="E4316" t="inlineStr">
        <is>
          <t>000007847</t>
        </is>
      </c>
      <c r="F4316" t="inlineStr">
        <is>
          <t>R&amp;R TRANSPORTE E LOGISTICA</t>
        </is>
      </c>
      <c r="G4316" s="27" t="n">
        <v>46235</v>
      </c>
      <c r="H4316" s="14" t="n">
        <v>37.44</v>
      </c>
      <c r="I4316" s="14" t="n">
        <v>0</v>
      </c>
      <c r="J4316" s="14" t="n">
        <v>0</v>
      </c>
      <c r="K4316" s="14" t="n">
        <v>0</v>
      </c>
      <c r="L4316" s="14" t="n">
        <v>0</v>
      </c>
      <c r="M4316" s="14">
        <f>IF(B4316="Frete de venda",0,(1-ISNUMBER(SEARCH("556",P4316)))*(I4316*VLOOKUP($B4316,Premissas!$A$4:$E$7,2,0)+J4316*VLOOKUP($B4316,Premissas!$A$4:$E$7,3,0))+K4316*VLOOKUP($B4316,Premissas!$A$4:$E$7,4,0)+L4316*VLOOKUP($B4316,Premissas!$A$4:$E$7,5,0))</f>
        <v/>
      </c>
      <c r="N4316" s="14">
        <f>H4316-M4316</f>
        <v/>
      </c>
      <c r="O4316" t="inlineStr">
        <is>
          <t>Não</t>
        </is>
      </c>
      <c r="P4316" t="inlineStr">
        <is>
          <t>2.350</t>
        </is>
      </c>
    </row>
    <row r="4317">
      <c r="A4317" s="24" t="n">
        <v>46235</v>
      </c>
      <c r="B4317" t="inlineStr">
        <is>
          <t>Frete de venda</t>
        </is>
      </c>
      <c r="C4317" t="inlineStr">
        <is>
          <t>Frete de venda (para clientes)</t>
        </is>
      </c>
      <c r="D4317" t="inlineStr">
        <is>
          <t>CT-e</t>
        </is>
      </c>
      <c r="E4317" t="inlineStr">
        <is>
          <t>000000438</t>
        </is>
      </c>
      <c r="F4317" t="inlineStr">
        <is>
          <t>DURA MAIS TRANSPORTES LTDA</t>
        </is>
      </c>
      <c r="G4317" s="27" t="n">
        <v>46263</v>
      </c>
      <c r="H4317" s="14" t="n">
        <v>368.18</v>
      </c>
      <c r="I4317" s="14" t="n">
        <v>0</v>
      </c>
      <c r="J4317" s="14" t="n">
        <v>44.18</v>
      </c>
      <c r="K4317" s="14" t="n">
        <v>0</v>
      </c>
      <c r="L4317" s="14" t="n">
        <v>0</v>
      </c>
      <c r="M4317" s="14">
        <f>IF(B4317="Frete de venda",0,(1-ISNUMBER(SEARCH("556",P4317)))*(I4317*VLOOKUP($B4317,Premissas!$A$4:$E$7,2,0)+J4317*VLOOKUP($B4317,Premissas!$A$4:$E$7,3,0))+K4317*VLOOKUP($B4317,Premissas!$A$4:$E$7,4,0)+L4317*VLOOKUP($B4317,Premissas!$A$4:$E$7,5,0))</f>
        <v/>
      </c>
      <c r="N4317" s="14">
        <f>H4317-M4317</f>
        <v/>
      </c>
      <c r="O4317" t="inlineStr">
        <is>
          <t>Sim</t>
        </is>
      </c>
      <c r="P4317" t="inlineStr">
        <is>
          <t>2.350</t>
        </is>
      </c>
    </row>
    <row r="4318">
      <c r="A4318" s="24" t="n">
        <v>46235</v>
      </c>
      <c r="B4318" t="inlineStr">
        <is>
          <t>Frete de venda</t>
        </is>
      </c>
      <c r="C4318" t="inlineStr">
        <is>
          <t>Frete de venda (para clientes)</t>
        </is>
      </c>
      <c r="D4318" t="inlineStr">
        <is>
          <t>CT-e</t>
        </is>
      </c>
      <c r="E4318" t="inlineStr">
        <is>
          <t>000000220</t>
        </is>
      </c>
      <c r="F4318" t="inlineStr">
        <is>
          <t>DURA MAIS TRANSPORTES LTDA</t>
        </is>
      </c>
      <c r="G4318" s="27" t="n">
        <v>46249</v>
      </c>
      <c r="H4318" s="14" t="n">
        <v>408.55</v>
      </c>
      <c r="I4318" s="14" t="n">
        <v>0</v>
      </c>
      <c r="J4318" s="14" t="n">
        <v>49.03</v>
      </c>
      <c r="K4318" s="14" t="n">
        <v>0</v>
      </c>
      <c r="L4318" s="14" t="n">
        <v>0</v>
      </c>
      <c r="M4318" s="14">
        <f>IF(B4318="Frete de venda",0,(1-ISNUMBER(SEARCH("556",P4318)))*(I4318*VLOOKUP($B4318,Premissas!$A$4:$E$7,2,0)+J4318*VLOOKUP($B4318,Premissas!$A$4:$E$7,3,0))+K4318*VLOOKUP($B4318,Premissas!$A$4:$E$7,4,0)+L4318*VLOOKUP($B4318,Premissas!$A$4:$E$7,5,0))</f>
        <v/>
      </c>
      <c r="N4318" s="14">
        <f>H4318-M4318</f>
        <v/>
      </c>
      <c r="O4318" t="inlineStr">
        <is>
          <t>Sim</t>
        </is>
      </c>
      <c r="P4318" t="inlineStr">
        <is>
          <t>2.350</t>
        </is>
      </c>
    </row>
    <row r="4319">
      <c r="A4319" s="24" t="n">
        <v>46235</v>
      </c>
      <c r="B4319" t="inlineStr">
        <is>
          <t>Frete de venda</t>
        </is>
      </c>
      <c r="C4319" t="inlineStr">
        <is>
          <t>Frete de venda (para clientes)</t>
        </is>
      </c>
      <c r="D4319" t="inlineStr">
        <is>
          <t>CT-e</t>
        </is>
      </c>
      <c r="E4319" t="inlineStr">
        <is>
          <t>000000152</t>
        </is>
      </c>
      <c r="F4319" t="inlineStr">
        <is>
          <t>DURA MAIS TRANSPORTES LTDA</t>
        </is>
      </c>
      <c r="G4319" s="27" t="n">
        <v>46240</v>
      </c>
      <c r="H4319" s="14" t="n">
        <v>4725</v>
      </c>
      <c r="I4319" s="14" t="n">
        <v>0</v>
      </c>
      <c r="J4319" s="14" t="n">
        <v>567</v>
      </c>
      <c r="K4319" s="14" t="n">
        <v>0</v>
      </c>
      <c r="L4319" s="14" t="n">
        <v>0</v>
      </c>
      <c r="M4319" s="14">
        <f>IF(B4319="Frete de venda",0,(1-ISNUMBER(SEARCH("556",P4319)))*(I4319*VLOOKUP($B4319,Premissas!$A$4:$E$7,2,0)+J4319*VLOOKUP($B4319,Premissas!$A$4:$E$7,3,0))+K4319*VLOOKUP($B4319,Premissas!$A$4:$E$7,4,0)+L4319*VLOOKUP($B4319,Premissas!$A$4:$E$7,5,0))</f>
        <v/>
      </c>
      <c r="N4319" s="14">
        <f>H4319-M4319</f>
        <v/>
      </c>
      <c r="O4319" t="inlineStr">
        <is>
          <t>Sim</t>
        </is>
      </c>
      <c r="P4319" t="inlineStr">
        <is>
          <t>1.350</t>
        </is>
      </c>
    </row>
    <row r="4320">
      <c r="A4320" s="24" t="n">
        <v>46235</v>
      </c>
      <c r="B4320" t="inlineStr">
        <is>
          <t>Frete de venda</t>
        </is>
      </c>
      <c r="C4320" t="inlineStr">
        <is>
          <t>Frete de venda (para clientes)</t>
        </is>
      </c>
      <c r="D4320" t="inlineStr">
        <is>
          <t>CT-e</t>
        </is>
      </c>
      <c r="E4320" t="inlineStr">
        <is>
          <t>000007951</t>
        </is>
      </c>
      <c r="F4320" t="inlineStr">
        <is>
          <t>R&amp;R TRANSPORTE E LOGISTICA</t>
        </is>
      </c>
      <c r="G4320" s="27" t="n">
        <v>46265</v>
      </c>
      <c r="H4320" s="14" t="n">
        <v>2500</v>
      </c>
      <c r="I4320" s="14" t="n">
        <v>0</v>
      </c>
      <c r="J4320" s="14" t="n">
        <v>0</v>
      </c>
      <c r="K4320" s="14" t="n">
        <v>0</v>
      </c>
      <c r="L4320" s="14" t="n">
        <v>0</v>
      </c>
      <c r="M4320" s="14">
        <f>IF(B4320="Frete de venda",0,(1-ISNUMBER(SEARCH("556",P4320)))*(I4320*VLOOKUP($B4320,Premissas!$A$4:$E$7,2,0)+J4320*VLOOKUP($B4320,Premissas!$A$4:$E$7,3,0))+K4320*VLOOKUP($B4320,Premissas!$A$4:$E$7,4,0)+L4320*VLOOKUP($B4320,Premissas!$A$4:$E$7,5,0))</f>
        <v/>
      </c>
      <c r="N4320" s="14">
        <f>H4320-M4320</f>
        <v/>
      </c>
      <c r="O4320" t="inlineStr">
        <is>
          <t>Sim</t>
        </is>
      </c>
      <c r="P4320" t="inlineStr">
        <is>
          <t>2.350</t>
        </is>
      </c>
    </row>
    <row r="4321">
      <c r="A4321" s="24" t="n">
        <v>46235</v>
      </c>
      <c r="B4321" t="inlineStr">
        <is>
          <t>Frete de venda</t>
        </is>
      </c>
      <c r="C4321" t="inlineStr">
        <is>
          <t>Frete de venda (para clientes)</t>
        </is>
      </c>
      <c r="D4321" t="inlineStr">
        <is>
          <t>CT-e</t>
        </is>
      </c>
      <c r="E4321" t="inlineStr">
        <is>
          <t>000046573</t>
        </is>
      </c>
      <c r="F4321" t="inlineStr">
        <is>
          <t>TRANSFORRECHI TRANSPORTES LTDA</t>
        </is>
      </c>
      <c r="G4321" s="27" t="n">
        <v>46248</v>
      </c>
      <c r="H4321" s="14" t="n">
        <v>920</v>
      </c>
      <c r="I4321" s="14" t="n">
        <v>0</v>
      </c>
      <c r="J4321" s="14" t="n">
        <v>110.4</v>
      </c>
      <c r="K4321" s="14" t="n">
        <v>0</v>
      </c>
      <c r="L4321" s="14" t="n">
        <v>0</v>
      </c>
      <c r="M4321" s="14">
        <f>IF(B4321="Frete de venda",0,(1-ISNUMBER(SEARCH("556",P4321)))*(I4321*VLOOKUP($B4321,Premissas!$A$4:$E$7,2,0)+J4321*VLOOKUP($B4321,Premissas!$A$4:$E$7,3,0))+K4321*VLOOKUP($B4321,Premissas!$A$4:$E$7,4,0)+L4321*VLOOKUP($B4321,Premissas!$A$4:$E$7,5,0))</f>
        <v/>
      </c>
      <c r="N4321" s="14">
        <f>H4321-M4321</f>
        <v/>
      </c>
      <c r="O4321" t="inlineStr">
        <is>
          <t>Sim</t>
        </is>
      </c>
      <c r="P4321" t="inlineStr">
        <is>
          <t>2.350</t>
        </is>
      </c>
    </row>
    <row r="4322">
      <c r="A4322" s="24" t="n">
        <v>46235</v>
      </c>
      <c r="B4322" t="inlineStr">
        <is>
          <t>Frete de venda</t>
        </is>
      </c>
      <c r="C4322" t="inlineStr">
        <is>
          <t>Frete de venda (para clientes)</t>
        </is>
      </c>
      <c r="D4322" t="inlineStr">
        <is>
          <t>CT-e</t>
        </is>
      </c>
      <c r="E4322" t="inlineStr">
        <is>
          <t>000000344</t>
        </is>
      </c>
      <c r="F4322" t="inlineStr">
        <is>
          <t>DURA MAIS TRANSPORTES LTDA</t>
        </is>
      </c>
      <c r="G4322" s="27" t="n">
        <v>46259</v>
      </c>
      <c r="H4322" s="14" t="n">
        <v>700</v>
      </c>
      <c r="I4322" s="14" t="n">
        <v>0</v>
      </c>
      <c r="J4322" s="14" t="n">
        <v>84</v>
      </c>
      <c r="K4322" s="14" t="n">
        <v>0</v>
      </c>
      <c r="L4322" s="14" t="n">
        <v>0</v>
      </c>
      <c r="M4322" s="14">
        <f>IF(B4322="Frete de venda",0,(1-ISNUMBER(SEARCH("556",P4322)))*(I4322*VLOOKUP($B4322,Premissas!$A$4:$E$7,2,0)+J4322*VLOOKUP($B4322,Premissas!$A$4:$E$7,3,0))+K4322*VLOOKUP($B4322,Premissas!$A$4:$E$7,4,0)+L4322*VLOOKUP($B4322,Premissas!$A$4:$E$7,5,0))</f>
        <v/>
      </c>
      <c r="N4322" s="14">
        <f>H4322-M4322</f>
        <v/>
      </c>
      <c r="O4322" t="inlineStr">
        <is>
          <t>Sim</t>
        </is>
      </c>
      <c r="P4322" t="inlineStr">
        <is>
          <t>2.350</t>
        </is>
      </c>
    </row>
    <row r="4323">
      <c r="A4323" s="24" t="n">
        <v>46235</v>
      </c>
      <c r="B4323" t="inlineStr">
        <is>
          <t>Frete de venda</t>
        </is>
      </c>
      <c r="C4323" t="inlineStr">
        <is>
          <t>Frete de venda (para clientes)</t>
        </is>
      </c>
      <c r="D4323" t="inlineStr">
        <is>
          <t>CT-e</t>
        </is>
      </c>
      <c r="E4323" t="inlineStr">
        <is>
          <t>000000444</t>
        </is>
      </c>
      <c r="F4323" t="inlineStr">
        <is>
          <t>DURA MAIS TRANSPORTES LTDA</t>
        </is>
      </c>
      <c r="G4323" s="27" t="n">
        <v>46263</v>
      </c>
      <c r="H4323" s="14" t="n">
        <v>368.18</v>
      </c>
      <c r="I4323" s="14" t="n">
        <v>0</v>
      </c>
      <c r="J4323" s="14" t="n">
        <v>44.18</v>
      </c>
      <c r="K4323" s="14" t="n">
        <v>0</v>
      </c>
      <c r="L4323" s="14" t="n">
        <v>0</v>
      </c>
      <c r="M4323" s="14">
        <f>IF(B4323="Frete de venda",0,(1-ISNUMBER(SEARCH("556",P4323)))*(I4323*VLOOKUP($B4323,Premissas!$A$4:$E$7,2,0)+J4323*VLOOKUP($B4323,Premissas!$A$4:$E$7,3,0))+K4323*VLOOKUP($B4323,Premissas!$A$4:$E$7,4,0)+L4323*VLOOKUP($B4323,Premissas!$A$4:$E$7,5,0))</f>
        <v/>
      </c>
      <c r="N4323" s="14">
        <f>H4323-M4323</f>
        <v/>
      </c>
      <c r="O4323" t="inlineStr">
        <is>
          <t>Sim</t>
        </is>
      </c>
      <c r="P4323" t="inlineStr">
        <is>
          <t>2.350</t>
        </is>
      </c>
    </row>
    <row r="4324">
      <c r="A4324" s="24" t="n">
        <v>46235</v>
      </c>
      <c r="B4324" t="inlineStr">
        <is>
          <t>Frete de venda</t>
        </is>
      </c>
      <c r="C4324" t="inlineStr">
        <is>
          <t>Frete de venda (para clientes)</t>
        </is>
      </c>
      <c r="D4324" t="inlineStr">
        <is>
          <t>CT-e</t>
        </is>
      </c>
      <c r="E4324" t="inlineStr">
        <is>
          <t>000000448</t>
        </is>
      </c>
      <c r="F4324" t="inlineStr">
        <is>
          <t>DURA MAIS TRANSPORTES LTDA</t>
        </is>
      </c>
      <c r="G4324" s="27" t="n">
        <v>46263</v>
      </c>
      <c r="H4324" s="14" t="n">
        <v>2577.3</v>
      </c>
      <c r="I4324" s="14" t="n">
        <v>0</v>
      </c>
      <c r="J4324" s="14" t="n">
        <v>309.28</v>
      </c>
      <c r="K4324" s="14" t="n">
        <v>0</v>
      </c>
      <c r="L4324" s="14" t="n">
        <v>0</v>
      </c>
      <c r="M4324" s="14">
        <f>IF(B4324="Frete de venda",0,(1-ISNUMBER(SEARCH("556",P4324)))*(I4324*VLOOKUP($B4324,Premissas!$A$4:$E$7,2,0)+J4324*VLOOKUP($B4324,Premissas!$A$4:$E$7,3,0))+K4324*VLOOKUP($B4324,Premissas!$A$4:$E$7,4,0)+L4324*VLOOKUP($B4324,Premissas!$A$4:$E$7,5,0))</f>
        <v/>
      </c>
      <c r="N4324" s="14">
        <f>H4324-M4324</f>
        <v/>
      </c>
      <c r="O4324" t="inlineStr">
        <is>
          <t>Sim</t>
        </is>
      </c>
      <c r="P4324" t="inlineStr">
        <is>
          <t>2.350</t>
        </is>
      </c>
    </row>
    <row r="4325">
      <c r="A4325" s="24" t="n">
        <v>46235</v>
      </c>
      <c r="B4325" t="inlineStr">
        <is>
          <t>Frete de venda</t>
        </is>
      </c>
      <c r="C4325" t="inlineStr">
        <is>
          <t>Frete de venda (para clientes)</t>
        </is>
      </c>
      <c r="D4325" t="inlineStr">
        <is>
          <t>CT-e</t>
        </is>
      </c>
      <c r="E4325" t="inlineStr">
        <is>
          <t>000000197</t>
        </is>
      </c>
      <c r="F4325" t="inlineStr">
        <is>
          <t>DURA MAIS TRANSPORTES LTDA</t>
        </is>
      </c>
      <c r="G4325" s="27" t="n">
        <v>46248</v>
      </c>
      <c r="H4325" s="14" t="n">
        <v>2025</v>
      </c>
      <c r="I4325" s="14" t="n">
        <v>0</v>
      </c>
      <c r="J4325" s="14" t="n">
        <v>243</v>
      </c>
      <c r="K4325" s="14" t="n">
        <v>0</v>
      </c>
      <c r="L4325" s="14" t="n">
        <v>0</v>
      </c>
      <c r="M4325" s="14">
        <f>IF(B4325="Frete de venda",0,(1-ISNUMBER(SEARCH("556",P4325)))*(I4325*VLOOKUP($B4325,Premissas!$A$4:$E$7,2,0)+J4325*VLOOKUP($B4325,Premissas!$A$4:$E$7,3,0))+K4325*VLOOKUP($B4325,Premissas!$A$4:$E$7,4,0)+L4325*VLOOKUP($B4325,Premissas!$A$4:$E$7,5,0))</f>
        <v/>
      </c>
      <c r="N4325" s="14">
        <f>H4325-M4325</f>
        <v/>
      </c>
      <c r="O4325" t="inlineStr">
        <is>
          <t>Sim</t>
        </is>
      </c>
      <c r="P4325" t="inlineStr">
        <is>
          <t>2.350</t>
        </is>
      </c>
    </row>
    <row r="4326">
      <c r="A4326" s="24" t="n">
        <v>46235</v>
      </c>
      <c r="B4326" t="inlineStr">
        <is>
          <t>Frete de venda</t>
        </is>
      </c>
      <c r="C4326" t="inlineStr">
        <is>
          <t>Frete de venda (para clientes)</t>
        </is>
      </c>
      <c r="D4326" t="inlineStr">
        <is>
          <t>CT-e</t>
        </is>
      </c>
      <c r="E4326" t="inlineStr">
        <is>
          <t>000007833</t>
        </is>
      </c>
      <c r="F4326" t="inlineStr">
        <is>
          <t>R&amp;R TRANSPORTE E LOGISTICA</t>
        </is>
      </c>
      <c r="G4326" s="27" t="n">
        <v>46235</v>
      </c>
      <c r="H4326" s="14" t="n">
        <v>37.44</v>
      </c>
      <c r="I4326" s="14" t="n">
        <v>0</v>
      </c>
      <c r="J4326" s="14" t="n">
        <v>0</v>
      </c>
      <c r="K4326" s="14" t="n">
        <v>0</v>
      </c>
      <c r="L4326" s="14" t="n">
        <v>0</v>
      </c>
      <c r="M4326" s="14">
        <f>IF(B4326="Frete de venda",0,(1-ISNUMBER(SEARCH("556",P4326)))*(I4326*VLOOKUP($B4326,Premissas!$A$4:$E$7,2,0)+J4326*VLOOKUP($B4326,Premissas!$A$4:$E$7,3,0))+K4326*VLOOKUP($B4326,Premissas!$A$4:$E$7,4,0)+L4326*VLOOKUP($B4326,Premissas!$A$4:$E$7,5,0))</f>
        <v/>
      </c>
      <c r="N4326" s="14">
        <f>H4326-M4326</f>
        <v/>
      </c>
      <c r="O4326" t="inlineStr">
        <is>
          <t>Não</t>
        </is>
      </c>
      <c r="P4326" t="inlineStr">
        <is>
          <t>2.350</t>
        </is>
      </c>
    </row>
    <row r="4327">
      <c r="A4327" s="24" t="n">
        <v>46235</v>
      </c>
      <c r="B4327" t="inlineStr">
        <is>
          <t>Frete de venda</t>
        </is>
      </c>
      <c r="C4327" t="inlineStr">
        <is>
          <t>Frete de venda (para clientes)</t>
        </is>
      </c>
      <c r="D4327" t="inlineStr">
        <is>
          <t>CT-e</t>
        </is>
      </c>
      <c r="E4327" t="inlineStr">
        <is>
          <t>000000408</t>
        </is>
      </c>
      <c r="F4327" t="inlineStr">
        <is>
          <t>DURA MAIS TRANSPORTES LTDA</t>
        </is>
      </c>
      <c r="G4327" s="27" t="n">
        <v>46262</v>
      </c>
      <c r="H4327" s="14" t="n">
        <v>464.06</v>
      </c>
      <c r="I4327" s="14" t="n">
        <v>0</v>
      </c>
      <c r="J4327" s="14" t="n">
        <v>55.69</v>
      </c>
      <c r="K4327" s="14" t="n">
        <v>0</v>
      </c>
      <c r="L4327" s="14" t="n">
        <v>0</v>
      </c>
      <c r="M4327" s="14">
        <f>IF(B4327="Frete de venda",0,(1-ISNUMBER(SEARCH("556",P4327)))*(I4327*VLOOKUP($B4327,Premissas!$A$4:$E$7,2,0)+J4327*VLOOKUP($B4327,Premissas!$A$4:$E$7,3,0))+K4327*VLOOKUP($B4327,Premissas!$A$4:$E$7,4,0)+L4327*VLOOKUP($B4327,Premissas!$A$4:$E$7,5,0))</f>
        <v/>
      </c>
      <c r="N4327" s="14">
        <f>H4327-M4327</f>
        <v/>
      </c>
      <c r="O4327" t="inlineStr">
        <is>
          <t>Sim</t>
        </is>
      </c>
      <c r="P4327" t="inlineStr">
        <is>
          <t>2.350</t>
        </is>
      </c>
    </row>
    <row r="4328">
      <c r="A4328" s="24" t="n">
        <v>46235</v>
      </c>
      <c r="B4328" t="inlineStr">
        <is>
          <t>Frete de venda</t>
        </is>
      </c>
      <c r="C4328" t="inlineStr">
        <is>
          <t>Frete de venda (para clientes)</t>
        </is>
      </c>
      <c r="D4328" t="inlineStr">
        <is>
          <t>CT-e</t>
        </is>
      </c>
      <c r="E4328" t="inlineStr">
        <is>
          <t>000026501</t>
        </is>
      </c>
      <c r="F4328" t="inlineStr">
        <is>
          <t>DR CARGO TRANSPORTE DE CARGAS LTDA</t>
        </is>
      </c>
      <c r="G4328" s="27" t="n">
        <v>46240</v>
      </c>
      <c r="H4328" s="14" t="n">
        <v>3777.05</v>
      </c>
      <c r="I4328" s="14" t="n">
        <v>0</v>
      </c>
      <c r="J4328" s="14" t="n">
        <v>453.25</v>
      </c>
      <c r="K4328" s="14" t="n">
        <v>0</v>
      </c>
      <c r="L4328" s="14" t="n">
        <v>0</v>
      </c>
      <c r="M4328" s="14">
        <f>IF(B4328="Frete de venda",0,(1-ISNUMBER(SEARCH("556",P4328)))*(I4328*VLOOKUP($B4328,Premissas!$A$4:$E$7,2,0)+J4328*VLOOKUP($B4328,Premissas!$A$4:$E$7,3,0))+K4328*VLOOKUP($B4328,Premissas!$A$4:$E$7,4,0)+L4328*VLOOKUP($B4328,Premissas!$A$4:$E$7,5,0))</f>
        <v/>
      </c>
      <c r="N4328" s="14">
        <f>H4328-M4328</f>
        <v/>
      </c>
      <c r="O4328" t="inlineStr">
        <is>
          <t>Sim</t>
        </is>
      </c>
      <c r="P4328" t="inlineStr">
        <is>
          <t>2.350</t>
        </is>
      </c>
    </row>
    <row r="4329">
      <c r="A4329" s="24" t="n">
        <v>46235</v>
      </c>
      <c r="B4329" t="inlineStr">
        <is>
          <t>Frete de venda</t>
        </is>
      </c>
      <c r="C4329" t="inlineStr">
        <is>
          <t>Frete de venda (para clientes)</t>
        </is>
      </c>
      <c r="D4329" t="inlineStr">
        <is>
          <t>CT-e</t>
        </is>
      </c>
      <c r="E4329" t="inlineStr">
        <is>
          <t>000000187</t>
        </is>
      </c>
      <c r="F4329" t="inlineStr">
        <is>
          <t>DURA MAIS TRANSPORTES LTDA</t>
        </is>
      </c>
      <c r="G4329" s="27" t="n">
        <v>46246</v>
      </c>
      <c r="H4329" s="14" t="n">
        <v>560</v>
      </c>
      <c r="I4329" s="14" t="n">
        <v>0</v>
      </c>
      <c r="J4329" s="14" t="n">
        <v>67.2</v>
      </c>
      <c r="K4329" s="14" t="n">
        <v>0</v>
      </c>
      <c r="L4329" s="14" t="n">
        <v>0</v>
      </c>
      <c r="M4329" s="14">
        <f>IF(B4329="Frete de venda",0,(1-ISNUMBER(SEARCH("556",P4329)))*(I4329*VLOOKUP($B4329,Premissas!$A$4:$E$7,2,0)+J4329*VLOOKUP($B4329,Premissas!$A$4:$E$7,3,0))+K4329*VLOOKUP($B4329,Premissas!$A$4:$E$7,4,0)+L4329*VLOOKUP($B4329,Premissas!$A$4:$E$7,5,0))</f>
        <v/>
      </c>
      <c r="N4329" s="14">
        <f>H4329-M4329</f>
        <v/>
      </c>
      <c r="O4329" t="inlineStr">
        <is>
          <t>Sim</t>
        </is>
      </c>
      <c r="P4329" t="inlineStr">
        <is>
          <t>2.350</t>
        </is>
      </c>
    </row>
    <row r="4330">
      <c r="A4330" s="24" t="n">
        <v>46235</v>
      </c>
      <c r="B4330" t="inlineStr">
        <is>
          <t>Frete de venda</t>
        </is>
      </c>
      <c r="C4330" t="inlineStr">
        <is>
          <t>Frete de venda (para clientes)</t>
        </is>
      </c>
      <c r="D4330" t="inlineStr">
        <is>
          <t>CT-e</t>
        </is>
      </c>
      <c r="E4330" t="inlineStr">
        <is>
          <t>000007842</t>
        </is>
      </c>
      <c r="F4330" t="inlineStr">
        <is>
          <t>R&amp;R TRANSPORTE E LOGISTICA</t>
        </is>
      </c>
      <c r="G4330" s="27" t="n">
        <v>46235</v>
      </c>
      <c r="H4330" s="14" t="n">
        <v>37.44</v>
      </c>
      <c r="I4330" s="14" t="n">
        <v>0</v>
      </c>
      <c r="J4330" s="14" t="n">
        <v>0</v>
      </c>
      <c r="K4330" s="14" t="n">
        <v>0</v>
      </c>
      <c r="L4330" s="14" t="n">
        <v>0</v>
      </c>
      <c r="M4330" s="14">
        <f>IF(B4330="Frete de venda",0,(1-ISNUMBER(SEARCH("556",P4330)))*(I4330*VLOOKUP($B4330,Premissas!$A$4:$E$7,2,0)+J4330*VLOOKUP($B4330,Premissas!$A$4:$E$7,3,0))+K4330*VLOOKUP($B4330,Premissas!$A$4:$E$7,4,0)+L4330*VLOOKUP($B4330,Premissas!$A$4:$E$7,5,0))</f>
        <v/>
      </c>
      <c r="N4330" s="14">
        <f>H4330-M4330</f>
        <v/>
      </c>
      <c r="O4330" t="inlineStr">
        <is>
          <t>Não</t>
        </is>
      </c>
      <c r="P4330" t="inlineStr">
        <is>
          <t>2.350</t>
        </is>
      </c>
    </row>
    <row r="4331">
      <c r="A4331" s="24" t="n">
        <v>46235</v>
      </c>
      <c r="B4331" t="inlineStr">
        <is>
          <t>Frete de venda</t>
        </is>
      </c>
      <c r="C4331" t="inlineStr">
        <is>
          <t>Frete de venda (para clientes)</t>
        </is>
      </c>
      <c r="D4331" t="inlineStr">
        <is>
          <t>CT-e</t>
        </is>
      </c>
      <c r="E4331" t="inlineStr">
        <is>
          <t>000000369</t>
        </is>
      </c>
      <c r="F4331" t="inlineStr">
        <is>
          <t>DURA MAIS TRANSPORTES LTDA</t>
        </is>
      </c>
      <c r="G4331" s="27" t="n">
        <v>46259</v>
      </c>
      <c r="H4331" s="14" t="n">
        <v>700</v>
      </c>
      <c r="I4331" s="14" t="n">
        <v>0</v>
      </c>
      <c r="J4331" s="14" t="n">
        <v>84</v>
      </c>
      <c r="K4331" s="14" t="n">
        <v>0</v>
      </c>
      <c r="L4331" s="14" t="n">
        <v>0</v>
      </c>
      <c r="M4331" s="14">
        <f>IF(B4331="Frete de venda",0,(1-ISNUMBER(SEARCH("556",P4331)))*(I4331*VLOOKUP($B4331,Premissas!$A$4:$E$7,2,0)+J4331*VLOOKUP($B4331,Premissas!$A$4:$E$7,3,0))+K4331*VLOOKUP($B4331,Premissas!$A$4:$E$7,4,0)+L4331*VLOOKUP($B4331,Premissas!$A$4:$E$7,5,0))</f>
        <v/>
      </c>
      <c r="N4331" s="14">
        <f>H4331-M4331</f>
        <v/>
      </c>
      <c r="O4331" t="inlineStr">
        <is>
          <t>Sim</t>
        </is>
      </c>
      <c r="P4331" t="inlineStr">
        <is>
          <t>2.350</t>
        </is>
      </c>
    </row>
    <row r="4332">
      <c r="A4332" s="24" t="n">
        <v>46235</v>
      </c>
      <c r="B4332" t="inlineStr">
        <is>
          <t>Frete de venda</t>
        </is>
      </c>
      <c r="C4332" t="inlineStr">
        <is>
          <t>Frete de venda (para clientes)</t>
        </is>
      </c>
      <c r="D4332" t="inlineStr">
        <is>
          <t>CT-e</t>
        </is>
      </c>
      <c r="E4332" t="inlineStr">
        <is>
          <t>000046574</t>
        </is>
      </c>
      <c r="F4332" t="inlineStr">
        <is>
          <t>TRANSFORRECHI TRANSPORTES LTDA</t>
        </is>
      </c>
      <c r="G4332" s="27" t="n">
        <v>46248</v>
      </c>
      <c r="H4332" s="14" t="n">
        <v>1600</v>
      </c>
      <c r="I4332" s="14" t="n">
        <v>0</v>
      </c>
      <c r="J4332" s="14" t="n">
        <v>192</v>
      </c>
      <c r="K4332" s="14" t="n">
        <v>0</v>
      </c>
      <c r="L4332" s="14" t="n">
        <v>0</v>
      </c>
      <c r="M4332" s="14">
        <f>IF(B4332="Frete de venda",0,(1-ISNUMBER(SEARCH("556",P4332)))*(I4332*VLOOKUP($B4332,Premissas!$A$4:$E$7,2,0)+J4332*VLOOKUP($B4332,Premissas!$A$4:$E$7,3,0))+K4332*VLOOKUP($B4332,Premissas!$A$4:$E$7,4,0)+L4332*VLOOKUP($B4332,Premissas!$A$4:$E$7,5,0))</f>
        <v/>
      </c>
      <c r="N4332" s="14">
        <f>H4332-M4332</f>
        <v/>
      </c>
      <c r="O4332" t="inlineStr">
        <is>
          <t>Sim</t>
        </is>
      </c>
      <c r="P4332" t="inlineStr">
        <is>
          <t>2.350</t>
        </is>
      </c>
    </row>
    <row r="4333">
      <c r="A4333" s="24" t="n">
        <v>46235</v>
      </c>
      <c r="B4333" t="inlineStr">
        <is>
          <t>Frete de venda</t>
        </is>
      </c>
      <c r="C4333" t="inlineStr">
        <is>
          <t>Frete de venda (para clientes)</t>
        </is>
      </c>
      <c r="D4333" t="inlineStr">
        <is>
          <t>CT-e</t>
        </is>
      </c>
      <c r="E4333" t="inlineStr">
        <is>
          <t>000000341</t>
        </is>
      </c>
      <c r="F4333" t="inlineStr">
        <is>
          <t>DURA MAIS TRANSPORTES LTDA</t>
        </is>
      </c>
      <c r="G4333" s="27" t="n">
        <v>46259</v>
      </c>
      <c r="H4333" s="14" t="n">
        <v>700</v>
      </c>
      <c r="I4333" s="14" t="n">
        <v>0</v>
      </c>
      <c r="J4333" s="14" t="n">
        <v>84</v>
      </c>
      <c r="K4333" s="14" t="n">
        <v>0</v>
      </c>
      <c r="L4333" s="14" t="n">
        <v>0</v>
      </c>
      <c r="M4333" s="14">
        <f>IF(B4333="Frete de venda",0,(1-ISNUMBER(SEARCH("556",P4333)))*(I4333*VLOOKUP($B4333,Premissas!$A$4:$E$7,2,0)+J4333*VLOOKUP($B4333,Premissas!$A$4:$E$7,3,0))+K4333*VLOOKUP($B4333,Premissas!$A$4:$E$7,4,0)+L4333*VLOOKUP($B4333,Premissas!$A$4:$E$7,5,0))</f>
        <v/>
      </c>
      <c r="N4333" s="14">
        <f>H4333-M4333</f>
        <v/>
      </c>
      <c r="O4333" t="inlineStr">
        <is>
          <t>Sim</t>
        </is>
      </c>
      <c r="P4333" t="inlineStr">
        <is>
          <t>2.350</t>
        </is>
      </c>
    </row>
    <row r="4334">
      <c r="A4334" s="24" t="n">
        <v>46235</v>
      </c>
      <c r="B4334" t="inlineStr">
        <is>
          <t>Frete de venda</t>
        </is>
      </c>
      <c r="C4334" t="inlineStr">
        <is>
          <t>Frete de venda (para clientes)</t>
        </is>
      </c>
      <c r="D4334" t="inlineStr">
        <is>
          <t>CT-e</t>
        </is>
      </c>
      <c r="E4334" t="inlineStr">
        <is>
          <t>000000166</t>
        </is>
      </c>
      <c r="F4334" t="inlineStr">
        <is>
          <t>DURA MAIS TRANSPORTES LTDA</t>
        </is>
      </c>
      <c r="G4334" s="27" t="n">
        <v>46245</v>
      </c>
      <c r="H4334" s="14" t="n">
        <v>4000</v>
      </c>
      <c r="I4334" s="14" t="n">
        <v>0</v>
      </c>
      <c r="J4334" s="14" t="n">
        <v>480</v>
      </c>
      <c r="K4334" s="14" t="n">
        <v>0</v>
      </c>
      <c r="L4334" s="14" t="n">
        <v>0</v>
      </c>
      <c r="M4334" s="14">
        <f>IF(B4334="Frete de venda",0,(1-ISNUMBER(SEARCH("556",P4334)))*(I4334*VLOOKUP($B4334,Premissas!$A$4:$E$7,2,0)+J4334*VLOOKUP($B4334,Premissas!$A$4:$E$7,3,0))+K4334*VLOOKUP($B4334,Premissas!$A$4:$E$7,4,0)+L4334*VLOOKUP($B4334,Premissas!$A$4:$E$7,5,0))</f>
        <v/>
      </c>
      <c r="N4334" s="14">
        <f>H4334-M4334</f>
        <v/>
      </c>
      <c r="O4334" t="inlineStr">
        <is>
          <t>Sim</t>
        </is>
      </c>
      <c r="P4334" t="inlineStr">
        <is>
          <t>2.350</t>
        </is>
      </c>
    </row>
    <row r="4335">
      <c r="A4335" s="24" t="n">
        <v>46235</v>
      </c>
      <c r="B4335" t="inlineStr">
        <is>
          <t>Frete de venda</t>
        </is>
      </c>
      <c r="C4335" t="inlineStr">
        <is>
          <t>Frete de venda (para clientes)</t>
        </is>
      </c>
      <c r="D4335" t="inlineStr">
        <is>
          <t>CT-e</t>
        </is>
      </c>
      <c r="E4335" t="inlineStr">
        <is>
          <t>000000167</t>
        </is>
      </c>
      <c r="F4335" t="inlineStr">
        <is>
          <t>DURA MAIS TRANSPORTES LTDA</t>
        </is>
      </c>
      <c r="G4335" s="27" t="n">
        <v>46246</v>
      </c>
      <c r="H4335" s="14" t="n">
        <v>4550</v>
      </c>
      <c r="I4335" s="14" t="n">
        <v>0</v>
      </c>
      <c r="J4335" s="14" t="n">
        <v>546</v>
      </c>
      <c r="K4335" s="14" t="n">
        <v>0</v>
      </c>
      <c r="L4335" s="14" t="n">
        <v>0</v>
      </c>
      <c r="M4335" s="14">
        <f>IF(B4335="Frete de venda",0,(1-ISNUMBER(SEARCH("556",P4335)))*(I4335*VLOOKUP($B4335,Premissas!$A$4:$E$7,2,0)+J4335*VLOOKUP($B4335,Premissas!$A$4:$E$7,3,0))+K4335*VLOOKUP($B4335,Premissas!$A$4:$E$7,4,0)+L4335*VLOOKUP($B4335,Premissas!$A$4:$E$7,5,0))</f>
        <v/>
      </c>
      <c r="N4335" s="14">
        <f>H4335-M4335</f>
        <v/>
      </c>
      <c r="O4335" t="inlineStr">
        <is>
          <t>Sim</t>
        </is>
      </c>
      <c r="P4335" t="inlineStr">
        <is>
          <t>2.350</t>
        </is>
      </c>
    </row>
    <row r="4336">
      <c r="A4336" s="24" t="n">
        <v>46235</v>
      </c>
      <c r="B4336" t="inlineStr">
        <is>
          <t>Frete de venda</t>
        </is>
      </c>
      <c r="C4336" t="inlineStr">
        <is>
          <t>Frete de venda (para clientes)</t>
        </is>
      </c>
      <c r="D4336" t="inlineStr">
        <is>
          <t>CT-e</t>
        </is>
      </c>
      <c r="E4336" t="inlineStr">
        <is>
          <t>000007906</t>
        </is>
      </c>
      <c r="F4336" t="inlineStr">
        <is>
          <t>R&amp;R TRANSPORTE E LOGISTICA</t>
        </is>
      </c>
      <c r="G4336" s="27" t="n">
        <v>46253</v>
      </c>
      <c r="H4336" s="14" t="n">
        <v>375</v>
      </c>
      <c r="I4336" s="14" t="n">
        <v>0</v>
      </c>
      <c r="J4336" s="14" t="n">
        <v>0</v>
      </c>
      <c r="K4336" s="14" t="n">
        <v>0</v>
      </c>
      <c r="L4336" s="14" t="n">
        <v>0</v>
      </c>
      <c r="M4336" s="14">
        <f>IF(B4336="Frete de venda",0,(1-ISNUMBER(SEARCH("556",P4336)))*(I4336*VLOOKUP($B4336,Premissas!$A$4:$E$7,2,0)+J4336*VLOOKUP($B4336,Premissas!$A$4:$E$7,3,0))+K4336*VLOOKUP($B4336,Premissas!$A$4:$E$7,4,0)+L4336*VLOOKUP($B4336,Premissas!$A$4:$E$7,5,0))</f>
        <v/>
      </c>
      <c r="N4336" s="14">
        <f>H4336-M4336</f>
        <v/>
      </c>
      <c r="O4336" t="inlineStr">
        <is>
          <t>Sim</t>
        </is>
      </c>
      <c r="P4336" t="inlineStr">
        <is>
          <t>2.350</t>
        </is>
      </c>
    </row>
    <row r="4337">
      <c r="A4337" s="24" t="n">
        <v>46235</v>
      </c>
      <c r="B4337" t="inlineStr">
        <is>
          <t>Frete de venda</t>
        </is>
      </c>
      <c r="C4337" t="inlineStr">
        <is>
          <t>Frete de venda (para clientes)</t>
        </is>
      </c>
      <c r="D4337" t="inlineStr">
        <is>
          <t>CT-e</t>
        </is>
      </c>
      <c r="E4337" t="inlineStr">
        <is>
          <t>000000348</t>
        </is>
      </c>
      <c r="F4337" t="inlineStr">
        <is>
          <t>DURA MAIS TRANSPORTES LTDA</t>
        </is>
      </c>
      <c r="G4337" s="27" t="n">
        <v>46259</v>
      </c>
      <c r="H4337" s="14" t="n">
        <v>700</v>
      </c>
      <c r="I4337" s="14" t="n">
        <v>0</v>
      </c>
      <c r="J4337" s="14" t="n">
        <v>84</v>
      </c>
      <c r="K4337" s="14" t="n">
        <v>0</v>
      </c>
      <c r="L4337" s="14" t="n">
        <v>0</v>
      </c>
      <c r="M4337" s="14">
        <f>IF(B4337="Frete de venda",0,(1-ISNUMBER(SEARCH("556",P4337)))*(I4337*VLOOKUP($B4337,Premissas!$A$4:$E$7,2,0)+J4337*VLOOKUP($B4337,Premissas!$A$4:$E$7,3,0))+K4337*VLOOKUP($B4337,Premissas!$A$4:$E$7,4,0)+L4337*VLOOKUP($B4337,Premissas!$A$4:$E$7,5,0))</f>
        <v/>
      </c>
      <c r="N4337" s="14">
        <f>H4337-M4337</f>
        <v/>
      </c>
      <c r="O4337" t="inlineStr">
        <is>
          <t>Sim</t>
        </is>
      </c>
      <c r="P4337" t="inlineStr">
        <is>
          <t>2.350</t>
        </is>
      </c>
    </row>
    <row r="4338">
      <c r="A4338" s="24" t="n">
        <v>46235</v>
      </c>
      <c r="B4338" t="inlineStr">
        <is>
          <t>Frete de venda</t>
        </is>
      </c>
      <c r="C4338" t="inlineStr">
        <is>
          <t>Frete de venda (para clientes)</t>
        </is>
      </c>
      <c r="D4338" t="inlineStr">
        <is>
          <t>CT-e</t>
        </is>
      </c>
      <c r="E4338" t="inlineStr">
        <is>
          <t>000000441</t>
        </is>
      </c>
      <c r="F4338" t="inlineStr">
        <is>
          <t>DURA MAIS TRANSPORTES LTDA</t>
        </is>
      </c>
      <c r="G4338" s="27" t="n">
        <v>46263</v>
      </c>
      <c r="H4338" s="14" t="n">
        <v>368.18</v>
      </c>
      <c r="I4338" s="14" t="n">
        <v>0</v>
      </c>
      <c r="J4338" s="14" t="n">
        <v>44.18</v>
      </c>
      <c r="K4338" s="14" t="n">
        <v>0</v>
      </c>
      <c r="L4338" s="14" t="n">
        <v>0</v>
      </c>
      <c r="M4338" s="14">
        <f>IF(B4338="Frete de venda",0,(1-ISNUMBER(SEARCH("556",P4338)))*(I4338*VLOOKUP($B4338,Premissas!$A$4:$E$7,2,0)+J4338*VLOOKUP($B4338,Premissas!$A$4:$E$7,3,0))+K4338*VLOOKUP($B4338,Premissas!$A$4:$E$7,4,0)+L4338*VLOOKUP($B4338,Premissas!$A$4:$E$7,5,0))</f>
        <v/>
      </c>
      <c r="N4338" s="14">
        <f>H4338-M4338</f>
        <v/>
      </c>
      <c r="O4338" t="inlineStr">
        <is>
          <t>Sim</t>
        </is>
      </c>
      <c r="P4338" t="inlineStr">
        <is>
          <t>2.350</t>
        </is>
      </c>
    </row>
    <row r="4339">
      <c r="A4339" s="24" t="n">
        <v>46235</v>
      </c>
      <c r="B4339" t="inlineStr">
        <is>
          <t>Frete de venda</t>
        </is>
      </c>
      <c r="C4339" t="inlineStr">
        <is>
          <t>Frete de venda (para clientes)</t>
        </is>
      </c>
      <c r="D4339" t="inlineStr">
        <is>
          <t>CT-e</t>
        </is>
      </c>
      <c r="E4339" t="inlineStr">
        <is>
          <t>000007843</t>
        </is>
      </c>
      <c r="F4339" t="inlineStr">
        <is>
          <t>R&amp;R TRANSPORTE E LOGISTICA</t>
        </is>
      </c>
      <c r="G4339" s="27" t="n">
        <v>46235</v>
      </c>
      <c r="H4339" s="14" t="n">
        <v>37.44</v>
      </c>
      <c r="I4339" s="14" t="n">
        <v>0</v>
      </c>
      <c r="J4339" s="14" t="n">
        <v>0</v>
      </c>
      <c r="K4339" s="14" t="n">
        <v>0</v>
      </c>
      <c r="L4339" s="14" t="n">
        <v>0</v>
      </c>
      <c r="M4339" s="14">
        <f>IF(B4339="Frete de venda",0,(1-ISNUMBER(SEARCH("556",P4339)))*(I4339*VLOOKUP($B4339,Premissas!$A$4:$E$7,2,0)+J4339*VLOOKUP($B4339,Premissas!$A$4:$E$7,3,0))+K4339*VLOOKUP($B4339,Premissas!$A$4:$E$7,4,0)+L4339*VLOOKUP($B4339,Premissas!$A$4:$E$7,5,0))</f>
        <v/>
      </c>
      <c r="N4339" s="14">
        <f>H4339-M4339</f>
        <v/>
      </c>
      <c r="O4339" t="inlineStr">
        <is>
          <t>Não</t>
        </is>
      </c>
      <c r="P4339" t="inlineStr">
        <is>
          <t>2.350</t>
        </is>
      </c>
    </row>
    <row r="4340">
      <c r="A4340" s="24" t="n">
        <v>46235</v>
      </c>
      <c r="B4340" t="inlineStr">
        <is>
          <t>Frete de venda</t>
        </is>
      </c>
      <c r="C4340" t="inlineStr">
        <is>
          <t>Frete de venda (para clientes)</t>
        </is>
      </c>
      <c r="D4340" t="inlineStr">
        <is>
          <t>CT-e</t>
        </is>
      </c>
      <c r="E4340" t="inlineStr">
        <is>
          <t>000000340</t>
        </is>
      </c>
      <c r="F4340" t="inlineStr">
        <is>
          <t>DURA MAIS TRANSPORTES LTDA</t>
        </is>
      </c>
      <c r="G4340" s="27" t="n">
        <v>46259</v>
      </c>
      <c r="H4340" s="14" t="n">
        <v>857.47</v>
      </c>
      <c r="I4340" s="14" t="n">
        <v>0</v>
      </c>
      <c r="J4340" s="14" t="n">
        <v>102.9</v>
      </c>
      <c r="K4340" s="14" t="n">
        <v>0</v>
      </c>
      <c r="L4340" s="14" t="n">
        <v>0</v>
      </c>
      <c r="M4340" s="14">
        <f>IF(B4340="Frete de venda",0,(1-ISNUMBER(SEARCH("556",P4340)))*(I4340*VLOOKUP($B4340,Premissas!$A$4:$E$7,2,0)+J4340*VLOOKUP($B4340,Premissas!$A$4:$E$7,3,0))+K4340*VLOOKUP($B4340,Premissas!$A$4:$E$7,4,0)+L4340*VLOOKUP($B4340,Premissas!$A$4:$E$7,5,0))</f>
        <v/>
      </c>
      <c r="N4340" s="14">
        <f>H4340-M4340</f>
        <v/>
      </c>
      <c r="O4340" t="inlineStr">
        <is>
          <t>Sim</t>
        </is>
      </c>
      <c r="P4340" t="inlineStr">
        <is>
          <t>2.350</t>
        </is>
      </c>
    </row>
    <row r="4341">
      <c r="A4341" s="24" t="n">
        <v>46235</v>
      </c>
      <c r="B4341" t="inlineStr">
        <is>
          <t>Frete de venda</t>
        </is>
      </c>
      <c r="C4341" t="inlineStr">
        <is>
          <t>Frete de venda (para clientes)</t>
        </is>
      </c>
      <c r="D4341" t="inlineStr">
        <is>
          <t>CT-e</t>
        </is>
      </c>
      <c r="E4341" t="inlineStr">
        <is>
          <t>000000216</t>
        </is>
      </c>
      <c r="F4341" t="inlineStr">
        <is>
          <t>DURA MAIS TRANSPORTES LTDA</t>
        </is>
      </c>
      <c r="G4341" s="27" t="n">
        <v>46249</v>
      </c>
      <c r="H4341" s="14" t="n">
        <v>408.55</v>
      </c>
      <c r="I4341" s="14" t="n">
        <v>0</v>
      </c>
      <c r="J4341" s="14" t="n">
        <v>49.03</v>
      </c>
      <c r="K4341" s="14" t="n">
        <v>0</v>
      </c>
      <c r="L4341" s="14" t="n">
        <v>0</v>
      </c>
      <c r="M4341" s="14">
        <f>IF(B4341="Frete de venda",0,(1-ISNUMBER(SEARCH("556",P4341)))*(I4341*VLOOKUP($B4341,Premissas!$A$4:$E$7,2,0)+J4341*VLOOKUP($B4341,Premissas!$A$4:$E$7,3,0))+K4341*VLOOKUP($B4341,Premissas!$A$4:$E$7,4,0)+L4341*VLOOKUP($B4341,Premissas!$A$4:$E$7,5,0))</f>
        <v/>
      </c>
      <c r="N4341" s="14">
        <f>H4341-M4341</f>
        <v/>
      </c>
      <c r="O4341" t="inlineStr">
        <is>
          <t>Sim</t>
        </is>
      </c>
      <c r="P4341" t="inlineStr">
        <is>
          <t>2.350</t>
        </is>
      </c>
    </row>
    <row r="4342">
      <c r="A4342" s="24" t="n">
        <v>46235</v>
      </c>
      <c r="B4342" t="inlineStr">
        <is>
          <t>Frete de venda</t>
        </is>
      </c>
      <c r="C4342" t="inlineStr">
        <is>
          <t>Frete de venda (para clientes)</t>
        </is>
      </c>
      <c r="D4342" t="inlineStr">
        <is>
          <t>CT-e</t>
        </is>
      </c>
      <c r="E4342" t="inlineStr">
        <is>
          <t>000007853</t>
        </is>
      </c>
      <c r="F4342" t="inlineStr">
        <is>
          <t>R&amp;R TRANSPORTE E LOGISTICA</t>
        </is>
      </c>
      <c r="G4342" s="27" t="n">
        <v>46235</v>
      </c>
      <c r="H4342" s="14" t="n">
        <v>37.44</v>
      </c>
      <c r="I4342" s="14" t="n">
        <v>0</v>
      </c>
      <c r="J4342" s="14" t="n">
        <v>0</v>
      </c>
      <c r="K4342" s="14" t="n">
        <v>0</v>
      </c>
      <c r="L4342" s="14" t="n">
        <v>0</v>
      </c>
      <c r="M4342" s="14">
        <f>IF(B4342="Frete de venda",0,(1-ISNUMBER(SEARCH("556",P4342)))*(I4342*VLOOKUP($B4342,Premissas!$A$4:$E$7,2,0)+J4342*VLOOKUP($B4342,Premissas!$A$4:$E$7,3,0))+K4342*VLOOKUP($B4342,Premissas!$A$4:$E$7,4,0)+L4342*VLOOKUP($B4342,Premissas!$A$4:$E$7,5,0))</f>
        <v/>
      </c>
      <c r="N4342" s="14">
        <f>H4342-M4342</f>
        <v/>
      </c>
      <c r="O4342" t="inlineStr">
        <is>
          <t>Não</t>
        </is>
      </c>
      <c r="P4342" t="inlineStr">
        <is>
          <t>2.350</t>
        </is>
      </c>
    </row>
    <row r="4343">
      <c r="A4343" s="24" t="n">
        <v>46235</v>
      </c>
      <c r="B4343" t="inlineStr">
        <is>
          <t>Frete de venda</t>
        </is>
      </c>
      <c r="C4343" t="inlineStr">
        <is>
          <t>Frete de venda (para clientes)</t>
        </is>
      </c>
      <c r="D4343" t="inlineStr">
        <is>
          <t>CT-e</t>
        </is>
      </c>
      <c r="E4343" t="inlineStr">
        <is>
          <t>000007855</t>
        </is>
      </c>
      <c r="F4343" t="inlineStr">
        <is>
          <t>R&amp;R TRANSPORTE E LOGISTICA</t>
        </is>
      </c>
      <c r="G4343" s="27" t="n">
        <v>46235</v>
      </c>
      <c r="H4343" s="14" t="n">
        <v>37.44</v>
      </c>
      <c r="I4343" s="14" t="n">
        <v>0</v>
      </c>
      <c r="J4343" s="14" t="n">
        <v>0</v>
      </c>
      <c r="K4343" s="14" t="n">
        <v>0</v>
      </c>
      <c r="L4343" s="14" t="n">
        <v>0</v>
      </c>
      <c r="M4343" s="14">
        <f>IF(B4343="Frete de venda",0,(1-ISNUMBER(SEARCH("556",P4343)))*(I4343*VLOOKUP($B4343,Premissas!$A$4:$E$7,2,0)+J4343*VLOOKUP($B4343,Premissas!$A$4:$E$7,3,0))+K4343*VLOOKUP($B4343,Premissas!$A$4:$E$7,4,0)+L4343*VLOOKUP($B4343,Premissas!$A$4:$E$7,5,0))</f>
        <v/>
      </c>
      <c r="N4343" s="14">
        <f>H4343-M4343</f>
        <v/>
      </c>
      <c r="O4343" t="inlineStr">
        <is>
          <t>Não</t>
        </is>
      </c>
      <c r="P4343" t="inlineStr">
        <is>
          <t>2.350</t>
        </is>
      </c>
    </row>
    <row r="4344">
      <c r="A4344" s="24" t="n">
        <v>46235</v>
      </c>
      <c r="B4344" t="inlineStr">
        <is>
          <t>Frete de venda</t>
        </is>
      </c>
      <c r="C4344" t="inlineStr">
        <is>
          <t>Frete de venda (para clientes)</t>
        </is>
      </c>
      <c r="D4344" t="inlineStr">
        <is>
          <t>CT-e</t>
        </is>
      </c>
      <c r="E4344" t="inlineStr">
        <is>
          <t>000000277</t>
        </is>
      </c>
      <c r="F4344" t="inlineStr">
        <is>
          <t>DURA MAIS TRANSPORTES LTDA</t>
        </is>
      </c>
      <c r="G4344" s="27" t="n">
        <v>46254</v>
      </c>
      <c r="H4344" s="14" t="n">
        <v>1150</v>
      </c>
      <c r="I4344" s="14" t="n">
        <v>0</v>
      </c>
      <c r="J4344" s="14" t="n">
        <v>138</v>
      </c>
      <c r="K4344" s="14" t="n">
        <v>0</v>
      </c>
      <c r="L4344" s="14" t="n">
        <v>0</v>
      </c>
      <c r="M4344" s="14">
        <f>IF(B4344="Frete de venda",0,(1-ISNUMBER(SEARCH("556",P4344)))*(I4344*VLOOKUP($B4344,Premissas!$A$4:$E$7,2,0)+J4344*VLOOKUP($B4344,Premissas!$A$4:$E$7,3,0))+K4344*VLOOKUP($B4344,Premissas!$A$4:$E$7,4,0)+L4344*VLOOKUP($B4344,Premissas!$A$4:$E$7,5,0))</f>
        <v/>
      </c>
      <c r="N4344" s="14">
        <f>H4344-M4344</f>
        <v/>
      </c>
      <c r="O4344" t="inlineStr">
        <is>
          <t>Sim</t>
        </is>
      </c>
      <c r="P4344" t="inlineStr">
        <is>
          <t>2.350</t>
        </is>
      </c>
    </row>
    <row r="4345">
      <c r="A4345" s="24" t="n">
        <v>46235</v>
      </c>
      <c r="B4345" t="inlineStr">
        <is>
          <t>Frete de venda</t>
        </is>
      </c>
      <c r="C4345" t="inlineStr">
        <is>
          <t>Frete de venda (para clientes)</t>
        </is>
      </c>
      <c r="D4345" t="inlineStr">
        <is>
          <t>CT-e</t>
        </is>
      </c>
      <c r="E4345" t="inlineStr">
        <is>
          <t>000000414</t>
        </is>
      </c>
      <c r="F4345" t="inlineStr">
        <is>
          <t>DURA MAIS TRANSPORTES LTDA</t>
        </is>
      </c>
      <c r="G4345" s="27" t="n">
        <v>46262</v>
      </c>
      <c r="H4345" s="14" t="n">
        <v>464.06</v>
      </c>
      <c r="I4345" s="14" t="n">
        <v>0</v>
      </c>
      <c r="J4345" s="14" t="n">
        <v>55.69</v>
      </c>
      <c r="K4345" s="14" t="n">
        <v>0</v>
      </c>
      <c r="L4345" s="14" t="n">
        <v>0</v>
      </c>
      <c r="M4345" s="14">
        <f>IF(B4345="Frete de venda",0,(1-ISNUMBER(SEARCH("556",P4345)))*(I4345*VLOOKUP($B4345,Premissas!$A$4:$E$7,2,0)+J4345*VLOOKUP($B4345,Premissas!$A$4:$E$7,3,0))+K4345*VLOOKUP($B4345,Premissas!$A$4:$E$7,4,0)+L4345*VLOOKUP($B4345,Premissas!$A$4:$E$7,5,0))</f>
        <v/>
      </c>
      <c r="N4345" s="14">
        <f>H4345-M4345</f>
        <v/>
      </c>
      <c r="O4345" t="inlineStr">
        <is>
          <t>Sim</t>
        </is>
      </c>
      <c r="P4345" t="inlineStr">
        <is>
          <t>2.350</t>
        </is>
      </c>
    </row>
    <row r="4346">
      <c r="A4346" s="24" t="n">
        <v>46235</v>
      </c>
      <c r="B4346" t="inlineStr">
        <is>
          <t>Frete de venda</t>
        </is>
      </c>
      <c r="C4346" t="inlineStr">
        <is>
          <t>Frete de venda (para clientes)</t>
        </is>
      </c>
      <c r="D4346" t="inlineStr">
        <is>
          <t>CT-e</t>
        </is>
      </c>
      <c r="E4346" t="inlineStr">
        <is>
          <t>000007840</t>
        </is>
      </c>
      <c r="F4346" t="inlineStr">
        <is>
          <t>R&amp;R TRANSPORTE E LOGISTICA</t>
        </is>
      </c>
      <c r="G4346" s="27" t="n">
        <v>46235</v>
      </c>
      <c r="H4346" s="14" t="n">
        <v>37.44</v>
      </c>
      <c r="I4346" s="14" t="n">
        <v>0</v>
      </c>
      <c r="J4346" s="14" t="n">
        <v>0</v>
      </c>
      <c r="K4346" s="14" t="n">
        <v>0</v>
      </c>
      <c r="L4346" s="14" t="n">
        <v>0</v>
      </c>
      <c r="M4346" s="14">
        <f>IF(B4346="Frete de venda",0,(1-ISNUMBER(SEARCH("556",P4346)))*(I4346*VLOOKUP($B4346,Premissas!$A$4:$E$7,2,0)+J4346*VLOOKUP($B4346,Premissas!$A$4:$E$7,3,0))+K4346*VLOOKUP($B4346,Premissas!$A$4:$E$7,4,0)+L4346*VLOOKUP($B4346,Premissas!$A$4:$E$7,5,0))</f>
        <v/>
      </c>
      <c r="N4346" s="14">
        <f>H4346-M4346</f>
        <v/>
      </c>
      <c r="O4346" t="inlineStr">
        <is>
          <t>Não</t>
        </is>
      </c>
      <c r="P4346" t="inlineStr">
        <is>
          <t>2.350</t>
        </is>
      </c>
    </row>
    <row r="4347">
      <c r="A4347" s="24" t="n">
        <v>46235</v>
      </c>
      <c r="B4347" t="inlineStr">
        <is>
          <t>Frete de venda</t>
        </is>
      </c>
      <c r="C4347" t="inlineStr">
        <is>
          <t>Frete de venda (para clientes)</t>
        </is>
      </c>
      <c r="D4347" t="inlineStr">
        <is>
          <t>CT-e</t>
        </is>
      </c>
      <c r="E4347" t="inlineStr">
        <is>
          <t>000000164</t>
        </is>
      </c>
      <c r="F4347" t="inlineStr">
        <is>
          <t>DURA MAIS TRANSPORTES LTDA</t>
        </is>
      </c>
      <c r="G4347" s="27" t="n">
        <v>46245</v>
      </c>
      <c r="H4347" s="14" t="n">
        <v>5000</v>
      </c>
      <c r="I4347" s="14" t="n">
        <v>0</v>
      </c>
      <c r="J4347" s="14" t="n">
        <v>600</v>
      </c>
      <c r="K4347" s="14" t="n">
        <v>0</v>
      </c>
      <c r="L4347" s="14" t="n">
        <v>0</v>
      </c>
      <c r="M4347" s="14">
        <f>IF(B4347="Frete de venda",0,(1-ISNUMBER(SEARCH("556",P4347)))*(I4347*VLOOKUP($B4347,Premissas!$A$4:$E$7,2,0)+J4347*VLOOKUP($B4347,Premissas!$A$4:$E$7,3,0))+K4347*VLOOKUP($B4347,Premissas!$A$4:$E$7,4,0)+L4347*VLOOKUP($B4347,Premissas!$A$4:$E$7,5,0))</f>
        <v/>
      </c>
      <c r="N4347" s="14">
        <f>H4347-M4347</f>
        <v/>
      </c>
      <c r="O4347" t="inlineStr">
        <is>
          <t>Sim</t>
        </is>
      </c>
      <c r="P4347" t="inlineStr">
        <is>
          <t>2.350</t>
        </is>
      </c>
    </row>
    <row r="4348">
      <c r="A4348" s="24" t="n">
        <v>46235</v>
      </c>
      <c r="B4348" t="inlineStr">
        <is>
          <t>Frete de venda</t>
        </is>
      </c>
      <c r="C4348" t="inlineStr">
        <is>
          <t>Frete de venda (para clientes)</t>
        </is>
      </c>
      <c r="D4348" t="inlineStr">
        <is>
          <t>CT-e</t>
        </is>
      </c>
      <c r="E4348" t="inlineStr">
        <is>
          <t>000025378</t>
        </is>
      </c>
      <c r="F4348" t="inlineStr">
        <is>
          <t>TRANSPORTE OLIVEIRA E MELLOI - IDEALIZA TRANSPORTES</t>
        </is>
      </c>
      <c r="G4348" s="27" t="n">
        <v>46256</v>
      </c>
      <c r="H4348" s="14" t="n">
        <v>1345.81</v>
      </c>
      <c r="I4348" s="14" t="n">
        <v>0</v>
      </c>
      <c r="J4348" s="14" t="n">
        <v>161.5</v>
      </c>
      <c r="K4348" s="14" t="n">
        <v>0</v>
      </c>
      <c r="L4348" s="14" t="n">
        <v>0</v>
      </c>
      <c r="M4348" s="14">
        <f>IF(B4348="Frete de venda",0,(1-ISNUMBER(SEARCH("556",P4348)))*(I4348*VLOOKUP($B4348,Premissas!$A$4:$E$7,2,0)+J4348*VLOOKUP($B4348,Premissas!$A$4:$E$7,3,0))+K4348*VLOOKUP($B4348,Premissas!$A$4:$E$7,4,0)+L4348*VLOOKUP($B4348,Premissas!$A$4:$E$7,5,0))</f>
        <v/>
      </c>
      <c r="N4348" s="14">
        <f>H4348-M4348</f>
        <v/>
      </c>
      <c r="O4348" t="inlineStr">
        <is>
          <t>Sim</t>
        </is>
      </c>
      <c r="P4348" t="inlineStr">
        <is>
          <t>2.350</t>
        </is>
      </c>
    </row>
    <row r="4349">
      <c r="A4349" s="24" t="n">
        <v>46235</v>
      </c>
      <c r="B4349" t="inlineStr">
        <is>
          <t>Frete de venda</t>
        </is>
      </c>
      <c r="C4349" t="inlineStr">
        <is>
          <t>Frete de venda (para clientes)</t>
        </is>
      </c>
      <c r="D4349" t="inlineStr">
        <is>
          <t>CT-e</t>
        </is>
      </c>
      <c r="E4349" t="inlineStr">
        <is>
          <t>000007850</t>
        </is>
      </c>
      <c r="F4349" t="inlineStr">
        <is>
          <t>R&amp;R TRANSPORTE E LOGISTICA</t>
        </is>
      </c>
      <c r="G4349" s="27" t="n">
        <v>46235</v>
      </c>
      <c r="H4349" s="14" t="n">
        <v>37.44</v>
      </c>
      <c r="I4349" s="14" t="n">
        <v>0</v>
      </c>
      <c r="J4349" s="14" t="n">
        <v>0</v>
      </c>
      <c r="K4349" s="14" t="n">
        <v>0</v>
      </c>
      <c r="L4349" s="14" t="n">
        <v>0</v>
      </c>
      <c r="M4349" s="14">
        <f>IF(B4349="Frete de venda",0,(1-ISNUMBER(SEARCH("556",P4349)))*(I4349*VLOOKUP($B4349,Premissas!$A$4:$E$7,2,0)+J4349*VLOOKUP($B4349,Premissas!$A$4:$E$7,3,0))+K4349*VLOOKUP($B4349,Premissas!$A$4:$E$7,4,0)+L4349*VLOOKUP($B4349,Premissas!$A$4:$E$7,5,0))</f>
        <v/>
      </c>
      <c r="N4349" s="14">
        <f>H4349-M4349</f>
        <v/>
      </c>
      <c r="O4349" t="inlineStr">
        <is>
          <t>Não</t>
        </is>
      </c>
      <c r="P4349" t="inlineStr">
        <is>
          <t>2.350</t>
        </is>
      </c>
    </row>
    <row r="4350">
      <c r="A4350" s="24" t="n">
        <v>46235</v>
      </c>
      <c r="B4350" t="inlineStr">
        <is>
          <t>Frete de venda</t>
        </is>
      </c>
      <c r="C4350" t="inlineStr">
        <is>
          <t>Frete de venda (para clientes)</t>
        </is>
      </c>
      <c r="D4350" t="inlineStr">
        <is>
          <t>CT-e</t>
        </is>
      </c>
      <c r="E4350" t="inlineStr">
        <is>
          <t>000000421</t>
        </is>
      </c>
      <c r="F4350" t="inlineStr">
        <is>
          <t>DURA MAIS TRANSPORTES LTDA</t>
        </is>
      </c>
      <c r="G4350" s="27" t="n">
        <v>46262</v>
      </c>
      <c r="H4350" s="14" t="n">
        <v>464.06</v>
      </c>
      <c r="I4350" s="14" t="n">
        <v>0</v>
      </c>
      <c r="J4350" s="14" t="n">
        <v>55.69</v>
      </c>
      <c r="K4350" s="14" t="n">
        <v>0</v>
      </c>
      <c r="L4350" s="14" t="n">
        <v>0</v>
      </c>
      <c r="M4350" s="14">
        <f>IF(B4350="Frete de venda",0,(1-ISNUMBER(SEARCH("556",P4350)))*(I4350*VLOOKUP($B4350,Premissas!$A$4:$E$7,2,0)+J4350*VLOOKUP($B4350,Premissas!$A$4:$E$7,3,0))+K4350*VLOOKUP($B4350,Premissas!$A$4:$E$7,4,0)+L4350*VLOOKUP($B4350,Premissas!$A$4:$E$7,5,0))</f>
        <v/>
      </c>
      <c r="N4350" s="14">
        <f>H4350-M4350</f>
        <v/>
      </c>
      <c r="O4350" t="inlineStr">
        <is>
          <t>Sim</t>
        </is>
      </c>
      <c r="P4350" t="inlineStr">
        <is>
          <t>2.350</t>
        </is>
      </c>
    </row>
    <row r="4351">
      <c r="A4351" s="24" t="n">
        <v>46235</v>
      </c>
      <c r="B4351" t="inlineStr">
        <is>
          <t>Frete de venda</t>
        </is>
      </c>
      <c r="C4351" t="inlineStr">
        <is>
          <t>Frete de venda (para clientes)</t>
        </is>
      </c>
      <c r="D4351" t="inlineStr">
        <is>
          <t>CT-e</t>
        </is>
      </c>
      <c r="E4351" t="inlineStr">
        <is>
          <t>000000225</t>
        </is>
      </c>
      <c r="F4351" t="inlineStr">
        <is>
          <t>DURA MAIS TRANSPORTES LTDA</t>
        </is>
      </c>
      <c r="G4351" s="27" t="n">
        <v>46249</v>
      </c>
      <c r="H4351" s="14" t="n">
        <v>817.1</v>
      </c>
      <c r="I4351" s="14" t="n">
        <v>0</v>
      </c>
      <c r="J4351" s="14" t="n">
        <v>98.05</v>
      </c>
      <c r="K4351" s="14" t="n">
        <v>0</v>
      </c>
      <c r="L4351" s="14" t="n">
        <v>0</v>
      </c>
      <c r="M4351" s="14">
        <f>IF(B4351="Frete de venda",0,(1-ISNUMBER(SEARCH("556",P4351)))*(I4351*VLOOKUP($B4351,Premissas!$A$4:$E$7,2,0)+J4351*VLOOKUP($B4351,Premissas!$A$4:$E$7,3,0))+K4351*VLOOKUP($B4351,Premissas!$A$4:$E$7,4,0)+L4351*VLOOKUP($B4351,Premissas!$A$4:$E$7,5,0))</f>
        <v/>
      </c>
      <c r="N4351" s="14">
        <f>H4351-M4351</f>
        <v/>
      </c>
      <c r="O4351" t="inlineStr">
        <is>
          <t>Sim</t>
        </is>
      </c>
      <c r="P4351" t="inlineStr">
        <is>
          <t>2.350</t>
        </is>
      </c>
    </row>
    <row r="4352">
      <c r="A4352" s="24" t="n">
        <v>46235</v>
      </c>
      <c r="B4352" t="inlineStr">
        <is>
          <t>Frete de venda</t>
        </is>
      </c>
      <c r="C4352" t="inlineStr">
        <is>
          <t>Frete de venda (para clientes)</t>
        </is>
      </c>
      <c r="D4352" t="inlineStr">
        <is>
          <t>CT-e</t>
        </is>
      </c>
      <c r="E4352" t="inlineStr">
        <is>
          <t>000007947</t>
        </is>
      </c>
      <c r="F4352" t="inlineStr">
        <is>
          <t>R&amp;R TRANSPORTE E LOGISTICA</t>
        </is>
      </c>
      <c r="G4352" s="27" t="n">
        <v>46265</v>
      </c>
      <c r="H4352" s="14" t="n">
        <v>750</v>
      </c>
      <c r="I4352" s="14" t="n">
        <v>0</v>
      </c>
      <c r="J4352" s="14" t="n">
        <v>0</v>
      </c>
      <c r="K4352" s="14" t="n">
        <v>0</v>
      </c>
      <c r="L4352" s="14" t="n">
        <v>0</v>
      </c>
      <c r="M4352" s="14">
        <f>IF(B4352="Frete de venda",0,(1-ISNUMBER(SEARCH("556",P4352)))*(I4352*VLOOKUP($B4352,Premissas!$A$4:$E$7,2,0)+J4352*VLOOKUP($B4352,Premissas!$A$4:$E$7,3,0))+K4352*VLOOKUP($B4352,Premissas!$A$4:$E$7,4,0)+L4352*VLOOKUP($B4352,Premissas!$A$4:$E$7,5,0))</f>
        <v/>
      </c>
      <c r="N4352" s="14">
        <f>H4352-M4352</f>
        <v/>
      </c>
      <c r="O4352" t="inlineStr">
        <is>
          <t>Sim</t>
        </is>
      </c>
      <c r="P4352" t="inlineStr">
        <is>
          <t>2.350</t>
        </is>
      </c>
    </row>
    <row r="4353">
      <c r="A4353" s="24" t="n">
        <v>46235</v>
      </c>
      <c r="B4353" t="inlineStr">
        <is>
          <t>Frete de venda</t>
        </is>
      </c>
      <c r="C4353" t="inlineStr">
        <is>
          <t>Frete de venda (para clientes)</t>
        </is>
      </c>
      <c r="D4353" t="inlineStr">
        <is>
          <t>CT-e</t>
        </is>
      </c>
      <c r="E4353" t="inlineStr">
        <is>
          <t>000000419</t>
        </is>
      </c>
      <c r="F4353" t="inlineStr">
        <is>
          <t>DURA MAIS TRANSPORTES LTDA</t>
        </is>
      </c>
      <c r="G4353" s="27" t="n">
        <v>46262</v>
      </c>
      <c r="H4353" s="14" t="n">
        <v>464.06</v>
      </c>
      <c r="I4353" s="14" t="n">
        <v>0</v>
      </c>
      <c r="J4353" s="14" t="n">
        <v>55.69</v>
      </c>
      <c r="K4353" s="14" t="n">
        <v>0</v>
      </c>
      <c r="L4353" s="14" t="n">
        <v>0</v>
      </c>
      <c r="M4353" s="14">
        <f>IF(B4353="Frete de venda",0,(1-ISNUMBER(SEARCH("556",P4353)))*(I4353*VLOOKUP($B4353,Premissas!$A$4:$E$7,2,0)+J4353*VLOOKUP($B4353,Premissas!$A$4:$E$7,3,0))+K4353*VLOOKUP($B4353,Premissas!$A$4:$E$7,4,0)+L4353*VLOOKUP($B4353,Premissas!$A$4:$E$7,5,0))</f>
        <v/>
      </c>
      <c r="N4353" s="14">
        <f>H4353-M4353</f>
        <v/>
      </c>
      <c r="O4353" t="inlineStr">
        <is>
          <t>Sim</t>
        </is>
      </c>
      <c r="P4353" t="inlineStr">
        <is>
          <t>2.350</t>
        </is>
      </c>
    </row>
    <row r="4354">
      <c r="A4354" s="24" t="n">
        <v>46235</v>
      </c>
      <c r="B4354" t="inlineStr">
        <is>
          <t>Frete de venda</t>
        </is>
      </c>
      <c r="C4354" t="inlineStr">
        <is>
          <t>Frete de venda (para clientes)</t>
        </is>
      </c>
      <c r="D4354" t="inlineStr">
        <is>
          <t>CT-e</t>
        </is>
      </c>
      <c r="E4354" t="inlineStr">
        <is>
          <t>000000439</t>
        </is>
      </c>
      <c r="F4354" t="inlineStr">
        <is>
          <t>DURA MAIS TRANSPORTES LTDA</t>
        </is>
      </c>
      <c r="G4354" s="27" t="n">
        <v>46263</v>
      </c>
      <c r="H4354" s="14" t="n">
        <v>368.18</v>
      </c>
      <c r="I4354" s="14" t="n">
        <v>0</v>
      </c>
      <c r="J4354" s="14" t="n">
        <v>44.18</v>
      </c>
      <c r="K4354" s="14" t="n">
        <v>0</v>
      </c>
      <c r="L4354" s="14" t="n">
        <v>0</v>
      </c>
      <c r="M4354" s="14">
        <f>IF(B4354="Frete de venda",0,(1-ISNUMBER(SEARCH("556",P4354)))*(I4354*VLOOKUP($B4354,Premissas!$A$4:$E$7,2,0)+J4354*VLOOKUP($B4354,Premissas!$A$4:$E$7,3,0))+K4354*VLOOKUP($B4354,Premissas!$A$4:$E$7,4,0)+L4354*VLOOKUP($B4354,Premissas!$A$4:$E$7,5,0))</f>
        <v/>
      </c>
      <c r="N4354" s="14">
        <f>H4354-M4354</f>
        <v/>
      </c>
      <c r="O4354" t="inlineStr">
        <is>
          <t>Sim</t>
        </is>
      </c>
      <c r="P4354" t="inlineStr">
        <is>
          <t>2.350</t>
        </is>
      </c>
    </row>
    <row r="4355">
      <c r="A4355" s="24" t="n">
        <v>46235</v>
      </c>
      <c r="B4355" t="inlineStr">
        <is>
          <t>Frete de venda</t>
        </is>
      </c>
      <c r="C4355" t="inlineStr">
        <is>
          <t>Frete de venda (para clientes)</t>
        </is>
      </c>
      <c r="D4355" t="inlineStr">
        <is>
          <t>CT-e</t>
        </is>
      </c>
      <c r="E4355" t="inlineStr">
        <is>
          <t>000000133</t>
        </is>
      </c>
      <c r="F4355" t="inlineStr">
        <is>
          <t>DURA MAIS TRANSPORTES LTDA</t>
        </is>
      </c>
      <c r="G4355" s="27" t="n">
        <v>46239</v>
      </c>
      <c r="H4355" s="14" t="n">
        <v>1050</v>
      </c>
      <c r="I4355" s="14" t="n">
        <v>0</v>
      </c>
      <c r="J4355" s="14" t="n">
        <v>126</v>
      </c>
      <c r="K4355" s="14" t="n">
        <v>0</v>
      </c>
      <c r="L4355" s="14" t="n">
        <v>0</v>
      </c>
      <c r="M4355" s="14">
        <f>IF(B4355="Frete de venda",0,(1-ISNUMBER(SEARCH("556",P4355)))*(I4355*VLOOKUP($B4355,Premissas!$A$4:$E$7,2,0)+J4355*VLOOKUP($B4355,Premissas!$A$4:$E$7,3,0))+K4355*VLOOKUP($B4355,Premissas!$A$4:$E$7,4,0)+L4355*VLOOKUP($B4355,Premissas!$A$4:$E$7,5,0))</f>
        <v/>
      </c>
      <c r="N4355" s="14">
        <f>H4355-M4355</f>
        <v/>
      </c>
      <c r="O4355" t="inlineStr">
        <is>
          <t>Não</t>
        </is>
      </c>
      <c r="P4355" t="inlineStr">
        <is>
          <t>1.350</t>
        </is>
      </c>
    </row>
    <row r="4356">
      <c r="A4356" s="24" t="n">
        <v>46235</v>
      </c>
      <c r="B4356" t="inlineStr">
        <is>
          <t>Frete de venda</t>
        </is>
      </c>
      <c r="C4356" t="inlineStr">
        <is>
          <t>Frete de venda (para clientes)</t>
        </is>
      </c>
      <c r="D4356" t="inlineStr">
        <is>
          <t>CT-e</t>
        </is>
      </c>
      <c r="E4356" t="inlineStr">
        <is>
          <t>000000221</t>
        </is>
      </c>
      <c r="F4356" t="inlineStr">
        <is>
          <t>DURA MAIS TRANSPORTES LTDA</t>
        </is>
      </c>
      <c r="G4356" s="27" t="n">
        <v>46249</v>
      </c>
      <c r="H4356" s="14" t="n">
        <v>408.55</v>
      </c>
      <c r="I4356" s="14" t="n">
        <v>0</v>
      </c>
      <c r="J4356" s="14" t="n">
        <v>49.03</v>
      </c>
      <c r="K4356" s="14" t="n">
        <v>0</v>
      </c>
      <c r="L4356" s="14" t="n">
        <v>0</v>
      </c>
      <c r="M4356" s="14">
        <f>IF(B4356="Frete de venda",0,(1-ISNUMBER(SEARCH("556",P4356)))*(I4356*VLOOKUP($B4356,Premissas!$A$4:$E$7,2,0)+J4356*VLOOKUP($B4356,Premissas!$A$4:$E$7,3,0))+K4356*VLOOKUP($B4356,Premissas!$A$4:$E$7,4,0)+L4356*VLOOKUP($B4356,Premissas!$A$4:$E$7,5,0))</f>
        <v/>
      </c>
      <c r="N4356" s="14">
        <f>H4356-M4356</f>
        <v/>
      </c>
      <c r="O4356" t="inlineStr">
        <is>
          <t>Sim</t>
        </is>
      </c>
      <c r="P4356" t="inlineStr">
        <is>
          <t>2.350</t>
        </is>
      </c>
    </row>
    <row r="4357">
      <c r="A4357" s="24" t="n">
        <v>46235</v>
      </c>
      <c r="B4357" t="inlineStr">
        <is>
          <t>Frete de venda</t>
        </is>
      </c>
      <c r="C4357" t="inlineStr">
        <is>
          <t>Frete de venda (para clientes)</t>
        </is>
      </c>
      <c r="D4357" t="inlineStr">
        <is>
          <t>CT-e</t>
        </is>
      </c>
      <c r="E4357" t="inlineStr">
        <is>
          <t>000000307</t>
        </is>
      </c>
      <c r="F4357" t="inlineStr">
        <is>
          <t>DURA MAIS TRANSPORTES LTDA</t>
        </is>
      </c>
      <c r="G4357" s="27" t="n">
        <v>46255</v>
      </c>
      <c r="H4357" s="14" t="n">
        <v>2160</v>
      </c>
      <c r="I4357" s="14" t="n">
        <v>0</v>
      </c>
      <c r="J4357" s="14" t="n">
        <v>259.2</v>
      </c>
      <c r="K4357" s="14" t="n">
        <v>0</v>
      </c>
      <c r="L4357" s="14" t="n">
        <v>0</v>
      </c>
      <c r="M4357" s="14">
        <f>IF(B4357="Frete de venda",0,(1-ISNUMBER(SEARCH("556",P4357)))*(I4357*VLOOKUP($B4357,Premissas!$A$4:$E$7,2,0)+J4357*VLOOKUP($B4357,Premissas!$A$4:$E$7,3,0))+K4357*VLOOKUP($B4357,Premissas!$A$4:$E$7,4,0)+L4357*VLOOKUP($B4357,Premissas!$A$4:$E$7,5,0))</f>
        <v/>
      </c>
      <c r="N4357" s="14">
        <f>H4357-M4357</f>
        <v/>
      </c>
      <c r="O4357" t="inlineStr">
        <is>
          <t>Sim</t>
        </is>
      </c>
      <c r="P4357" t="inlineStr">
        <is>
          <t>2.350</t>
        </is>
      </c>
    </row>
    <row r="4358">
      <c r="A4358" s="24" t="n">
        <v>46235</v>
      </c>
      <c r="B4358" t="inlineStr">
        <is>
          <t>Frete de venda</t>
        </is>
      </c>
      <c r="C4358" t="inlineStr">
        <is>
          <t>Frete de venda (para clientes)</t>
        </is>
      </c>
      <c r="D4358" t="inlineStr">
        <is>
          <t>CT-e</t>
        </is>
      </c>
      <c r="E4358" t="inlineStr">
        <is>
          <t>000000233</t>
        </is>
      </c>
      <c r="F4358" t="inlineStr">
        <is>
          <t>DURA MAIS TRANSPORTES LTDA</t>
        </is>
      </c>
      <c r="G4358" s="27" t="n">
        <v>46249</v>
      </c>
      <c r="H4358" s="14" t="n">
        <v>408.55</v>
      </c>
      <c r="I4358" s="14" t="n">
        <v>0</v>
      </c>
      <c r="J4358" s="14" t="n">
        <v>49.03</v>
      </c>
      <c r="K4358" s="14" t="n">
        <v>0</v>
      </c>
      <c r="L4358" s="14" t="n">
        <v>0</v>
      </c>
      <c r="M4358" s="14">
        <f>IF(B4358="Frete de venda",0,(1-ISNUMBER(SEARCH("556",P4358)))*(I4358*VLOOKUP($B4358,Premissas!$A$4:$E$7,2,0)+J4358*VLOOKUP($B4358,Premissas!$A$4:$E$7,3,0))+K4358*VLOOKUP($B4358,Premissas!$A$4:$E$7,4,0)+L4358*VLOOKUP($B4358,Premissas!$A$4:$E$7,5,0))</f>
        <v/>
      </c>
      <c r="N4358" s="14">
        <f>H4358-M4358</f>
        <v/>
      </c>
      <c r="O4358" t="inlineStr">
        <is>
          <t>Sim</t>
        </is>
      </c>
      <c r="P4358" t="inlineStr">
        <is>
          <t>2.350</t>
        </is>
      </c>
    </row>
    <row r="4359">
      <c r="A4359" s="24" t="n">
        <v>46235</v>
      </c>
      <c r="B4359" t="inlineStr">
        <is>
          <t>Frete de venda</t>
        </is>
      </c>
      <c r="C4359" t="inlineStr">
        <is>
          <t>Frete de venda (para clientes)</t>
        </is>
      </c>
      <c r="D4359" t="inlineStr">
        <is>
          <t>CT-e</t>
        </is>
      </c>
      <c r="E4359" t="inlineStr">
        <is>
          <t>000000443</t>
        </is>
      </c>
      <c r="F4359" t="inlineStr">
        <is>
          <t>DURA MAIS TRANSPORTES LTDA</t>
        </is>
      </c>
      <c r="G4359" s="27" t="n">
        <v>46263</v>
      </c>
      <c r="H4359" s="14" t="n">
        <v>368.18</v>
      </c>
      <c r="I4359" s="14" t="n">
        <v>0</v>
      </c>
      <c r="J4359" s="14" t="n">
        <v>44.18</v>
      </c>
      <c r="K4359" s="14" t="n">
        <v>0</v>
      </c>
      <c r="L4359" s="14" t="n">
        <v>0</v>
      </c>
      <c r="M4359" s="14">
        <f>IF(B4359="Frete de venda",0,(1-ISNUMBER(SEARCH("556",P4359)))*(I4359*VLOOKUP($B4359,Premissas!$A$4:$E$7,2,0)+J4359*VLOOKUP($B4359,Premissas!$A$4:$E$7,3,0))+K4359*VLOOKUP($B4359,Premissas!$A$4:$E$7,4,0)+L4359*VLOOKUP($B4359,Premissas!$A$4:$E$7,5,0))</f>
        <v/>
      </c>
      <c r="N4359" s="14">
        <f>H4359-M4359</f>
        <v/>
      </c>
      <c r="O4359" t="inlineStr">
        <is>
          <t>Sim</t>
        </is>
      </c>
      <c r="P4359" t="inlineStr">
        <is>
          <t>2.350</t>
        </is>
      </c>
    </row>
    <row r="4360">
      <c r="A4360" s="24" t="n">
        <v>46235</v>
      </c>
      <c r="B4360" t="inlineStr">
        <is>
          <t>Frete de venda</t>
        </is>
      </c>
      <c r="C4360" t="inlineStr">
        <is>
          <t>Frete de venda (para clientes)</t>
        </is>
      </c>
      <c r="D4360" t="inlineStr">
        <is>
          <t>CT-e</t>
        </is>
      </c>
      <c r="E4360" t="inlineStr">
        <is>
          <t>000000165</t>
        </is>
      </c>
      <c r="F4360" t="inlineStr">
        <is>
          <t>DURA MAIS TRANSPORTES LTDA</t>
        </is>
      </c>
      <c r="G4360" s="27" t="n">
        <v>46245</v>
      </c>
      <c r="H4360" s="14" t="n">
        <v>4000</v>
      </c>
      <c r="I4360" s="14" t="n">
        <v>0</v>
      </c>
      <c r="J4360" s="14" t="n">
        <v>480</v>
      </c>
      <c r="K4360" s="14" t="n">
        <v>0</v>
      </c>
      <c r="L4360" s="14" t="n">
        <v>0</v>
      </c>
      <c r="M4360" s="14">
        <f>IF(B4360="Frete de venda",0,(1-ISNUMBER(SEARCH("556",P4360)))*(I4360*VLOOKUP($B4360,Premissas!$A$4:$E$7,2,0)+J4360*VLOOKUP($B4360,Premissas!$A$4:$E$7,3,0))+K4360*VLOOKUP($B4360,Premissas!$A$4:$E$7,4,0)+L4360*VLOOKUP($B4360,Premissas!$A$4:$E$7,5,0))</f>
        <v/>
      </c>
      <c r="N4360" s="14">
        <f>H4360-M4360</f>
        <v/>
      </c>
      <c r="O4360" t="inlineStr">
        <is>
          <t>Sim</t>
        </is>
      </c>
      <c r="P4360" t="inlineStr">
        <is>
          <t>2.350</t>
        </is>
      </c>
    </row>
    <row r="4361">
      <c r="A4361" s="24" t="n">
        <v>46235</v>
      </c>
      <c r="B4361" t="inlineStr">
        <is>
          <t>Frete de venda</t>
        </is>
      </c>
      <c r="C4361" t="inlineStr">
        <is>
          <t>Frete de venda (para clientes)</t>
        </is>
      </c>
      <c r="D4361" t="inlineStr">
        <is>
          <t>CT-e</t>
        </is>
      </c>
      <c r="E4361" t="inlineStr">
        <is>
          <t>000000356</t>
        </is>
      </c>
      <c r="F4361" t="inlineStr">
        <is>
          <t>DURA MAIS TRANSPORTES LTDA</t>
        </is>
      </c>
      <c r="G4361" s="27" t="n">
        <v>46259</v>
      </c>
      <c r="H4361" s="14" t="n">
        <v>700</v>
      </c>
      <c r="I4361" s="14" t="n">
        <v>0</v>
      </c>
      <c r="J4361" s="14" t="n">
        <v>84</v>
      </c>
      <c r="K4361" s="14" t="n">
        <v>0</v>
      </c>
      <c r="L4361" s="14" t="n">
        <v>0</v>
      </c>
      <c r="M4361" s="14">
        <f>IF(B4361="Frete de venda",0,(1-ISNUMBER(SEARCH("556",P4361)))*(I4361*VLOOKUP($B4361,Premissas!$A$4:$E$7,2,0)+J4361*VLOOKUP($B4361,Premissas!$A$4:$E$7,3,0))+K4361*VLOOKUP($B4361,Premissas!$A$4:$E$7,4,0)+L4361*VLOOKUP($B4361,Premissas!$A$4:$E$7,5,0))</f>
        <v/>
      </c>
      <c r="N4361" s="14">
        <f>H4361-M4361</f>
        <v/>
      </c>
      <c r="O4361" t="inlineStr">
        <is>
          <t>Sim</t>
        </is>
      </c>
      <c r="P4361" t="inlineStr">
        <is>
          <t>2.350</t>
        </is>
      </c>
    </row>
    <row r="4362">
      <c r="A4362" s="24" t="n">
        <v>46235</v>
      </c>
      <c r="B4362" t="inlineStr">
        <is>
          <t>Frete de venda</t>
        </is>
      </c>
      <c r="C4362" t="inlineStr">
        <is>
          <t>Frete de venda (para clientes)</t>
        </is>
      </c>
      <c r="D4362" t="inlineStr">
        <is>
          <t>CT-e</t>
        </is>
      </c>
      <c r="E4362" t="inlineStr">
        <is>
          <t>000000343</t>
        </is>
      </c>
      <c r="F4362" t="inlineStr">
        <is>
          <t>DURA MAIS TRANSPORTES LTDA</t>
        </is>
      </c>
      <c r="G4362" s="27" t="n">
        <v>46259</v>
      </c>
      <c r="H4362" s="14" t="n">
        <v>700</v>
      </c>
      <c r="I4362" s="14" t="n">
        <v>0</v>
      </c>
      <c r="J4362" s="14" t="n">
        <v>84</v>
      </c>
      <c r="K4362" s="14" t="n">
        <v>0</v>
      </c>
      <c r="L4362" s="14" t="n">
        <v>0</v>
      </c>
      <c r="M4362" s="14">
        <f>IF(B4362="Frete de venda",0,(1-ISNUMBER(SEARCH("556",P4362)))*(I4362*VLOOKUP($B4362,Premissas!$A$4:$E$7,2,0)+J4362*VLOOKUP($B4362,Premissas!$A$4:$E$7,3,0))+K4362*VLOOKUP($B4362,Premissas!$A$4:$E$7,4,0)+L4362*VLOOKUP($B4362,Premissas!$A$4:$E$7,5,0))</f>
        <v/>
      </c>
      <c r="N4362" s="14">
        <f>H4362-M4362</f>
        <v/>
      </c>
      <c r="O4362" t="inlineStr">
        <is>
          <t>Sim</t>
        </is>
      </c>
      <c r="P4362" t="inlineStr">
        <is>
          <t>2.350</t>
        </is>
      </c>
    </row>
    <row r="4363">
      <c r="A4363" s="24" t="n">
        <v>46235</v>
      </c>
      <c r="B4363" t="inlineStr">
        <is>
          <t>Frete de venda</t>
        </is>
      </c>
      <c r="C4363" t="inlineStr">
        <is>
          <t>Frete de venda (para clientes)</t>
        </is>
      </c>
      <c r="D4363" t="inlineStr">
        <is>
          <t>CT-e</t>
        </is>
      </c>
      <c r="E4363" t="inlineStr">
        <is>
          <t>000000271</t>
        </is>
      </c>
      <c r="F4363" t="inlineStr">
        <is>
          <t>DURA MAIS TRANSPORTES LTDA</t>
        </is>
      </c>
      <c r="G4363" s="27" t="n">
        <v>46254</v>
      </c>
      <c r="H4363" s="14" t="n">
        <v>1150</v>
      </c>
      <c r="I4363" s="14" t="n">
        <v>0</v>
      </c>
      <c r="J4363" s="14" t="n">
        <v>138</v>
      </c>
      <c r="K4363" s="14" t="n">
        <v>0</v>
      </c>
      <c r="L4363" s="14" t="n">
        <v>0</v>
      </c>
      <c r="M4363" s="14">
        <f>IF(B4363="Frete de venda",0,(1-ISNUMBER(SEARCH("556",P4363)))*(I4363*VLOOKUP($B4363,Premissas!$A$4:$E$7,2,0)+J4363*VLOOKUP($B4363,Premissas!$A$4:$E$7,3,0))+K4363*VLOOKUP($B4363,Premissas!$A$4:$E$7,4,0)+L4363*VLOOKUP($B4363,Premissas!$A$4:$E$7,5,0))</f>
        <v/>
      </c>
      <c r="N4363" s="14">
        <f>H4363-M4363</f>
        <v/>
      </c>
      <c r="O4363" t="inlineStr">
        <is>
          <t>Sim</t>
        </is>
      </c>
      <c r="P4363" t="inlineStr">
        <is>
          <t>2.350</t>
        </is>
      </c>
    </row>
    <row r="4364">
      <c r="A4364" s="24" t="n">
        <v>46235</v>
      </c>
      <c r="B4364" t="inlineStr">
        <is>
          <t>Frete de venda</t>
        </is>
      </c>
      <c r="C4364" t="inlineStr">
        <is>
          <t>Frete de venda (para clientes)</t>
        </is>
      </c>
      <c r="D4364" t="inlineStr">
        <is>
          <t>CT-e</t>
        </is>
      </c>
      <c r="E4364" t="inlineStr">
        <is>
          <t>000000137</t>
        </is>
      </c>
      <c r="F4364" t="inlineStr">
        <is>
          <t>DURA MAIS TRANSPORTES LTDA</t>
        </is>
      </c>
      <c r="G4364" s="27" t="n">
        <v>46239</v>
      </c>
      <c r="H4364" s="14" t="n">
        <v>525</v>
      </c>
      <c r="I4364" s="14" t="n">
        <v>0</v>
      </c>
      <c r="J4364" s="14" t="n">
        <v>63</v>
      </c>
      <c r="K4364" s="14" t="n">
        <v>0</v>
      </c>
      <c r="L4364" s="14" t="n">
        <v>0</v>
      </c>
      <c r="M4364" s="14">
        <f>IF(B4364="Frete de venda",0,(1-ISNUMBER(SEARCH("556",P4364)))*(I4364*VLOOKUP($B4364,Premissas!$A$4:$E$7,2,0)+J4364*VLOOKUP($B4364,Premissas!$A$4:$E$7,3,0))+K4364*VLOOKUP($B4364,Premissas!$A$4:$E$7,4,0)+L4364*VLOOKUP($B4364,Premissas!$A$4:$E$7,5,0))</f>
        <v/>
      </c>
      <c r="N4364" s="14">
        <f>H4364-M4364</f>
        <v/>
      </c>
      <c r="O4364" t="inlineStr">
        <is>
          <t>Não</t>
        </is>
      </c>
      <c r="P4364" t="inlineStr">
        <is>
          <t>1.350</t>
        </is>
      </c>
    </row>
    <row r="4365">
      <c r="A4365" s="24" t="n">
        <v>46235</v>
      </c>
      <c r="B4365" t="inlineStr">
        <is>
          <t>Frete de venda</t>
        </is>
      </c>
      <c r="C4365" t="inlineStr">
        <is>
          <t>Frete de venda (para clientes)</t>
        </is>
      </c>
      <c r="D4365" t="inlineStr">
        <is>
          <t>CT-e</t>
        </is>
      </c>
      <c r="E4365" t="inlineStr">
        <is>
          <t>000026502</t>
        </is>
      </c>
      <c r="F4365" t="inlineStr">
        <is>
          <t>DR CARGO TRANSPORTE DE CARGAS LTDA</t>
        </is>
      </c>
      <c r="G4365" s="27" t="n">
        <v>46240</v>
      </c>
      <c r="H4365" s="14" t="n">
        <v>1901.89</v>
      </c>
      <c r="I4365" s="14" t="n">
        <v>0</v>
      </c>
      <c r="J4365" s="14" t="n">
        <v>228.23</v>
      </c>
      <c r="K4365" s="14" t="n">
        <v>0</v>
      </c>
      <c r="L4365" s="14" t="n">
        <v>0</v>
      </c>
      <c r="M4365" s="14">
        <f>IF(B4365="Frete de venda",0,(1-ISNUMBER(SEARCH("556",P4365)))*(I4365*VLOOKUP($B4365,Premissas!$A$4:$E$7,2,0)+J4365*VLOOKUP($B4365,Premissas!$A$4:$E$7,3,0))+K4365*VLOOKUP($B4365,Premissas!$A$4:$E$7,4,0)+L4365*VLOOKUP($B4365,Premissas!$A$4:$E$7,5,0))</f>
        <v/>
      </c>
      <c r="N4365" s="14">
        <f>H4365-M4365</f>
        <v/>
      </c>
      <c r="O4365" t="inlineStr">
        <is>
          <t>Sim</t>
        </is>
      </c>
      <c r="P4365" t="inlineStr">
        <is>
          <t>2.350</t>
        </is>
      </c>
    </row>
    <row r="4366">
      <c r="A4366" s="24" t="n">
        <v>46235</v>
      </c>
      <c r="B4366" t="inlineStr">
        <is>
          <t>Frete de venda</t>
        </is>
      </c>
      <c r="C4366" t="inlineStr">
        <is>
          <t>Frete de venda (para clientes)</t>
        </is>
      </c>
      <c r="D4366" t="inlineStr">
        <is>
          <t>CT-e</t>
        </is>
      </c>
      <c r="E4366" t="inlineStr">
        <is>
          <t>000000188</t>
        </is>
      </c>
      <c r="F4366" t="inlineStr">
        <is>
          <t>DURA MAIS TRANSPORTES LTDA</t>
        </is>
      </c>
      <c r="G4366" s="27" t="n">
        <v>46246</v>
      </c>
      <c r="H4366" s="14" t="n">
        <v>560</v>
      </c>
      <c r="I4366" s="14" t="n">
        <v>0</v>
      </c>
      <c r="J4366" s="14" t="n">
        <v>67.2</v>
      </c>
      <c r="K4366" s="14" t="n">
        <v>0</v>
      </c>
      <c r="L4366" s="14" t="n">
        <v>0</v>
      </c>
      <c r="M4366" s="14">
        <f>IF(B4366="Frete de venda",0,(1-ISNUMBER(SEARCH("556",P4366)))*(I4366*VLOOKUP($B4366,Premissas!$A$4:$E$7,2,0)+J4366*VLOOKUP($B4366,Premissas!$A$4:$E$7,3,0))+K4366*VLOOKUP($B4366,Premissas!$A$4:$E$7,4,0)+L4366*VLOOKUP($B4366,Premissas!$A$4:$E$7,5,0))</f>
        <v/>
      </c>
      <c r="N4366" s="14">
        <f>H4366-M4366</f>
        <v/>
      </c>
      <c r="O4366" t="inlineStr">
        <is>
          <t>Sim</t>
        </is>
      </c>
      <c r="P4366" t="inlineStr">
        <is>
          <t>2.350</t>
        </is>
      </c>
    </row>
    <row r="4367">
      <c r="A4367" s="24" t="n">
        <v>46235</v>
      </c>
      <c r="B4367" t="inlineStr">
        <is>
          <t>Frete de venda</t>
        </is>
      </c>
      <c r="C4367" t="inlineStr">
        <is>
          <t>Frete de venda (para clientes)</t>
        </is>
      </c>
      <c r="D4367" t="inlineStr">
        <is>
          <t>CT-e</t>
        </is>
      </c>
      <c r="E4367" t="inlineStr">
        <is>
          <t>000007832</t>
        </is>
      </c>
      <c r="F4367" t="inlineStr">
        <is>
          <t>R&amp;R TRANSPORTE E LOGISTICA</t>
        </is>
      </c>
      <c r="G4367" s="27" t="n">
        <v>46235</v>
      </c>
      <c r="H4367" s="14" t="n">
        <v>37.44</v>
      </c>
      <c r="I4367" s="14" t="n">
        <v>0</v>
      </c>
      <c r="J4367" s="14" t="n">
        <v>0</v>
      </c>
      <c r="K4367" s="14" t="n">
        <v>0</v>
      </c>
      <c r="L4367" s="14" t="n">
        <v>0</v>
      </c>
      <c r="M4367" s="14">
        <f>IF(B4367="Frete de venda",0,(1-ISNUMBER(SEARCH("556",P4367)))*(I4367*VLOOKUP($B4367,Premissas!$A$4:$E$7,2,0)+J4367*VLOOKUP($B4367,Premissas!$A$4:$E$7,3,0))+K4367*VLOOKUP($B4367,Premissas!$A$4:$E$7,4,0)+L4367*VLOOKUP($B4367,Premissas!$A$4:$E$7,5,0))</f>
        <v/>
      </c>
      <c r="N4367" s="14">
        <f>H4367-M4367</f>
        <v/>
      </c>
      <c r="O4367" t="inlineStr">
        <is>
          <t>Não</t>
        </is>
      </c>
      <c r="P4367" t="inlineStr">
        <is>
          <t>2.350</t>
        </is>
      </c>
    </row>
    <row r="4368">
      <c r="A4368" s="24" t="n">
        <v>46235</v>
      </c>
      <c r="B4368" t="inlineStr">
        <is>
          <t>Frete de venda</t>
        </is>
      </c>
      <c r="C4368" t="inlineStr">
        <is>
          <t>Frete de venda (para clientes)</t>
        </is>
      </c>
      <c r="D4368" t="inlineStr">
        <is>
          <t>CT-e</t>
        </is>
      </c>
      <c r="E4368" t="inlineStr">
        <is>
          <t>000000351</t>
        </is>
      </c>
      <c r="F4368" t="inlineStr">
        <is>
          <t>DURA MAIS TRANSPORTES LTDA</t>
        </is>
      </c>
      <c r="G4368" s="27" t="n">
        <v>46259</v>
      </c>
      <c r="H4368" s="14" t="n">
        <v>700</v>
      </c>
      <c r="I4368" s="14" t="n">
        <v>0</v>
      </c>
      <c r="J4368" s="14" t="n">
        <v>84</v>
      </c>
      <c r="K4368" s="14" t="n">
        <v>0</v>
      </c>
      <c r="L4368" s="14" t="n">
        <v>0</v>
      </c>
      <c r="M4368" s="14">
        <f>IF(B4368="Frete de venda",0,(1-ISNUMBER(SEARCH("556",P4368)))*(I4368*VLOOKUP($B4368,Premissas!$A$4:$E$7,2,0)+J4368*VLOOKUP($B4368,Premissas!$A$4:$E$7,3,0))+K4368*VLOOKUP($B4368,Premissas!$A$4:$E$7,4,0)+L4368*VLOOKUP($B4368,Premissas!$A$4:$E$7,5,0))</f>
        <v/>
      </c>
      <c r="N4368" s="14">
        <f>H4368-M4368</f>
        <v/>
      </c>
      <c r="O4368" t="inlineStr">
        <is>
          <t>Sim</t>
        </is>
      </c>
      <c r="P4368" t="inlineStr">
        <is>
          <t>2.350</t>
        </is>
      </c>
    </row>
    <row r="4369">
      <c r="A4369" s="24" t="n">
        <v>46235</v>
      </c>
      <c r="B4369" t="inlineStr">
        <is>
          <t>Frete de venda</t>
        </is>
      </c>
      <c r="C4369" t="inlineStr">
        <is>
          <t>Frete de venda (para clientes)</t>
        </is>
      </c>
      <c r="D4369" t="inlineStr">
        <is>
          <t>CT-e</t>
        </is>
      </c>
      <c r="E4369" t="inlineStr">
        <is>
          <t>000000142</t>
        </is>
      </c>
      <c r="F4369" t="inlineStr">
        <is>
          <t>DURA MAIS TRANSPORTES LTDA</t>
        </is>
      </c>
      <c r="G4369" s="27" t="n">
        <v>46239</v>
      </c>
      <c r="H4369" s="14" t="n">
        <v>525</v>
      </c>
      <c r="I4369" s="14" t="n">
        <v>0</v>
      </c>
      <c r="J4369" s="14" t="n">
        <v>63</v>
      </c>
      <c r="K4369" s="14" t="n">
        <v>0</v>
      </c>
      <c r="L4369" s="14" t="n">
        <v>0</v>
      </c>
      <c r="M4369" s="14">
        <f>IF(B4369="Frete de venda",0,(1-ISNUMBER(SEARCH("556",P4369)))*(I4369*VLOOKUP($B4369,Premissas!$A$4:$E$7,2,0)+J4369*VLOOKUP($B4369,Premissas!$A$4:$E$7,3,0))+K4369*VLOOKUP($B4369,Premissas!$A$4:$E$7,4,0)+L4369*VLOOKUP($B4369,Premissas!$A$4:$E$7,5,0))</f>
        <v/>
      </c>
      <c r="N4369" s="14">
        <f>H4369-M4369</f>
        <v/>
      </c>
      <c r="O4369" t="inlineStr">
        <is>
          <t>Não</t>
        </is>
      </c>
      <c r="P4369" t="inlineStr">
        <is>
          <t>1.350</t>
        </is>
      </c>
    </row>
    <row r="4370">
      <c r="A4370" s="24" t="n">
        <v>46235</v>
      </c>
      <c r="B4370" t="inlineStr">
        <is>
          <t>Frete de venda</t>
        </is>
      </c>
      <c r="C4370" t="inlineStr">
        <is>
          <t>Frete de venda (para clientes)</t>
        </is>
      </c>
      <c r="D4370" t="inlineStr">
        <is>
          <t>CT-e</t>
        </is>
      </c>
      <c r="E4370" t="inlineStr">
        <is>
          <t>000009550</t>
        </is>
      </c>
      <c r="F4370" t="inlineStr">
        <is>
          <t>BEM TRANSPORTES E LOGISTICA</t>
        </is>
      </c>
      <c r="G4370" s="27" t="n">
        <v>46245</v>
      </c>
      <c r="H4370" s="14" t="n">
        <v>1445.61</v>
      </c>
      <c r="I4370" s="14" t="n">
        <v>0</v>
      </c>
      <c r="J4370" s="14" t="n">
        <v>0</v>
      </c>
      <c r="K4370" s="14" t="n">
        <v>0</v>
      </c>
      <c r="L4370" s="14" t="n">
        <v>0</v>
      </c>
      <c r="M4370" s="14">
        <f>IF(B4370="Frete de venda",0,(1-ISNUMBER(SEARCH("556",P4370)))*(I4370*VLOOKUP($B4370,Premissas!$A$4:$E$7,2,0)+J4370*VLOOKUP($B4370,Premissas!$A$4:$E$7,3,0))+K4370*VLOOKUP($B4370,Premissas!$A$4:$E$7,4,0)+L4370*VLOOKUP($B4370,Premissas!$A$4:$E$7,5,0))</f>
        <v/>
      </c>
      <c r="N4370" s="14">
        <f>H4370-M4370</f>
        <v/>
      </c>
      <c r="O4370" t="inlineStr">
        <is>
          <t>Sim</t>
        </is>
      </c>
      <c r="P4370" t="inlineStr">
        <is>
          <t>2.350</t>
        </is>
      </c>
    </row>
    <row r="4371">
      <c r="A4371" s="24" t="n">
        <v>46235</v>
      </c>
      <c r="B4371" t="inlineStr">
        <is>
          <t>Frete de venda</t>
        </is>
      </c>
      <c r="C4371" t="inlineStr">
        <is>
          <t>Frete de venda (para clientes)</t>
        </is>
      </c>
      <c r="D4371" t="inlineStr">
        <is>
          <t>CT-e</t>
        </is>
      </c>
      <c r="E4371" t="inlineStr">
        <is>
          <t>000000184</t>
        </is>
      </c>
      <c r="F4371" t="inlineStr">
        <is>
          <t>DURA MAIS TRANSPORTES LTDA</t>
        </is>
      </c>
      <c r="G4371" s="27" t="n">
        <v>46246</v>
      </c>
      <c r="H4371" s="14" t="n">
        <v>560</v>
      </c>
      <c r="I4371" s="14" t="n">
        <v>0</v>
      </c>
      <c r="J4371" s="14" t="n">
        <v>67.2</v>
      </c>
      <c r="K4371" s="14" t="n">
        <v>0</v>
      </c>
      <c r="L4371" s="14" t="n">
        <v>0</v>
      </c>
      <c r="M4371" s="14">
        <f>IF(B4371="Frete de venda",0,(1-ISNUMBER(SEARCH("556",P4371)))*(I4371*VLOOKUP($B4371,Premissas!$A$4:$E$7,2,0)+J4371*VLOOKUP($B4371,Premissas!$A$4:$E$7,3,0))+K4371*VLOOKUP($B4371,Premissas!$A$4:$E$7,4,0)+L4371*VLOOKUP($B4371,Premissas!$A$4:$E$7,5,0))</f>
        <v/>
      </c>
      <c r="N4371" s="14">
        <f>H4371-M4371</f>
        <v/>
      </c>
      <c r="O4371" t="inlineStr">
        <is>
          <t>Sim</t>
        </is>
      </c>
      <c r="P4371" t="inlineStr">
        <is>
          <t>2.350</t>
        </is>
      </c>
    </row>
    <row r="4372">
      <c r="A4372" s="24" t="n">
        <v>46235</v>
      </c>
      <c r="B4372" t="inlineStr">
        <is>
          <t>Frete de venda</t>
        </is>
      </c>
      <c r="C4372" t="inlineStr">
        <is>
          <t>Frete de venda (para clientes)</t>
        </is>
      </c>
      <c r="D4372" t="inlineStr">
        <is>
          <t>CT-e</t>
        </is>
      </c>
      <c r="E4372" t="inlineStr">
        <is>
          <t>000000436</t>
        </is>
      </c>
      <c r="F4372" t="inlineStr">
        <is>
          <t>DURA MAIS TRANSPORTES LTDA</t>
        </is>
      </c>
      <c r="G4372" s="27" t="n">
        <v>46263</v>
      </c>
      <c r="H4372" s="14" t="n">
        <v>368.18</v>
      </c>
      <c r="I4372" s="14" t="n">
        <v>0</v>
      </c>
      <c r="J4372" s="14" t="n">
        <v>44.18</v>
      </c>
      <c r="K4372" s="14" t="n">
        <v>0</v>
      </c>
      <c r="L4372" s="14" t="n">
        <v>0</v>
      </c>
      <c r="M4372" s="14">
        <f>IF(B4372="Frete de venda",0,(1-ISNUMBER(SEARCH("556",P4372)))*(I4372*VLOOKUP($B4372,Premissas!$A$4:$E$7,2,0)+J4372*VLOOKUP($B4372,Premissas!$A$4:$E$7,3,0))+K4372*VLOOKUP($B4372,Premissas!$A$4:$E$7,4,0)+L4372*VLOOKUP($B4372,Premissas!$A$4:$E$7,5,0))</f>
        <v/>
      </c>
      <c r="N4372" s="14">
        <f>H4372-M4372</f>
        <v/>
      </c>
      <c r="O4372" t="inlineStr">
        <is>
          <t>Sim</t>
        </is>
      </c>
      <c r="P4372" t="inlineStr">
        <is>
          <t>2.350</t>
        </is>
      </c>
    </row>
    <row r="4373">
      <c r="A4373" s="24" t="n">
        <v>46235</v>
      </c>
      <c r="B4373" t="inlineStr">
        <is>
          <t>Frete de venda</t>
        </is>
      </c>
      <c r="C4373" t="inlineStr">
        <is>
          <t>Frete de venda (para clientes)</t>
        </is>
      </c>
      <c r="D4373" t="inlineStr">
        <is>
          <t>CT-e</t>
        </is>
      </c>
      <c r="E4373" t="inlineStr">
        <is>
          <t>000000276</t>
        </is>
      </c>
      <c r="F4373" t="inlineStr">
        <is>
          <t>DURA MAIS TRANSPORTES LTDA</t>
        </is>
      </c>
      <c r="G4373" s="27" t="n">
        <v>46254</v>
      </c>
      <c r="H4373" s="14" t="n">
        <v>1150</v>
      </c>
      <c r="I4373" s="14" t="n">
        <v>0</v>
      </c>
      <c r="J4373" s="14" t="n">
        <v>138</v>
      </c>
      <c r="K4373" s="14" t="n">
        <v>0</v>
      </c>
      <c r="L4373" s="14" t="n">
        <v>0</v>
      </c>
      <c r="M4373" s="14">
        <f>IF(B4373="Frete de venda",0,(1-ISNUMBER(SEARCH("556",P4373)))*(I4373*VLOOKUP($B4373,Premissas!$A$4:$E$7,2,0)+J4373*VLOOKUP($B4373,Premissas!$A$4:$E$7,3,0))+K4373*VLOOKUP($B4373,Premissas!$A$4:$E$7,4,0)+L4373*VLOOKUP($B4373,Premissas!$A$4:$E$7,5,0))</f>
        <v/>
      </c>
      <c r="N4373" s="14">
        <f>H4373-M4373</f>
        <v/>
      </c>
      <c r="O4373" t="inlineStr">
        <is>
          <t>Sim</t>
        </is>
      </c>
      <c r="P4373" t="inlineStr">
        <is>
          <t>2.350</t>
        </is>
      </c>
    </row>
    <row r="4374">
      <c r="A4374" s="24" t="n">
        <v>46235</v>
      </c>
      <c r="B4374" t="inlineStr">
        <is>
          <t>Frete de venda</t>
        </is>
      </c>
      <c r="C4374" t="inlineStr">
        <is>
          <t>Frete de venda (para clientes)</t>
        </is>
      </c>
      <c r="D4374" t="inlineStr">
        <is>
          <t>CT-e</t>
        </is>
      </c>
      <c r="E4374" t="inlineStr">
        <is>
          <t>000007836</t>
        </is>
      </c>
      <c r="F4374" t="inlineStr">
        <is>
          <t>R&amp;R TRANSPORTE E LOGISTICA</t>
        </is>
      </c>
      <c r="G4374" s="27" t="n">
        <v>46235</v>
      </c>
      <c r="H4374" s="14" t="n">
        <v>37.44</v>
      </c>
      <c r="I4374" s="14" t="n">
        <v>0</v>
      </c>
      <c r="J4374" s="14" t="n">
        <v>0</v>
      </c>
      <c r="K4374" s="14" t="n">
        <v>0</v>
      </c>
      <c r="L4374" s="14" t="n">
        <v>0</v>
      </c>
      <c r="M4374" s="14">
        <f>IF(B4374="Frete de venda",0,(1-ISNUMBER(SEARCH("556",P4374)))*(I4374*VLOOKUP($B4374,Premissas!$A$4:$E$7,2,0)+J4374*VLOOKUP($B4374,Premissas!$A$4:$E$7,3,0))+K4374*VLOOKUP($B4374,Premissas!$A$4:$E$7,4,0)+L4374*VLOOKUP($B4374,Premissas!$A$4:$E$7,5,0))</f>
        <v/>
      </c>
      <c r="N4374" s="14">
        <f>H4374-M4374</f>
        <v/>
      </c>
      <c r="O4374" t="inlineStr">
        <is>
          <t>Não</t>
        </is>
      </c>
      <c r="P4374" t="inlineStr">
        <is>
          <t>2.350</t>
        </is>
      </c>
    </row>
    <row r="4375">
      <c r="A4375" s="24" t="n">
        <v>46235</v>
      </c>
      <c r="B4375" t="inlineStr">
        <is>
          <t>Frete de venda</t>
        </is>
      </c>
      <c r="C4375" t="inlineStr">
        <is>
          <t>Frete de venda (para clientes)</t>
        </is>
      </c>
      <c r="D4375" t="inlineStr">
        <is>
          <t>CT-e</t>
        </is>
      </c>
      <c r="E4375" t="inlineStr">
        <is>
          <t>000004861</t>
        </is>
      </c>
      <c r="F4375" t="inlineStr">
        <is>
          <t>RAPIDO XAPURI TRANSPORTES E LOGISTICA LTDA</t>
        </is>
      </c>
      <c r="G4375" s="27" t="n">
        <v>46251</v>
      </c>
      <c r="H4375" s="14" t="n">
        <v>6493.42</v>
      </c>
      <c r="I4375" s="14" t="n">
        <v>0</v>
      </c>
      <c r="J4375" s="14" t="n">
        <v>779.21</v>
      </c>
      <c r="K4375" s="14" t="n">
        <v>0</v>
      </c>
      <c r="L4375" s="14" t="n">
        <v>0</v>
      </c>
      <c r="M4375" s="14">
        <f>IF(B4375="Frete de venda",0,(1-ISNUMBER(SEARCH("556",P4375)))*(I4375*VLOOKUP($B4375,Premissas!$A$4:$E$7,2,0)+J4375*VLOOKUP($B4375,Premissas!$A$4:$E$7,3,0))+K4375*VLOOKUP($B4375,Premissas!$A$4:$E$7,4,0)+L4375*VLOOKUP($B4375,Premissas!$A$4:$E$7,5,0))</f>
        <v/>
      </c>
      <c r="N4375" s="14">
        <f>H4375-M4375</f>
        <v/>
      </c>
      <c r="O4375" t="inlineStr">
        <is>
          <t>Sim</t>
        </is>
      </c>
      <c r="P4375" t="inlineStr">
        <is>
          <t>2.350</t>
        </is>
      </c>
    </row>
    <row r="4376">
      <c r="A4376" s="24" t="n">
        <v>46235</v>
      </c>
      <c r="B4376" t="inlineStr">
        <is>
          <t>Frete de venda</t>
        </is>
      </c>
      <c r="C4376" t="inlineStr">
        <is>
          <t>Frete de venda (para clientes)</t>
        </is>
      </c>
      <c r="D4376" t="inlineStr">
        <is>
          <t>CT-e</t>
        </is>
      </c>
      <c r="E4376" t="inlineStr">
        <is>
          <t>000046790</t>
        </is>
      </c>
      <c r="F4376" t="inlineStr">
        <is>
          <t>TRANSFORRECHI TRANSPORTES LTDA</t>
        </is>
      </c>
      <c r="G4376" s="27" t="n">
        <v>46261</v>
      </c>
      <c r="H4376" s="14" t="n">
        <v>500</v>
      </c>
      <c r="I4376" s="14" t="n">
        <v>0</v>
      </c>
      <c r="J4376" s="14" t="n">
        <v>60</v>
      </c>
      <c r="K4376" s="14" t="n">
        <v>0</v>
      </c>
      <c r="L4376" s="14" t="n">
        <v>0</v>
      </c>
      <c r="M4376" s="14">
        <f>IF(B4376="Frete de venda",0,(1-ISNUMBER(SEARCH("556",P4376)))*(I4376*VLOOKUP($B4376,Premissas!$A$4:$E$7,2,0)+J4376*VLOOKUP($B4376,Premissas!$A$4:$E$7,3,0))+K4376*VLOOKUP($B4376,Premissas!$A$4:$E$7,4,0)+L4376*VLOOKUP($B4376,Premissas!$A$4:$E$7,5,0))</f>
        <v/>
      </c>
      <c r="N4376" s="14">
        <f>H4376-M4376</f>
        <v/>
      </c>
      <c r="O4376" t="inlineStr">
        <is>
          <t>Sim</t>
        </is>
      </c>
      <c r="P4376" t="inlineStr">
        <is>
          <t>2.350</t>
        </is>
      </c>
    </row>
    <row r="4377">
      <c r="A4377" s="24" t="n">
        <v>46235</v>
      </c>
      <c r="B4377" t="inlineStr">
        <is>
          <t>Frete de venda</t>
        </is>
      </c>
      <c r="C4377" t="inlineStr">
        <is>
          <t>Frete de venda (para clientes)</t>
        </is>
      </c>
      <c r="D4377" t="inlineStr">
        <is>
          <t>CT-e</t>
        </is>
      </c>
      <c r="E4377" t="inlineStr">
        <is>
          <t>000046796</t>
        </is>
      </c>
      <c r="F4377" t="inlineStr">
        <is>
          <t>TRANSFORRECHI TRANSPORTES LTDA</t>
        </is>
      </c>
      <c r="G4377" s="27" t="n">
        <v>46261</v>
      </c>
      <c r="H4377" s="14" t="n">
        <v>1400</v>
      </c>
      <c r="I4377" s="14" t="n">
        <v>0</v>
      </c>
      <c r="J4377" s="14" t="n">
        <v>168</v>
      </c>
      <c r="K4377" s="14" t="n">
        <v>0</v>
      </c>
      <c r="L4377" s="14" t="n">
        <v>0</v>
      </c>
      <c r="M4377" s="14">
        <f>IF(B4377="Frete de venda",0,(1-ISNUMBER(SEARCH("556",P4377)))*(I4377*VLOOKUP($B4377,Premissas!$A$4:$E$7,2,0)+J4377*VLOOKUP($B4377,Premissas!$A$4:$E$7,3,0))+K4377*VLOOKUP($B4377,Premissas!$A$4:$E$7,4,0)+L4377*VLOOKUP($B4377,Premissas!$A$4:$E$7,5,0))</f>
        <v/>
      </c>
      <c r="N4377" s="14">
        <f>H4377-M4377</f>
        <v/>
      </c>
      <c r="O4377" t="inlineStr">
        <is>
          <t>Sim</t>
        </is>
      </c>
      <c r="P4377" t="inlineStr">
        <is>
          <t>2.350</t>
        </is>
      </c>
    </row>
    <row r="4378">
      <c r="A4378" s="24" t="n">
        <v>46235</v>
      </c>
      <c r="B4378" t="inlineStr">
        <is>
          <t>Frete de venda</t>
        </is>
      </c>
      <c r="C4378" t="inlineStr">
        <is>
          <t>Frete de venda (para clientes)</t>
        </is>
      </c>
      <c r="D4378" t="inlineStr">
        <is>
          <t>CT-e</t>
        </is>
      </c>
      <c r="E4378" t="inlineStr">
        <is>
          <t>000000304</t>
        </is>
      </c>
      <c r="F4378" t="inlineStr">
        <is>
          <t>DURA MAIS TRANSPORTES LTDA</t>
        </is>
      </c>
      <c r="G4378" s="27" t="n">
        <v>46255</v>
      </c>
      <c r="H4378" s="14" t="n">
        <v>2160</v>
      </c>
      <c r="I4378" s="14" t="n">
        <v>0</v>
      </c>
      <c r="J4378" s="14" t="n">
        <v>259.2</v>
      </c>
      <c r="K4378" s="14" t="n">
        <v>0</v>
      </c>
      <c r="L4378" s="14" t="n">
        <v>0</v>
      </c>
      <c r="M4378" s="14">
        <f>IF(B4378="Frete de venda",0,(1-ISNUMBER(SEARCH("556",P4378)))*(I4378*VLOOKUP($B4378,Premissas!$A$4:$E$7,2,0)+J4378*VLOOKUP($B4378,Premissas!$A$4:$E$7,3,0))+K4378*VLOOKUP($B4378,Premissas!$A$4:$E$7,4,0)+L4378*VLOOKUP($B4378,Premissas!$A$4:$E$7,5,0))</f>
        <v/>
      </c>
      <c r="N4378" s="14">
        <f>H4378-M4378</f>
        <v/>
      </c>
      <c r="O4378" t="inlineStr">
        <is>
          <t>Sim</t>
        </is>
      </c>
      <c r="P4378" t="inlineStr">
        <is>
          <t>2.350</t>
        </is>
      </c>
    </row>
    <row r="4379">
      <c r="A4379" s="24" t="n">
        <v>46235</v>
      </c>
      <c r="B4379" t="inlineStr">
        <is>
          <t>Frete de venda</t>
        </is>
      </c>
      <c r="C4379" t="inlineStr">
        <is>
          <t>Frete de venda (para clientes)</t>
        </is>
      </c>
      <c r="D4379" t="inlineStr">
        <is>
          <t>CT-e</t>
        </is>
      </c>
      <c r="E4379" t="inlineStr">
        <is>
          <t>000000395</t>
        </is>
      </c>
      <c r="F4379" t="inlineStr">
        <is>
          <t>DURA MAIS TRANSPORTES LTDA</t>
        </is>
      </c>
      <c r="G4379" s="27" t="n">
        <v>46261</v>
      </c>
      <c r="H4379" s="14" t="n">
        <v>2587.5</v>
      </c>
      <c r="I4379" s="14" t="n">
        <v>0</v>
      </c>
      <c r="J4379" s="14" t="n">
        <v>310.5</v>
      </c>
      <c r="K4379" s="14" t="n">
        <v>0</v>
      </c>
      <c r="L4379" s="14" t="n">
        <v>0</v>
      </c>
      <c r="M4379" s="14">
        <f>IF(B4379="Frete de venda",0,(1-ISNUMBER(SEARCH("556",P4379)))*(I4379*VLOOKUP($B4379,Premissas!$A$4:$E$7,2,0)+J4379*VLOOKUP($B4379,Premissas!$A$4:$E$7,3,0))+K4379*VLOOKUP($B4379,Premissas!$A$4:$E$7,4,0)+L4379*VLOOKUP($B4379,Premissas!$A$4:$E$7,5,0))</f>
        <v/>
      </c>
      <c r="N4379" s="14">
        <f>H4379-M4379</f>
        <v/>
      </c>
      <c r="O4379" t="inlineStr">
        <is>
          <t>Sim</t>
        </is>
      </c>
      <c r="P4379" t="inlineStr">
        <is>
          <t>2.350</t>
        </is>
      </c>
    </row>
    <row r="4380">
      <c r="A4380" s="24" t="n">
        <v>46235</v>
      </c>
      <c r="B4380" t="inlineStr">
        <is>
          <t>Frete de venda</t>
        </is>
      </c>
      <c r="C4380" t="inlineStr">
        <is>
          <t>Frete de venda (para clientes)</t>
        </is>
      </c>
      <c r="D4380" t="inlineStr">
        <is>
          <t>CT-e</t>
        </is>
      </c>
      <c r="E4380" t="inlineStr">
        <is>
          <t>000000440</t>
        </is>
      </c>
      <c r="F4380" t="inlineStr">
        <is>
          <t>DURA MAIS TRANSPORTES LTDA</t>
        </is>
      </c>
      <c r="G4380" s="27" t="n">
        <v>46263</v>
      </c>
      <c r="H4380" s="14" t="n">
        <v>368.18</v>
      </c>
      <c r="I4380" s="14" t="n">
        <v>0</v>
      </c>
      <c r="J4380" s="14" t="n">
        <v>44.18</v>
      </c>
      <c r="K4380" s="14" t="n">
        <v>0</v>
      </c>
      <c r="L4380" s="14" t="n">
        <v>0</v>
      </c>
      <c r="M4380" s="14">
        <f>IF(B4380="Frete de venda",0,(1-ISNUMBER(SEARCH("556",P4380)))*(I4380*VLOOKUP($B4380,Premissas!$A$4:$E$7,2,0)+J4380*VLOOKUP($B4380,Premissas!$A$4:$E$7,3,0))+K4380*VLOOKUP($B4380,Premissas!$A$4:$E$7,4,0)+L4380*VLOOKUP($B4380,Premissas!$A$4:$E$7,5,0))</f>
        <v/>
      </c>
      <c r="N4380" s="14">
        <f>H4380-M4380</f>
        <v/>
      </c>
      <c r="O4380" t="inlineStr">
        <is>
          <t>Sim</t>
        </is>
      </c>
      <c r="P4380" t="inlineStr">
        <is>
          <t>2.350</t>
        </is>
      </c>
    </row>
    <row r="4381">
      <c r="A4381" s="24" t="n">
        <v>46235</v>
      </c>
      <c r="B4381" t="inlineStr">
        <is>
          <t>Frete de venda</t>
        </is>
      </c>
      <c r="C4381" t="inlineStr">
        <is>
          <t>Frete de venda (para clientes)</t>
        </is>
      </c>
      <c r="D4381" t="inlineStr">
        <is>
          <t>CT-e</t>
        </is>
      </c>
      <c r="E4381" t="inlineStr">
        <is>
          <t>000000431</t>
        </is>
      </c>
      <c r="F4381" t="inlineStr">
        <is>
          <t>DURA MAIS TRANSPORTES LTDA</t>
        </is>
      </c>
      <c r="G4381" s="27" t="n">
        <v>46263</v>
      </c>
      <c r="H4381" s="14" t="n">
        <v>368.18</v>
      </c>
      <c r="I4381" s="14" t="n">
        <v>0</v>
      </c>
      <c r="J4381" s="14" t="n">
        <v>44.18</v>
      </c>
      <c r="K4381" s="14" t="n">
        <v>0</v>
      </c>
      <c r="L4381" s="14" t="n">
        <v>0</v>
      </c>
      <c r="M4381" s="14">
        <f>IF(B4381="Frete de venda",0,(1-ISNUMBER(SEARCH("556",P4381)))*(I4381*VLOOKUP($B4381,Premissas!$A$4:$E$7,2,0)+J4381*VLOOKUP($B4381,Premissas!$A$4:$E$7,3,0))+K4381*VLOOKUP($B4381,Premissas!$A$4:$E$7,4,0)+L4381*VLOOKUP($B4381,Premissas!$A$4:$E$7,5,0))</f>
        <v/>
      </c>
      <c r="N4381" s="14">
        <f>H4381-M4381</f>
        <v/>
      </c>
      <c r="O4381" t="inlineStr">
        <is>
          <t>Sim</t>
        </is>
      </c>
      <c r="P4381" t="inlineStr">
        <is>
          <t>2.350</t>
        </is>
      </c>
    </row>
    <row r="4382">
      <c r="A4382" s="24" t="n">
        <v>46235</v>
      </c>
      <c r="B4382" t="inlineStr">
        <is>
          <t>Frete de venda</t>
        </is>
      </c>
      <c r="C4382" t="inlineStr">
        <is>
          <t>Frete de venda (para clientes)</t>
        </is>
      </c>
      <c r="D4382" t="inlineStr">
        <is>
          <t>CT-e</t>
        </is>
      </c>
      <c r="E4382" t="inlineStr">
        <is>
          <t>000007907</t>
        </is>
      </c>
      <c r="F4382" t="inlineStr">
        <is>
          <t>R&amp;R TRANSPORTE E LOGISTICA</t>
        </is>
      </c>
      <c r="G4382" s="27" t="n">
        <v>46253</v>
      </c>
      <c r="H4382" s="14" t="n">
        <v>375</v>
      </c>
      <c r="I4382" s="14" t="n">
        <v>0</v>
      </c>
      <c r="J4382" s="14" t="n">
        <v>0</v>
      </c>
      <c r="K4382" s="14" t="n">
        <v>0</v>
      </c>
      <c r="L4382" s="14" t="n">
        <v>0</v>
      </c>
      <c r="M4382" s="14">
        <f>IF(B4382="Frete de venda",0,(1-ISNUMBER(SEARCH("556",P4382)))*(I4382*VLOOKUP($B4382,Premissas!$A$4:$E$7,2,0)+J4382*VLOOKUP($B4382,Premissas!$A$4:$E$7,3,0))+K4382*VLOOKUP($B4382,Premissas!$A$4:$E$7,4,0)+L4382*VLOOKUP($B4382,Premissas!$A$4:$E$7,5,0))</f>
        <v/>
      </c>
      <c r="N4382" s="14">
        <f>H4382-M4382</f>
        <v/>
      </c>
      <c r="O4382" t="inlineStr">
        <is>
          <t>Sim</t>
        </is>
      </c>
      <c r="P4382" t="inlineStr">
        <is>
          <t>2.350</t>
        </is>
      </c>
    </row>
    <row r="4383">
      <c r="A4383" s="24" t="n">
        <v>46235</v>
      </c>
      <c r="B4383" t="inlineStr">
        <is>
          <t>Frete de venda</t>
        </is>
      </c>
      <c r="C4383" t="inlineStr">
        <is>
          <t>Frete de venda (para clientes)</t>
        </is>
      </c>
      <c r="D4383" t="inlineStr">
        <is>
          <t>CT-e</t>
        </is>
      </c>
      <c r="E4383" t="inlineStr">
        <is>
          <t>000007849</t>
        </is>
      </c>
      <c r="F4383" t="inlineStr">
        <is>
          <t>R&amp;R TRANSPORTE E LOGISTICA</t>
        </is>
      </c>
      <c r="G4383" s="27" t="n">
        <v>46235</v>
      </c>
      <c r="H4383" s="14" t="n">
        <v>37.44</v>
      </c>
      <c r="I4383" s="14" t="n">
        <v>0</v>
      </c>
      <c r="J4383" s="14" t="n">
        <v>0</v>
      </c>
      <c r="K4383" s="14" t="n">
        <v>0</v>
      </c>
      <c r="L4383" s="14" t="n">
        <v>0</v>
      </c>
      <c r="M4383" s="14">
        <f>IF(B4383="Frete de venda",0,(1-ISNUMBER(SEARCH("556",P4383)))*(I4383*VLOOKUP($B4383,Premissas!$A$4:$E$7,2,0)+J4383*VLOOKUP($B4383,Premissas!$A$4:$E$7,3,0))+K4383*VLOOKUP($B4383,Premissas!$A$4:$E$7,4,0)+L4383*VLOOKUP($B4383,Premissas!$A$4:$E$7,5,0))</f>
        <v/>
      </c>
      <c r="N4383" s="14">
        <f>H4383-M4383</f>
        <v/>
      </c>
      <c r="O4383" t="inlineStr">
        <is>
          <t>Não</t>
        </is>
      </c>
      <c r="P4383" t="inlineStr">
        <is>
          <t>2.350</t>
        </is>
      </c>
    </row>
    <row r="4384">
      <c r="A4384" s="24" t="n">
        <v>46235</v>
      </c>
      <c r="B4384" t="inlineStr">
        <is>
          <t>Frete de venda</t>
        </is>
      </c>
      <c r="C4384" t="inlineStr">
        <is>
          <t>Frete de venda (para clientes)</t>
        </is>
      </c>
      <c r="D4384" t="inlineStr">
        <is>
          <t>CT-e</t>
        </is>
      </c>
      <c r="E4384" t="inlineStr">
        <is>
          <t>000046794</t>
        </is>
      </c>
      <c r="F4384" t="inlineStr">
        <is>
          <t>TRANSFORRECHI TRANSPORTES LTDA</t>
        </is>
      </c>
      <c r="G4384" s="27" t="n">
        <v>46261</v>
      </c>
      <c r="H4384" s="14" t="n">
        <v>1220</v>
      </c>
      <c r="I4384" s="14" t="n">
        <v>0</v>
      </c>
      <c r="J4384" s="14" t="n">
        <v>146.4</v>
      </c>
      <c r="K4384" s="14" t="n">
        <v>0</v>
      </c>
      <c r="L4384" s="14" t="n">
        <v>0</v>
      </c>
      <c r="M4384" s="14">
        <f>IF(B4384="Frete de venda",0,(1-ISNUMBER(SEARCH("556",P4384)))*(I4384*VLOOKUP($B4384,Premissas!$A$4:$E$7,2,0)+J4384*VLOOKUP($B4384,Premissas!$A$4:$E$7,3,0))+K4384*VLOOKUP($B4384,Premissas!$A$4:$E$7,4,0)+L4384*VLOOKUP($B4384,Premissas!$A$4:$E$7,5,0))</f>
        <v/>
      </c>
      <c r="N4384" s="14">
        <f>H4384-M4384</f>
        <v/>
      </c>
      <c r="O4384" t="inlineStr">
        <is>
          <t>Sim</t>
        </is>
      </c>
      <c r="P4384" t="inlineStr">
        <is>
          <t>2.350</t>
        </is>
      </c>
    </row>
    <row r="4385">
      <c r="A4385" s="24" t="n">
        <v>46235</v>
      </c>
      <c r="B4385" t="inlineStr">
        <is>
          <t>Frete de venda</t>
        </is>
      </c>
      <c r="C4385" t="inlineStr">
        <is>
          <t>Frete de venda (para clientes)</t>
        </is>
      </c>
      <c r="D4385" t="inlineStr">
        <is>
          <t>CT-e</t>
        </is>
      </c>
      <c r="E4385" t="inlineStr">
        <is>
          <t>000046793</t>
        </is>
      </c>
      <c r="F4385" t="inlineStr">
        <is>
          <t>TRANSFORRECHI TRANSPORTES LTDA</t>
        </is>
      </c>
      <c r="G4385" s="27" t="n">
        <v>46261</v>
      </c>
      <c r="H4385" s="14" t="n">
        <v>600</v>
      </c>
      <c r="I4385" s="14" t="n">
        <v>0</v>
      </c>
      <c r="J4385" s="14" t="n">
        <v>72</v>
      </c>
      <c r="K4385" s="14" t="n">
        <v>0</v>
      </c>
      <c r="L4385" s="14" t="n">
        <v>0</v>
      </c>
      <c r="M4385" s="14">
        <f>IF(B4385="Frete de venda",0,(1-ISNUMBER(SEARCH("556",P4385)))*(I4385*VLOOKUP($B4385,Premissas!$A$4:$E$7,2,0)+J4385*VLOOKUP($B4385,Premissas!$A$4:$E$7,3,0))+K4385*VLOOKUP($B4385,Premissas!$A$4:$E$7,4,0)+L4385*VLOOKUP($B4385,Premissas!$A$4:$E$7,5,0))</f>
        <v/>
      </c>
      <c r="N4385" s="14">
        <f>H4385-M4385</f>
        <v/>
      </c>
      <c r="O4385" t="inlineStr">
        <is>
          <t>Sim</t>
        </is>
      </c>
      <c r="P4385" t="inlineStr">
        <is>
          <t>2.350</t>
        </is>
      </c>
    </row>
    <row r="4386">
      <c r="A4386" s="24" t="n">
        <v>46235</v>
      </c>
      <c r="B4386" t="inlineStr">
        <is>
          <t>Frete de venda</t>
        </is>
      </c>
      <c r="C4386" t="inlineStr">
        <is>
          <t>Frete de venda (para clientes)</t>
        </is>
      </c>
      <c r="D4386" t="inlineStr">
        <is>
          <t>CT-e</t>
        </is>
      </c>
      <c r="E4386" t="inlineStr">
        <is>
          <t>000007905</t>
        </is>
      </c>
      <c r="F4386" t="inlineStr">
        <is>
          <t>R&amp;R TRANSPORTE E LOGISTICA</t>
        </is>
      </c>
      <c r="G4386" s="27" t="n">
        <v>46253</v>
      </c>
      <c r="H4386" s="14" t="n">
        <v>375</v>
      </c>
      <c r="I4386" s="14" t="n">
        <v>0</v>
      </c>
      <c r="J4386" s="14" t="n">
        <v>0</v>
      </c>
      <c r="K4386" s="14" t="n">
        <v>0</v>
      </c>
      <c r="L4386" s="14" t="n">
        <v>0</v>
      </c>
      <c r="M4386" s="14">
        <f>IF(B4386="Frete de venda",0,(1-ISNUMBER(SEARCH("556",P4386)))*(I4386*VLOOKUP($B4386,Premissas!$A$4:$E$7,2,0)+J4386*VLOOKUP($B4386,Premissas!$A$4:$E$7,3,0))+K4386*VLOOKUP($B4386,Premissas!$A$4:$E$7,4,0)+L4386*VLOOKUP($B4386,Premissas!$A$4:$E$7,5,0))</f>
        <v/>
      </c>
      <c r="N4386" s="14">
        <f>H4386-M4386</f>
        <v/>
      </c>
      <c r="O4386" t="inlineStr">
        <is>
          <t>Sim</t>
        </is>
      </c>
      <c r="P4386" t="inlineStr">
        <is>
          <t>2.350</t>
        </is>
      </c>
    </row>
    <row r="4387">
      <c r="A4387" s="24" t="n">
        <v>46235</v>
      </c>
      <c r="B4387" t="inlineStr">
        <is>
          <t>Frete de venda</t>
        </is>
      </c>
      <c r="C4387" t="inlineStr">
        <is>
          <t>Frete de venda (para clientes)</t>
        </is>
      </c>
      <c r="D4387" t="inlineStr">
        <is>
          <t>CT-e</t>
        </is>
      </c>
      <c r="E4387" t="inlineStr">
        <is>
          <t>000000363</t>
        </is>
      </c>
      <c r="F4387" t="inlineStr">
        <is>
          <t>DURA MAIS TRANSPORTES LTDA</t>
        </is>
      </c>
      <c r="G4387" s="27" t="n">
        <v>46259</v>
      </c>
      <c r="H4387" s="14" t="n">
        <v>700</v>
      </c>
      <c r="I4387" s="14" t="n">
        <v>0</v>
      </c>
      <c r="J4387" s="14" t="n">
        <v>84</v>
      </c>
      <c r="K4387" s="14" t="n">
        <v>0</v>
      </c>
      <c r="L4387" s="14" t="n">
        <v>0</v>
      </c>
      <c r="M4387" s="14">
        <f>IF(B4387="Frete de venda",0,(1-ISNUMBER(SEARCH("556",P4387)))*(I4387*VLOOKUP($B4387,Premissas!$A$4:$E$7,2,0)+J4387*VLOOKUP($B4387,Premissas!$A$4:$E$7,3,0))+K4387*VLOOKUP($B4387,Premissas!$A$4:$E$7,4,0)+L4387*VLOOKUP($B4387,Premissas!$A$4:$E$7,5,0))</f>
        <v/>
      </c>
      <c r="N4387" s="14">
        <f>H4387-M4387</f>
        <v/>
      </c>
      <c r="O4387" t="inlineStr">
        <is>
          <t>Sim</t>
        </is>
      </c>
      <c r="P4387" t="inlineStr">
        <is>
          <t>2.350</t>
        </is>
      </c>
    </row>
    <row r="4388">
      <c r="A4388" s="24" t="n">
        <v>46235</v>
      </c>
      <c r="B4388" t="inlineStr">
        <is>
          <t>Frete de venda</t>
        </is>
      </c>
      <c r="C4388" t="inlineStr">
        <is>
          <t>Frete de venda (para clientes)</t>
        </is>
      </c>
      <c r="D4388" t="inlineStr">
        <is>
          <t>CT-e</t>
        </is>
      </c>
      <c r="E4388" t="inlineStr">
        <is>
          <t>000000128</t>
        </is>
      </c>
      <c r="F4388" t="inlineStr">
        <is>
          <t>DURA MAIS TRANSPORTES LTDA</t>
        </is>
      </c>
      <c r="G4388" s="27" t="n">
        <v>46239</v>
      </c>
      <c r="H4388" s="14" t="n">
        <v>1050</v>
      </c>
      <c r="I4388" s="14" t="n">
        <v>0</v>
      </c>
      <c r="J4388" s="14" t="n">
        <v>126</v>
      </c>
      <c r="K4388" s="14" t="n">
        <v>0</v>
      </c>
      <c r="L4388" s="14" t="n">
        <v>0</v>
      </c>
      <c r="M4388" s="14">
        <f>IF(B4388="Frete de venda",0,(1-ISNUMBER(SEARCH("556",P4388)))*(I4388*VLOOKUP($B4388,Premissas!$A$4:$E$7,2,0)+J4388*VLOOKUP($B4388,Premissas!$A$4:$E$7,3,0))+K4388*VLOOKUP($B4388,Premissas!$A$4:$E$7,4,0)+L4388*VLOOKUP($B4388,Premissas!$A$4:$E$7,5,0))</f>
        <v/>
      </c>
      <c r="N4388" s="14">
        <f>H4388-M4388</f>
        <v/>
      </c>
      <c r="O4388" t="inlineStr">
        <is>
          <t>Não</t>
        </is>
      </c>
      <c r="P4388" t="inlineStr">
        <is>
          <t>1.350</t>
        </is>
      </c>
    </row>
    <row r="4389">
      <c r="A4389" s="24" t="n">
        <v>46235</v>
      </c>
      <c r="B4389" t="inlineStr">
        <is>
          <t>Frete de venda</t>
        </is>
      </c>
      <c r="C4389" t="inlineStr">
        <is>
          <t>Frete de venda (para clientes)</t>
        </is>
      </c>
      <c r="D4389" t="inlineStr">
        <is>
          <t>CT-e</t>
        </is>
      </c>
      <c r="E4389" t="inlineStr">
        <is>
          <t>000000430</t>
        </is>
      </c>
      <c r="F4389" t="inlineStr">
        <is>
          <t>DURA MAIS TRANSPORTES LTDA</t>
        </is>
      </c>
      <c r="G4389" s="27" t="n">
        <v>46263</v>
      </c>
      <c r="H4389" s="14" t="n">
        <v>368.18</v>
      </c>
      <c r="I4389" s="14" t="n">
        <v>0</v>
      </c>
      <c r="J4389" s="14" t="n">
        <v>44.18</v>
      </c>
      <c r="K4389" s="14" t="n">
        <v>0</v>
      </c>
      <c r="L4389" s="14" t="n">
        <v>0</v>
      </c>
      <c r="M4389" s="14">
        <f>IF(B4389="Frete de venda",0,(1-ISNUMBER(SEARCH("556",P4389)))*(I4389*VLOOKUP($B4389,Premissas!$A$4:$E$7,2,0)+J4389*VLOOKUP($B4389,Premissas!$A$4:$E$7,3,0))+K4389*VLOOKUP($B4389,Premissas!$A$4:$E$7,4,0)+L4389*VLOOKUP($B4389,Premissas!$A$4:$E$7,5,0))</f>
        <v/>
      </c>
      <c r="N4389" s="14">
        <f>H4389-M4389</f>
        <v/>
      </c>
      <c r="O4389" t="inlineStr">
        <is>
          <t>Sim</t>
        </is>
      </c>
      <c r="P4389" t="inlineStr">
        <is>
          <t>2.350</t>
        </is>
      </c>
    </row>
    <row r="4390">
      <c r="A4390" s="24" t="n">
        <v>46235</v>
      </c>
      <c r="B4390" t="inlineStr">
        <is>
          <t>Frete de venda</t>
        </is>
      </c>
      <c r="C4390" t="inlineStr">
        <is>
          <t>Frete de venda (para clientes)</t>
        </is>
      </c>
      <c r="D4390" t="inlineStr">
        <is>
          <t>CT-e</t>
        </is>
      </c>
      <c r="E4390" t="inlineStr">
        <is>
          <t>000000339</t>
        </is>
      </c>
      <c r="F4390" t="inlineStr">
        <is>
          <t>DURA MAIS TRANSPORTES LTDA</t>
        </is>
      </c>
      <c r="G4390" s="27" t="n">
        <v>46259</v>
      </c>
      <c r="H4390" s="14" t="n">
        <v>542.53</v>
      </c>
      <c r="I4390" s="14" t="n">
        <v>0</v>
      </c>
      <c r="J4390" s="14" t="n">
        <v>65.09999999999999</v>
      </c>
      <c r="K4390" s="14" t="n">
        <v>0</v>
      </c>
      <c r="L4390" s="14" t="n">
        <v>0</v>
      </c>
      <c r="M4390" s="14">
        <f>IF(B4390="Frete de venda",0,(1-ISNUMBER(SEARCH("556",P4390)))*(I4390*VLOOKUP($B4390,Premissas!$A$4:$E$7,2,0)+J4390*VLOOKUP($B4390,Premissas!$A$4:$E$7,3,0))+K4390*VLOOKUP($B4390,Premissas!$A$4:$E$7,4,0)+L4390*VLOOKUP($B4390,Premissas!$A$4:$E$7,5,0))</f>
        <v/>
      </c>
      <c r="N4390" s="14">
        <f>H4390-M4390</f>
        <v/>
      </c>
      <c r="O4390" t="inlineStr">
        <is>
          <t>Sim</t>
        </is>
      </c>
      <c r="P4390" t="inlineStr">
        <is>
          <t>2.350</t>
        </is>
      </c>
    </row>
    <row r="4391">
      <c r="A4391" s="24" t="n">
        <v>46235</v>
      </c>
      <c r="B4391" t="inlineStr">
        <is>
          <t>Frete de venda</t>
        </is>
      </c>
      <c r="C4391" t="inlineStr">
        <is>
          <t>Frete de venda (para clientes)</t>
        </is>
      </c>
      <c r="D4391" t="inlineStr">
        <is>
          <t>CT-e</t>
        </is>
      </c>
      <c r="E4391" t="inlineStr">
        <is>
          <t>000004865</t>
        </is>
      </c>
      <c r="F4391" t="inlineStr">
        <is>
          <t>RAPIDO XAPURI TRANSPORTES E LOGISTICA LTDA</t>
        </is>
      </c>
      <c r="G4391" s="27" t="n">
        <v>46251</v>
      </c>
      <c r="H4391" s="14" t="n">
        <v>1025.31</v>
      </c>
      <c r="I4391" s="14" t="n">
        <v>0</v>
      </c>
      <c r="J4391" s="14" t="n">
        <v>123.04</v>
      </c>
      <c r="K4391" s="14" t="n">
        <v>0</v>
      </c>
      <c r="L4391" s="14" t="n">
        <v>0</v>
      </c>
      <c r="M4391" s="14">
        <f>IF(B4391="Frete de venda",0,(1-ISNUMBER(SEARCH("556",P4391)))*(I4391*VLOOKUP($B4391,Premissas!$A$4:$E$7,2,0)+J4391*VLOOKUP($B4391,Premissas!$A$4:$E$7,3,0))+K4391*VLOOKUP($B4391,Premissas!$A$4:$E$7,4,0)+L4391*VLOOKUP($B4391,Premissas!$A$4:$E$7,5,0))</f>
        <v/>
      </c>
      <c r="N4391" s="14">
        <f>H4391-M4391</f>
        <v/>
      </c>
      <c r="O4391" t="inlineStr">
        <is>
          <t>Sim</t>
        </is>
      </c>
      <c r="P4391" t="inlineStr">
        <is>
          <t>2.350</t>
        </is>
      </c>
    </row>
    <row r="4392">
      <c r="A4392" s="24" t="n">
        <v>46235</v>
      </c>
      <c r="B4392" t="inlineStr">
        <is>
          <t>Frete de venda</t>
        </is>
      </c>
      <c r="C4392" t="inlineStr">
        <is>
          <t>Frete de venda (para clientes)</t>
        </is>
      </c>
      <c r="D4392" t="inlineStr">
        <is>
          <t>CT-e</t>
        </is>
      </c>
      <c r="E4392" t="inlineStr">
        <is>
          <t>000000365</t>
        </is>
      </c>
      <c r="F4392" t="inlineStr">
        <is>
          <t>DURA MAIS TRANSPORTES LTDA</t>
        </is>
      </c>
      <c r="G4392" s="27" t="n">
        <v>46259</v>
      </c>
      <c r="H4392" s="14" t="n">
        <v>700</v>
      </c>
      <c r="I4392" s="14" t="n">
        <v>0</v>
      </c>
      <c r="J4392" s="14" t="n">
        <v>84</v>
      </c>
      <c r="K4392" s="14" t="n">
        <v>0</v>
      </c>
      <c r="L4392" s="14" t="n">
        <v>0</v>
      </c>
      <c r="M4392" s="14">
        <f>IF(B4392="Frete de venda",0,(1-ISNUMBER(SEARCH("556",P4392)))*(I4392*VLOOKUP($B4392,Premissas!$A$4:$E$7,2,0)+J4392*VLOOKUP($B4392,Premissas!$A$4:$E$7,3,0))+K4392*VLOOKUP($B4392,Premissas!$A$4:$E$7,4,0)+L4392*VLOOKUP($B4392,Premissas!$A$4:$E$7,5,0))</f>
        <v/>
      </c>
      <c r="N4392" s="14">
        <f>H4392-M4392</f>
        <v/>
      </c>
      <c r="O4392" t="inlineStr">
        <is>
          <t>Sim</t>
        </is>
      </c>
      <c r="P4392" t="inlineStr">
        <is>
          <t>2.350</t>
        </is>
      </c>
    </row>
    <row r="4393">
      <c r="A4393" s="24" t="n">
        <v>46235</v>
      </c>
      <c r="B4393" t="inlineStr">
        <is>
          <t>Frete de venda</t>
        </is>
      </c>
      <c r="C4393" t="inlineStr">
        <is>
          <t>Frete de venda (para clientes)</t>
        </is>
      </c>
      <c r="D4393" t="inlineStr">
        <is>
          <t>CT-e</t>
        </is>
      </c>
      <c r="E4393" t="inlineStr">
        <is>
          <t>000000422</t>
        </is>
      </c>
      <c r="F4393" t="inlineStr">
        <is>
          <t>DURA MAIS TRANSPORTES LTDA</t>
        </is>
      </c>
      <c r="G4393" s="27" t="n">
        <v>46262</v>
      </c>
      <c r="H4393" s="14" t="n">
        <v>464.06</v>
      </c>
      <c r="I4393" s="14" t="n">
        <v>0</v>
      </c>
      <c r="J4393" s="14" t="n">
        <v>55.69</v>
      </c>
      <c r="K4393" s="14" t="n">
        <v>0</v>
      </c>
      <c r="L4393" s="14" t="n">
        <v>0</v>
      </c>
      <c r="M4393" s="14">
        <f>IF(B4393="Frete de venda",0,(1-ISNUMBER(SEARCH("556",P4393)))*(I4393*VLOOKUP($B4393,Premissas!$A$4:$E$7,2,0)+J4393*VLOOKUP($B4393,Premissas!$A$4:$E$7,3,0))+K4393*VLOOKUP($B4393,Premissas!$A$4:$E$7,4,0)+L4393*VLOOKUP($B4393,Premissas!$A$4:$E$7,5,0))</f>
        <v/>
      </c>
      <c r="N4393" s="14">
        <f>H4393-M4393</f>
        <v/>
      </c>
      <c r="O4393" t="inlineStr">
        <is>
          <t>Sim</t>
        </is>
      </c>
      <c r="P4393" t="inlineStr">
        <is>
          <t>2.350</t>
        </is>
      </c>
    </row>
    <row r="4394">
      <c r="A4394" s="24" t="n">
        <v>46235</v>
      </c>
      <c r="B4394" t="inlineStr">
        <is>
          <t>Frete de venda</t>
        </is>
      </c>
      <c r="C4394" t="inlineStr">
        <is>
          <t>Frete de venda (para clientes)</t>
        </is>
      </c>
      <c r="D4394" t="inlineStr">
        <is>
          <t>CT-e</t>
        </is>
      </c>
      <c r="E4394" t="inlineStr">
        <is>
          <t>000000446</t>
        </is>
      </c>
      <c r="F4394" t="inlineStr">
        <is>
          <t>DURA MAIS TRANSPORTES LTDA</t>
        </is>
      </c>
      <c r="G4394" s="27" t="n">
        <v>46262</v>
      </c>
      <c r="H4394" s="14" t="n">
        <v>6960.98</v>
      </c>
      <c r="I4394" s="14" t="n">
        <v>0</v>
      </c>
      <c r="J4394" s="14" t="n">
        <v>835.3200000000001</v>
      </c>
      <c r="K4394" s="14" t="n">
        <v>0</v>
      </c>
      <c r="L4394" s="14" t="n">
        <v>0</v>
      </c>
      <c r="M4394" s="14">
        <f>IF(B4394="Frete de venda",0,(1-ISNUMBER(SEARCH("556",P4394)))*(I4394*VLOOKUP($B4394,Premissas!$A$4:$E$7,2,0)+J4394*VLOOKUP($B4394,Premissas!$A$4:$E$7,3,0))+K4394*VLOOKUP($B4394,Premissas!$A$4:$E$7,4,0)+L4394*VLOOKUP($B4394,Premissas!$A$4:$E$7,5,0))</f>
        <v/>
      </c>
      <c r="N4394" s="14">
        <f>H4394-M4394</f>
        <v/>
      </c>
      <c r="O4394" t="inlineStr">
        <is>
          <t>Sim</t>
        </is>
      </c>
      <c r="P4394" t="inlineStr">
        <is>
          <t>2.350</t>
        </is>
      </c>
    </row>
    <row r="4395">
      <c r="A4395" s="24" t="n">
        <v>46235</v>
      </c>
      <c r="B4395" t="inlineStr">
        <is>
          <t>Frete de venda</t>
        </is>
      </c>
      <c r="C4395" t="inlineStr">
        <is>
          <t>Frete de venda (para clientes)</t>
        </is>
      </c>
      <c r="D4395" t="inlineStr">
        <is>
          <t>CT-e</t>
        </is>
      </c>
      <c r="E4395" t="inlineStr">
        <is>
          <t>000000397</t>
        </is>
      </c>
      <c r="F4395" t="inlineStr">
        <is>
          <t>DURA MAIS TRANSPORTES LTDA</t>
        </is>
      </c>
      <c r="G4395" s="27" t="n">
        <v>46261</v>
      </c>
      <c r="H4395" s="14" t="n">
        <v>2587.5</v>
      </c>
      <c r="I4395" s="14" t="n">
        <v>0</v>
      </c>
      <c r="J4395" s="14" t="n">
        <v>310.5</v>
      </c>
      <c r="K4395" s="14" t="n">
        <v>0</v>
      </c>
      <c r="L4395" s="14" t="n">
        <v>0</v>
      </c>
      <c r="M4395" s="14">
        <f>IF(B4395="Frete de venda",0,(1-ISNUMBER(SEARCH("556",P4395)))*(I4395*VLOOKUP($B4395,Premissas!$A$4:$E$7,2,0)+J4395*VLOOKUP($B4395,Premissas!$A$4:$E$7,3,0))+K4395*VLOOKUP($B4395,Premissas!$A$4:$E$7,4,0)+L4395*VLOOKUP($B4395,Premissas!$A$4:$E$7,5,0))</f>
        <v/>
      </c>
      <c r="N4395" s="14">
        <f>H4395-M4395</f>
        <v/>
      </c>
      <c r="O4395" t="inlineStr">
        <is>
          <t>Sim</t>
        </is>
      </c>
      <c r="P4395" t="inlineStr">
        <is>
          <t>2.350</t>
        </is>
      </c>
    </row>
    <row r="4396">
      <c r="A4396" s="24" t="n">
        <v>46235</v>
      </c>
      <c r="B4396" t="inlineStr">
        <is>
          <t>Frete de venda</t>
        </is>
      </c>
      <c r="C4396" t="inlineStr">
        <is>
          <t>Frete de venda (para clientes)</t>
        </is>
      </c>
      <c r="D4396" t="inlineStr">
        <is>
          <t>CT-e</t>
        </is>
      </c>
      <c r="E4396" t="inlineStr">
        <is>
          <t>000000224</t>
        </is>
      </c>
      <c r="F4396" t="inlineStr">
        <is>
          <t>DURA MAIS TRANSPORTES LTDA</t>
        </is>
      </c>
      <c r="G4396" s="27" t="n">
        <v>46249</v>
      </c>
      <c r="H4396" s="14" t="n">
        <v>408.55</v>
      </c>
      <c r="I4396" s="14" t="n">
        <v>0</v>
      </c>
      <c r="J4396" s="14" t="n">
        <v>49.03</v>
      </c>
      <c r="K4396" s="14" t="n">
        <v>0</v>
      </c>
      <c r="L4396" s="14" t="n">
        <v>0</v>
      </c>
      <c r="M4396" s="14">
        <f>IF(B4396="Frete de venda",0,(1-ISNUMBER(SEARCH("556",P4396)))*(I4396*VLOOKUP($B4396,Premissas!$A$4:$E$7,2,0)+J4396*VLOOKUP($B4396,Premissas!$A$4:$E$7,3,0))+K4396*VLOOKUP($B4396,Premissas!$A$4:$E$7,4,0)+L4396*VLOOKUP($B4396,Premissas!$A$4:$E$7,5,0))</f>
        <v/>
      </c>
      <c r="N4396" s="14">
        <f>H4396-M4396</f>
        <v/>
      </c>
      <c r="O4396" t="inlineStr">
        <is>
          <t>Sim</t>
        </is>
      </c>
      <c r="P4396" t="inlineStr">
        <is>
          <t>2.350</t>
        </is>
      </c>
    </row>
    <row r="4397">
      <c r="A4397" s="24" t="n">
        <v>46235</v>
      </c>
      <c r="B4397" t="inlineStr">
        <is>
          <t>Frete de venda</t>
        </is>
      </c>
      <c r="C4397" t="inlineStr">
        <is>
          <t>Frete de venda (para clientes)</t>
        </is>
      </c>
      <c r="D4397" t="inlineStr">
        <is>
          <t>CT-e</t>
        </is>
      </c>
      <c r="E4397" t="inlineStr">
        <is>
          <t>000000364</t>
        </is>
      </c>
      <c r="F4397" t="inlineStr">
        <is>
          <t>DURA MAIS TRANSPORTES LTDA</t>
        </is>
      </c>
      <c r="G4397" s="27" t="n">
        <v>46259</v>
      </c>
      <c r="H4397" s="14" t="n">
        <v>700</v>
      </c>
      <c r="I4397" s="14" t="n">
        <v>0</v>
      </c>
      <c r="J4397" s="14" t="n">
        <v>84</v>
      </c>
      <c r="K4397" s="14" t="n">
        <v>0</v>
      </c>
      <c r="L4397" s="14" t="n">
        <v>0</v>
      </c>
      <c r="M4397" s="14">
        <f>IF(B4397="Frete de venda",0,(1-ISNUMBER(SEARCH("556",P4397)))*(I4397*VLOOKUP($B4397,Premissas!$A$4:$E$7,2,0)+J4397*VLOOKUP($B4397,Premissas!$A$4:$E$7,3,0))+K4397*VLOOKUP($B4397,Premissas!$A$4:$E$7,4,0)+L4397*VLOOKUP($B4397,Premissas!$A$4:$E$7,5,0))</f>
        <v/>
      </c>
      <c r="N4397" s="14">
        <f>H4397-M4397</f>
        <v/>
      </c>
      <c r="O4397" t="inlineStr">
        <is>
          <t>Sim</t>
        </is>
      </c>
      <c r="P4397" t="inlineStr">
        <is>
          <t>2.350</t>
        </is>
      </c>
    </row>
    <row r="4398">
      <c r="A4398" s="24" t="n">
        <v>46235</v>
      </c>
      <c r="B4398" t="inlineStr">
        <is>
          <t>Frete de venda</t>
        </is>
      </c>
      <c r="C4398" t="inlineStr">
        <is>
          <t>Frete de venda (para clientes)</t>
        </is>
      </c>
      <c r="D4398" t="inlineStr">
        <is>
          <t>CT-e</t>
        </is>
      </c>
      <c r="E4398" t="inlineStr">
        <is>
          <t>000000379</t>
        </is>
      </c>
      <c r="F4398" t="inlineStr">
        <is>
          <t>DURA MAIS TRANSPORTES LTDA</t>
        </is>
      </c>
      <c r="G4398" s="27" t="n">
        <v>46260</v>
      </c>
      <c r="H4398" s="14" t="n">
        <v>1125</v>
      </c>
      <c r="I4398" s="14" t="n">
        <v>0</v>
      </c>
      <c r="J4398" s="14" t="n">
        <v>225</v>
      </c>
      <c r="K4398" s="14" t="n">
        <v>0</v>
      </c>
      <c r="L4398" s="14" t="n">
        <v>0</v>
      </c>
      <c r="M4398" s="14">
        <f>IF(B4398="Frete de venda",0,(1-ISNUMBER(SEARCH("556",P4398)))*(I4398*VLOOKUP($B4398,Premissas!$A$4:$E$7,2,0)+J4398*VLOOKUP($B4398,Premissas!$A$4:$E$7,3,0))+K4398*VLOOKUP($B4398,Premissas!$A$4:$E$7,4,0)+L4398*VLOOKUP($B4398,Premissas!$A$4:$E$7,5,0))</f>
        <v/>
      </c>
      <c r="N4398" s="14">
        <f>H4398-M4398</f>
        <v/>
      </c>
      <c r="O4398" t="inlineStr">
        <is>
          <t>Sim</t>
        </is>
      </c>
      <c r="P4398" t="inlineStr">
        <is>
          <t>2.350</t>
        </is>
      </c>
    </row>
    <row r="4399">
      <c r="A4399" s="24" t="n">
        <v>46235</v>
      </c>
      <c r="B4399" t="inlineStr">
        <is>
          <t>Frete de venda</t>
        </is>
      </c>
      <c r="C4399" t="inlineStr">
        <is>
          <t>Frete de venda (para clientes)</t>
        </is>
      </c>
      <c r="D4399" t="inlineStr">
        <is>
          <t>CT-e</t>
        </is>
      </c>
      <c r="E4399" t="inlineStr">
        <is>
          <t>000046798</t>
        </is>
      </c>
      <c r="F4399" t="inlineStr">
        <is>
          <t>TRANSFORRECHI TRANSPORTES LTDA</t>
        </is>
      </c>
      <c r="G4399" s="27" t="n">
        <v>46261</v>
      </c>
      <c r="H4399" s="14" t="n">
        <v>500</v>
      </c>
      <c r="I4399" s="14" t="n">
        <v>0</v>
      </c>
      <c r="J4399" s="14" t="n">
        <v>60</v>
      </c>
      <c r="K4399" s="14" t="n">
        <v>0</v>
      </c>
      <c r="L4399" s="14" t="n">
        <v>0</v>
      </c>
      <c r="M4399" s="14">
        <f>IF(B4399="Frete de venda",0,(1-ISNUMBER(SEARCH("556",P4399)))*(I4399*VLOOKUP($B4399,Premissas!$A$4:$E$7,2,0)+J4399*VLOOKUP($B4399,Premissas!$A$4:$E$7,3,0))+K4399*VLOOKUP($B4399,Premissas!$A$4:$E$7,4,0)+L4399*VLOOKUP($B4399,Premissas!$A$4:$E$7,5,0))</f>
        <v/>
      </c>
      <c r="N4399" s="14">
        <f>H4399-M4399</f>
        <v/>
      </c>
      <c r="O4399" t="inlineStr">
        <is>
          <t>Sim</t>
        </is>
      </c>
      <c r="P4399" t="inlineStr">
        <is>
          <t>2.350</t>
        </is>
      </c>
    </row>
    <row r="4400">
      <c r="A4400" s="24" t="n">
        <v>46235</v>
      </c>
      <c r="B4400" t="inlineStr">
        <is>
          <t>Frete de venda</t>
        </is>
      </c>
      <c r="C4400" t="inlineStr">
        <is>
          <t>Frete de venda (para clientes)</t>
        </is>
      </c>
      <c r="D4400" t="inlineStr">
        <is>
          <t>CT-e</t>
        </is>
      </c>
      <c r="E4400" t="inlineStr">
        <is>
          <t>000000140</t>
        </is>
      </c>
      <c r="F4400" t="inlineStr">
        <is>
          <t>DURA MAIS TRANSPORTES LTDA</t>
        </is>
      </c>
      <c r="G4400" s="27" t="n">
        <v>46239</v>
      </c>
      <c r="H4400" s="14" t="n">
        <v>525</v>
      </c>
      <c r="I4400" s="14" t="n">
        <v>0</v>
      </c>
      <c r="J4400" s="14" t="n">
        <v>63</v>
      </c>
      <c r="K4400" s="14" t="n">
        <v>0</v>
      </c>
      <c r="L4400" s="14" t="n">
        <v>0</v>
      </c>
      <c r="M4400" s="14">
        <f>IF(B4400="Frete de venda",0,(1-ISNUMBER(SEARCH("556",P4400)))*(I4400*VLOOKUP($B4400,Premissas!$A$4:$E$7,2,0)+J4400*VLOOKUP($B4400,Premissas!$A$4:$E$7,3,0))+K4400*VLOOKUP($B4400,Premissas!$A$4:$E$7,4,0)+L4400*VLOOKUP($B4400,Premissas!$A$4:$E$7,5,0))</f>
        <v/>
      </c>
      <c r="N4400" s="14">
        <f>H4400-M4400</f>
        <v/>
      </c>
      <c r="O4400" t="inlineStr">
        <is>
          <t>Não</t>
        </is>
      </c>
      <c r="P4400" t="inlineStr">
        <is>
          <t>1.350</t>
        </is>
      </c>
    </row>
    <row r="4401">
      <c r="A4401" s="24" t="n">
        <v>46235</v>
      </c>
      <c r="B4401" t="inlineStr">
        <is>
          <t>Frete de venda</t>
        </is>
      </c>
      <c r="C4401" t="inlineStr">
        <is>
          <t>Frete de venda (para clientes)</t>
        </is>
      </c>
      <c r="D4401" t="inlineStr">
        <is>
          <t>CT-e</t>
        </is>
      </c>
      <c r="E4401" t="inlineStr">
        <is>
          <t>000000143</t>
        </is>
      </c>
      <c r="F4401" t="inlineStr">
        <is>
          <t>DURA MAIS TRANSPORTES LTDA</t>
        </is>
      </c>
      <c r="G4401" s="27" t="n">
        <v>46239</v>
      </c>
      <c r="H4401" s="14" t="n">
        <v>525</v>
      </c>
      <c r="I4401" s="14" t="n">
        <v>0</v>
      </c>
      <c r="J4401" s="14" t="n">
        <v>63</v>
      </c>
      <c r="K4401" s="14" t="n">
        <v>0</v>
      </c>
      <c r="L4401" s="14" t="n">
        <v>0</v>
      </c>
      <c r="M4401" s="14">
        <f>IF(B4401="Frete de venda",0,(1-ISNUMBER(SEARCH("556",P4401)))*(I4401*VLOOKUP($B4401,Premissas!$A$4:$E$7,2,0)+J4401*VLOOKUP($B4401,Premissas!$A$4:$E$7,3,0))+K4401*VLOOKUP($B4401,Premissas!$A$4:$E$7,4,0)+L4401*VLOOKUP($B4401,Premissas!$A$4:$E$7,5,0))</f>
        <v/>
      </c>
      <c r="N4401" s="14">
        <f>H4401-M4401</f>
        <v/>
      </c>
      <c r="O4401" t="inlineStr">
        <is>
          <t>Não</t>
        </is>
      </c>
      <c r="P4401" t="inlineStr">
        <is>
          <t>1.350</t>
        </is>
      </c>
    </row>
    <row r="4402">
      <c r="A4402" s="24" t="n">
        <v>46235</v>
      </c>
      <c r="B4402" t="inlineStr">
        <is>
          <t>Frete de venda</t>
        </is>
      </c>
      <c r="C4402" t="inlineStr">
        <is>
          <t>Frete de venda (para clientes)</t>
        </is>
      </c>
      <c r="D4402" t="inlineStr">
        <is>
          <t>CT-e</t>
        </is>
      </c>
      <c r="E4402" t="inlineStr">
        <is>
          <t>000000138</t>
        </is>
      </c>
      <c r="F4402" t="inlineStr">
        <is>
          <t>DURA MAIS TRANSPORTES LTDA</t>
        </is>
      </c>
      <c r="G4402" s="27" t="n">
        <v>46239</v>
      </c>
      <c r="H4402" s="14" t="n">
        <v>525</v>
      </c>
      <c r="I4402" s="14" t="n">
        <v>0</v>
      </c>
      <c r="J4402" s="14" t="n">
        <v>63</v>
      </c>
      <c r="K4402" s="14" t="n">
        <v>0</v>
      </c>
      <c r="L4402" s="14" t="n">
        <v>0</v>
      </c>
      <c r="M4402" s="14">
        <f>IF(B4402="Frete de venda",0,(1-ISNUMBER(SEARCH("556",P4402)))*(I4402*VLOOKUP($B4402,Premissas!$A$4:$E$7,2,0)+J4402*VLOOKUP($B4402,Premissas!$A$4:$E$7,3,0))+K4402*VLOOKUP($B4402,Premissas!$A$4:$E$7,4,0)+L4402*VLOOKUP($B4402,Premissas!$A$4:$E$7,5,0))</f>
        <v/>
      </c>
      <c r="N4402" s="14">
        <f>H4402-M4402</f>
        <v/>
      </c>
      <c r="O4402" t="inlineStr">
        <is>
          <t>Não</t>
        </is>
      </c>
      <c r="P4402" t="inlineStr">
        <is>
          <t>1.350</t>
        </is>
      </c>
    </row>
    <row r="4403">
      <c r="A4403" s="24" t="n">
        <v>46235</v>
      </c>
      <c r="B4403" t="inlineStr">
        <is>
          <t>Frete de venda</t>
        </is>
      </c>
      <c r="C4403" t="inlineStr">
        <is>
          <t>Frete de venda (para clientes)</t>
        </is>
      </c>
      <c r="D4403" t="inlineStr">
        <is>
          <t>CT-e</t>
        </is>
      </c>
      <c r="E4403" t="inlineStr">
        <is>
          <t>000000413</t>
        </is>
      </c>
      <c r="F4403" t="inlineStr">
        <is>
          <t>DURA MAIS TRANSPORTES LTDA</t>
        </is>
      </c>
      <c r="G4403" s="27" t="n">
        <v>46262</v>
      </c>
      <c r="H4403" s="14" t="n">
        <v>464.06</v>
      </c>
      <c r="I4403" s="14" t="n">
        <v>0</v>
      </c>
      <c r="J4403" s="14" t="n">
        <v>55.69</v>
      </c>
      <c r="K4403" s="14" t="n">
        <v>0</v>
      </c>
      <c r="L4403" s="14" t="n">
        <v>0</v>
      </c>
      <c r="M4403" s="14">
        <f>IF(B4403="Frete de venda",0,(1-ISNUMBER(SEARCH("556",P4403)))*(I4403*VLOOKUP($B4403,Premissas!$A$4:$E$7,2,0)+J4403*VLOOKUP($B4403,Premissas!$A$4:$E$7,3,0))+K4403*VLOOKUP($B4403,Premissas!$A$4:$E$7,4,0)+L4403*VLOOKUP($B4403,Premissas!$A$4:$E$7,5,0))</f>
        <v/>
      </c>
      <c r="N4403" s="14">
        <f>H4403-M4403</f>
        <v/>
      </c>
      <c r="O4403" t="inlineStr">
        <is>
          <t>Sim</t>
        </is>
      </c>
      <c r="P4403" t="inlineStr">
        <is>
          <t>2.350</t>
        </is>
      </c>
    </row>
    <row r="4404">
      <c r="A4404" s="24" t="n">
        <v>46235</v>
      </c>
      <c r="B4404" t="inlineStr">
        <is>
          <t>Frete de venda</t>
        </is>
      </c>
      <c r="C4404" t="inlineStr">
        <is>
          <t>Frete de venda (para clientes)</t>
        </is>
      </c>
      <c r="D4404" t="inlineStr">
        <is>
          <t>CT-e</t>
        </is>
      </c>
      <c r="E4404" t="inlineStr">
        <is>
          <t>000000406</t>
        </is>
      </c>
      <c r="F4404" t="inlineStr">
        <is>
          <t>DURA MAIS TRANSPORTES LTDA</t>
        </is>
      </c>
      <c r="G4404" s="27" t="n">
        <v>46262</v>
      </c>
      <c r="H4404" s="14" t="n">
        <v>464.06</v>
      </c>
      <c r="I4404" s="14" t="n">
        <v>0</v>
      </c>
      <c r="J4404" s="14" t="n">
        <v>55.69</v>
      </c>
      <c r="K4404" s="14" t="n">
        <v>0</v>
      </c>
      <c r="L4404" s="14" t="n">
        <v>0</v>
      </c>
      <c r="M4404" s="14">
        <f>IF(B4404="Frete de venda",0,(1-ISNUMBER(SEARCH("556",P4404)))*(I4404*VLOOKUP($B4404,Premissas!$A$4:$E$7,2,0)+J4404*VLOOKUP($B4404,Premissas!$A$4:$E$7,3,0))+K4404*VLOOKUP($B4404,Premissas!$A$4:$E$7,4,0)+L4404*VLOOKUP($B4404,Premissas!$A$4:$E$7,5,0))</f>
        <v/>
      </c>
      <c r="N4404" s="14">
        <f>H4404-M4404</f>
        <v/>
      </c>
      <c r="O4404" t="inlineStr">
        <is>
          <t>Sim</t>
        </is>
      </c>
      <c r="P4404" t="inlineStr">
        <is>
          <t>2.350</t>
        </is>
      </c>
    </row>
    <row r="4405">
      <c r="A4405" s="24" t="n">
        <v>46235</v>
      </c>
      <c r="B4405" t="inlineStr">
        <is>
          <t>Frete de venda</t>
        </is>
      </c>
      <c r="C4405" t="inlineStr">
        <is>
          <t>Frete de venda (para clientes)</t>
        </is>
      </c>
      <c r="D4405" t="inlineStr">
        <is>
          <t>CT-e</t>
        </is>
      </c>
      <c r="E4405" t="inlineStr">
        <is>
          <t>000007830</t>
        </is>
      </c>
      <c r="F4405" t="inlineStr">
        <is>
          <t>R&amp;R TRANSPORTE E LOGISTICA</t>
        </is>
      </c>
      <c r="G4405" s="27" t="n">
        <v>46235</v>
      </c>
      <c r="H4405" s="14" t="n">
        <v>37.44</v>
      </c>
      <c r="I4405" s="14" t="n">
        <v>0</v>
      </c>
      <c r="J4405" s="14" t="n">
        <v>0</v>
      </c>
      <c r="K4405" s="14" t="n">
        <v>0</v>
      </c>
      <c r="L4405" s="14" t="n">
        <v>0</v>
      </c>
      <c r="M4405" s="14">
        <f>IF(B4405="Frete de venda",0,(1-ISNUMBER(SEARCH("556",P4405)))*(I4405*VLOOKUP($B4405,Premissas!$A$4:$E$7,2,0)+J4405*VLOOKUP($B4405,Premissas!$A$4:$E$7,3,0))+K4405*VLOOKUP($B4405,Premissas!$A$4:$E$7,4,0)+L4405*VLOOKUP($B4405,Premissas!$A$4:$E$7,5,0))</f>
        <v/>
      </c>
      <c r="N4405" s="14">
        <f>H4405-M4405</f>
        <v/>
      </c>
      <c r="O4405" t="inlineStr">
        <is>
          <t>Não</t>
        </is>
      </c>
      <c r="P4405" t="inlineStr">
        <is>
          <t>2.350</t>
        </is>
      </c>
    </row>
    <row r="4406">
      <c r="A4406" s="24" t="n">
        <v>46235</v>
      </c>
      <c r="B4406" t="inlineStr">
        <is>
          <t>Frete de venda</t>
        </is>
      </c>
      <c r="C4406" t="inlineStr">
        <is>
          <t>Frete de venda (para clientes)</t>
        </is>
      </c>
      <c r="D4406" t="inlineStr">
        <is>
          <t>CT-e</t>
        </is>
      </c>
      <c r="E4406" t="inlineStr">
        <is>
          <t>000000352</t>
        </is>
      </c>
      <c r="F4406" t="inlineStr">
        <is>
          <t>DURA MAIS TRANSPORTES LTDA</t>
        </is>
      </c>
      <c r="G4406" s="27" t="n">
        <v>46259</v>
      </c>
      <c r="H4406" s="14" t="n">
        <v>700</v>
      </c>
      <c r="I4406" s="14" t="n">
        <v>0</v>
      </c>
      <c r="J4406" s="14" t="n">
        <v>84</v>
      </c>
      <c r="K4406" s="14" t="n">
        <v>0</v>
      </c>
      <c r="L4406" s="14" t="n">
        <v>0</v>
      </c>
      <c r="M4406" s="14">
        <f>IF(B4406="Frete de venda",0,(1-ISNUMBER(SEARCH("556",P4406)))*(I4406*VLOOKUP($B4406,Premissas!$A$4:$E$7,2,0)+J4406*VLOOKUP($B4406,Premissas!$A$4:$E$7,3,0))+K4406*VLOOKUP($B4406,Premissas!$A$4:$E$7,4,0)+L4406*VLOOKUP($B4406,Premissas!$A$4:$E$7,5,0))</f>
        <v/>
      </c>
      <c r="N4406" s="14">
        <f>H4406-M4406</f>
        <v/>
      </c>
      <c r="O4406" t="inlineStr">
        <is>
          <t>Sim</t>
        </is>
      </c>
      <c r="P4406" t="inlineStr">
        <is>
          <t>2.350</t>
        </is>
      </c>
    </row>
    <row r="4407">
      <c r="A4407" s="24" t="n">
        <v>46235</v>
      </c>
      <c r="B4407" t="inlineStr">
        <is>
          <t>Frete de venda</t>
        </is>
      </c>
      <c r="C4407" t="inlineStr">
        <is>
          <t>Frete de venda (para clientes)</t>
        </is>
      </c>
      <c r="D4407" t="inlineStr">
        <is>
          <t>CT-e</t>
        </is>
      </c>
      <c r="E4407" t="inlineStr">
        <is>
          <t>000007829</t>
        </is>
      </c>
      <c r="F4407" t="inlineStr">
        <is>
          <t>R&amp;R TRANSPORTE E LOGISTICA</t>
        </is>
      </c>
      <c r="G4407" s="27" t="n">
        <v>46235</v>
      </c>
      <c r="H4407" s="14" t="n">
        <v>37.44</v>
      </c>
      <c r="I4407" s="14" t="n">
        <v>0</v>
      </c>
      <c r="J4407" s="14" t="n">
        <v>0</v>
      </c>
      <c r="K4407" s="14" t="n">
        <v>0</v>
      </c>
      <c r="L4407" s="14" t="n">
        <v>0</v>
      </c>
      <c r="M4407" s="14">
        <f>IF(B4407="Frete de venda",0,(1-ISNUMBER(SEARCH("556",P4407)))*(I4407*VLOOKUP($B4407,Premissas!$A$4:$E$7,2,0)+J4407*VLOOKUP($B4407,Premissas!$A$4:$E$7,3,0))+K4407*VLOOKUP($B4407,Premissas!$A$4:$E$7,4,0)+L4407*VLOOKUP($B4407,Premissas!$A$4:$E$7,5,0))</f>
        <v/>
      </c>
      <c r="N4407" s="14">
        <f>H4407-M4407</f>
        <v/>
      </c>
      <c r="O4407" t="inlineStr">
        <is>
          <t>Não</t>
        </is>
      </c>
      <c r="P4407" t="inlineStr">
        <is>
          <t>2.350</t>
        </is>
      </c>
    </row>
    <row r="4408">
      <c r="A4408" s="24" t="n">
        <v>46235</v>
      </c>
      <c r="B4408" t="inlineStr">
        <is>
          <t>Frete de venda</t>
        </is>
      </c>
      <c r="C4408" t="inlineStr">
        <is>
          <t>Frete de venda (para clientes)</t>
        </is>
      </c>
      <c r="D4408" t="inlineStr">
        <is>
          <t>CT-e</t>
        </is>
      </c>
      <c r="E4408" t="inlineStr">
        <is>
          <t>000007838</t>
        </is>
      </c>
      <c r="F4408" t="inlineStr">
        <is>
          <t>R&amp;R TRANSPORTE E LOGISTICA</t>
        </is>
      </c>
      <c r="G4408" s="27" t="n">
        <v>46235</v>
      </c>
      <c r="H4408" s="14" t="n">
        <v>37.44</v>
      </c>
      <c r="I4408" s="14" t="n">
        <v>0</v>
      </c>
      <c r="J4408" s="14" t="n">
        <v>0</v>
      </c>
      <c r="K4408" s="14" t="n">
        <v>0</v>
      </c>
      <c r="L4408" s="14" t="n">
        <v>0</v>
      </c>
      <c r="M4408" s="14">
        <f>IF(B4408="Frete de venda",0,(1-ISNUMBER(SEARCH("556",P4408)))*(I4408*VLOOKUP($B4408,Premissas!$A$4:$E$7,2,0)+J4408*VLOOKUP($B4408,Premissas!$A$4:$E$7,3,0))+K4408*VLOOKUP($B4408,Premissas!$A$4:$E$7,4,0)+L4408*VLOOKUP($B4408,Premissas!$A$4:$E$7,5,0))</f>
        <v/>
      </c>
      <c r="N4408" s="14">
        <f>H4408-M4408</f>
        <v/>
      </c>
      <c r="O4408" t="inlineStr">
        <is>
          <t>Não</t>
        </is>
      </c>
      <c r="P4408" t="inlineStr">
        <is>
          <t>2.350</t>
        </is>
      </c>
    </row>
    <row r="4409">
      <c r="A4409" s="24" t="n">
        <v>46235</v>
      </c>
      <c r="B4409" t="inlineStr">
        <is>
          <t>Frete de venda</t>
        </is>
      </c>
      <c r="C4409" t="inlineStr">
        <is>
          <t>Frete de venda (para clientes)</t>
        </is>
      </c>
      <c r="D4409" t="inlineStr">
        <is>
          <t>CT-e</t>
        </is>
      </c>
      <c r="E4409" t="inlineStr">
        <is>
          <t>000000217</t>
        </is>
      </c>
      <c r="F4409" t="inlineStr">
        <is>
          <t>DURA MAIS TRANSPORTES LTDA</t>
        </is>
      </c>
      <c r="G4409" s="27" t="n">
        <v>46249</v>
      </c>
      <c r="H4409" s="14" t="n">
        <v>408.55</v>
      </c>
      <c r="I4409" s="14" t="n">
        <v>0</v>
      </c>
      <c r="J4409" s="14" t="n">
        <v>49.03</v>
      </c>
      <c r="K4409" s="14" t="n">
        <v>0</v>
      </c>
      <c r="L4409" s="14" t="n">
        <v>0</v>
      </c>
      <c r="M4409" s="14">
        <f>IF(B4409="Frete de venda",0,(1-ISNUMBER(SEARCH("556",P4409)))*(I4409*VLOOKUP($B4409,Premissas!$A$4:$E$7,2,0)+J4409*VLOOKUP($B4409,Premissas!$A$4:$E$7,3,0))+K4409*VLOOKUP($B4409,Premissas!$A$4:$E$7,4,0)+L4409*VLOOKUP($B4409,Premissas!$A$4:$E$7,5,0))</f>
        <v/>
      </c>
      <c r="N4409" s="14">
        <f>H4409-M4409</f>
        <v/>
      </c>
      <c r="O4409" t="inlineStr">
        <is>
          <t>Sim</t>
        </is>
      </c>
      <c r="P4409" t="inlineStr">
        <is>
          <t>2.350</t>
        </is>
      </c>
    </row>
    <row r="4410">
      <c r="A4410" s="24" t="n">
        <v>46235</v>
      </c>
      <c r="B4410" t="inlineStr">
        <is>
          <t>Frete de venda</t>
        </is>
      </c>
      <c r="C4410" t="inlineStr">
        <is>
          <t>Frete de venda (para clientes)</t>
        </is>
      </c>
      <c r="D4410" t="inlineStr">
        <is>
          <t>CT-e</t>
        </is>
      </c>
      <c r="E4410" t="inlineStr">
        <is>
          <t>000000432</t>
        </is>
      </c>
      <c r="F4410" t="inlineStr">
        <is>
          <t>DURA MAIS TRANSPORTES LTDA</t>
        </is>
      </c>
      <c r="G4410" s="27" t="n">
        <v>46263</v>
      </c>
      <c r="H4410" s="14" t="n">
        <v>368.18</v>
      </c>
      <c r="I4410" s="14" t="n">
        <v>0</v>
      </c>
      <c r="J4410" s="14" t="n">
        <v>44.18</v>
      </c>
      <c r="K4410" s="14" t="n">
        <v>0</v>
      </c>
      <c r="L4410" s="14" t="n">
        <v>0</v>
      </c>
      <c r="M4410" s="14">
        <f>IF(B4410="Frete de venda",0,(1-ISNUMBER(SEARCH("556",P4410)))*(I4410*VLOOKUP($B4410,Premissas!$A$4:$E$7,2,0)+J4410*VLOOKUP($B4410,Premissas!$A$4:$E$7,3,0))+K4410*VLOOKUP($B4410,Premissas!$A$4:$E$7,4,0)+L4410*VLOOKUP($B4410,Premissas!$A$4:$E$7,5,0))</f>
        <v/>
      </c>
      <c r="N4410" s="14">
        <f>H4410-M4410</f>
        <v/>
      </c>
      <c r="O4410" t="inlineStr">
        <is>
          <t>Sim</t>
        </is>
      </c>
      <c r="P4410" t="inlineStr">
        <is>
          <t>2.350</t>
        </is>
      </c>
    </row>
    <row r="4411">
      <c r="A4411" s="24" t="n">
        <v>46235</v>
      </c>
      <c r="B4411" t="inlineStr">
        <is>
          <t>Frete de venda</t>
        </is>
      </c>
      <c r="C4411" t="inlineStr">
        <is>
          <t>Frete de venda (para clientes)</t>
        </is>
      </c>
      <c r="D4411" t="inlineStr">
        <is>
          <t>CT-e</t>
        </is>
      </c>
      <c r="E4411" t="inlineStr">
        <is>
          <t>000000342</t>
        </is>
      </c>
      <c r="F4411" t="inlineStr">
        <is>
          <t>DURA MAIS TRANSPORTES LTDA</t>
        </is>
      </c>
      <c r="G4411" s="27" t="n">
        <v>46259</v>
      </c>
      <c r="H4411" s="14" t="n">
        <v>700</v>
      </c>
      <c r="I4411" s="14" t="n">
        <v>0</v>
      </c>
      <c r="J4411" s="14" t="n">
        <v>84</v>
      </c>
      <c r="K4411" s="14" t="n">
        <v>0</v>
      </c>
      <c r="L4411" s="14" t="n">
        <v>0</v>
      </c>
      <c r="M4411" s="14">
        <f>IF(B4411="Frete de venda",0,(1-ISNUMBER(SEARCH("556",P4411)))*(I4411*VLOOKUP($B4411,Premissas!$A$4:$E$7,2,0)+J4411*VLOOKUP($B4411,Premissas!$A$4:$E$7,3,0))+K4411*VLOOKUP($B4411,Premissas!$A$4:$E$7,4,0)+L4411*VLOOKUP($B4411,Premissas!$A$4:$E$7,5,0))</f>
        <v/>
      </c>
      <c r="N4411" s="14">
        <f>H4411-M4411</f>
        <v/>
      </c>
      <c r="O4411" t="inlineStr">
        <is>
          <t>Sim</t>
        </is>
      </c>
      <c r="P4411" t="inlineStr">
        <is>
          <t>2.350</t>
        </is>
      </c>
    </row>
    <row r="4412">
      <c r="A4412" s="24" t="n">
        <v>46235</v>
      </c>
      <c r="B4412" t="inlineStr">
        <is>
          <t>Frete de venda</t>
        </is>
      </c>
      <c r="C4412" t="inlineStr">
        <is>
          <t>Frete de venda (para clientes)</t>
        </is>
      </c>
      <c r="D4412" t="inlineStr">
        <is>
          <t>CT-e</t>
        </is>
      </c>
      <c r="E4412" t="inlineStr">
        <is>
          <t>000000134</t>
        </is>
      </c>
      <c r="F4412" t="inlineStr">
        <is>
          <t>DURA MAIS TRANSPORTES LTDA</t>
        </is>
      </c>
      <c r="G4412" s="27" t="n">
        <v>46239</v>
      </c>
      <c r="H4412" s="14" t="n">
        <v>1050</v>
      </c>
      <c r="I4412" s="14" t="n">
        <v>0</v>
      </c>
      <c r="J4412" s="14" t="n">
        <v>126</v>
      </c>
      <c r="K4412" s="14" t="n">
        <v>0</v>
      </c>
      <c r="L4412" s="14" t="n">
        <v>0</v>
      </c>
      <c r="M4412" s="14">
        <f>IF(B4412="Frete de venda",0,(1-ISNUMBER(SEARCH("556",P4412)))*(I4412*VLOOKUP($B4412,Premissas!$A$4:$E$7,2,0)+J4412*VLOOKUP($B4412,Premissas!$A$4:$E$7,3,0))+K4412*VLOOKUP($B4412,Premissas!$A$4:$E$7,4,0)+L4412*VLOOKUP($B4412,Premissas!$A$4:$E$7,5,0))</f>
        <v/>
      </c>
      <c r="N4412" s="14">
        <f>H4412-M4412</f>
        <v/>
      </c>
      <c r="O4412" t="inlineStr">
        <is>
          <t>Não</t>
        </is>
      </c>
      <c r="P4412" t="inlineStr">
        <is>
          <t>1.350</t>
        </is>
      </c>
    </row>
    <row r="4413">
      <c r="A4413" s="24" t="n">
        <v>46235</v>
      </c>
      <c r="B4413" t="inlineStr">
        <is>
          <t>Frete de venda</t>
        </is>
      </c>
      <c r="C4413" t="inlineStr">
        <is>
          <t>Frete de venda (para clientes)</t>
        </is>
      </c>
      <c r="D4413" t="inlineStr">
        <is>
          <t>CT-e</t>
        </is>
      </c>
      <c r="E4413" t="inlineStr">
        <is>
          <t>000000182</t>
        </is>
      </c>
      <c r="F4413" t="inlineStr">
        <is>
          <t>DURA MAIS TRANSPORTES LTDA</t>
        </is>
      </c>
      <c r="G4413" s="27" t="n">
        <v>46246</v>
      </c>
      <c r="H4413" s="14" t="n">
        <v>560</v>
      </c>
      <c r="I4413" s="14" t="n">
        <v>0</v>
      </c>
      <c r="J4413" s="14" t="n">
        <v>67.2</v>
      </c>
      <c r="K4413" s="14" t="n">
        <v>0</v>
      </c>
      <c r="L4413" s="14" t="n">
        <v>0</v>
      </c>
      <c r="M4413" s="14">
        <f>IF(B4413="Frete de venda",0,(1-ISNUMBER(SEARCH("556",P4413)))*(I4413*VLOOKUP($B4413,Premissas!$A$4:$E$7,2,0)+J4413*VLOOKUP($B4413,Premissas!$A$4:$E$7,3,0))+K4413*VLOOKUP($B4413,Premissas!$A$4:$E$7,4,0)+L4413*VLOOKUP($B4413,Premissas!$A$4:$E$7,5,0))</f>
        <v/>
      </c>
      <c r="N4413" s="14">
        <f>H4413-M4413</f>
        <v/>
      </c>
      <c r="O4413" t="inlineStr">
        <is>
          <t>Sim</t>
        </is>
      </c>
      <c r="P4413" t="inlineStr">
        <is>
          <t>2.350</t>
        </is>
      </c>
    </row>
    <row r="4414">
      <c r="A4414" s="24" t="n">
        <v>46235</v>
      </c>
      <c r="B4414" t="inlineStr">
        <is>
          <t>Frete de venda</t>
        </is>
      </c>
      <c r="C4414" t="inlineStr">
        <is>
          <t>Frete de venda (para clientes)</t>
        </is>
      </c>
      <c r="D4414" t="inlineStr">
        <is>
          <t>CT-e</t>
        </is>
      </c>
      <c r="E4414" t="inlineStr">
        <is>
          <t>000000349</t>
        </is>
      </c>
      <c r="F4414" t="inlineStr">
        <is>
          <t>DURA MAIS TRANSPORTES LTDA</t>
        </is>
      </c>
      <c r="G4414" s="27" t="n">
        <v>46259</v>
      </c>
      <c r="H4414" s="14" t="n">
        <v>700</v>
      </c>
      <c r="I4414" s="14" t="n">
        <v>0</v>
      </c>
      <c r="J4414" s="14" t="n">
        <v>84</v>
      </c>
      <c r="K4414" s="14" t="n">
        <v>0</v>
      </c>
      <c r="L4414" s="14" t="n">
        <v>0</v>
      </c>
      <c r="M4414" s="14">
        <f>IF(B4414="Frete de venda",0,(1-ISNUMBER(SEARCH("556",P4414)))*(I4414*VLOOKUP($B4414,Premissas!$A$4:$E$7,2,0)+J4414*VLOOKUP($B4414,Premissas!$A$4:$E$7,3,0))+K4414*VLOOKUP($B4414,Premissas!$A$4:$E$7,4,0)+L4414*VLOOKUP($B4414,Premissas!$A$4:$E$7,5,0))</f>
        <v/>
      </c>
      <c r="N4414" s="14">
        <f>H4414-M4414</f>
        <v/>
      </c>
      <c r="O4414" t="inlineStr">
        <is>
          <t>Sim</t>
        </is>
      </c>
      <c r="P4414" t="inlineStr">
        <is>
          <t>2.350</t>
        </is>
      </c>
    </row>
    <row r="4415">
      <c r="A4415" s="24" t="n">
        <v>46235</v>
      </c>
      <c r="B4415" t="inlineStr">
        <is>
          <t>Frete de venda</t>
        </is>
      </c>
      <c r="C4415" t="inlineStr">
        <is>
          <t>Frete de venda (para clientes)</t>
        </is>
      </c>
      <c r="D4415" t="inlineStr">
        <is>
          <t>CT-e</t>
        </is>
      </c>
      <c r="E4415" t="inlineStr">
        <is>
          <t>000000272</t>
        </is>
      </c>
      <c r="F4415" t="inlineStr">
        <is>
          <t>DURA MAIS TRANSPORTES LTDA</t>
        </is>
      </c>
      <c r="G4415" s="27" t="n">
        <v>46254</v>
      </c>
      <c r="H4415" s="14" t="n">
        <v>1150</v>
      </c>
      <c r="I4415" s="14" t="n">
        <v>0</v>
      </c>
      <c r="J4415" s="14" t="n">
        <v>138</v>
      </c>
      <c r="K4415" s="14" t="n">
        <v>0</v>
      </c>
      <c r="L4415" s="14" t="n">
        <v>0</v>
      </c>
      <c r="M4415" s="14">
        <f>IF(B4415="Frete de venda",0,(1-ISNUMBER(SEARCH("556",P4415)))*(I4415*VLOOKUP($B4415,Premissas!$A$4:$E$7,2,0)+J4415*VLOOKUP($B4415,Premissas!$A$4:$E$7,3,0))+K4415*VLOOKUP($B4415,Premissas!$A$4:$E$7,4,0)+L4415*VLOOKUP($B4415,Premissas!$A$4:$E$7,5,0))</f>
        <v/>
      </c>
      <c r="N4415" s="14">
        <f>H4415-M4415</f>
        <v/>
      </c>
      <c r="O4415" t="inlineStr">
        <is>
          <t>Sim</t>
        </is>
      </c>
      <c r="P4415" t="inlineStr">
        <is>
          <t>2.350</t>
        </is>
      </c>
    </row>
    <row r="4416">
      <c r="A4416" s="24" t="n">
        <v>46235</v>
      </c>
      <c r="B4416" t="inlineStr">
        <is>
          <t>Frete de venda</t>
        </is>
      </c>
      <c r="C4416" t="inlineStr">
        <is>
          <t>Frete de venda (para clientes)</t>
        </is>
      </c>
      <c r="D4416" t="inlineStr">
        <is>
          <t>CT-e</t>
        </is>
      </c>
      <c r="E4416" t="inlineStr">
        <is>
          <t>000007948</t>
        </is>
      </c>
      <c r="F4416" t="inlineStr">
        <is>
          <t>R&amp;R TRANSPORTE E LOGISTICA</t>
        </is>
      </c>
      <c r="G4416" s="27" t="n">
        <v>46265</v>
      </c>
      <c r="H4416" s="14" t="n">
        <v>750</v>
      </c>
      <c r="I4416" s="14" t="n">
        <v>0</v>
      </c>
      <c r="J4416" s="14" t="n">
        <v>0</v>
      </c>
      <c r="K4416" s="14" t="n">
        <v>0</v>
      </c>
      <c r="L4416" s="14" t="n">
        <v>0</v>
      </c>
      <c r="M4416" s="14">
        <f>IF(B4416="Frete de venda",0,(1-ISNUMBER(SEARCH("556",P4416)))*(I4416*VLOOKUP($B4416,Premissas!$A$4:$E$7,2,0)+J4416*VLOOKUP($B4416,Premissas!$A$4:$E$7,3,0))+K4416*VLOOKUP($B4416,Premissas!$A$4:$E$7,4,0)+L4416*VLOOKUP($B4416,Premissas!$A$4:$E$7,5,0))</f>
        <v/>
      </c>
      <c r="N4416" s="14">
        <f>H4416-M4416</f>
        <v/>
      </c>
      <c r="O4416" t="inlineStr">
        <is>
          <t>Sim</t>
        </is>
      </c>
      <c r="P4416" t="inlineStr">
        <is>
          <t>2.350</t>
        </is>
      </c>
    </row>
    <row r="4417">
      <c r="A4417" s="24" t="n">
        <v>46235</v>
      </c>
      <c r="B4417" t="inlineStr">
        <is>
          <t>Frete de venda</t>
        </is>
      </c>
      <c r="C4417" t="inlineStr">
        <is>
          <t>Frete de venda (para clientes)</t>
        </is>
      </c>
      <c r="D4417" t="inlineStr">
        <is>
          <t>CT-e</t>
        </is>
      </c>
      <c r="E4417" t="inlineStr">
        <is>
          <t>000000354</t>
        </is>
      </c>
      <c r="F4417" t="inlineStr">
        <is>
          <t>DURA MAIS TRANSPORTES LTDA</t>
        </is>
      </c>
      <c r="G4417" s="27" t="n">
        <v>46259</v>
      </c>
      <c r="H4417" s="14" t="n">
        <v>700</v>
      </c>
      <c r="I4417" s="14" t="n">
        <v>0</v>
      </c>
      <c r="J4417" s="14" t="n">
        <v>84</v>
      </c>
      <c r="K4417" s="14" t="n">
        <v>0</v>
      </c>
      <c r="L4417" s="14" t="n">
        <v>0</v>
      </c>
      <c r="M4417" s="14">
        <f>IF(B4417="Frete de venda",0,(1-ISNUMBER(SEARCH("556",P4417)))*(I4417*VLOOKUP($B4417,Premissas!$A$4:$E$7,2,0)+J4417*VLOOKUP($B4417,Premissas!$A$4:$E$7,3,0))+K4417*VLOOKUP($B4417,Premissas!$A$4:$E$7,4,0)+L4417*VLOOKUP($B4417,Premissas!$A$4:$E$7,5,0))</f>
        <v/>
      </c>
      <c r="N4417" s="14">
        <f>H4417-M4417</f>
        <v/>
      </c>
      <c r="O4417" t="inlineStr">
        <is>
          <t>Sim</t>
        </is>
      </c>
      <c r="P4417" t="inlineStr">
        <is>
          <t>2.350</t>
        </is>
      </c>
    </row>
    <row r="4418">
      <c r="A4418" s="24" t="n">
        <v>46235</v>
      </c>
      <c r="B4418" t="inlineStr">
        <is>
          <t>Frete de venda</t>
        </is>
      </c>
      <c r="C4418" t="inlineStr">
        <is>
          <t>Frete de venda (para clientes)</t>
        </is>
      </c>
      <c r="D4418" t="inlineStr">
        <is>
          <t>CT-e</t>
        </is>
      </c>
      <c r="E4418" t="inlineStr">
        <is>
          <t>000000442</t>
        </is>
      </c>
      <c r="F4418" t="inlineStr">
        <is>
          <t>DURA MAIS TRANSPORTES LTDA</t>
        </is>
      </c>
      <c r="G4418" s="27" t="n">
        <v>46263</v>
      </c>
      <c r="H4418" s="14" t="n">
        <v>368.18</v>
      </c>
      <c r="I4418" s="14" t="n">
        <v>0</v>
      </c>
      <c r="J4418" s="14" t="n">
        <v>44.18</v>
      </c>
      <c r="K4418" s="14" t="n">
        <v>0</v>
      </c>
      <c r="L4418" s="14" t="n">
        <v>0</v>
      </c>
      <c r="M4418" s="14">
        <f>IF(B4418="Frete de venda",0,(1-ISNUMBER(SEARCH("556",P4418)))*(I4418*VLOOKUP($B4418,Premissas!$A$4:$E$7,2,0)+J4418*VLOOKUP($B4418,Premissas!$A$4:$E$7,3,0))+K4418*VLOOKUP($B4418,Premissas!$A$4:$E$7,4,0)+L4418*VLOOKUP($B4418,Premissas!$A$4:$E$7,5,0))</f>
        <v/>
      </c>
      <c r="N4418" s="14">
        <f>H4418-M4418</f>
        <v/>
      </c>
      <c r="O4418" t="inlineStr">
        <is>
          <t>Sim</t>
        </is>
      </c>
      <c r="P4418" t="inlineStr">
        <is>
          <t>2.350</t>
        </is>
      </c>
    </row>
    <row r="4419">
      <c r="A4419" s="24" t="n">
        <v>46235</v>
      </c>
      <c r="B4419" t="inlineStr">
        <is>
          <t>Frete de venda</t>
        </is>
      </c>
      <c r="C4419" t="inlineStr">
        <is>
          <t>Frete de venda (para clientes)</t>
        </is>
      </c>
      <c r="D4419" t="inlineStr">
        <is>
          <t>CT-e</t>
        </is>
      </c>
      <c r="E4419" t="inlineStr">
        <is>
          <t>000046801</t>
        </is>
      </c>
      <c r="F4419" t="inlineStr">
        <is>
          <t>TRANSFORRECHI TRANSPORTES LTDA</t>
        </is>
      </c>
      <c r="G4419" s="27" t="n">
        <v>46261</v>
      </c>
      <c r="H4419" s="14" t="n">
        <v>980</v>
      </c>
      <c r="I4419" s="14" t="n">
        <v>0</v>
      </c>
      <c r="J4419" s="14" t="n">
        <v>117.6</v>
      </c>
      <c r="K4419" s="14" t="n">
        <v>0</v>
      </c>
      <c r="L4419" s="14" t="n">
        <v>0</v>
      </c>
      <c r="M4419" s="14">
        <f>IF(B4419="Frete de venda",0,(1-ISNUMBER(SEARCH("556",P4419)))*(I4419*VLOOKUP($B4419,Premissas!$A$4:$E$7,2,0)+J4419*VLOOKUP($B4419,Premissas!$A$4:$E$7,3,0))+K4419*VLOOKUP($B4419,Premissas!$A$4:$E$7,4,0)+L4419*VLOOKUP($B4419,Premissas!$A$4:$E$7,5,0))</f>
        <v/>
      </c>
      <c r="N4419" s="14">
        <f>H4419-M4419</f>
        <v/>
      </c>
      <c r="O4419" t="inlineStr">
        <is>
          <t>Sim</t>
        </is>
      </c>
      <c r="P4419" t="inlineStr">
        <is>
          <t>2.350</t>
        </is>
      </c>
    </row>
    <row r="4420">
      <c r="A4420" s="24" t="n">
        <v>46235</v>
      </c>
      <c r="B4420" t="inlineStr">
        <is>
          <t>Frete de venda</t>
        </is>
      </c>
      <c r="C4420" t="inlineStr">
        <is>
          <t>Frete de venda (para clientes)</t>
        </is>
      </c>
      <c r="D4420" t="inlineStr">
        <is>
          <t>CT-e</t>
        </is>
      </c>
      <c r="E4420" t="inlineStr">
        <is>
          <t>000000280</t>
        </is>
      </c>
      <c r="F4420" t="inlineStr">
        <is>
          <t>DURA MAIS TRANSPORTES LTDA</t>
        </is>
      </c>
      <c r="G4420" s="27" t="n">
        <v>46254</v>
      </c>
      <c r="H4420" s="14" t="n">
        <v>1150</v>
      </c>
      <c r="I4420" s="14" t="n">
        <v>0</v>
      </c>
      <c r="J4420" s="14" t="n">
        <v>138</v>
      </c>
      <c r="K4420" s="14" t="n">
        <v>0</v>
      </c>
      <c r="L4420" s="14" t="n">
        <v>0</v>
      </c>
      <c r="M4420" s="14">
        <f>IF(B4420="Frete de venda",0,(1-ISNUMBER(SEARCH("556",P4420)))*(I4420*VLOOKUP($B4420,Premissas!$A$4:$E$7,2,0)+J4420*VLOOKUP($B4420,Premissas!$A$4:$E$7,3,0))+K4420*VLOOKUP($B4420,Premissas!$A$4:$E$7,4,0)+L4420*VLOOKUP($B4420,Premissas!$A$4:$E$7,5,0))</f>
        <v/>
      </c>
      <c r="N4420" s="14">
        <f>H4420-M4420</f>
        <v/>
      </c>
      <c r="O4420" t="inlineStr">
        <is>
          <t>Sim</t>
        </is>
      </c>
      <c r="P4420" t="inlineStr">
        <is>
          <t>2.350</t>
        </is>
      </c>
    </row>
    <row r="4421">
      <c r="A4421" s="24" t="n">
        <v>46235</v>
      </c>
      <c r="B4421" t="inlineStr">
        <is>
          <t>Frete de venda</t>
        </is>
      </c>
      <c r="C4421" t="inlineStr">
        <is>
          <t>Frete de venda (para clientes)</t>
        </is>
      </c>
      <c r="D4421" t="inlineStr">
        <is>
          <t>CT-e</t>
        </is>
      </c>
      <c r="E4421" t="inlineStr">
        <is>
          <t>000025379</t>
        </is>
      </c>
      <c r="F4421" t="inlineStr">
        <is>
          <t>TRANSPORTE OLIVEIRA E MELLOI - IDEALIZA TRANSPORTES</t>
        </is>
      </c>
      <c r="G4421" s="27" t="n">
        <v>46256</v>
      </c>
      <c r="H4421" s="14" t="n">
        <v>393.83</v>
      </c>
      <c r="I4421" s="14" t="n">
        <v>0</v>
      </c>
      <c r="J4421" s="14" t="n">
        <v>47.26</v>
      </c>
      <c r="K4421" s="14" t="n">
        <v>0</v>
      </c>
      <c r="L4421" s="14" t="n">
        <v>0</v>
      </c>
      <c r="M4421" s="14">
        <f>IF(B4421="Frete de venda",0,(1-ISNUMBER(SEARCH("556",P4421)))*(I4421*VLOOKUP($B4421,Premissas!$A$4:$E$7,2,0)+J4421*VLOOKUP($B4421,Premissas!$A$4:$E$7,3,0))+K4421*VLOOKUP($B4421,Premissas!$A$4:$E$7,4,0)+L4421*VLOOKUP($B4421,Premissas!$A$4:$E$7,5,0))</f>
        <v/>
      </c>
      <c r="N4421" s="14">
        <f>H4421-M4421</f>
        <v/>
      </c>
      <c r="O4421" t="inlineStr">
        <is>
          <t>Sim</t>
        </is>
      </c>
      <c r="P4421" t="inlineStr">
        <is>
          <t>2.350</t>
        </is>
      </c>
    </row>
    <row r="4422">
      <c r="A4422" s="24" t="n">
        <v>46235</v>
      </c>
      <c r="B4422" t="inlineStr">
        <is>
          <t>Frete de venda</t>
        </is>
      </c>
      <c r="C4422" t="inlineStr">
        <is>
          <t>Frete de venda (para clientes)</t>
        </is>
      </c>
      <c r="D4422" t="inlineStr">
        <is>
          <t>CT-e</t>
        </is>
      </c>
      <c r="E4422" t="inlineStr">
        <is>
          <t>000000309</t>
        </is>
      </c>
      <c r="F4422" t="inlineStr">
        <is>
          <t>DURA MAIS TRANSPORTES LTDA</t>
        </is>
      </c>
      <c r="G4422" s="27" t="n">
        <v>46255</v>
      </c>
      <c r="H4422" s="14" t="n">
        <v>1080</v>
      </c>
      <c r="I4422" s="14" t="n">
        <v>0</v>
      </c>
      <c r="J4422" s="14" t="n">
        <v>129.6</v>
      </c>
      <c r="K4422" s="14" t="n">
        <v>0</v>
      </c>
      <c r="L4422" s="14" t="n">
        <v>0</v>
      </c>
      <c r="M4422" s="14">
        <f>IF(B4422="Frete de venda",0,(1-ISNUMBER(SEARCH("556",P4422)))*(I4422*VLOOKUP($B4422,Premissas!$A$4:$E$7,2,0)+J4422*VLOOKUP($B4422,Premissas!$A$4:$E$7,3,0))+K4422*VLOOKUP($B4422,Premissas!$A$4:$E$7,4,0)+L4422*VLOOKUP($B4422,Premissas!$A$4:$E$7,5,0))</f>
        <v/>
      </c>
      <c r="N4422" s="14">
        <f>H4422-M4422</f>
        <v/>
      </c>
      <c r="O4422" t="inlineStr">
        <is>
          <t>Sim</t>
        </is>
      </c>
      <c r="P4422" t="inlineStr">
        <is>
          <t>2.350</t>
        </is>
      </c>
    </row>
    <row r="4423">
      <c r="A4423" s="24" t="n">
        <v>46235</v>
      </c>
      <c r="B4423" t="inlineStr">
        <is>
          <t>Frete de venda</t>
        </is>
      </c>
      <c r="C4423" t="inlineStr">
        <is>
          <t>Frete de venda (para clientes)</t>
        </is>
      </c>
      <c r="D4423" t="inlineStr">
        <is>
          <t>CT-e</t>
        </is>
      </c>
      <c r="E4423" t="inlineStr">
        <is>
          <t>000000213</t>
        </is>
      </c>
      <c r="F4423" t="inlineStr">
        <is>
          <t>DURA MAIS TRANSPORTES LTDA</t>
        </is>
      </c>
      <c r="G4423" s="27" t="n">
        <v>46249</v>
      </c>
      <c r="H4423" s="14" t="n">
        <v>408.55</v>
      </c>
      <c r="I4423" s="14" t="n">
        <v>0</v>
      </c>
      <c r="J4423" s="14" t="n">
        <v>49.03</v>
      </c>
      <c r="K4423" s="14" t="n">
        <v>0</v>
      </c>
      <c r="L4423" s="14" t="n">
        <v>0</v>
      </c>
      <c r="M4423" s="14">
        <f>IF(B4423="Frete de venda",0,(1-ISNUMBER(SEARCH("556",P4423)))*(I4423*VLOOKUP($B4423,Premissas!$A$4:$E$7,2,0)+J4423*VLOOKUP($B4423,Premissas!$A$4:$E$7,3,0))+K4423*VLOOKUP($B4423,Premissas!$A$4:$E$7,4,0)+L4423*VLOOKUP($B4423,Premissas!$A$4:$E$7,5,0))</f>
        <v/>
      </c>
      <c r="N4423" s="14">
        <f>H4423-M4423</f>
        <v/>
      </c>
      <c r="O4423" t="inlineStr">
        <is>
          <t>Sim</t>
        </is>
      </c>
      <c r="P4423" t="inlineStr">
        <is>
          <t>2.350</t>
        </is>
      </c>
    </row>
    <row r="4424">
      <c r="A4424" s="24" t="n">
        <v>46235</v>
      </c>
      <c r="B4424" t="inlineStr">
        <is>
          <t>Frete de venda</t>
        </is>
      </c>
      <c r="C4424" t="inlineStr">
        <is>
          <t>Frete de venda (para clientes)</t>
        </is>
      </c>
      <c r="D4424" t="inlineStr">
        <is>
          <t>CT-e</t>
        </is>
      </c>
      <c r="E4424" t="inlineStr">
        <is>
          <t>000000226</t>
        </is>
      </c>
      <c r="F4424" t="inlineStr">
        <is>
          <t>DURA MAIS TRANSPORTES LTDA</t>
        </is>
      </c>
      <c r="G4424" s="27" t="n">
        <v>46249</v>
      </c>
      <c r="H4424" s="14" t="n">
        <v>817.1</v>
      </c>
      <c r="I4424" s="14" t="n">
        <v>0</v>
      </c>
      <c r="J4424" s="14" t="n">
        <v>98.05</v>
      </c>
      <c r="K4424" s="14" t="n">
        <v>0</v>
      </c>
      <c r="L4424" s="14" t="n">
        <v>0</v>
      </c>
      <c r="M4424" s="14">
        <f>IF(B4424="Frete de venda",0,(1-ISNUMBER(SEARCH("556",P4424)))*(I4424*VLOOKUP($B4424,Premissas!$A$4:$E$7,2,0)+J4424*VLOOKUP($B4424,Premissas!$A$4:$E$7,3,0))+K4424*VLOOKUP($B4424,Premissas!$A$4:$E$7,4,0)+L4424*VLOOKUP($B4424,Premissas!$A$4:$E$7,5,0))</f>
        <v/>
      </c>
      <c r="N4424" s="14">
        <f>H4424-M4424</f>
        <v/>
      </c>
      <c r="O4424" t="inlineStr">
        <is>
          <t>Sim</t>
        </is>
      </c>
      <c r="P4424" t="inlineStr">
        <is>
          <t>2.350</t>
        </is>
      </c>
    </row>
    <row r="4425">
      <c r="A4425" s="24" t="n">
        <v>46235</v>
      </c>
      <c r="B4425" t="inlineStr">
        <is>
          <t>Frete de venda</t>
        </is>
      </c>
      <c r="C4425" t="inlineStr">
        <is>
          <t>Frete de venda (para clientes)</t>
        </is>
      </c>
      <c r="D4425" t="inlineStr">
        <is>
          <t>CT-e</t>
        </is>
      </c>
      <c r="E4425" t="inlineStr">
        <is>
          <t>000046578</t>
        </is>
      </c>
      <c r="F4425" t="inlineStr">
        <is>
          <t>TRANSFORRECHI TRANSPORTES LTDA</t>
        </is>
      </c>
      <c r="G4425" s="27" t="n">
        <v>46248</v>
      </c>
      <c r="H4425" s="14" t="n">
        <v>520</v>
      </c>
      <c r="I4425" s="14" t="n">
        <v>0</v>
      </c>
      <c r="J4425" s="14" t="n">
        <v>62.4</v>
      </c>
      <c r="K4425" s="14" t="n">
        <v>0</v>
      </c>
      <c r="L4425" s="14" t="n">
        <v>0</v>
      </c>
      <c r="M4425" s="14">
        <f>IF(B4425="Frete de venda",0,(1-ISNUMBER(SEARCH("556",P4425)))*(I4425*VLOOKUP($B4425,Premissas!$A$4:$E$7,2,0)+J4425*VLOOKUP($B4425,Premissas!$A$4:$E$7,3,0))+K4425*VLOOKUP($B4425,Premissas!$A$4:$E$7,4,0)+L4425*VLOOKUP($B4425,Premissas!$A$4:$E$7,5,0))</f>
        <v/>
      </c>
      <c r="N4425" s="14">
        <f>H4425-M4425</f>
        <v/>
      </c>
      <c r="O4425" t="inlineStr">
        <is>
          <t>Sim</t>
        </is>
      </c>
      <c r="P4425" t="inlineStr">
        <is>
          <t>2.350</t>
        </is>
      </c>
    </row>
    <row r="4426">
      <c r="A4426" s="24" t="n">
        <v>46235</v>
      </c>
      <c r="B4426" t="inlineStr">
        <is>
          <t>Frete de venda</t>
        </is>
      </c>
      <c r="C4426" t="inlineStr">
        <is>
          <t>Frete de venda (para clientes)</t>
        </is>
      </c>
      <c r="D4426" t="inlineStr">
        <is>
          <t>CT-e</t>
        </is>
      </c>
      <c r="E4426" t="inlineStr">
        <is>
          <t>000000312</t>
        </is>
      </c>
      <c r="F4426" t="inlineStr">
        <is>
          <t>DURA MAIS TRANSPORTES LTDA</t>
        </is>
      </c>
      <c r="G4426" s="27" t="n">
        <v>46255</v>
      </c>
      <c r="H4426" s="14" t="n">
        <v>1080</v>
      </c>
      <c r="I4426" s="14" t="n">
        <v>0</v>
      </c>
      <c r="J4426" s="14" t="n">
        <v>129.6</v>
      </c>
      <c r="K4426" s="14" t="n">
        <v>0</v>
      </c>
      <c r="L4426" s="14" t="n">
        <v>0</v>
      </c>
      <c r="M4426" s="14">
        <f>IF(B4426="Frete de venda",0,(1-ISNUMBER(SEARCH("556",P4426)))*(I4426*VLOOKUP($B4426,Premissas!$A$4:$E$7,2,0)+J4426*VLOOKUP($B4426,Premissas!$A$4:$E$7,3,0))+K4426*VLOOKUP($B4426,Premissas!$A$4:$E$7,4,0)+L4426*VLOOKUP($B4426,Premissas!$A$4:$E$7,5,0))</f>
        <v/>
      </c>
      <c r="N4426" s="14">
        <f>H4426-M4426</f>
        <v/>
      </c>
      <c r="O4426" t="inlineStr">
        <is>
          <t>Sim</t>
        </is>
      </c>
      <c r="P4426" t="inlineStr">
        <is>
          <t>2.350</t>
        </is>
      </c>
    </row>
    <row r="4427">
      <c r="A4427" s="24" t="n">
        <v>46235</v>
      </c>
      <c r="B4427" t="inlineStr">
        <is>
          <t>Frete de venda</t>
        </is>
      </c>
      <c r="C4427" t="inlineStr">
        <is>
          <t>Frete de venda (para clientes)</t>
        </is>
      </c>
      <c r="D4427" t="inlineStr">
        <is>
          <t>CT-e</t>
        </is>
      </c>
      <c r="E4427" t="inlineStr">
        <is>
          <t>000000313</t>
        </is>
      </c>
      <c r="F4427" t="inlineStr">
        <is>
          <t>DURA MAIS TRANSPORTES LTDA</t>
        </is>
      </c>
      <c r="G4427" s="27" t="n">
        <v>46255</v>
      </c>
      <c r="H4427" s="14" t="n">
        <v>9000</v>
      </c>
      <c r="I4427" s="14" t="n">
        <v>0</v>
      </c>
      <c r="J4427" s="14" t="n">
        <v>1080</v>
      </c>
      <c r="K4427" s="14" t="n">
        <v>0</v>
      </c>
      <c r="L4427" s="14" t="n">
        <v>0</v>
      </c>
      <c r="M4427" s="14">
        <f>IF(B4427="Frete de venda",0,(1-ISNUMBER(SEARCH("556",P4427)))*(I4427*VLOOKUP($B4427,Premissas!$A$4:$E$7,2,0)+J4427*VLOOKUP($B4427,Premissas!$A$4:$E$7,3,0))+K4427*VLOOKUP($B4427,Premissas!$A$4:$E$7,4,0)+L4427*VLOOKUP($B4427,Premissas!$A$4:$E$7,5,0))</f>
        <v/>
      </c>
      <c r="N4427" s="14">
        <f>H4427-M4427</f>
        <v/>
      </c>
      <c r="O4427" t="inlineStr">
        <is>
          <t>Sim</t>
        </is>
      </c>
      <c r="P4427" t="inlineStr">
        <is>
          <t>2.350</t>
        </is>
      </c>
    </row>
    <row r="4428">
      <c r="A4428" s="24" t="n">
        <v>46235</v>
      </c>
      <c r="B4428" t="inlineStr">
        <is>
          <t>Frete de venda</t>
        </is>
      </c>
      <c r="C4428" t="inlineStr">
        <is>
          <t>Frete de venda (para clientes)</t>
        </is>
      </c>
      <c r="D4428" t="inlineStr">
        <is>
          <t>CT-e</t>
        </is>
      </c>
      <c r="E4428" t="inlineStr">
        <is>
          <t>000000214</t>
        </is>
      </c>
      <c r="F4428" t="inlineStr">
        <is>
          <t>DURA MAIS TRANSPORTES LTDA</t>
        </is>
      </c>
      <c r="G4428" s="27" t="n">
        <v>46249</v>
      </c>
      <c r="H4428" s="14" t="n">
        <v>408.55</v>
      </c>
      <c r="I4428" s="14" t="n">
        <v>0</v>
      </c>
      <c r="J4428" s="14" t="n">
        <v>49.03</v>
      </c>
      <c r="K4428" s="14" t="n">
        <v>0</v>
      </c>
      <c r="L4428" s="14" t="n">
        <v>0</v>
      </c>
      <c r="M4428" s="14">
        <f>IF(B4428="Frete de venda",0,(1-ISNUMBER(SEARCH("556",P4428)))*(I4428*VLOOKUP($B4428,Premissas!$A$4:$E$7,2,0)+J4428*VLOOKUP($B4428,Premissas!$A$4:$E$7,3,0))+K4428*VLOOKUP($B4428,Premissas!$A$4:$E$7,4,0)+L4428*VLOOKUP($B4428,Premissas!$A$4:$E$7,5,0))</f>
        <v/>
      </c>
      <c r="N4428" s="14">
        <f>H4428-M4428</f>
        <v/>
      </c>
      <c r="O4428" t="inlineStr">
        <is>
          <t>Sim</t>
        </is>
      </c>
      <c r="P4428" t="inlineStr">
        <is>
          <t>2.350</t>
        </is>
      </c>
    </row>
    <row r="4429">
      <c r="A4429" s="24" t="n">
        <v>46235</v>
      </c>
      <c r="B4429" t="inlineStr">
        <is>
          <t>Frete de venda</t>
        </is>
      </c>
      <c r="C4429" t="inlineStr">
        <is>
          <t>Frete de venda (para clientes)</t>
        </is>
      </c>
      <c r="D4429" t="inlineStr">
        <is>
          <t>CT-e</t>
        </is>
      </c>
      <c r="E4429" t="inlineStr">
        <is>
          <t>000007844</t>
        </is>
      </c>
      <c r="F4429" t="inlineStr">
        <is>
          <t>R&amp;R TRANSPORTE E LOGISTICA</t>
        </is>
      </c>
      <c r="G4429" s="27" t="n">
        <v>46235</v>
      </c>
      <c r="H4429" s="14" t="n">
        <v>37.44</v>
      </c>
      <c r="I4429" s="14" t="n">
        <v>0</v>
      </c>
      <c r="J4429" s="14" t="n">
        <v>0</v>
      </c>
      <c r="K4429" s="14" t="n">
        <v>0</v>
      </c>
      <c r="L4429" s="14" t="n">
        <v>0</v>
      </c>
      <c r="M4429" s="14">
        <f>IF(B4429="Frete de venda",0,(1-ISNUMBER(SEARCH("556",P4429)))*(I4429*VLOOKUP($B4429,Premissas!$A$4:$E$7,2,0)+J4429*VLOOKUP($B4429,Premissas!$A$4:$E$7,3,0))+K4429*VLOOKUP($B4429,Premissas!$A$4:$E$7,4,0)+L4429*VLOOKUP($B4429,Premissas!$A$4:$E$7,5,0))</f>
        <v/>
      </c>
      <c r="N4429" s="14">
        <f>H4429-M4429</f>
        <v/>
      </c>
      <c r="O4429" t="inlineStr">
        <is>
          <t>Não</t>
        </is>
      </c>
      <c r="P4429" t="inlineStr">
        <is>
          <t>2.350</t>
        </is>
      </c>
    </row>
    <row r="4430">
      <c r="A4430" s="24" t="n">
        <v>46235</v>
      </c>
      <c r="B4430" t="inlineStr">
        <is>
          <t>Frete de venda</t>
        </is>
      </c>
      <c r="C4430" t="inlineStr">
        <is>
          <t>Frete de venda (para clientes)</t>
        </is>
      </c>
      <c r="D4430" t="inlineStr">
        <is>
          <t>CT-e</t>
        </is>
      </c>
      <c r="E4430" t="inlineStr">
        <is>
          <t>000046799</t>
        </is>
      </c>
      <c r="F4430" t="inlineStr">
        <is>
          <t>TRANSFORRECHI TRANSPORTES LTDA</t>
        </is>
      </c>
      <c r="G4430" s="27" t="n">
        <v>46261</v>
      </c>
      <c r="H4430" s="14" t="n">
        <v>560</v>
      </c>
      <c r="I4430" s="14" t="n">
        <v>0</v>
      </c>
      <c r="J4430" s="14" t="n">
        <v>67.2</v>
      </c>
      <c r="K4430" s="14" t="n">
        <v>0</v>
      </c>
      <c r="L4430" s="14" t="n">
        <v>0</v>
      </c>
      <c r="M4430" s="14">
        <f>IF(B4430="Frete de venda",0,(1-ISNUMBER(SEARCH("556",P4430)))*(I4430*VLOOKUP($B4430,Premissas!$A$4:$E$7,2,0)+J4430*VLOOKUP($B4430,Premissas!$A$4:$E$7,3,0))+K4430*VLOOKUP($B4430,Premissas!$A$4:$E$7,4,0)+L4430*VLOOKUP($B4430,Premissas!$A$4:$E$7,5,0))</f>
        <v/>
      </c>
      <c r="N4430" s="14">
        <f>H4430-M4430</f>
        <v/>
      </c>
      <c r="O4430" t="inlineStr">
        <is>
          <t>Sim</t>
        </is>
      </c>
      <c r="P4430" t="inlineStr">
        <is>
          <t>2.350</t>
        </is>
      </c>
    </row>
    <row r="4431">
      <c r="A4431" s="24" t="n">
        <v>46235</v>
      </c>
      <c r="B4431" t="inlineStr">
        <is>
          <t>Frete de venda</t>
        </is>
      </c>
      <c r="C4431" t="inlineStr">
        <is>
          <t>Frete de venda (para clientes)</t>
        </is>
      </c>
      <c r="D4431" t="inlineStr">
        <is>
          <t>CT-e</t>
        </is>
      </c>
      <c r="E4431" t="inlineStr">
        <is>
          <t>000007848</t>
        </is>
      </c>
      <c r="F4431" t="inlineStr">
        <is>
          <t>R&amp;R TRANSPORTE E LOGISTICA</t>
        </is>
      </c>
      <c r="G4431" s="27" t="n">
        <v>46235</v>
      </c>
      <c r="H4431" s="14" t="n">
        <v>37.44</v>
      </c>
      <c r="I4431" s="14" t="n">
        <v>0</v>
      </c>
      <c r="J4431" s="14" t="n">
        <v>0</v>
      </c>
      <c r="K4431" s="14" t="n">
        <v>0</v>
      </c>
      <c r="L4431" s="14" t="n">
        <v>0</v>
      </c>
      <c r="M4431" s="14">
        <f>IF(B4431="Frete de venda",0,(1-ISNUMBER(SEARCH("556",P4431)))*(I4431*VLOOKUP($B4431,Premissas!$A$4:$E$7,2,0)+J4431*VLOOKUP($B4431,Premissas!$A$4:$E$7,3,0))+K4431*VLOOKUP($B4431,Premissas!$A$4:$E$7,4,0)+L4431*VLOOKUP($B4431,Premissas!$A$4:$E$7,5,0))</f>
        <v/>
      </c>
      <c r="N4431" s="14">
        <f>H4431-M4431</f>
        <v/>
      </c>
      <c r="O4431" t="inlineStr">
        <is>
          <t>Não</t>
        </is>
      </c>
      <c r="P4431" t="inlineStr">
        <is>
          <t>2.350</t>
        </is>
      </c>
    </row>
    <row r="4432">
      <c r="A4432" s="24" t="n">
        <v>46235</v>
      </c>
      <c r="B4432" t="inlineStr">
        <is>
          <t>Frete de venda</t>
        </is>
      </c>
      <c r="C4432" t="inlineStr">
        <is>
          <t>Frete de venda (para clientes)</t>
        </is>
      </c>
      <c r="D4432" t="inlineStr">
        <is>
          <t>CT-e</t>
        </is>
      </c>
      <c r="E4432" t="inlineStr">
        <is>
          <t>000000412</t>
        </is>
      </c>
      <c r="F4432" t="inlineStr">
        <is>
          <t>DURA MAIS TRANSPORTES LTDA</t>
        </is>
      </c>
      <c r="G4432" s="27" t="n">
        <v>46262</v>
      </c>
      <c r="H4432" s="14" t="n">
        <v>464.06</v>
      </c>
      <c r="I4432" s="14" t="n">
        <v>0</v>
      </c>
      <c r="J4432" s="14" t="n">
        <v>55.69</v>
      </c>
      <c r="K4432" s="14" t="n">
        <v>0</v>
      </c>
      <c r="L4432" s="14" t="n">
        <v>0</v>
      </c>
      <c r="M4432" s="14">
        <f>IF(B4432="Frete de venda",0,(1-ISNUMBER(SEARCH("556",P4432)))*(I4432*VLOOKUP($B4432,Premissas!$A$4:$E$7,2,0)+J4432*VLOOKUP($B4432,Premissas!$A$4:$E$7,3,0))+K4432*VLOOKUP($B4432,Premissas!$A$4:$E$7,4,0)+L4432*VLOOKUP($B4432,Premissas!$A$4:$E$7,5,0))</f>
        <v/>
      </c>
      <c r="N4432" s="14">
        <f>H4432-M4432</f>
        <v/>
      </c>
      <c r="O4432" t="inlineStr">
        <is>
          <t>Sim</t>
        </is>
      </c>
      <c r="P4432" t="inlineStr">
        <is>
          <t>2.350</t>
        </is>
      </c>
    </row>
    <row r="4433">
      <c r="A4433" s="24" t="n">
        <v>46235</v>
      </c>
      <c r="B4433" t="inlineStr">
        <is>
          <t>Frete de venda</t>
        </is>
      </c>
      <c r="C4433" t="inlineStr">
        <is>
          <t>Frete de venda (para clientes)</t>
        </is>
      </c>
      <c r="D4433" t="inlineStr">
        <is>
          <t>CT-e</t>
        </is>
      </c>
      <c r="E4433" t="inlineStr">
        <is>
          <t>000000399</t>
        </is>
      </c>
      <c r="F4433" t="inlineStr">
        <is>
          <t>DURA MAIS TRANSPORTES LTDA</t>
        </is>
      </c>
      <c r="G4433" s="27" t="n">
        <v>46261</v>
      </c>
      <c r="H4433" s="14" t="n">
        <v>2587.5</v>
      </c>
      <c r="I4433" s="14" t="n">
        <v>0</v>
      </c>
      <c r="J4433" s="14" t="n">
        <v>310.5</v>
      </c>
      <c r="K4433" s="14" t="n">
        <v>0</v>
      </c>
      <c r="L4433" s="14" t="n">
        <v>0</v>
      </c>
      <c r="M4433" s="14">
        <f>IF(B4433="Frete de venda",0,(1-ISNUMBER(SEARCH("556",P4433)))*(I4433*VLOOKUP($B4433,Premissas!$A$4:$E$7,2,0)+J4433*VLOOKUP($B4433,Premissas!$A$4:$E$7,3,0))+K4433*VLOOKUP($B4433,Premissas!$A$4:$E$7,4,0)+L4433*VLOOKUP($B4433,Premissas!$A$4:$E$7,5,0))</f>
        <v/>
      </c>
      <c r="N4433" s="14">
        <f>H4433-M4433</f>
        <v/>
      </c>
      <c r="O4433" t="inlineStr">
        <is>
          <t>Sim</t>
        </is>
      </c>
      <c r="P4433" t="inlineStr">
        <is>
          <t>2.350</t>
        </is>
      </c>
    </row>
    <row r="4434">
      <c r="A4434" s="24" t="n">
        <v>46235</v>
      </c>
      <c r="B4434" t="inlineStr">
        <is>
          <t>Frete de venda</t>
        </is>
      </c>
      <c r="C4434" t="inlineStr">
        <is>
          <t>Frete de venda (para clientes)</t>
        </is>
      </c>
      <c r="D4434" t="inlineStr">
        <is>
          <t>CT-e</t>
        </is>
      </c>
      <c r="E4434" t="inlineStr">
        <is>
          <t>000007831</t>
        </is>
      </c>
      <c r="F4434" t="inlineStr">
        <is>
          <t>R&amp;R TRANSPORTE E LOGISTICA</t>
        </is>
      </c>
      <c r="G4434" s="27" t="n">
        <v>46235</v>
      </c>
      <c r="H4434" s="14" t="n">
        <v>37.44</v>
      </c>
      <c r="I4434" s="14" t="n">
        <v>0</v>
      </c>
      <c r="J4434" s="14" t="n">
        <v>0</v>
      </c>
      <c r="K4434" s="14" t="n">
        <v>0</v>
      </c>
      <c r="L4434" s="14" t="n">
        <v>0</v>
      </c>
      <c r="M4434" s="14">
        <f>IF(B4434="Frete de venda",0,(1-ISNUMBER(SEARCH("556",P4434)))*(I4434*VLOOKUP($B4434,Premissas!$A$4:$E$7,2,0)+J4434*VLOOKUP($B4434,Premissas!$A$4:$E$7,3,0))+K4434*VLOOKUP($B4434,Premissas!$A$4:$E$7,4,0)+L4434*VLOOKUP($B4434,Premissas!$A$4:$E$7,5,0))</f>
        <v/>
      </c>
      <c r="N4434" s="14">
        <f>H4434-M4434</f>
        <v/>
      </c>
      <c r="O4434" t="inlineStr">
        <is>
          <t>Não</t>
        </is>
      </c>
      <c r="P4434" t="inlineStr">
        <is>
          <t>2.350</t>
        </is>
      </c>
    </row>
    <row r="4435">
      <c r="A4435" s="24" t="n">
        <v>46235</v>
      </c>
      <c r="B4435" t="inlineStr">
        <is>
          <t>Frete de venda</t>
        </is>
      </c>
      <c r="C4435" t="inlineStr">
        <is>
          <t>Frete de venda (para clientes)</t>
        </is>
      </c>
      <c r="D4435" t="inlineStr">
        <is>
          <t>CT-e</t>
        </is>
      </c>
      <c r="E4435" t="inlineStr">
        <is>
          <t>000000132</t>
        </is>
      </c>
      <c r="F4435" t="inlineStr">
        <is>
          <t>DURA MAIS TRANSPORTES LTDA</t>
        </is>
      </c>
      <c r="G4435" s="27" t="n">
        <v>46239</v>
      </c>
      <c r="H4435" s="14" t="n">
        <v>1050</v>
      </c>
      <c r="I4435" s="14" t="n">
        <v>0</v>
      </c>
      <c r="J4435" s="14" t="n">
        <v>126</v>
      </c>
      <c r="K4435" s="14" t="n">
        <v>0</v>
      </c>
      <c r="L4435" s="14" t="n">
        <v>0</v>
      </c>
      <c r="M4435" s="14">
        <f>IF(B4435="Frete de venda",0,(1-ISNUMBER(SEARCH("556",P4435)))*(I4435*VLOOKUP($B4435,Premissas!$A$4:$E$7,2,0)+J4435*VLOOKUP($B4435,Premissas!$A$4:$E$7,3,0))+K4435*VLOOKUP($B4435,Premissas!$A$4:$E$7,4,0)+L4435*VLOOKUP($B4435,Premissas!$A$4:$E$7,5,0))</f>
        <v/>
      </c>
      <c r="N4435" s="14">
        <f>H4435-M4435</f>
        <v/>
      </c>
      <c r="O4435" t="inlineStr">
        <is>
          <t>Não</t>
        </is>
      </c>
      <c r="P4435" t="inlineStr">
        <is>
          <t>1.350</t>
        </is>
      </c>
    </row>
    <row r="4436">
      <c r="A4436" s="24" t="n">
        <v>46235</v>
      </c>
      <c r="B4436" t="inlineStr">
        <is>
          <t>Frete de venda</t>
        </is>
      </c>
      <c r="C4436" t="inlineStr">
        <is>
          <t>Frete de venda (para clientes)</t>
        </is>
      </c>
      <c r="D4436" t="inlineStr">
        <is>
          <t>CT-e</t>
        </is>
      </c>
      <c r="E4436" t="inlineStr">
        <is>
          <t>000046576</t>
        </is>
      </c>
      <c r="F4436" t="inlineStr">
        <is>
          <t>TRANSFORRECHI TRANSPORTES LTDA</t>
        </is>
      </c>
      <c r="G4436" s="27" t="n">
        <v>46248</v>
      </c>
      <c r="H4436" s="14" t="n">
        <v>2060</v>
      </c>
      <c r="I4436" s="14" t="n">
        <v>0</v>
      </c>
      <c r="J4436" s="14" t="n">
        <v>247.2</v>
      </c>
      <c r="K4436" s="14" t="n">
        <v>0</v>
      </c>
      <c r="L4436" s="14" t="n">
        <v>0</v>
      </c>
      <c r="M4436" s="14">
        <f>IF(B4436="Frete de venda",0,(1-ISNUMBER(SEARCH("556",P4436)))*(I4436*VLOOKUP($B4436,Premissas!$A$4:$E$7,2,0)+J4436*VLOOKUP($B4436,Premissas!$A$4:$E$7,3,0))+K4436*VLOOKUP($B4436,Premissas!$A$4:$E$7,4,0)+L4436*VLOOKUP($B4436,Premissas!$A$4:$E$7,5,0))</f>
        <v/>
      </c>
      <c r="N4436" s="14">
        <f>H4436-M4436</f>
        <v/>
      </c>
      <c r="O4436" t="inlineStr">
        <is>
          <t>Sim</t>
        </is>
      </c>
      <c r="P4436" t="inlineStr">
        <is>
          <t>2.350</t>
        </is>
      </c>
    </row>
    <row r="4437">
      <c r="A4437" s="24" t="n">
        <v>46235</v>
      </c>
      <c r="B4437" t="inlineStr">
        <is>
          <t>Frete de venda</t>
        </is>
      </c>
      <c r="C4437" t="inlineStr">
        <is>
          <t>Frete de venda (para clientes)</t>
        </is>
      </c>
      <c r="D4437" t="inlineStr">
        <is>
          <t>CT-e</t>
        </is>
      </c>
      <c r="E4437" t="inlineStr">
        <is>
          <t>000000150</t>
        </is>
      </c>
      <c r="F4437" t="inlineStr">
        <is>
          <t>DURA MAIS TRANSPORTES LTDA</t>
        </is>
      </c>
      <c r="G4437" s="27" t="n">
        <v>46240</v>
      </c>
      <c r="H4437" s="14" t="n">
        <v>4725</v>
      </c>
      <c r="I4437" s="14" t="n">
        <v>0</v>
      </c>
      <c r="J4437" s="14" t="n">
        <v>567</v>
      </c>
      <c r="K4437" s="14" t="n">
        <v>0</v>
      </c>
      <c r="L4437" s="14" t="n">
        <v>0</v>
      </c>
      <c r="M4437" s="14">
        <f>IF(B4437="Frete de venda",0,(1-ISNUMBER(SEARCH("556",P4437)))*(I4437*VLOOKUP($B4437,Premissas!$A$4:$E$7,2,0)+J4437*VLOOKUP($B4437,Premissas!$A$4:$E$7,3,0))+K4437*VLOOKUP($B4437,Premissas!$A$4:$E$7,4,0)+L4437*VLOOKUP($B4437,Premissas!$A$4:$E$7,5,0))</f>
        <v/>
      </c>
      <c r="N4437" s="14">
        <f>H4437-M4437</f>
        <v/>
      </c>
      <c r="O4437" t="inlineStr">
        <is>
          <t>Sim</t>
        </is>
      </c>
      <c r="P4437" t="inlineStr">
        <is>
          <t>1.350</t>
        </is>
      </c>
    </row>
    <row r="4438">
      <c r="A4438" s="24" t="n">
        <v>46235</v>
      </c>
      <c r="B4438" t="inlineStr">
        <is>
          <t>Frete de venda</t>
        </is>
      </c>
      <c r="C4438" t="inlineStr">
        <is>
          <t>Frete de venda (para clientes)</t>
        </is>
      </c>
      <c r="D4438" t="inlineStr">
        <is>
          <t>CT-e</t>
        </is>
      </c>
      <c r="E4438" t="inlineStr">
        <is>
          <t>000004862</t>
        </is>
      </c>
      <c r="F4438" t="inlineStr">
        <is>
          <t>RAPIDO XAPURI TRANSPORTES E LOGISTICA LTDA</t>
        </is>
      </c>
      <c r="G4438" s="27" t="n">
        <v>46251</v>
      </c>
      <c r="H4438" s="14" t="n">
        <v>5461.78</v>
      </c>
      <c r="I4438" s="14" t="n">
        <v>0</v>
      </c>
      <c r="J4438" s="14" t="n">
        <v>655.41</v>
      </c>
      <c r="K4438" s="14" t="n">
        <v>0</v>
      </c>
      <c r="L4438" s="14" t="n">
        <v>0</v>
      </c>
      <c r="M4438" s="14">
        <f>IF(B4438="Frete de venda",0,(1-ISNUMBER(SEARCH("556",P4438)))*(I4438*VLOOKUP($B4438,Premissas!$A$4:$E$7,2,0)+J4438*VLOOKUP($B4438,Premissas!$A$4:$E$7,3,0))+K4438*VLOOKUP($B4438,Premissas!$A$4:$E$7,4,0)+L4438*VLOOKUP($B4438,Premissas!$A$4:$E$7,5,0))</f>
        <v/>
      </c>
      <c r="N4438" s="14">
        <f>H4438-M4438</f>
        <v/>
      </c>
      <c r="O4438" t="inlineStr">
        <is>
          <t>Sim</t>
        </is>
      </c>
      <c r="P4438" t="inlineStr">
        <is>
          <t>2.350</t>
        </is>
      </c>
    </row>
    <row r="4439">
      <c r="A4439" s="24" t="n">
        <v>46235</v>
      </c>
      <c r="B4439" t="inlineStr">
        <is>
          <t>Frete de venda</t>
        </is>
      </c>
      <c r="C4439" t="inlineStr">
        <is>
          <t>Frete de venda (para clientes)</t>
        </is>
      </c>
      <c r="D4439" t="inlineStr">
        <is>
          <t>CT-e</t>
        </is>
      </c>
      <c r="E4439" t="inlineStr">
        <is>
          <t>000007846</t>
        </is>
      </c>
      <c r="F4439" t="inlineStr">
        <is>
          <t>R&amp;R TRANSPORTE E LOGISTICA</t>
        </is>
      </c>
      <c r="G4439" s="27" t="n">
        <v>46235</v>
      </c>
      <c r="H4439" s="14" t="n">
        <v>37.44</v>
      </c>
      <c r="I4439" s="14" t="n">
        <v>0</v>
      </c>
      <c r="J4439" s="14" t="n">
        <v>0</v>
      </c>
      <c r="K4439" s="14" t="n">
        <v>0</v>
      </c>
      <c r="L4439" s="14" t="n">
        <v>0</v>
      </c>
      <c r="M4439" s="14">
        <f>IF(B4439="Frete de venda",0,(1-ISNUMBER(SEARCH("556",P4439)))*(I4439*VLOOKUP($B4439,Premissas!$A$4:$E$7,2,0)+J4439*VLOOKUP($B4439,Premissas!$A$4:$E$7,3,0))+K4439*VLOOKUP($B4439,Premissas!$A$4:$E$7,4,0)+L4439*VLOOKUP($B4439,Premissas!$A$4:$E$7,5,0))</f>
        <v/>
      </c>
      <c r="N4439" s="14">
        <f>H4439-M4439</f>
        <v/>
      </c>
      <c r="O4439" t="inlineStr">
        <is>
          <t>Não</t>
        </is>
      </c>
      <c r="P4439" t="inlineStr">
        <is>
          <t>2.350</t>
        </is>
      </c>
    </row>
    <row r="4440">
      <c r="A4440" s="24" t="n">
        <v>46235</v>
      </c>
      <c r="B4440" t="inlineStr">
        <is>
          <t>Frete de venda</t>
        </is>
      </c>
      <c r="C4440" t="inlineStr">
        <is>
          <t>Frete de venda (para clientes)</t>
        </is>
      </c>
      <c r="D4440" t="inlineStr">
        <is>
          <t>CT-e</t>
        </is>
      </c>
      <c r="E4440" t="inlineStr">
        <is>
          <t>000000417</t>
        </is>
      </c>
      <c r="F4440" t="inlineStr">
        <is>
          <t>DURA MAIS TRANSPORTES LTDA</t>
        </is>
      </c>
      <c r="G4440" s="27" t="n">
        <v>46262</v>
      </c>
      <c r="H4440" s="14" t="n">
        <v>464.06</v>
      </c>
      <c r="I4440" s="14" t="n">
        <v>0</v>
      </c>
      <c r="J4440" s="14" t="n">
        <v>55.69</v>
      </c>
      <c r="K4440" s="14" t="n">
        <v>0</v>
      </c>
      <c r="L4440" s="14" t="n">
        <v>0</v>
      </c>
      <c r="M4440" s="14">
        <f>IF(B4440="Frete de venda",0,(1-ISNUMBER(SEARCH("556",P4440)))*(I4440*VLOOKUP($B4440,Premissas!$A$4:$E$7,2,0)+J4440*VLOOKUP($B4440,Premissas!$A$4:$E$7,3,0))+K4440*VLOOKUP($B4440,Premissas!$A$4:$E$7,4,0)+L4440*VLOOKUP($B4440,Premissas!$A$4:$E$7,5,0))</f>
        <v/>
      </c>
      <c r="N4440" s="14">
        <f>H4440-M4440</f>
        <v/>
      </c>
      <c r="O4440" t="inlineStr">
        <is>
          <t>Sim</t>
        </is>
      </c>
      <c r="P4440" t="inlineStr">
        <is>
          <t>2.350</t>
        </is>
      </c>
    </row>
    <row r="4441">
      <c r="A4441" s="24" t="n">
        <v>46235</v>
      </c>
      <c r="B4441" t="inlineStr">
        <is>
          <t>Frete de venda</t>
        </is>
      </c>
      <c r="C4441" t="inlineStr">
        <is>
          <t>Frete de venda (para clientes)</t>
        </is>
      </c>
      <c r="D4441" t="inlineStr">
        <is>
          <t>CT-e</t>
        </is>
      </c>
      <c r="E4441" t="inlineStr">
        <is>
          <t>000000361</t>
        </is>
      </c>
      <c r="F4441" t="inlineStr">
        <is>
          <t>DURA MAIS TRANSPORTES LTDA</t>
        </is>
      </c>
      <c r="G4441" s="27" t="n">
        <v>46259</v>
      </c>
      <c r="H4441" s="14" t="n">
        <v>1400</v>
      </c>
      <c r="I4441" s="14" t="n">
        <v>0</v>
      </c>
      <c r="J4441" s="14" t="n">
        <v>168</v>
      </c>
      <c r="K4441" s="14" t="n">
        <v>0</v>
      </c>
      <c r="L4441" s="14" t="n">
        <v>0</v>
      </c>
      <c r="M4441" s="14">
        <f>IF(B4441="Frete de venda",0,(1-ISNUMBER(SEARCH("556",P4441)))*(I4441*VLOOKUP($B4441,Premissas!$A$4:$E$7,2,0)+J4441*VLOOKUP($B4441,Premissas!$A$4:$E$7,3,0))+K4441*VLOOKUP($B4441,Premissas!$A$4:$E$7,4,0)+L4441*VLOOKUP($B4441,Premissas!$A$4:$E$7,5,0))</f>
        <v/>
      </c>
      <c r="N4441" s="14">
        <f>H4441-M4441</f>
        <v/>
      </c>
      <c r="O4441" t="inlineStr">
        <is>
          <t>Sim</t>
        </is>
      </c>
      <c r="P4441" t="inlineStr">
        <is>
          <t>2.350</t>
        </is>
      </c>
    </row>
    <row r="4442">
      <c r="A4442" s="24" t="n">
        <v>46235</v>
      </c>
      <c r="B4442" t="inlineStr">
        <is>
          <t>Frete de venda</t>
        </is>
      </c>
      <c r="C4442" t="inlineStr">
        <is>
          <t>Frete de venda (para clientes)</t>
        </is>
      </c>
      <c r="D4442" t="inlineStr">
        <is>
          <t>CT-e</t>
        </is>
      </c>
      <c r="E4442" t="inlineStr">
        <is>
          <t>000046795</t>
        </is>
      </c>
      <c r="F4442" t="inlineStr">
        <is>
          <t>TRANSFORRECHI TRANSPORTES LTDA</t>
        </is>
      </c>
      <c r="G4442" s="27" t="n">
        <v>46261</v>
      </c>
      <c r="H4442" s="14" t="n">
        <v>800</v>
      </c>
      <c r="I4442" s="14" t="n">
        <v>0</v>
      </c>
      <c r="J4442" s="14" t="n">
        <v>96</v>
      </c>
      <c r="K4442" s="14" t="n">
        <v>0</v>
      </c>
      <c r="L4442" s="14" t="n">
        <v>0</v>
      </c>
      <c r="M4442" s="14">
        <f>IF(B4442="Frete de venda",0,(1-ISNUMBER(SEARCH("556",P4442)))*(I4442*VLOOKUP($B4442,Premissas!$A$4:$E$7,2,0)+J4442*VLOOKUP($B4442,Premissas!$A$4:$E$7,3,0))+K4442*VLOOKUP($B4442,Premissas!$A$4:$E$7,4,0)+L4442*VLOOKUP($B4442,Premissas!$A$4:$E$7,5,0))</f>
        <v/>
      </c>
      <c r="N4442" s="14">
        <f>H4442-M4442</f>
        <v/>
      </c>
      <c r="O4442" t="inlineStr">
        <is>
          <t>Sim</t>
        </is>
      </c>
      <c r="P4442" t="inlineStr">
        <is>
          <t>2.350</t>
        </is>
      </c>
    </row>
    <row r="4443">
      <c r="A4443" s="24" t="n">
        <v>46235</v>
      </c>
      <c r="B4443" t="inlineStr">
        <is>
          <t>Frete de venda</t>
        </is>
      </c>
      <c r="C4443" t="inlineStr">
        <is>
          <t>Frete de venda (para clientes)</t>
        </is>
      </c>
      <c r="D4443" t="inlineStr">
        <is>
          <t>CT-e</t>
        </is>
      </c>
      <c r="E4443" t="inlineStr">
        <is>
          <t>000046575</t>
        </is>
      </c>
      <c r="F4443" t="inlineStr">
        <is>
          <t>TRANSFORRECHI TRANSPORTES LTDA</t>
        </is>
      </c>
      <c r="G4443" s="27" t="n">
        <v>46248</v>
      </c>
      <c r="H4443" s="14" t="n">
        <v>580</v>
      </c>
      <c r="I4443" s="14" t="n">
        <v>0</v>
      </c>
      <c r="J4443" s="14" t="n">
        <v>69.59999999999999</v>
      </c>
      <c r="K4443" s="14" t="n">
        <v>0</v>
      </c>
      <c r="L4443" s="14" t="n">
        <v>0</v>
      </c>
      <c r="M4443" s="14">
        <f>IF(B4443="Frete de venda",0,(1-ISNUMBER(SEARCH("556",P4443)))*(I4443*VLOOKUP($B4443,Premissas!$A$4:$E$7,2,0)+J4443*VLOOKUP($B4443,Premissas!$A$4:$E$7,3,0))+K4443*VLOOKUP($B4443,Premissas!$A$4:$E$7,4,0)+L4443*VLOOKUP($B4443,Premissas!$A$4:$E$7,5,0))</f>
        <v/>
      </c>
      <c r="N4443" s="14">
        <f>H4443-M4443</f>
        <v/>
      </c>
      <c r="O4443" t="inlineStr">
        <is>
          <t>Sim</t>
        </is>
      </c>
      <c r="P4443" t="inlineStr">
        <is>
          <t>2.350</t>
        </is>
      </c>
    </row>
    <row r="4444">
      <c r="A4444" s="24" t="n">
        <v>46235</v>
      </c>
      <c r="B4444" t="inlineStr">
        <is>
          <t>Frete de venda</t>
        </is>
      </c>
      <c r="C4444" t="inlineStr">
        <is>
          <t>Frete de venda (para clientes)</t>
        </is>
      </c>
      <c r="D4444" t="inlineStr">
        <is>
          <t>CT-e</t>
        </is>
      </c>
      <c r="E4444" t="inlineStr">
        <is>
          <t>000007950</t>
        </is>
      </c>
      <c r="F4444" t="inlineStr">
        <is>
          <t>R&amp;R TRANSPORTE E LOGISTICA</t>
        </is>
      </c>
      <c r="G4444" s="27" t="n">
        <v>46265</v>
      </c>
      <c r="H4444" s="14" t="n">
        <v>500</v>
      </c>
      <c r="I4444" s="14" t="n">
        <v>0</v>
      </c>
      <c r="J4444" s="14" t="n">
        <v>0</v>
      </c>
      <c r="K4444" s="14" t="n">
        <v>0</v>
      </c>
      <c r="L4444" s="14" t="n">
        <v>0</v>
      </c>
      <c r="M4444" s="14">
        <f>IF(B4444="Frete de venda",0,(1-ISNUMBER(SEARCH("556",P4444)))*(I4444*VLOOKUP($B4444,Premissas!$A$4:$E$7,2,0)+J4444*VLOOKUP($B4444,Premissas!$A$4:$E$7,3,0))+K4444*VLOOKUP($B4444,Premissas!$A$4:$E$7,4,0)+L4444*VLOOKUP($B4444,Premissas!$A$4:$E$7,5,0))</f>
        <v/>
      </c>
      <c r="N4444" s="14">
        <f>H4444-M4444</f>
        <v/>
      </c>
      <c r="O4444" t="inlineStr">
        <is>
          <t>Sim</t>
        </is>
      </c>
      <c r="P4444" t="inlineStr">
        <is>
          <t>2.350</t>
        </is>
      </c>
    </row>
    <row r="4445">
      <c r="A4445" s="24" t="n">
        <v>46235</v>
      </c>
      <c r="B4445" t="inlineStr">
        <is>
          <t>Frete de venda</t>
        </is>
      </c>
      <c r="C4445" t="inlineStr">
        <is>
          <t>Frete de venda (para clientes)</t>
        </is>
      </c>
      <c r="D4445" t="inlineStr">
        <is>
          <t>CT-e</t>
        </is>
      </c>
      <c r="E4445" t="inlineStr">
        <is>
          <t>000007837</t>
        </is>
      </c>
      <c r="F4445" t="inlineStr">
        <is>
          <t>R&amp;R TRANSPORTE E LOGISTICA</t>
        </is>
      </c>
      <c r="G4445" s="27" t="n">
        <v>46235</v>
      </c>
      <c r="H4445" s="14" t="n">
        <v>37.44</v>
      </c>
      <c r="I4445" s="14" t="n">
        <v>0</v>
      </c>
      <c r="J4445" s="14" t="n">
        <v>0</v>
      </c>
      <c r="K4445" s="14" t="n">
        <v>0</v>
      </c>
      <c r="L4445" s="14" t="n">
        <v>0</v>
      </c>
      <c r="M4445" s="14">
        <f>IF(B4445="Frete de venda",0,(1-ISNUMBER(SEARCH("556",P4445)))*(I4445*VLOOKUP($B4445,Premissas!$A$4:$E$7,2,0)+J4445*VLOOKUP($B4445,Premissas!$A$4:$E$7,3,0))+K4445*VLOOKUP($B4445,Premissas!$A$4:$E$7,4,0)+L4445*VLOOKUP($B4445,Premissas!$A$4:$E$7,5,0))</f>
        <v/>
      </c>
      <c r="N4445" s="14">
        <f>H4445-M4445</f>
        <v/>
      </c>
      <c r="O4445" t="inlineStr">
        <is>
          <t>Não</t>
        </is>
      </c>
      <c r="P4445" t="inlineStr">
        <is>
          <t>2.350</t>
        </is>
      </c>
    </row>
    <row r="4446">
      <c r="A4446" s="24" t="n">
        <v>46235</v>
      </c>
      <c r="B4446" t="inlineStr">
        <is>
          <t>Frete de venda</t>
        </is>
      </c>
      <c r="C4446" t="inlineStr">
        <is>
          <t>Frete de venda (para clientes)</t>
        </is>
      </c>
      <c r="D4446" t="inlineStr">
        <is>
          <t>CT-e</t>
        </is>
      </c>
      <c r="E4446" t="inlineStr">
        <is>
          <t>000007904</t>
        </is>
      </c>
      <c r="F4446" t="inlineStr">
        <is>
          <t>R&amp;R TRANSPORTE E LOGISTICA</t>
        </is>
      </c>
      <c r="G4446" s="27" t="n">
        <v>46253</v>
      </c>
      <c r="H4446" s="14" t="n">
        <v>375</v>
      </c>
      <c r="I4446" s="14" t="n">
        <v>0</v>
      </c>
      <c r="J4446" s="14" t="n">
        <v>0</v>
      </c>
      <c r="K4446" s="14" t="n">
        <v>0</v>
      </c>
      <c r="L4446" s="14" t="n">
        <v>0</v>
      </c>
      <c r="M4446" s="14">
        <f>IF(B4446="Frete de venda",0,(1-ISNUMBER(SEARCH("556",P4446)))*(I4446*VLOOKUP($B4446,Premissas!$A$4:$E$7,2,0)+J4446*VLOOKUP($B4446,Premissas!$A$4:$E$7,3,0))+K4446*VLOOKUP($B4446,Premissas!$A$4:$E$7,4,0)+L4446*VLOOKUP($B4446,Premissas!$A$4:$E$7,5,0))</f>
        <v/>
      </c>
      <c r="N4446" s="14">
        <f>H4446-M4446</f>
        <v/>
      </c>
      <c r="O4446" t="inlineStr">
        <is>
          <t>Sim</t>
        </is>
      </c>
      <c r="P4446" t="inlineStr">
        <is>
          <t>2.350</t>
        </is>
      </c>
    </row>
    <row r="4447">
      <c r="A4447" s="24" t="n">
        <v>46235</v>
      </c>
      <c r="B4447" t="inlineStr">
        <is>
          <t>Frete de venda</t>
        </is>
      </c>
      <c r="C4447" t="inlineStr">
        <is>
          <t>Frete de venda (para clientes)</t>
        </is>
      </c>
      <c r="D4447" t="inlineStr">
        <is>
          <t>CT-e</t>
        </is>
      </c>
      <c r="E4447" t="inlineStr">
        <is>
          <t>000000357</t>
        </is>
      </c>
      <c r="F4447" t="inlineStr">
        <is>
          <t>DURA MAIS TRANSPORTES LTDA</t>
        </is>
      </c>
      <c r="G4447" s="27" t="n">
        <v>46259</v>
      </c>
      <c r="H4447" s="14" t="n">
        <v>700</v>
      </c>
      <c r="I4447" s="14" t="n">
        <v>0</v>
      </c>
      <c r="J4447" s="14" t="n">
        <v>84</v>
      </c>
      <c r="K4447" s="14" t="n">
        <v>0</v>
      </c>
      <c r="L4447" s="14" t="n">
        <v>0</v>
      </c>
      <c r="M4447" s="14">
        <f>IF(B4447="Frete de venda",0,(1-ISNUMBER(SEARCH("556",P4447)))*(I4447*VLOOKUP($B4447,Premissas!$A$4:$E$7,2,0)+J4447*VLOOKUP($B4447,Premissas!$A$4:$E$7,3,0))+K4447*VLOOKUP($B4447,Premissas!$A$4:$E$7,4,0)+L4447*VLOOKUP($B4447,Premissas!$A$4:$E$7,5,0))</f>
        <v/>
      </c>
      <c r="N4447" s="14">
        <f>H4447-M4447</f>
        <v/>
      </c>
      <c r="O4447" t="inlineStr">
        <is>
          <t>Sim</t>
        </is>
      </c>
      <c r="P4447" t="inlineStr">
        <is>
          <t>2.350</t>
        </is>
      </c>
    </row>
    <row r="4448">
      <c r="A4448" s="24" t="n">
        <v>46235</v>
      </c>
      <c r="B4448" t="inlineStr">
        <is>
          <t>Frete de venda</t>
        </is>
      </c>
      <c r="C4448" t="inlineStr">
        <is>
          <t>Frete de venda (para clientes)</t>
        </is>
      </c>
      <c r="D4448" t="inlineStr">
        <is>
          <t>CT-e</t>
        </is>
      </c>
      <c r="E4448" t="inlineStr">
        <is>
          <t>000007942</t>
        </is>
      </c>
      <c r="F4448" t="inlineStr">
        <is>
          <t>R&amp;R TRANSPORTE E LOGISTICA</t>
        </is>
      </c>
      <c r="G4448" s="27" t="n">
        <v>46263</v>
      </c>
      <c r="H4448" s="14" t="n">
        <v>600</v>
      </c>
      <c r="I4448" s="14" t="n">
        <v>0</v>
      </c>
      <c r="J4448" s="14" t="n">
        <v>0</v>
      </c>
      <c r="K4448" s="14" t="n">
        <v>0</v>
      </c>
      <c r="L4448" s="14" t="n">
        <v>0</v>
      </c>
      <c r="M4448" s="14">
        <f>IF(B4448="Frete de venda",0,(1-ISNUMBER(SEARCH("556",P4448)))*(I4448*VLOOKUP($B4448,Premissas!$A$4:$E$7,2,0)+J4448*VLOOKUP($B4448,Premissas!$A$4:$E$7,3,0))+K4448*VLOOKUP($B4448,Premissas!$A$4:$E$7,4,0)+L4448*VLOOKUP($B4448,Premissas!$A$4:$E$7,5,0))</f>
        <v/>
      </c>
      <c r="N4448" s="14">
        <f>H4448-M4448</f>
        <v/>
      </c>
      <c r="O4448" t="inlineStr">
        <is>
          <t>Sim</t>
        </is>
      </c>
      <c r="P4448" t="inlineStr">
        <is>
          <t>2.350</t>
        </is>
      </c>
    </row>
    <row r="4449">
      <c r="A4449" s="24" t="n">
        <v>46235</v>
      </c>
      <c r="B4449" t="inlineStr">
        <is>
          <t>Frete de venda</t>
        </is>
      </c>
      <c r="C4449" t="inlineStr">
        <is>
          <t>Frete de venda (para clientes)</t>
        </is>
      </c>
      <c r="D4449" t="inlineStr">
        <is>
          <t>CT-e</t>
        </is>
      </c>
      <c r="E4449" t="inlineStr">
        <is>
          <t>000007839</t>
        </is>
      </c>
      <c r="F4449" t="inlineStr">
        <is>
          <t>R&amp;R TRANSPORTE E LOGISTICA</t>
        </is>
      </c>
      <c r="G4449" s="27" t="n">
        <v>46235</v>
      </c>
      <c r="H4449" s="14" t="n">
        <v>37.44</v>
      </c>
      <c r="I4449" s="14" t="n">
        <v>0</v>
      </c>
      <c r="J4449" s="14" t="n">
        <v>0</v>
      </c>
      <c r="K4449" s="14" t="n">
        <v>0</v>
      </c>
      <c r="L4449" s="14" t="n">
        <v>0</v>
      </c>
      <c r="M4449" s="14">
        <f>IF(B4449="Frete de venda",0,(1-ISNUMBER(SEARCH("556",P4449)))*(I4449*VLOOKUP($B4449,Premissas!$A$4:$E$7,2,0)+J4449*VLOOKUP($B4449,Premissas!$A$4:$E$7,3,0))+K4449*VLOOKUP($B4449,Premissas!$A$4:$E$7,4,0)+L4449*VLOOKUP($B4449,Premissas!$A$4:$E$7,5,0))</f>
        <v/>
      </c>
      <c r="N4449" s="14">
        <f>H4449-M4449</f>
        <v/>
      </c>
      <c r="O4449" t="inlineStr">
        <is>
          <t>Não</t>
        </is>
      </c>
      <c r="P4449" t="inlineStr">
        <is>
          <t>2.350</t>
        </is>
      </c>
    </row>
    <row r="4450">
      <c r="A4450" s="24" t="n">
        <v>46235</v>
      </c>
      <c r="B4450" t="inlineStr">
        <is>
          <t>Frete de venda</t>
        </is>
      </c>
      <c r="C4450" t="inlineStr">
        <is>
          <t>Frete de venda (para clientes)</t>
        </is>
      </c>
      <c r="D4450" t="inlineStr">
        <is>
          <t>CT-e</t>
        </is>
      </c>
      <c r="E4450" t="inlineStr">
        <is>
          <t>000000234</t>
        </is>
      </c>
      <c r="F4450" t="inlineStr">
        <is>
          <t>DURA MAIS TRANSPORTES LTDA</t>
        </is>
      </c>
      <c r="G4450" s="27" t="n">
        <v>46249</v>
      </c>
      <c r="H4450" s="14" t="n">
        <v>2451.3</v>
      </c>
      <c r="I4450" s="14" t="n">
        <v>0</v>
      </c>
      <c r="J4450" s="14" t="n">
        <v>294.16</v>
      </c>
      <c r="K4450" s="14" t="n">
        <v>0</v>
      </c>
      <c r="L4450" s="14" t="n">
        <v>0</v>
      </c>
      <c r="M4450" s="14">
        <f>IF(B4450="Frete de venda",0,(1-ISNUMBER(SEARCH("556",P4450)))*(I4450*VLOOKUP($B4450,Premissas!$A$4:$E$7,2,0)+J4450*VLOOKUP($B4450,Premissas!$A$4:$E$7,3,0))+K4450*VLOOKUP($B4450,Premissas!$A$4:$E$7,4,0)+L4450*VLOOKUP($B4450,Premissas!$A$4:$E$7,5,0))</f>
        <v/>
      </c>
      <c r="N4450" s="14">
        <f>H4450-M4450</f>
        <v/>
      </c>
      <c r="O4450" t="inlineStr">
        <is>
          <t>Sim</t>
        </is>
      </c>
      <c r="P4450" t="inlineStr">
        <is>
          <t>2.350</t>
        </is>
      </c>
    </row>
    <row r="4451">
      <c r="A4451" s="24" t="n">
        <v>46235</v>
      </c>
      <c r="B4451" t="inlineStr">
        <is>
          <t>Frete de venda</t>
        </is>
      </c>
      <c r="C4451" t="inlineStr">
        <is>
          <t>Frete de venda (para clientes)</t>
        </is>
      </c>
      <c r="D4451" t="inlineStr">
        <is>
          <t>CT-e</t>
        </is>
      </c>
      <c r="E4451" t="inlineStr">
        <is>
          <t>000000411</t>
        </is>
      </c>
      <c r="F4451" t="inlineStr">
        <is>
          <t>DURA MAIS TRANSPORTES LTDA</t>
        </is>
      </c>
      <c r="G4451" s="27" t="n">
        <v>46262</v>
      </c>
      <c r="H4451" s="14" t="n">
        <v>464.06</v>
      </c>
      <c r="I4451" s="14" t="n">
        <v>0</v>
      </c>
      <c r="J4451" s="14" t="n">
        <v>55.69</v>
      </c>
      <c r="K4451" s="14" t="n">
        <v>0</v>
      </c>
      <c r="L4451" s="14" t="n">
        <v>0</v>
      </c>
      <c r="M4451" s="14">
        <f>IF(B4451="Frete de venda",0,(1-ISNUMBER(SEARCH("556",P4451)))*(I4451*VLOOKUP($B4451,Premissas!$A$4:$E$7,2,0)+J4451*VLOOKUP($B4451,Premissas!$A$4:$E$7,3,0))+K4451*VLOOKUP($B4451,Premissas!$A$4:$E$7,4,0)+L4451*VLOOKUP($B4451,Premissas!$A$4:$E$7,5,0))</f>
        <v/>
      </c>
      <c r="N4451" s="14">
        <f>H4451-M4451</f>
        <v/>
      </c>
      <c r="O4451" t="inlineStr">
        <is>
          <t>Sim</t>
        </is>
      </c>
      <c r="P4451" t="inlineStr">
        <is>
          <t>2.350</t>
        </is>
      </c>
    </row>
    <row r="4452">
      <c r="A4452" s="24" t="n">
        <v>46235</v>
      </c>
      <c r="B4452" t="inlineStr">
        <is>
          <t>Frete de venda</t>
        </is>
      </c>
      <c r="C4452" t="inlineStr">
        <is>
          <t>Frete de venda (para clientes)</t>
        </is>
      </c>
      <c r="D4452" t="inlineStr">
        <is>
          <t>CT-e</t>
        </is>
      </c>
      <c r="E4452" t="inlineStr">
        <is>
          <t>000007952</t>
        </is>
      </c>
      <c r="F4452" t="inlineStr">
        <is>
          <t>R&amp;R TRANSPORTE E LOGISTICA</t>
        </is>
      </c>
      <c r="G4452" s="27" t="n">
        <v>46265</v>
      </c>
      <c r="H4452" s="14" t="n">
        <v>2500</v>
      </c>
      <c r="I4452" s="14" t="n">
        <v>0</v>
      </c>
      <c r="J4452" s="14" t="n">
        <v>0</v>
      </c>
      <c r="K4452" s="14" t="n">
        <v>0</v>
      </c>
      <c r="L4452" s="14" t="n">
        <v>0</v>
      </c>
      <c r="M4452" s="14">
        <f>IF(B4452="Frete de venda",0,(1-ISNUMBER(SEARCH("556",P4452)))*(I4452*VLOOKUP($B4452,Premissas!$A$4:$E$7,2,0)+J4452*VLOOKUP($B4452,Premissas!$A$4:$E$7,3,0))+K4452*VLOOKUP($B4452,Premissas!$A$4:$E$7,4,0)+L4452*VLOOKUP($B4452,Premissas!$A$4:$E$7,5,0))</f>
        <v/>
      </c>
      <c r="N4452" s="14">
        <f>H4452-M4452</f>
        <v/>
      </c>
      <c r="O4452" t="inlineStr">
        <is>
          <t>Sim</t>
        </is>
      </c>
      <c r="P4452" t="inlineStr">
        <is>
          <t>2.350</t>
        </is>
      </c>
    </row>
    <row r="4453">
      <c r="A4453" s="24" t="n">
        <v>46235</v>
      </c>
      <c r="B4453" t="inlineStr">
        <is>
          <t>Frete de venda</t>
        </is>
      </c>
      <c r="C4453" t="inlineStr">
        <is>
          <t>Frete de venda (para clientes)</t>
        </is>
      </c>
      <c r="D4453" t="inlineStr">
        <is>
          <t>CT-e</t>
        </is>
      </c>
      <c r="E4453" t="inlineStr">
        <is>
          <t>000000219</t>
        </is>
      </c>
      <c r="F4453" t="inlineStr">
        <is>
          <t>DURA MAIS TRANSPORTES LTDA</t>
        </is>
      </c>
      <c r="G4453" s="27" t="n">
        <v>46249</v>
      </c>
      <c r="H4453" s="14" t="n">
        <v>408.55</v>
      </c>
      <c r="I4453" s="14" t="n">
        <v>0</v>
      </c>
      <c r="J4453" s="14" t="n">
        <v>49.03</v>
      </c>
      <c r="K4453" s="14" t="n">
        <v>0</v>
      </c>
      <c r="L4453" s="14" t="n">
        <v>0</v>
      </c>
      <c r="M4453" s="14">
        <f>IF(B4453="Frete de venda",0,(1-ISNUMBER(SEARCH("556",P4453)))*(I4453*VLOOKUP($B4453,Premissas!$A$4:$E$7,2,0)+J4453*VLOOKUP($B4453,Premissas!$A$4:$E$7,3,0))+K4453*VLOOKUP($B4453,Premissas!$A$4:$E$7,4,0)+L4453*VLOOKUP($B4453,Premissas!$A$4:$E$7,5,0))</f>
        <v/>
      </c>
      <c r="N4453" s="14">
        <f>H4453-M4453</f>
        <v/>
      </c>
      <c r="O4453" t="inlineStr">
        <is>
          <t>Sim</t>
        </is>
      </c>
      <c r="P4453" t="inlineStr">
        <is>
          <t>2.350</t>
        </is>
      </c>
    </row>
    <row r="4454">
      <c r="A4454" s="24" t="n">
        <v>46235</v>
      </c>
      <c r="B4454" t="inlineStr">
        <is>
          <t>Frete de venda</t>
        </is>
      </c>
      <c r="C4454" t="inlineStr">
        <is>
          <t>Frete de venda (para clientes)</t>
        </is>
      </c>
      <c r="D4454" t="inlineStr">
        <is>
          <t>CT-e</t>
        </is>
      </c>
      <c r="E4454" t="inlineStr">
        <is>
          <t>000000223</t>
        </is>
      </c>
      <c r="F4454" t="inlineStr">
        <is>
          <t>DURA MAIS TRANSPORTES LTDA</t>
        </is>
      </c>
      <c r="G4454" s="27" t="n">
        <v>46249</v>
      </c>
      <c r="H4454" s="14" t="n">
        <v>408.55</v>
      </c>
      <c r="I4454" s="14" t="n">
        <v>0</v>
      </c>
      <c r="J4454" s="14" t="n">
        <v>49.03</v>
      </c>
      <c r="K4454" s="14" t="n">
        <v>0</v>
      </c>
      <c r="L4454" s="14" t="n">
        <v>0</v>
      </c>
      <c r="M4454" s="14">
        <f>IF(B4454="Frete de venda",0,(1-ISNUMBER(SEARCH("556",P4454)))*(I4454*VLOOKUP($B4454,Premissas!$A$4:$E$7,2,0)+J4454*VLOOKUP($B4454,Premissas!$A$4:$E$7,3,0))+K4454*VLOOKUP($B4454,Premissas!$A$4:$E$7,4,0)+L4454*VLOOKUP($B4454,Premissas!$A$4:$E$7,5,0))</f>
        <v/>
      </c>
      <c r="N4454" s="14">
        <f>H4454-M4454</f>
        <v/>
      </c>
      <c r="O4454" t="inlineStr">
        <is>
          <t>Sim</t>
        </is>
      </c>
      <c r="P4454" t="inlineStr">
        <is>
          <t>2.350</t>
        </is>
      </c>
    </row>
    <row r="4455">
      <c r="A4455" s="24" t="n">
        <v>46235</v>
      </c>
      <c r="B4455" t="inlineStr">
        <is>
          <t>Frete de venda</t>
        </is>
      </c>
      <c r="C4455" t="inlineStr">
        <is>
          <t>Frete de venda (para clientes)</t>
        </is>
      </c>
      <c r="D4455" t="inlineStr">
        <is>
          <t>CT-e</t>
        </is>
      </c>
      <c r="E4455" t="inlineStr">
        <is>
          <t>000007845</t>
        </is>
      </c>
      <c r="F4455" t="inlineStr">
        <is>
          <t>R&amp;R TRANSPORTE E LOGISTICA</t>
        </is>
      </c>
      <c r="G4455" s="27" t="n">
        <v>46235</v>
      </c>
      <c r="H4455" s="14" t="n">
        <v>37.44</v>
      </c>
      <c r="I4455" s="14" t="n">
        <v>0</v>
      </c>
      <c r="J4455" s="14" t="n">
        <v>0</v>
      </c>
      <c r="K4455" s="14" t="n">
        <v>0</v>
      </c>
      <c r="L4455" s="14" t="n">
        <v>0</v>
      </c>
      <c r="M4455" s="14">
        <f>IF(B4455="Frete de venda",0,(1-ISNUMBER(SEARCH("556",P4455)))*(I4455*VLOOKUP($B4455,Premissas!$A$4:$E$7,2,0)+J4455*VLOOKUP($B4455,Premissas!$A$4:$E$7,3,0))+K4455*VLOOKUP($B4455,Premissas!$A$4:$E$7,4,0)+L4455*VLOOKUP($B4455,Premissas!$A$4:$E$7,5,0))</f>
        <v/>
      </c>
      <c r="N4455" s="14">
        <f>H4455-M4455</f>
        <v/>
      </c>
      <c r="O4455" t="inlineStr">
        <is>
          <t>Não</t>
        </is>
      </c>
      <c r="P4455" t="inlineStr">
        <is>
          <t>2.350</t>
        </is>
      </c>
    </row>
    <row r="4456">
      <c r="A4456" s="24" t="n">
        <v>46235</v>
      </c>
      <c r="B4456" t="inlineStr">
        <is>
          <t>Frete de venda</t>
        </is>
      </c>
      <c r="C4456" t="inlineStr">
        <is>
          <t>Frete de venda (para clientes)</t>
        </is>
      </c>
      <c r="D4456" t="inlineStr">
        <is>
          <t>CT-e</t>
        </is>
      </c>
      <c r="E4456" t="inlineStr">
        <is>
          <t>000000190</t>
        </is>
      </c>
      <c r="F4456" t="inlineStr">
        <is>
          <t>DURA MAIS TRANSPORTES LTDA</t>
        </is>
      </c>
      <c r="G4456" s="27" t="n">
        <v>46246</v>
      </c>
      <c r="H4456" s="14" t="n">
        <v>600</v>
      </c>
      <c r="I4456" s="14" t="n">
        <v>0</v>
      </c>
      <c r="J4456" s="14" t="n">
        <v>72</v>
      </c>
      <c r="K4456" s="14" t="n">
        <v>0</v>
      </c>
      <c r="L4456" s="14" t="n">
        <v>0</v>
      </c>
      <c r="M4456" s="14">
        <f>IF(B4456="Frete de venda",0,(1-ISNUMBER(SEARCH("556",P4456)))*(I4456*VLOOKUP($B4456,Premissas!$A$4:$E$7,2,0)+J4456*VLOOKUP($B4456,Premissas!$A$4:$E$7,3,0))+K4456*VLOOKUP($B4456,Premissas!$A$4:$E$7,4,0)+L4456*VLOOKUP($B4456,Premissas!$A$4:$E$7,5,0))</f>
        <v/>
      </c>
      <c r="N4456" s="14">
        <f>H4456-M4456</f>
        <v/>
      </c>
      <c r="O4456" t="inlineStr">
        <is>
          <t>Sim</t>
        </is>
      </c>
      <c r="P4456" t="inlineStr">
        <is>
          <t>2.350</t>
        </is>
      </c>
    </row>
    <row r="4457">
      <c r="A4457" s="24" t="n">
        <v>46235</v>
      </c>
      <c r="B4457" t="inlineStr">
        <is>
          <t>Frete de venda</t>
        </is>
      </c>
      <c r="C4457" t="inlineStr">
        <is>
          <t>Frete de venda (para clientes)</t>
        </is>
      </c>
      <c r="D4457" t="inlineStr">
        <is>
          <t>CT-e</t>
        </is>
      </c>
      <c r="E4457" t="inlineStr">
        <is>
          <t>000000278</t>
        </is>
      </c>
      <c r="F4457" t="inlineStr">
        <is>
          <t>DURA MAIS TRANSPORTES LTDA</t>
        </is>
      </c>
      <c r="G4457" s="27" t="n">
        <v>46254</v>
      </c>
      <c r="H4457" s="14" t="n">
        <v>1150</v>
      </c>
      <c r="I4457" s="14" t="n">
        <v>0</v>
      </c>
      <c r="J4457" s="14" t="n">
        <v>138</v>
      </c>
      <c r="K4457" s="14" t="n">
        <v>0</v>
      </c>
      <c r="L4457" s="14" t="n">
        <v>0</v>
      </c>
      <c r="M4457" s="14">
        <f>IF(B4457="Frete de venda",0,(1-ISNUMBER(SEARCH("556",P4457)))*(I4457*VLOOKUP($B4457,Premissas!$A$4:$E$7,2,0)+J4457*VLOOKUP($B4457,Premissas!$A$4:$E$7,3,0))+K4457*VLOOKUP($B4457,Premissas!$A$4:$E$7,4,0)+L4457*VLOOKUP($B4457,Premissas!$A$4:$E$7,5,0))</f>
        <v/>
      </c>
      <c r="N4457" s="14">
        <f>H4457-M4457</f>
        <v/>
      </c>
      <c r="O4457" t="inlineStr">
        <is>
          <t>Sim</t>
        </is>
      </c>
      <c r="P4457" t="inlineStr">
        <is>
          <t>2.350</t>
        </is>
      </c>
    </row>
    <row r="4458">
      <c r="A4458" s="24" t="n">
        <v>46235</v>
      </c>
      <c r="B4458" t="inlineStr">
        <is>
          <t>Frete de venda</t>
        </is>
      </c>
      <c r="C4458" t="inlineStr">
        <is>
          <t>Frete de venda (para clientes)</t>
        </is>
      </c>
      <c r="D4458" t="inlineStr">
        <is>
          <t>CT-e</t>
        </is>
      </c>
      <c r="E4458" t="inlineStr">
        <is>
          <t>000000279</t>
        </is>
      </c>
      <c r="F4458" t="inlineStr">
        <is>
          <t>DURA MAIS TRANSPORTES LTDA</t>
        </is>
      </c>
      <c r="G4458" s="27" t="n">
        <v>46254</v>
      </c>
      <c r="H4458" s="14" t="n">
        <v>575</v>
      </c>
      <c r="I4458" s="14" t="n">
        <v>0</v>
      </c>
      <c r="J4458" s="14" t="n">
        <v>69</v>
      </c>
      <c r="K4458" s="14" t="n">
        <v>0</v>
      </c>
      <c r="L4458" s="14" t="n">
        <v>0</v>
      </c>
      <c r="M4458" s="14">
        <f>IF(B4458="Frete de venda",0,(1-ISNUMBER(SEARCH("556",P4458)))*(I4458*VLOOKUP($B4458,Premissas!$A$4:$E$7,2,0)+J4458*VLOOKUP($B4458,Premissas!$A$4:$E$7,3,0))+K4458*VLOOKUP($B4458,Premissas!$A$4:$E$7,4,0)+L4458*VLOOKUP($B4458,Premissas!$A$4:$E$7,5,0))</f>
        <v/>
      </c>
      <c r="N4458" s="14">
        <f>H4458-M4458</f>
        <v/>
      </c>
      <c r="O4458" t="inlineStr">
        <is>
          <t>Sim</t>
        </is>
      </c>
      <c r="P4458" t="inlineStr">
        <is>
          <t>2.350</t>
        </is>
      </c>
    </row>
    <row r="4459">
      <c r="A4459" s="24" t="n">
        <v>46235</v>
      </c>
      <c r="B4459" t="inlineStr">
        <is>
          <t>Frete de venda</t>
        </is>
      </c>
      <c r="C4459" t="inlineStr">
        <is>
          <t>Frete de venda (para clientes)</t>
        </is>
      </c>
      <c r="D4459" t="inlineStr">
        <is>
          <t>CT-e</t>
        </is>
      </c>
      <c r="E4459" t="inlineStr">
        <is>
          <t>000046797</t>
        </is>
      </c>
      <c r="F4459" t="inlineStr">
        <is>
          <t>TRANSFORRECHI TRANSPORTES LTDA</t>
        </is>
      </c>
      <c r="G4459" s="27" t="n">
        <v>46261</v>
      </c>
      <c r="H4459" s="14" t="n">
        <v>380</v>
      </c>
      <c r="I4459" s="14" t="n">
        <v>0</v>
      </c>
      <c r="J4459" s="14" t="n">
        <v>45.6</v>
      </c>
      <c r="K4459" s="14" t="n">
        <v>0</v>
      </c>
      <c r="L4459" s="14" t="n">
        <v>0</v>
      </c>
      <c r="M4459" s="14">
        <f>IF(B4459="Frete de venda",0,(1-ISNUMBER(SEARCH("556",P4459)))*(I4459*VLOOKUP($B4459,Premissas!$A$4:$E$7,2,0)+J4459*VLOOKUP($B4459,Premissas!$A$4:$E$7,3,0))+K4459*VLOOKUP($B4459,Premissas!$A$4:$E$7,4,0)+L4459*VLOOKUP($B4459,Premissas!$A$4:$E$7,5,0))</f>
        <v/>
      </c>
      <c r="N4459" s="14">
        <f>H4459-M4459</f>
        <v/>
      </c>
      <c r="O4459" t="inlineStr">
        <is>
          <t>Sim</t>
        </is>
      </c>
      <c r="P4459" t="inlineStr">
        <is>
          <t>2.350</t>
        </is>
      </c>
    </row>
    <row r="4460">
      <c r="A4460" s="24" t="n">
        <v>46235</v>
      </c>
      <c r="B4460" t="inlineStr">
        <is>
          <t>Frete de venda</t>
        </is>
      </c>
      <c r="C4460" t="inlineStr">
        <is>
          <t>Frete de venda (para clientes)</t>
        </is>
      </c>
      <c r="D4460" t="inlineStr">
        <is>
          <t>CT-e</t>
        </is>
      </c>
      <c r="E4460" t="inlineStr">
        <is>
          <t>000000129</t>
        </is>
      </c>
      <c r="F4460" t="inlineStr">
        <is>
          <t>DURA MAIS TRANSPORTES LTDA</t>
        </is>
      </c>
      <c r="G4460" s="27" t="n">
        <v>46239</v>
      </c>
      <c r="H4460" s="14" t="n">
        <v>525</v>
      </c>
      <c r="I4460" s="14" t="n">
        <v>0</v>
      </c>
      <c r="J4460" s="14" t="n">
        <v>63</v>
      </c>
      <c r="K4460" s="14" t="n">
        <v>0</v>
      </c>
      <c r="L4460" s="14" t="n">
        <v>0</v>
      </c>
      <c r="M4460" s="14">
        <f>IF(B4460="Frete de venda",0,(1-ISNUMBER(SEARCH("556",P4460)))*(I4460*VLOOKUP($B4460,Premissas!$A$4:$E$7,2,0)+J4460*VLOOKUP($B4460,Premissas!$A$4:$E$7,3,0))+K4460*VLOOKUP($B4460,Premissas!$A$4:$E$7,4,0)+L4460*VLOOKUP($B4460,Premissas!$A$4:$E$7,5,0))</f>
        <v/>
      </c>
      <c r="N4460" s="14">
        <f>H4460-M4460</f>
        <v/>
      </c>
      <c r="O4460" t="inlineStr">
        <is>
          <t>Não</t>
        </is>
      </c>
      <c r="P4460" t="inlineStr">
        <is>
          <t>1.350</t>
        </is>
      </c>
    </row>
    <row r="4461">
      <c r="A4461" s="24" t="n">
        <v>46235</v>
      </c>
      <c r="B4461" t="inlineStr">
        <is>
          <t>Frete de venda</t>
        </is>
      </c>
      <c r="C4461" t="inlineStr">
        <is>
          <t>Frete de venda (para clientes)</t>
        </is>
      </c>
      <c r="D4461" t="inlineStr">
        <is>
          <t>CT-e</t>
        </is>
      </c>
      <c r="E4461" t="inlineStr">
        <is>
          <t>000007852</t>
        </is>
      </c>
      <c r="F4461" t="inlineStr">
        <is>
          <t>R&amp;R TRANSPORTE E LOGISTICA</t>
        </is>
      </c>
      <c r="G4461" s="27" t="n">
        <v>46235</v>
      </c>
      <c r="H4461" s="14" t="n">
        <v>37.44</v>
      </c>
      <c r="I4461" s="14" t="n">
        <v>0</v>
      </c>
      <c r="J4461" s="14" t="n">
        <v>0</v>
      </c>
      <c r="K4461" s="14" t="n">
        <v>0</v>
      </c>
      <c r="L4461" s="14" t="n">
        <v>0</v>
      </c>
      <c r="M4461" s="14">
        <f>IF(B4461="Frete de venda",0,(1-ISNUMBER(SEARCH("556",P4461)))*(I4461*VLOOKUP($B4461,Premissas!$A$4:$E$7,2,0)+J4461*VLOOKUP($B4461,Premissas!$A$4:$E$7,3,0))+K4461*VLOOKUP($B4461,Premissas!$A$4:$E$7,4,0)+L4461*VLOOKUP($B4461,Premissas!$A$4:$E$7,5,0))</f>
        <v/>
      </c>
      <c r="N4461" s="14">
        <f>H4461-M4461</f>
        <v/>
      </c>
      <c r="O4461" t="inlineStr">
        <is>
          <t>Não</t>
        </is>
      </c>
      <c r="P4461" t="inlineStr">
        <is>
          <t>2.350</t>
        </is>
      </c>
    </row>
    <row r="4462">
      <c r="A4462" s="24" t="n">
        <v>46235</v>
      </c>
      <c r="B4462" t="inlineStr">
        <is>
          <t>Frete de venda</t>
        </is>
      </c>
      <c r="C4462" t="inlineStr">
        <is>
          <t>Frete de venda (para clientes)</t>
        </is>
      </c>
      <c r="D4462" t="inlineStr">
        <is>
          <t>CT-e</t>
        </is>
      </c>
      <c r="E4462" t="inlineStr">
        <is>
          <t>000046791</t>
        </is>
      </c>
      <c r="F4462" t="inlineStr">
        <is>
          <t>TRANSFORRECHI TRANSPORTES LTDA</t>
        </is>
      </c>
      <c r="G4462" s="27" t="n">
        <v>46261</v>
      </c>
      <c r="H4462" s="14" t="n">
        <v>600</v>
      </c>
      <c r="I4462" s="14" t="n">
        <v>0</v>
      </c>
      <c r="J4462" s="14" t="n">
        <v>72</v>
      </c>
      <c r="K4462" s="14" t="n">
        <v>0</v>
      </c>
      <c r="L4462" s="14" t="n">
        <v>0</v>
      </c>
      <c r="M4462" s="14">
        <f>IF(B4462="Frete de venda",0,(1-ISNUMBER(SEARCH("556",P4462)))*(I4462*VLOOKUP($B4462,Premissas!$A$4:$E$7,2,0)+J4462*VLOOKUP($B4462,Premissas!$A$4:$E$7,3,0))+K4462*VLOOKUP($B4462,Premissas!$A$4:$E$7,4,0)+L4462*VLOOKUP($B4462,Premissas!$A$4:$E$7,5,0))</f>
        <v/>
      </c>
      <c r="N4462" s="14">
        <f>H4462-M4462</f>
        <v/>
      </c>
      <c r="O4462" t="inlineStr">
        <is>
          <t>Sim</t>
        </is>
      </c>
      <c r="P4462" t="inlineStr">
        <is>
          <t>2.350</t>
        </is>
      </c>
    </row>
    <row r="4463">
      <c r="A4463" s="24" t="n">
        <v>46235</v>
      </c>
      <c r="B4463" t="inlineStr">
        <is>
          <t>Frete de venda</t>
        </is>
      </c>
      <c r="C4463" t="inlineStr">
        <is>
          <t>Frete de venda (para clientes)</t>
        </is>
      </c>
      <c r="D4463" t="inlineStr">
        <is>
          <t>CT-e</t>
        </is>
      </c>
      <c r="E4463" t="inlineStr">
        <is>
          <t>000046571</t>
        </is>
      </c>
      <c r="F4463" t="inlineStr">
        <is>
          <t>TRANSFORRECHI TRANSPORTES LTDA</t>
        </is>
      </c>
      <c r="G4463" s="27" t="n">
        <v>46248</v>
      </c>
      <c r="H4463" s="14" t="n">
        <v>1800</v>
      </c>
      <c r="I4463" s="14" t="n">
        <v>0</v>
      </c>
      <c r="J4463" s="14" t="n">
        <v>216</v>
      </c>
      <c r="K4463" s="14" t="n">
        <v>0</v>
      </c>
      <c r="L4463" s="14" t="n">
        <v>0</v>
      </c>
      <c r="M4463" s="14">
        <f>IF(B4463="Frete de venda",0,(1-ISNUMBER(SEARCH("556",P4463)))*(I4463*VLOOKUP($B4463,Premissas!$A$4:$E$7,2,0)+J4463*VLOOKUP($B4463,Premissas!$A$4:$E$7,3,0))+K4463*VLOOKUP($B4463,Premissas!$A$4:$E$7,4,0)+L4463*VLOOKUP($B4463,Premissas!$A$4:$E$7,5,0))</f>
        <v/>
      </c>
      <c r="N4463" s="14">
        <f>H4463-M4463</f>
        <v/>
      </c>
      <c r="O4463" t="inlineStr">
        <is>
          <t>Sim</t>
        </is>
      </c>
      <c r="P4463" t="inlineStr">
        <is>
          <t>2.350</t>
        </is>
      </c>
    </row>
    <row r="4464">
      <c r="A4464" s="24" t="n">
        <v>46235</v>
      </c>
      <c r="B4464" t="inlineStr">
        <is>
          <t>Insumos e papel</t>
        </is>
      </c>
      <c r="C4464" t="inlineStr">
        <is>
          <t>2.01.03 Compra de Matéria Prima (Papel)</t>
        </is>
      </c>
      <c r="D4464" t="inlineStr">
        <is>
          <t>NF-e</t>
        </is>
      </c>
      <c r="E4464" t="inlineStr">
        <is>
          <t>000014425</t>
        </is>
      </c>
      <c r="F4464" t="inlineStr">
        <is>
          <t>CMPC Iguacu Embalagens Ltda</t>
        </is>
      </c>
      <c r="G4464" s="27" t="n">
        <v>46259</v>
      </c>
      <c r="H4464" s="14" t="n">
        <v>152757.22</v>
      </c>
      <c r="I4464" s="14" t="n">
        <v>4808.34</v>
      </c>
      <c r="J4464" s="14" t="n">
        <v>10356.41</v>
      </c>
      <c r="K4464" s="14" t="n">
        <v>2270.28</v>
      </c>
      <c r="L4464" s="14" t="n">
        <v>10457.02</v>
      </c>
      <c r="M4464" s="14">
        <f>IF(B4464="Frete de venda",0,(1-ISNUMBER(SEARCH("556",P4464)))*(I4464*VLOOKUP($B4464,Premissas!$A$4:$E$7,2,0)+J4464*VLOOKUP($B4464,Premissas!$A$4:$E$7,3,0))+K4464*VLOOKUP($B4464,Premissas!$A$4:$E$7,4,0)+L4464*VLOOKUP($B4464,Premissas!$A$4:$E$7,5,0))</f>
        <v/>
      </c>
      <c r="N4464" s="14">
        <f>H4464-M4464</f>
        <v/>
      </c>
      <c r="O4464" t="inlineStr">
        <is>
          <t>Sim</t>
        </is>
      </c>
      <c r="P4464" t="inlineStr">
        <is>
          <t>2.101</t>
        </is>
      </c>
    </row>
    <row r="4465">
      <c r="A4465" s="24" t="n">
        <v>46235</v>
      </c>
      <c r="B4465" t="inlineStr">
        <is>
          <t>Insumos e papel</t>
        </is>
      </c>
      <c r="C4465" t="inlineStr">
        <is>
          <t>2.01.03 Compra de Matéria Prima (Papel)</t>
        </is>
      </c>
      <c r="D4465" t="inlineStr">
        <is>
          <t>NF-e</t>
        </is>
      </c>
      <c r="E4465" t="inlineStr">
        <is>
          <t>000014439</t>
        </is>
      </c>
      <c r="F4465" t="inlineStr">
        <is>
          <t>CMPC Iguacu Embalagens Ltda</t>
        </is>
      </c>
      <c r="G4465" s="27" t="n">
        <v>46259</v>
      </c>
      <c r="H4465" s="14" t="n">
        <v>151602.94</v>
      </c>
      <c r="I4465" s="14" t="n">
        <v>4772.01</v>
      </c>
      <c r="J4465" s="14" t="n">
        <v>10278.16</v>
      </c>
      <c r="K4465" s="14" t="n">
        <v>2253.12</v>
      </c>
      <c r="L4465" s="14" t="n">
        <v>10378.01</v>
      </c>
      <c r="M4465" s="14">
        <f>IF(B4465="Frete de venda",0,(1-ISNUMBER(SEARCH("556",P4465)))*(I4465*VLOOKUP($B4465,Premissas!$A$4:$E$7,2,0)+J4465*VLOOKUP($B4465,Premissas!$A$4:$E$7,3,0))+K4465*VLOOKUP($B4465,Premissas!$A$4:$E$7,4,0)+L4465*VLOOKUP($B4465,Premissas!$A$4:$E$7,5,0))</f>
        <v/>
      </c>
      <c r="N4465" s="14">
        <f>H4465-M4465</f>
        <v/>
      </c>
      <c r="O4465" t="inlineStr">
        <is>
          <t>Sim</t>
        </is>
      </c>
      <c r="P4465" t="inlineStr">
        <is>
          <t>2.101</t>
        </is>
      </c>
    </row>
    <row r="4466">
      <c r="A4466" s="24" t="n">
        <v>46235</v>
      </c>
      <c r="B4466" t="inlineStr">
        <is>
          <t>Insumos e papel</t>
        </is>
      </c>
      <c r="C4466" t="inlineStr">
        <is>
          <t>2.01.03 Compra de Matéria Prima (Papel)</t>
        </is>
      </c>
      <c r="D4466" t="inlineStr">
        <is>
          <t>NF-e</t>
        </is>
      </c>
      <c r="E4466" t="inlineStr">
        <is>
          <t>000014442</t>
        </is>
      </c>
      <c r="F4466" t="inlineStr">
        <is>
          <t>CMPC Iguacu Embalagens Ltda</t>
        </is>
      </c>
      <c r="G4466" s="27" t="n">
        <v>46259</v>
      </c>
      <c r="H4466" s="14" t="n">
        <v>151121.99</v>
      </c>
      <c r="I4466" s="14" t="n">
        <v>4756.87</v>
      </c>
      <c r="J4466" s="14" t="n">
        <v>10245.56</v>
      </c>
      <c r="K4466" s="14" t="n">
        <v>2245.97</v>
      </c>
      <c r="L4466" s="14" t="n">
        <v>10345.09</v>
      </c>
      <c r="M4466" s="14">
        <f>IF(B4466="Frete de venda",0,(1-ISNUMBER(SEARCH("556",P4466)))*(I4466*VLOOKUP($B4466,Premissas!$A$4:$E$7,2,0)+J4466*VLOOKUP($B4466,Premissas!$A$4:$E$7,3,0))+K4466*VLOOKUP($B4466,Premissas!$A$4:$E$7,4,0)+L4466*VLOOKUP($B4466,Premissas!$A$4:$E$7,5,0))</f>
        <v/>
      </c>
      <c r="N4466" s="14">
        <f>H4466-M4466</f>
        <v/>
      </c>
      <c r="O4466" t="inlineStr">
        <is>
          <t>Sim</t>
        </is>
      </c>
      <c r="P4466" t="inlineStr">
        <is>
          <t>2.101</t>
        </is>
      </c>
    </row>
    <row r="4467">
      <c r="A4467" s="24" t="n">
        <v>46235</v>
      </c>
      <c r="B4467" t="inlineStr">
        <is>
          <t>Insumos e papel</t>
        </is>
      </c>
      <c r="C4467" t="inlineStr">
        <is>
          <t>2.01.03 Compra de Matéria Prima (Papel)</t>
        </is>
      </c>
      <c r="D4467" t="inlineStr">
        <is>
          <t>NF-e</t>
        </is>
      </c>
      <c r="E4467" t="inlineStr">
        <is>
          <t>000014447</t>
        </is>
      </c>
      <c r="F4467" t="inlineStr">
        <is>
          <t>CMPC Iguacu Embalagens Ltda</t>
        </is>
      </c>
      <c r="G4467" s="27" t="n">
        <v>46259</v>
      </c>
      <c r="H4467" s="14" t="n">
        <v>151110.68</v>
      </c>
      <c r="I4467" s="14" t="n">
        <v>4756.51</v>
      </c>
      <c r="J4467" s="14" t="n">
        <v>10244.79</v>
      </c>
      <c r="K4467" s="14" t="n">
        <v>2245.81</v>
      </c>
      <c r="L4467" s="14" t="n">
        <v>10344.32</v>
      </c>
      <c r="M4467" s="14">
        <f>IF(B4467="Frete de venda",0,(1-ISNUMBER(SEARCH("556",P4467)))*(I4467*VLOOKUP($B4467,Premissas!$A$4:$E$7,2,0)+J4467*VLOOKUP($B4467,Premissas!$A$4:$E$7,3,0))+K4467*VLOOKUP($B4467,Premissas!$A$4:$E$7,4,0)+L4467*VLOOKUP($B4467,Premissas!$A$4:$E$7,5,0))</f>
        <v/>
      </c>
      <c r="N4467" s="14">
        <f>H4467-M4467</f>
        <v/>
      </c>
      <c r="O4467" t="inlineStr">
        <is>
          <t>Sim</t>
        </is>
      </c>
      <c r="P4467" t="inlineStr">
        <is>
          <t>2.101</t>
        </is>
      </c>
    </row>
    <row r="4468">
      <c r="A4468" s="24" t="n">
        <v>46235</v>
      </c>
      <c r="B4468" t="inlineStr">
        <is>
          <t>Insumos e papel</t>
        </is>
      </c>
      <c r="C4468" t="inlineStr">
        <is>
          <t>2.01.03 Compra de Matéria Prima (Papel)</t>
        </is>
      </c>
      <c r="D4468" t="inlineStr">
        <is>
          <t>NF-e</t>
        </is>
      </c>
      <c r="E4468" t="inlineStr">
        <is>
          <t>000014450</t>
        </is>
      </c>
      <c r="F4468" t="inlineStr">
        <is>
          <t>CMPC Iguacu Embalagens Ltda</t>
        </is>
      </c>
      <c r="G4468" s="27" t="n">
        <v>46259</v>
      </c>
      <c r="H4468" s="14" t="n">
        <v>152842.13</v>
      </c>
      <c r="I4468" s="14" t="n">
        <v>4811.01</v>
      </c>
      <c r="J4468" s="14" t="n">
        <v>10362.18</v>
      </c>
      <c r="K4468" s="14" t="n">
        <v>2271.53</v>
      </c>
      <c r="L4468" s="14" t="n">
        <v>10462.85</v>
      </c>
      <c r="M4468" s="14">
        <f>IF(B4468="Frete de venda",0,(1-ISNUMBER(SEARCH("556",P4468)))*(I4468*VLOOKUP($B4468,Premissas!$A$4:$E$7,2,0)+J4468*VLOOKUP($B4468,Premissas!$A$4:$E$7,3,0))+K4468*VLOOKUP($B4468,Premissas!$A$4:$E$7,4,0)+L4468*VLOOKUP($B4468,Premissas!$A$4:$E$7,5,0))</f>
        <v/>
      </c>
      <c r="N4468" s="14">
        <f>H4468-M4468</f>
        <v/>
      </c>
      <c r="O4468" t="inlineStr">
        <is>
          <t>Sim</t>
        </is>
      </c>
      <c r="P4468" t="inlineStr">
        <is>
          <t>2.101</t>
        </is>
      </c>
    </row>
    <row r="4469">
      <c r="A4469" s="24" t="n">
        <v>46235</v>
      </c>
      <c r="B4469" t="inlineStr">
        <is>
          <t>Insumos e papel</t>
        </is>
      </c>
      <c r="C4469" t="inlineStr">
        <is>
          <t>2.01.03 Compra de Matéria Prima (Papel)</t>
        </is>
      </c>
      <c r="D4469" t="inlineStr">
        <is>
          <t>NF-e</t>
        </is>
      </c>
      <c r="E4469" t="inlineStr">
        <is>
          <t>000014479</t>
        </is>
      </c>
      <c r="F4469" t="inlineStr">
        <is>
          <t>CMPC Iguacu Embalagens Ltda</t>
        </is>
      </c>
      <c r="G4469" s="27" t="n">
        <v>46261</v>
      </c>
      <c r="H4469" s="14" t="n">
        <v>152208.4</v>
      </c>
      <c r="I4469" s="14" t="n">
        <v>4791.07</v>
      </c>
      <c r="J4469" s="14" t="n">
        <v>10319.22</v>
      </c>
      <c r="K4469" s="14" t="n">
        <v>2262.13</v>
      </c>
      <c r="L4469" s="14" t="n">
        <v>10419.46</v>
      </c>
      <c r="M4469" s="14">
        <f>IF(B4469="Frete de venda",0,(1-ISNUMBER(SEARCH("556",P4469)))*(I4469*VLOOKUP($B4469,Premissas!$A$4:$E$7,2,0)+J4469*VLOOKUP($B4469,Premissas!$A$4:$E$7,3,0))+K4469*VLOOKUP($B4469,Premissas!$A$4:$E$7,4,0)+L4469*VLOOKUP($B4469,Premissas!$A$4:$E$7,5,0))</f>
        <v/>
      </c>
      <c r="N4469" s="14">
        <f>H4469-M4469</f>
        <v/>
      </c>
      <c r="O4469" t="inlineStr">
        <is>
          <t>Sim</t>
        </is>
      </c>
      <c r="P4469" t="inlineStr">
        <is>
          <t>2.101</t>
        </is>
      </c>
    </row>
    <row r="4470">
      <c r="A4470" s="24" t="n">
        <v>46235</v>
      </c>
      <c r="B4470" t="inlineStr">
        <is>
          <t>Insumos e papel</t>
        </is>
      </c>
      <c r="C4470" t="inlineStr">
        <is>
          <t>2.01.03 Compra de Matéria Prima (Papel)</t>
        </is>
      </c>
      <c r="D4470" t="inlineStr">
        <is>
          <t>NF-e</t>
        </is>
      </c>
      <c r="E4470" t="inlineStr">
        <is>
          <t>000014487</t>
        </is>
      </c>
      <c r="F4470" t="inlineStr">
        <is>
          <t>CMPC Iguacu Embalagens Ltda</t>
        </is>
      </c>
      <c r="G4470" s="27" t="n">
        <v>46261</v>
      </c>
      <c r="H4470" s="14" t="n">
        <v>150782.49</v>
      </c>
      <c r="I4470" s="14" t="n">
        <v>4746.18</v>
      </c>
      <c r="J4470" s="14" t="n">
        <v>10222.54</v>
      </c>
      <c r="K4470" s="14" t="n">
        <v>2240.93</v>
      </c>
      <c r="L4470" s="14" t="n">
        <v>10321.85</v>
      </c>
      <c r="M4470" s="14">
        <f>IF(B4470="Frete de venda",0,(1-ISNUMBER(SEARCH("556",P4470)))*(I4470*VLOOKUP($B4470,Premissas!$A$4:$E$7,2,0)+J4470*VLOOKUP($B4470,Premissas!$A$4:$E$7,3,0))+K4470*VLOOKUP($B4470,Premissas!$A$4:$E$7,4,0)+L4470*VLOOKUP($B4470,Premissas!$A$4:$E$7,5,0))</f>
        <v/>
      </c>
      <c r="N4470" s="14">
        <f>H4470-M4470</f>
        <v/>
      </c>
      <c r="O4470" t="inlineStr">
        <is>
          <t>Sim</t>
        </is>
      </c>
      <c r="P4470" t="inlineStr">
        <is>
          <t>2.101</t>
        </is>
      </c>
    </row>
    <row r="4471">
      <c r="A4471" s="24" t="n">
        <v>46235</v>
      </c>
      <c r="B4471" t="inlineStr">
        <is>
          <t>Insumos e papel</t>
        </is>
      </c>
      <c r="C4471" t="inlineStr">
        <is>
          <t>2.01.03 Compra de Matéria Prima (Papel)</t>
        </is>
      </c>
      <c r="D4471" t="inlineStr">
        <is>
          <t>NF-e</t>
        </is>
      </c>
      <c r="E4471" t="inlineStr">
        <is>
          <t>000014484</t>
        </is>
      </c>
      <c r="F4471" t="inlineStr">
        <is>
          <t>CMPC Iguacu Embalagens Ltda</t>
        </is>
      </c>
      <c r="G4471" s="27" t="n">
        <v>46261</v>
      </c>
      <c r="H4471" s="14" t="n">
        <v>152768.55</v>
      </c>
      <c r="I4471" s="14" t="n">
        <v>4808.69</v>
      </c>
      <c r="J4471" s="14" t="n">
        <v>10357.18</v>
      </c>
      <c r="K4471" s="14" t="n">
        <v>2270.44</v>
      </c>
      <c r="L4471" s="14" t="n">
        <v>10457.8</v>
      </c>
      <c r="M4471" s="14">
        <f>IF(B4471="Frete de venda",0,(1-ISNUMBER(SEARCH("556",P4471)))*(I4471*VLOOKUP($B4471,Premissas!$A$4:$E$7,2,0)+J4471*VLOOKUP($B4471,Premissas!$A$4:$E$7,3,0))+K4471*VLOOKUP($B4471,Premissas!$A$4:$E$7,4,0)+L4471*VLOOKUP($B4471,Premissas!$A$4:$E$7,5,0))</f>
        <v/>
      </c>
      <c r="N4471" s="14">
        <f>H4471-M4471</f>
        <v/>
      </c>
      <c r="O4471" t="inlineStr">
        <is>
          <t>Sim</t>
        </is>
      </c>
      <c r="P4471" t="inlineStr">
        <is>
          <t>2.101</t>
        </is>
      </c>
    </row>
    <row r="4472">
      <c r="A4472" s="24" t="n">
        <v>46235</v>
      </c>
      <c r="B4472" t="inlineStr">
        <is>
          <t>Insumos e papel</t>
        </is>
      </c>
      <c r="C4472" t="inlineStr">
        <is>
          <t>2.01.03 Compra de Matéria Prima (Papel)</t>
        </is>
      </c>
      <c r="D4472" t="inlineStr">
        <is>
          <t>NF-e</t>
        </is>
      </c>
      <c r="E4472" t="inlineStr">
        <is>
          <t>000014510</t>
        </is>
      </c>
      <c r="F4472" t="inlineStr">
        <is>
          <t>CMPC Iguacu Embalagens Ltda</t>
        </is>
      </c>
      <c r="G4472" s="27" t="n">
        <v>46262</v>
      </c>
      <c r="H4472" s="14" t="n">
        <v>153453.21</v>
      </c>
      <c r="I4472" s="14" t="n">
        <v>4830.25</v>
      </c>
      <c r="J4472" s="14" t="n">
        <v>10403.6</v>
      </c>
      <c r="K4472" s="14" t="n">
        <v>2280.62</v>
      </c>
      <c r="L4472" s="14" t="n">
        <v>10504.67</v>
      </c>
      <c r="M4472" s="14">
        <f>IF(B4472="Frete de venda",0,(1-ISNUMBER(SEARCH("556",P4472)))*(I4472*VLOOKUP($B4472,Premissas!$A$4:$E$7,2,0)+J4472*VLOOKUP($B4472,Premissas!$A$4:$E$7,3,0))+K4472*VLOOKUP($B4472,Premissas!$A$4:$E$7,4,0)+L4472*VLOOKUP($B4472,Premissas!$A$4:$E$7,5,0))</f>
        <v/>
      </c>
      <c r="N4472" s="14">
        <f>H4472-M4472</f>
        <v/>
      </c>
      <c r="O4472" t="inlineStr">
        <is>
          <t>Sim</t>
        </is>
      </c>
      <c r="P4472" t="inlineStr">
        <is>
          <t>1.556, 2.101</t>
        </is>
      </c>
    </row>
    <row r="4473">
      <c r="A4473" s="24" t="n">
        <v>46235</v>
      </c>
      <c r="B4473" t="inlineStr">
        <is>
          <t>Insumos e papel</t>
        </is>
      </c>
      <c r="C4473" t="inlineStr">
        <is>
          <t>2.01.03 Compra de Matéria Prima (Papel)</t>
        </is>
      </c>
      <c r="D4473" t="inlineStr">
        <is>
          <t>NF-e</t>
        </is>
      </c>
      <c r="E4473" t="inlineStr">
        <is>
          <t>000014500</t>
        </is>
      </c>
      <c r="F4473" t="inlineStr">
        <is>
          <t>CMPC Iguacu Embalagens Ltda</t>
        </is>
      </c>
      <c r="G4473" s="27" t="n">
        <v>46262</v>
      </c>
      <c r="H4473" s="14" t="n">
        <v>152508.28</v>
      </c>
      <c r="I4473" s="14" t="n">
        <v>4800.5</v>
      </c>
      <c r="J4473" s="14" t="n">
        <v>10339.55</v>
      </c>
      <c r="K4473" s="14" t="n">
        <v>2266.57</v>
      </c>
      <c r="L4473" s="14" t="n">
        <v>10439.99</v>
      </c>
      <c r="M4473" s="14">
        <f>IF(B4473="Frete de venda",0,(1-ISNUMBER(SEARCH("556",P4473)))*(I4473*VLOOKUP($B4473,Premissas!$A$4:$E$7,2,0)+J4473*VLOOKUP($B4473,Premissas!$A$4:$E$7,3,0))+K4473*VLOOKUP($B4473,Premissas!$A$4:$E$7,4,0)+L4473*VLOOKUP($B4473,Premissas!$A$4:$E$7,5,0))</f>
        <v/>
      </c>
      <c r="N4473" s="14">
        <f>H4473-M4473</f>
        <v/>
      </c>
      <c r="O4473" t="inlineStr">
        <is>
          <t>Sim</t>
        </is>
      </c>
      <c r="P4473" t="inlineStr">
        <is>
          <t>2.101</t>
        </is>
      </c>
    </row>
    <row r="4474">
      <c r="A4474" s="24" t="n">
        <v>46235</v>
      </c>
      <c r="B4474" t="inlineStr">
        <is>
          <t>Insumos e papel</t>
        </is>
      </c>
      <c r="C4474" t="inlineStr">
        <is>
          <t>2.01.03 Compra de Matéria Prima (Papel)</t>
        </is>
      </c>
      <c r="D4474" t="inlineStr">
        <is>
          <t>NF-e</t>
        </is>
      </c>
      <c r="E4474" t="inlineStr">
        <is>
          <t>000014501</t>
        </is>
      </c>
      <c r="F4474" t="inlineStr">
        <is>
          <t>CMPC Iguacu Embalagens Ltda</t>
        </is>
      </c>
      <c r="G4474" s="27" t="n">
        <v>46262</v>
      </c>
      <c r="H4474" s="14" t="n">
        <v>151682.17</v>
      </c>
      <c r="I4474" s="14" t="n">
        <v>4774.5</v>
      </c>
      <c r="J4474" s="14" t="n">
        <v>10283.54</v>
      </c>
      <c r="K4474" s="14" t="n">
        <v>2254.31</v>
      </c>
      <c r="L4474" s="14" t="n">
        <v>10383.43</v>
      </c>
      <c r="M4474" s="14">
        <f>IF(B4474="Frete de venda",0,(1-ISNUMBER(SEARCH("556",P4474)))*(I4474*VLOOKUP($B4474,Premissas!$A$4:$E$7,2,0)+J4474*VLOOKUP($B4474,Premissas!$A$4:$E$7,3,0))+K4474*VLOOKUP($B4474,Premissas!$A$4:$E$7,4,0)+L4474*VLOOKUP($B4474,Premissas!$A$4:$E$7,5,0))</f>
        <v/>
      </c>
      <c r="N4474" s="14">
        <f>H4474-M4474</f>
        <v/>
      </c>
      <c r="O4474" t="inlineStr">
        <is>
          <t>Sim</t>
        </is>
      </c>
      <c r="P4474" t="inlineStr">
        <is>
          <t>2.101</t>
        </is>
      </c>
    </row>
    <row r="4475">
      <c r="A4475" s="24" t="n">
        <v>46235</v>
      </c>
      <c r="B4475" t="inlineStr">
        <is>
          <t>Insumos e papel</t>
        </is>
      </c>
      <c r="C4475" t="inlineStr">
        <is>
          <t>2.01.03 Compra de Matéria Prima (Papel)</t>
        </is>
      </c>
      <c r="D4475" t="inlineStr">
        <is>
          <t>NF-e</t>
        </is>
      </c>
      <c r="E4475" t="inlineStr">
        <is>
          <t>000014503</t>
        </is>
      </c>
      <c r="F4475" t="inlineStr">
        <is>
          <t>CMPC Iguacu Embalagens Ltda</t>
        </is>
      </c>
      <c r="G4475" s="27" t="n">
        <v>46262</v>
      </c>
      <c r="H4475" s="14" t="n">
        <v>152100.89</v>
      </c>
      <c r="I4475" s="14" t="n">
        <v>4787.68</v>
      </c>
      <c r="J4475" s="14" t="n">
        <v>10311.93</v>
      </c>
      <c r="K4475" s="14" t="n">
        <v>2260.53</v>
      </c>
      <c r="L4475" s="14" t="n">
        <v>10412.1</v>
      </c>
      <c r="M4475" s="14">
        <f>IF(B4475="Frete de venda",0,(1-ISNUMBER(SEARCH("556",P4475)))*(I4475*VLOOKUP($B4475,Premissas!$A$4:$E$7,2,0)+J4475*VLOOKUP($B4475,Premissas!$A$4:$E$7,3,0))+K4475*VLOOKUP($B4475,Premissas!$A$4:$E$7,4,0)+L4475*VLOOKUP($B4475,Premissas!$A$4:$E$7,5,0))</f>
        <v/>
      </c>
      <c r="N4475" s="14">
        <f>H4475-M4475</f>
        <v/>
      </c>
      <c r="O4475" t="inlineStr">
        <is>
          <t>Sim</t>
        </is>
      </c>
      <c r="P4475" t="inlineStr">
        <is>
          <t>2.101</t>
        </is>
      </c>
    </row>
    <row r="4476">
      <c r="A4476" s="24" t="n">
        <v>46235</v>
      </c>
      <c r="B4476" t="inlineStr">
        <is>
          <t>Insumos e papel</t>
        </is>
      </c>
      <c r="C4476" t="inlineStr">
        <is>
          <t>2.01.03 Compra de Matéria Prima (Papel)</t>
        </is>
      </c>
      <c r="D4476" t="inlineStr">
        <is>
          <t>NF-e</t>
        </is>
      </c>
      <c r="E4476" t="inlineStr">
        <is>
          <t>000014515</t>
        </is>
      </c>
      <c r="F4476" t="inlineStr">
        <is>
          <t>CMPC Iguacu Embalagens Ltda</t>
        </is>
      </c>
      <c r="G4476" s="27" t="n">
        <v>46265</v>
      </c>
      <c r="H4476" s="14" t="n">
        <v>151885.87</v>
      </c>
      <c r="I4476" s="14" t="n">
        <v>4780.91</v>
      </c>
      <c r="J4476" s="14" t="n">
        <v>10297.34</v>
      </c>
      <c r="K4476" s="14" t="n">
        <v>2257.32</v>
      </c>
      <c r="L4476" s="14" t="n">
        <v>10397.38</v>
      </c>
      <c r="M4476" s="14">
        <f>IF(B4476="Frete de venda",0,(1-ISNUMBER(SEARCH("556",P4476)))*(I4476*VLOOKUP($B4476,Premissas!$A$4:$E$7,2,0)+J4476*VLOOKUP($B4476,Premissas!$A$4:$E$7,3,0))+K4476*VLOOKUP($B4476,Premissas!$A$4:$E$7,4,0)+L4476*VLOOKUP($B4476,Premissas!$A$4:$E$7,5,0))</f>
        <v/>
      </c>
      <c r="N4476" s="14">
        <f>H4476-M4476</f>
        <v/>
      </c>
      <c r="O4476" t="inlineStr">
        <is>
          <t>Sim</t>
        </is>
      </c>
      <c r="P4476" t="inlineStr">
        <is>
          <t>2.101</t>
        </is>
      </c>
    </row>
    <row r="4477">
      <c r="A4477" s="24" t="n">
        <v>46235</v>
      </c>
      <c r="B4477" t="inlineStr">
        <is>
          <t>Insumos e papel</t>
        </is>
      </c>
      <c r="C4477" t="inlineStr">
        <is>
          <t>2.01.03 Compra de Matéria Prima (Papel)</t>
        </is>
      </c>
      <c r="D4477" t="inlineStr">
        <is>
          <t>NF-e</t>
        </is>
      </c>
      <c r="E4477" t="inlineStr">
        <is>
          <t>000014527</t>
        </is>
      </c>
      <c r="F4477" t="inlineStr">
        <is>
          <t>CMPC Iguacu Embalagens Ltda</t>
        </is>
      </c>
      <c r="G4477" s="27" t="n">
        <v>46265</v>
      </c>
      <c r="H4477" s="14" t="n">
        <v>153040.15</v>
      </c>
      <c r="I4477" s="14" t="n">
        <v>4817.24</v>
      </c>
      <c r="J4477" s="14" t="n">
        <v>10375.6</v>
      </c>
      <c r="K4477" s="14" t="n">
        <v>2274.48</v>
      </c>
      <c r="L4477" s="14" t="n">
        <v>10476.4</v>
      </c>
      <c r="M4477" s="14">
        <f>IF(B4477="Frete de venda",0,(1-ISNUMBER(SEARCH("556",P4477)))*(I4477*VLOOKUP($B4477,Premissas!$A$4:$E$7,2,0)+J4477*VLOOKUP($B4477,Premissas!$A$4:$E$7,3,0))+K4477*VLOOKUP($B4477,Premissas!$A$4:$E$7,4,0)+L4477*VLOOKUP($B4477,Premissas!$A$4:$E$7,5,0))</f>
        <v/>
      </c>
      <c r="N4477" s="14">
        <f>H4477-M4477</f>
        <v/>
      </c>
      <c r="O4477" t="inlineStr">
        <is>
          <t>Sim</t>
        </is>
      </c>
      <c r="P4477" t="inlineStr">
        <is>
          <t>2.101</t>
        </is>
      </c>
    </row>
    <row r="4478">
      <c r="A4478" s="24" t="n">
        <v>46235</v>
      </c>
      <c r="B4478" t="inlineStr">
        <is>
          <t>Insumos e papel</t>
        </is>
      </c>
      <c r="C4478" t="inlineStr">
        <is>
          <t>2.01.03 Compra de Matéria Prima (Papel)</t>
        </is>
      </c>
      <c r="D4478" t="inlineStr">
        <is>
          <t>NF-e</t>
        </is>
      </c>
      <c r="E4478" t="inlineStr">
        <is>
          <t>000014525</t>
        </is>
      </c>
      <c r="F4478" t="inlineStr">
        <is>
          <t>CMPC Iguacu Embalagens Ltda</t>
        </is>
      </c>
      <c r="G4478" s="27" t="n">
        <v>46265</v>
      </c>
      <c r="H4478" s="14" t="n">
        <v>150844.72</v>
      </c>
      <c r="I4478" s="14" t="n">
        <v>4748.13</v>
      </c>
      <c r="J4478" s="14" t="n">
        <v>10226.76</v>
      </c>
      <c r="K4478" s="14" t="n">
        <v>2241.85</v>
      </c>
      <c r="L4478" s="14" t="n">
        <v>10326.11</v>
      </c>
      <c r="M4478" s="14">
        <f>IF(B4478="Frete de venda",0,(1-ISNUMBER(SEARCH("556",P4478)))*(I4478*VLOOKUP($B4478,Premissas!$A$4:$E$7,2,0)+J4478*VLOOKUP($B4478,Premissas!$A$4:$E$7,3,0))+K4478*VLOOKUP($B4478,Premissas!$A$4:$E$7,4,0)+L4478*VLOOKUP($B4478,Premissas!$A$4:$E$7,5,0))</f>
        <v/>
      </c>
      <c r="N4478" s="14">
        <f>H4478-M4478</f>
        <v/>
      </c>
      <c r="O4478" t="inlineStr">
        <is>
          <t>Sim</t>
        </is>
      </c>
      <c r="P4478" t="inlineStr">
        <is>
          <t>2.101</t>
        </is>
      </c>
    </row>
    <row r="4479">
      <c r="A4479" s="24" t="n">
        <v>46235</v>
      </c>
      <c r="B4479" t="inlineStr">
        <is>
          <t>Insumos e papel</t>
        </is>
      </c>
      <c r="C4479" t="inlineStr">
        <is>
          <t>2.01.03 Compra de Matéria Prima (Papel)</t>
        </is>
      </c>
      <c r="D4479" t="inlineStr">
        <is>
          <t>NF-e</t>
        </is>
      </c>
      <c r="E4479" t="inlineStr">
        <is>
          <t>000014534</t>
        </is>
      </c>
      <c r="F4479" t="inlineStr">
        <is>
          <t>CMPC Iguacu Embalagens Ltda</t>
        </is>
      </c>
      <c r="G4479" s="27" t="n">
        <v>46265</v>
      </c>
      <c r="H4479" s="14" t="n">
        <v>152264.98</v>
      </c>
      <c r="I4479" s="14" t="n">
        <v>4792.85</v>
      </c>
      <c r="J4479" s="14" t="n">
        <v>10323.05</v>
      </c>
      <c r="K4479" s="14" t="n">
        <v>2262.96</v>
      </c>
      <c r="L4479" s="14" t="n">
        <v>10423.33</v>
      </c>
      <c r="M4479" s="14">
        <f>IF(B4479="Frete de venda",0,(1-ISNUMBER(SEARCH("556",P4479)))*(I4479*VLOOKUP($B4479,Premissas!$A$4:$E$7,2,0)+J4479*VLOOKUP($B4479,Premissas!$A$4:$E$7,3,0))+K4479*VLOOKUP($B4479,Premissas!$A$4:$E$7,4,0)+L4479*VLOOKUP($B4479,Premissas!$A$4:$E$7,5,0))</f>
        <v/>
      </c>
      <c r="N4479" s="14">
        <f>H4479-M4479</f>
        <v/>
      </c>
      <c r="O4479" t="inlineStr">
        <is>
          <t>Sim</t>
        </is>
      </c>
      <c r="P4479" t="inlineStr">
        <is>
          <t>2.101</t>
        </is>
      </c>
    </row>
    <row r="4480">
      <c r="A4480" s="24" t="n">
        <v>46235</v>
      </c>
      <c r="B4480" t="inlineStr">
        <is>
          <t>Insumos e papel</t>
        </is>
      </c>
      <c r="C4480" t="inlineStr">
        <is>
          <t>2.01.03 Compra de Matéria Prima (Papel)</t>
        </is>
      </c>
      <c r="D4480" t="inlineStr">
        <is>
          <t>NF-e</t>
        </is>
      </c>
      <c r="E4480" t="inlineStr">
        <is>
          <t>000014536</t>
        </is>
      </c>
      <c r="F4480" t="inlineStr">
        <is>
          <t>CMPC Iguacu Embalagens Ltda</t>
        </is>
      </c>
      <c r="G4480" s="27" t="n">
        <v>46265</v>
      </c>
      <c r="H4480" s="14" t="n">
        <v>152989.24</v>
      </c>
      <c r="I4480" s="14" t="n">
        <v>4815.64</v>
      </c>
      <c r="J4480" s="14" t="n">
        <v>10372.15</v>
      </c>
      <c r="K4480" s="14" t="n">
        <v>2273.73</v>
      </c>
      <c r="L4480" s="14" t="n">
        <v>10472.92</v>
      </c>
      <c r="M4480" s="14">
        <f>IF(B4480="Frete de venda",0,(1-ISNUMBER(SEARCH("556",P4480)))*(I4480*VLOOKUP($B4480,Premissas!$A$4:$E$7,2,0)+J4480*VLOOKUP($B4480,Premissas!$A$4:$E$7,3,0))+K4480*VLOOKUP($B4480,Premissas!$A$4:$E$7,4,0)+L4480*VLOOKUP($B4480,Premissas!$A$4:$E$7,5,0))</f>
        <v/>
      </c>
      <c r="N4480" s="14">
        <f>H4480-M4480</f>
        <v/>
      </c>
      <c r="O4480" t="inlineStr">
        <is>
          <t>Sim</t>
        </is>
      </c>
      <c r="P4480" t="inlineStr">
        <is>
          <t>2.101</t>
        </is>
      </c>
    </row>
    <row r="4481">
      <c r="A4481" s="24" t="n">
        <v>46235</v>
      </c>
      <c r="B4481" t="inlineStr">
        <is>
          <t>Insumos e papel</t>
        </is>
      </c>
      <c r="C4481" t="inlineStr">
        <is>
          <t>2.01.03 Compra de Matéria Prima (Papel)</t>
        </is>
      </c>
      <c r="D4481" t="inlineStr">
        <is>
          <t>NF-e</t>
        </is>
      </c>
      <c r="E4481" t="inlineStr">
        <is>
          <t>000100663</t>
        </is>
      </c>
      <c r="F4481" t="inlineStr">
        <is>
          <t>COCELPA CIA DE CEL. E PAPEL DO PARANA SA</t>
        </is>
      </c>
      <c r="G4481" s="27" t="n">
        <v>46245</v>
      </c>
      <c r="H4481" s="14" t="n">
        <v>100744.12</v>
      </c>
      <c r="I4481" s="14" t="n">
        <v>3171.12</v>
      </c>
      <c r="J4481" s="14" t="n">
        <v>6830.11</v>
      </c>
      <c r="K4481" s="14" t="n">
        <v>1497.26</v>
      </c>
      <c r="L4481" s="14" t="n">
        <v>6896.46</v>
      </c>
      <c r="M4481" s="14">
        <f>IF(B4481="Frete de venda",0,(1-ISNUMBER(SEARCH("556",P4481)))*(I4481*VLOOKUP($B4481,Premissas!$A$4:$E$7,2,0)+J4481*VLOOKUP($B4481,Premissas!$A$4:$E$7,3,0))+K4481*VLOOKUP($B4481,Premissas!$A$4:$E$7,4,0)+L4481*VLOOKUP($B4481,Premissas!$A$4:$E$7,5,0))</f>
        <v/>
      </c>
      <c r="N4481" s="14">
        <f>H4481-M4481</f>
        <v/>
      </c>
      <c r="O4481" t="inlineStr">
        <is>
          <t>Sim</t>
        </is>
      </c>
      <c r="P4481" t="inlineStr">
        <is>
          <t>2.101</t>
        </is>
      </c>
    </row>
    <row r="4482">
      <c r="A4482" s="24" t="n">
        <v>46235</v>
      </c>
      <c r="B4482" t="inlineStr">
        <is>
          <t>Insumos e papel</t>
        </is>
      </c>
      <c r="C4482" t="inlineStr">
        <is>
          <t>2.01.03 Compra de Matéria Prima (Papel)</t>
        </is>
      </c>
      <c r="D4482" t="inlineStr">
        <is>
          <t>NF-e</t>
        </is>
      </c>
      <c r="E4482" t="inlineStr">
        <is>
          <t>000100665</t>
        </is>
      </c>
      <c r="F4482" t="inlineStr">
        <is>
          <t>COCELPA CIA DE CEL. E PAPEL DO PARANA SA</t>
        </is>
      </c>
      <c r="G4482" s="27" t="n">
        <v>46245</v>
      </c>
      <c r="H4482" s="14" t="n">
        <v>100491.16</v>
      </c>
      <c r="I4482" s="14" t="n">
        <v>3163.16</v>
      </c>
      <c r="J4482" s="14" t="n">
        <v>6812.96</v>
      </c>
      <c r="K4482" s="14" t="n">
        <v>1493.5</v>
      </c>
      <c r="L4482" s="14" t="n">
        <v>6879.14</v>
      </c>
      <c r="M4482" s="14">
        <f>IF(B4482="Frete de venda",0,(1-ISNUMBER(SEARCH("556",P4482)))*(I4482*VLOOKUP($B4482,Premissas!$A$4:$E$7,2,0)+J4482*VLOOKUP($B4482,Premissas!$A$4:$E$7,3,0))+K4482*VLOOKUP($B4482,Premissas!$A$4:$E$7,4,0)+L4482*VLOOKUP($B4482,Premissas!$A$4:$E$7,5,0))</f>
        <v/>
      </c>
      <c r="N4482" s="14">
        <f>H4482-M4482</f>
        <v/>
      </c>
      <c r="O4482" t="inlineStr">
        <is>
          <t>Sim</t>
        </is>
      </c>
      <c r="P4482" t="inlineStr">
        <is>
          <t>2.101</t>
        </is>
      </c>
    </row>
    <row r="4483">
      <c r="A4483" s="24" t="n">
        <v>46235</v>
      </c>
      <c r="B4483" t="inlineStr">
        <is>
          <t>Insumos e papel</t>
        </is>
      </c>
      <c r="C4483" t="inlineStr">
        <is>
          <t>2.01.03 Compra de Matéria Prima (Papel)</t>
        </is>
      </c>
      <c r="D4483" t="inlineStr">
        <is>
          <t>NF-e</t>
        </is>
      </c>
      <c r="E4483" t="inlineStr">
        <is>
          <t>000100983</t>
        </is>
      </c>
      <c r="F4483" t="inlineStr">
        <is>
          <t>COCELPA CIA DE CEL. E PAPEL DO PARANA SA</t>
        </is>
      </c>
      <c r="G4483" s="27" t="n">
        <v>46262</v>
      </c>
      <c r="H4483" s="14" t="n">
        <v>98113.31</v>
      </c>
      <c r="I4483" s="14" t="n">
        <v>3088.31</v>
      </c>
      <c r="J4483" s="14" t="n">
        <v>6651.75</v>
      </c>
      <c r="K4483" s="14" t="n">
        <v>1458.16</v>
      </c>
      <c r="L4483" s="14" t="n">
        <v>6716.37</v>
      </c>
      <c r="M4483" s="14">
        <f>IF(B4483="Frete de venda",0,(1-ISNUMBER(SEARCH("556",P4483)))*(I4483*VLOOKUP($B4483,Premissas!$A$4:$E$7,2,0)+J4483*VLOOKUP($B4483,Premissas!$A$4:$E$7,3,0))+K4483*VLOOKUP($B4483,Premissas!$A$4:$E$7,4,0)+L4483*VLOOKUP($B4483,Premissas!$A$4:$E$7,5,0))</f>
        <v/>
      </c>
      <c r="N4483" s="14">
        <f>H4483-M4483</f>
        <v/>
      </c>
      <c r="O4483" t="inlineStr">
        <is>
          <t>Sim</t>
        </is>
      </c>
      <c r="P4483" t="inlineStr">
        <is>
          <t>2.101</t>
        </is>
      </c>
    </row>
    <row r="4484">
      <c r="A4484" s="24" t="n">
        <v>46235</v>
      </c>
      <c r="B4484" t="inlineStr">
        <is>
          <t>Insumos e papel</t>
        </is>
      </c>
      <c r="C4484" t="inlineStr">
        <is>
          <t>2.01.03 Compra de Matéria Prima (Papel)</t>
        </is>
      </c>
      <c r="D4484" t="inlineStr">
        <is>
          <t>NF-e</t>
        </is>
      </c>
      <c r="E4484" t="inlineStr">
        <is>
          <t>000100985</t>
        </is>
      </c>
      <c r="F4484" t="inlineStr">
        <is>
          <t>COCELPA CIA DE CEL. E PAPEL DO PARANA SA</t>
        </is>
      </c>
      <c r="G4484" s="27" t="n">
        <v>46262</v>
      </c>
      <c r="H4484" s="14" t="n">
        <v>99443.17</v>
      </c>
      <c r="I4484" s="14" t="n">
        <v>3130.17</v>
      </c>
      <c r="J4484" s="14" t="n">
        <v>6741.91</v>
      </c>
      <c r="K4484" s="14" t="n">
        <v>1477.92</v>
      </c>
      <c r="L4484" s="14" t="n">
        <v>6807.4</v>
      </c>
      <c r="M4484" s="14">
        <f>IF(B4484="Frete de venda",0,(1-ISNUMBER(SEARCH("556",P4484)))*(I4484*VLOOKUP($B4484,Premissas!$A$4:$E$7,2,0)+J4484*VLOOKUP($B4484,Premissas!$A$4:$E$7,3,0))+K4484*VLOOKUP($B4484,Premissas!$A$4:$E$7,4,0)+L4484*VLOOKUP($B4484,Premissas!$A$4:$E$7,5,0))</f>
        <v/>
      </c>
      <c r="N4484" s="14">
        <f>H4484-M4484</f>
        <v/>
      </c>
      <c r="O4484" t="inlineStr">
        <is>
          <t>Sim</t>
        </is>
      </c>
      <c r="P4484" t="inlineStr">
        <is>
          <t>2.101</t>
        </is>
      </c>
    </row>
    <row r="4485">
      <c r="A4485" s="24" t="n">
        <v>46235</v>
      </c>
      <c r="B4485" t="inlineStr">
        <is>
          <t>Insumos e papel</t>
        </is>
      </c>
      <c r="C4485" t="inlineStr">
        <is>
          <t>2.01.03 Compra de Matéria Prima (Papel)</t>
        </is>
      </c>
      <c r="D4485" t="inlineStr">
        <is>
          <t>NF-e</t>
        </is>
      </c>
      <c r="E4485" t="inlineStr">
        <is>
          <t>000100987</t>
        </is>
      </c>
      <c r="F4485" t="inlineStr">
        <is>
          <t>COCELPA CIA DE CEL. E PAPEL DO PARANA SA</t>
        </is>
      </c>
      <c r="G4485" s="27" t="n">
        <v>46262</v>
      </c>
      <c r="H4485" s="14" t="n">
        <v>100989.86</v>
      </c>
      <c r="I4485" s="14" t="n">
        <v>3178.86</v>
      </c>
      <c r="J4485" s="14" t="n">
        <v>6846.77</v>
      </c>
      <c r="K4485" s="14" t="n">
        <v>1500.91</v>
      </c>
      <c r="L4485" s="14" t="n">
        <v>6913.28</v>
      </c>
      <c r="M4485" s="14">
        <f>IF(B4485="Frete de venda",0,(1-ISNUMBER(SEARCH("556",P4485)))*(I4485*VLOOKUP($B4485,Premissas!$A$4:$E$7,2,0)+J4485*VLOOKUP($B4485,Premissas!$A$4:$E$7,3,0))+K4485*VLOOKUP($B4485,Premissas!$A$4:$E$7,4,0)+L4485*VLOOKUP($B4485,Premissas!$A$4:$E$7,5,0))</f>
        <v/>
      </c>
      <c r="N4485" s="14">
        <f>H4485-M4485</f>
        <v/>
      </c>
      <c r="O4485" t="inlineStr">
        <is>
          <t>Sim</t>
        </is>
      </c>
      <c r="P4485" t="inlineStr">
        <is>
          <t>2.101</t>
        </is>
      </c>
    </row>
    <row r="4486">
      <c r="A4486" s="24" t="n">
        <v>46235</v>
      </c>
      <c r="B4486" t="inlineStr">
        <is>
          <t>Insumos e papel</t>
        </is>
      </c>
      <c r="C4486" t="inlineStr">
        <is>
          <t>2.01.03 Compra de Matéria Prima (Papel)</t>
        </is>
      </c>
      <c r="D4486" t="inlineStr">
        <is>
          <t>NF-e</t>
        </is>
      </c>
      <c r="E4486" t="inlineStr">
        <is>
          <t>000100989</t>
        </is>
      </c>
      <c r="F4486" t="inlineStr">
        <is>
          <t>COCELPA CIA DE CEL. E PAPEL DO PARANA SA</t>
        </is>
      </c>
      <c r="G4486" s="27" t="n">
        <v>46262</v>
      </c>
      <c r="H4486" s="14" t="n">
        <v>99435.95</v>
      </c>
      <c r="I4486" s="14" t="n">
        <v>3129.95</v>
      </c>
      <c r="J4486" s="14" t="n">
        <v>6741.42</v>
      </c>
      <c r="K4486" s="14" t="n">
        <v>1477.82</v>
      </c>
      <c r="L4486" s="14" t="n">
        <v>6806.91</v>
      </c>
      <c r="M4486" s="14">
        <f>IF(B4486="Frete de venda",0,(1-ISNUMBER(SEARCH("556",P4486)))*(I4486*VLOOKUP($B4486,Premissas!$A$4:$E$7,2,0)+J4486*VLOOKUP($B4486,Premissas!$A$4:$E$7,3,0))+K4486*VLOOKUP($B4486,Premissas!$A$4:$E$7,4,0)+L4486*VLOOKUP($B4486,Premissas!$A$4:$E$7,5,0))</f>
        <v/>
      </c>
      <c r="N4486" s="14">
        <f>H4486-M4486</f>
        <v/>
      </c>
      <c r="O4486" t="inlineStr">
        <is>
          <t>Sim</t>
        </is>
      </c>
      <c r="P4486" t="inlineStr">
        <is>
          <t>2.101</t>
        </is>
      </c>
    </row>
    <row r="4487">
      <c r="A4487" s="24" t="n">
        <v>46235</v>
      </c>
      <c r="B4487" t="inlineStr">
        <is>
          <t>Insumos e papel</t>
        </is>
      </c>
      <c r="C4487" t="inlineStr">
        <is>
          <t>2.01.03 Compra de Matéria Prima (Papel)</t>
        </is>
      </c>
      <c r="D4487" t="inlineStr">
        <is>
          <t>NF-e</t>
        </is>
      </c>
      <c r="E4487" t="inlineStr">
        <is>
          <t>000101005</t>
        </is>
      </c>
      <c r="F4487" t="inlineStr">
        <is>
          <t>COCELPA CIA DE CEL. E PAPEL DO PARANA SA</t>
        </is>
      </c>
      <c r="G4487" s="27" t="n">
        <v>46265</v>
      </c>
      <c r="H4487" s="14" t="n">
        <v>94094.82000000001</v>
      </c>
      <c r="I4487" s="14" t="n">
        <v>2961.82</v>
      </c>
      <c r="J4487" s="14" t="n">
        <v>6379.31</v>
      </c>
      <c r="K4487" s="14" t="n">
        <v>1398.44</v>
      </c>
      <c r="L4487" s="14" t="n">
        <v>6441.28</v>
      </c>
      <c r="M4487" s="14">
        <f>IF(B4487="Frete de venda",0,(1-ISNUMBER(SEARCH("556",P4487)))*(I4487*VLOOKUP($B4487,Premissas!$A$4:$E$7,2,0)+J4487*VLOOKUP($B4487,Premissas!$A$4:$E$7,3,0))+K4487*VLOOKUP($B4487,Premissas!$A$4:$E$7,4,0)+L4487*VLOOKUP($B4487,Premissas!$A$4:$E$7,5,0))</f>
        <v/>
      </c>
      <c r="N4487" s="14">
        <f>H4487-M4487</f>
        <v/>
      </c>
      <c r="O4487" t="inlineStr">
        <is>
          <t>Sim</t>
        </is>
      </c>
      <c r="P4487" t="inlineStr">
        <is>
          <t>2.101</t>
        </is>
      </c>
    </row>
    <row r="4488">
      <c r="A4488" s="24" t="n">
        <v>46235</v>
      </c>
      <c r="B4488" t="inlineStr">
        <is>
          <t>Insumos e papel</t>
        </is>
      </c>
      <c r="C4488" t="inlineStr">
        <is>
          <t>2.01.03 Compra de Matéria Prima (Papel)</t>
        </is>
      </c>
      <c r="D4488" t="inlineStr">
        <is>
          <t>NF-e</t>
        </is>
      </c>
      <c r="E4488" t="inlineStr">
        <is>
          <t>000101003</t>
        </is>
      </c>
      <c r="F4488" t="inlineStr">
        <is>
          <t>COCELPA CIA DE CEL. E PAPEL DO PARANA SA</t>
        </is>
      </c>
      <c r="G4488" s="27" t="n">
        <v>46265</v>
      </c>
      <c r="H4488" s="14" t="n">
        <v>94593.52</v>
      </c>
      <c r="I4488" s="14" t="n">
        <v>2977.52</v>
      </c>
      <c r="J4488" s="14" t="n">
        <v>6413.12</v>
      </c>
      <c r="K4488" s="14" t="n">
        <v>1405.85</v>
      </c>
      <c r="L4488" s="14" t="n">
        <v>6475.42</v>
      </c>
      <c r="M4488" s="14">
        <f>IF(B4488="Frete de venda",0,(1-ISNUMBER(SEARCH("556",P4488)))*(I4488*VLOOKUP($B4488,Premissas!$A$4:$E$7,2,0)+J4488*VLOOKUP($B4488,Premissas!$A$4:$E$7,3,0))+K4488*VLOOKUP($B4488,Premissas!$A$4:$E$7,4,0)+L4488*VLOOKUP($B4488,Premissas!$A$4:$E$7,5,0))</f>
        <v/>
      </c>
      <c r="N4488" s="14">
        <f>H4488-M4488</f>
        <v/>
      </c>
      <c r="O4488" t="inlineStr">
        <is>
          <t>Sim</t>
        </is>
      </c>
      <c r="P4488" t="inlineStr">
        <is>
          <t>2.101</t>
        </is>
      </c>
    </row>
    <row r="4489">
      <c r="A4489" s="24" t="n">
        <v>46235</v>
      </c>
      <c r="B4489" t="inlineStr">
        <is>
          <t>Insumos e papel</t>
        </is>
      </c>
      <c r="C4489" t="inlineStr">
        <is>
          <t>2.01.03 Compra de Matéria Prima (Papel)</t>
        </is>
      </c>
      <c r="D4489" t="inlineStr">
        <is>
          <t>NF-e</t>
        </is>
      </c>
      <c r="E4489" t="inlineStr">
        <is>
          <t>000000122</t>
        </is>
      </c>
      <c r="F4489" t="inlineStr">
        <is>
          <t>COMERCIAL CASA NOVA MATERIAL DE CONSTRUCAO PB LTDA</t>
        </is>
      </c>
      <c r="G4489" s="27" t="n">
        <v>46259</v>
      </c>
      <c r="H4489" s="14" t="n">
        <v>6600</v>
      </c>
      <c r="I4489" s="14" t="n">
        <v>0</v>
      </c>
      <c r="J4489" s="14" t="n">
        <v>0</v>
      </c>
      <c r="K4489" s="14" t="n">
        <v>0</v>
      </c>
      <c r="L4489" s="14" t="n">
        <v>0</v>
      </c>
      <c r="M4489" s="14">
        <f>IF(B4489="Frete de venda",0,(1-ISNUMBER(SEARCH("556",P4489)))*(I4489*VLOOKUP($B4489,Premissas!$A$4:$E$7,2,0)+J4489*VLOOKUP($B4489,Premissas!$A$4:$E$7,3,0))+K4489*VLOOKUP($B4489,Premissas!$A$4:$E$7,4,0)+L4489*VLOOKUP($B4489,Premissas!$A$4:$E$7,5,0))</f>
        <v/>
      </c>
      <c r="N4489" s="14">
        <f>H4489-M4489</f>
        <v/>
      </c>
      <c r="O4489" t="inlineStr">
        <is>
          <t>Sim</t>
        </is>
      </c>
      <c r="P4489" t="inlineStr">
        <is>
          <t>1.556</t>
        </is>
      </c>
    </row>
    <row r="4490">
      <c r="A4490" s="24" t="n">
        <v>46235</v>
      </c>
      <c r="B4490" t="inlineStr">
        <is>
          <t>Insumos e papel</t>
        </is>
      </c>
      <c r="C4490" t="inlineStr">
        <is>
          <t>2.01.03 Compra de Matéria Prima (Papel)</t>
        </is>
      </c>
      <c r="D4490" t="inlineStr">
        <is>
          <t>NF-e</t>
        </is>
      </c>
      <c r="E4490" t="inlineStr">
        <is>
          <t>000018109</t>
        </is>
      </c>
      <c r="F4490" t="inlineStr">
        <is>
          <t>NOVA CONPEL COMPANHIA NORDESTINA DE PAPEL LTDA</t>
        </is>
      </c>
      <c r="G4490" s="27" t="n">
        <v>46260</v>
      </c>
      <c r="H4490" s="14" t="n">
        <v>10852.8</v>
      </c>
      <c r="I4490" s="14" t="n">
        <v>0</v>
      </c>
      <c r="J4490" s="14" t="n">
        <v>2170.56</v>
      </c>
      <c r="K4490" s="14" t="n">
        <v>143.26</v>
      </c>
      <c r="L4490" s="14" t="n">
        <v>659.85</v>
      </c>
      <c r="M4490" s="14">
        <f>IF(B4490="Frete de venda",0,(1-ISNUMBER(SEARCH("556",P4490)))*(I4490*VLOOKUP($B4490,Premissas!$A$4:$E$7,2,0)+J4490*VLOOKUP($B4490,Premissas!$A$4:$E$7,3,0))+K4490*VLOOKUP($B4490,Premissas!$A$4:$E$7,4,0)+L4490*VLOOKUP($B4490,Premissas!$A$4:$E$7,5,0))</f>
        <v/>
      </c>
      <c r="N4490" s="14">
        <f>H4490-M4490</f>
        <v/>
      </c>
      <c r="O4490" t="inlineStr">
        <is>
          <t>Sim</t>
        </is>
      </c>
      <c r="P4490" t="inlineStr">
        <is>
          <t>1.101</t>
        </is>
      </c>
    </row>
    <row r="4491">
      <c r="A4491" s="24" t="n">
        <v>46235</v>
      </c>
      <c r="B4491" t="inlineStr">
        <is>
          <t>Insumos e papel</t>
        </is>
      </c>
      <c r="C4491" t="inlineStr">
        <is>
          <t>2.01.79 Compra de Gás</t>
        </is>
      </c>
      <c r="D4491" t="inlineStr">
        <is>
          <t>NF-e</t>
        </is>
      </c>
      <c r="E4491" t="inlineStr">
        <is>
          <t>000008558</t>
        </is>
      </c>
      <c r="F4491" t="inlineStr">
        <is>
          <t>SUPERGASBRAS ENERGIA LTDA</t>
        </is>
      </c>
      <c r="G4491" s="27" t="n">
        <v>46238</v>
      </c>
      <c r="H4491" s="14" t="n">
        <v>629.96</v>
      </c>
      <c r="I4491" s="14" t="n">
        <v>0</v>
      </c>
      <c r="J4491" s="14" t="n">
        <v>0</v>
      </c>
      <c r="K4491" s="14" t="n">
        <v>0</v>
      </c>
      <c r="L4491" s="14" t="n">
        <v>0</v>
      </c>
      <c r="M4491" s="14">
        <f>IF(B4491="Frete de venda",0,(1-ISNUMBER(SEARCH("556",P4491)))*(I4491*VLOOKUP($B4491,Premissas!$A$4:$E$7,2,0)+J4491*VLOOKUP($B4491,Premissas!$A$4:$E$7,3,0))+K4491*VLOOKUP($B4491,Premissas!$A$4:$E$7,4,0)+L4491*VLOOKUP($B4491,Premissas!$A$4:$E$7,5,0))</f>
        <v/>
      </c>
      <c r="N4491" s="14">
        <f>H4491-M4491</f>
        <v/>
      </c>
      <c r="O4491" t="inlineStr">
        <is>
          <t>Sim</t>
        </is>
      </c>
      <c r="P4491" t="inlineStr">
        <is>
          <t>1.556</t>
        </is>
      </c>
    </row>
    <row r="4492">
      <c r="A4492" s="24" t="n">
        <v>46235</v>
      </c>
      <c r="B4492" t="inlineStr">
        <is>
          <t>Insumos e papel</t>
        </is>
      </c>
      <c r="C4492" t="inlineStr">
        <is>
          <t>2.01.79 Compra de Gás</t>
        </is>
      </c>
      <c r="D4492" t="inlineStr">
        <is>
          <t>NF-e</t>
        </is>
      </c>
      <c r="E4492" t="inlineStr">
        <is>
          <t>000008626</t>
        </is>
      </c>
      <c r="F4492" t="inlineStr">
        <is>
          <t>SUPERGASBRAS ENERGIA LTDA</t>
        </is>
      </c>
      <c r="G4492" s="27" t="n">
        <v>46245</v>
      </c>
      <c r="H4492" s="14" t="n">
        <v>629.96</v>
      </c>
      <c r="I4492" s="14" t="n">
        <v>0</v>
      </c>
      <c r="J4492" s="14" t="n">
        <v>0</v>
      </c>
      <c r="K4492" s="14" t="n">
        <v>0</v>
      </c>
      <c r="L4492" s="14" t="n">
        <v>0</v>
      </c>
      <c r="M4492" s="14">
        <f>IF(B4492="Frete de venda",0,(1-ISNUMBER(SEARCH("556",P4492)))*(I4492*VLOOKUP($B4492,Premissas!$A$4:$E$7,2,0)+J4492*VLOOKUP($B4492,Premissas!$A$4:$E$7,3,0))+K4492*VLOOKUP($B4492,Premissas!$A$4:$E$7,4,0)+L4492*VLOOKUP($B4492,Premissas!$A$4:$E$7,5,0))</f>
        <v/>
      </c>
      <c r="N4492" s="14">
        <f>H4492-M4492</f>
        <v/>
      </c>
      <c r="O4492" t="inlineStr">
        <is>
          <t>Sim</t>
        </is>
      </c>
      <c r="P4492" t="inlineStr">
        <is>
          <t>1.556</t>
        </is>
      </c>
    </row>
    <row r="4493">
      <c r="A4493" s="24" t="n">
        <v>46235</v>
      </c>
      <c r="B4493" t="inlineStr">
        <is>
          <t>Insumos e papel</t>
        </is>
      </c>
      <c r="C4493" t="inlineStr">
        <is>
          <t>2.01.79 Compra de Gás</t>
        </is>
      </c>
      <c r="D4493" t="inlineStr">
        <is>
          <t>NF-e</t>
        </is>
      </c>
      <c r="E4493" t="inlineStr">
        <is>
          <t>000008692</t>
        </is>
      </c>
      <c r="F4493" t="inlineStr">
        <is>
          <t>SUPERGASBRAS ENERGIA LTDA</t>
        </is>
      </c>
      <c r="G4493" s="27" t="n">
        <v>46252</v>
      </c>
      <c r="H4493" s="14" t="n">
        <v>629.96</v>
      </c>
      <c r="I4493" s="14" t="n">
        <v>0</v>
      </c>
      <c r="J4493" s="14" t="n">
        <v>0</v>
      </c>
      <c r="K4493" s="14" t="n">
        <v>0</v>
      </c>
      <c r="L4493" s="14" t="n">
        <v>0</v>
      </c>
      <c r="M4493" s="14">
        <f>IF(B4493="Frete de venda",0,(1-ISNUMBER(SEARCH("556",P4493)))*(I4493*VLOOKUP($B4493,Premissas!$A$4:$E$7,2,0)+J4493*VLOOKUP($B4493,Premissas!$A$4:$E$7,3,0))+K4493*VLOOKUP($B4493,Premissas!$A$4:$E$7,4,0)+L4493*VLOOKUP($B4493,Premissas!$A$4:$E$7,5,0))</f>
        <v/>
      </c>
      <c r="N4493" s="14">
        <f>H4493-M4493</f>
        <v/>
      </c>
      <c r="O4493" t="inlineStr">
        <is>
          <t>Sim</t>
        </is>
      </c>
      <c r="P4493" t="inlineStr">
        <is>
          <t>1.556</t>
        </is>
      </c>
    </row>
    <row r="4494">
      <c r="A4494" s="24" t="n">
        <v>46235</v>
      </c>
      <c r="B4494" t="inlineStr">
        <is>
          <t>Insumos e papel</t>
        </is>
      </c>
      <c r="C4494" t="inlineStr">
        <is>
          <t>2.01.79 Compra de Gás</t>
        </is>
      </c>
      <c r="D4494" t="inlineStr">
        <is>
          <t>NF-e</t>
        </is>
      </c>
      <c r="E4494" t="inlineStr">
        <is>
          <t>000008747</t>
        </is>
      </c>
      <c r="F4494" t="inlineStr">
        <is>
          <t>SUPERGASBRAS ENERGIA LTDA</t>
        </is>
      </c>
      <c r="G4494" s="27" t="n">
        <v>46258</v>
      </c>
      <c r="H4494" s="14" t="n">
        <v>629.96</v>
      </c>
      <c r="I4494" s="14" t="n">
        <v>0</v>
      </c>
      <c r="J4494" s="14" t="n">
        <v>0</v>
      </c>
      <c r="K4494" s="14" t="n">
        <v>0</v>
      </c>
      <c r="L4494" s="14" t="n">
        <v>0</v>
      </c>
      <c r="M4494" s="14">
        <f>IF(B4494="Frete de venda",0,(1-ISNUMBER(SEARCH("556",P4494)))*(I4494*VLOOKUP($B4494,Premissas!$A$4:$E$7,2,0)+J4494*VLOOKUP($B4494,Premissas!$A$4:$E$7,3,0))+K4494*VLOOKUP($B4494,Premissas!$A$4:$E$7,4,0)+L4494*VLOOKUP($B4494,Premissas!$A$4:$E$7,5,0))</f>
        <v/>
      </c>
      <c r="N4494" s="14">
        <f>H4494-M4494</f>
        <v/>
      </c>
      <c r="O4494" t="inlineStr">
        <is>
          <t>Sim</t>
        </is>
      </c>
      <c r="P4494" t="inlineStr">
        <is>
          <t>1.556</t>
        </is>
      </c>
    </row>
    <row r="4495">
      <c r="A4495" s="24" t="n">
        <v>46235</v>
      </c>
      <c r="B4495" t="inlineStr">
        <is>
          <t>Insumos e papel</t>
        </is>
      </c>
      <c r="C4495" t="inlineStr">
        <is>
          <t>2.01.79 Compra de Gás</t>
        </is>
      </c>
      <c r="D4495" t="inlineStr">
        <is>
          <t>NF-e</t>
        </is>
      </c>
      <c r="E4495" t="inlineStr">
        <is>
          <t>000008806</t>
        </is>
      </c>
      <c r="F4495" t="inlineStr">
        <is>
          <t>SUPERGASBRAS ENERGIA LTDA</t>
        </is>
      </c>
      <c r="G4495" s="27" t="n">
        <v>46262</v>
      </c>
      <c r="H4495" s="14" t="n">
        <v>629.96</v>
      </c>
      <c r="I4495" s="14" t="n">
        <v>0</v>
      </c>
      <c r="J4495" s="14" t="n">
        <v>0</v>
      </c>
      <c r="K4495" s="14" t="n">
        <v>0</v>
      </c>
      <c r="L4495" s="14" t="n">
        <v>0</v>
      </c>
      <c r="M4495" s="14">
        <f>IF(B4495="Frete de venda",0,(1-ISNUMBER(SEARCH("556",P4495)))*(I4495*VLOOKUP($B4495,Premissas!$A$4:$E$7,2,0)+J4495*VLOOKUP($B4495,Premissas!$A$4:$E$7,3,0))+K4495*VLOOKUP($B4495,Premissas!$A$4:$E$7,4,0)+L4495*VLOOKUP($B4495,Premissas!$A$4:$E$7,5,0))</f>
        <v/>
      </c>
      <c r="N4495" s="14">
        <f>H4495-M4495</f>
        <v/>
      </c>
      <c r="O4495" t="inlineStr">
        <is>
          <t>Sim</t>
        </is>
      </c>
      <c r="P4495" t="inlineStr">
        <is>
          <t>1.556</t>
        </is>
      </c>
    </row>
    <row r="4496">
      <c r="A4496" s="24" t="n">
        <v>46235</v>
      </c>
      <c r="B4496" t="inlineStr">
        <is>
          <t>Uso e consumo</t>
        </is>
      </c>
      <c r="C4496" t="inlineStr">
        <is>
          <t>2.01.85 Compra de Uso e Consumo</t>
        </is>
      </c>
      <c r="D4496" t="inlineStr">
        <is>
          <t>NF-e</t>
        </is>
      </c>
      <c r="E4496" t="inlineStr">
        <is>
          <t>000158300</t>
        </is>
      </c>
      <c r="F4496" t="inlineStr">
        <is>
          <t>ATACADAO ECONOMICO - COMERCIO DE MATERIAL DE CONSTRUCAO LTDA</t>
        </is>
      </c>
      <c r="G4496" s="27" t="n">
        <v>46244</v>
      </c>
      <c r="H4496" s="14" t="n">
        <v>2213.76</v>
      </c>
      <c r="I4496" s="14" t="n">
        <v>0</v>
      </c>
      <c r="J4496" s="14" t="n">
        <v>133.84</v>
      </c>
      <c r="K4496" s="14" t="n">
        <v>34.32</v>
      </c>
      <c r="L4496" s="14" t="n">
        <v>158.06</v>
      </c>
      <c r="M4496" s="14">
        <f>IF(B4496="Frete de venda",0,(1-ISNUMBER(SEARCH("556",P4496)))*(I4496*VLOOKUP($B4496,Premissas!$A$4:$E$7,2,0)+J4496*VLOOKUP($B4496,Premissas!$A$4:$E$7,3,0))+K4496*VLOOKUP($B4496,Premissas!$A$4:$E$7,4,0)+L4496*VLOOKUP($B4496,Premissas!$A$4:$E$7,5,0))</f>
        <v/>
      </c>
      <c r="N4496" s="14">
        <f>H4496-M4496</f>
        <v/>
      </c>
      <c r="O4496" t="inlineStr">
        <is>
          <t>Sim</t>
        </is>
      </c>
      <c r="P4496" t="inlineStr">
        <is>
          <t>1.556</t>
        </is>
      </c>
    </row>
    <row r="4497">
      <c r="A4497" s="24" t="n">
        <v>46235</v>
      </c>
      <c r="B4497" t="inlineStr">
        <is>
          <t>Uso e consumo</t>
        </is>
      </c>
      <c r="C4497" t="inlineStr">
        <is>
          <t>2.01.85 Compra de Uso e Consumo</t>
        </is>
      </c>
      <c r="D4497" t="inlineStr">
        <is>
          <t>NF-e</t>
        </is>
      </c>
      <c r="E4497" t="inlineStr">
        <is>
          <t>000158299</t>
        </is>
      </c>
      <c r="F4497" t="inlineStr">
        <is>
          <t>ATACADAO ECONOMICO - COMERCIO DE MATERIAL DE CONSTRUCAO LTDA</t>
        </is>
      </c>
      <c r="G4497" s="27" t="n">
        <v>46244</v>
      </c>
      <c r="H4497" s="14" t="n">
        <v>689.63</v>
      </c>
      <c r="I4497" s="14" t="n">
        <v>0</v>
      </c>
      <c r="J4497" s="14" t="n">
        <v>24.72</v>
      </c>
      <c r="K4497" s="14" t="n">
        <v>10.98</v>
      </c>
      <c r="L4497" s="14" t="n">
        <v>50.52</v>
      </c>
      <c r="M4497" s="14">
        <f>IF(B4497="Frete de venda",0,(1-ISNUMBER(SEARCH("556",P4497)))*(I4497*VLOOKUP($B4497,Premissas!$A$4:$E$7,2,0)+J4497*VLOOKUP($B4497,Premissas!$A$4:$E$7,3,0))+K4497*VLOOKUP($B4497,Premissas!$A$4:$E$7,4,0)+L4497*VLOOKUP($B4497,Premissas!$A$4:$E$7,5,0))</f>
        <v/>
      </c>
      <c r="N4497" s="14">
        <f>H4497-M4497</f>
        <v/>
      </c>
      <c r="O4497" t="inlineStr">
        <is>
          <t>Sim</t>
        </is>
      </c>
      <c r="P4497" t="inlineStr">
        <is>
          <t>1.556</t>
        </is>
      </c>
    </row>
    <row r="4498">
      <c r="A4498" s="24" t="n">
        <v>46235</v>
      </c>
      <c r="B4498" t="inlineStr">
        <is>
          <t>Uso e consumo</t>
        </is>
      </c>
      <c r="C4498" t="inlineStr">
        <is>
          <t>2.01.85 Compra de Uso e Consumo</t>
        </is>
      </c>
      <c r="D4498" t="inlineStr">
        <is>
          <t>NF-e</t>
        </is>
      </c>
      <c r="E4498" t="inlineStr">
        <is>
          <t>000158871</t>
        </is>
      </c>
      <c r="F4498" t="inlineStr">
        <is>
          <t>ATACADAO ECONOMICO - COMERCIO DE MATERIAL DE CONSTRUCAO LTDA</t>
        </is>
      </c>
      <c r="G4498" s="27" t="n">
        <v>46248</v>
      </c>
      <c r="H4498" s="14" t="n">
        <v>3176.38</v>
      </c>
      <c r="I4498" s="14" t="n">
        <v>0</v>
      </c>
      <c r="J4498" s="14" t="n">
        <v>102.57</v>
      </c>
      <c r="K4498" s="14" t="n">
        <v>50.67</v>
      </c>
      <c r="L4498" s="14" t="n">
        <v>233.6</v>
      </c>
      <c r="M4498" s="14">
        <f>IF(B4498="Frete de venda",0,(1-ISNUMBER(SEARCH("556",P4498)))*(I4498*VLOOKUP($B4498,Premissas!$A$4:$E$7,2,0)+J4498*VLOOKUP($B4498,Premissas!$A$4:$E$7,3,0))+K4498*VLOOKUP($B4498,Premissas!$A$4:$E$7,4,0)+L4498*VLOOKUP($B4498,Premissas!$A$4:$E$7,5,0))</f>
        <v/>
      </c>
      <c r="N4498" s="14">
        <f>H4498-M4498</f>
        <v/>
      </c>
      <c r="O4498" t="inlineStr">
        <is>
          <t>Sim</t>
        </is>
      </c>
      <c r="P4498" t="inlineStr">
        <is>
          <t>1.102, 1.556, 2.556</t>
        </is>
      </c>
    </row>
    <row r="4499">
      <c r="A4499" s="24" t="n">
        <v>46235</v>
      </c>
      <c r="B4499" t="inlineStr">
        <is>
          <t>Uso e consumo</t>
        </is>
      </c>
      <c r="C4499" t="inlineStr">
        <is>
          <t>2.01.85 Compra de Uso e Consumo</t>
        </is>
      </c>
      <c r="D4499" t="inlineStr">
        <is>
          <t>NF-e</t>
        </is>
      </c>
      <c r="E4499" t="inlineStr">
        <is>
          <t>000089462</t>
        </is>
      </c>
      <c r="F4499" t="inlineStr">
        <is>
          <t>BA - LOJAO DA ECONOMICA MATERIAIS DE CONSTRUCAO LTDA - EPP</t>
        </is>
      </c>
      <c r="G4499" s="27" t="n">
        <v>46259</v>
      </c>
      <c r="H4499" s="14" t="n">
        <v>2451.58</v>
      </c>
      <c r="I4499" s="14" t="n">
        <v>0</v>
      </c>
      <c r="J4499" s="14" t="n">
        <v>0</v>
      </c>
      <c r="K4499" s="14" t="n">
        <v>0</v>
      </c>
      <c r="L4499" s="14" t="n">
        <v>0</v>
      </c>
      <c r="M4499" s="14">
        <f>IF(B4499="Frete de venda",0,(1-ISNUMBER(SEARCH("556",P4499)))*(I4499*VLOOKUP($B4499,Premissas!$A$4:$E$7,2,0)+J4499*VLOOKUP($B4499,Premissas!$A$4:$E$7,3,0))+K4499*VLOOKUP($B4499,Premissas!$A$4:$E$7,4,0)+L4499*VLOOKUP($B4499,Premissas!$A$4:$E$7,5,0))</f>
        <v/>
      </c>
      <c r="N4499" s="14">
        <f>H4499-M4499</f>
        <v/>
      </c>
      <c r="O4499" t="inlineStr">
        <is>
          <t>Sim</t>
        </is>
      </c>
      <c r="P4499" t="inlineStr">
        <is>
          <t>1.403</t>
        </is>
      </c>
    </row>
    <row r="4500">
      <c r="A4500" s="24" t="n">
        <v>46235</v>
      </c>
      <c r="B4500" t="inlineStr">
        <is>
          <t>Uso e consumo</t>
        </is>
      </c>
      <c r="C4500" t="inlineStr">
        <is>
          <t>2.01.85 Compra de Uso e Consumo</t>
        </is>
      </c>
      <c r="D4500" t="inlineStr">
        <is>
          <t>NF-e</t>
        </is>
      </c>
      <c r="E4500" t="inlineStr">
        <is>
          <t>000006313</t>
        </is>
      </c>
      <c r="F4500" t="inlineStr">
        <is>
          <t>BRICOZE CELL ELETRONICOS LTDA</t>
        </is>
      </c>
      <c r="G4500" s="27" t="n">
        <v>46260</v>
      </c>
      <c r="H4500" s="14" t="n">
        <v>19</v>
      </c>
      <c r="I4500" s="14" t="n">
        <v>0</v>
      </c>
      <c r="J4500" s="14" t="n">
        <v>0</v>
      </c>
      <c r="K4500" s="14" t="n">
        <v>0</v>
      </c>
      <c r="L4500" s="14" t="n">
        <v>0</v>
      </c>
      <c r="M4500" s="14">
        <f>IF(B4500="Frete de venda",0,(1-ISNUMBER(SEARCH("556",P4500)))*(I4500*VLOOKUP($B4500,Premissas!$A$4:$E$7,2,0)+J4500*VLOOKUP($B4500,Premissas!$A$4:$E$7,3,0))+K4500*VLOOKUP($B4500,Premissas!$A$4:$E$7,4,0)+L4500*VLOOKUP($B4500,Premissas!$A$4:$E$7,5,0))</f>
        <v/>
      </c>
      <c r="N4500" s="14">
        <f>H4500-M4500</f>
        <v/>
      </c>
      <c r="O4500" t="inlineStr">
        <is>
          <t>Sim</t>
        </is>
      </c>
      <c r="P4500" t="inlineStr">
        <is>
          <t>2.102</t>
        </is>
      </c>
    </row>
    <row r="4501">
      <c r="A4501" s="24" t="n">
        <v>46235</v>
      </c>
      <c r="B4501" t="inlineStr">
        <is>
          <t>Uso e consumo</t>
        </is>
      </c>
      <c r="C4501" t="inlineStr">
        <is>
          <t>2.01.85 Compra de Uso e Consumo</t>
        </is>
      </c>
      <c r="D4501" t="inlineStr">
        <is>
          <t>NF-e</t>
        </is>
      </c>
      <c r="E4501" t="inlineStr">
        <is>
          <t>000015112</t>
        </is>
      </c>
      <c r="F4501" t="inlineStr">
        <is>
          <t>EDNA DE ARAUJO PACHECO LTDA</t>
        </is>
      </c>
      <c r="G4501" s="27" t="n">
        <v>46245</v>
      </c>
      <c r="H4501" s="14" t="n">
        <v>387.16</v>
      </c>
      <c r="I4501" s="14" t="n">
        <v>0</v>
      </c>
      <c r="J4501" s="14" t="n">
        <v>0</v>
      </c>
      <c r="K4501" s="14" t="n">
        <v>0</v>
      </c>
      <c r="L4501" s="14" t="n">
        <v>0</v>
      </c>
      <c r="M4501" s="14">
        <f>IF(B4501="Frete de venda",0,(1-ISNUMBER(SEARCH("556",P4501)))*(I4501*VLOOKUP($B4501,Premissas!$A$4:$E$7,2,0)+J4501*VLOOKUP($B4501,Premissas!$A$4:$E$7,3,0))+K4501*VLOOKUP($B4501,Premissas!$A$4:$E$7,4,0)+L4501*VLOOKUP($B4501,Premissas!$A$4:$E$7,5,0))</f>
        <v/>
      </c>
      <c r="N4501" s="14">
        <f>H4501-M4501</f>
        <v/>
      </c>
      <c r="O4501" t="inlineStr">
        <is>
          <t>Sim</t>
        </is>
      </c>
      <c r="P4501" t="inlineStr">
        <is>
          <t>1.102, 1.556</t>
        </is>
      </c>
    </row>
    <row r="4502">
      <c r="A4502" s="24" t="n">
        <v>46235</v>
      </c>
      <c r="B4502" t="inlineStr">
        <is>
          <t>Uso e consumo</t>
        </is>
      </c>
      <c r="C4502" t="inlineStr">
        <is>
          <t>2.01.85 Compra de Uso e Consumo</t>
        </is>
      </c>
      <c r="D4502" t="inlineStr">
        <is>
          <t>NF-e</t>
        </is>
      </c>
      <c r="E4502" t="inlineStr">
        <is>
          <t>000015261</t>
        </is>
      </c>
      <c r="F4502" t="inlineStr">
        <is>
          <t>EDNA DE ARAUJO PACHECO LTDA</t>
        </is>
      </c>
      <c r="G4502" s="27" t="n">
        <v>46260</v>
      </c>
      <c r="H4502" s="14" t="n">
        <v>416.24</v>
      </c>
      <c r="I4502" s="14" t="n">
        <v>0</v>
      </c>
      <c r="J4502" s="14" t="n">
        <v>0</v>
      </c>
      <c r="K4502" s="14" t="n">
        <v>0</v>
      </c>
      <c r="L4502" s="14" t="n">
        <v>0</v>
      </c>
      <c r="M4502" s="14">
        <f>IF(B4502="Frete de venda",0,(1-ISNUMBER(SEARCH("556",P4502)))*(I4502*VLOOKUP($B4502,Premissas!$A$4:$E$7,2,0)+J4502*VLOOKUP($B4502,Premissas!$A$4:$E$7,3,0))+K4502*VLOOKUP($B4502,Premissas!$A$4:$E$7,4,0)+L4502*VLOOKUP($B4502,Premissas!$A$4:$E$7,5,0))</f>
        <v/>
      </c>
      <c r="N4502" s="14">
        <f>H4502-M4502</f>
        <v/>
      </c>
      <c r="O4502" t="inlineStr">
        <is>
          <t>Sim</t>
        </is>
      </c>
      <c r="P4502" t="inlineStr">
        <is>
          <t>1.556</t>
        </is>
      </c>
    </row>
    <row r="4503">
      <c r="A4503" s="24" t="n">
        <v>46235</v>
      </c>
      <c r="B4503" t="inlineStr">
        <is>
          <t>Uso e consumo</t>
        </is>
      </c>
      <c r="C4503" t="inlineStr">
        <is>
          <t>2.01.85 Compra de Uso e Consumo</t>
        </is>
      </c>
      <c r="D4503" t="inlineStr">
        <is>
          <t>NF-e</t>
        </is>
      </c>
      <c r="E4503" t="inlineStr">
        <is>
          <t>000003193</t>
        </is>
      </c>
      <c r="F4503" t="inlineStr">
        <is>
          <t>EKO BLOCOS FABRICACAO E COMERCIO DE ARTEFATOS DE CIMENTO LTD</t>
        </is>
      </c>
      <c r="G4503" s="27" t="n">
        <v>46261</v>
      </c>
      <c r="H4503" s="14" t="n">
        <v>3964.5</v>
      </c>
      <c r="I4503" s="14" t="n">
        <v>0</v>
      </c>
      <c r="J4503" s="14" t="n">
        <v>0</v>
      </c>
      <c r="K4503" s="14" t="n">
        <v>0</v>
      </c>
      <c r="L4503" s="14" t="n">
        <v>0</v>
      </c>
      <c r="M4503" s="14">
        <f>IF(B4503="Frete de venda",0,(1-ISNUMBER(SEARCH("556",P4503)))*(I4503*VLOOKUP($B4503,Premissas!$A$4:$E$7,2,0)+J4503*VLOOKUP($B4503,Premissas!$A$4:$E$7,3,0))+K4503*VLOOKUP($B4503,Premissas!$A$4:$E$7,4,0)+L4503*VLOOKUP($B4503,Premissas!$A$4:$E$7,5,0))</f>
        <v/>
      </c>
      <c r="N4503" s="14">
        <f>H4503-M4503</f>
        <v/>
      </c>
      <c r="O4503" t="inlineStr">
        <is>
          <t>Sim</t>
        </is>
      </c>
      <c r="P4503" t="inlineStr">
        <is>
          <t>1.556</t>
        </is>
      </c>
    </row>
    <row r="4504">
      <c r="A4504" s="24" t="n">
        <v>46235</v>
      </c>
      <c r="B4504" t="inlineStr">
        <is>
          <t>Uso e consumo</t>
        </is>
      </c>
      <c r="C4504" t="inlineStr">
        <is>
          <t>2.01.85 Compra de Uso e Consumo</t>
        </is>
      </c>
      <c r="D4504" t="inlineStr">
        <is>
          <t>NF-e</t>
        </is>
      </c>
      <c r="E4504" t="inlineStr">
        <is>
          <t>000003205</t>
        </is>
      </c>
      <c r="F4504" t="inlineStr">
        <is>
          <t>EKO BLOCOS FABRICACAO E COMERCIO DE ARTEFATOS DE CIMENTO LTD</t>
        </is>
      </c>
      <c r="G4504" s="27" t="n">
        <v>46265</v>
      </c>
      <c r="H4504" s="14" t="n">
        <v>3419.5</v>
      </c>
      <c r="I4504" s="14" t="n">
        <v>0</v>
      </c>
      <c r="J4504" s="14" t="n">
        <v>0</v>
      </c>
      <c r="K4504" s="14" t="n">
        <v>0</v>
      </c>
      <c r="L4504" s="14" t="n">
        <v>0</v>
      </c>
      <c r="M4504" s="14">
        <f>IF(B4504="Frete de venda",0,(1-ISNUMBER(SEARCH("556",P4504)))*(I4504*VLOOKUP($B4504,Premissas!$A$4:$E$7,2,0)+J4504*VLOOKUP($B4504,Premissas!$A$4:$E$7,3,0))+K4504*VLOOKUP($B4504,Premissas!$A$4:$E$7,4,0)+L4504*VLOOKUP($B4504,Premissas!$A$4:$E$7,5,0))</f>
        <v/>
      </c>
      <c r="N4504" s="14">
        <f>H4504-M4504</f>
        <v/>
      </c>
      <c r="O4504" t="inlineStr">
        <is>
          <t>Sim</t>
        </is>
      </c>
      <c r="P4504" t="inlineStr">
        <is>
          <t>1.102, 1.556</t>
        </is>
      </c>
    </row>
    <row r="4505">
      <c r="A4505" s="24" t="n">
        <v>46235</v>
      </c>
      <c r="B4505" t="inlineStr">
        <is>
          <t>Uso e consumo</t>
        </is>
      </c>
      <c r="C4505" t="inlineStr">
        <is>
          <t>2.01.85 Compra de Uso e Consumo</t>
        </is>
      </c>
      <c r="D4505" t="inlineStr">
        <is>
          <t>NF-e</t>
        </is>
      </c>
      <c r="E4505" t="inlineStr">
        <is>
          <t>000060859</t>
        </is>
      </c>
      <c r="F4505" t="inlineStr">
        <is>
          <t>ELETROPOLO ELETRICIDADE LTDA</t>
        </is>
      </c>
      <c r="G4505" s="27" t="n">
        <v>46238</v>
      </c>
      <c r="H4505" s="14" t="n">
        <v>2442.2</v>
      </c>
      <c r="I4505" s="14" t="n">
        <v>0</v>
      </c>
      <c r="J4505" s="14" t="n">
        <v>38.88</v>
      </c>
      <c r="K4505" s="14" t="n">
        <v>39.68</v>
      </c>
      <c r="L4505" s="14" t="n">
        <v>182.66</v>
      </c>
      <c r="M4505" s="14">
        <f>IF(B4505="Frete de venda",0,(1-ISNUMBER(SEARCH("556",P4505)))*(I4505*VLOOKUP($B4505,Premissas!$A$4:$E$7,2,0)+J4505*VLOOKUP($B4505,Premissas!$A$4:$E$7,3,0))+K4505*VLOOKUP($B4505,Premissas!$A$4:$E$7,4,0)+L4505*VLOOKUP($B4505,Premissas!$A$4:$E$7,5,0))</f>
        <v/>
      </c>
      <c r="N4505" s="14">
        <f>H4505-M4505</f>
        <v/>
      </c>
      <c r="O4505" t="inlineStr">
        <is>
          <t>Sim</t>
        </is>
      </c>
      <c r="P4505" t="inlineStr">
        <is>
          <t>1.102, 1.556</t>
        </is>
      </c>
    </row>
    <row r="4506">
      <c r="A4506" s="24" t="n">
        <v>46235</v>
      </c>
      <c r="B4506" t="inlineStr">
        <is>
          <t>Uso e consumo</t>
        </is>
      </c>
      <c r="C4506" t="inlineStr">
        <is>
          <t>2.01.85 Compra de Uso e Consumo</t>
        </is>
      </c>
      <c r="D4506" t="inlineStr">
        <is>
          <t>NF-e</t>
        </is>
      </c>
      <c r="E4506" t="inlineStr">
        <is>
          <t>000061709</t>
        </is>
      </c>
      <c r="F4506" t="inlineStr">
        <is>
          <t>ELETROPOLO ELETRICIDADE LTDA</t>
        </is>
      </c>
      <c r="G4506" s="27" t="n">
        <v>46248</v>
      </c>
      <c r="H4506" s="14" t="n">
        <v>1212.17</v>
      </c>
      <c r="I4506" s="14" t="n">
        <v>0</v>
      </c>
      <c r="J4506" s="14" t="n">
        <v>103.34</v>
      </c>
      <c r="K4506" s="14" t="n">
        <v>18.31</v>
      </c>
      <c r="L4506" s="14" t="n">
        <v>84.27</v>
      </c>
      <c r="M4506" s="14">
        <f>IF(B4506="Frete de venda",0,(1-ISNUMBER(SEARCH("556",P4506)))*(I4506*VLOOKUP($B4506,Premissas!$A$4:$E$7,2,0)+J4506*VLOOKUP($B4506,Premissas!$A$4:$E$7,3,0))+K4506*VLOOKUP($B4506,Premissas!$A$4:$E$7,4,0)+L4506*VLOOKUP($B4506,Premissas!$A$4:$E$7,5,0))</f>
        <v/>
      </c>
      <c r="N4506" s="14">
        <f>H4506-M4506</f>
        <v/>
      </c>
      <c r="O4506" t="inlineStr">
        <is>
          <t>Sim</t>
        </is>
      </c>
      <c r="P4506" t="inlineStr">
        <is>
          <t>1.403, 1.556</t>
        </is>
      </c>
    </row>
    <row r="4507">
      <c r="A4507" s="24" t="n">
        <v>46235</v>
      </c>
      <c r="B4507" t="inlineStr">
        <is>
          <t>Uso e consumo</t>
        </is>
      </c>
      <c r="C4507" t="inlineStr">
        <is>
          <t>2.01.85 Compra de Uso e Consumo</t>
        </is>
      </c>
      <c r="D4507" t="inlineStr">
        <is>
          <t>NF-e</t>
        </is>
      </c>
      <c r="E4507" t="inlineStr">
        <is>
          <t>000062714</t>
        </is>
      </c>
      <c r="F4507" t="inlineStr">
        <is>
          <t>ELETROPOLO ELETRICIDADE LTDA</t>
        </is>
      </c>
      <c r="G4507" s="27" t="n">
        <v>46260</v>
      </c>
      <c r="H4507" s="14" t="n">
        <v>15758.27</v>
      </c>
      <c r="I4507" s="14" t="n">
        <v>0</v>
      </c>
      <c r="J4507" s="14" t="n">
        <v>112.19</v>
      </c>
      <c r="K4507" s="14" t="n">
        <v>258.15</v>
      </c>
      <c r="L4507" s="14" t="n">
        <v>1189.1</v>
      </c>
      <c r="M4507" s="14">
        <f>IF(B4507="Frete de venda",0,(1-ISNUMBER(SEARCH("556",P4507)))*(I4507*VLOOKUP($B4507,Premissas!$A$4:$E$7,2,0)+J4507*VLOOKUP($B4507,Premissas!$A$4:$E$7,3,0))+K4507*VLOOKUP($B4507,Premissas!$A$4:$E$7,4,0)+L4507*VLOOKUP($B4507,Premissas!$A$4:$E$7,5,0))</f>
        <v/>
      </c>
      <c r="N4507" s="14">
        <f>H4507-M4507</f>
        <v/>
      </c>
      <c r="O4507" t="inlineStr">
        <is>
          <t>Sim</t>
        </is>
      </c>
      <c r="P4507" t="inlineStr">
        <is>
          <t>1.403, 1.556</t>
        </is>
      </c>
    </row>
    <row r="4508">
      <c r="A4508" s="24" t="n">
        <v>46235</v>
      </c>
      <c r="B4508" t="inlineStr">
        <is>
          <t>Uso e consumo</t>
        </is>
      </c>
      <c r="C4508" t="inlineStr">
        <is>
          <t>2.01.85 Compra de Uso e Consumo</t>
        </is>
      </c>
      <c r="D4508" t="inlineStr">
        <is>
          <t>NF-e</t>
        </is>
      </c>
      <c r="E4508" t="inlineStr">
        <is>
          <t>000063111</t>
        </is>
      </c>
      <c r="F4508" t="inlineStr">
        <is>
          <t>ELETROPOLO ELETRICIDADE LTDA</t>
        </is>
      </c>
      <c r="G4508" s="27" t="n">
        <v>46265</v>
      </c>
      <c r="H4508" s="14" t="n">
        <v>1091.71</v>
      </c>
      <c r="I4508" s="14" t="n">
        <v>0</v>
      </c>
      <c r="J4508" s="14" t="n">
        <v>12.64</v>
      </c>
      <c r="K4508" s="14" t="n">
        <v>17.82</v>
      </c>
      <c r="L4508" s="14" t="n">
        <v>82.01000000000001</v>
      </c>
      <c r="M4508" s="14">
        <f>IF(B4508="Frete de venda",0,(1-ISNUMBER(SEARCH("556",P4508)))*(I4508*VLOOKUP($B4508,Premissas!$A$4:$E$7,2,0)+J4508*VLOOKUP($B4508,Premissas!$A$4:$E$7,3,0))+K4508*VLOOKUP($B4508,Premissas!$A$4:$E$7,4,0)+L4508*VLOOKUP($B4508,Premissas!$A$4:$E$7,5,0))</f>
        <v/>
      </c>
      <c r="N4508" s="14">
        <f>H4508-M4508</f>
        <v/>
      </c>
      <c r="O4508" t="inlineStr">
        <is>
          <t>Sim</t>
        </is>
      </c>
      <c r="P4508" t="inlineStr">
        <is>
          <t>1.403, 1.556</t>
        </is>
      </c>
    </row>
    <row r="4509">
      <c r="A4509" s="24" t="n">
        <v>46235</v>
      </c>
      <c r="B4509" t="inlineStr">
        <is>
          <t>Uso e consumo</t>
        </is>
      </c>
      <c r="C4509" t="inlineStr">
        <is>
          <t>2.01.85 Compra de Uso e Consumo</t>
        </is>
      </c>
      <c r="D4509" t="inlineStr">
        <is>
          <t>NF-e</t>
        </is>
      </c>
      <c r="E4509" t="inlineStr">
        <is>
          <t>000213675</t>
        </is>
      </c>
      <c r="F4509" t="inlineStr">
        <is>
          <t>PRIME STORE - ECOMMERCE LTDA</t>
        </is>
      </c>
      <c r="G4509" s="27" t="n">
        <v>46262</v>
      </c>
      <c r="H4509" s="14" t="n">
        <v>323.17</v>
      </c>
      <c r="I4509" s="14" t="n">
        <v>0</v>
      </c>
      <c r="J4509" s="14" t="n">
        <v>0</v>
      </c>
      <c r="K4509" s="14" t="n">
        <v>0</v>
      </c>
      <c r="L4509" s="14" t="n">
        <v>0</v>
      </c>
      <c r="M4509" s="14">
        <f>IF(B4509="Frete de venda",0,(1-ISNUMBER(SEARCH("556",P4509)))*(I4509*VLOOKUP($B4509,Premissas!$A$4:$E$7,2,0)+J4509*VLOOKUP($B4509,Premissas!$A$4:$E$7,3,0))+K4509*VLOOKUP($B4509,Premissas!$A$4:$E$7,4,0)+L4509*VLOOKUP($B4509,Premissas!$A$4:$E$7,5,0))</f>
        <v/>
      </c>
      <c r="N4509" s="14">
        <f>H4509-M4509</f>
        <v/>
      </c>
      <c r="O4509" t="inlineStr">
        <is>
          <t>Sim</t>
        </is>
      </c>
      <c r="P4509" t="inlineStr">
        <is>
          <t>2.556</t>
        </is>
      </c>
    </row>
    <row r="4510">
      <c r="A4510" s="24" t="n">
        <v>46235</v>
      </c>
      <c r="B4510" t="inlineStr">
        <is>
          <t>Uso e consumo</t>
        </is>
      </c>
      <c r="C4510" t="inlineStr">
        <is>
          <t>2.01.85 Compra de Uso e Consumo</t>
        </is>
      </c>
      <c r="D4510" t="inlineStr">
        <is>
          <t>NF-e</t>
        </is>
      </c>
      <c r="E4510" t="inlineStr">
        <is>
          <t>000008089</t>
        </is>
      </c>
      <c r="F4510" t="inlineStr">
        <is>
          <t>SHARING COMERCIO E SERVICOS LTDA</t>
        </is>
      </c>
      <c r="G4510" s="27" t="n">
        <v>46259</v>
      </c>
      <c r="H4510" s="14" t="n">
        <v>497.4</v>
      </c>
      <c r="I4510" s="14" t="n">
        <v>0</v>
      </c>
      <c r="J4510" s="14" t="n">
        <v>0</v>
      </c>
      <c r="K4510" s="14" t="n">
        <v>0</v>
      </c>
      <c r="L4510" s="14" t="n">
        <v>0</v>
      </c>
      <c r="M4510" s="14">
        <f>IF(B4510="Frete de venda",0,(1-ISNUMBER(SEARCH("556",P4510)))*(I4510*VLOOKUP($B4510,Premissas!$A$4:$E$7,2,0)+J4510*VLOOKUP($B4510,Premissas!$A$4:$E$7,3,0))+K4510*VLOOKUP($B4510,Premissas!$A$4:$E$7,4,0)+L4510*VLOOKUP($B4510,Premissas!$A$4:$E$7,5,0))</f>
        <v/>
      </c>
      <c r="N4510" s="14">
        <f>H4510-M4510</f>
        <v/>
      </c>
      <c r="O4510" t="inlineStr">
        <is>
          <t>Sim</t>
        </is>
      </c>
      <c r="P4510" t="inlineStr">
        <is>
          <t>2.556</t>
        </is>
      </c>
    </row>
    <row r="4511">
      <c r="A4511" s="24" t="n">
        <v>46235</v>
      </c>
      <c r="B4511" t="inlineStr">
        <is>
          <t>Uso e consumo</t>
        </is>
      </c>
      <c r="C4511" t="inlineStr">
        <is>
          <t>2.01.87 Compra de Peças de Máquinas</t>
        </is>
      </c>
      <c r="D4511" t="inlineStr">
        <is>
          <t>NF-e</t>
        </is>
      </c>
      <c r="E4511" t="inlineStr">
        <is>
          <t>000106537</t>
        </is>
      </c>
      <c r="F4511" t="inlineStr">
        <is>
          <t>FERGE COMERCIO DE PRODUTOS INDUSTRIAIS LTDA</t>
        </is>
      </c>
      <c r="G4511" s="27" t="n">
        <v>46235</v>
      </c>
      <c r="H4511" s="14" t="n">
        <v>692</v>
      </c>
      <c r="I4511" s="14" t="n">
        <v>0</v>
      </c>
      <c r="J4511" s="14" t="n">
        <v>138.4</v>
      </c>
      <c r="K4511" s="14" t="n">
        <v>0</v>
      </c>
      <c r="L4511" s="14" t="n">
        <v>0</v>
      </c>
      <c r="M4511" s="14">
        <f>IF(B4511="Frete de venda",0,(1-ISNUMBER(SEARCH("556",P4511)))*(I4511*VLOOKUP($B4511,Premissas!$A$4:$E$7,2,0)+J4511*VLOOKUP($B4511,Premissas!$A$4:$E$7,3,0))+K4511*VLOOKUP($B4511,Premissas!$A$4:$E$7,4,0)+L4511*VLOOKUP($B4511,Premissas!$A$4:$E$7,5,0))</f>
        <v/>
      </c>
      <c r="N4511" s="14">
        <f>H4511-M4511</f>
        <v/>
      </c>
      <c r="O4511" t="inlineStr">
        <is>
          <t>Sim</t>
        </is>
      </c>
      <c r="P4511" t="inlineStr">
        <is>
          <t>1.556</t>
        </is>
      </c>
    </row>
    <row r="4512">
      <c r="A4512" s="24" t="n">
        <v>46235</v>
      </c>
      <c r="B4512" t="inlineStr">
        <is>
          <t>Uso e consumo</t>
        </is>
      </c>
      <c r="C4512" t="inlineStr">
        <is>
          <t>2.01.87 Compra de Peças de Máquinas</t>
        </is>
      </c>
      <c r="D4512" t="inlineStr">
        <is>
          <t>NF-e</t>
        </is>
      </c>
      <c r="E4512" t="inlineStr">
        <is>
          <t>000106589</t>
        </is>
      </c>
      <c r="F4512" t="inlineStr">
        <is>
          <t>FERGE COMERCIO DE PRODUTOS INDUSTRIAIS LTDA</t>
        </is>
      </c>
      <c r="G4512" s="27" t="n">
        <v>46238</v>
      </c>
      <c r="H4512" s="14" t="n">
        <v>798</v>
      </c>
      <c r="I4512" s="14" t="n">
        <v>0</v>
      </c>
      <c r="J4512" s="14" t="n">
        <v>159.6</v>
      </c>
      <c r="K4512" s="14" t="n">
        <v>0</v>
      </c>
      <c r="L4512" s="14" t="n">
        <v>0</v>
      </c>
      <c r="M4512" s="14">
        <f>IF(B4512="Frete de venda",0,(1-ISNUMBER(SEARCH("556",P4512)))*(I4512*VLOOKUP($B4512,Premissas!$A$4:$E$7,2,0)+J4512*VLOOKUP($B4512,Premissas!$A$4:$E$7,3,0))+K4512*VLOOKUP($B4512,Premissas!$A$4:$E$7,4,0)+L4512*VLOOKUP($B4512,Premissas!$A$4:$E$7,5,0))</f>
        <v/>
      </c>
      <c r="N4512" s="14">
        <f>H4512-M4512</f>
        <v/>
      </c>
      <c r="O4512" t="inlineStr">
        <is>
          <t>Sim</t>
        </is>
      </c>
      <c r="P4512" t="inlineStr">
        <is>
          <t>1.556</t>
        </is>
      </c>
    </row>
    <row r="4513">
      <c r="A4513" s="24" t="n">
        <v>46235</v>
      </c>
      <c r="B4513" t="inlineStr">
        <is>
          <t>Uso e consumo</t>
        </is>
      </c>
      <c r="C4513" t="inlineStr">
        <is>
          <t>2.01.87 Compra de Peças de Máquinas</t>
        </is>
      </c>
      <c r="D4513" t="inlineStr">
        <is>
          <t>NF-e</t>
        </is>
      </c>
      <c r="E4513" t="inlineStr">
        <is>
          <t>000106749</t>
        </is>
      </c>
      <c r="F4513" t="inlineStr">
        <is>
          <t>FERGE COMERCIO DE PRODUTOS INDUSTRIAIS LTDA</t>
        </is>
      </c>
      <c r="G4513" s="27" t="n">
        <v>46242</v>
      </c>
      <c r="H4513" s="14" t="n">
        <v>310</v>
      </c>
      <c r="I4513" s="14" t="n">
        <v>0</v>
      </c>
      <c r="J4513" s="14" t="n">
        <v>62</v>
      </c>
      <c r="K4513" s="14" t="n">
        <v>0</v>
      </c>
      <c r="L4513" s="14" t="n">
        <v>0</v>
      </c>
      <c r="M4513" s="14">
        <f>IF(B4513="Frete de venda",0,(1-ISNUMBER(SEARCH("556",P4513)))*(I4513*VLOOKUP($B4513,Premissas!$A$4:$E$7,2,0)+J4513*VLOOKUP($B4513,Premissas!$A$4:$E$7,3,0))+K4513*VLOOKUP($B4513,Premissas!$A$4:$E$7,4,0)+L4513*VLOOKUP($B4513,Premissas!$A$4:$E$7,5,0))</f>
        <v/>
      </c>
      <c r="N4513" s="14">
        <f>H4513-M4513</f>
        <v/>
      </c>
      <c r="O4513" t="inlineStr">
        <is>
          <t>Sim</t>
        </is>
      </c>
      <c r="P4513" t="inlineStr">
        <is>
          <t>1.556</t>
        </is>
      </c>
    </row>
    <row r="4514">
      <c r="A4514" s="24" t="n">
        <v>46235</v>
      </c>
      <c r="B4514" t="inlineStr">
        <is>
          <t>Uso e consumo</t>
        </is>
      </c>
      <c r="C4514" t="inlineStr">
        <is>
          <t>2.01.87 Compra de Peças de Máquinas</t>
        </is>
      </c>
      <c r="D4514" t="inlineStr">
        <is>
          <t>NF-e</t>
        </is>
      </c>
      <c r="E4514" t="inlineStr">
        <is>
          <t>000106804</t>
        </is>
      </c>
      <c r="F4514" t="inlineStr">
        <is>
          <t>FERGE COMERCIO DE PRODUTOS INDUSTRIAIS LTDA</t>
        </is>
      </c>
      <c r="G4514" s="27" t="n">
        <v>46245</v>
      </c>
      <c r="H4514" s="14" t="n">
        <v>895</v>
      </c>
      <c r="I4514" s="14" t="n">
        <v>0</v>
      </c>
      <c r="J4514" s="14" t="n">
        <v>179</v>
      </c>
      <c r="K4514" s="14" t="n">
        <v>0</v>
      </c>
      <c r="L4514" s="14" t="n">
        <v>0</v>
      </c>
      <c r="M4514" s="14">
        <f>IF(B4514="Frete de venda",0,(1-ISNUMBER(SEARCH("556",P4514)))*(I4514*VLOOKUP($B4514,Premissas!$A$4:$E$7,2,0)+J4514*VLOOKUP($B4514,Premissas!$A$4:$E$7,3,0))+K4514*VLOOKUP($B4514,Premissas!$A$4:$E$7,4,0)+L4514*VLOOKUP($B4514,Premissas!$A$4:$E$7,5,0))</f>
        <v/>
      </c>
      <c r="N4514" s="14">
        <f>H4514-M4514</f>
        <v/>
      </c>
      <c r="O4514" t="inlineStr">
        <is>
          <t>Sim</t>
        </is>
      </c>
      <c r="P4514" t="inlineStr">
        <is>
          <t>1.102, 1.556</t>
        </is>
      </c>
    </row>
    <row r="4515">
      <c r="A4515" s="24" t="n">
        <v>46235</v>
      </c>
      <c r="B4515" t="inlineStr">
        <is>
          <t>Uso e consumo</t>
        </is>
      </c>
      <c r="C4515" t="inlineStr">
        <is>
          <t>2.01.87 Compra de Peças de Máquinas</t>
        </is>
      </c>
      <c r="D4515" t="inlineStr">
        <is>
          <t>NF-e</t>
        </is>
      </c>
      <c r="E4515" t="inlineStr">
        <is>
          <t>000106881</t>
        </is>
      </c>
      <c r="F4515" t="inlineStr">
        <is>
          <t>FERGE COMERCIO DE PRODUTOS INDUSTRIAIS LTDA</t>
        </is>
      </c>
      <c r="G4515" s="27" t="n">
        <v>46246</v>
      </c>
      <c r="H4515" s="14" t="n">
        <v>190</v>
      </c>
      <c r="I4515" s="14" t="n">
        <v>0</v>
      </c>
      <c r="J4515" s="14" t="n">
        <v>38</v>
      </c>
      <c r="K4515" s="14" t="n">
        <v>0</v>
      </c>
      <c r="L4515" s="14" t="n">
        <v>0</v>
      </c>
      <c r="M4515" s="14">
        <f>IF(B4515="Frete de venda",0,(1-ISNUMBER(SEARCH("556",P4515)))*(I4515*VLOOKUP($B4515,Premissas!$A$4:$E$7,2,0)+J4515*VLOOKUP($B4515,Premissas!$A$4:$E$7,3,0))+K4515*VLOOKUP($B4515,Premissas!$A$4:$E$7,4,0)+L4515*VLOOKUP($B4515,Premissas!$A$4:$E$7,5,0))</f>
        <v/>
      </c>
      <c r="N4515" s="14">
        <f>H4515-M4515</f>
        <v/>
      </c>
      <c r="O4515" t="inlineStr">
        <is>
          <t>Sim</t>
        </is>
      </c>
      <c r="P4515" t="inlineStr">
        <is>
          <t>1.556</t>
        </is>
      </c>
    </row>
    <row r="4516">
      <c r="A4516" s="24" t="n">
        <v>46235</v>
      </c>
      <c r="B4516" t="inlineStr">
        <is>
          <t>Uso e consumo</t>
        </is>
      </c>
      <c r="C4516" t="inlineStr">
        <is>
          <t>2.01.87 Compra de Peças de Máquinas</t>
        </is>
      </c>
      <c r="D4516" t="inlineStr">
        <is>
          <t>NF-e</t>
        </is>
      </c>
      <c r="E4516" t="inlineStr">
        <is>
          <t>000107123</t>
        </is>
      </c>
      <c r="F4516" t="inlineStr">
        <is>
          <t>FERGE COMERCIO DE PRODUTOS INDUSTRIAIS LTDA</t>
        </is>
      </c>
      <c r="G4516" s="27" t="n">
        <v>46254</v>
      </c>
      <c r="H4516" s="14" t="n">
        <v>3403.28</v>
      </c>
      <c r="I4516" s="14" t="n">
        <v>0</v>
      </c>
      <c r="J4516" s="14" t="n">
        <v>680.66</v>
      </c>
      <c r="K4516" s="14" t="n">
        <v>0</v>
      </c>
      <c r="L4516" s="14" t="n">
        <v>0</v>
      </c>
      <c r="M4516" s="14">
        <f>IF(B4516="Frete de venda",0,(1-ISNUMBER(SEARCH("556",P4516)))*(I4516*VLOOKUP($B4516,Premissas!$A$4:$E$7,2,0)+J4516*VLOOKUP($B4516,Premissas!$A$4:$E$7,3,0))+K4516*VLOOKUP($B4516,Premissas!$A$4:$E$7,4,0)+L4516*VLOOKUP($B4516,Premissas!$A$4:$E$7,5,0))</f>
        <v/>
      </c>
      <c r="N4516" s="14">
        <f>H4516-M4516</f>
        <v/>
      </c>
      <c r="O4516" t="inlineStr">
        <is>
          <t>Sim</t>
        </is>
      </c>
      <c r="P4516" t="inlineStr">
        <is>
          <t>1.556</t>
        </is>
      </c>
    </row>
    <row r="4517">
      <c r="A4517" s="24" t="n">
        <v>46235</v>
      </c>
      <c r="B4517" t="inlineStr">
        <is>
          <t>Uso e consumo</t>
        </is>
      </c>
      <c r="C4517" t="inlineStr">
        <is>
          <t>2.01.87 Compra de Peças de Máquinas</t>
        </is>
      </c>
      <c r="D4517" t="inlineStr">
        <is>
          <t>NF-e</t>
        </is>
      </c>
      <c r="E4517" t="inlineStr">
        <is>
          <t>000107163</t>
        </is>
      </c>
      <c r="F4517" t="inlineStr">
        <is>
          <t>FERGE COMERCIO DE PRODUTOS INDUSTRIAIS LTDA</t>
        </is>
      </c>
      <c r="G4517" s="27" t="n">
        <v>46255</v>
      </c>
      <c r="H4517" s="14" t="n">
        <v>1690</v>
      </c>
      <c r="I4517" s="14" t="n">
        <v>0</v>
      </c>
      <c r="J4517" s="14" t="n">
        <v>338</v>
      </c>
      <c r="K4517" s="14" t="n">
        <v>0</v>
      </c>
      <c r="L4517" s="14" t="n">
        <v>0</v>
      </c>
      <c r="M4517" s="14">
        <f>IF(B4517="Frete de venda",0,(1-ISNUMBER(SEARCH("556",P4517)))*(I4517*VLOOKUP($B4517,Premissas!$A$4:$E$7,2,0)+J4517*VLOOKUP($B4517,Premissas!$A$4:$E$7,3,0))+K4517*VLOOKUP($B4517,Premissas!$A$4:$E$7,4,0)+L4517*VLOOKUP($B4517,Premissas!$A$4:$E$7,5,0))</f>
        <v/>
      </c>
      <c r="N4517" s="14">
        <f>H4517-M4517</f>
        <v/>
      </c>
      <c r="O4517" t="inlineStr">
        <is>
          <t>Sim</t>
        </is>
      </c>
      <c r="P4517" t="inlineStr">
        <is>
          <t>1.556</t>
        </is>
      </c>
    </row>
    <row r="4518">
      <c r="A4518" s="24" t="n">
        <v>46235</v>
      </c>
      <c r="B4518" t="inlineStr">
        <is>
          <t>Uso e consumo</t>
        </is>
      </c>
      <c r="C4518" t="inlineStr">
        <is>
          <t>2.01.87 Compra de Peças de Máquinas</t>
        </is>
      </c>
      <c r="D4518" t="inlineStr">
        <is>
          <t>NF-e</t>
        </is>
      </c>
      <c r="E4518" t="inlineStr">
        <is>
          <t>000008557</t>
        </is>
      </c>
      <c r="F4518" t="inlineStr">
        <is>
          <t>FUSIONX INDUSTRIA E COMERCIO DE SISTEMAS DE AUTOMACAO LTDA</t>
        </is>
      </c>
      <c r="G4518" s="27" t="n">
        <v>46247</v>
      </c>
      <c r="H4518" s="14" t="n">
        <v>6650</v>
      </c>
      <c r="I4518" s="14" t="n">
        <v>0</v>
      </c>
      <c r="J4518" s="14" t="n">
        <v>266</v>
      </c>
      <c r="K4518" s="14" t="n">
        <v>43.22</v>
      </c>
      <c r="L4518" s="14" t="n">
        <v>199.5</v>
      </c>
      <c r="M4518" s="14">
        <f>IF(B4518="Frete de venda",0,(1-ISNUMBER(SEARCH("556",P4518)))*(I4518*VLOOKUP($B4518,Premissas!$A$4:$E$7,2,0)+J4518*VLOOKUP($B4518,Premissas!$A$4:$E$7,3,0))+K4518*VLOOKUP($B4518,Premissas!$A$4:$E$7,4,0)+L4518*VLOOKUP($B4518,Premissas!$A$4:$E$7,5,0))</f>
        <v/>
      </c>
      <c r="N4518" s="14">
        <f>H4518-M4518</f>
        <v/>
      </c>
      <c r="O4518" t="inlineStr">
        <is>
          <t>Sim</t>
        </is>
      </c>
      <c r="P4518" t="inlineStr">
        <is>
          <t>2.556</t>
        </is>
      </c>
    </row>
    <row r="4519">
      <c r="A4519" s="24" t="n">
        <v>46235</v>
      </c>
      <c r="B4519" t="inlineStr">
        <is>
          <t>Uso e consumo</t>
        </is>
      </c>
      <c r="C4519" t="inlineStr">
        <is>
          <t>2.01.87 Compra de Peças de Máquinas</t>
        </is>
      </c>
      <c r="D4519" t="inlineStr">
        <is>
          <t>NF-e</t>
        </is>
      </c>
      <c r="E4519" t="inlineStr">
        <is>
          <t>000007393</t>
        </is>
      </c>
      <c r="F4519" t="inlineStr">
        <is>
          <t>GF COMERCIO DE PRODUTOS INDUSTRIAIS LTDA</t>
        </is>
      </c>
      <c r="G4519" s="27" t="n">
        <v>46240</v>
      </c>
      <c r="H4519" s="14" t="n">
        <v>1023.75</v>
      </c>
      <c r="I4519" s="14" t="n">
        <v>0</v>
      </c>
      <c r="J4519" s="14" t="n">
        <v>0</v>
      </c>
      <c r="K4519" s="14" t="n">
        <v>0</v>
      </c>
      <c r="L4519" s="14" t="n">
        <v>0</v>
      </c>
      <c r="M4519" s="14">
        <f>IF(B4519="Frete de venda",0,(1-ISNUMBER(SEARCH("556",P4519)))*(I4519*VLOOKUP($B4519,Premissas!$A$4:$E$7,2,0)+J4519*VLOOKUP($B4519,Premissas!$A$4:$E$7,3,0))+K4519*VLOOKUP($B4519,Premissas!$A$4:$E$7,4,0)+L4519*VLOOKUP($B4519,Premissas!$A$4:$E$7,5,0))</f>
        <v/>
      </c>
      <c r="N4519" s="14">
        <f>H4519-M4519</f>
        <v/>
      </c>
      <c r="O4519" t="inlineStr">
        <is>
          <t>Sim</t>
        </is>
      </c>
      <c r="P4519" t="inlineStr">
        <is>
          <t>1.556</t>
        </is>
      </c>
    </row>
    <row r="4520">
      <c r="A4520" s="24" t="n">
        <v>46235</v>
      </c>
      <c r="B4520" t="inlineStr">
        <is>
          <t>Uso e consumo</t>
        </is>
      </c>
      <c r="C4520" t="inlineStr">
        <is>
          <t>2.01.87 Compra de Peças de Máquinas</t>
        </is>
      </c>
      <c r="D4520" t="inlineStr">
        <is>
          <t>NF-e</t>
        </is>
      </c>
      <c r="E4520" t="inlineStr">
        <is>
          <t>000007456</t>
        </is>
      </c>
      <c r="F4520" t="inlineStr">
        <is>
          <t>GF COMERCIO DE PRODUTOS INDUSTRIAIS LTDA</t>
        </is>
      </c>
      <c r="G4520" s="27" t="n">
        <v>46246</v>
      </c>
      <c r="H4520" s="14" t="n">
        <v>80</v>
      </c>
      <c r="I4520" s="14" t="n">
        <v>0</v>
      </c>
      <c r="J4520" s="14" t="n">
        <v>0</v>
      </c>
      <c r="K4520" s="14" t="n">
        <v>0</v>
      </c>
      <c r="L4520" s="14" t="n">
        <v>0</v>
      </c>
      <c r="M4520" s="14">
        <f>IF(B4520="Frete de venda",0,(1-ISNUMBER(SEARCH("556",P4520)))*(I4520*VLOOKUP($B4520,Premissas!$A$4:$E$7,2,0)+J4520*VLOOKUP($B4520,Premissas!$A$4:$E$7,3,0))+K4520*VLOOKUP($B4520,Premissas!$A$4:$E$7,4,0)+L4520*VLOOKUP($B4520,Premissas!$A$4:$E$7,5,0))</f>
        <v/>
      </c>
      <c r="N4520" s="14">
        <f>H4520-M4520</f>
        <v/>
      </c>
      <c r="O4520" t="inlineStr">
        <is>
          <t>Sim</t>
        </is>
      </c>
      <c r="P4520" t="inlineStr">
        <is>
          <t>1.556</t>
        </is>
      </c>
    </row>
    <row r="4521">
      <c r="A4521" s="24" t="n">
        <v>46235</v>
      </c>
      <c r="B4521" t="inlineStr">
        <is>
          <t>Uso e consumo</t>
        </is>
      </c>
      <c r="C4521" t="inlineStr">
        <is>
          <t>2.01.87 Compra de Peças de Máquinas</t>
        </is>
      </c>
      <c r="D4521" t="inlineStr">
        <is>
          <t>NF-e</t>
        </is>
      </c>
      <c r="E4521" t="inlineStr">
        <is>
          <t>000007576</t>
        </is>
      </c>
      <c r="F4521" t="inlineStr">
        <is>
          <t>GF COMERCIO DE PRODUTOS INDUSTRIAIS LTDA</t>
        </is>
      </c>
      <c r="G4521" s="27" t="n">
        <v>46259</v>
      </c>
      <c r="H4521" s="14" t="n">
        <v>218</v>
      </c>
      <c r="I4521" s="14" t="n">
        <v>0</v>
      </c>
      <c r="J4521" s="14" t="n">
        <v>0</v>
      </c>
      <c r="K4521" s="14" t="n">
        <v>0</v>
      </c>
      <c r="L4521" s="14" t="n">
        <v>0</v>
      </c>
      <c r="M4521" s="14">
        <f>IF(B4521="Frete de venda",0,(1-ISNUMBER(SEARCH("556",P4521)))*(I4521*VLOOKUP($B4521,Premissas!$A$4:$E$7,2,0)+J4521*VLOOKUP($B4521,Premissas!$A$4:$E$7,3,0))+K4521*VLOOKUP($B4521,Premissas!$A$4:$E$7,4,0)+L4521*VLOOKUP($B4521,Premissas!$A$4:$E$7,5,0))</f>
        <v/>
      </c>
      <c r="N4521" s="14">
        <f>H4521-M4521</f>
        <v/>
      </c>
      <c r="O4521" t="inlineStr">
        <is>
          <t>Sim</t>
        </is>
      </c>
      <c r="P4521" t="inlineStr">
        <is>
          <t>1.556</t>
        </is>
      </c>
    </row>
    <row r="4522">
      <c r="A4522" s="24" t="n">
        <v>46235</v>
      </c>
      <c r="B4522" t="inlineStr">
        <is>
          <t>Uso e consumo</t>
        </is>
      </c>
      <c r="C4522" t="inlineStr">
        <is>
          <t>2.01.87 Compra de Peças de Máquinas</t>
        </is>
      </c>
      <c r="D4522" t="inlineStr">
        <is>
          <t>NF-e</t>
        </is>
      </c>
      <c r="E4522" t="inlineStr">
        <is>
          <t>000003535</t>
        </is>
      </c>
      <c r="F4522" t="inlineStr">
        <is>
          <t>TECHPRINT FACAS INDUSTRIAIS</t>
        </is>
      </c>
      <c r="G4522" s="27" t="n">
        <v>46240</v>
      </c>
      <c r="H4522" s="14" t="n">
        <v>6489</v>
      </c>
      <c r="I4522" s="14" t="n">
        <v>0</v>
      </c>
      <c r="J4522" s="14" t="n">
        <v>0</v>
      </c>
      <c r="K4522" s="14" t="n">
        <v>0</v>
      </c>
      <c r="L4522" s="14" t="n">
        <v>0</v>
      </c>
      <c r="M4522" s="14">
        <f>IF(B4522="Frete de venda",0,(1-ISNUMBER(SEARCH("556",P4522)))*(I4522*VLOOKUP($B4522,Premissas!$A$4:$E$7,2,0)+J4522*VLOOKUP($B4522,Premissas!$A$4:$E$7,3,0))+K4522*VLOOKUP($B4522,Premissas!$A$4:$E$7,4,0)+L4522*VLOOKUP($B4522,Premissas!$A$4:$E$7,5,0))</f>
        <v/>
      </c>
      <c r="N4522" s="14">
        <f>H4522-M4522</f>
        <v/>
      </c>
      <c r="O4522" t="inlineStr">
        <is>
          <t>Sim</t>
        </is>
      </c>
      <c r="P4522" t="inlineStr">
        <is>
          <t>2.556</t>
        </is>
      </c>
    </row>
    <row r="4523">
      <c r="A4523" s="24" t="n">
        <v>46235</v>
      </c>
      <c r="B4523" t="inlineStr">
        <is>
          <t>Insumos e papel</t>
        </is>
      </c>
      <c r="C4523" t="inlineStr">
        <is>
          <t>2.01.89 Compra de Pallet</t>
        </is>
      </c>
      <c r="D4523" t="inlineStr">
        <is>
          <t>NF-e</t>
        </is>
      </c>
      <c r="E4523" t="inlineStr">
        <is>
          <t>000004418</t>
        </is>
      </c>
      <c r="F4523" t="inlineStr">
        <is>
          <t>RECICLAGEM LIBERDADE LTDA</t>
        </is>
      </c>
      <c r="G4523" s="27" t="n">
        <v>46253</v>
      </c>
      <c r="H4523" s="14" t="n">
        <v>2400</v>
      </c>
      <c r="I4523" s="14" t="n">
        <v>0</v>
      </c>
      <c r="J4523" s="14" t="n">
        <v>0</v>
      </c>
      <c r="K4523" s="14" t="n">
        <v>0</v>
      </c>
      <c r="L4523" s="14" t="n">
        <v>0</v>
      </c>
      <c r="M4523" s="14">
        <f>IF(B4523="Frete de venda",0,(1-ISNUMBER(SEARCH("556",P4523)))*(I4523*VLOOKUP($B4523,Premissas!$A$4:$E$7,2,0)+J4523*VLOOKUP($B4523,Premissas!$A$4:$E$7,3,0))+K4523*VLOOKUP($B4523,Premissas!$A$4:$E$7,4,0)+L4523*VLOOKUP($B4523,Premissas!$A$4:$E$7,5,0))</f>
        <v/>
      </c>
      <c r="N4523" s="14">
        <f>H4523-M4523</f>
        <v/>
      </c>
      <c r="O4523" t="inlineStr">
        <is>
          <t>Sim</t>
        </is>
      </c>
      <c r="P4523" t="inlineStr">
        <is>
          <t>1.556</t>
        </is>
      </c>
    </row>
    <row r="4524">
      <c r="A4524" s="24" t="n">
        <v>46235</v>
      </c>
      <c r="B4524" t="inlineStr">
        <is>
          <t>Insumos e papel</t>
        </is>
      </c>
      <c r="C4524" t="inlineStr">
        <is>
          <t>2.01.89 Compra de Pallet</t>
        </is>
      </c>
      <c r="D4524" t="inlineStr">
        <is>
          <t>NF-e</t>
        </is>
      </c>
      <c r="E4524" t="inlineStr">
        <is>
          <t>000004423</t>
        </is>
      </c>
      <c r="F4524" t="inlineStr">
        <is>
          <t>RECICLAGEM LIBERDADE LTDA</t>
        </is>
      </c>
      <c r="G4524" s="27" t="n">
        <v>46260</v>
      </c>
      <c r="H4524" s="14" t="n">
        <v>2400</v>
      </c>
      <c r="I4524" s="14" t="n">
        <v>0</v>
      </c>
      <c r="J4524" s="14" t="n">
        <v>0</v>
      </c>
      <c r="K4524" s="14" t="n">
        <v>0</v>
      </c>
      <c r="L4524" s="14" t="n">
        <v>0</v>
      </c>
      <c r="M4524" s="14">
        <f>IF(B4524="Frete de venda",0,(1-ISNUMBER(SEARCH("556",P4524)))*(I4524*VLOOKUP($B4524,Premissas!$A$4:$E$7,2,0)+J4524*VLOOKUP($B4524,Premissas!$A$4:$E$7,3,0))+K4524*VLOOKUP($B4524,Premissas!$A$4:$E$7,4,0)+L4524*VLOOKUP($B4524,Premissas!$A$4:$E$7,5,0))</f>
        <v/>
      </c>
      <c r="N4524" s="14">
        <f>H4524-M4524</f>
        <v/>
      </c>
      <c r="O4524" t="inlineStr">
        <is>
          <t>Sim</t>
        </is>
      </c>
      <c r="P4524" t="inlineStr">
        <is>
          <t>1.556</t>
        </is>
      </c>
    </row>
    <row r="4525">
      <c r="A4525" s="24" t="n">
        <v>46235</v>
      </c>
      <c r="B4525" t="inlineStr">
        <is>
          <t>Insumos e papel</t>
        </is>
      </c>
      <c r="C4525" t="inlineStr">
        <is>
          <t>2.01.92 Compra de Tinta</t>
        </is>
      </c>
      <c r="D4525" t="inlineStr">
        <is>
          <t>NF-e</t>
        </is>
      </c>
      <c r="E4525" t="inlineStr">
        <is>
          <t>000016564</t>
        </is>
      </c>
      <c r="F4525" t="inlineStr">
        <is>
          <t>FITTYCOR - INDUSTRIA E COMERCIO DE TINTAS ESPECIAIS LTDA</t>
        </is>
      </c>
      <c r="G4525" s="27" t="n">
        <v>46246</v>
      </c>
      <c r="H4525" s="14" t="n">
        <v>30491.4</v>
      </c>
      <c r="I4525" s="14" t="n">
        <v>0</v>
      </c>
      <c r="J4525" s="14" t="n">
        <v>2134.4</v>
      </c>
      <c r="K4525" s="14" t="n">
        <v>198.19</v>
      </c>
      <c r="L4525" s="14" t="n">
        <v>914.77</v>
      </c>
      <c r="M4525" s="14">
        <f>IF(B4525="Frete de venda",0,(1-ISNUMBER(SEARCH("556",P4525)))*(I4525*VLOOKUP($B4525,Premissas!$A$4:$E$7,2,0)+J4525*VLOOKUP($B4525,Premissas!$A$4:$E$7,3,0))+K4525*VLOOKUP($B4525,Premissas!$A$4:$E$7,4,0)+L4525*VLOOKUP($B4525,Premissas!$A$4:$E$7,5,0))</f>
        <v/>
      </c>
      <c r="N4525" s="14">
        <f>H4525-M4525</f>
        <v/>
      </c>
      <c r="O4525" t="inlineStr">
        <is>
          <t>Sim</t>
        </is>
      </c>
      <c r="P4525" t="inlineStr">
        <is>
          <t>2.101</t>
        </is>
      </c>
    </row>
    <row r="4526">
      <c r="A4526" s="24" t="n">
        <v>46235</v>
      </c>
      <c r="B4526" t="inlineStr">
        <is>
          <t>Insumos e papel</t>
        </is>
      </c>
      <c r="C4526" t="inlineStr">
        <is>
          <t>2.01.93 Compra de Plástico Poliolefínico</t>
        </is>
      </c>
      <c r="D4526" t="inlineStr">
        <is>
          <t>NF-e</t>
        </is>
      </c>
      <c r="E4526" t="inlineStr">
        <is>
          <t>000019073</t>
        </is>
      </c>
      <c r="F4526" t="inlineStr">
        <is>
          <t>ALSTEK SOLUCOES EM EMBALAGENS - LTDA</t>
        </is>
      </c>
      <c r="G4526" s="27" t="n">
        <v>46244</v>
      </c>
      <c r="H4526" s="14" t="n">
        <v>6124.44</v>
      </c>
      <c r="I4526" s="14" t="n">
        <v>798.84</v>
      </c>
      <c r="J4526" s="14" t="n">
        <v>213.02</v>
      </c>
      <c r="K4526" s="14" t="n">
        <v>33.23</v>
      </c>
      <c r="L4526" s="14" t="n">
        <v>153.38</v>
      </c>
      <c r="M4526" s="14">
        <f>IF(B4526="Frete de venda",0,(1-ISNUMBER(SEARCH("556",P4526)))*(I4526*VLOOKUP($B4526,Premissas!$A$4:$E$7,2,0)+J4526*VLOOKUP($B4526,Premissas!$A$4:$E$7,3,0))+K4526*VLOOKUP($B4526,Premissas!$A$4:$E$7,4,0)+L4526*VLOOKUP($B4526,Premissas!$A$4:$E$7,5,0))</f>
        <v/>
      </c>
      <c r="N4526" s="14">
        <f>H4526-M4526</f>
        <v/>
      </c>
      <c r="O4526" t="inlineStr">
        <is>
          <t>Sim</t>
        </is>
      </c>
      <c r="P4526" t="inlineStr">
        <is>
          <t>1.556</t>
        </is>
      </c>
    </row>
    <row r="4527">
      <c r="A4527" s="24" t="n">
        <v>46235</v>
      </c>
      <c r="B4527" t="inlineStr">
        <is>
          <t>Insumos e papel</t>
        </is>
      </c>
      <c r="C4527" t="inlineStr">
        <is>
          <t>2.01.93 Compra de Plástico Poliolefínico</t>
        </is>
      </c>
      <c r="D4527" t="inlineStr">
        <is>
          <t>NF-e</t>
        </is>
      </c>
      <c r="E4527" t="inlineStr">
        <is>
          <t>000009354</t>
        </is>
      </c>
      <c r="F4527" t="inlineStr">
        <is>
          <t>ALSTEK SOLUCOES EM EMBALAGENS LTDA</t>
        </is>
      </c>
      <c r="G4527" s="27" t="n">
        <v>46244</v>
      </c>
      <c r="H4527" s="14" t="n">
        <v>82911.78</v>
      </c>
      <c r="I4527" s="14" t="n">
        <v>10814.58</v>
      </c>
      <c r="J4527" s="14" t="n">
        <v>2883.88</v>
      </c>
      <c r="K4527" s="14" t="n">
        <v>449.88</v>
      </c>
      <c r="L4527" s="14" t="n">
        <v>2076.38</v>
      </c>
      <c r="M4527" s="14">
        <f>IF(B4527="Frete de venda",0,(1-ISNUMBER(SEARCH("556",P4527)))*(I4527*VLOOKUP($B4527,Premissas!$A$4:$E$7,2,0)+J4527*VLOOKUP($B4527,Premissas!$A$4:$E$7,3,0))+K4527*VLOOKUP($B4527,Premissas!$A$4:$E$7,4,0)+L4527*VLOOKUP($B4527,Premissas!$A$4:$E$7,5,0))</f>
        <v/>
      </c>
      <c r="N4527" s="14">
        <f>H4527-M4527</f>
        <v/>
      </c>
      <c r="O4527" t="inlineStr">
        <is>
          <t>Sim</t>
        </is>
      </c>
      <c r="P4527" t="inlineStr">
        <is>
          <t>2.101, 2.102</t>
        </is>
      </c>
    </row>
    <row r="4528">
      <c r="A4528" s="24" t="n">
        <v>46235</v>
      </c>
      <c r="B4528" t="inlineStr">
        <is>
          <t>Insumos e papel</t>
        </is>
      </c>
      <c r="C4528" t="inlineStr">
        <is>
          <t>2.01.94 Compra de Fita Adesiva</t>
        </is>
      </c>
      <c r="D4528" t="inlineStr">
        <is>
          <t>NF-e</t>
        </is>
      </c>
      <c r="E4528" t="inlineStr">
        <is>
          <t>000106394</t>
        </is>
      </c>
      <c r="F4528" t="inlineStr">
        <is>
          <t>PERNAMBUCO DISTRIBUIDORA ATAC EPIS, INS IND e MRO LTDA</t>
        </is>
      </c>
      <c r="G4528" s="27" t="n">
        <v>46245</v>
      </c>
      <c r="H4528" s="14" t="n">
        <v>11964.24</v>
      </c>
      <c r="I4528" s="14" t="n">
        <v>0</v>
      </c>
      <c r="J4528" s="14" t="n">
        <v>2392.84</v>
      </c>
      <c r="K4528" s="14" t="n">
        <v>157.92</v>
      </c>
      <c r="L4528" s="14" t="n">
        <v>727.42</v>
      </c>
      <c r="M4528" s="14">
        <f>IF(B4528="Frete de venda",0,(1-ISNUMBER(SEARCH("556",P4528)))*(I4528*VLOOKUP($B4528,Premissas!$A$4:$E$7,2,0)+J4528*VLOOKUP($B4528,Premissas!$A$4:$E$7,3,0))+K4528*VLOOKUP($B4528,Premissas!$A$4:$E$7,4,0)+L4528*VLOOKUP($B4528,Premissas!$A$4:$E$7,5,0))</f>
        <v/>
      </c>
      <c r="N4528" s="14">
        <f>H4528-M4528</f>
        <v/>
      </c>
      <c r="O4528" t="inlineStr">
        <is>
          <t>Sim</t>
        </is>
      </c>
      <c r="P4528" t="inlineStr">
        <is>
          <t>1.556</t>
        </is>
      </c>
    </row>
    <row r="4529">
      <c r="A4529" s="24" t="n">
        <v>46235</v>
      </c>
      <c r="B4529" t="inlineStr">
        <is>
          <t>Insumos e papel</t>
        </is>
      </c>
      <c r="C4529" t="inlineStr">
        <is>
          <t>2.01.94 Compra de Fita Adesiva</t>
        </is>
      </c>
      <c r="D4529" t="inlineStr">
        <is>
          <t>NF-e</t>
        </is>
      </c>
      <c r="E4529" t="inlineStr">
        <is>
          <t>000106891</t>
        </is>
      </c>
      <c r="F4529" t="inlineStr">
        <is>
          <t>PERNAMBUCO DISTRIBUIDORA ATAC EPIS, INS IND e MRO LTDA</t>
        </is>
      </c>
      <c r="G4529" s="27" t="n">
        <v>46251</v>
      </c>
      <c r="H4529" s="14" t="n">
        <v>1171</v>
      </c>
      <c r="I4529" s="14" t="n">
        <v>0</v>
      </c>
      <c r="J4529" s="14" t="n">
        <v>234.2</v>
      </c>
      <c r="K4529" s="14" t="n">
        <v>15.42</v>
      </c>
      <c r="L4529" s="14" t="n">
        <v>71.16</v>
      </c>
      <c r="M4529" s="14">
        <f>IF(B4529="Frete de venda",0,(1-ISNUMBER(SEARCH("556",P4529)))*(I4529*VLOOKUP($B4529,Premissas!$A$4:$E$7,2,0)+J4529*VLOOKUP($B4529,Premissas!$A$4:$E$7,3,0))+K4529*VLOOKUP($B4529,Premissas!$A$4:$E$7,4,0)+L4529*VLOOKUP($B4529,Premissas!$A$4:$E$7,5,0))</f>
        <v/>
      </c>
      <c r="N4529" s="14">
        <f>H4529-M4529</f>
        <v/>
      </c>
      <c r="O4529" t="inlineStr">
        <is>
          <t>Sim</t>
        </is>
      </c>
      <c r="P4529" t="inlineStr">
        <is>
          <t>1.102, 1.556</t>
        </is>
      </c>
    </row>
    <row r="4530">
      <c r="A4530" s="24" t="n">
        <v>46235</v>
      </c>
      <c r="B4530" t="inlineStr">
        <is>
          <t>Insumos e papel</t>
        </is>
      </c>
      <c r="C4530" t="inlineStr">
        <is>
          <t>2.01.95 Compra de Etiqueta</t>
        </is>
      </c>
      <c r="D4530" t="inlineStr">
        <is>
          <t>NF-e</t>
        </is>
      </c>
      <c r="E4530" t="inlineStr">
        <is>
          <t>000005190</t>
        </is>
      </c>
      <c r="F4530" t="inlineStr">
        <is>
          <t>FLEXOPEL LTDA</t>
        </is>
      </c>
      <c r="G4530" s="27" t="n">
        <v>46245</v>
      </c>
      <c r="H4530" s="14" t="n">
        <v>4800</v>
      </c>
      <c r="I4530" s="14" t="n">
        <v>0</v>
      </c>
      <c r="J4530" s="14" t="n">
        <v>960</v>
      </c>
      <c r="K4530" s="14" t="n">
        <v>63.36</v>
      </c>
      <c r="L4530" s="14" t="n">
        <v>291.84</v>
      </c>
      <c r="M4530" s="14">
        <f>IF(B4530="Frete de venda",0,(1-ISNUMBER(SEARCH("556",P4530)))*(I4530*VLOOKUP($B4530,Premissas!$A$4:$E$7,2,0)+J4530*VLOOKUP($B4530,Premissas!$A$4:$E$7,3,0))+K4530*VLOOKUP($B4530,Premissas!$A$4:$E$7,4,0)+L4530*VLOOKUP($B4530,Premissas!$A$4:$E$7,5,0))</f>
        <v/>
      </c>
      <c r="N4530" s="14">
        <f>H4530-M4530</f>
        <v/>
      </c>
      <c r="O4530" t="inlineStr">
        <is>
          <t>Sim</t>
        </is>
      </c>
      <c r="P4530" t="inlineStr">
        <is>
          <t>1.556</t>
        </is>
      </c>
    </row>
    <row r="4531">
      <c r="A4531" s="24" t="n">
        <v>46235</v>
      </c>
      <c r="B4531" t="inlineStr">
        <is>
          <t>Insumos e papel</t>
        </is>
      </c>
      <c r="C4531" t="inlineStr">
        <is>
          <t>2.01.95 Compra de Etiqueta</t>
        </is>
      </c>
      <c r="D4531" t="inlineStr">
        <is>
          <t>NF-e</t>
        </is>
      </c>
      <c r="E4531" t="inlineStr">
        <is>
          <t>000005253</t>
        </is>
      </c>
      <c r="F4531" t="inlineStr">
        <is>
          <t>FLEXOPEL LTDA</t>
        </is>
      </c>
      <c r="G4531" s="27" t="n">
        <v>46247</v>
      </c>
      <c r="H4531" s="14" t="n">
        <v>3759</v>
      </c>
      <c r="I4531" s="14" t="n">
        <v>0</v>
      </c>
      <c r="J4531" s="14" t="n">
        <v>751.8</v>
      </c>
      <c r="K4531" s="14" t="n">
        <v>49.63</v>
      </c>
      <c r="L4531" s="14" t="n">
        <v>228.55</v>
      </c>
      <c r="M4531" s="14">
        <f>IF(B4531="Frete de venda",0,(1-ISNUMBER(SEARCH("556",P4531)))*(I4531*VLOOKUP($B4531,Premissas!$A$4:$E$7,2,0)+J4531*VLOOKUP($B4531,Premissas!$A$4:$E$7,3,0))+K4531*VLOOKUP($B4531,Premissas!$A$4:$E$7,4,0)+L4531*VLOOKUP($B4531,Premissas!$A$4:$E$7,5,0))</f>
        <v/>
      </c>
      <c r="N4531" s="14">
        <f>H4531-M4531</f>
        <v/>
      </c>
      <c r="O4531" t="inlineStr">
        <is>
          <t>Sim</t>
        </is>
      </c>
      <c r="P4531" t="inlineStr">
        <is>
          <t>1.556</t>
        </is>
      </c>
    </row>
    <row r="4532">
      <c r="A4532" s="24" t="n">
        <v>46235</v>
      </c>
      <c r="B4532" t="inlineStr">
        <is>
          <t>Insumos e papel</t>
        </is>
      </c>
      <c r="C4532" t="inlineStr">
        <is>
          <t>2.01.95 Compra de Etiqueta</t>
        </is>
      </c>
      <c r="D4532" t="inlineStr">
        <is>
          <t>NF-e</t>
        </is>
      </c>
      <c r="E4532" t="inlineStr">
        <is>
          <t>000005340</t>
        </is>
      </c>
      <c r="F4532" t="inlineStr">
        <is>
          <t>FLEXOPEL LTDA</t>
        </is>
      </c>
      <c r="G4532" s="27" t="n">
        <v>46254</v>
      </c>
      <c r="H4532" s="14" t="n">
        <v>4000</v>
      </c>
      <c r="I4532" s="14" t="n">
        <v>0</v>
      </c>
      <c r="J4532" s="14" t="n">
        <v>800</v>
      </c>
      <c r="K4532" s="14" t="n">
        <v>52.8</v>
      </c>
      <c r="L4532" s="14" t="n">
        <v>243.2</v>
      </c>
      <c r="M4532" s="14">
        <f>IF(B4532="Frete de venda",0,(1-ISNUMBER(SEARCH("556",P4532)))*(I4532*VLOOKUP($B4532,Premissas!$A$4:$E$7,2,0)+J4532*VLOOKUP($B4532,Premissas!$A$4:$E$7,3,0))+K4532*VLOOKUP($B4532,Premissas!$A$4:$E$7,4,0)+L4532*VLOOKUP($B4532,Premissas!$A$4:$E$7,5,0))</f>
        <v/>
      </c>
      <c r="N4532" s="14">
        <f>H4532-M4532</f>
        <v/>
      </c>
      <c r="O4532" t="inlineStr">
        <is>
          <t>Sim</t>
        </is>
      </c>
      <c r="P4532" t="inlineStr">
        <is>
          <t>1.556</t>
        </is>
      </c>
    </row>
    <row r="4533">
      <c r="A4533" s="24" t="n">
        <v>46235</v>
      </c>
      <c r="B4533" t="inlineStr">
        <is>
          <t>Insumos e papel</t>
        </is>
      </c>
      <c r="C4533" t="inlineStr">
        <is>
          <t>2.01.95 Compra de Etiqueta</t>
        </is>
      </c>
      <c r="D4533" t="inlineStr">
        <is>
          <t>NF-e</t>
        </is>
      </c>
      <c r="E4533" t="inlineStr">
        <is>
          <t>000005419</t>
        </is>
      </c>
      <c r="F4533" t="inlineStr">
        <is>
          <t>FLEXOPEL LTDA</t>
        </is>
      </c>
      <c r="G4533" s="27" t="n">
        <v>46259</v>
      </c>
      <c r="H4533" s="14" t="n">
        <v>716</v>
      </c>
      <c r="I4533" s="14" t="n">
        <v>0</v>
      </c>
      <c r="J4533" s="14" t="n">
        <v>143.2</v>
      </c>
      <c r="K4533" s="14" t="n">
        <v>9.449999999999999</v>
      </c>
      <c r="L4533" s="14" t="n">
        <v>43.53</v>
      </c>
      <c r="M4533" s="14">
        <f>IF(B4533="Frete de venda",0,(1-ISNUMBER(SEARCH("556",P4533)))*(I4533*VLOOKUP($B4533,Premissas!$A$4:$E$7,2,0)+J4533*VLOOKUP($B4533,Premissas!$A$4:$E$7,3,0))+K4533*VLOOKUP($B4533,Premissas!$A$4:$E$7,4,0)+L4533*VLOOKUP($B4533,Premissas!$A$4:$E$7,5,0))</f>
        <v/>
      </c>
      <c r="N4533" s="14">
        <f>H4533-M4533</f>
        <v/>
      </c>
      <c r="O4533" t="inlineStr">
        <is>
          <t>Sim</t>
        </is>
      </c>
      <c r="P4533" t="inlineStr">
        <is>
          <t>1.556</t>
        </is>
      </c>
    </row>
    <row r="4534">
      <c r="A4534" s="24" t="n">
        <v>46235</v>
      </c>
      <c r="B4534" t="inlineStr">
        <is>
          <t>Insumos e papel</t>
        </is>
      </c>
      <c r="C4534" t="inlineStr">
        <is>
          <t>2.01.95 Compra de Etiqueta</t>
        </is>
      </c>
      <c r="D4534" t="inlineStr">
        <is>
          <t>NF-e</t>
        </is>
      </c>
      <c r="E4534" t="inlineStr">
        <is>
          <t>000005520</t>
        </is>
      </c>
      <c r="F4534" t="inlineStr">
        <is>
          <t>FLEXOPEL LTDA</t>
        </is>
      </c>
      <c r="G4534" s="27" t="n">
        <v>46265</v>
      </c>
      <c r="H4534" s="14" t="n">
        <v>716</v>
      </c>
      <c r="I4534" s="14" t="n">
        <v>0</v>
      </c>
      <c r="J4534" s="14" t="n">
        <v>143.2</v>
      </c>
      <c r="K4534" s="14" t="n">
        <v>9.449999999999999</v>
      </c>
      <c r="L4534" s="14" t="n">
        <v>43.53</v>
      </c>
      <c r="M4534" s="14">
        <f>IF(B4534="Frete de venda",0,(1-ISNUMBER(SEARCH("556",P4534)))*(I4534*VLOOKUP($B4534,Premissas!$A$4:$E$7,2,0)+J4534*VLOOKUP($B4534,Premissas!$A$4:$E$7,3,0))+K4534*VLOOKUP($B4534,Premissas!$A$4:$E$7,4,0)+L4534*VLOOKUP($B4534,Premissas!$A$4:$E$7,5,0))</f>
        <v/>
      </c>
      <c r="N4534" s="14">
        <f>H4534-M4534</f>
        <v/>
      </c>
      <c r="O4534" t="inlineStr">
        <is>
          <t>Sim</t>
        </is>
      </c>
      <c r="P4534" t="inlineStr">
        <is>
          <t>1.556</t>
        </is>
      </c>
    </row>
    <row r="4535">
      <c r="A4535" s="24" t="n">
        <v>46235</v>
      </c>
      <c r="B4535" t="inlineStr">
        <is>
          <t>Insumos e papel</t>
        </is>
      </c>
      <c r="C4535" t="inlineStr">
        <is>
          <t>2.01.95 Compra de Etiqueta</t>
        </is>
      </c>
      <c r="D4535" t="inlineStr">
        <is>
          <t>NF-e</t>
        </is>
      </c>
      <c r="E4535" t="inlineStr">
        <is>
          <t>000005521</t>
        </is>
      </c>
      <c r="F4535" t="inlineStr">
        <is>
          <t>FLEXOPEL LTDA</t>
        </is>
      </c>
      <c r="G4535" s="27" t="n">
        <v>46265</v>
      </c>
      <c r="H4535" s="14" t="n">
        <v>3938</v>
      </c>
      <c r="I4535" s="14" t="n">
        <v>0</v>
      </c>
      <c r="J4535" s="14" t="n">
        <v>787.6</v>
      </c>
      <c r="K4535" s="14" t="n">
        <v>51.99</v>
      </c>
      <c r="L4535" s="14" t="n">
        <v>239.43</v>
      </c>
      <c r="M4535" s="14">
        <f>IF(B4535="Frete de venda",0,(1-ISNUMBER(SEARCH("556",P4535)))*(I4535*VLOOKUP($B4535,Premissas!$A$4:$E$7,2,0)+J4535*VLOOKUP($B4535,Premissas!$A$4:$E$7,3,0))+K4535*VLOOKUP($B4535,Premissas!$A$4:$E$7,4,0)+L4535*VLOOKUP($B4535,Premissas!$A$4:$E$7,5,0))</f>
        <v/>
      </c>
      <c r="N4535" s="14">
        <f>H4535-M4535</f>
        <v/>
      </c>
      <c r="O4535" t="inlineStr">
        <is>
          <t>Sim</t>
        </is>
      </c>
      <c r="P4535" t="inlineStr">
        <is>
          <t>2.556</t>
        </is>
      </c>
    </row>
    <row r="4536">
      <c r="A4536" s="24" t="n">
        <v>46235</v>
      </c>
      <c r="B4536" t="inlineStr">
        <is>
          <t>Insumos e papel</t>
        </is>
      </c>
      <c r="C4536" t="inlineStr">
        <is>
          <t>2.01.96 Compra de Cola</t>
        </is>
      </c>
      <c r="D4536" t="inlineStr">
        <is>
          <t>NF-e</t>
        </is>
      </c>
      <c r="E4536" t="inlineStr">
        <is>
          <t>000038161</t>
        </is>
      </c>
      <c r="F4536" t="inlineStr">
        <is>
          <t>COLAMID</t>
        </is>
      </c>
      <c r="G4536" s="27" t="n">
        <v>46259</v>
      </c>
      <c r="H4536" s="14" t="n">
        <v>57325</v>
      </c>
      <c r="I4536" s="14" t="n">
        <v>0</v>
      </c>
      <c r="J4536" s="14" t="n">
        <v>6879</v>
      </c>
      <c r="K4536" s="14" t="n">
        <v>0</v>
      </c>
      <c r="L4536" s="14" t="n">
        <v>0</v>
      </c>
      <c r="M4536" s="14">
        <f>IF(B4536="Frete de venda",0,(1-ISNUMBER(SEARCH("556",P4536)))*(I4536*VLOOKUP($B4536,Premissas!$A$4:$E$7,2,0)+J4536*VLOOKUP($B4536,Premissas!$A$4:$E$7,3,0))+K4536*VLOOKUP($B4536,Premissas!$A$4:$E$7,4,0)+L4536*VLOOKUP($B4536,Premissas!$A$4:$E$7,5,0))</f>
        <v/>
      </c>
      <c r="N4536" s="14">
        <f>H4536-M4536</f>
        <v/>
      </c>
      <c r="O4536" t="inlineStr">
        <is>
          <t>Sim</t>
        </is>
      </c>
      <c r="P4536" t="inlineStr">
        <is>
          <t>2.101</t>
        </is>
      </c>
    </row>
    <row r="4537">
      <c r="A4537" s="24" t="n">
        <v>46235</v>
      </c>
      <c r="B4537" t="inlineStr">
        <is>
          <t>Insumos e papel</t>
        </is>
      </c>
      <c r="C4537" t="inlineStr">
        <is>
          <t>2.01.96 Compra de Cola</t>
        </is>
      </c>
      <c r="D4537" t="inlineStr">
        <is>
          <t>NF-e</t>
        </is>
      </c>
      <c r="E4537" t="inlineStr">
        <is>
          <t>000038164</t>
        </is>
      </c>
      <c r="F4537" t="inlineStr">
        <is>
          <t>COLAMID</t>
        </is>
      </c>
      <c r="G4537" s="27" t="n">
        <v>46260</v>
      </c>
      <c r="H4537" s="14" t="n">
        <v>57325</v>
      </c>
      <c r="I4537" s="14" t="n">
        <v>0</v>
      </c>
      <c r="J4537" s="14" t="n">
        <v>6879</v>
      </c>
      <c r="K4537" s="14" t="n">
        <v>0</v>
      </c>
      <c r="L4537" s="14" t="n">
        <v>0</v>
      </c>
      <c r="M4537" s="14">
        <f>IF(B4537="Frete de venda",0,(1-ISNUMBER(SEARCH("556",P4537)))*(I4537*VLOOKUP($B4537,Premissas!$A$4:$E$7,2,0)+J4537*VLOOKUP($B4537,Premissas!$A$4:$E$7,3,0))+K4537*VLOOKUP($B4537,Premissas!$A$4:$E$7,4,0)+L4537*VLOOKUP($B4537,Premissas!$A$4:$E$7,5,0))</f>
        <v/>
      </c>
      <c r="N4537" s="14">
        <f>H4537-M4537</f>
        <v/>
      </c>
      <c r="O4537" t="inlineStr">
        <is>
          <t>Sim</t>
        </is>
      </c>
      <c r="P4537" t="inlineStr">
        <is>
          <t>2.101</t>
        </is>
      </c>
    </row>
    <row r="4538">
      <c r="A4538" s="24" t="n">
        <v>46235</v>
      </c>
      <c r="B4538" t="inlineStr">
        <is>
          <t>Insumos e papel</t>
        </is>
      </c>
      <c r="C4538" t="inlineStr">
        <is>
          <t>2.01.96 Compra de Cola</t>
        </is>
      </c>
      <c r="D4538" t="inlineStr">
        <is>
          <t>NF-e</t>
        </is>
      </c>
      <c r="E4538" t="inlineStr">
        <is>
          <t>000022269</t>
        </is>
      </c>
      <c r="F4538" t="inlineStr">
        <is>
          <t>REQUIM PRODUTOS QUIMICOS LTDA</t>
        </is>
      </c>
      <c r="G4538" s="27" t="n">
        <v>46246</v>
      </c>
      <c r="H4538" s="14" t="n">
        <v>41580</v>
      </c>
      <c r="I4538" s="14" t="n">
        <v>0</v>
      </c>
      <c r="J4538" s="14" t="n">
        <v>1663.2</v>
      </c>
      <c r="K4538" s="14" t="n">
        <v>259.46</v>
      </c>
      <c r="L4538" s="14" t="n">
        <v>1197.5</v>
      </c>
      <c r="M4538" s="14">
        <f>IF(B4538="Frete de venda",0,(1-ISNUMBER(SEARCH("556",P4538)))*(I4538*VLOOKUP($B4538,Premissas!$A$4:$E$7,2,0)+J4538*VLOOKUP($B4538,Premissas!$A$4:$E$7,3,0))+K4538*VLOOKUP($B4538,Premissas!$A$4:$E$7,4,0)+L4538*VLOOKUP($B4538,Premissas!$A$4:$E$7,5,0))</f>
        <v/>
      </c>
      <c r="N4538" s="14">
        <f>H4538-M4538</f>
        <v/>
      </c>
      <c r="O4538" t="inlineStr">
        <is>
          <t>Sim</t>
        </is>
      </c>
      <c r="P4538" t="inlineStr">
        <is>
          <t>2.101</t>
        </is>
      </c>
    </row>
    <row r="4539">
      <c r="A4539" s="24" t="n">
        <v>46235</v>
      </c>
      <c r="B4539" t="inlineStr">
        <is>
          <t>Insumos e papel</t>
        </is>
      </c>
      <c r="C4539" t="inlineStr">
        <is>
          <t>2.01.96 Compra de Cola</t>
        </is>
      </c>
      <c r="D4539" t="inlineStr">
        <is>
          <t>NF-e</t>
        </is>
      </c>
      <c r="E4539" t="inlineStr">
        <is>
          <t>000022367</t>
        </is>
      </c>
      <c r="F4539" t="inlineStr">
        <is>
          <t>REQUIM PRODUTOS QUIMICOS LTDA</t>
        </is>
      </c>
      <c r="G4539" s="27" t="n">
        <v>46259</v>
      </c>
      <c r="H4539" s="14" t="n">
        <v>42124.67</v>
      </c>
      <c r="I4539" s="14" t="n">
        <v>0</v>
      </c>
      <c r="J4539" s="14" t="n">
        <v>1684.99</v>
      </c>
      <c r="K4539" s="14" t="n">
        <v>262.86</v>
      </c>
      <c r="L4539" s="14" t="n">
        <v>1213.19</v>
      </c>
      <c r="M4539" s="14">
        <f>IF(B4539="Frete de venda",0,(1-ISNUMBER(SEARCH("556",P4539)))*(I4539*VLOOKUP($B4539,Premissas!$A$4:$E$7,2,0)+J4539*VLOOKUP($B4539,Premissas!$A$4:$E$7,3,0))+K4539*VLOOKUP($B4539,Premissas!$A$4:$E$7,4,0)+L4539*VLOOKUP($B4539,Premissas!$A$4:$E$7,5,0))</f>
        <v/>
      </c>
      <c r="N4539" s="14">
        <f>H4539-M4539</f>
        <v/>
      </c>
      <c r="O4539" t="inlineStr">
        <is>
          <t>Sim</t>
        </is>
      </c>
      <c r="P4539" t="inlineStr">
        <is>
          <t>2.101, 2.102</t>
        </is>
      </c>
    </row>
    <row r="4540">
      <c r="A4540" s="24" t="n">
        <v>46235</v>
      </c>
      <c r="B4540" t="inlineStr">
        <is>
          <t>Insumos e papel</t>
        </is>
      </c>
      <c r="C4540" t="inlineStr">
        <is>
          <t>2.01.97 Compra de Clichê</t>
        </is>
      </c>
      <c r="D4540" t="inlineStr">
        <is>
          <t>NF-e</t>
        </is>
      </c>
      <c r="E4540" t="inlineStr">
        <is>
          <t>000003730</t>
        </is>
      </c>
      <c r="F4540" t="inlineStr">
        <is>
          <t>BAHIA CLICHERIA LTDA</t>
        </is>
      </c>
      <c r="G4540" s="27" t="n">
        <v>46252</v>
      </c>
      <c r="H4540" s="14" t="n">
        <v>595.26</v>
      </c>
      <c r="I4540" s="14" t="n">
        <v>0</v>
      </c>
      <c r="J4540" s="14" t="n">
        <v>0</v>
      </c>
      <c r="K4540" s="14" t="n">
        <v>0</v>
      </c>
      <c r="L4540" s="14" t="n">
        <v>0</v>
      </c>
      <c r="M4540" s="14">
        <f>IF(B4540="Frete de venda",0,(1-ISNUMBER(SEARCH("556",P4540)))*(I4540*VLOOKUP($B4540,Premissas!$A$4:$E$7,2,0)+J4540*VLOOKUP($B4540,Premissas!$A$4:$E$7,3,0))+K4540*VLOOKUP($B4540,Premissas!$A$4:$E$7,4,0)+L4540*VLOOKUP($B4540,Premissas!$A$4:$E$7,5,0))</f>
        <v/>
      </c>
      <c r="N4540" s="14">
        <f>H4540-M4540</f>
        <v/>
      </c>
      <c r="O4540" t="inlineStr">
        <is>
          <t>Sim</t>
        </is>
      </c>
      <c r="P4540" t="inlineStr">
        <is>
          <t>2.556</t>
        </is>
      </c>
    </row>
    <row r="4541">
      <c r="A4541" s="24" t="n">
        <v>46235</v>
      </c>
      <c r="B4541" t="inlineStr">
        <is>
          <t>Insumos e papel</t>
        </is>
      </c>
      <c r="C4541" t="inlineStr">
        <is>
          <t>2.01.97 Compra de Clichê</t>
        </is>
      </c>
      <c r="D4541" t="inlineStr">
        <is>
          <t>NF-e</t>
        </is>
      </c>
      <c r="E4541" t="inlineStr">
        <is>
          <t>000003777</t>
        </is>
      </c>
      <c r="F4541" t="inlineStr">
        <is>
          <t>BAHIA CLICHERIA LTDA</t>
        </is>
      </c>
      <c r="G4541" s="27" t="n">
        <v>46258</v>
      </c>
      <c r="H4541" s="14" t="n">
        <v>1805.08</v>
      </c>
      <c r="I4541" s="14" t="n">
        <v>0</v>
      </c>
      <c r="J4541" s="14" t="n">
        <v>0</v>
      </c>
      <c r="K4541" s="14" t="n">
        <v>0</v>
      </c>
      <c r="L4541" s="14" t="n">
        <v>0</v>
      </c>
      <c r="M4541" s="14">
        <f>IF(B4541="Frete de venda",0,(1-ISNUMBER(SEARCH("556",P4541)))*(I4541*VLOOKUP($B4541,Premissas!$A$4:$E$7,2,0)+J4541*VLOOKUP($B4541,Premissas!$A$4:$E$7,3,0))+K4541*VLOOKUP($B4541,Premissas!$A$4:$E$7,4,0)+L4541*VLOOKUP($B4541,Premissas!$A$4:$E$7,5,0))</f>
        <v/>
      </c>
      <c r="N4541" s="14">
        <f>H4541-M4541</f>
        <v/>
      </c>
      <c r="O4541" t="inlineStr">
        <is>
          <t>Sim</t>
        </is>
      </c>
      <c r="P4541" t="inlineStr">
        <is>
          <t>2.556</t>
        </is>
      </c>
    </row>
    <row r="4542">
      <c r="A4542" s="24" t="n">
        <v>46235</v>
      </c>
      <c r="B4542" t="inlineStr">
        <is>
          <t>Insumos e papel</t>
        </is>
      </c>
      <c r="C4542" t="inlineStr">
        <is>
          <t>2.01.97 Compra de Clichê</t>
        </is>
      </c>
      <c r="D4542" t="inlineStr">
        <is>
          <t>NF-e</t>
        </is>
      </c>
      <c r="E4542" t="inlineStr">
        <is>
          <t>000003758</t>
        </is>
      </c>
      <c r="F4542" t="inlineStr">
        <is>
          <t>BAHIA CLICHERIA LTDA</t>
        </is>
      </c>
      <c r="G4542" s="27" t="n">
        <v>46258</v>
      </c>
      <c r="H4542" s="14" t="n">
        <v>1848.52</v>
      </c>
      <c r="I4542" s="14" t="n">
        <v>0</v>
      </c>
      <c r="J4542" s="14" t="n">
        <v>0</v>
      </c>
      <c r="K4542" s="14" t="n">
        <v>0</v>
      </c>
      <c r="L4542" s="14" t="n">
        <v>0</v>
      </c>
      <c r="M4542" s="14">
        <f>IF(B4542="Frete de venda",0,(1-ISNUMBER(SEARCH("556",P4542)))*(I4542*VLOOKUP($B4542,Premissas!$A$4:$E$7,2,0)+J4542*VLOOKUP($B4542,Premissas!$A$4:$E$7,3,0))+K4542*VLOOKUP($B4542,Premissas!$A$4:$E$7,4,0)+L4542*VLOOKUP($B4542,Premissas!$A$4:$E$7,5,0))</f>
        <v/>
      </c>
      <c r="N4542" s="14">
        <f>H4542-M4542</f>
        <v/>
      </c>
      <c r="O4542" t="inlineStr">
        <is>
          <t>Sim</t>
        </is>
      </c>
      <c r="P4542" t="inlineStr">
        <is>
          <t>2.556</t>
        </is>
      </c>
    </row>
    <row r="4543">
      <c r="A4543" s="24" t="n">
        <v>46235</v>
      </c>
      <c r="B4543" t="inlineStr">
        <is>
          <t>Insumos e papel</t>
        </is>
      </c>
      <c r="C4543" t="inlineStr">
        <is>
          <t>2.01.97 Compra de Clichê</t>
        </is>
      </c>
      <c r="D4543" t="inlineStr">
        <is>
          <t>NF-e</t>
        </is>
      </c>
      <c r="E4543" t="inlineStr">
        <is>
          <t>000003827</t>
        </is>
      </c>
      <c r="F4543" t="inlineStr">
        <is>
          <t>BAHIA CLICHERIA LTDA</t>
        </is>
      </c>
      <c r="G4543" s="27" t="n">
        <v>46262</v>
      </c>
      <c r="H4543" s="14" t="n">
        <v>1969.43</v>
      </c>
      <c r="I4543" s="14" t="n">
        <v>0</v>
      </c>
      <c r="J4543" s="14" t="n">
        <v>0</v>
      </c>
      <c r="K4543" s="14" t="n">
        <v>0</v>
      </c>
      <c r="L4543" s="14" t="n">
        <v>0</v>
      </c>
      <c r="M4543" s="14">
        <f>IF(B4543="Frete de venda",0,(1-ISNUMBER(SEARCH("556",P4543)))*(I4543*VLOOKUP($B4543,Premissas!$A$4:$E$7,2,0)+J4543*VLOOKUP($B4543,Premissas!$A$4:$E$7,3,0))+K4543*VLOOKUP($B4543,Premissas!$A$4:$E$7,4,0)+L4543*VLOOKUP($B4543,Premissas!$A$4:$E$7,5,0))</f>
        <v/>
      </c>
      <c r="N4543" s="14">
        <f>H4543-M4543</f>
        <v/>
      </c>
      <c r="O4543" t="inlineStr">
        <is>
          <t>Sim</t>
        </is>
      </c>
      <c r="P4543" t="inlineStr">
        <is>
          <t>2.556</t>
        </is>
      </c>
    </row>
    <row r="4544">
      <c r="A4544" s="24" t="n">
        <v>46235</v>
      </c>
      <c r="B4544" t="inlineStr">
        <is>
          <t>Insumos e papel</t>
        </is>
      </c>
      <c r="C4544" t="inlineStr">
        <is>
          <t>2.01.97 Compra de Clichê</t>
        </is>
      </c>
      <c r="D4544" t="inlineStr">
        <is>
          <t>NF-e</t>
        </is>
      </c>
      <c r="E4544" t="inlineStr">
        <is>
          <t>000003818</t>
        </is>
      </c>
      <c r="F4544" t="inlineStr">
        <is>
          <t>BAHIA CLICHERIA LTDA</t>
        </is>
      </c>
      <c r="G4544" s="27" t="n">
        <v>46261</v>
      </c>
      <c r="H4544" s="14" t="n">
        <v>1243.76</v>
      </c>
      <c r="I4544" s="14" t="n">
        <v>0</v>
      </c>
      <c r="J4544" s="14" t="n">
        <v>0</v>
      </c>
      <c r="K4544" s="14" t="n">
        <v>0</v>
      </c>
      <c r="L4544" s="14" t="n">
        <v>0</v>
      </c>
      <c r="M4544" s="14">
        <f>IF(B4544="Frete de venda",0,(1-ISNUMBER(SEARCH("556",P4544)))*(I4544*VLOOKUP($B4544,Premissas!$A$4:$E$7,2,0)+J4544*VLOOKUP($B4544,Premissas!$A$4:$E$7,3,0))+K4544*VLOOKUP($B4544,Premissas!$A$4:$E$7,4,0)+L4544*VLOOKUP($B4544,Premissas!$A$4:$E$7,5,0))</f>
        <v/>
      </c>
      <c r="N4544" s="14">
        <f>H4544-M4544</f>
        <v/>
      </c>
      <c r="O4544" t="inlineStr">
        <is>
          <t>Sim</t>
        </is>
      </c>
      <c r="P4544" t="inlineStr">
        <is>
          <t>2.556</t>
        </is>
      </c>
    </row>
    <row r="4545">
      <c r="A4545" s="24" t="n">
        <v>46235</v>
      </c>
      <c r="B4545" t="inlineStr">
        <is>
          <t>Uso e consumo</t>
        </is>
      </c>
      <c r="C4545" t="inlineStr">
        <is>
          <t>2.03.88 Compra de Fardamento</t>
        </is>
      </c>
      <c r="D4545" t="inlineStr">
        <is>
          <t>NF-e</t>
        </is>
      </c>
      <c r="E4545" t="inlineStr">
        <is>
          <t>000000362</t>
        </is>
      </c>
      <c r="F4545" t="inlineStr">
        <is>
          <t>DANIELLE CRISTINA GOMES ANTONACCI - TOKA BRASIL</t>
        </is>
      </c>
      <c r="G4545" s="27" t="n">
        <v>46246</v>
      </c>
      <c r="H4545" s="14" t="n">
        <v>1481.7</v>
      </c>
      <c r="I4545" s="14" t="n">
        <v>0</v>
      </c>
      <c r="J4545" s="14" t="n">
        <v>0</v>
      </c>
      <c r="K4545" s="14" t="n">
        <v>0</v>
      </c>
      <c r="L4545" s="14" t="n">
        <v>0</v>
      </c>
      <c r="M4545" s="14">
        <f>IF(B4545="Frete de venda",0,(1-ISNUMBER(SEARCH("556",P4545)))*(I4545*VLOOKUP($B4545,Premissas!$A$4:$E$7,2,0)+J4545*VLOOKUP($B4545,Premissas!$A$4:$E$7,3,0))+K4545*VLOOKUP($B4545,Premissas!$A$4:$E$7,4,0)+L4545*VLOOKUP($B4545,Premissas!$A$4:$E$7,5,0))</f>
        <v/>
      </c>
      <c r="N4545" s="14">
        <f>H4545-M4545</f>
        <v/>
      </c>
      <c r="O4545" t="inlineStr">
        <is>
          <t>Sim</t>
        </is>
      </c>
      <c r="P4545" t="inlineStr">
        <is>
          <t>2.556</t>
        </is>
      </c>
    </row>
    <row r="4546">
      <c r="A4546" s="24" t="n">
        <v>46235</v>
      </c>
      <c r="B4546" t="inlineStr">
        <is>
          <t>Uso e consumo</t>
        </is>
      </c>
      <c r="C4546" t="inlineStr">
        <is>
          <t>2.03.88 Compra de Fardamento</t>
        </is>
      </c>
      <c r="D4546" t="inlineStr">
        <is>
          <t>NF-e</t>
        </is>
      </c>
      <c r="E4546" t="inlineStr">
        <is>
          <t>000003222</t>
        </is>
      </c>
      <c r="F4546" t="inlineStr">
        <is>
          <t>R M FARDAMENTOS LTDA</t>
        </is>
      </c>
      <c r="G4546" s="27" t="n">
        <v>46248</v>
      </c>
      <c r="H4546" s="14" t="n">
        <v>11085.02</v>
      </c>
      <c r="I4546" s="14" t="n">
        <v>0</v>
      </c>
      <c r="J4546" s="14" t="n">
        <v>0</v>
      </c>
      <c r="K4546" s="14" t="n">
        <v>0</v>
      </c>
      <c r="L4546" s="14" t="n">
        <v>0</v>
      </c>
      <c r="M4546" s="14">
        <f>IF(B4546="Frete de venda",0,(1-ISNUMBER(SEARCH("556",P4546)))*(I4546*VLOOKUP($B4546,Premissas!$A$4:$E$7,2,0)+J4546*VLOOKUP($B4546,Premissas!$A$4:$E$7,3,0))+K4546*VLOOKUP($B4546,Premissas!$A$4:$E$7,4,0)+L4546*VLOOKUP($B4546,Premissas!$A$4:$E$7,5,0))</f>
        <v/>
      </c>
      <c r="N4546" s="14">
        <f>H4546-M4546</f>
        <v/>
      </c>
      <c r="O4546" t="inlineStr">
        <is>
          <t>Sim</t>
        </is>
      </c>
      <c r="P4546" t="inlineStr">
        <is>
          <t>1.102, 1.556</t>
        </is>
      </c>
    </row>
    <row r="4547">
      <c r="A4547" s="24" t="n">
        <v>46235</v>
      </c>
      <c r="B4547" t="inlineStr">
        <is>
          <t>Uso e consumo</t>
        </is>
      </c>
      <c r="C4547" t="inlineStr">
        <is>
          <t>2.03.88 Compra de Fardamento</t>
        </is>
      </c>
      <c r="D4547" t="inlineStr">
        <is>
          <t>NF-e</t>
        </is>
      </c>
      <c r="E4547" t="inlineStr">
        <is>
          <t>000003223</t>
        </is>
      </c>
      <c r="F4547" t="inlineStr">
        <is>
          <t>R M FARDAMENTOS LTDA</t>
        </is>
      </c>
      <c r="G4547" s="27" t="n">
        <v>46248</v>
      </c>
      <c r="H4547" s="14" t="n">
        <v>108</v>
      </c>
      <c r="I4547" s="14" t="n">
        <v>0</v>
      </c>
      <c r="J4547" s="14" t="n">
        <v>0</v>
      </c>
      <c r="K4547" s="14" t="n">
        <v>0</v>
      </c>
      <c r="L4547" s="14" t="n">
        <v>0</v>
      </c>
      <c r="M4547" s="14">
        <f>IF(B4547="Frete de venda",0,(1-ISNUMBER(SEARCH("556",P4547)))*(I4547*VLOOKUP($B4547,Premissas!$A$4:$E$7,2,0)+J4547*VLOOKUP($B4547,Premissas!$A$4:$E$7,3,0))+K4547*VLOOKUP($B4547,Premissas!$A$4:$E$7,4,0)+L4547*VLOOKUP($B4547,Premissas!$A$4:$E$7,5,0))</f>
        <v/>
      </c>
      <c r="N4547" s="14">
        <f>H4547-M4547</f>
        <v/>
      </c>
      <c r="O4547" t="inlineStr">
        <is>
          <t>Sim</t>
        </is>
      </c>
      <c r="P4547" t="inlineStr">
        <is>
          <t>1.556</t>
        </is>
      </c>
    </row>
    <row r="4548">
      <c r="A4548" s="24" t="n">
        <v>46235</v>
      </c>
      <c r="B4548" t="inlineStr">
        <is>
          <t>Uso e consumo</t>
        </is>
      </c>
      <c r="C4548" t="inlineStr">
        <is>
          <t>2.04.06 Material de Escritório</t>
        </is>
      </c>
      <c r="D4548" t="inlineStr">
        <is>
          <t>NF-e</t>
        </is>
      </c>
      <c r="E4548" t="inlineStr">
        <is>
          <t>000001451</t>
        </is>
      </c>
      <c r="F4548" t="inlineStr">
        <is>
          <t>Limptech Paper Comercio Ltda</t>
        </is>
      </c>
      <c r="G4548" s="27" t="n">
        <v>46261</v>
      </c>
      <c r="H4548" s="14" t="n">
        <v>2029.35</v>
      </c>
      <c r="I4548" s="14" t="n">
        <v>0</v>
      </c>
      <c r="J4548" s="14" t="n">
        <v>0</v>
      </c>
      <c r="K4548" s="14" t="n">
        <v>0</v>
      </c>
      <c r="L4548" s="14" t="n">
        <v>0</v>
      </c>
      <c r="M4548" s="14">
        <f>IF(B4548="Frete de venda",0,(1-ISNUMBER(SEARCH("556",P4548)))*(I4548*VLOOKUP($B4548,Premissas!$A$4:$E$7,2,0)+J4548*VLOOKUP($B4548,Premissas!$A$4:$E$7,3,0))+K4548*VLOOKUP($B4548,Premissas!$A$4:$E$7,4,0)+L4548*VLOOKUP($B4548,Premissas!$A$4:$E$7,5,0))</f>
        <v/>
      </c>
      <c r="N4548" s="14">
        <f>H4548-M4548</f>
        <v/>
      </c>
      <c r="O4548" t="inlineStr">
        <is>
          <t>Sim</t>
        </is>
      </c>
      <c r="P4548" t="inlineStr">
        <is>
          <t>1.102, 1.556</t>
        </is>
      </c>
    </row>
    <row r="4549">
      <c r="A4549" s="24" t="n">
        <v>46235</v>
      </c>
      <c r="B4549" t="inlineStr">
        <is>
          <t>Uso e consumo</t>
        </is>
      </c>
      <c r="C4549" t="inlineStr">
        <is>
          <t>2.04.91 Compra de Material de Limpeza</t>
        </is>
      </c>
      <c r="D4549" t="inlineStr">
        <is>
          <t>NF-e</t>
        </is>
      </c>
      <c r="E4549" t="inlineStr">
        <is>
          <t>000001368</t>
        </is>
      </c>
      <c r="F4549" t="inlineStr">
        <is>
          <t>Limptech Paper Comercio Ltda</t>
        </is>
      </c>
      <c r="G4549" s="27" t="n">
        <v>46240</v>
      </c>
      <c r="H4549" s="14" t="n">
        <v>3204.6</v>
      </c>
      <c r="I4549" s="14" t="n">
        <v>0</v>
      </c>
      <c r="J4549" s="14" t="n">
        <v>0</v>
      </c>
      <c r="K4549" s="14" t="n">
        <v>0</v>
      </c>
      <c r="L4549" s="14" t="n">
        <v>0</v>
      </c>
      <c r="M4549" s="14">
        <f>IF(B4549="Frete de venda",0,(1-ISNUMBER(SEARCH("556",P4549)))*(I4549*VLOOKUP($B4549,Premissas!$A$4:$E$7,2,0)+J4549*VLOOKUP($B4549,Premissas!$A$4:$E$7,3,0))+K4549*VLOOKUP($B4549,Premissas!$A$4:$E$7,4,0)+L4549*VLOOKUP($B4549,Premissas!$A$4:$E$7,5,0))</f>
        <v/>
      </c>
      <c r="N4549" s="14">
        <f>H4549-M4549</f>
        <v/>
      </c>
      <c r="O4549" t="inlineStr">
        <is>
          <t>Sim</t>
        </is>
      </c>
      <c r="P4549" t="inlineStr">
        <is>
          <t>1.556</t>
        </is>
      </c>
    </row>
    <row r="4550">
      <c r="A4550" s="24" t="n">
        <v>46235</v>
      </c>
      <c r="B4550" t="inlineStr">
        <is>
          <t>Uso e consumo</t>
        </is>
      </c>
      <c r="C4550" t="inlineStr">
        <is>
          <t>2.04.91 Compra de Material de Limpeza</t>
        </is>
      </c>
      <c r="D4550" t="inlineStr">
        <is>
          <t>NF-e</t>
        </is>
      </c>
      <c r="E4550" t="inlineStr">
        <is>
          <t>000001417</t>
        </is>
      </c>
      <c r="F4550" t="inlineStr">
        <is>
          <t>Limptech Paper Comercio Ltda</t>
        </is>
      </c>
      <c r="G4550" s="27" t="n">
        <v>46254</v>
      </c>
      <c r="H4550" s="14" t="n">
        <v>741.95</v>
      </c>
      <c r="I4550" s="14" t="n">
        <v>0</v>
      </c>
      <c r="J4550" s="14" t="n">
        <v>0</v>
      </c>
      <c r="K4550" s="14" t="n">
        <v>0</v>
      </c>
      <c r="L4550" s="14" t="n">
        <v>0</v>
      </c>
      <c r="M4550" s="14">
        <f>IF(B4550="Frete de venda",0,(1-ISNUMBER(SEARCH("556",P4550)))*(I4550*VLOOKUP($B4550,Premissas!$A$4:$E$7,2,0)+J4550*VLOOKUP($B4550,Premissas!$A$4:$E$7,3,0))+K4550*VLOOKUP($B4550,Premissas!$A$4:$E$7,4,0)+L4550*VLOOKUP($B4550,Premissas!$A$4:$E$7,5,0))</f>
        <v/>
      </c>
      <c r="N4550" s="14">
        <f>H4550-M4550</f>
        <v/>
      </c>
      <c r="O4550" t="inlineStr">
        <is>
          <t>Sim</t>
        </is>
      </c>
      <c r="P4550" t="inlineStr">
        <is>
          <t>1.556</t>
        </is>
      </c>
    </row>
    <row r="4551">
      <c r="A4551" s="24" t="n">
        <v>46235</v>
      </c>
      <c r="B4551" t="inlineStr">
        <is>
          <t>Uso e consumo</t>
        </is>
      </c>
      <c r="C4551" t="inlineStr">
        <is>
          <t>2.04.91 Compra de Material de Limpeza</t>
        </is>
      </c>
      <c r="D4551" t="inlineStr">
        <is>
          <t>NF-e</t>
        </is>
      </c>
      <c r="E4551" t="inlineStr">
        <is>
          <t>000001425</t>
        </is>
      </c>
      <c r="F4551" t="inlineStr">
        <is>
          <t>Limptech Paper Comercio Ltda</t>
        </is>
      </c>
      <c r="G4551" s="27" t="n">
        <v>46255</v>
      </c>
      <c r="H4551" s="14" t="n">
        <v>726</v>
      </c>
      <c r="I4551" s="14" t="n">
        <v>0</v>
      </c>
      <c r="J4551" s="14" t="n">
        <v>0</v>
      </c>
      <c r="K4551" s="14" t="n">
        <v>0</v>
      </c>
      <c r="L4551" s="14" t="n">
        <v>0</v>
      </c>
      <c r="M4551" s="14">
        <f>IF(B4551="Frete de venda",0,(1-ISNUMBER(SEARCH("556",P4551)))*(I4551*VLOOKUP($B4551,Premissas!$A$4:$E$7,2,0)+J4551*VLOOKUP($B4551,Premissas!$A$4:$E$7,3,0))+K4551*VLOOKUP($B4551,Premissas!$A$4:$E$7,4,0)+L4551*VLOOKUP($B4551,Premissas!$A$4:$E$7,5,0))</f>
        <v/>
      </c>
      <c r="N4551" s="14">
        <f>H4551-M4551</f>
        <v/>
      </c>
      <c r="O4551" t="inlineStr">
        <is>
          <t>Sim</t>
        </is>
      </c>
      <c r="P4551" t="inlineStr">
        <is>
          <t>1.556</t>
        </is>
      </c>
    </row>
    <row r="4552">
      <c r="A4552" s="24" t="n">
        <v>46235</v>
      </c>
      <c r="B4552" t="inlineStr">
        <is>
          <t>Uso e consumo</t>
        </is>
      </c>
      <c r="C4552" t="inlineStr">
        <is>
          <t>2.04.95 Copa e Cozinha</t>
        </is>
      </c>
      <c r="D4552" t="inlineStr">
        <is>
          <t>NF-e</t>
        </is>
      </c>
      <c r="E4552" t="inlineStr">
        <is>
          <t>000766596</t>
        </is>
      </c>
      <c r="F4552" t="inlineStr">
        <is>
          <t>DISTRIBUIDORA DE ALIMENTOS GALDINO</t>
        </is>
      </c>
      <c r="G4552" s="27" t="n">
        <v>46257</v>
      </c>
      <c r="H4552" s="14" t="n">
        <v>391.2</v>
      </c>
      <c r="I4552" s="14" t="n">
        <v>0</v>
      </c>
      <c r="J4552" s="14" t="n">
        <v>0</v>
      </c>
      <c r="K4552" s="14" t="n">
        <v>0</v>
      </c>
      <c r="L4552" s="14" t="n">
        <v>0</v>
      </c>
      <c r="M4552" s="14">
        <f>IF(B4552="Frete de venda",0,(1-ISNUMBER(SEARCH("556",P4552)))*(I4552*VLOOKUP($B4552,Premissas!$A$4:$E$7,2,0)+J4552*VLOOKUP($B4552,Premissas!$A$4:$E$7,3,0))+K4552*VLOOKUP($B4552,Premissas!$A$4:$E$7,4,0)+L4552*VLOOKUP($B4552,Premissas!$A$4:$E$7,5,0))</f>
        <v/>
      </c>
      <c r="N4552" s="14">
        <f>H4552-M4552</f>
        <v/>
      </c>
      <c r="O4552" t="inlineStr">
        <is>
          <t>Sim</t>
        </is>
      </c>
      <c r="P4552" t="inlineStr">
        <is>
          <t>1.556</t>
        </is>
      </c>
    </row>
    <row r="4553">
      <c r="A4553" s="24" t="n">
        <v>46235</v>
      </c>
      <c r="B4553" t="inlineStr">
        <is>
          <t>Uso e consumo</t>
        </is>
      </c>
      <c r="C4553" t="inlineStr">
        <is>
          <t>2.04.95 Copa e Cozinha</t>
        </is>
      </c>
      <c r="D4553" t="inlineStr">
        <is>
          <t>NF-e</t>
        </is>
      </c>
      <c r="E4553" t="inlineStr">
        <is>
          <t>026133075</t>
        </is>
      </c>
      <c r="F4553" t="inlineStr">
        <is>
          <t>EBAZAR.COM.BR. LTDA</t>
        </is>
      </c>
      <c r="G4553" s="27" t="n">
        <v>46258</v>
      </c>
      <c r="H4553" s="14" t="n">
        <v>62.46</v>
      </c>
      <c r="I4553" s="14" t="n">
        <v>0</v>
      </c>
      <c r="J4553" s="14" t="n">
        <v>2.5</v>
      </c>
      <c r="K4553" s="14" t="n">
        <v>0</v>
      </c>
      <c r="L4553" s="14" t="n">
        <v>0</v>
      </c>
      <c r="M4553" s="14">
        <f>IF(B4553="Frete de venda",0,(1-ISNUMBER(SEARCH("556",P4553)))*(I4553*VLOOKUP($B4553,Premissas!$A$4:$E$7,2,0)+J4553*VLOOKUP($B4553,Premissas!$A$4:$E$7,3,0))+K4553*VLOOKUP($B4553,Premissas!$A$4:$E$7,4,0)+L4553*VLOOKUP($B4553,Premissas!$A$4:$E$7,5,0))</f>
        <v/>
      </c>
      <c r="N4553" s="14">
        <f>H4553-M4553</f>
        <v/>
      </c>
      <c r="O4553" t="inlineStr">
        <is>
          <t>Sim</t>
        </is>
      </c>
      <c r="P4553" t="inlineStr">
        <is>
          <t>2.556</t>
        </is>
      </c>
    </row>
    <row r="4554">
      <c r="A4554" s="24" t="n">
        <v>46235</v>
      </c>
      <c r="B4554" t="inlineStr">
        <is>
          <t>Uso e consumo</t>
        </is>
      </c>
      <c r="C4554" t="inlineStr">
        <is>
          <t>2.04.95 Copa e Cozinha</t>
        </is>
      </c>
      <c r="D4554" t="inlineStr">
        <is>
          <t>NF-e</t>
        </is>
      </c>
      <c r="E4554" t="inlineStr">
        <is>
          <t>026133066</t>
        </is>
      </c>
      <c r="F4554" t="inlineStr">
        <is>
          <t>EBAZAR.COM.BR. LTDA</t>
        </is>
      </c>
      <c r="G4554" s="27" t="n">
        <v>46258</v>
      </c>
      <c r="H4554" s="14" t="n">
        <v>258.39</v>
      </c>
      <c r="I4554" s="14" t="n">
        <v>0</v>
      </c>
      <c r="J4554" s="14" t="n">
        <v>10.34</v>
      </c>
      <c r="K4554" s="14" t="n">
        <v>0</v>
      </c>
      <c r="L4554" s="14" t="n">
        <v>0</v>
      </c>
      <c r="M4554" s="14">
        <f>IF(B4554="Frete de venda",0,(1-ISNUMBER(SEARCH("556",P4554)))*(I4554*VLOOKUP($B4554,Premissas!$A$4:$E$7,2,0)+J4554*VLOOKUP($B4554,Premissas!$A$4:$E$7,3,0))+K4554*VLOOKUP($B4554,Premissas!$A$4:$E$7,4,0)+L4554*VLOOKUP($B4554,Premissas!$A$4:$E$7,5,0))</f>
        <v/>
      </c>
      <c r="N4554" s="14">
        <f>H4554-M4554</f>
        <v/>
      </c>
      <c r="O4554" t="inlineStr">
        <is>
          <t>Sim</t>
        </is>
      </c>
      <c r="P4554" t="inlineStr">
        <is>
          <t>2.556</t>
        </is>
      </c>
    </row>
    <row r="4555">
      <c r="A4555" s="24" t="n">
        <v>46266</v>
      </c>
      <c r="B4555" t="inlineStr">
        <is>
          <t>Frete de venda</t>
        </is>
      </c>
      <c r="C4555" t="inlineStr">
        <is>
          <t>Frete de venda (para clientes)</t>
        </is>
      </c>
      <c r="D4555" t="inlineStr">
        <is>
          <t>CT-e</t>
        </is>
      </c>
      <c r="E4555" t="inlineStr">
        <is>
          <t>000614597</t>
        </is>
      </c>
      <c r="F4555" t="inlineStr">
        <is>
          <t>JSP TRANSPORTE E LOGISTICA LTDA</t>
        </is>
      </c>
      <c r="G4555" s="27" t="n">
        <v>46279</v>
      </c>
      <c r="H4555" s="14" t="n">
        <v>1500</v>
      </c>
      <c r="I4555" s="14" t="n">
        <v>0</v>
      </c>
      <c r="J4555" s="14" t="n">
        <v>180</v>
      </c>
      <c r="K4555" s="14" t="n">
        <v>0</v>
      </c>
      <c r="L4555" s="14" t="n">
        <v>0</v>
      </c>
      <c r="M4555" s="14">
        <f>IF(B4555="Frete de venda",0,(1-ISNUMBER(SEARCH("556",P4555)))*(I4555*VLOOKUP($B4555,Premissas!$A$4:$E$7,2,0)+J4555*VLOOKUP($B4555,Premissas!$A$4:$E$7,3,0))+K4555*VLOOKUP($B4555,Premissas!$A$4:$E$7,4,0)+L4555*VLOOKUP($B4555,Premissas!$A$4:$E$7,5,0))</f>
        <v/>
      </c>
      <c r="N4555" s="14">
        <f>H4555-M4555</f>
        <v/>
      </c>
      <c r="O4555" t="inlineStr">
        <is>
          <t>Sim</t>
        </is>
      </c>
      <c r="P4555" t="inlineStr">
        <is>
          <t>2.350</t>
        </is>
      </c>
    </row>
    <row r="4556">
      <c r="A4556" s="24" t="n">
        <v>46266</v>
      </c>
      <c r="B4556" t="inlineStr">
        <is>
          <t>Frete de venda</t>
        </is>
      </c>
      <c r="C4556" t="inlineStr">
        <is>
          <t>Frete de venda (para clientes)</t>
        </is>
      </c>
      <c r="D4556" t="inlineStr">
        <is>
          <t>CT-e</t>
        </is>
      </c>
      <c r="E4556" t="inlineStr">
        <is>
          <t>000231280</t>
        </is>
      </c>
      <c r="F4556" t="inlineStr">
        <is>
          <t>CAZAN TRANSPORTES LTDA</t>
        </is>
      </c>
      <c r="G4556" s="27" t="n">
        <v>46268</v>
      </c>
      <c r="H4556" s="14" t="n">
        <v>6642.05</v>
      </c>
      <c r="I4556" s="14" t="n">
        <v>0</v>
      </c>
      <c r="J4556" s="14" t="n">
        <v>464.94</v>
      </c>
      <c r="K4556" s="14" t="n">
        <v>0</v>
      </c>
      <c r="L4556" s="14" t="n">
        <v>0</v>
      </c>
      <c r="M4556" s="14">
        <f>IF(B4556="Frete de venda",0,(1-ISNUMBER(SEARCH("556",P4556)))*(I4556*VLOOKUP($B4556,Premissas!$A$4:$E$7,2,0)+J4556*VLOOKUP($B4556,Premissas!$A$4:$E$7,3,0))+K4556*VLOOKUP($B4556,Premissas!$A$4:$E$7,4,0)+L4556*VLOOKUP($B4556,Premissas!$A$4:$E$7,5,0))</f>
        <v/>
      </c>
      <c r="N4556" s="14">
        <f>H4556-M4556</f>
        <v/>
      </c>
      <c r="O4556" t="inlineStr">
        <is>
          <t>Sim</t>
        </is>
      </c>
      <c r="P4556" t="inlineStr">
        <is>
          <t>2.350</t>
        </is>
      </c>
    </row>
    <row r="4557">
      <c r="A4557" s="24" t="n">
        <v>46266</v>
      </c>
      <c r="B4557" t="inlineStr">
        <is>
          <t>Frete de venda</t>
        </is>
      </c>
      <c r="C4557" t="inlineStr">
        <is>
          <t>Frete de venda (para clientes)</t>
        </is>
      </c>
      <c r="D4557" t="inlineStr">
        <is>
          <t>CT-e</t>
        </is>
      </c>
      <c r="E4557" t="inlineStr">
        <is>
          <t>000129338</t>
        </is>
      </c>
      <c r="F4557" t="inlineStr">
        <is>
          <t>CAMPINENSE TRANSPORTE DE CARGAS E LOCACOES LT</t>
        </is>
      </c>
      <c r="G4557" s="27" t="n">
        <v>46266</v>
      </c>
      <c r="H4557" s="14" t="n">
        <v>150.95</v>
      </c>
      <c r="I4557" s="14" t="n">
        <v>0</v>
      </c>
      <c r="J4557" s="14" t="n">
        <v>10.57</v>
      </c>
      <c r="K4557" s="14" t="n">
        <v>0</v>
      </c>
      <c r="L4557" s="14" t="n">
        <v>0</v>
      </c>
      <c r="M4557" s="14">
        <f>IF(B4557="Frete de venda",0,(1-ISNUMBER(SEARCH("556",P4557)))*(I4557*VLOOKUP($B4557,Premissas!$A$4:$E$7,2,0)+J4557*VLOOKUP($B4557,Premissas!$A$4:$E$7,3,0))+K4557*VLOOKUP($B4557,Premissas!$A$4:$E$7,4,0)+L4557*VLOOKUP($B4557,Premissas!$A$4:$E$7,5,0))</f>
        <v/>
      </c>
      <c r="N4557" s="14">
        <f>H4557-M4557</f>
        <v/>
      </c>
      <c r="O4557" t="inlineStr">
        <is>
          <t>Sim</t>
        </is>
      </c>
      <c r="P4557" t="inlineStr">
        <is>
          <t>2.350</t>
        </is>
      </c>
    </row>
    <row r="4558">
      <c r="A4558" s="24" t="n">
        <v>46266</v>
      </c>
      <c r="B4558" t="inlineStr">
        <is>
          <t>Frete de compra</t>
        </is>
      </c>
      <c r="C4558" t="inlineStr">
        <is>
          <t>Frete de compra</t>
        </is>
      </c>
      <c r="D4558" t="inlineStr">
        <is>
          <t>CT-e</t>
        </is>
      </c>
      <c r="E4558" t="inlineStr">
        <is>
          <t>000203487</t>
        </is>
      </c>
      <c r="F4558" t="inlineStr">
        <is>
          <t>ALIANCA NAVEGACAO E LOGISTICA LTDA</t>
        </is>
      </c>
      <c r="G4558" s="27" t="n">
        <v>46266</v>
      </c>
      <c r="H4558" s="14" t="n">
        <v>23331.29</v>
      </c>
      <c r="I4558" s="14" t="n">
        <v>0</v>
      </c>
      <c r="J4558" s="14" t="n">
        <v>1633.19</v>
      </c>
      <c r="K4558" s="14" t="n">
        <v>0</v>
      </c>
      <c r="L4558" s="14" t="n">
        <v>0</v>
      </c>
      <c r="M4558" s="14">
        <f>IF(B4558="Frete de venda",0,(1-ISNUMBER(SEARCH("556",P4558)))*(I4558*VLOOKUP($B4558,Premissas!$A$4:$E$7,2,0)+J4558*VLOOKUP($B4558,Premissas!$A$4:$E$7,3,0))+K4558*VLOOKUP($B4558,Premissas!$A$4:$E$7,4,0)+L4558*VLOOKUP($B4558,Premissas!$A$4:$E$7,5,0))</f>
        <v/>
      </c>
      <c r="N4558" s="14">
        <f>H4558-M4558</f>
        <v/>
      </c>
      <c r="O4558" t="inlineStr">
        <is>
          <t>Sim</t>
        </is>
      </c>
      <c r="P4558" t="inlineStr">
        <is>
          <t>2.350</t>
        </is>
      </c>
    </row>
    <row r="4559">
      <c r="A4559" s="24" t="n">
        <v>46266</v>
      </c>
      <c r="B4559" t="inlineStr">
        <is>
          <t>Frete de compra</t>
        </is>
      </c>
      <c r="C4559" t="inlineStr">
        <is>
          <t>Frete de compra</t>
        </is>
      </c>
      <c r="D4559" t="inlineStr">
        <is>
          <t>CT-e</t>
        </is>
      </c>
      <c r="E4559" t="inlineStr">
        <is>
          <t>000204126</t>
        </is>
      </c>
      <c r="F4559" t="inlineStr">
        <is>
          <t>ALIANCA NAVEGACAO E LOGISTICA LTDA</t>
        </is>
      </c>
      <c r="G4559" s="27" t="n">
        <v>46273</v>
      </c>
      <c r="H4559" s="14" t="n">
        <v>23543.89</v>
      </c>
      <c r="I4559" s="14" t="n">
        <v>0</v>
      </c>
      <c r="J4559" s="14" t="n">
        <v>1648.07</v>
      </c>
      <c r="K4559" s="14" t="n">
        <v>0</v>
      </c>
      <c r="L4559" s="14" t="n">
        <v>0</v>
      </c>
      <c r="M4559" s="14">
        <f>IF(B4559="Frete de venda",0,(1-ISNUMBER(SEARCH("556",P4559)))*(I4559*VLOOKUP($B4559,Premissas!$A$4:$E$7,2,0)+J4559*VLOOKUP($B4559,Premissas!$A$4:$E$7,3,0))+K4559*VLOOKUP($B4559,Premissas!$A$4:$E$7,4,0)+L4559*VLOOKUP($B4559,Premissas!$A$4:$E$7,5,0))</f>
        <v/>
      </c>
      <c r="N4559" s="14">
        <f>H4559-M4559</f>
        <v/>
      </c>
      <c r="O4559" t="inlineStr">
        <is>
          <t>Sim</t>
        </is>
      </c>
      <c r="P4559" t="inlineStr">
        <is>
          <t>2.350</t>
        </is>
      </c>
    </row>
    <row r="4560">
      <c r="A4560" s="24" t="n">
        <v>46266</v>
      </c>
      <c r="B4560" t="inlineStr">
        <is>
          <t>Frete de compra</t>
        </is>
      </c>
      <c r="C4560" t="inlineStr">
        <is>
          <t>Frete de compra</t>
        </is>
      </c>
      <c r="D4560" t="inlineStr">
        <is>
          <t>CT-e</t>
        </is>
      </c>
      <c r="E4560" t="inlineStr">
        <is>
          <t>000204124</t>
        </is>
      </c>
      <c r="F4560" t="inlineStr">
        <is>
          <t>ALIANCA NAVEGACAO E LOGISTICA LTDA</t>
        </is>
      </c>
      <c r="G4560" s="27" t="n">
        <v>46273</v>
      </c>
      <c r="H4560" s="14" t="n">
        <v>23546.52</v>
      </c>
      <c r="I4560" s="14" t="n">
        <v>0</v>
      </c>
      <c r="J4560" s="14" t="n">
        <v>1648.26</v>
      </c>
      <c r="K4560" s="14" t="n">
        <v>0</v>
      </c>
      <c r="L4560" s="14" t="n">
        <v>0</v>
      </c>
      <c r="M4560" s="14">
        <f>IF(B4560="Frete de venda",0,(1-ISNUMBER(SEARCH("556",P4560)))*(I4560*VLOOKUP($B4560,Premissas!$A$4:$E$7,2,0)+J4560*VLOOKUP($B4560,Premissas!$A$4:$E$7,3,0))+K4560*VLOOKUP($B4560,Premissas!$A$4:$E$7,4,0)+L4560*VLOOKUP($B4560,Premissas!$A$4:$E$7,5,0))</f>
        <v/>
      </c>
      <c r="N4560" s="14">
        <f>H4560-M4560</f>
        <v/>
      </c>
      <c r="O4560" t="inlineStr">
        <is>
          <t>Sim</t>
        </is>
      </c>
      <c r="P4560" t="inlineStr">
        <is>
          <t>2.350</t>
        </is>
      </c>
    </row>
    <row r="4561">
      <c r="A4561" s="24" t="n">
        <v>46266</v>
      </c>
      <c r="B4561" t="inlineStr">
        <is>
          <t>Frete de compra</t>
        </is>
      </c>
      <c r="C4561" t="inlineStr">
        <is>
          <t>Frete de compra</t>
        </is>
      </c>
      <c r="D4561" t="inlineStr">
        <is>
          <t>CT-e</t>
        </is>
      </c>
      <c r="E4561" t="inlineStr">
        <is>
          <t>000047229</t>
        </is>
      </c>
      <c r="F4561" t="inlineStr">
        <is>
          <t>ALIANCA NAVEGACAO E LOGISTICA LTDA.</t>
        </is>
      </c>
      <c r="G4561" s="27" t="n">
        <v>46266</v>
      </c>
      <c r="H4561" s="14" t="n">
        <v>15661.72</v>
      </c>
      <c r="I4561" s="14" t="n">
        <v>0</v>
      </c>
      <c r="J4561" s="14" t="n">
        <v>1096.32</v>
      </c>
      <c r="K4561" s="14" t="n">
        <v>0</v>
      </c>
      <c r="L4561" s="14" t="n">
        <v>0</v>
      </c>
      <c r="M4561" s="14">
        <f>IF(B4561="Frete de venda",0,(1-ISNUMBER(SEARCH("556",P4561)))*(I4561*VLOOKUP($B4561,Premissas!$A$4:$E$7,2,0)+J4561*VLOOKUP($B4561,Premissas!$A$4:$E$7,3,0))+K4561*VLOOKUP($B4561,Premissas!$A$4:$E$7,4,0)+L4561*VLOOKUP($B4561,Premissas!$A$4:$E$7,5,0))</f>
        <v/>
      </c>
      <c r="N4561" s="14">
        <f>H4561-M4561</f>
        <v/>
      </c>
      <c r="O4561" t="inlineStr">
        <is>
          <t>Sim</t>
        </is>
      </c>
      <c r="P4561" t="inlineStr">
        <is>
          <t>2.350</t>
        </is>
      </c>
    </row>
    <row r="4562">
      <c r="A4562" s="24" t="n">
        <v>46266</v>
      </c>
      <c r="B4562" t="inlineStr">
        <is>
          <t>Frete de compra</t>
        </is>
      </c>
      <c r="C4562" t="inlineStr">
        <is>
          <t>Frete de compra</t>
        </is>
      </c>
      <c r="D4562" t="inlineStr">
        <is>
          <t>CT-e</t>
        </is>
      </c>
      <c r="E4562" t="inlineStr">
        <is>
          <t>000047364</t>
        </is>
      </c>
      <c r="F4562" t="inlineStr">
        <is>
          <t>ALIANCA NAVEGACAO E LOGISTICA LTDA.</t>
        </is>
      </c>
      <c r="G4562" s="27" t="n">
        <v>46273</v>
      </c>
      <c r="H4562" s="14" t="n">
        <v>15642.23</v>
      </c>
      <c r="I4562" s="14" t="n">
        <v>0</v>
      </c>
      <c r="J4562" s="14" t="n">
        <v>1094.96</v>
      </c>
      <c r="K4562" s="14" t="n">
        <v>0</v>
      </c>
      <c r="L4562" s="14" t="n">
        <v>0</v>
      </c>
      <c r="M4562" s="14">
        <f>IF(B4562="Frete de venda",0,(1-ISNUMBER(SEARCH("556",P4562)))*(I4562*VLOOKUP($B4562,Premissas!$A$4:$E$7,2,0)+J4562*VLOOKUP($B4562,Premissas!$A$4:$E$7,3,0))+K4562*VLOOKUP($B4562,Premissas!$A$4:$E$7,4,0)+L4562*VLOOKUP($B4562,Premissas!$A$4:$E$7,5,0))</f>
        <v/>
      </c>
      <c r="N4562" s="14">
        <f>H4562-M4562</f>
        <v/>
      </c>
      <c r="O4562" t="inlineStr">
        <is>
          <t>Sim</t>
        </is>
      </c>
      <c r="P4562" t="inlineStr">
        <is>
          <t>2.350</t>
        </is>
      </c>
    </row>
    <row r="4563">
      <c r="A4563" s="24" t="n">
        <v>46266</v>
      </c>
      <c r="B4563" t="inlineStr">
        <is>
          <t>Frete de compra</t>
        </is>
      </c>
      <c r="C4563" t="inlineStr">
        <is>
          <t>Frete de compra</t>
        </is>
      </c>
      <c r="D4563" t="inlineStr">
        <is>
          <t>CT-e</t>
        </is>
      </c>
      <c r="E4563" t="inlineStr">
        <is>
          <t>000047365</t>
        </is>
      </c>
      <c r="F4563" t="inlineStr">
        <is>
          <t>ALIANCA NAVEGACAO E LOGISTICA LTDA.</t>
        </is>
      </c>
      <c r="G4563" s="27" t="n">
        <v>46273</v>
      </c>
      <c r="H4563" s="14" t="n">
        <v>15644.04</v>
      </c>
      <c r="I4563" s="14" t="n">
        <v>0</v>
      </c>
      <c r="J4563" s="14" t="n">
        <v>1095.08</v>
      </c>
      <c r="K4563" s="14" t="n">
        <v>0</v>
      </c>
      <c r="L4563" s="14" t="n">
        <v>0</v>
      </c>
      <c r="M4563" s="14">
        <f>IF(B4563="Frete de venda",0,(1-ISNUMBER(SEARCH("556",P4563)))*(I4563*VLOOKUP($B4563,Premissas!$A$4:$E$7,2,0)+J4563*VLOOKUP($B4563,Premissas!$A$4:$E$7,3,0))+K4563*VLOOKUP($B4563,Premissas!$A$4:$E$7,4,0)+L4563*VLOOKUP($B4563,Premissas!$A$4:$E$7,5,0))</f>
        <v/>
      </c>
      <c r="N4563" s="14">
        <f>H4563-M4563</f>
        <v/>
      </c>
      <c r="O4563" t="inlineStr">
        <is>
          <t>Sim</t>
        </is>
      </c>
      <c r="P4563" t="inlineStr">
        <is>
          <t>2.350</t>
        </is>
      </c>
    </row>
    <row r="4564">
      <c r="A4564" s="24" t="n">
        <v>46266</v>
      </c>
      <c r="B4564" t="inlineStr">
        <is>
          <t>Frete de venda</t>
        </is>
      </c>
      <c r="C4564" t="inlineStr">
        <is>
          <t>Frete de venda (para clientes)</t>
        </is>
      </c>
      <c r="D4564" t="inlineStr">
        <is>
          <t>CT-e</t>
        </is>
      </c>
      <c r="E4564" t="inlineStr">
        <is>
          <t>000231275</t>
        </is>
      </c>
      <c r="F4564" t="inlineStr">
        <is>
          <t>CAZAN TRANSPORTES LTDA</t>
        </is>
      </c>
      <c r="G4564" s="27" t="n">
        <v>46268</v>
      </c>
      <c r="H4564" s="14" t="n">
        <v>145.9</v>
      </c>
      <c r="I4564" s="14" t="n">
        <v>0</v>
      </c>
      <c r="J4564" s="14" t="n">
        <v>10.21</v>
      </c>
      <c r="K4564" s="14" t="n">
        <v>0</v>
      </c>
      <c r="L4564" s="14" t="n">
        <v>0</v>
      </c>
      <c r="M4564" s="14">
        <f>IF(B4564="Frete de venda",0,(1-ISNUMBER(SEARCH("556",P4564)))*(I4564*VLOOKUP($B4564,Premissas!$A$4:$E$7,2,0)+J4564*VLOOKUP($B4564,Premissas!$A$4:$E$7,3,0))+K4564*VLOOKUP($B4564,Premissas!$A$4:$E$7,4,0)+L4564*VLOOKUP($B4564,Premissas!$A$4:$E$7,5,0))</f>
        <v/>
      </c>
      <c r="N4564" s="14">
        <f>H4564-M4564</f>
        <v/>
      </c>
      <c r="O4564" t="inlineStr">
        <is>
          <t>Sim</t>
        </is>
      </c>
      <c r="P4564" t="inlineStr">
        <is>
          <t>2.350</t>
        </is>
      </c>
    </row>
    <row r="4565">
      <c r="A4565" s="24" t="n">
        <v>46266</v>
      </c>
      <c r="B4565" t="inlineStr">
        <is>
          <t>Frete de venda</t>
        </is>
      </c>
      <c r="C4565" t="inlineStr">
        <is>
          <t>Frete de venda (para clientes)</t>
        </is>
      </c>
      <c r="D4565" t="inlineStr">
        <is>
          <t>CT-e</t>
        </is>
      </c>
      <c r="E4565" t="inlineStr">
        <is>
          <t>000232025</t>
        </is>
      </c>
      <c r="F4565" t="inlineStr">
        <is>
          <t>CAZAN TRANSPORTES LTDA</t>
        </is>
      </c>
      <c r="G4565" s="27" t="n">
        <v>46279</v>
      </c>
      <c r="H4565" s="14" t="n">
        <v>145.9</v>
      </c>
      <c r="I4565" s="14" t="n">
        <v>0</v>
      </c>
      <c r="J4565" s="14" t="n">
        <v>10.21</v>
      </c>
      <c r="K4565" s="14" t="n">
        <v>0</v>
      </c>
      <c r="L4565" s="14" t="n">
        <v>0</v>
      </c>
      <c r="M4565" s="14">
        <f>IF(B4565="Frete de venda",0,(1-ISNUMBER(SEARCH("556",P4565)))*(I4565*VLOOKUP($B4565,Premissas!$A$4:$E$7,2,0)+J4565*VLOOKUP($B4565,Premissas!$A$4:$E$7,3,0))+K4565*VLOOKUP($B4565,Premissas!$A$4:$E$7,4,0)+L4565*VLOOKUP($B4565,Premissas!$A$4:$E$7,5,0))</f>
        <v/>
      </c>
      <c r="N4565" s="14">
        <f>H4565-M4565</f>
        <v/>
      </c>
      <c r="O4565" t="inlineStr">
        <is>
          <t>Sim</t>
        </is>
      </c>
      <c r="P4565" t="inlineStr">
        <is>
          <t>2.350</t>
        </is>
      </c>
    </row>
    <row r="4566">
      <c r="A4566" s="24" t="n">
        <v>46266</v>
      </c>
      <c r="B4566" t="inlineStr">
        <is>
          <t>Frete de venda</t>
        </is>
      </c>
      <c r="C4566" t="inlineStr">
        <is>
          <t>Frete de venda (para clientes)</t>
        </is>
      </c>
      <c r="D4566" t="inlineStr">
        <is>
          <t>CT-e</t>
        </is>
      </c>
      <c r="E4566" t="inlineStr">
        <is>
          <t>000231481</t>
        </is>
      </c>
      <c r="F4566" t="inlineStr">
        <is>
          <t>CAZAN TRANSPORTES LTDA</t>
        </is>
      </c>
      <c r="G4566" s="27" t="n">
        <v>46270</v>
      </c>
      <c r="H4566" s="14" t="n">
        <v>145.91</v>
      </c>
      <c r="I4566" s="14" t="n">
        <v>0</v>
      </c>
      <c r="J4566" s="14" t="n">
        <v>10.21</v>
      </c>
      <c r="K4566" s="14" t="n">
        <v>0</v>
      </c>
      <c r="L4566" s="14" t="n">
        <v>0</v>
      </c>
      <c r="M4566" s="14">
        <f>IF(B4566="Frete de venda",0,(1-ISNUMBER(SEARCH("556",P4566)))*(I4566*VLOOKUP($B4566,Premissas!$A$4:$E$7,2,0)+J4566*VLOOKUP($B4566,Premissas!$A$4:$E$7,3,0))+K4566*VLOOKUP($B4566,Premissas!$A$4:$E$7,4,0)+L4566*VLOOKUP($B4566,Premissas!$A$4:$E$7,5,0))</f>
        <v/>
      </c>
      <c r="N4566" s="14">
        <f>H4566-M4566</f>
        <v/>
      </c>
      <c r="O4566" t="inlineStr">
        <is>
          <t>Sim</t>
        </is>
      </c>
      <c r="P4566" t="inlineStr">
        <is>
          <t>2.350</t>
        </is>
      </c>
    </row>
    <row r="4567">
      <c r="A4567" s="24" t="n">
        <v>46266</v>
      </c>
      <c r="B4567" t="inlineStr">
        <is>
          <t>Frete de venda</t>
        </is>
      </c>
      <c r="C4567" t="inlineStr">
        <is>
          <t>Frete de venda (para clientes)</t>
        </is>
      </c>
      <c r="D4567" t="inlineStr">
        <is>
          <t>CT-e</t>
        </is>
      </c>
      <c r="E4567" t="inlineStr">
        <is>
          <t>000000841</t>
        </is>
      </c>
      <c r="F4567" t="inlineStr">
        <is>
          <t>DURA MAIS TRANSPORTES LTDA</t>
        </is>
      </c>
      <c r="G4567" s="27" t="n">
        <v>46288</v>
      </c>
      <c r="H4567" s="14" t="n">
        <v>900</v>
      </c>
      <c r="I4567" s="14" t="n">
        <v>0</v>
      </c>
      <c r="J4567" s="14" t="n">
        <v>108</v>
      </c>
      <c r="K4567" s="14" t="n">
        <v>0</v>
      </c>
      <c r="L4567" s="14" t="n">
        <v>0</v>
      </c>
      <c r="M4567" s="14">
        <f>IF(B4567="Frete de venda",0,(1-ISNUMBER(SEARCH("556",P4567)))*(I4567*VLOOKUP($B4567,Premissas!$A$4:$E$7,2,0)+J4567*VLOOKUP($B4567,Premissas!$A$4:$E$7,3,0))+K4567*VLOOKUP($B4567,Premissas!$A$4:$E$7,4,0)+L4567*VLOOKUP($B4567,Premissas!$A$4:$E$7,5,0))</f>
        <v/>
      </c>
      <c r="N4567" s="14">
        <f>H4567-M4567</f>
        <v/>
      </c>
      <c r="O4567" t="inlineStr">
        <is>
          <t>Sim</t>
        </is>
      </c>
      <c r="P4567" t="inlineStr">
        <is>
          <t>2.350</t>
        </is>
      </c>
    </row>
    <row r="4568">
      <c r="A4568" s="24" t="n">
        <v>46266</v>
      </c>
      <c r="B4568" t="inlineStr">
        <is>
          <t>Frete de venda</t>
        </is>
      </c>
      <c r="C4568" t="inlineStr">
        <is>
          <t>Frete de venda (para clientes)</t>
        </is>
      </c>
      <c r="D4568" t="inlineStr">
        <is>
          <t>CT-e</t>
        </is>
      </c>
      <c r="E4568" t="inlineStr">
        <is>
          <t>000000550</t>
        </is>
      </c>
      <c r="F4568" t="inlineStr">
        <is>
          <t>DURA MAIS TRANSPORTES LTDA</t>
        </is>
      </c>
      <c r="G4568" s="27" t="n">
        <v>46269</v>
      </c>
      <c r="H4568" s="14" t="n">
        <v>1869.22</v>
      </c>
      <c r="I4568" s="14" t="n">
        <v>0</v>
      </c>
      <c r="J4568" s="14" t="n">
        <v>224.31</v>
      </c>
      <c r="K4568" s="14" t="n">
        <v>0</v>
      </c>
      <c r="L4568" s="14" t="n">
        <v>0</v>
      </c>
      <c r="M4568" s="14">
        <f>IF(B4568="Frete de venda",0,(1-ISNUMBER(SEARCH("556",P4568)))*(I4568*VLOOKUP($B4568,Premissas!$A$4:$E$7,2,0)+J4568*VLOOKUP($B4568,Premissas!$A$4:$E$7,3,0))+K4568*VLOOKUP($B4568,Premissas!$A$4:$E$7,4,0)+L4568*VLOOKUP($B4568,Premissas!$A$4:$E$7,5,0))</f>
        <v/>
      </c>
      <c r="N4568" s="14">
        <f>H4568-M4568</f>
        <v/>
      </c>
      <c r="O4568" t="inlineStr">
        <is>
          <t>Sim</t>
        </is>
      </c>
      <c r="P4568" t="inlineStr">
        <is>
          <t>2.350</t>
        </is>
      </c>
    </row>
    <row r="4569">
      <c r="A4569" s="24" t="n">
        <v>46266</v>
      </c>
      <c r="B4569" t="inlineStr">
        <is>
          <t>Frete de venda</t>
        </is>
      </c>
      <c r="C4569" t="inlineStr">
        <is>
          <t>Frete de venda (para clientes)</t>
        </is>
      </c>
      <c r="D4569" t="inlineStr">
        <is>
          <t>CT-e</t>
        </is>
      </c>
      <c r="E4569" t="inlineStr">
        <is>
          <t>000000741</t>
        </is>
      </c>
      <c r="F4569" t="inlineStr">
        <is>
          <t>DURA MAIS TRANSPORTES LTDA</t>
        </is>
      </c>
      <c r="G4569" s="27" t="n">
        <v>46283</v>
      </c>
      <c r="H4569" s="14" t="n">
        <v>100</v>
      </c>
      <c r="I4569" s="14" t="n">
        <v>0</v>
      </c>
      <c r="J4569" s="14" t="n">
        <v>12</v>
      </c>
      <c r="K4569" s="14" t="n">
        <v>0</v>
      </c>
      <c r="L4569" s="14" t="n">
        <v>0</v>
      </c>
      <c r="M4569" s="14">
        <f>IF(B4569="Frete de venda",0,(1-ISNUMBER(SEARCH("556",P4569)))*(I4569*VLOOKUP($B4569,Premissas!$A$4:$E$7,2,0)+J4569*VLOOKUP($B4569,Premissas!$A$4:$E$7,3,0))+K4569*VLOOKUP($B4569,Premissas!$A$4:$E$7,4,0)+L4569*VLOOKUP($B4569,Premissas!$A$4:$E$7,5,0))</f>
        <v/>
      </c>
      <c r="N4569" s="14">
        <f>H4569-M4569</f>
        <v/>
      </c>
      <c r="O4569" t="inlineStr">
        <is>
          <t>Sim</t>
        </is>
      </c>
      <c r="P4569" t="inlineStr">
        <is>
          <t>2.350</t>
        </is>
      </c>
    </row>
    <row r="4570">
      <c r="A4570" s="24" t="n">
        <v>46266</v>
      </c>
      <c r="B4570" t="inlineStr">
        <is>
          <t>Frete de venda</t>
        </is>
      </c>
      <c r="C4570" t="inlineStr">
        <is>
          <t>Frete de venda (para clientes)</t>
        </is>
      </c>
      <c r="D4570" t="inlineStr">
        <is>
          <t>CT-e</t>
        </is>
      </c>
      <c r="E4570" t="inlineStr">
        <is>
          <t>000000752</t>
        </is>
      </c>
      <c r="F4570" t="inlineStr">
        <is>
          <t>DURA MAIS TRANSPORTES LTDA</t>
        </is>
      </c>
      <c r="G4570" s="27" t="n">
        <v>46286</v>
      </c>
      <c r="H4570" s="14" t="n">
        <v>9867.530000000001</v>
      </c>
      <c r="I4570" s="14" t="n">
        <v>0</v>
      </c>
      <c r="J4570" s="14" t="n">
        <v>1184.1</v>
      </c>
      <c r="K4570" s="14" t="n">
        <v>0</v>
      </c>
      <c r="L4570" s="14" t="n">
        <v>0</v>
      </c>
      <c r="M4570" s="14">
        <f>IF(B4570="Frete de venda",0,(1-ISNUMBER(SEARCH("556",P4570)))*(I4570*VLOOKUP($B4570,Premissas!$A$4:$E$7,2,0)+J4570*VLOOKUP($B4570,Premissas!$A$4:$E$7,3,0))+K4570*VLOOKUP($B4570,Premissas!$A$4:$E$7,4,0)+L4570*VLOOKUP($B4570,Premissas!$A$4:$E$7,5,0))</f>
        <v/>
      </c>
      <c r="N4570" s="14">
        <f>H4570-M4570</f>
        <v/>
      </c>
      <c r="O4570" t="inlineStr">
        <is>
          <t>Sim</t>
        </is>
      </c>
      <c r="P4570" t="inlineStr">
        <is>
          <t>2.350</t>
        </is>
      </c>
    </row>
    <row r="4571">
      <c r="A4571" s="24" t="n">
        <v>46266</v>
      </c>
      <c r="B4571" t="inlineStr">
        <is>
          <t>Frete de venda</t>
        </is>
      </c>
      <c r="C4571" t="inlineStr">
        <is>
          <t>Frete de venda (para clientes)</t>
        </is>
      </c>
      <c r="D4571" t="inlineStr">
        <is>
          <t>CT-e</t>
        </is>
      </c>
      <c r="E4571" t="inlineStr">
        <is>
          <t>000000833</t>
        </is>
      </c>
      <c r="F4571" t="inlineStr">
        <is>
          <t>DURA MAIS TRANSPORTES LTDA</t>
        </is>
      </c>
      <c r="G4571" s="27" t="n">
        <v>46288</v>
      </c>
      <c r="H4571" s="14" t="n">
        <v>900</v>
      </c>
      <c r="I4571" s="14" t="n">
        <v>0</v>
      </c>
      <c r="J4571" s="14" t="n">
        <v>108</v>
      </c>
      <c r="K4571" s="14" t="n">
        <v>0</v>
      </c>
      <c r="L4571" s="14" t="n">
        <v>0</v>
      </c>
      <c r="M4571" s="14">
        <f>IF(B4571="Frete de venda",0,(1-ISNUMBER(SEARCH("556",P4571)))*(I4571*VLOOKUP($B4571,Premissas!$A$4:$E$7,2,0)+J4571*VLOOKUP($B4571,Premissas!$A$4:$E$7,3,0))+K4571*VLOOKUP($B4571,Premissas!$A$4:$E$7,4,0)+L4571*VLOOKUP($B4571,Premissas!$A$4:$E$7,5,0))</f>
        <v/>
      </c>
      <c r="N4571" s="14">
        <f>H4571-M4571</f>
        <v/>
      </c>
      <c r="O4571" t="inlineStr">
        <is>
          <t>Sim</t>
        </is>
      </c>
      <c r="P4571" t="inlineStr">
        <is>
          <t>2.350</t>
        </is>
      </c>
    </row>
    <row r="4572">
      <c r="A4572" s="24" t="n">
        <v>46266</v>
      </c>
      <c r="B4572" t="inlineStr">
        <is>
          <t>Frete de venda</t>
        </is>
      </c>
      <c r="C4572" t="inlineStr">
        <is>
          <t>Frete de venda (para clientes)</t>
        </is>
      </c>
      <c r="D4572" t="inlineStr">
        <is>
          <t>CT-e</t>
        </is>
      </c>
      <c r="E4572" t="inlineStr">
        <is>
          <t>000000653</t>
        </is>
      </c>
      <c r="F4572" t="inlineStr">
        <is>
          <t>DURA MAIS TRANSPORTES LTDA</t>
        </is>
      </c>
      <c r="G4572" s="27" t="n">
        <v>46277</v>
      </c>
      <c r="H4572" s="14" t="n">
        <v>817.1</v>
      </c>
      <c r="I4572" s="14" t="n">
        <v>0</v>
      </c>
      <c r="J4572" s="14" t="n">
        <v>98.05</v>
      </c>
      <c r="K4572" s="14" t="n">
        <v>0</v>
      </c>
      <c r="L4572" s="14" t="n">
        <v>0</v>
      </c>
      <c r="M4572" s="14">
        <f>IF(B4572="Frete de venda",0,(1-ISNUMBER(SEARCH("556",P4572)))*(I4572*VLOOKUP($B4572,Premissas!$A$4:$E$7,2,0)+J4572*VLOOKUP($B4572,Premissas!$A$4:$E$7,3,0))+K4572*VLOOKUP($B4572,Premissas!$A$4:$E$7,4,0)+L4572*VLOOKUP($B4572,Premissas!$A$4:$E$7,5,0))</f>
        <v/>
      </c>
      <c r="N4572" s="14">
        <f>H4572-M4572</f>
        <v/>
      </c>
      <c r="O4572" t="inlineStr">
        <is>
          <t>Sim</t>
        </is>
      </c>
      <c r="P4572" t="inlineStr">
        <is>
          <t>2.350</t>
        </is>
      </c>
    </row>
    <row r="4573">
      <c r="A4573" s="24" t="n">
        <v>46266</v>
      </c>
      <c r="B4573" t="inlineStr">
        <is>
          <t>Frete de venda</t>
        </is>
      </c>
      <c r="C4573" t="inlineStr">
        <is>
          <t>Frete de venda (para clientes)</t>
        </is>
      </c>
      <c r="D4573" t="inlineStr">
        <is>
          <t>CT-e</t>
        </is>
      </c>
      <c r="E4573" t="inlineStr">
        <is>
          <t>000000490</t>
        </is>
      </c>
      <c r="F4573" t="inlineStr">
        <is>
          <t>DURA MAIS TRANSPORTES LTDA</t>
        </is>
      </c>
      <c r="G4573" s="27" t="n">
        <v>46267</v>
      </c>
      <c r="H4573" s="14" t="n">
        <v>817.1</v>
      </c>
      <c r="I4573" s="14" t="n">
        <v>0</v>
      </c>
      <c r="J4573" s="14" t="n">
        <v>98.05</v>
      </c>
      <c r="K4573" s="14" t="n">
        <v>0</v>
      </c>
      <c r="L4573" s="14" t="n">
        <v>0</v>
      </c>
      <c r="M4573" s="14">
        <f>IF(B4573="Frete de venda",0,(1-ISNUMBER(SEARCH("556",P4573)))*(I4573*VLOOKUP($B4573,Premissas!$A$4:$E$7,2,0)+J4573*VLOOKUP($B4573,Premissas!$A$4:$E$7,3,0))+K4573*VLOOKUP($B4573,Premissas!$A$4:$E$7,4,0)+L4573*VLOOKUP($B4573,Premissas!$A$4:$E$7,5,0))</f>
        <v/>
      </c>
      <c r="N4573" s="14">
        <f>H4573-M4573</f>
        <v/>
      </c>
      <c r="O4573" t="inlineStr">
        <is>
          <t>Sim</t>
        </is>
      </c>
      <c r="P4573" t="inlineStr">
        <is>
          <t>2.350</t>
        </is>
      </c>
    </row>
    <row r="4574">
      <c r="A4574" s="24" t="n">
        <v>46266</v>
      </c>
      <c r="B4574" t="inlineStr">
        <is>
          <t>Frete de venda</t>
        </is>
      </c>
      <c r="C4574" t="inlineStr">
        <is>
          <t>Frete de venda (para clientes)</t>
        </is>
      </c>
      <c r="D4574" t="inlineStr">
        <is>
          <t>CT-e</t>
        </is>
      </c>
      <c r="E4574" t="inlineStr">
        <is>
          <t>000000609</t>
        </is>
      </c>
      <c r="F4574" t="inlineStr">
        <is>
          <t>DURA MAIS TRANSPORTES LTDA</t>
        </is>
      </c>
      <c r="G4574" s="27" t="n">
        <v>46275</v>
      </c>
      <c r="H4574" s="14" t="n">
        <v>488.79</v>
      </c>
      <c r="I4574" s="14" t="n">
        <v>0</v>
      </c>
      <c r="J4574" s="14" t="n">
        <v>58.65</v>
      </c>
      <c r="K4574" s="14" t="n">
        <v>0</v>
      </c>
      <c r="L4574" s="14" t="n">
        <v>0</v>
      </c>
      <c r="M4574" s="14">
        <f>IF(B4574="Frete de venda",0,(1-ISNUMBER(SEARCH("556",P4574)))*(I4574*VLOOKUP($B4574,Premissas!$A$4:$E$7,2,0)+J4574*VLOOKUP($B4574,Premissas!$A$4:$E$7,3,0))+K4574*VLOOKUP($B4574,Premissas!$A$4:$E$7,4,0)+L4574*VLOOKUP($B4574,Premissas!$A$4:$E$7,5,0))</f>
        <v/>
      </c>
      <c r="N4574" s="14">
        <f>H4574-M4574</f>
        <v/>
      </c>
      <c r="O4574" t="inlineStr">
        <is>
          <t>Sim</t>
        </is>
      </c>
      <c r="P4574" t="inlineStr">
        <is>
          <t>2.350</t>
        </is>
      </c>
    </row>
    <row r="4575">
      <c r="A4575" s="24" t="n">
        <v>46266</v>
      </c>
      <c r="B4575" t="inlineStr">
        <is>
          <t>Frete de venda</t>
        </is>
      </c>
      <c r="C4575" t="inlineStr">
        <is>
          <t>Frete de venda (para clientes)</t>
        </is>
      </c>
      <c r="D4575" t="inlineStr">
        <is>
          <t>CT-e</t>
        </is>
      </c>
      <c r="E4575" t="inlineStr">
        <is>
          <t>000000556</t>
        </is>
      </c>
      <c r="F4575" t="inlineStr">
        <is>
          <t>DURA MAIS TRANSPORTES LTDA</t>
        </is>
      </c>
      <c r="G4575" s="27" t="n">
        <v>46269</v>
      </c>
      <c r="H4575" s="14" t="n">
        <v>8100</v>
      </c>
      <c r="I4575" s="14" t="n">
        <v>0</v>
      </c>
      <c r="J4575" s="14" t="n">
        <v>972</v>
      </c>
      <c r="K4575" s="14" t="n">
        <v>0</v>
      </c>
      <c r="L4575" s="14" t="n">
        <v>0</v>
      </c>
      <c r="M4575" s="14">
        <f>IF(B4575="Frete de venda",0,(1-ISNUMBER(SEARCH("556",P4575)))*(I4575*VLOOKUP($B4575,Premissas!$A$4:$E$7,2,0)+J4575*VLOOKUP($B4575,Premissas!$A$4:$E$7,3,0))+K4575*VLOOKUP($B4575,Premissas!$A$4:$E$7,4,0)+L4575*VLOOKUP($B4575,Premissas!$A$4:$E$7,5,0))</f>
        <v/>
      </c>
      <c r="N4575" s="14">
        <f>H4575-M4575</f>
        <v/>
      </c>
      <c r="O4575" t="inlineStr">
        <is>
          <t>Sim</t>
        </is>
      </c>
      <c r="P4575" t="inlineStr">
        <is>
          <t>2.350</t>
        </is>
      </c>
    </row>
    <row r="4576">
      <c r="A4576" s="24" t="n">
        <v>46266</v>
      </c>
      <c r="B4576" t="inlineStr">
        <is>
          <t>Frete de venda</t>
        </is>
      </c>
      <c r="C4576" t="inlineStr">
        <is>
          <t>Frete de venda (para clientes)</t>
        </is>
      </c>
      <c r="D4576" t="inlineStr">
        <is>
          <t>CT-e</t>
        </is>
      </c>
      <c r="E4576" t="inlineStr">
        <is>
          <t>000000617</t>
        </is>
      </c>
      <c r="F4576" t="inlineStr">
        <is>
          <t>DURA MAIS TRANSPORTES LTDA</t>
        </is>
      </c>
      <c r="G4576" s="27" t="n">
        <v>46275</v>
      </c>
      <c r="H4576" s="14" t="n">
        <v>977.58</v>
      </c>
      <c r="I4576" s="14" t="n">
        <v>0</v>
      </c>
      <c r="J4576" s="14" t="n">
        <v>117.31</v>
      </c>
      <c r="K4576" s="14" t="n">
        <v>0</v>
      </c>
      <c r="L4576" s="14" t="n">
        <v>0</v>
      </c>
      <c r="M4576" s="14">
        <f>IF(B4576="Frete de venda",0,(1-ISNUMBER(SEARCH("556",P4576)))*(I4576*VLOOKUP($B4576,Premissas!$A$4:$E$7,2,0)+J4576*VLOOKUP($B4576,Premissas!$A$4:$E$7,3,0))+K4576*VLOOKUP($B4576,Premissas!$A$4:$E$7,4,0)+L4576*VLOOKUP($B4576,Premissas!$A$4:$E$7,5,0))</f>
        <v/>
      </c>
      <c r="N4576" s="14">
        <f>H4576-M4576</f>
        <v/>
      </c>
      <c r="O4576" t="inlineStr">
        <is>
          <t>Sim</t>
        </is>
      </c>
      <c r="P4576" t="inlineStr">
        <is>
          <t>2.350</t>
        </is>
      </c>
    </row>
    <row r="4577">
      <c r="A4577" s="24" t="n">
        <v>46266</v>
      </c>
      <c r="B4577" t="inlineStr">
        <is>
          <t>Frete de venda</t>
        </is>
      </c>
      <c r="C4577" t="inlineStr">
        <is>
          <t>Frete de venda (para clientes)</t>
        </is>
      </c>
      <c r="D4577" t="inlineStr">
        <is>
          <t>CT-e</t>
        </is>
      </c>
      <c r="E4577" t="inlineStr">
        <is>
          <t>000000839</t>
        </is>
      </c>
      <c r="F4577" t="inlineStr">
        <is>
          <t>DURA MAIS TRANSPORTES LTDA</t>
        </is>
      </c>
      <c r="G4577" s="27" t="n">
        <v>46288</v>
      </c>
      <c r="H4577" s="14" t="n">
        <v>900</v>
      </c>
      <c r="I4577" s="14" t="n">
        <v>0</v>
      </c>
      <c r="J4577" s="14" t="n">
        <v>108</v>
      </c>
      <c r="K4577" s="14" t="n">
        <v>0</v>
      </c>
      <c r="L4577" s="14" t="n">
        <v>0</v>
      </c>
      <c r="M4577" s="14">
        <f>IF(B4577="Frete de venda",0,(1-ISNUMBER(SEARCH("556",P4577)))*(I4577*VLOOKUP($B4577,Premissas!$A$4:$E$7,2,0)+J4577*VLOOKUP($B4577,Premissas!$A$4:$E$7,3,0))+K4577*VLOOKUP($B4577,Premissas!$A$4:$E$7,4,0)+L4577*VLOOKUP($B4577,Premissas!$A$4:$E$7,5,0))</f>
        <v/>
      </c>
      <c r="N4577" s="14">
        <f>H4577-M4577</f>
        <v/>
      </c>
      <c r="O4577" t="inlineStr">
        <is>
          <t>Sim</t>
        </is>
      </c>
      <c r="P4577" t="inlineStr">
        <is>
          <t>2.350</t>
        </is>
      </c>
    </row>
    <row r="4578">
      <c r="A4578" s="24" t="n">
        <v>46266</v>
      </c>
      <c r="B4578" t="inlineStr">
        <is>
          <t>Frete de venda</t>
        </is>
      </c>
      <c r="C4578" t="inlineStr">
        <is>
          <t>Frete de venda (para clientes)</t>
        </is>
      </c>
      <c r="D4578" t="inlineStr">
        <is>
          <t>CT-e</t>
        </is>
      </c>
      <c r="E4578" t="inlineStr">
        <is>
          <t>000000817</t>
        </is>
      </c>
      <c r="F4578" t="inlineStr">
        <is>
          <t>DURA MAIS TRANSPORTES LTDA</t>
        </is>
      </c>
      <c r="G4578" s="27" t="n">
        <v>46288</v>
      </c>
      <c r="H4578" s="14" t="n">
        <v>1272.86</v>
      </c>
      <c r="I4578" s="14" t="n">
        <v>0</v>
      </c>
      <c r="J4578" s="14" t="n">
        <v>152.74</v>
      </c>
      <c r="K4578" s="14" t="n">
        <v>0</v>
      </c>
      <c r="L4578" s="14" t="n">
        <v>0</v>
      </c>
      <c r="M4578" s="14">
        <f>IF(B4578="Frete de venda",0,(1-ISNUMBER(SEARCH("556",P4578)))*(I4578*VLOOKUP($B4578,Premissas!$A$4:$E$7,2,0)+J4578*VLOOKUP($B4578,Premissas!$A$4:$E$7,3,0))+K4578*VLOOKUP($B4578,Premissas!$A$4:$E$7,4,0)+L4578*VLOOKUP($B4578,Premissas!$A$4:$E$7,5,0))</f>
        <v/>
      </c>
      <c r="N4578" s="14">
        <f>H4578-M4578</f>
        <v/>
      </c>
      <c r="O4578" t="inlineStr">
        <is>
          <t>Sim</t>
        </is>
      </c>
      <c r="P4578" t="inlineStr">
        <is>
          <t>2.350</t>
        </is>
      </c>
    </row>
    <row r="4579">
      <c r="A4579" s="24" t="n">
        <v>46266</v>
      </c>
      <c r="B4579" t="inlineStr">
        <is>
          <t>Frete de venda</t>
        </is>
      </c>
      <c r="C4579" t="inlineStr">
        <is>
          <t>Frete de venda (para clientes)</t>
        </is>
      </c>
      <c r="D4579" t="inlineStr">
        <is>
          <t>CT-e</t>
        </is>
      </c>
      <c r="E4579" t="inlineStr">
        <is>
          <t>000000735</t>
        </is>
      </c>
      <c r="F4579" t="inlineStr">
        <is>
          <t>DURA MAIS TRANSPORTES LTDA</t>
        </is>
      </c>
      <c r="G4579" s="27" t="n">
        <v>46283</v>
      </c>
      <c r="H4579" s="14" t="n">
        <v>100</v>
      </c>
      <c r="I4579" s="14" t="n">
        <v>0</v>
      </c>
      <c r="J4579" s="14" t="n">
        <v>12</v>
      </c>
      <c r="K4579" s="14" t="n">
        <v>0</v>
      </c>
      <c r="L4579" s="14" t="n">
        <v>0</v>
      </c>
      <c r="M4579" s="14">
        <f>IF(B4579="Frete de venda",0,(1-ISNUMBER(SEARCH("556",P4579)))*(I4579*VLOOKUP($B4579,Premissas!$A$4:$E$7,2,0)+J4579*VLOOKUP($B4579,Premissas!$A$4:$E$7,3,0))+K4579*VLOOKUP($B4579,Premissas!$A$4:$E$7,4,0)+L4579*VLOOKUP($B4579,Premissas!$A$4:$E$7,5,0))</f>
        <v/>
      </c>
      <c r="N4579" s="14">
        <f>H4579-M4579</f>
        <v/>
      </c>
      <c r="O4579" t="inlineStr">
        <is>
          <t>Sim</t>
        </is>
      </c>
      <c r="P4579" t="inlineStr">
        <is>
          <t>2.350</t>
        </is>
      </c>
    </row>
    <row r="4580">
      <c r="A4580" s="24" t="n">
        <v>46266</v>
      </c>
      <c r="B4580" t="inlineStr">
        <is>
          <t>Frete de venda</t>
        </is>
      </c>
      <c r="C4580" t="inlineStr">
        <is>
          <t>Frete de venda (para clientes)</t>
        </is>
      </c>
      <c r="D4580" t="inlineStr">
        <is>
          <t>CT-e</t>
        </is>
      </c>
      <c r="E4580" t="inlineStr">
        <is>
          <t>000000686</t>
        </is>
      </c>
      <c r="F4580" t="inlineStr">
        <is>
          <t>DURA MAIS TRANSPORTES LTDA</t>
        </is>
      </c>
      <c r="G4580" s="27" t="n">
        <v>46281</v>
      </c>
      <c r="H4580" s="14" t="n">
        <v>5940</v>
      </c>
      <c r="I4580" s="14" t="n">
        <v>0</v>
      </c>
      <c r="J4580" s="14" t="n">
        <v>712.8</v>
      </c>
      <c r="K4580" s="14" t="n">
        <v>0</v>
      </c>
      <c r="L4580" s="14" t="n">
        <v>0</v>
      </c>
      <c r="M4580" s="14">
        <f>IF(B4580="Frete de venda",0,(1-ISNUMBER(SEARCH("556",P4580)))*(I4580*VLOOKUP($B4580,Premissas!$A$4:$E$7,2,0)+J4580*VLOOKUP($B4580,Premissas!$A$4:$E$7,3,0))+K4580*VLOOKUP($B4580,Premissas!$A$4:$E$7,4,0)+L4580*VLOOKUP($B4580,Premissas!$A$4:$E$7,5,0))</f>
        <v/>
      </c>
      <c r="N4580" s="14">
        <f>H4580-M4580</f>
        <v/>
      </c>
      <c r="O4580" t="inlineStr">
        <is>
          <t>Sim</t>
        </is>
      </c>
      <c r="P4580" t="inlineStr">
        <is>
          <t>2.350</t>
        </is>
      </c>
    </row>
    <row r="4581">
      <c r="A4581" s="24" t="n">
        <v>46266</v>
      </c>
      <c r="B4581" t="inlineStr">
        <is>
          <t>Frete de venda</t>
        </is>
      </c>
      <c r="C4581" t="inlineStr">
        <is>
          <t>Frete de venda (para clientes)</t>
        </is>
      </c>
      <c r="D4581" t="inlineStr">
        <is>
          <t>CT-e</t>
        </is>
      </c>
      <c r="E4581" t="inlineStr">
        <is>
          <t>000000618</t>
        </is>
      </c>
      <c r="F4581" t="inlineStr">
        <is>
          <t>DURA MAIS TRANSPORTES LTDA</t>
        </is>
      </c>
      <c r="G4581" s="27" t="n">
        <v>46275</v>
      </c>
      <c r="H4581" s="14" t="n">
        <v>488.79</v>
      </c>
      <c r="I4581" s="14" t="n">
        <v>0</v>
      </c>
      <c r="J4581" s="14" t="n">
        <v>58.65</v>
      </c>
      <c r="K4581" s="14" t="n">
        <v>0</v>
      </c>
      <c r="L4581" s="14" t="n">
        <v>0</v>
      </c>
      <c r="M4581" s="14">
        <f>IF(B4581="Frete de venda",0,(1-ISNUMBER(SEARCH("556",P4581)))*(I4581*VLOOKUP($B4581,Premissas!$A$4:$E$7,2,0)+J4581*VLOOKUP($B4581,Premissas!$A$4:$E$7,3,0))+K4581*VLOOKUP($B4581,Premissas!$A$4:$E$7,4,0)+L4581*VLOOKUP($B4581,Premissas!$A$4:$E$7,5,0))</f>
        <v/>
      </c>
      <c r="N4581" s="14">
        <f>H4581-M4581</f>
        <v/>
      </c>
      <c r="O4581" t="inlineStr">
        <is>
          <t>Sim</t>
        </is>
      </c>
      <c r="P4581" t="inlineStr">
        <is>
          <t>2.350</t>
        </is>
      </c>
    </row>
    <row r="4582">
      <c r="A4582" s="24" t="n">
        <v>46266</v>
      </c>
      <c r="B4582" t="inlineStr">
        <is>
          <t>Frete de venda</t>
        </is>
      </c>
      <c r="C4582" t="inlineStr">
        <is>
          <t>Frete de venda (para clientes)</t>
        </is>
      </c>
      <c r="D4582" t="inlineStr">
        <is>
          <t>CT-e</t>
        </is>
      </c>
      <c r="E4582" t="inlineStr">
        <is>
          <t>000000538</t>
        </is>
      </c>
      <c r="F4582" t="inlineStr">
        <is>
          <t>DURA MAIS TRANSPORTES LTDA</t>
        </is>
      </c>
      <c r="G4582" s="27" t="n">
        <v>46269</v>
      </c>
      <c r="H4582" s="14" t="n">
        <v>4640.6</v>
      </c>
      <c r="I4582" s="14" t="n">
        <v>0</v>
      </c>
      <c r="J4582" s="14" t="n">
        <v>556.87</v>
      </c>
      <c r="K4582" s="14" t="n">
        <v>0</v>
      </c>
      <c r="L4582" s="14" t="n">
        <v>0</v>
      </c>
      <c r="M4582" s="14">
        <f>IF(B4582="Frete de venda",0,(1-ISNUMBER(SEARCH("556",P4582)))*(I4582*VLOOKUP($B4582,Premissas!$A$4:$E$7,2,0)+J4582*VLOOKUP($B4582,Premissas!$A$4:$E$7,3,0))+K4582*VLOOKUP($B4582,Premissas!$A$4:$E$7,4,0)+L4582*VLOOKUP($B4582,Premissas!$A$4:$E$7,5,0))</f>
        <v/>
      </c>
      <c r="N4582" s="14">
        <f>H4582-M4582</f>
        <v/>
      </c>
      <c r="O4582" t="inlineStr">
        <is>
          <t>Sim</t>
        </is>
      </c>
      <c r="P4582" t="inlineStr">
        <is>
          <t>2.350</t>
        </is>
      </c>
    </row>
    <row r="4583">
      <c r="A4583" s="24" t="n">
        <v>46266</v>
      </c>
      <c r="B4583" t="inlineStr">
        <is>
          <t>Frete de venda</t>
        </is>
      </c>
      <c r="C4583" t="inlineStr">
        <is>
          <t>Frete de venda (para clientes)</t>
        </is>
      </c>
      <c r="D4583" t="inlineStr">
        <is>
          <t>CT-e</t>
        </is>
      </c>
      <c r="E4583" t="inlineStr">
        <is>
          <t>000000720</t>
        </is>
      </c>
      <c r="F4583" t="inlineStr">
        <is>
          <t>DURA MAIS TRANSPORTES LTDA</t>
        </is>
      </c>
      <c r="G4583" s="27" t="n">
        <v>46283</v>
      </c>
      <c r="H4583" s="14" t="n">
        <v>416.91</v>
      </c>
      <c r="I4583" s="14" t="n">
        <v>0</v>
      </c>
      <c r="J4583" s="14" t="n">
        <v>50.03</v>
      </c>
      <c r="K4583" s="14" t="n">
        <v>0</v>
      </c>
      <c r="L4583" s="14" t="n">
        <v>0</v>
      </c>
      <c r="M4583" s="14">
        <f>IF(B4583="Frete de venda",0,(1-ISNUMBER(SEARCH("556",P4583)))*(I4583*VLOOKUP($B4583,Premissas!$A$4:$E$7,2,0)+J4583*VLOOKUP($B4583,Premissas!$A$4:$E$7,3,0))+K4583*VLOOKUP($B4583,Premissas!$A$4:$E$7,4,0)+L4583*VLOOKUP($B4583,Premissas!$A$4:$E$7,5,0))</f>
        <v/>
      </c>
      <c r="N4583" s="14">
        <f>H4583-M4583</f>
        <v/>
      </c>
      <c r="O4583" t="inlineStr">
        <is>
          <t>Sim</t>
        </is>
      </c>
      <c r="P4583" t="inlineStr">
        <is>
          <t>2.350</t>
        </is>
      </c>
    </row>
    <row r="4584">
      <c r="A4584" s="24" t="n">
        <v>46266</v>
      </c>
      <c r="B4584" t="inlineStr">
        <is>
          <t>Frete de venda</t>
        </is>
      </c>
      <c r="C4584" t="inlineStr">
        <is>
          <t>Frete de venda (para clientes)</t>
        </is>
      </c>
      <c r="D4584" t="inlineStr">
        <is>
          <t>CT-e</t>
        </is>
      </c>
      <c r="E4584" t="inlineStr">
        <is>
          <t>000000517</t>
        </is>
      </c>
      <c r="F4584" t="inlineStr">
        <is>
          <t>DURA MAIS TRANSPORTES LTDA</t>
        </is>
      </c>
      <c r="G4584" s="27" t="n">
        <v>46267</v>
      </c>
      <c r="H4584" s="14" t="n">
        <v>2700</v>
      </c>
      <c r="I4584" s="14" t="n">
        <v>0</v>
      </c>
      <c r="J4584" s="14" t="n">
        <v>324</v>
      </c>
      <c r="K4584" s="14" t="n">
        <v>0</v>
      </c>
      <c r="L4584" s="14" t="n">
        <v>0</v>
      </c>
      <c r="M4584" s="14">
        <f>IF(B4584="Frete de venda",0,(1-ISNUMBER(SEARCH("556",P4584)))*(I4584*VLOOKUP($B4584,Premissas!$A$4:$E$7,2,0)+J4584*VLOOKUP($B4584,Premissas!$A$4:$E$7,3,0))+K4584*VLOOKUP($B4584,Premissas!$A$4:$E$7,4,0)+L4584*VLOOKUP($B4584,Premissas!$A$4:$E$7,5,0))</f>
        <v/>
      </c>
      <c r="N4584" s="14">
        <f>H4584-M4584</f>
        <v/>
      </c>
      <c r="O4584" t="inlineStr">
        <is>
          <t>Sim</t>
        </is>
      </c>
      <c r="P4584" t="inlineStr">
        <is>
          <t>2.350</t>
        </is>
      </c>
    </row>
    <row r="4585">
      <c r="A4585" s="24" t="n">
        <v>46266</v>
      </c>
      <c r="B4585" t="inlineStr">
        <is>
          <t>Frete de venda</t>
        </is>
      </c>
      <c r="C4585" t="inlineStr">
        <is>
          <t>Frete de venda (para clientes)</t>
        </is>
      </c>
      <c r="D4585" t="inlineStr">
        <is>
          <t>CT-e</t>
        </is>
      </c>
      <c r="E4585" t="inlineStr">
        <is>
          <t>000000515</t>
        </is>
      </c>
      <c r="F4585" t="inlineStr">
        <is>
          <t>DURA MAIS TRANSPORTES LTDA</t>
        </is>
      </c>
      <c r="G4585" s="27" t="n">
        <v>46267</v>
      </c>
      <c r="H4585" s="14" t="n">
        <v>1552.5</v>
      </c>
      <c r="I4585" s="14" t="n">
        <v>0</v>
      </c>
      <c r="J4585" s="14" t="n">
        <v>186.3</v>
      </c>
      <c r="K4585" s="14" t="n">
        <v>0</v>
      </c>
      <c r="L4585" s="14" t="n">
        <v>0</v>
      </c>
      <c r="M4585" s="14">
        <f>IF(B4585="Frete de venda",0,(1-ISNUMBER(SEARCH("556",P4585)))*(I4585*VLOOKUP($B4585,Premissas!$A$4:$E$7,2,0)+J4585*VLOOKUP($B4585,Premissas!$A$4:$E$7,3,0))+K4585*VLOOKUP($B4585,Premissas!$A$4:$E$7,4,0)+L4585*VLOOKUP($B4585,Premissas!$A$4:$E$7,5,0))</f>
        <v/>
      </c>
      <c r="N4585" s="14">
        <f>H4585-M4585</f>
        <v/>
      </c>
      <c r="O4585" t="inlineStr">
        <is>
          <t>Sim</t>
        </is>
      </c>
      <c r="P4585" t="inlineStr">
        <is>
          <t>2.350</t>
        </is>
      </c>
    </row>
    <row r="4586">
      <c r="A4586" s="24" t="n">
        <v>46266</v>
      </c>
      <c r="B4586" t="inlineStr">
        <is>
          <t>Frete de venda</t>
        </is>
      </c>
      <c r="C4586" t="inlineStr">
        <is>
          <t>Frete de venda (para clientes)</t>
        </is>
      </c>
      <c r="D4586" t="inlineStr">
        <is>
          <t>CT-e</t>
        </is>
      </c>
      <c r="E4586" t="inlineStr">
        <is>
          <t>000000498</t>
        </is>
      </c>
      <c r="F4586" t="inlineStr">
        <is>
          <t>DURA MAIS TRANSPORTES LTDA</t>
        </is>
      </c>
      <c r="G4586" s="27" t="n">
        <v>46267</v>
      </c>
      <c r="H4586" s="14" t="n">
        <v>817.1</v>
      </c>
      <c r="I4586" s="14" t="n">
        <v>0</v>
      </c>
      <c r="J4586" s="14" t="n">
        <v>98.05</v>
      </c>
      <c r="K4586" s="14" t="n">
        <v>0</v>
      </c>
      <c r="L4586" s="14" t="n">
        <v>0</v>
      </c>
      <c r="M4586" s="14">
        <f>IF(B4586="Frete de venda",0,(1-ISNUMBER(SEARCH("556",P4586)))*(I4586*VLOOKUP($B4586,Premissas!$A$4:$E$7,2,0)+J4586*VLOOKUP($B4586,Premissas!$A$4:$E$7,3,0))+K4586*VLOOKUP($B4586,Premissas!$A$4:$E$7,4,0)+L4586*VLOOKUP($B4586,Premissas!$A$4:$E$7,5,0))</f>
        <v/>
      </c>
      <c r="N4586" s="14">
        <f>H4586-M4586</f>
        <v/>
      </c>
      <c r="O4586" t="inlineStr">
        <is>
          <t>Sim</t>
        </is>
      </c>
      <c r="P4586" t="inlineStr">
        <is>
          <t>2.350</t>
        </is>
      </c>
    </row>
    <row r="4587">
      <c r="A4587" s="24" t="n">
        <v>46266</v>
      </c>
      <c r="B4587" t="inlineStr">
        <is>
          <t>Frete de venda</t>
        </is>
      </c>
      <c r="C4587" t="inlineStr">
        <is>
          <t>Frete de venda (para clientes)</t>
        </is>
      </c>
      <c r="D4587" t="inlineStr">
        <is>
          <t>CT-e</t>
        </is>
      </c>
      <c r="E4587" t="inlineStr">
        <is>
          <t>001468350</t>
        </is>
      </c>
      <c r="F4587" t="inlineStr">
        <is>
          <t>PICCOLI TRANSPORTES LTDA</t>
        </is>
      </c>
      <c r="G4587" s="27" t="n">
        <v>46266</v>
      </c>
      <c r="H4587" s="14" t="n">
        <v>1084.93</v>
      </c>
      <c r="I4587" s="14" t="n">
        <v>0</v>
      </c>
      <c r="J4587" s="14" t="n">
        <v>75.95</v>
      </c>
      <c r="K4587" s="14" t="n">
        <v>0</v>
      </c>
      <c r="L4587" s="14" t="n">
        <v>0</v>
      </c>
      <c r="M4587" s="14">
        <f>IF(B4587="Frete de venda",0,(1-ISNUMBER(SEARCH("556",P4587)))*(I4587*VLOOKUP($B4587,Premissas!$A$4:$E$7,2,0)+J4587*VLOOKUP($B4587,Premissas!$A$4:$E$7,3,0))+K4587*VLOOKUP($B4587,Premissas!$A$4:$E$7,4,0)+L4587*VLOOKUP($B4587,Premissas!$A$4:$E$7,5,0))</f>
        <v/>
      </c>
      <c r="N4587" s="14">
        <f>H4587-M4587</f>
        <v/>
      </c>
      <c r="O4587" t="inlineStr">
        <is>
          <t>Sim</t>
        </is>
      </c>
      <c r="P4587" t="inlineStr">
        <is>
          <t>2.350</t>
        </is>
      </c>
    </row>
    <row r="4588">
      <c r="A4588" s="24" t="n">
        <v>46266</v>
      </c>
      <c r="B4588" t="inlineStr">
        <is>
          <t>Frete de venda</t>
        </is>
      </c>
      <c r="C4588" t="inlineStr">
        <is>
          <t>Frete de venda (para clientes)</t>
        </is>
      </c>
      <c r="D4588" t="inlineStr">
        <is>
          <t>CT-e</t>
        </is>
      </c>
      <c r="E4588" t="inlineStr">
        <is>
          <t>000000716</t>
        </is>
      </c>
      <c r="F4588" t="inlineStr">
        <is>
          <t>DURA MAIS TRANSPORTES LTDA</t>
        </is>
      </c>
      <c r="G4588" s="27" t="n">
        <v>46283</v>
      </c>
      <c r="H4588" s="14" t="n">
        <v>416.91</v>
      </c>
      <c r="I4588" s="14" t="n">
        <v>0</v>
      </c>
      <c r="J4588" s="14" t="n">
        <v>50.03</v>
      </c>
      <c r="K4588" s="14" t="n">
        <v>0</v>
      </c>
      <c r="L4588" s="14" t="n">
        <v>0</v>
      </c>
      <c r="M4588" s="14">
        <f>IF(B4588="Frete de venda",0,(1-ISNUMBER(SEARCH("556",P4588)))*(I4588*VLOOKUP($B4588,Premissas!$A$4:$E$7,2,0)+J4588*VLOOKUP($B4588,Premissas!$A$4:$E$7,3,0))+K4588*VLOOKUP($B4588,Premissas!$A$4:$E$7,4,0)+L4588*VLOOKUP($B4588,Premissas!$A$4:$E$7,5,0))</f>
        <v/>
      </c>
      <c r="N4588" s="14">
        <f>H4588-M4588</f>
        <v/>
      </c>
      <c r="O4588" t="inlineStr">
        <is>
          <t>Sim</t>
        </is>
      </c>
      <c r="P4588" t="inlineStr">
        <is>
          <t>2.350</t>
        </is>
      </c>
    </row>
    <row r="4589">
      <c r="A4589" s="24" t="n">
        <v>46266</v>
      </c>
      <c r="B4589" t="inlineStr">
        <is>
          <t>Frete de venda</t>
        </is>
      </c>
      <c r="C4589" t="inlineStr">
        <is>
          <t>Frete de venda (para clientes)</t>
        </is>
      </c>
      <c r="D4589" t="inlineStr">
        <is>
          <t>CT-e</t>
        </is>
      </c>
      <c r="E4589" t="inlineStr">
        <is>
          <t>000000552</t>
        </is>
      </c>
      <c r="F4589" t="inlineStr">
        <is>
          <t>DURA MAIS TRANSPORTES LTDA</t>
        </is>
      </c>
      <c r="G4589" s="27" t="n">
        <v>46269</v>
      </c>
      <c r="H4589" s="14" t="n">
        <v>934.61</v>
      </c>
      <c r="I4589" s="14" t="n">
        <v>0</v>
      </c>
      <c r="J4589" s="14" t="n">
        <v>112.15</v>
      </c>
      <c r="K4589" s="14" t="n">
        <v>0</v>
      </c>
      <c r="L4589" s="14" t="n">
        <v>0</v>
      </c>
      <c r="M4589" s="14">
        <f>IF(B4589="Frete de venda",0,(1-ISNUMBER(SEARCH("556",P4589)))*(I4589*VLOOKUP($B4589,Premissas!$A$4:$E$7,2,0)+J4589*VLOOKUP($B4589,Premissas!$A$4:$E$7,3,0))+K4589*VLOOKUP($B4589,Premissas!$A$4:$E$7,4,0)+L4589*VLOOKUP($B4589,Premissas!$A$4:$E$7,5,0))</f>
        <v/>
      </c>
      <c r="N4589" s="14">
        <f>H4589-M4589</f>
        <v/>
      </c>
      <c r="O4589" t="inlineStr">
        <is>
          <t>Sim</t>
        </is>
      </c>
      <c r="P4589" t="inlineStr">
        <is>
          <t>2.350</t>
        </is>
      </c>
    </row>
    <row r="4590">
      <c r="A4590" s="24" t="n">
        <v>46266</v>
      </c>
      <c r="B4590" t="inlineStr">
        <is>
          <t>Frete de venda</t>
        </is>
      </c>
      <c r="C4590" t="inlineStr">
        <is>
          <t>Frete de venda (para clientes)</t>
        </is>
      </c>
      <c r="D4590" t="inlineStr">
        <is>
          <t>CT-e</t>
        </is>
      </c>
      <c r="E4590" t="inlineStr">
        <is>
          <t>000000648</t>
        </is>
      </c>
      <c r="F4590" t="inlineStr">
        <is>
          <t>DURA MAIS TRANSPORTES LTDA</t>
        </is>
      </c>
      <c r="G4590" s="27" t="n">
        <v>46277</v>
      </c>
      <c r="H4590" s="14" t="n">
        <v>817.1</v>
      </c>
      <c r="I4590" s="14" t="n">
        <v>0</v>
      </c>
      <c r="J4590" s="14" t="n">
        <v>98.05</v>
      </c>
      <c r="K4590" s="14" t="n">
        <v>0</v>
      </c>
      <c r="L4590" s="14" t="n">
        <v>0</v>
      </c>
      <c r="M4590" s="14">
        <f>IF(B4590="Frete de venda",0,(1-ISNUMBER(SEARCH("556",P4590)))*(I4590*VLOOKUP($B4590,Premissas!$A$4:$E$7,2,0)+J4590*VLOOKUP($B4590,Premissas!$A$4:$E$7,3,0))+K4590*VLOOKUP($B4590,Premissas!$A$4:$E$7,4,0)+L4590*VLOOKUP($B4590,Premissas!$A$4:$E$7,5,0))</f>
        <v/>
      </c>
      <c r="N4590" s="14">
        <f>H4590-M4590</f>
        <v/>
      </c>
      <c r="O4590" t="inlineStr">
        <is>
          <t>Sim</t>
        </is>
      </c>
      <c r="P4590" t="inlineStr">
        <is>
          <t>2.350</t>
        </is>
      </c>
    </row>
    <row r="4591">
      <c r="A4591" s="24" t="n">
        <v>46266</v>
      </c>
      <c r="B4591" t="inlineStr">
        <is>
          <t>Frete de venda</t>
        </is>
      </c>
      <c r="C4591" t="inlineStr">
        <is>
          <t>Frete de venda (para clientes)</t>
        </is>
      </c>
      <c r="D4591" t="inlineStr">
        <is>
          <t>CT-e</t>
        </is>
      </c>
      <c r="E4591" t="inlineStr">
        <is>
          <t>001468346</t>
        </is>
      </c>
      <c r="F4591" t="inlineStr">
        <is>
          <t>PICCOLI TRANSPORTES LTDA</t>
        </is>
      </c>
      <c r="G4591" s="27" t="n">
        <v>46266</v>
      </c>
      <c r="H4591" s="14" t="n">
        <v>914.88</v>
      </c>
      <c r="I4591" s="14" t="n">
        <v>0</v>
      </c>
      <c r="J4591" s="14" t="n">
        <v>64.04000000000001</v>
      </c>
      <c r="K4591" s="14" t="n">
        <v>0</v>
      </c>
      <c r="L4591" s="14" t="n">
        <v>0</v>
      </c>
      <c r="M4591" s="14">
        <f>IF(B4591="Frete de venda",0,(1-ISNUMBER(SEARCH("556",P4591)))*(I4591*VLOOKUP($B4591,Premissas!$A$4:$E$7,2,0)+J4591*VLOOKUP($B4591,Premissas!$A$4:$E$7,3,0))+K4591*VLOOKUP($B4591,Premissas!$A$4:$E$7,4,0)+L4591*VLOOKUP($B4591,Premissas!$A$4:$E$7,5,0))</f>
        <v/>
      </c>
      <c r="N4591" s="14">
        <f>H4591-M4591</f>
        <v/>
      </c>
      <c r="O4591" t="inlineStr">
        <is>
          <t>Sim</t>
        </is>
      </c>
      <c r="P4591" t="inlineStr">
        <is>
          <t>2.350</t>
        </is>
      </c>
    </row>
    <row r="4592">
      <c r="A4592" s="24" t="n">
        <v>46266</v>
      </c>
      <c r="B4592" t="inlineStr">
        <is>
          <t>Frete de venda</t>
        </is>
      </c>
      <c r="C4592" t="inlineStr">
        <is>
          <t>Frete de venda (para clientes)</t>
        </is>
      </c>
      <c r="D4592" t="inlineStr">
        <is>
          <t>CT-e</t>
        </is>
      </c>
      <c r="E4592" t="inlineStr">
        <is>
          <t>000000713</t>
        </is>
      </c>
      <c r="F4592" t="inlineStr">
        <is>
          <t>DURA MAIS TRANSPORTES LTDA</t>
        </is>
      </c>
      <c r="G4592" s="27" t="n">
        <v>46283</v>
      </c>
      <c r="H4592" s="14" t="n">
        <v>416.91</v>
      </c>
      <c r="I4592" s="14" t="n">
        <v>0</v>
      </c>
      <c r="J4592" s="14" t="n">
        <v>50.03</v>
      </c>
      <c r="K4592" s="14" t="n">
        <v>0</v>
      </c>
      <c r="L4592" s="14" t="n">
        <v>0</v>
      </c>
      <c r="M4592" s="14">
        <f>IF(B4592="Frete de venda",0,(1-ISNUMBER(SEARCH("556",P4592)))*(I4592*VLOOKUP($B4592,Premissas!$A$4:$E$7,2,0)+J4592*VLOOKUP($B4592,Premissas!$A$4:$E$7,3,0))+K4592*VLOOKUP($B4592,Premissas!$A$4:$E$7,4,0)+L4592*VLOOKUP($B4592,Premissas!$A$4:$E$7,5,0))</f>
        <v/>
      </c>
      <c r="N4592" s="14">
        <f>H4592-M4592</f>
        <v/>
      </c>
      <c r="O4592" t="inlineStr">
        <is>
          <t>Sim</t>
        </is>
      </c>
      <c r="P4592" t="inlineStr">
        <is>
          <t>2.350</t>
        </is>
      </c>
    </row>
    <row r="4593">
      <c r="A4593" s="24" t="n">
        <v>46266</v>
      </c>
      <c r="B4593" t="inlineStr">
        <is>
          <t>Frete de venda</t>
        </is>
      </c>
      <c r="C4593" t="inlineStr">
        <is>
          <t>Frete de venda (para clientes)</t>
        </is>
      </c>
      <c r="D4593" t="inlineStr">
        <is>
          <t>CT-e</t>
        </is>
      </c>
      <c r="E4593" t="inlineStr">
        <is>
          <t>000000646</t>
        </is>
      </c>
      <c r="F4593" t="inlineStr">
        <is>
          <t>DURA MAIS TRANSPORTES LTDA</t>
        </is>
      </c>
      <c r="G4593" s="27" t="n">
        <v>46277</v>
      </c>
      <c r="H4593" s="14" t="n">
        <v>817.1</v>
      </c>
      <c r="I4593" s="14" t="n">
        <v>0</v>
      </c>
      <c r="J4593" s="14" t="n">
        <v>98.05</v>
      </c>
      <c r="K4593" s="14" t="n">
        <v>0</v>
      </c>
      <c r="L4593" s="14" t="n">
        <v>0</v>
      </c>
      <c r="M4593" s="14">
        <f>IF(B4593="Frete de venda",0,(1-ISNUMBER(SEARCH("556",P4593)))*(I4593*VLOOKUP($B4593,Premissas!$A$4:$E$7,2,0)+J4593*VLOOKUP($B4593,Premissas!$A$4:$E$7,3,0))+K4593*VLOOKUP($B4593,Premissas!$A$4:$E$7,4,0)+L4593*VLOOKUP($B4593,Premissas!$A$4:$E$7,5,0))</f>
        <v/>
      </c>
      <c r="N4593" s="14">
        <f>H4593-M4593</f>
        <v/>
      </c>
      <c r="O4593" t="inlineStr">
        <is>
          <t>Sim</t>
        </is>
      </c>
      <c r="P4593" t="inlineStr">
        <is>
          <t>2.350</t>
        </is>
      </c>
    </row>
    <row r="4594">
      <c r="A4594" s="24" t="n">
        <v>46266</v>
      </c>
      <c r="B4594" t="inlineStr">
        <is>
          <t>Frete de venda</t>
        </is>
      </c>
      <c r="C4594" t="inlineStr">
        <is>
          <t>Frete de venda (para clientes)</t>
        </is>
      </c>
      <c r="D4594" t="inlineStr">
        <is>
          <t>CT-e</t>
        </is>
      </c>
      <c r="E4594" t="inlineStr">
        <is>
          <t>000000477</t>
        </is>
      </c>
      <c r="F4594" t="inlineStr">
        <is>
          <t>DURA MAIS TRANSPORTES LTDA</t>
        </is>
      </c>
      <c r="G4594" s="27" t="n">
        <v>46266</v>
      </c>
      <c r="H4594" s="14" t="n">
        <v>1170</v>
      </c>
      <c r="I4594" s="14" t="n">
        <v>0</v>
      </c>
      <c r="J4594" s="14" t="n">
        <v>140.4</v>
      </c>
      <c r="K4594" s="14" t="n">
        <v>0</v>
      </c>
      <c r="L4594" s="14" t="n">
        <v>0</v>
      </c>
      <c r="M4594" s="14">
        <f>IF(B4594="Frete de venda",0,(1-ISNUMBER(SEARCH("556",P4594)))*(I4594*VLOOKUP($B4594,Premissas!$A$4:$E$7,2,0)+J4594*VLOOKUP($B4594,Premissas!$A$4:$E$7,3,0))+K4594*VLOOKUP($B4594,Premissas!$A$4:$E$7,4,0)+L4594*VLOOKUP($B4594,Premissas!$A$4:$E$7,5,0))</f>
        <v/>
      </c>
      <c r="N4594" s="14">
        <f>H4594-M4594</f>
        <v/>
      </c>
      <c r="O4594" t="inlineStr">
        <is>
          <t>Sim</t>
        </is>
      </c>
      <c r="P4594" t="inlineStr">
        <is>
          <t>2.350</t>
        </is>
      </c>
    </row>
    <row r="4595">
      <c r="A4595" s="24" t="n">
        <v>46266</v>
      </c>
      <c r="B4595" t="inlineStr">
        <is>
          <t>Frete de venda</t>
        </is>
      </c>
      <c r="C4595" t="inlineStr">
        <is>
          <t>Frete de venda (para clientes)</t>
        </is>
      </c>
      <c r="D4595" t="inlineStr">
        <is>
          <t>CT-e</t>
        </is>
      </c>
      <c r="E4595" t="inlineStr">
        <is>
          <t>000000473</t>
        </is>
      </c>
      <c r="F4595" t="inlineStr">
        <is>
          <t>DURA MAIS TRANSPORTES LTDA</t>
        </is>
      </c>
      <c r="G4595" s="27" t="n">
        <v>46266</v>
      </c>
      <c r="H4595" s="14" t="n">
        <v>1170</v>
      </c>
      <c r="I4595" s="14" t="n">
        <v>0</v>
      </c>
      <c r="J4595" s="14" t="n">
        <v>140.4</v>
      </c>
      <c r="K4595" s="14" t="n">
        <v>0</v>
      </c>
      <c r="L4595" s="14" t="n">
        <v>0</v>
      </c>
      <c r="M4595" s="14">
        <f>IF(B4595="Frete de venda",0,(1-ISNUMBER(SEARCH("556",P4595)))*(I4595*VLOOKUP($B4595,Premissas!$A$4:$E$7,2,0)+J4595*VLOOKUP($B4595,Premissas!$A$4:$E$7,3,0))+K4595*VLOOKUP($B4595,Premissas!$A$4:$E$7,4,0)+L4595*VLOOKUP($B4595,Premissas!$A$4:$E$7,5,0))</f>
        <v/>
      </c>
      <c r="N4595" s="14">
        <f>H4595-M4595</f>
        <v/>
      </c>
      <c r="O4595" t="inlineStr">
        <is>
          <t>Sim</t>
        </is>
      </c>
      <c r="P4595" t="inlineStr">
        <is>
          <t>2.350</t>
        </is>
      </c>
    </row>
    <row r="4596">
      <c r="A4596" s="24" t="n">
        <v>46266</v>
      </c>
      <c r="B4596" t="inlineStr">
        <is>
          <t>Frete de venda</t>
        </is>
      </c>
      <c r="C4596" t="inlineStr">
        <is>
          <t>Frete de venda (para clientes)</t>
        </is>
      </c>
      <c r="D4596" t="inlineStr">
        <is>
          <t>CT-e</t>
        </is>
      </c>
      <c r="E4596" t="inlineStr">
        <is>
          <t>000009783</t>
        </is>
      </c>
      <c r="F4596" t="inlineStr">
        <is>
          <t>BEM TRANSPORTES E LOGISTICA</t>
        </is>
      </c>
      <c r="G4596" s="27" t="n">
        <v>46267</v>
      </c>
      <c r="H4596" s="14" t="n">
        <v>388.42</v>
      </c>
      <c r="I4596" s="14" t="n">
        <v>0</v>
      </c>
      <c r="J4596" s="14" t="n">
        <v>0</v>
      </c>
      <c r="K4596" s="14" t="n">
        <v>0</v>
      </c>
      <c r="L4596" s="14" t="n">
        <v>0</v>
      </c>
      <c r="M4596" s="14">
        <f>IF(B4596="Frete de venda",0,(1-ISNUMBER(SEARCH("556",P4596)))*(I4596*VLOOKUP($B4596,Premissas!$A$4:$E$7,2,0)+J4596*VLOOKUP($B4596,Premissas!$A$4:$E$7,3,0))+K4596*VLOOKUP($B4596,Premissas!$A$4:$E$7,4,0)+L4596*VLOOKUP($B4596,Premissas!$A$4:$E$7,5,0))</f>
        <v/>
      </c>
      <c r="N4596" s="14">
        <f>H4596-M4596</f>
        <v/>
      </c>
      <c r="O4596" t="inlineStr">
        <is>
          <t>Sim</t>
        </is>
      </c>
      <c r="P4596" t="inlineStr">
        <is>
          <t>2.350</t>
        </is>
      </c>
    </row>
    <row r="4597">
      <c r="A4597" s="24" t="n">
        <v>46266</v>
      </c>
      <c r="B4597" t="inlineStr">
        <is>
          <t>Frete de venda</t>
        </is>
      </c>
      <c r="C4597" t="inlineStr">
        <is>
          <t>Frete de venda (para clientes)</t>
        </is>
      </c>
      <c r="D4597" t="inlineStr">
        <is>
          <t>CT-e</t>
        </is>
      </c>
      <c r="E4597" t="inlineStr">
        <is>
          <t>000000642</t>
        </is>
      </c>
      <c r="F4597" t="inlineStr">
        <is>
          <t>DURA MAIS TRANSPORTES LTDA</t>
        </is>
      </c>
      <c r="G4597" s="27" t="n">
        <v>46277</v>
      </c>
      <c r="H4597" s="14" t="n">
        <v>817.1</v>
      </c>
      <c r="I4597" s="14" t="n">
        <v>0</v>
      </c>
      <c r="J4597" s="14" t="n">
        <v>98.05</v>
      </c>
      <c r="K4597" s="14" t="n">
        <v>0</v>
      </c>
      <c r="L4597" s="14" t="n">
        <v>0</v>
      </c>
      <c r="M4597" s="14">
        <f>IF(B4597="Frete de venda",0,(1-ISNUMBER(SEARCH("556",P4597)))*(I4597*VLOOKUP($B4597,Premissas!$A$4:$E$7,2,0)+J4597*VLOOKUP($B4597,Premissas!$A$4:$E$7,3,0))+K4597*VLOOKUP($B4597,Premissas!$A$4:$E$7,4,0)+L4597*VLOOKUP($B4597,Premissas!$A$4:$E$7,5,0))</f>
        <v/>
      </c>
      <c r="N4597" s="14">
        <f>H4597-M4597</f>
        <v/>
      </c>
      <c r="O4597" t="inlineStr">
        <is>
          <t>Sim</t>
        </is>
      </c>
      <c r="P4597" t="inlineStr">
        <is>
          <t>2.350</t>
        </is>
      </c>
    </row>
    <row r="4598">
      <c r="A4598" s="24" t="n">
        <v>46266</v>
      </c>
      <c r="B4598" t="inlineStr">
        <is>
          <t>Frete de venda</t>
        </is>
      </c>
      <c r="C4598" t="inlineStr">
        <is>
          <t>Frete de venda (para clientes)</t>
        </is>
      </c>
      <c r="D4598" t="inlineStr">
        <is>
          <t>CT-e</t>
        </is>
      </c>
      <c r="E4598" t="inlineStr">
        <is>
          <t>000000499</t>
        </is>
      </c>
      <c r="F4598" t="inlineStr">
        <is>
          <t>DURA MAIS TRANSPORTES LTDA</t>
        </is>
      </c>
      <c r="G4598" s="27" t="n">
        <v>46267</v>
      </c>
      <c r="H4598" s="14" t="n">
        <v>817.1</v>
      </c>
      <c r="I4598" s="14" t="n">
        <v>0</v>
      </c>
      <c r="J4598" s="14" t="n">
        <v>98.05</v>
      </c>
      <c r="K4598" s="14" t="n">
        <v>0</v>
      </c>
      <c r="L4598" s="14" t="n">
        <v>0</v>
      </c>
      <c r="M4598" s="14">
        <f>IF(B4598="Frete de venda",0,(1-ISNUMBER(SEARCH("556",P4598)))*(I4598*VLOOKUP($B4598,Premissas!$A$4:$E$7,2,0)+J4598*VLOOKUP($B4598,Premissas!$A$4:$E$7,3,0))+K4598*VLOOKUP($B4598,Premissas!$A$4:$E$7,4,0)+L4598*VLOOKUP($B4598,Premissas!$A$4:$E$7,5,0))</f>
        <v/>
      </c>
      <c r="N4598" s="14">
        <f>H4598-M4598</f>
        <v/>
      </c>
      <c r="O4598" t="inlineStr">
        <is>
          <t>Sim</t>
        </is>
      </c>
      <c r="P4598" t="inlineStr">
        <is>
          <t>2.350</t>
        </is>
      </c>
    </row>
    <row r="4599">
      <c r="A4599" s="24" t="n">
        <v>46266</v>
      </c>
      <c r="B4599" t="inlineStr">
        <is>
          <t>Frete de venda</t>
        </is>
      </c>
      <c r="C4599" t="inlineStr">
        <is>
          <t>Frete de venda (para clientes)</t>
        </is>
      </c>
      <c r="D4599" t="inlineStr">
        <is>
          <t>CT-e</t>
        </is>
      </c>
      <c r="E4599" t="inlineStr">
        <is>
          <t>000000467</t>
        </is>
      </c>
      <c r="F4599" t="inlineStr">
        <is>
          <t>DURA MAIS TRANSPORTES LTDA</t>
        </is>
      </c>
      <c r="G4599" s="27" t="n">
        <v>46266</v>
      </c>
      <c r="H4599" s="14" t="n">
        <v>1170</v>
      </c>
      <c r="I4599" s="14" t="n">
        <v>0</v>
      </c>
      <c r="J4599" s="14" t="n">
        <v>140.4</v>
      </c>
      <c r="K4599" s="14" t="n">
        <v>0</v>
      </c>
      <c r="L4599" s="14" t="n">
        <v>0</v>
      </c>
      <c r="M4599" s="14">
        <f>IF(B4599="Frete de venda",0,(1-ISNUMBER(SEARCH("556",P4599)))*(I4599*VLOOKUP($B4599,Premissas!$A$4:$E$7,2,0)+J4599*VLOOKUP($B4599,Premissas!$A$4:$E$7,3,0))+K4599*VLOOKUP($B4599,Premissas!$A$4:$E$7,4,0)+L4599*VLOOKUP($B4599,Premissas!$A$4:$E$7,5,0))</f>
        <v/>
      </c>
      <c r="N4599" s="14">
        <f>H4599-M4599</f>
        <v/>
      </c>
      <c r="O4599" t="inlineStr">
        <is>
          <t>Sim</t>
        </is>
      </c>
      <c r="P4599" t="inlineStr">
        <is>
          <t>2.350</t>
        </is>
      </c>
    </row>
    <row r="4600">
      <c r="A4600" s="24" t="n">
        <v>46266</v>
      </c>
      <c r="B4600" t="inlineStr">
        <is>
          <t>Frete de venda</t>
        </is>
      </c>
      <c r="C4600" t="inlineStr">
        <is>
          <t>Frete de venda (para clientes)</t>
        </is>
      </c>
      <c r="D4600" t="inlineStr">
        <is>
          <t>CT-e</t>
        </is>
      </c>
      <c r="E4600" t="inlineStr">
        <is>
          <t>000000736</t>
        </is>
      </c>
      <c r="F4600" t="inlineStr">
        <is>
          <t>DURA MAIS TRANSPORTES LTDA</t>
        </is>
      </c>
      <c r="G4600" s="27" t="n">
        <v>46283</v>
      </c>
      <c r="H4600" s="14" t="n">
        <v>100</v>
      </c>
      <c r="I4600" s="14" t="n">
        <v>0</v>
      </c>
      <c r="J4600" s="14" t="n">
        <v>12</v>
      </c>
      <c r="K4600" s="14" t="n">
        <v>0</v>
      </c>
      <c r="L4600" s="14" t="n">
        <v>0</v>
      </c>
      <c r="M4600" s="14">
        <f>IF(B4600="Frete de venda",0,(1-ISNUMBER(SEARCH("556",P4600)))*(I4600*VLOOKUP($B4600,Premissas!$A$4:$E$7,2,0)+J4600*VLOOKUP($B4600,Premissas!$A$4:$E$7,3,0))+K4600*VLOOKUP($B4600,Premissas!$A$4:$E$7,4,0)+L4600*VLOOKUP($B4600,Premissas!$A$4:$E$7,5,0))</f>
        <v/>
      </c>
      <c r="N4600" s="14">
        <f>H4600-M4600</f>
        <v/>
      </c>
      <c r="O4600" t="inlineStr">
        <is>
          <t>Sim</t>
        </is>
      </c>
      <c r="P4600" t="inlineStr">
        <is>
          <t>2.350</t>
        </is>
      </c>
    </row>
    <row r="4601">
      <c r="A4601" s="24" t="n">
        <v>46266</v>
      </c>
      <c r="B4601" t="inlineStr">
        <is>
          <t>Frete de venda</t>
        </is>
      </c>
      <c r="C4601" t="inlineStr">
        <is>
          <t>Frete de venda (para clientes)</t>
        </is>
      </c>
      <c r="D4601" t="inlineStr">
        <is>
          <t>CT-e</t>
        </is>
      </c>
      <c r="E4601" t="inlineStr">
        <is>
          <t>000000847</t>
        </is>
      </c>
      <c r="F4601" t="inlineStr">
        <is>
          <t>DURA MAIS TRANSPORTES LTDA</t>
        </is>
      </c>
      <c r="G4601" s="27" t="n">
        <v>46288</v>
      </c>
      <c r="H4601" s="14" t="n">
        <v>900</v>
      </c>
      <c r="I4601" s="14" t="n">
        <v>0</v>
      </c>
      <c r="J4601" s="14" t="n">
        <v>108</v>
      </c>
      <c r="K4601" s="14" t="n">
        <v>0</v>
      </c>
      <c r="L4601" s="14" t="n">
        <v>0</v>
      </c>
      <c r="M4601" s="14">
        <f>IF(B4601="Frete de venda",0,(1-ISNUMBER(SEARCH("556",P4601)))*(I4601*VLOOKUP($B4601,Premissas!$A$4:$E$7,2,0)+J4601*VLOOKUP($B4601,Premissas!$A$4:$E$7,3,0))+K4601*VLOOKUP($B4601,Premissas!$A$4:$E$7,4,0)+L4601*VLOOKUP($B4601,Premissas!$A$4:$E$7,5,0))</f>
        <v/>
      </c>
      <c r="N4601" s="14">
        <f>H4601-M4601</f>
        <v/>
      </c>
      <c r="O4601" t="inlineStr">
        <is>
          <t>Sim</t>
        </is>
      </c>
      <c r="P4601" t="inlineStr">
        <is>
          <t>2.350</t>
        </is>
      </c>
    </row>
    <row r="4602">
      <c r="A4602" s="24" t="n">
        <v>46266</v>
      </c>
      <c r="B4602" t="inlineStr">
        <is>
          <t>Frete de venda</t>
        </is>
      </c>
      <c r="C4602" t="inlineStr">
        <is>
          <t>Frete de venda (para clientes)</t>
        </is>
      </c>
      <c r="D4602" t="inlineStr">
        <is>
          <t>CT-e</t>
        </is>
      </c>
      <c r="E4602" t="inlineStr">
        <is>
          <t>000000732</t>
        </is>
      </c>
      <c r="F4602" t="inlineStr">
        <is>
          <t>DURA MAIS TRANSPORTES LTDA</t>
        </is>
      </c>
      <c r="G4602" s="27" t="n">
        <v>46283</v>
      </c>
      <c r="H4602" s="14" t="n">
        <v>100</v>
      </c>
      <c r="I4602" s="14" t="n">
        <v>0</v>
      </c>
      <c r="J4602" s="14" t="n">
        <v>12</v>
      </c>
      <c r="K4602" s="14" t="n">
        <v>0</v>
      </c>
      <c r="L4602" s="14" t="n">
        <v>0</v>
      </c>
      <c r="M4602" s="14">
        <f>IF(B4602="Frete de venda",0,(1-ISNUMBER(SEARCH("556",P4602)))*(I4602*VLOOKUP($B4602,Premissas!$A$4:$E$7,2,0)+J4602*VLOOKUP($B4602,Premissas!$A$4:$E$7,3,0))+K4602*VLOOKUP($B4602,Premissas!$A$4:$E$7,4,0)+L4602*VLOOKUP($B4602,Premissas!$A$4:$E$7,5,0))</f>
        <v/>
      </c>
      <c r="N4602" s="14">
        <f>H4602-M4602</f>
        <v/>
      </c>
      <c r="O4602" t="inlineStr">
        <is>
          <t>Sim</t>
        </is>
      </c>
      <c r="P4602" t="inlineStr">
        <is>
          <t>2.350</t>
        </is>
      </c>
    </row>
    <row r="4603">
      <c r="A4603" s="24" t="n">
        <v>46266</v>
      </c>
      <c r="B4603" t="inlineStr">
        <is>
          <t>Frete de venda</t>
        </is>
      </c>
      <c r="C4603" t="inlineStr">
        <is>
          <t>Frete de venda (para clientes)</t>
        </is>
      </c>
      <c r="D4603" t="inlineStr">
        <is>
          <t>CT-e</t>
        </is>
      </c>
      <c r="E4603" t="inlineStr">
        <is>
          <t>000009782</t>
        </is>
      </c>
      <c r="F4603" t="inlineStr">
        <is>
          <t>BEM TRANSPORTES E LOGISTICA</t>
        </is>
      </c>
      <c r="G4603" s="27" t="n">
        <v>46267</v>
      </c>
      <c r="H4603" s="14" t="n">
        <v>541.6799999999999</v>
      </c>
      <c r="I4603" s="14" t="n">
        <v>0</v>
      </c>
      <c r="J4603" s="14" t="n">
        <v>0</v>
      </c>
      <c r="K4603" s="14" t="n">
        <v>0</v>
      </c>
      <c r="L4603" s="14" t="n">
        <v>0</v>
      </c>
      <c r="M4603" s="14">
        <f>IF(B4603="Frete de venda",0,(1-ISNUMBER(SEARCH("556",P4603)))*(I4603*VLOOKUP($B4603,Premissas!$A$4:$E$7,2,0)+J4603*VLOOKUP($B4603,Premissas!$A$4:$E$7,3,0))+K4603*VLOOKUP($B4603,Premissas!$A$4:$E$7,4,0)+L4603*VLOOKUP($B4603,Premissas!$A$4:$E$7,5,0))</f>
        <v/>
      </c>
      <c r="N4603" s="14">
        <f>H4603-M4603</f>
        <v/>
      </c>
      <c r="O4603" t="inlineStr">
        <is>
          <t>Sim</t>
        </is>
      </c>
      <c r="P4603" t="inlineStr">
        <is>
          <t>2.350</t>
        </is>
      </c>
    </row>
    <row r="4604">
      <c r="A4604" s="24" t="n">
        <v>46266</v>
      </c>
      <c r="B4604" t="inlineStr">
        <is>
          <t>Frete de venda</t>
        </is>
      </c>
      <c r="C4604" t="inlineStr">
        <is>
          <t>Frete de venda (para clientes)</t>
        </is>
      </c>
      <c r="D4604" t="inlineStr">
        <is>
          <t>CT-e</t>
        </is>
      </c>
      <c r="E4604" t="inlineStr">
        <is>
          <t>000000624</t>
        </is>
      </c>
      <c r="F4604" t="inlineStr">
        <is>
          <t>DURA MAIS TRANSPORTES LTDA</t>
        </is>
      </c>
      <c r="G4604" s="27" t="n">
        <v>46276</v>
      </c>
      <c r="H4604" s="14" t="n">
        <v>488.79</v>
      </c>
      <c r="I4604" s="14" t="n">
        <v>0</v>
      </c>
      <c r="J4604" s="14" t="n">
        <v>58.65</v>
      </c>
      <c r="K4604" s="14" t="n">
        <v>0</v>
      </c>
      <c r="L4604" s="14" t="n">
        <v>0</v>
      </c>
      <c r="M4604" s="14">
        <f>IF(B4604="Frete de venda",0,(1-ISNUMBER(SEARCH("556",P4604)))*(I4604*VLOOKUP($B4604,Premissas!$A$4:$E$7,2,0)+J4604*VLOOKUP($B4604,Premissas!$A$4:$E$7,3,0))+K4604*VLOOKUP($B4604,Premissas!$A$4:$E$7,4,0)+L4604*VLOOKUP($B4604,Premissas!$A$4:$E$7,5,0))</f>
        <v/>
      </c>
      <c r="N4604" s="14">
        <f>H4604-M4604</f>
        <v/>
      </c>
      <c r="O4604" t="inlineStr">
        <is>
          <t>Sim</t>
        </is>
      </c>
      <c r="P4604" t="inlineStr">
        <is>
          <t>2.350</t>
        </is>
      </c>
    </row>
    <row r="4605">
      <c r="A4605" s="24" t="n">
        <v>46266</v>
      </c>
      <c r="B4605" t="inlineStr">
        <is>
          <t>Frete de venda</t>
        </is>
      </c>
      <c r="C4605" t="inlineStr">
        <is>
          <t>Frete de venda (para clientes)</t>
        </is>
      </c>
      <c r="D4605" t="inlineStr">
        <is>
          <t>CT-e</t>
        </is>
      </c>
      <c r="E4605" t="inlineStr">
        <is>
          <t>000000497</t>
        </is>
      </c>
      <c r="F4605" t="inlineStr">
        <is>
          <t>DURA MAIS TRANSPORTES LTDA</t>
        </is>
      </c>
      <c r="G4605" s="27" t="n">
        <v>46267</v>
      </c>
      <c r="H4605" s="14" t="n">
        <v>817.1</v>
      </c>
      <c r="I4605" s="14" t="n">
        <v>0</v>
      </c>
      <c r="J4605" s="14" t="n">
        <v>98.05</v>
      </c>
      <c r="K4605" s="14" t="n">
        <v>0</v>
      </c>
      <c r="L4605" s="14" t="n">
        <v>0</v>
      </c>
      <c r="M4605" s="14">
        <f>IF(B4605="Frete de venda",0,(1-ISNUMBER(SEARCH("556",P4605)))*(I4605*VLOOKUP($B4605,Premissas!$A$4:$E$7,2,0)+J4605*VLOOKUP($B4605,Premissas!$A$4:$E$7,3,0))+K4605*VLOOKUP($B4605,Premissas!$A$4:$E$7,4,0)+L4605*VLOOKUP($B4605,Premissas!$A$4:$E$7,5,0))</f>
        <v/>
      </c>
      <c r="N4605" s="14">
        <f>H4605-M4605</f>
        <v/>
      </c>
      <c r="O4605" t="inlineStr">
        <is>
          <t>Sim</t>
        </is>
      </c>
      <c r="P4605" t="inlineStr">
        <is>
          <t>2.350</t>
        </is>
      </c>
    </row>
    <row r="4606">
      <c r="A4606" s="24" t="n">
        <v>46266</v>
      </c>
      <c r="B4606" t="inlineStr">
        <is>
          <t>Frete de venda</t>
        </is>
      </c>
      <c r="C4606" t="inlineStr">
        <is>
          <t>Frete de venda (para clientes)</t>
        </is>
      </c>
      <c r="D4606" t="inlineStr">
        <is>
          <t>CT-e</t>
        </is>
      </c>
      <c r="E4606" t="inlineStr">
        <is>
          <t>000000644</t>
        </is>
      </c>
      <c r="F4606" t="inlineStr">
        <is>
          <t>DURA MAIS TRANSPORTES LTDA</t>
        </is>
      </c>
      <c r="G4606" s="27" t="n">
        <v>46277</v>
      </c>
      <c r="H4606" s="14" t="n">
        <v>817.1</v>
      </c>
      <c r="I4606" s="14" t="n">
        <v>0</v>
      </c>
      <c r="J4606" s="14" t="n">
        <v>98.05</v>
      </c>
      <c r="K4606" s="14" t="n">
        <v>0</v>
      </c>
      <c r="L4606" s="14" t="n">
        <v>0</v>
      </c>
      <c r="M4606" s="14">
        <f>IF(B4606="Frete de venda",0,(1-ISNUMBER(SEARCH("556",P4606)))*(I4606*VLOOKUP($B4606,Premissas!$A$4:$E$7,2,0)+J4606*VLOOKUP($B4606,Premissas!$A$4:$E$7,3,0))+K4606*VLOOKUP($B4606,Premissas!$A$4:$E$7,4,0)+L4606*VLOOKUP($B4606,Premissas!$A$4:$E$7,5,0))</f>
        <v/>
      </c>
      <c r="N4606" s="14">
        <f>H4606-M4606</f>
        <v/>
      </c>
      <c r="O4606" t="inlineStr">
        <is>
          <t>Sim</t>
        </is>
      </c>
      <c r="P4606" t="inlineStr">
        <is>
          <t>2.350</t>
        </is>
      </c>
    </row>
    <row r="4607">
      <c r="A4607" s="24" t="n">
        <v>46266</v>
      </c>
      <c r="B4607" t="inlineStr">
        <is>
          <t>Frete de venda</t>
        </is>
      </c>
      <c r="C4607" t="inlineStr">
        <is>
          <t>Frete de venda (para clientes)</t>
        </is>
      </c>
      <c r="D4607" t="inlineStr">
        <is>
          <t>CT-e</t>
        </is>
      </c>
      <c r="E4607" t="inlineStr">
        <is>
          <t>000000608</t>
        </is>
      </c>
      <c r="F4607" t="inlineStr">
        <is>
          <t>DURA MAIS TRANSPORTES LTDA</t>
        </is>
      </c>
      <c r="G4607" s="27" t="n">
        <v>46275</v>
      </c>
      <c r="H4607" s="14" t="n">
        <v>977.67</v>
      </c>
      <c r="I4607" s="14" t="n">
        <v>0</v>
      </c>
      <c r="J4607" s="14" t="n">
        <v>117.32</v>
      </c>
      <c r="K4607" s="14" t="n">
        <v>0</v>
      </c>
      <c r="L4607" s="14" t="n">
        <v>0</v>
      </c>
      <c r="M4607" s="14">
        <f>IF(B4607="Frete de venda",0,(1-ISNUMBER(SEARCH("556",P4607)))*(I4607*VLOOKUP($B4607,Premissas!$A$4:$E$7,2,0)+J4607*VLOOKUP($B4607,Premissas!$A$4:$E$7,3,0))+K4607*VLOOKUP($B4607,Premissas!$A$4:$E$7,4,0)+L4607*VLOOKUP($B4607,Premissas!$A$4:$E$7,5,0))</f>
        <v/>
      </c>
      <c r="N4607" s="14">
        <f>H4607-M4607</f>
        <v/>
      </c>
      <c r="O4607" t="inlineStr">
        <is>
          <t>Sim</t>
        </is>
      </c>
      <c r="P4607" t="inlineStr">
        <is>
          <t>2.350</t>
        </is>
      </c>
    </row>
    <row r="4608">
      <c r="A4608" s="24" t="n">
        <v>46266</v>
      </c>
      <c r="B4608" t="inlineStr">
        <is>
          <t>Frete de venda</t>
        </is>
      </c>
      <c r="C4608" t="inlineStr">
        <is>
          <t>Frete de venda (para clientes)</t>
        </is>
      </c>
      <c r="D4608" t="inlineStr">
        <is>
          <t>CT-e</t>
        </is>
      </c>
      <c r="E4608" t="inlineStr">
        <is>
          <t>000000469</t>
        </is>
      </c>
      <c r="F4608" t="inlineStr">
        <is>
          <t>DURA MAIS TRANSPORTES LTDA</t>
        </is>
      </c>
      <c r="G4608" s="27" t="n">
        <v>46266</v>
      </c>
      <c r="H4608" s="14" t="n">
        <v>1170</v>
      </c>
      <c r="I4608" s="14" t="n">
        <v>0</v>
      </c>
      <c r="J4608" s="14" t="n">
        <v>140.4</v>
      </c>
      <c r="K4608" s="14" t="n">
        <v>0</v>
      </c>
      <c r="L4608" s="14" t="n">
        <v>0</v>
      </c>
      <c r="M4608" s="14">
        <f>IF(B4608="Frete de venda",0,(1-ISNUMBER(SEARCH("556",P4608)))*(I4608*VLOOKUP($B4608,Premissas!$A$4:$E$7,2,0)+J4608*VLOOKUP($B4608,Premissas!$A$4:$E$7,3,0))+K4608*VLOOKUP($B4608,Premissas!$A$4:$E$7,4,0)+L4608*VLOOKUP($B4608,Premissas!$A$4:$E$7,5,0))</f>
        <v/>
      </c>
      <c r="N4608" s="14">
        <f>H4608-M4608</f>
        <v/>
      </c>
      <c r="O4608" t="inlineStr">
        <is>
          <t>Sim</t>
        </is>
      </c>
      <c r="P4608" t="inlineStr">
        <is>
          <t>2.350</t>
        </is>
      </c>
    </row>
    <row r="4609">
      <c r="A4609" s="24" t="n">
        <v>46266</v>
      </c>
      <c r="B4609" t="inlineStr">
        <is>
          <t>Frete de venda</t>
        </is>
      </c>
      <c r="C4609" t="inlineStr">
        <is>
          <t>Frete de venda (para clientes)</t>
        </is>
      </c>
      <c r="D4609" t="inlineStr">
        <is>
          <t>CT-e</t>
        </is>
      </c>
      <c r="E4609" t="inlineStr">
        <is>
          <t>000000844</t>
        </is>
      </c>
      <c r="F4609" t="inlineStr">
        <is>
          <t>DURA MAIS TRANSPORTES LTDA</t>
        </is>
      </c>
      <c r="G4609" s="27" t="n">
        <v>46288</v>
      </c>
      <c r="H4609" s="14" t="n">
        <v>900</v>
      </c>
      <c r="I4609" s="14" t="n">
        <v>0</v>
      </c>
      <c r="J4609" s="14" t="n">
        <v>108</v>
      </c>
      <c r="K4609" s="14" t="n">
        <v>0</v>
      </c>
      <c r="L4609" s="14" t="n">
        <v>0</v>
      </c>
      <c r="M4609" s="14">
        <f>IF(B4609="Frete de venda",0,(1-ISNUMBER(SEARCH("556",P4609)))*(I4609*VLOOKUP($B4609,Premissas!$A$4:$E$7,2,0)+J4609*VLOOKUP($B4609,Premissas!$A$4:$E$7,3,0))+K4609*VLOOKUP($B4609,Premissas!$A$4:$E$7,4,0)+L4609*VLOOKUP($B4609,Premissas!$A$4:$E$7,5,0))</f>
        <v/>
      </c>
      <c r="N4609" s="14">
        <f>H4609-M4609</f>
        <v/>
      </c>
      <c r="O4609" t="inlineStr">
        <is>
          <t>Sim</t>
        </is>
      </c>
      <c r="P4609" t="inlineStr">
        <is>
          <t>2.350</t>
        </is>
      </c>
    </row>
    <row r="4610">
      <c r="A4610" s="24" t="n">
        <v>46266</v>
      </c>
      <c r="B4610" t="inlineStr">
        <is>
          <t>Frete de venda</t>
        </is>
      </c>
      <c r="C4610" t="inlineStr">
        <is>
          <t>Frete de venda (para clientes)</t>
        </is>
      </c>
      <c r="D4610" t="inlineStr">
        <is>
          <t>CT-e</t>
        </is>
      </c>
      <c r="E4610" t="inlineStr">
        <is>
          <t>000009781</t>
        </is>
      </c>
      <c r="F4610" t="inlineStr">
        <is>
          <t>BEM TRANSPORTES E LOGISTICA</t>
        </is>
      </c>
      <c r="G4610" s="27" t="n">
        <v>46267</v>
      </c>
      <c r="H4610" s="14" t="n">
        <v>707.36</v>
      </c>
      <c r="I4610" s="14" t="n">
        <v>0</v>
      </c>
      <c r="J4610" s="14" t="n">
        <v>0</v>
      </c>
      <c r="K4610" s="14" t="n">
        <v>0</v>
      </c>
      <c r="L4610" s="14" t="n">
        <v>0</v>
      </c>
      <c r="M4610" s="14">
        <f>IF(B4610="Frete de venda",0,(1-ISNUMBER(SEARCH("556",P4610)))*(I4610*VLOOKUP($B4610,Premissas!$A$4:$E$7,2,0)+J4610*VLOOKUP($B4610,Premissas!$A$4:$E$7,3,0))+K4610*VLOOKUP($B4610,Premissas!$A$4:$E$7,4,0)+L4610*VLOOKUP($B4610,Premissas!$A$4:$E$7,5,0))</f>
        <v/>
      </c>
      <c r="N4610" s="14">
        <f>H4610-M4610</f>
        <v/>
      </c>
      <c r="O4610" t="inlineStr">
        <is>
          <t>Sim</t>
        </is>
      </c>
      <c r="P4610" t="inlineStr">
        <is>
          <t>2.350</t>
        </is>
      </c>
    </row>
    <row r="4611">
      <c r="A4611" s="24" t="n">
        <v>46266</v>
      </c>
      <c r="B4611" t="inlineStr">
        <is>
          <t>Frete de venda</t>
        </is>
      </c>
      <c r="C4611" t="inlineStr">
        <is>
          <t>Frete de venda (para clientes)</t>
        </is>
      </c>
      <c r="D4611" t="inlineStr">
        <is>
          <t>CT-e</t>
        </is>
      </c>
      <c r="E4611" t="inlineStr">
        <is>
          <t>000000637</t>
        </is>
      </c>
      <c r="F4611" t="inlineStr">
        <is>
          <t>DURA MAIS TRANSPORTES LTDA</t>
        </is>
      </c>
      <c r="G4611" s="27" t="n">
        <v>46277</v>
      </c>
      <c r="H4611" s="14" t="n">
        <v>817.1</v>
      </c>
      <c r="I4611" s="14" t="n">
        <v>0</v>
      </c>
      <c r="J4611" s="14" t="n">
        <v>98.05</v>
      </c>
      <c r="K4611" s="14" t="n">
        <v>0</v>
      </c>
      <c r="L4611" s="14" t="n">
        <v>0</v>
      </c>
      <c r="M4611" s="14">
        <f>IF(B4611="Frete de venda",0,(1-ISNUMBER(SEARCH("556",P4611)))*(I4611*VLOOKUP($B4611,Premissas!$A$4:$E$7,2,0)+J4611*VLOOKUP($B4611,Premissas!$A$4:$E$7,3,0))+K4611*VLOOKUP($B4611,Premissas!$A$4:$E$7,4,0)+L4611*VLOOKUP($B4611,Premissas!$A$4:$E$7,5,0))</f>
        <v/>
      </c>
      <c r="N4611" s="14">
        <f>H4611-M4611</f>
        <v/>
      </c>
      <c r="O4611" t="inlineStr">
        <is>
          <t>Sim</t>
        </is>
      </c>
      <c r="P4611" t="inlineStr">
        <is>
          <t>2.350</t>
        </is>
      </c>
    </row>
    <row r="4612">
      <c r="A4612" s="24" t="n">
        <v>46266</v>
      </c>
      <c r="B4612" t="inlineStr">
        <is>
          <t>Frete de venda</t>
        </is>
      </c>
      <c r="C4612" t="inlineStr">
        <is>
          <t>Frete de venda (para clientes)</t>
        </is>
      </c>
      <c r="D4612" t="inlineStr">
        <is>
          <t>CT-e</t>
        </is>
      </c>
      <c r="E4612" t="inlineStr">
        <is>
          <t>000000611</t>
        </is>
      </c>
      <c r="F4612" t="inlineStr">
        <is>
          <t>DURA MAIS TRANSPORTES LTDA</t>
        </is>
      </c>
      <c r="G4612" s="27" t="n">
        <v>46275</v>
      </c>
      <c r="H4612" s="14" t="n">
        <v>977.58</v>
      </c>
      <c r="I4612" s="14" t="n">
        <v>0</v>
      </c>
      <c r="J4612" s="14" t="n">
        <v>117.31</v>
      </c>
      <c r="K4612" s="14" t="n">
        <v>0</v>
      </c>
      <c r="L4612" s="14" t="n">
        <v>0</v>
      </c>
      <c r="M4612" s="14">
        <f>IF(B4612="Frete de venda",0,(1-ISNUMBER(SEARCH("556",P4612)))*(I4612*VLOOKUP($B4612,Premissas!$A$4:$E$7,2,0)+J4612*VLOOKUP($B4612,Premissas!$A$4:$E$7,3,0))+K4612*VLOOKUP($B4612,Premissas!$A$4:$E$7,4,0)+L4612*VLOOKUP($B4612,Premissas!$A$4:$E$7,5,0))</f>
        <v/>
      </c>
      <c r="N4612" s="14">
        <f>H4612-M4612</f>
        <v/>
      </c>
      <c r="O4612" t="inlineStr">
        <is>
          <t>Sim</t>
        </is>
      </c>
      <c r="P4612" t="inlineStr">
        <is>
          <t>2.350</t>
        </is>
      </c>
    </row>
    <row r="4613">
      <c r="A4613" s="24" t="n">
        <v>46266</v>
      </c>
      <c r="B4613" t="inlineStr">
        <is>
          <t>Frete de venda</t>
        </is>
      </c>
      <c r="C4613" t="inlineStr">
        <is>
          <t>Frete de venda (para clientes)</t>
        </is>
      </c>
      <c r="D4613" t="inlineStr">
        <is>
          <t>CT-e</t>
        </is>
      </c>
      <c r="E4613" t="inlineStr">
        <is>
          <t>000000809</t>
        </is>
      </c>
      <c r="F4613" t="inlineStr">
        <is>
          <t>DURA MAIS TRANSPORTES LTDA</t>
        </is>
      </c>
      <c r="G4613" s="27" t="n">
        <v>46288</v>
      </c>
      <c r="H4613" s="14" t="n">
        <v>1272.86</v>
      </c>
      <c r="I4613" s="14" t="n">
        <v>0</v>
      </c>
      <c r="J4613" s="14" t="n">
        <v>152.74</v>
      </c>
      <c r="K4613" s="14" t="n">
        <v>0</v>
      </c>
      <c r="L4613" s="14" t="n">
        <v>0</v>
      </c>
      <c r="M4613" s="14">
        <f>IF(B4613="Frete de venda",0,(1-ISNUMBER(SEARCH("556",P4613)))*(I4613*VLOOKUP($B4613,Premissas!$A$4:$E$7,2,0)+J4613*VLOOKUP($B4613,Premissas!$A$4:$E$7,3,0))+K4613*VLOOKUP($B4613,Premissas!$A$4:$E$7,4,0)+L4613*VLOOKUP($B4613,Premissas!$A$4:$E$7,5,0))</f>
        <v/>
      </c>
      <c r="N4613" s="14">
        <f>H4613-M4613</f>
        <v/>
      </c>
      <c r="O4613" t="inlineStr">
        <is>
          <t>Sim</t>
        </is>
      </c>
      <c r="P4613" t="inlineStr">
        <is>
          <t>2.350</t>
        </is>
      </c>
    </row>
    <row r="4614">
      <c r="A4614" s="24" t="n">
        <v>46266</v>
      </c>
      <c r="B4614" t="inlineStr">
        <is>
          <t>Frete de venda</t>
        </is>
      </c>
      <c r="C4614" t="inlineStr">
        <is>
          <t>Frete de venda (para clientes)</t>
        </is>
      </c>
      <c r="D4614" t="inlineStr">
        <is>
          <t>CT-e</t>
        </is>
      </c>
      <c r="E4614" t="inlineStr">
        <is>
          <t>000000640</t>
        </is>
      </c>
      <c r="F4614" t="inlineStr">
        <is>
          <t>DURA MAIS TRANSPORTES LTDA</t>
        </is>
      </c>
      <c r="G4614" s="27" t="n">
        <v>46277</v>
      </c>
      <c r="H4614" s="14" t="n">
        <v>817.1</v>
      </c>
      <c r="I4614" s="14" t="n">
        <v>0</v>
      </c>
      <c r="J4614" s="14" t="n">
        <v>98.05</v>
      </c>
      <c r="K4614" s="14" t="n">
        <v>0</v>
      </c>
      <c r="L4614" s="14" t="n">
        <v>0</v>
      </c>
      <c r="M4614" s="14">
        <f>IF(B4614="Frete de venda",0,(1-ISNUMBER(SEARCH("556",P4614)))*(I4614*VLOOKUP($B4614,Premissas!$A$4:$E$7,2,0)+J4614*VLOOKUP($B4614,Premissas!$A$4:$E$7,3,0))+K4614*VLOOKUP($B4614,Premissas!$A$4:$E$7,4,0)+L4614*VLOOKUP($B4614,Premissas!$A$4:$E$7,5,0))</f>
        <v/>
      </c>
      <c r="N4614" s="14">
        <f>H4614-M4614</f>
        <v/>
      </c>
      <c r="O4614" t="inlineStr">
        <is>
          <t>Sim</t>
        </is>
      </c>
      <c r="P4614" t="inlineStr">
        <is>
          <t>2.350</t>
        </is>
      </c>
    </row>
    <row r="4615">
      <c r="A4615" s="24" t="n">
        <v>46266</v>
      </c>
      <c r="B4615" t="inlineStr">
        <is>
          <t>Frete de venda</t>
        </is>
      </c>
      <c r="C4615" t="inlineStr">
        <is>
          <t>Frete de venda (para clientes)</t>
        </is>
      </c>
      <c r="D4615" t="inlineStr">
        <is>
          <t>CT-e</t>
        </is>
      </c>
      <c r="E4615" t="inlineStr">
        <is>
          <t>000000850</t>
        </is>
      </c>
      <c r="F4615" t="inlineStr">
        <is>
          <t>DURA MAIS TRANSPORTES LTDA</t>
        </is>
      </c>
      <c r="G4615" s="27" t="n">
        <v>46289</v>
      </c>
      <c r="H4615" s="14" t="n">
        <v>675</v>
      </c>
      <c r="I4615" s="14" t="n">
        <v>0</v>
      </c>
      <c r="J4615" s="14" t="n">
        <v>81</v>
      </c>
      <c r="K4615" s="14" t="n">
        <v>0</v>
      </c>
      <c r="L4615" s="14" t="n">
        <v>0</v>
      </c>
      <c r="M4615" s="14">
        <f>IF(B4615="Frete de venda",0,(1-ISNUMBER(SEARCH("556",P4615)))*(I4615*VLOOKUP($B4615,Premissas!$A$4:$E$7,2,0)+J4615*VLOOKUP($B4615,Premissas!$A$4:$E$7,3,0))+K4615*VLOOKUP($B4615,Premissas!$A$4:$E$7,4,0)+L4615*VLOOKUP($B4615,Premissas!$A$4:$E$7,5,0))</f>
        <v/>
      </c>
      <c r="N4615" s="14">
        <f>H4615-M4615</f>
        <v/>
      </c>
      <c r="O4615" t="inlineStr">
        <is>
          <t>Sim</t>
        </is>
      </c>
      <c r="P4615" t="inlineStr">
        <is>
          <t>2.350</t>
        </is>
      </c>
    </row>
    <row r="4616">
      <c r="A4616" s="24" t="n">
        <v>46266</v>
      </c>
      <c r="B4616" t="inlineStr">
        <is>
          <t>Frete de venda</t>
        </is>
      </c>
      <c r="C4616" t="inlineStr">
        <is>
          <t>Frete de venda (para clientes)</t>
        </is>
      </c>
      <c r="D4616" t="inlineStr">
        <is>
          <t>CT-e</t>
        </is>
      </c>
      <c r="E4616" t="inlineStr">
        <is>
          <t>000000583</t>
        </is>
      </c>
      <c r="F4616" t="inlineStr">
        <is>
          <t>DURA MAIS TRANSPORTES LTDA</t>
        </is>
      </c>
      <c r="G4616" s="27" t="n">
        <v>46275</v>
      </c>
      <c r="H4616" s="14" t="n">
        <v>945</v>
      </c>
      <c r="I4616" s="14" t="n">
        <v>0</v>
      </c>
      <c r="J4616" s="14" t="n">
        <v>113.4</v>
      </c>
      <c r="K4616" s="14" t="n">
        <v>0</v>
      </c>
      <c r="L4616" s="14" t="n">
        <v>0</v>
      </c>
      <c r="M4616" s="14">
        <f>IF(B4616="Frete de venda",0,(1-ISNUMBER(SEARCH("556",P4616)))*(I4616*VLOOKUP($B4616,Premissas!$A$4:$E$7,2,0)+J4616*VLOOKUP($B4616,Premissas!$A$4:$E$7,3,0))+K4616*VLOOKUP($B4616,Premissas!$A$4:$E$7,4,0)+L4616*VLOOKUP($B4616,Premissas!$A$4:$E$7,5,0))</f>
        <v/>
      </c>
      <c r="N4616" s="14">
        <f>H4616-M4616</f>
        <v/>
      </c>
      <c r="O4616" t="inlineStr">
        <is>
          <t>Sim</t>
        </is>
      </c>
      <c r="P4616" t="inlineStr">
        <is>
          <t>2.350</t>
        </is>
      </c>
    </row>
    <row r="4617">
      <c r="A4617" s="24" t="n">
        <v>46266</v>
      </c>
      <c r="B4617" t="inlineStr">
        <is>
          <t>Frete de venda</t>
        </is>
      </c>
      <c r="C4617" t="inlineStr">
        <is>
          <t>Frete de venda (para clientes)</t>
        </is>
      </c>
      <c r="D4617" t="inlineStr">
        <is>
          <t>CT-e</t>
        </is>
      </c>
      <c r="E4617" t="inlineStr">
        <is>
          <t>000000459</t>
        </is>
      </c>
      <c r="F4617" t="inlineStr">
        <is>
          <t>DURA MAIS TRANSPORTES LTDA</t>
        </is>
      </c>
      <c r="G4617" s="27" t="n">
        <v>46266</v>
      </c>
      <c r="H4617" s="14" t="n">
        <v>14175</v>
      </c>
      <c r="I4617" s="14" t="n">
        <v>0</v>
      </c>
      <c r="J4617" s="14" t="n">
        <v>1701</v>
      </c>
      <c r="K4617" s="14" t="n">
        <v>0</v>
      </c>
      <c r="L4617" s="14" t="n">
        <v>0</v>
      </c>
      <c r="M4617" s="14">
        <f>IF(B4617="Frete de venda",0,(1-ISNUMBER(SEARCH("556",P4617)))*(I4617*VLOOKUP($B4617,Premissas!$A$4:$E$7,2,0)+J4617*VLOOKUP($B4617,Premissas!$A$4:$E$7,3,0))+K4617*VLOOKUP($B4617,Premissas!$A$4:$E$7,4,0)+L4617*VLOOKUP($B4617,Premissas!$A$4:$E$7,5,0))</f>
        <v/>
      </c>
      <c r="N4617" s="14">
        <f>H4617-M4617</f>
        <v/>
      </c>
      <c r="O4617" t="inlineStr">
        <is>
          <t>Sim</t>
        </is>
      </c>
      <c r="P4617" t="inlineStr">
        <is>
          <t>2.350</t>
        </is>
      </c>
    </row>
    <row r="4618">
      <c r="A4618" s="24" t="n">
        <v>46266</v>
      </c>
      <c r="B4618" t="inlineStr">
        <is>
          <t>Frete de venda</t>
        </is>
      </c>
      <c r="C4618" t="inlineStr">
        <is>
          <t>Frete de venda (para clientes)</t>
        </is>
      </c>
      <c r="D4618" t="inlineStr">
        <is>
          <t>CT-e</t>
        </is>
      </c>
      <c r="E4618" t="inlineStr">
        <is>
          <t>000000706</t>
        </is>
      </c>
      <c r="F4618" t="inlineStr">
        <is>
          <t>DURA MAIS TRANSPORTES LTDA</t>
        </is>
      </c>
      <c r="G4618" s="27" t="n">
        <v>46283</v>
      </c>
      <c r="H4618" s="14" t="n">
        <v>14175</v>
      </c>
      <c r="I4618" s="14" t="n">
        <v>0</v>
      </c>
      <c r="J4618" s="14" t="n">
        <v>1701</v>
      </c>
      <c r="K4618" s="14" t="n">
        <v>0</v>
      </c>
      <c r="L4618" s="14" t="n">
        <v>0</v>
      </c>
      <c r="M4618" s="14">
        <f>IF(B4618="Frete de venda",0,(1-ISNUMBER(SEARCH("556",P4618)))*(I4618*VLOOKUP($B4618,Premissas!$A$4:$E$7,2,0)+J4618*VLOOKUP($B4618,Premissas!$A$4:$E$7,3,0))+K4618*VLOOKUP($B4618,Premissas!$A$4:$E$7,4,0)+L4618*VLOOKUP($B4618,Premissas!$A$4:$E$7,5,0))</f>
        <v/>
      </c>
      <c r="N4618" s="14">
        <f>H4618-M4618</f>
        <v/>
      </c>
      <c r="O4618" t="inlineStr">
        <is>
          <t>Sim</t>
        </is>
      </c>
      <c r="P4618" t="inlineStr">
        <is>
          <t>2.350</t>
        </is>
      </c>
    </row>
    <row r="4619">
      <c r="A4619" s="24" t="n">
        <v>46266</v>
      </c>
      <c r="B4619" t="inlineStr">
        <is>
          <t>Frete de venda</t>
        </is>
      </c>
      <c r="C4619" t="inlineStr">
        <is>
          <t>Frete de venda (para clientes)</t>
        </is>
      </c>
      <c r="D4619" t="inlineStr">
        <is>
          <t>CT-e</t>
        </is>
      </c>
      <c r="E4619" t="inlineStr">
        <is>
          <t>000000759</t>
        </is>
      </c>
      <c r="F4619" t="inlineStr">
        <is>
          <t>DURA MAIS TRANSPORTES LTDA</t>
        </is>
      </c>
      <c r="G4619" s="27" t="n">
        <v>46286</v>
      </c>
      <c r="H4619" s="14" t="n">
        <v>14175</v>
      </c>
      <c r="I4619" s="14" t="n">
        <v>0</v>
      </c>
      <c r="J4619" s="14" t="n">
        <v>1701</v>
      </c>
      <c r="K4619" s="14" t="n">
        <v>0</v>
      </c>
      <c r="L4619" s="14" t="n">
        <v>0</v>
      </c>
      <c r="M4619" s="14">
        <f>IF(B4619="Frete de venda",0,(1-ISNUMBER(SEARCH("556",P4619)))*(I4619*VLOOKUP($B4619,Premissas!$A$4:$E$7,2,0)+J4619*VLOOKUP($B4619,Premissas!$A$4:$E$7,3,0))+K4619*VLOOKUP($B4619,Premissas!$A$4:$E$7,4,0)+L4619*VLOOKUP($B4619,Premissas!$A$4:$E$7,5,0))</f>
        <v/>
      </c>
      <c r="N4619" s="14">
        <f>H4619-M4619</f>
        <v/>
      </c>
      <c r="O4619" t="inlineStr">
        <is>
          <t>Sim</t>
        </is>
      </c>
      <c r="P4619" t="inlineStr">
        <is>
          <t>2.350</t>
        </is>
      </c>
    </row>
    <row r="4620">
      <c r="A4620" s="24" t="n">
        <v>46266</v>
      </c>
      <c r="B4620" t="inlineStr">
        <is>
          <t>Frete de venda</t>
        </is>
      </c>
      <c r="C4620" t="inlineStr">
        <is>
          <t>Frete de venda (para clientes)</t>
        </is>
      </c>
      <c r="D4620" t="inlineStr">
        <is>
          <t>CT-e</t>
        </is>
      </c>
      <c r="E4620" t="inlineStr">
        <is>
          <t>000000811</t>
        </is>
      </c>
      <c r="F4620" t="inlineStr">
        <is>
          <t>DURA MAIS TRANSPORTES LTDA</t>
        </is>
      </c>
      <c r="G4620" s="27" t="n">
        <v>46288</v>
      </c>
      <c r="H4620" s="14" t="n">
        <v>1272.86</v>
      </c>
      <c r="I4620" s="14" t="n">
        <v>0</v>
      </c>
      <c r="J4620" s="14" t="n">
        <v>152.74</v>
      </c>
      <c r="K4620" s="14" t="n">
        <v>0</v>
      </c>
      <c r="L4620" s="14" t="n">
        <v>0</v>
      </c>
      <c r="M4620" s="14">
        <f>IF(B4620="Frete de venda",0,(1-ISNUMBER(SEARCH("556",P4620)))*(I4620*VLOOKUP($B4620,Premissas!$A$4:$E$7,2,0)+J4620*VLOOKUP($B4620,Premissas!$A$4:$E$7,3,0))+K4620*VLOOKUP($B4620,Premissas!$A$4:$E$7,4,0)+L4620*VLOOKUP($B4620,Premissas!$A$4:$E$7,5,0))</f>
        <v/>
      </c>
      <c r="N4620" s="14">
        <f>H4620-M4620</f>
        <v/>
      </c>
      <c r="O4620" t="inlineStr">
        <is>
          <t>Sim</t>
        </is>
      </c>
      <c r="P4620" t="inlineStr">
        <is>
          <t>2.350</t>
        </is>
      </c>
    </row>
    <row r="4621">
      <c r="A4621" s="24" t="n">
        <v>46266</v>
      </c>
      <c r="B4621" t="inlineStr">
        <is>
          <t>Frete de venda</t>
        </is>
      </c>
      <c r="C4621" t="inlineStr">
        <is>
          <t>Frete de venda (para clientes)</t>
        </is>
      </c>
      <c r="D4621" t="inlineStr">
        <is>
          <t>CT-e</t>
        </is>
      </c>
      <c r="E4621" t="inlineStr">
        <is>
          <t>000000645</t>
        </is>
      </c>
      <c r="F4621" t="inlineStr">
        <is>
          <t>DURA MAIS TRANSPORTES LTDA</t>
        </is>
      </c>
      <c r="G4621" s="27" t="n">
        <v>46277</v>
      </c>
      <c r="H4621" s="14" t="n">
        <v>817.1</v>
      </c>
      <c r="I4621" s="14" t="n">
        <v>0</v>
      </c>
      <c r="J4621" s="14" t="n">
        <v>98.05</v>
      </c>
      <c r="K4621" s="14" t="n">
        <v>0</v>
      </c>
      <c r="L4621" s="14" t="n">
        <v>0</v>
      </c>
      <c r="M4621" s="14">
        <f>IF(B4621="Frete de venda",0,(1-ISNUMBER(SEARCH("556",P4621)))*(I4621*VLOOKUP($B4621,Premissas!$A$4:$E$7,2,0)+J4621*VLOOKUP($B4621,Premissas!$A$4:$E$7,3,0))+K4621*VLOOKUP($B4621,Premissas!$A$4:$E$7,4,0)+L4621*VLOOKUP($B4621,Premissas!$A$4:$E$7,5,0))</f>
        <v/>
      </c>
      <c r="N4621" s="14">
        <f>H4621-M4621</f>
        <v/>
      </c>
      <c r="O4621" t="inlineStr">
        <is>
          <t>Sim</t>
        </is>
      </c>
      <c r="P4621" t="inlineStr">
        <is>
          <t>2.350</t>
        </is>
      </c>
    </row>
    <row r="4622">
      <c r="A4622" s="24" t="n">
        <v>46266</v>
      </c>
      <c r="B4622" t="inlineStr">
        <is>
          <t>Frete de venda</t>
        </is>
      </c>
      <c r="C4622" t="inlineStr">
        <is>
          <t>Frete de venda (para clientes)</t>
        </is>
      </c>
      <c r="D4622" t="inlineStr">
        <is>
          <t>CT-e</t>
        </is>
      </c>
      <c r="E4622" t="inlineStr">
        <is>
          <t>000000586</t>
        </is>
      </c>
      <c r="F4622" t="inlineStr">
        <is>
          <t>DURA MAIS TRANSPORTES LTDA</t>
        </is>
      </c>
      <c r="G4622" s="27" t="n">
        <v>46275</v>
      </c>
      <c r="H4622" s="14" t="n">
        <v>945</v>
      </c>
      <c r="I4622" s="14" t="n">
        <v>0</v>
      </c>
      <c r="J4622" s="14" t="n">
        <v>113.4</v>
      </c>
      <c r="K4622" s="14" t="n">
        <v>0</v>
      </c>
      <c r="L4622" s="14" t="n">
        <v>0</v>
      </c>
      <c r="M4622" s="14">
        <f>IF(B4622="Frete de venda",0,(1-ISNUMBER(SEARCH("556",P4622)))*(I4622*VLOOKUP($B4622,Premissas!$A$4:$E$7,2,0)+J4622*VLOOKUP($B4622,Premissas!$A$4:$E$7,3,0))+K4622*VLOOKUP($B4622,Premissas!$A$4:$E$7,4,0)+L4622*VLOOKUP($B4622,Premissas!$A$4:$E$7,5,0))</f>
        <v/>
      </c>
      <c r="N4622" s="14">
        <f>H4622-M4622</f>
        <v/>
      </c>
      <c r="O4622" t="inlineStr">
        <is>
          <t>Sim</t>
        </is>
      </c>
      <c r="P4622" t="inlineStr">
        <is>
          <t>2.350</t>
        </is>
      </c>
    </row>
    <row r="4623">
      <c r="A4623" s="24" t="n">
        <v>46266</v>
      </c>
      <c r="B4623" t="inlineStr">
        <is>
          <t>Frete de venda</t>
        </is>
      </c>
      <c r="C4623" t="inlineStr">
        <is>
          <t>Frete de venda (para clientes)</t>
        </is>
      </c>
      <c r="D4623" t="inlineStr">
        <is>
          <t>CT-e</t>
        </is>
      </c>
      <c r="E4623" t="inlineStr">
        <is>
          <t>000000496</t>
        </is>
      </c>
      <c r="F4623" t="inlineStr">
        <is>
          <t>DURA MAIS TRANSPORTES LTDA</t>
        </is>
      </c>
      <c r="G4623" s="27" t="n">
        <v>46267</v>
      </c>
      <c r="H4623" s="14" t="n">
        <v>817.1</v>
      </c>
      <c r="I4623" s="14" t="n">
        <v>0</v>
      </c>
      <c r="J4623" s="14" t="n">
        <v>98.05</v>
      </c>
      <c r="K4623" s="14" t="n">
        <v>0</v>
      </c>
      <c r="L4623" s="14" t="n">
        <v>0</v>
      </c>
      <c r="M4623" s="14">
        <f>IF(B4623="Frete de venda",0,(1-ISNUMBER(SEARCH("556",P4623)))*(I4623*VLOOKUP($B4623,Premissas!$A$4:$E$7,2,0)+J4623*VLOOKUP($B4623,Premissas!$A$4:$E$7,3,0))+K4623*VLOOKUP($B4623,Premissas!$A$4:$E$7,4,0)+L4623*VLOOKUP($B4623,Premissas!$A$4:$E$7,5,0))</f>
        <v/>
      </c>
      <c r="N4623" s="14">
        <f>H4623-M4623</f>
        <v/>
      </c>
      <c r="O4623" t="inlineStr">
        <is>
          <t>Sim</t>
        </is>
      </c>
      <c r="P4623" t="inlineStr">
        <is>
          <t>2.350</t>
        </is>
      </c>
    </row>
    <row r="4624">
      <c r="A4624" s="24" t="n">
        <v>46266</v>
      </c>
      <c r="B4624" t="inlineStr">
        <is>
          <t>Frete de venda</t>
        </is>
      </c>
      <c r="C4624" t="inlineStr">
        <is>
          <t>Frete de venda (para clientes)</t>
        </is>
      </c>
      <c r="D4624" t="inlineStr">
        <is>
          <t>CT-e</t>
        </is>
      </c>
      <c r="E4624" t="inlineStr">
        <is>
          <t>000000625</t>
        </is>
      </c>
      <c r="F4624" t="inlineStr">
        <is>
          <t>DURA MAIS TRANSPORTES LTDA</t>
        </is>
      </c>
      <c r="G4624" s="27" t="n">
        <v>46276</v>
      </c>
      <c r="H4624" s="14" t="n">
        <v>488.79</v>
      </c>
      <c r="I4624" s="14" t="n">
        <v>0</v>
      </c>
      <c r="J4624" s="14" t="n">
        <v>58.65</v>
      </c>
      <c r="K4624" s="14" t="n">
        <v>0</v>
      </c>
      <c r="L4624" s="14" t="n">
        <v>0</v>
      </c>
      <c r="M4624" s="14">
        <f>IF(B4624="Frete de venda",0,(1-ISNUMBER(SEARCH("556",P4624)))*(I4624*VLOOKUP($B4624,Premissas!$A$4:$E$7,2,0)+J4624*VLOOKUP($B4624,Premissas!$A$4:$E$7,3,0))+K4624*VLOOKUP($B4624,Premissas!$A$4:$E$7,4,0)+L4624*VLOOKUP($B4624,Premissas!$A$4:$E$7,5,0))</f>
        <v/>
      </c>
      <c r="N4624" s="14">
        <f>H4624-M4624</f>
        <v/>
      </c>
      <c r="O4624" t="inlineStr">
        <is>
          <t>Sim</t>
        </is>
      </c>
      <c r="P4624" t="inlineStr">
        <is>
          <t>2.350</t>
        </is>
      </c>
    </row>
    <row r="4625">
      <c r="A4625" s="24" t="n">
        <v>46266</v>
      </c>
      <c r="B4625" t="inlineStr">
        <is>
          <t>Frete de venda</t>
        </is>
      </c>
      <c r="C4625" t="inlineStr">
        <is>
          <t>Frete de venda (para clientes)</t>
        </is>
      </c>
      <c r="D4625" t="inlineStr">
        <is>
          <t>CT-e</t>
        </is>
      </c>
      <c r="E4625" t="inlineStr">
        <is>
          <t>000000734</t>
        </is>
      </c>
      <c r="F4625" t="inlineStr">
        <is>
          <t>DURA MAIS TRANSPORTES LTDA</t>
        </is>
      </c>
      <c r="G4625" s="27" t="n">
        <v>46283</v>
      </c>
      <c r="H4625" s="14" t="n">
        <v>100</v>
      </c>
      <c r="I4625" s="14" t="n">
        <v>0</v>
      </c>
      <c r="J4625" s="14" t="n">
        <v>12</v>
      </c>
      <c r="K4625" s="14" t="n">
        <v>0</v>
      </c>
      <c r="L4625" s="14" t="n">
        <v>0</v>
      </c>
      <c r="M4625" s="14">
        <f>IF(B4625="Frete de venda",0,(1-ISNUMBER(SEARCH("556",P4625)))*(I4625*VLOOKUP($B4625,Premissas!$A$4:$E$7,2,0)+J4625*VLOOKUP($B4625,Premissas!$A$4:$E$7,3,0))+K4625*VLOOKUP($B4625,Premissas!$A$4:$E$7,4,0)+L4625*VLOOKUP($B4625,Premissas!$A$4:$E$7,5,0))</f>
        <v/>
      </c>
      <c r="N4625" s="14">
        <f>H4625-M4625</f>
        <v/>
      </c>
      <c r="O4625" t="inlineStr">
        <is>
          <t>Sim</t>
        </is>
      </c>
      <c r="P4625" t="inlineStr">
        <is>
          <t>2.350</t>
        </is>
      </c>
    </row>
    <row r="4626">
      <c r="A4626" s="24" t="n">
        <v>46266</v>
      </c>
      <c r="B4626" t="inlineStr">
        <is>
          <t>Frete de venda</t>
        </is>
      </c>
      <c r="C4626" t="inlineStr">
        <is>
          <t>Frete de venda (para clientes)</t>
        </is>
      </c>
      <c r="D4626" t="inlineStr">
        <is>
          <t>CT-e</t>
        </is>
      </c>
      <c r="E4626" t="inlineStr">
        <is>
          <t>000000613</t>
        </is>
      </c>
      <c r="F4626" t="inlineStr">
        <is>
          <t>DURA MAIS TRANSPORTES LTDA</t>
        </is>
      </c>
      <c r="G4626" s="27" t="n">
        <v>46275</v>
      </c>
      <c r="H4626" s="14" t="n">
        <v>977.58</v>
      </c>
      <c r="I4626" s="14" t="n">
        <v>0</v>
      </c>
      <c r="J4626" s="14" t="n">
        <v>117.31</v>
      </c>
      <c r="K4626" s="14" t="n">
        <v>0</v>
      </c>
      <c r="L4626" s="14" t="n">
        <v>0</v>
      </c>
      <c r="M4626" s="14">
        <f>IF(B4626="Frete de venda",0,(1-ISNUMBER(SEARCH("556",P4626)))*(I4626*VLOOKUP($B4626,Premissas!$A$4:$E$7,2,0)+J4626*VLOOKUP($B4626,Premissas!$A$4:$E$7,3,0))+K4626*VLOOKUP($B4626,Premissas!$A$4:$E$7,4,0)+L4626*VLOOKUP($B4626,Premissas!$A$4:$E$7,5,0))</f>
        <v/>
      </c>
      <c r="N4626" s="14">
        <f>H4626-M4626</f>
        <v/>
      </c>
      <c r="O4626" t="inlineStr">
        <is>
          <t>Sim</t>
        </is>
      </c>
      <c r="P4626" t="inlineStr">
        <is>
          <t>2.350</t>
        </is>
      </c>
    </row>
    <row r="4627">
      <c r="A4627" s="24" t="n">
        <v>46266</v>
      </c>
      <c r="B4627" t="inlineStr">
        <is>
          <t>Frete de venda</t>
        </is>
      </c>
      <c r="C4627" t="inlineStr">
        <is>
          <t>Frete de venda (para clientes)</t>
        </is>
      </c>
      <c r="D4627" t="inlineStr">
        <is>
          <t>CT-e</t>
        </is>
      </c>
      <c r="E4627" t="inlineStr">
        <is>
          <t>000000506</t>
        </is>
      </c>
      <c r="F4627" t="inlineStr">
        <is>
          <t>DURA MAIS TRANSPORTES LTDA</t>
        </is>
      </c>
      <c r="G4627" s="27" t="n">
        <v>46267</v>
      </c>
      <c r="H4627" s="14" t="n">
        <v>817.1</v>
      </c>
      <c r="I4627" s="14" t="n">
        <v>0</v>
      </c>
      <c r="J4627" s="14" t="n">
        <v>98.05</v>
      </c>
      <c r="K4627" s="14" t="n">
        <v>0</v>
      </c>
      <c r="L4627" s="14" t="n">
        <v>0</v>
      </c>
      <c r="M4627" s="14">
        <f>IF(B4627="Frete de venda",0,(1-ISNUMBER(SEARCH("556",P4627)))*(I4627*VLOOKUP($B4627,Premissas!$A$4:$E$7,2,0)+J4627*VLOOKUP($B4627,Premissas!$A$4:$E$7,3,0))+K4627*VLOOKUP($B4627,Premissas!$A$4:$E$7,4,0)+L4627*VLOOKUP($B4627,Premissas!$A$4:$E$7,5,0))</f>
        <v/>
      </c>
      <c r="N4627" s="14">
        <f>H4627-M4627</f>
        <v/>
      </c>
      <c r="O4627" t="inlineStr">
        <is>
          <t>Sim</t>
        </is>
      </c>
      <c r="P4627" t="inlineStr">
        <is>
          <t>2.350</t>
        </is>
      </c>
    </row>
    <row r="4628">
      <c r="A4628" s="24" t="n">
        <v>46266</v>
      </c>
      <c r="B4628" t="inlineStr">
        <is>
          <t>Frete de venda</t>
        </is>
      </c>
      <c r="C4628" t="inlineStr">
        <is>
          <t>Frete de venda (para clientes)</t>
        </is>
      </c>
      <c r="D4628" t="inlineStr">
        <is>
          <t>CT-e</t>
        </is>
      </c>
      <c r="E4628" t="inlineStr">
        <is>
          <t>000000638</t>
        </is>
      </c>
      <c r="F4628" t="inlineStr">
        <is>
          <t>DURA MAIS TRANSPORTES LTDA</t>
        </is>
      </c>
      <c r="G4628" s="27" t="n">
        <v>46277</v>
      </c>
      <c r="H4628" s="14" t="n">
        <v>817.1</v>
      </c>
      <c r="I4628" s="14" t="n">
        <v>0</v>
      </c>
      <c r="J4628" s="14" t="n">
        <v>98.05</v>
      </c>
      <c r="K4628" s="14" t="n">
        <v>0</v>
      </c>
      <c r="L4628" s="14" t="n">
        <v>0</v>
      </c>
      <c r="M4628" s="14">
        <f>IF(B4628="Frete de venda",0,(1-ISNUMBER(SEARCH("556",P4628)))*(I4628*VLOOKUP($B4628,Premissas!$A$4:$E$7,2,0)+J4628*VLOOKUP($B4628,Premissas!$A$4:$E$7,3,0))+K4628*VLOOKUP($B4628,Premissas!$A$4:$E$7,4,0)+L4628*VLOOKUP($B4628,Premissas!$A$4:$E$7,5,0))</f>
        <v/>
      </c>
      <c r="N4628" s="14">
        <f>H4628-M4628</f>
        <v/>
      </c>
      <c r="O4628" t="inlineStr">
        <is>
          <t>Sim</t>
        </is>
      </c>
      <c r="P4628" t="inlineStr">
        <is>
          <t>2.350</t>
        </is>
      </c>
    </row>
    <row r="4629">
      <c r="A4629" s="24" t="n">
        <v>46266</v>
      </c>
      <c r="B4629" t="inlineStr">
        <is>
          <t>Frete de venda</t>
        </is>
      </c>
      <c r="C4629" t="inlineStr">
        <is>
          <t>Frete de venda (para clientes)</t>
        </is>
      </c>
      <c r="D4629" t="inlineStr">
        <is>
          <t>CT-e</t>
        </is>
      </c>
      <c r="E4629" t="inlineStr">
        <is>
          <t>000000605</t>
        </is>
      </c>
      <c r="F4629" t="inlineStr">
        <is>
          <t>DURA MAIS TRANSPORTES LTDA</t>
        </is>
      </c>
      <c r="G4629" s="27" t="n">
        <v>46275</v>
      </c>
      <c r="H4629" s="14" t="n">
        <v>977.58</v>
      </c>
      <c r="I4629" s="14" t="n">
        <v>0</v>
      </c>
      <c r="J4629" s="14" t="n">
        <v>117.31</v>
      </c>
      <c r="K4629" s="14" t="n">
        <v>0</v>
      </c>
      <c r="L4629" s="14" t="n">
        <v>0</v>
      </c>
      <c r="M4629" s="14">
        <f>IF(B4629="Frete de venda",0,(1-ISNUMBER(SEARCH("556",P4629)))*(I4629*VLOOKUP($B4629,Premissas!$A$4:$E$7,2,0)+J4629*VLOOKUP($B4629,Premissas!$A$4:$E$7,3,0))+K4629*VLOOKUP($B4629,Premissas!$A$4:$E$7,4,0)+L4629*VLOOKUP($B4629,Premissas!$A$4:$E$7,5,0))</f>
        <v/>
      </c>
      <c r="N4629" s="14">
        <f>H4629-M4629</f>
        <v/>
      </c>
      <c r="O4629" t="inlineStr">
        <is>
          <t>Sim</t>
        </is>
      </c>
      <c r="P4629" t="inlineStr">
        <is>
          <t>2.350</t>
        </is>
      </c>
    </row>
    <row r="4630">
      <c r="A4630" s="24" t="n">
        <v>46266</v>
      </c>
      <c r="B4630" t="inlineStr">
        <is>
          <t>Frete de venda</t>
        </is>
      </c>
      <c r="C4630" t="inlineStr">
        <is>
          <t>Frete de venda (para clientes)</t>
        </is>
      </c>
      <c r="D4630" t="inlineStr">
        <is>
          <t>CT-e</t>
        </is>
      </c>
      <c r="E4630" t="inlineStr">
        <is>
          <t>000000728</t>
        </is>
      </c>
      <c r="F4630" t="inlineStr">
        <is>
          <t>DURA MAIS TRANSPORTES LTDA</t>
        </is>
      </c>
      <c r="G4630" s="27" t="n">
        <v>46283</v>
      </c>
      <c r="H4630" s="14" t="n">
        <v>833.8200000000001</v>
      </c>
      <c r="I4630" s="14" t="n">
        <v>0</v>
      </c>
      <c r="J4630" s="14" t="n">
        <v>100.06</v>
      </c>
      <c r="K4630" s="14" t="n">
        <v>0</v>
      </c>
      <c r="L4630" s="14" t="n">
        <v>0</v>
      </c>
      <c r="M4630" s="14">
        <f>IF(B4630="Frete de venda",0,(1-ISNUMBER(SEARCH("556",P4630)))*(I4630*VLOOKUP($B4630,Premissas!$A$4:$E$7,2,0)+J4630*VLOOKUP($B4630,Premissas!$A$4:$E$7,3,0))+K4630*VLOOKUP($B4630,Premissas!$A$4:$E$7,4,0)+L4630*VLOOKUP($B4630,Premissas!$A$4:$E$7,5,0))</f>
        <v/>
      </c>
      <c r="N4630" s="14">
        <f>H4630-M4630</f>
        <v/>
      </c>
      <c r="O4630" t="inlineStr">
        <is>
          <t>Sim</t>
        </is>
      </c>
      <c r="P4630" t="inlineStr">
        <is>
          <t>2.350</t>
        </is>
      </c>
    </row>
    <row r="4631">
      <c r="A4631" s="24" t="n">
        <v>46266</v>
      </c>
      <c r="B4631" t="inlineStr">
        <is>
          <t>Frete de venda</t>
        </is>
      </c>
      <c r="C4631" t="inlineStr">
        <is>
          <t>Frete de venda (para clientes)</t>
        </is>
      </c>
      <c r="D4631" t="inlineStr">
        <is>
          <t>CT-e</t>
        </is>
      </c>
      <c r="E4631" t="inlineStr">
        <is>
          <t>000000543</t>
        </is>
      </c>
      <c r="F4631" t="inlineStr">
        <is>
          <t>DURA MAIS TRANSPORTES LTDA</t>
        </is>
      </c>
      <c r="G4631" s="27" t="n">
        <v>46269</v>
      </c>
      <c r="H4631" s="14" t="n">
        <v>1856.24</v>
      </c>
      <c r="I4631" s="14" t="n">
        <v>0</v>
      </c>
      <c r="J4631" s="14" t="n">
        <v>222.75</v>
      </c>
      <c r="K4631" s="14" t="n">
        <v>0</v>
      </c>
      <c r="L4631" s="14" t="n">
        <v>0</v>
      </c>
      <c r="M4631" s="14">
        <f>IF(B4631="Frete de venda",0,(1-ISNUMBER(SEARCH("556",P4631)))*(I4631*VLOOKUP($B4631,Premissas!$A$4:$E$7,2,0)+J4631*VLOOKUP($B4631,Premissas!$A$4:$E$7,3,0))+K4631*VLOOKUP($B4631,Premissas!$A$4:$E$7,4,0)+L4631*VLOOKUP($B4631,Premissas!$A$4:$E$7,5,0))</f>
        <v/>
      </c>
      <c r="N4631" s="14">
        <f>H4631-M4631</f>
        <v/>
      </c>
      <c r="O4631" t="inlineStr">
        <is>
          <t>Sim</t>
        </is>
      </c>
      <c r="P4631" t="inlineStr">
        <is>
          <t>2.350</t>
        </is>
      </c>
    </row>
    <row r="4632">
      <c r="A4632" s="24" t="n">
        <v>46266</v>
      </c>
      <c r="B4632" t="inlineStr">
        <is>
          <t>Frete de venda</t>
        </is>
      </c>
      <c r="C4632" t="inlineStr">
        <is>
          <t>Frete de venda (para clientes)</t>
        </is>
      </c>
      <c r="D4632" t="inlineStr">
        <is>
          <t>CT-e</t>
        </is>
      </c>
      <c r="E4632" t="inlineStr">
        <is>
          <t>000009823</t>
        </is>
      </c>
      <c r="F4632" t="inlineStr">
        <is>
          <t>BEM TRANSPORTES E LOGISTICA</t>
        </is>
      </c>
      <c r="G4632" s="27" t="n">
        <v>46273</v>
      </c>
      <c r="H4632" s="14" t="n">
        <v>836.3</v>
      </c>
      <c r="I4632" s="14" t="n">
        <v>0</v>
      </c>
      <c r="J4632" s="14" t="n">
        <v>0</v>
      </c>
      <c r="K4632" s="14" t="n">
        <v>0</v>
      </c>
      <c r="L4632" s="14" t="n">
        <v>0</v>
      </c>
      <c r="M4632" s="14">
        <f>IF(B4632="Frete de venda",0,(1-ISNUMBER(SEARCH("556",P4632)))*(I4632*VLOOKUP($B4632,Premissas!$A$4:$E$7,2,0)+J4632*VLOOKUP($B4632,Premissas!$A$4:$E$7,3,0))+K4632*VLOOKUP($B4632,Premissas!$A$4:$E$7,4,0)+L4632*VLOOKUP($B4632,Premissas!$A$4:$E$7,5,0))</f>
        <v/>
      </c>
      <c r="N4632" s="14">
        <f>H4632-M4632</f>
        <v/>
      </c>
      <c r="O4632" t="inlineStr">
        <is>
          <t>Sim</t>
        </is>
      </c>
      <c r="P4632" t="inlineStr">
        <is>
          <t>2.350</t>
        </is>
      </c>
    </row>
    <row r="4633">
      <c r="A4633" s="24" t="n">
        <v>46266</v>
      </c>
      <c r="B4633" t="inlineStr">
        <is>
          <t>Frete de venda</t>
        </is>
      </c>
      <c r="C4633" t="inlineStr">
        <is>
          <t>Frete de venda (para clientes)</t>
        </is>
      </c>
      <c r="D4633" t="inlineStr">
        <is>
          <t>CT-e</t>
        </is>
      </c>
      <c r="E4633" t="inlineStr">
        <is>
          <t>000000507</t>
        </is>
      </c>
      <c r="F4633" t="inlineStr">
        <is>
          <t>DURA MAIS TRANSPORTES LTDA</t>
        </is>
      </c>
      <c r="G4633" s="27" t="n">
        <v>46267</v>
      </c>
      <c r="H4633" s="14" t="n">
        <v>817.1</v>
      </c>
      <c r="I4633" s="14" t="n">
        <v>0</v>
      </c>
      <c r="J4633" s="14" t="n">
        <v>98.05</v>
      </c>
      <c r="K4633" s="14" t="n">
        <v>0</v>
      </c>
      <c r="L4633" s="14" t="n">
        <v>0</v>
      </c>
      <c r="M4633" s="14">
        <f>IF(B4633="Frete de venda",0,(1-ISNUMBER(SEARCH("556",P4633)))*(I4633*VLOOKUP($B4633,Premissas!$A$4:$E$7,2,0)+J4633*VLOOKUP($B4633,Premissas!$A$4:$E$7,3,0))+K4633*VLOOKUP($B4633,Premissas!$A$4:$E$7,4,0)+L4633*VLOOKUP($B4633,Premissas!$A$4:$E$7,5,0))</f>
        <v/>
      </c>
      <c r="N4633" s="14">
        <f>H4633-M4633</f>
        <v/>
      </c>
      <c r="O4633" t="inlineStr">
        <is>
          <t>Sim</t>
        </is>
      </c>
      <c r="P4633" t="inlineStr">
        <is>
          <t>2.350</t>
        </is>
      </c>
    </row>
    <row r="4634">
      <c r="A4634" s="24" t="n">
        <v>46266</v>
      </c>
      <c r="B4634" t="inlineStr">
        <is>
          <t>Frete de venda</t>
        </is>
      </c>
      <c r="C4634" t="inlineStr">
        <is>
          <t>Frete de venda (para clientes)</t>
        </is>
      </c>
      <c r="D4634" t="inlineStr">
        <is>
          <t>CT-e</t>
        </is>
      </c>
      <c r="E4634" t="inlineStr">
        <is>
          <t>000000502</t>
        </is>
      </c>
      <c r="F4634" t="inlineStr">
        <is>
          <t>DURA MAIS TRANSPORTES LTDA</t>
        </is>
      </c>
      <c r="G4634" s="27" t="n">
        <v>46267</v>
      </c>
      <c r="H4634" s="14" t="n">
        <v>817.1</v>
      </c>
      <c r="I4634" s="14" t="n">
        <v>0</v>
      </c>
      <c r="J4634" s="14" t="n">
        <v>98.05</v>
      </c>
      <c r="K4634" s="14" t="n">
        <v>0</v>
      </c>
      <c r="L4634" s="14" t="n">
        <v>0</v>
      </c>
      <c r="M4634" s="14">
        <f>IF(B4634="Frete de venda",0,(1-ISNUMBER(SEARCH("556",P4634)))*(I4634*VLOOKUP($B4634,Premissas!$A$4:$E$7,2,0)+J4634*VLOOKUP($B4634,Premissas!$A$4:$E$7,3,0))+K4634*VLOOKUP($B4634,Premissas!$A$4:$E$7,4,0)+L4634*VLOOKUP($B4634,Premissas!$A$4:$E$7,5,0))</f>
        <v/>
      </c>
      <c r="N4634" s="14">
        <f>H4634-M4634</f>
        <v/>
      </c>
      <c r="O4634" t="inlineStr">
        <is>
          <t>Sim</t>
        </is>
      </c>
      <c r="P4634" t="inlineStr">
        <is>
          <t>2.350</t>
        </is>
      </c>
    </row>
    <row r="4635">
      <c r="A4635" s="24" t="n">
        <v>46266</v>
      </c>
      <c r="B4635" t="inlineStr">
        <is>
          <t>Frete de venda</t>
        </is>
      </c>
      <c r="C4635" t="inlineStr">
        <is>
          <t>Frete de venda (para clientes)</t>
        </is>
      </c>
      <c r="D4635" t="inlineStr">
        <is>
          <t>CT-e</t>
        </is>
      </c>
      <c r="E4635" t="inlineStr">
        <is>
          <t>000000542</t>
        </is>
      </c>
      <c r="F4635" t="inlineStr">
        <is>
          <t>DURA MAIS TRANSPORTES LTDA</t>
        </is>
      </c>
      <c r="G4635" s="27" t="n">
        <v>46269</v>
      </c>
      <c r="H4635" s="14" t="n">
        <v>1856.24</v>
      </c>
      <c r="I4635" s="14" t="n">
        <v>0</v>
      </c>
      <c r="J4635" s="14" t="n">
        <v>222.75</v>
      </c>
      <c r="K4635" s="14" t="n">
        <v>0</v>
      </c>
      <c r="L4635" s="14" t="n">
        <v>0</v>
      </c>
      <c r="M4635" s="14">
        <f>IF(B4635="Frete de venda",0,(1-ISNUMBER(SEARCH("556",P4635)))*(I4635*VLOOKUP($B4635,Premissas!$A$4:$E$7,2,0)+J4635*VLOOKUP($B4635,Premissas!$A$4:$E$7,3,0))+K4635*VLOOKUP($B4635,Premissas!$A$4:$E$7,4,0)+L4635*VLOOKUP($B4635,Premissas!$A$4:$E$7,5,0))</f>
        <v/>
      </c>
      <c r="N4635" s="14">
        <f>H4635-M4635</f>
        <v/>
      </c>
      <c r="O4635" t="inlineStr">
        <is>
          <t>Sim</t>
        </is>
      </c>
      <c r="P4635" t="inlineStr">
        <is>
          <t>2.350</t>
        </is>
      </c>
    </row>
    <row r="4636">
      <c r="A4636" s="24" t="n">
        <v>46266</v>
      </c>
      <c r="B4636" t="inlineStr">
        <is>
          <t>Frete de venda</t>
        </is>
      </c>
      <c r="C4636" t="inlineStr">
        <is>
          <t>Frete de venda (para clientes)</t>
        </is>
      </c>
      <c r="D4636" t="inlineStr">
        <is>
          <t>CT-e</t>
        </is>
      </c>
      <c r="E4636" t="inlineStr">
        <is>
          <t>000009825</t>
        </is>
      </c>
      <c r="F4636" t="inlineStr">
        <is>
          <t>BEM TRANSPORTES E LOGISTICA</t>
        </is>
      </c>
      <c r="G4636" s="27" t="n">
        <v>46273</v>
      </c>
      <c r="H4636" s="14" t="n">
        <v>477.7</v>
      </c>
      <c r="I4636" s="14" t="n">
        <v>0</v>
      </c>
      <c r="J4636" s="14" t="n">
        <v>0</v>
      </c>
      <c r="K4636" s="14" t="n">
        <v>0</v>
      </c>
      <c r="L4636" s="14" t="n">
        <v>0</v>
      </c>
      <c r="M4636" s="14">
        <f>IF(B4636="Frete de venda",0,(1-ISNUMBER(SEARCH("556",P4636)))*(I4636*VLOOKUP($B4636,Premissas!$A$4:$E$7,2,0)+J4636*VLOOKUP($B4636,Premissas!$A$4:$E$7,3,0))+K4636*VLOOKUP($B4636,Premissas!$A$4:$E$7,4,0)+L4636*VLOOKUP($B4636,Premissas!$A$4:$E$7,5,0))</f>
        <v/>
      </c>
      <c r="N4636" s="14">
        <f>H4636-M4636</f>
        <v/>
      </c>
      <c r="O4636" t="inlineStr">
        <is>
          <t>Sim</t>
        </is>
      </c>
      <c r="P4636" t="inlineStr">
        <is>
          <t>2.350</t>
        </is>
      </c>
    </row>
    <row r="4637">
      <c r="A4637" s="24" t="n">
        <v>46266</v>
      </c>
      <c r="B4637" t="inlineStr">
        <is>
          <t>Frete de venda</t>
        </is>
      </c>
      <c r="C4637" t="inlineStr">
        <is>
          <t>Frete de venda (para clientes)</t>
        </is>
      </c>
      <c r="D4637" t="inlineStr">
        <is>
          <t>CT-e</t>
        </is>
      </c>
      <c r="E4637" t="inlineStr">
        <is>
          <t>000000687</t>
        </is>
      </c>
      <c r="F4637" t="inlineStr">
        <is>
          <t>DURA MAIS TRANSPORTES LTDA</t>
        </is>
      </c>
      <c r="G4637" s="27" t="n">
        <v>46281</v>
      </c>
      <c r="H4637" s="14" t="n">
        <v>5940</v>
      </c>
      <c r="I4637" s="14" t="n">
        <v>0</v>
      </c>
      <c r="J4637" s="14" t="n">
        <v>712.8</v>
      </c>
      <c r="K4637" s="14" t="n">
        <v>0</v>
      </c>
      <c r="L4637" s="14" t="n">
        <v>0</v>
      </c>
      <c r="M4637" s="14">
        <f>IF(B4637="Frete de venda",0,(1-ISNUMBER(SEARCH("556",P4637)))*(I4637*VLOOKUP($B4637,Premissas!$A$4:$E$7,2,0)+J4637*VLOOKUP($B4637,Premissas!$A$4:$E$7,3,0))+K4637*VLOOKUP($B4637,Premissas!$A$4:$E$7,4,0)+L4637*VLOOKUP($B4637,Premissas!$A$4:$E$7,5,0))</f>
        <v/>
      </c>
      <c r="N4637" s="14">
        <f>H4637-M4637</f>
        <v/>
      </c>
      <c r="O4637" t="inlineStr">
        <is>
          <t>Sim</t>
        </is>
      </c>
      <c r="P4637" t="inlineStr">
        <is>
          <t>2.350</t>
        </is>
      </c>
    </row>
    <row r="4638">
      <c r="A4638" s="24" t="n">
        <v>46266</v>
      </c>
      <c r="B4638" t="inlineStr">
        <is>
          <t>Frete de venda</t>
        </is>
      </c>
      <c r="C4638" t="inlineStr">
        <is>
          <t>Frete de venda (para clientes)</t>
        </is>
      </c>
      <c r="D4638" t="inlineStr">
        <is>
          <t>CT-e</t>
        </is>
      </c>
      <c r="E4638" t="inlineStr">
        <is>
          <t>000000815</t>
        </is>
      </c>
      <c r="F4638" t="inlineStr">
        <is>
          <t>DURA MAIS TRANSPORTES LTDA</t>
        </is>
      </c>
      <c r="G4638" s="27" t="n">
        <v>46288</v>
      </c>
      <c r="H4638" s="14" t="n">
        <v>1272.86</v>
      </c>
      <c r="I4638" s="14" t="n">
        <v>0</v>
      </c>
      <c r="J4638" s="14" t="n">
        <v>152.74</v>
      </c>
      <c r="K4638" s="14" t="n">
        <v>0</v>
      </c>
      <c r="L4638" s="14" t="n">
        <v>0</v>
      </c>
      <c r="M4638" s="14">
        <f>IF(B4638="Frete de venda",0,(1-ISNUMBER(SEARCH("556",P4638)))*(I4638*VLOOKUP($B4638,Premissas!$A$4:$E$7,2,0)+J4638*VLOOKUP($B4638,Premissas!$A$4:$E$7,3,0))+K4638*VLOOKUP($B4638,Premissas!$A$4:$E$7,4,0)+L4638*VLOOKUP($B4638,Premissas!$A$4:$E$7,5,0))</f>
        <v/>
      </c>
      <c r="N4638" s="14">
        <f>H4638-M4638</f>
        <v/>
      </c>
      <c r="O4638" t="inlineStr">
        <is>
          <t>Sim</t>
        </is>
      </c>
      <c r="P4638" t="inlineStr">
        <is>
          <t>2.350</t>
        </is>
      </c>
    </row>
    <row r="4639">
      <c r="A4639" s="24" t="n">
        <v>46266</v>
      </c>
      <c r="B4639" t="inlineStr">
        <is>
          <t>Frete de venda</t>
        </is>
      </c>
      <c r="C4639" t="inlineStr">
        <is>
          <t>Frete de venda (para clientes)</t>
        </is>
      </c>
      <c r="D4639" t="inlineStr">
        <is>
          <t>CT-e</t>
        </is>
      </c>
      <c r="E4639" t="inlineStr">
        <is>
          <t>000000794</t>
        </is>
      </c>
      <c r="F4639" t="inlineStr">
        <is>
          <t>DURA MAIS TRANSPORTES LTDA</t>
        </is>
      </c>
      <c r="G4639" s="27" t="n">
        <v>46287</v>
      </c>
      <c r="H4639" s="14" t="n">
        <v>848.5700000000001</v>
      </c>
      <c r="I4639" s="14" t="n">
        <v>0</v>
      </c>
      <c r="J4639" s="14" t="n">
        <v>101.83</v>
      </c>
      <c r="K4639" s="14" t="n">
        <v>0</v>
      </c>
      <c r="L4639" s="14" t="n">
        <v>0</v>
      </c>
      <c r="M4639" s="14">
        <f>IF(B4639="Frete de venda",0,(1-ISNUMBER(SEARCH("556",P4639)))*(I4639*VLOOKUP($B4639,Premissas!$A$4:$E$7,2,0)+J4639*VLOOKUP($B4639,Premissas!$A$4:$E$7,3,0))+K4639*VLOOKUP($B4639,Premissas!$A$4:$E$7,4,0)+L4639*VLOOKUP($B4639,Premissas!$A$4:$E$7,5,0))</f>
        <v/>
      </c>
      <c r="N4639" s="14">
        <f>H4639-M4639</f>
        <v/>
      </c>
      <c r="O4639" t="inlineStr">
        <is>
          <t>Sim</t>
        </is>
      </c>
      <c r="P4639" t="inlineStr">
        <is>
          <t>2.350</t>
        </is>
      </c>
    </row>
    <row r="4640">
      <c r="A4640" s="24" t="n">
        <v>46266</v>
      </c>
      <c r="B4640" t="inlineStr">
        <is>
          <t>Frete de venda</t>
        </is>
      </c>
      <c r="C4640" t="inlineStr">
        <is>
          <t>Frete de venda (para clientes)</t>
        </is>
      </c>
      <c r="D4640" t="inlineStr">
        <is>
          <t>CT-e</t>
        </is>
      </c>
      <c r="E4640" t="inlineStr">
        <is>
          <t>000000635</t>
        </is>
      </c>
      <c r="F4640" t="inlineStr">
        <is>
          <t>DURA MAIS TRANSPORTES LTDA</t>
        </is>
      </c>
      <c r="G4640" s="27" t="n">
        <v>46277</v>
      </c>
      <c r="H4640" s="14" t="n">
        <v>817.1</v>
      </c>
      <c r="I4640" s="14" t="n">
        <v>0</v>
      </c>
      <c r="J4640" s="14" t="n">
        <v>98.05</v>
      </c>
      <c r="K4640" s="14" t="n">
        <v>0</v>
      </c>
      <c r="L4640" s="14" t="n">
        <v>0</v>
      </c>
      <c r="M4640" s="14">
        <f>IF(B4640="Frete de venda",0,(1-ISNUMBER(SEARCH("556",P4640)))*(I4640*VLOOKUP($B4640,Premissas!$A$4:$E$7,2,0)+J4640*VLOOKUP($B4640,Premissas!$A$4:$E$7,3,0))+K4640*VLOOKUP($B4640,Premissas!$A$4:$E$7,4,0)+L4640*VLOOKUP($B4640,Premissas!$A$4:$E$7,5,0))</f>
        <v/>
      </c>
      <c r="N4640" s="14">
        <f>H4640-M4640</f>
        <v/>
      </c>
      <c r="O4640" t="inlineStr">
        <is>
          <t>Sim</t>
        </is>
      </c>
      <c r="P4640" t="inlineStr">
        <is>
          <t>2.350</t>
        </is>
      </c>
    </row>
    <row r="4641">
      <c r="A4641" s="24" t="n">
        <v>46266</v>
      </c>
      <c r="B4641" t="inlineStr">
        <is>
          <t>Frete de venda</t>
        </is>
      </c>
      <c r="C4641" t="inlineStr">
        <is>
          <t>Frete de venda (para clientes)</t>
        </is>
      </c>
      <c r="D4641" t="inlineStr">
        <is>
          <t>CT-e</t>
        </is>
      </c>
      <c r="E4641" t="inlineStr">
        <is>
          <t>000000718</t>
        </is>
      </c>
      <c r="F4641" t="inlineStr">
        <is>
          <t>DURA MAIS TRANSPORTES LTDA</t>
        </is>
      </c>
      <c r="G4641" s="27" t="n">
        <v>46283</v>
      </c>
      <c r="H4641" s="14" t="n">
        <v>833.8200000000001</v>
      </c>
      <c r="I4641" s="14" t="n">
        <v>0</v>
      </c>
      <c r="J4641" s="14" t="n">
        <v>100.06</v>
      </c>
      <c r="K4641" s="14" t="n">
        <v>0</v>
      </c>
      <c r="L4641" s="14" t="n">
        <v>0</v>
      </c>
      <c r="M4641" s="14">
        <f>IF(B4641="Frete de venda",0,(1-ISNUMBER(SEARCH("556",P4641)))*(I4641*VLOOKUP($B4641,Premissas!$A$4:$E$7,2,0)+J4641*VLOOKUP($B4641,Premissas!$A$4:$E$7,3,0))+K4641*VLOOKUP($B4641,Premissas!$A$4:$E$7,4,0)+L4641*VLOOKUP($B4641,Premissas!$A$4:$E$7,5,0))</f>
        <v/>
      </c>
      <c r="N4641" s="14">
        <f>H4641-M4641</f>
        <v/>
      </c>
      <c r="O4641" t="inlineStr">
        <is>
          <t>Sim</t>
        </is>
      </c>
      <c r="P4641" t="inlineStr">
        <is>
          <t>2.350</t>
        </is>
      </c>
    </row>
    <row r="4642">
      <c r="A4642" s="24" t="n">
        <v>46266</v>
      </c>
      <c r="B4642" t="inlineStr">
        <is>
          <t>Frete de venda</t>
        </is>
      </c>
      <c r="C4642" t="inlineStr">
        <is>
          <t>Frete de venda (para clientes)</t>
        </is>
      </c>
      <c r="D4642" t="inlineStr">
        <is>
          <t>CT-e</t>
        </is>
      </c>
      <c r="E4642" t="inlineStr">
        <is>
          <t>000000652</t>
        </is>
      </c>
      <c r="F4642" t="inlineStr">
        <is>
          <t>DURA MAIS TRANSPORTES LTDA</t>
        </is>
      </c>
      <c r="G4642" s="27" t="n">
        <v>46277</v>
      </c>
      <c r="H4642" s="14" t="n">
        <v>817.1</v>
      </c>
      <c r="I4642" s="14" t="n">
        <v>0</v>
      </c>
      <c r="J4642" s="14" t="n">
        <v>98.05</v>
      </c>
      <c r="K4642" s="14" t="n">
        <v>0</v>
      </c>
      <c r="L4642" s="14" t="n">
        <v>0</v>
      </c>
      <c r="M4642" s="14">
        <f>IF(B4642="Frete de venda",0,(1-ISNUMBER(SEARCH("556",P4642)))*(I4642*VLOOKUP($B4642,Premissas!$A$4:$E$7,2,0)+J4642*VLOOKUP($B4642,Premissas!$A$4:$E$7,3,0))+K4642*VLOOKUP($B4642,Premissas!$A$4:$E$7,4,0)+L4642*VLOOKUP($B4642,Premissas!$A$4:$E$7,5,0))</f>
        <v/>
      </c>
      <c r="N4642" s="14">
        <f>H4642-M4642</f>
        <v/>
      </c>
      <c r="O4642" t="inlineStr">
        <is>
          <t>Sim</t>
        </is>
      </c>
      <c r="P4642" t="inlineStr">
        <is>
          <t>2.350</t>
        </is>
      </c>
    </row>
    <row r="4643">
      <c r="A4643" s="24" t="n">
        <v>46266</v>
      </c>
      <c r="B4643" t="inlineStr">
        <is>
          <t>Frete de venda</t>
        </is>
      </c>
      <c r="C4643" t="inlineStr">
        <is>
          <t>Frete de venda (para clientes)</t>
        </is>
      </c>
      <c r="D4643" t="inlineStr">
        <is>
          <t>CT-e</t>
        </is>
      </c>
      <c r="E4643" t="inlineStr">
        <is>
          <t>000000643</t>
        </is>
      </c>
      <c r="F4643" t="inlineStr">
        <is>
          <t>DURA MAIS TRANSPORTES LTDA</t>
        </is>
      </c>
      <c r="G4643" s="27" t="n">
        <v>46277</v>
      </c>
      <c r="H4643" s="14" t="n">
        <v>817.1</v>
      </c>
      <c r="I4643" s="14" t="n">
        <v>0</v>
      </c>
      <c r="J4643" s="14" t="n">
        <v>98.05</v>
      </c>
      <c r="K4643" s="14" t="n">
        <v>0</v>
      </c>
      <c r="L4643" s="14" t="n">
        <v>0</v>
      </c>
      <c r="M4643" s="14">
        <f>IF(B4643="Frete de venda",0,(1-ISNUMBER(SEARCH("556",P4643)))*(I4643*VLOOKUP($B4643,Premissas!$A$4:$E$7,2,0)+J4643*VLOOKUP($B4643,Premissas!$A$4:$E$7,3,0))+K4643*VLOOKUP($B4643,Premissas!$A$4:$E$7,4,0)+L4643*VLOOKUP($B4643,Premissas!$A$4:$E$7,5,0))</f>
        <v/>
      </c>
      <c r="N4643" s="14">
        <f>H4643-M4643</f>
        <v/>
      </c>
      <c r="O4643" t="inlineStr">
        <is>
          <t>Sim</t>
        </is>
      </c>
      <c r="P4643" t="inlineStr">
        <is>
          <t>2.350</t>
        </is>
      </c>
    </row>
    <row r="4644">
      <c r="A4644" s="24" t="n">
        <v>46266</v>
      </c>
      <c r="B4644" t="inlineStr">
        <is>
          <t>Frete de venda</t>
        </is>
      </c>
      <c r="C4644" t="inlineStr">
        <is>
          <t>Frete de venda (para clientes)</t>
        </is>
      </c>
      <c r="D4644" t="inlineStr">
        <is>
          <t>CT-e</t>
        </is>
      </c>
      <c r="E4644" t="inlineStr">
        <is>
          <t>000000837</t>
        </is>
      </c>
      <c r="F4644" t="inlineStr">
        <is>
          <t>DURA MAIS TRANSPORTES LTDA</t>
        </is>
      </c>
      <c r="G4644" s="27" t="n">
        <v>46288</v>
      </c>
      <c r="H4644" s="14" t="n">
        <v>900</v>
      </c>
      <c r="I4644" s="14" t="n">
        <v>0</v>
      </c>
      <c r="J4644" s="14" t="n">
        <v>108</v>
      </c>
      <c r="K4644" s="14" t="n">
        <v>0</v>
      </c>
      <c r="L4644" s="14" t="n">
        <v>0</v>
      </c>
      <c r="M4644" s="14">
        <f>IF(B4644="Frete de venda",0,(1-ISNUMBER(SEARCH("556",P4644)))*(I4644*VLOOKUP($B4644,Premissas!$A$4:$E$7,2,0)+J4644*VLOOKUP($B4644,Premissas!$A$4:$E$7,3,0))+K4644*VLOOKUP($B4644,Premissas!$A$4:$E$7,4,0)+L4644*VLOOKUP($B4644,Premissas!$A$4:$E$7,5,0))</f>
        <v/>
      </c>
      <c r="N4644" s="14">
        <f>H4644-M4644</f>
        <v/>
      </c>
      <c r="O4644" t="inlineStr">
        <is>
          <t>Sim</t>
        </is>
      </c>
      <c r="P4644" t="inlineStr">
        <is>
          <t>2.350</t>
        </is>
      </c>
    </row>
    <row r="4645">
      <c r="A4645" s="24" t="n">
        <v>46266</v>
      </c>
      <c r="B4645" t="inlineStr">
        <is>
          <t>Frete de venda</t>
        </is>
      </c>
      <c r="C4645" t="inlineStr">
        <is>
          <t>Frete de venda (para clientes)</t>
        </is>
      </c>
      <c r="D4645" t="inlineStr">
        <is>
          <t>CT-e</t>
        </is>
      </c>
      <c r="E4645" t="inlineStr">
        <is>
          <t>000000547</t>
        </is>
      </c>
      <c r="F4645" t="inlineStr">
        <is>
          <t>DURA MAIS TRANSPORTES LTDA</t>
        </is>
      </c>
      <c r="G4645" s="27" t="n">
        <v>46269</v>
      </c>
      <c r="H4645" s="14" t="n">
        <v>1869.29</v>
      </c>
      <c r="I4645" s="14" t="n">
        <v>0</v>
      </c>
      <c r="J4645" s="14" t="n">
        <v>224.31</v>
      </c>
      <c r="K4645" s="14" t="n">
        <v>0</v>
      </c>
      <c r="L4645" s="14" t="n">
        <v>0</v>
      </c>
      <c r="M4645" s="14">
        <f>IF(B4645="Frete de venda",0,(1-ISNUMBER(SEARCH("556",P4645)))*(I4645*VLOOKUP($B4645,Premissas!$A$4:$E$7,2,0)+J4645*VLOOKUP($B4645,Premissas!$A$4:$E$7,3,0))+K4645*VLOOKUP($B4645,Premissas!$A$4:$E$7,4,0)+L4645*VLOOKUP($B4645,Premissas!$A$4:$E$7,5,0))</f>
        <v/>
      </c>
      <c r="N4645" s="14">
        <f>H4645-M4645</f>
        <v/>
      </c>
      <c r="O4645" t="inlineStr">
        <is>
          <t>Sim</t>
        </is>
      </c>
      <c r="P4645" t="inlineStr">
        <is>
          <t>2.350</t>
        </is>
      </c>
    </row>
    <row r="4646">
      <c r="A4646" s="24" t="n">
        <v>46266</v>
      </c>
      <c r="B4646" t="inlineStr">
        <is>
          <t>Frete de venda</t>
        </is>
      </c>
      <c r="C4646" t="inlineStr">
        <is>
          <t>Frete de venda (para clientes)</t>
        </is>
      </c>
      <c r="D4646" t="inlineStr">
        <is>
          <t>CT-e</t>
        </is>
      </c>
      <c r="E4646" t="inlineStr">
        <is>
          <t>000000606</t>
        </is>
      </c>
      <c r="F4646" t="inlineStr">
        <is>
          <t>DURA MAIS TRANSPORTES LTDA</t>
        </is>
      </c>
      <c r="G4646" s="27" t="n">
        <v>46275</v>
      </c>
      <c r="H4646" s="14" t="n">
        <v>488.79</v>
      </c>
      <c r="I4646" s="14" t="n">
        <v>0</v>
      </c>
      <c r="J4646" s="14" t="n">
        <v>58.65</v>
      </c>
      <c r="K4646" s="14" t="n">
        <v>0</v>
      </c>
      <c r="L4646" s="14" t="n">
        <v>0</v>
      </c>
      <c r="M4646" s="14">
        <f>IF(B4646="Frete de venda",0,(1-ISNUMBER(SEARCH("556",P4646)))*(I4646*VLOOKUP($B4646,Premissas!$A$4:$E$7,2,0)+J4646*VLOOKUP($B4646,Premissas!$A$4:$E$7,3,0))+K4646*VLOOKUP($B4646,Premissas!$A$4:$E$7,4,0)+L4646*VLOOKUP($B4646,Premissas!$A$4:$E$7,5,0))</f>
        <v/>
      </c>
      <c r="N4646" s="14">
        <f>H4646-M4646</f>
        <v/>
      </c>
      <c r="O4646" t="inlineStr">
        <is>
          <t>Sim</t>
        </is>
      </c>
      <c r="P4646" t="inlineStr">
        <is>
          <t>2.350</t>
        </is>
      </c>
    </row>
    <row r="4647">
      <c r="A4647" s="24" t="n">
        <v>46266</v>
      </c>
      <c r="B4647" t="inlineStr">
        <is>
          <t>Frete de venda</t>
        </is>
      </c>
      <c r="C4647" t="inlineStr">
        <is>
          <t>Frete de venda (para clientes)</t>
        </is>
      </c>
      <c r="D4647" t="inlineStr">
        <is>
          <t>CT-e</t>
        </is>
      </c>
      <c r="E4647" t="inlineStr">
        <is>
          <t>000000476</t>
        </is>
      </c>
      <c r="F4647" t="inlineStr">
        <is>
          <t>DURA MAIS TRANSPORTES LTDA</t>
        </is>
      </c>
      <c r="G4647" s="27" t="n">
        <v>46266</v>
      </c>
      <c r="H4647" s="14" t="n">
        <v>1170</v>
      </c>
      <c r="I4647" s="14" t="n">
        <v>0</v>
      </c>
      <c r="J4647" s="14" t="n">
        <v>140.4</v>
      </c>
      <c r="K4647" s="14" t="n">
        <v>0</v>
      </c>
      <c r="L4647" s="14" t="n">
        <v>0</v>
      </c>
      <c r="M4647" s="14">
        <f>IF(B4647="Frete de venda",0,(1-ISNUMBER(SEARCH("556",P4647)))*(I4647*VLOOKUP($B4647,Premissas!$A$4:$E$7,2,0)+J4647*VLOOKUP($B4647,Premissas!$A$4:$E$7,3,0))+K4647*VLOOKUP($B4647,Premissas!$A$4:$E$7,4,0)+L4647*VLOOKUP($B4647,Premissas!$A$4:$E$7,5,0))</f>
        <v/>
      </c>
      <c r="N4647" s="14">
        <f>H4647-M4647</f>
        <v/>
      </c>
      <c r="O4647" t="inlineStr">
        <is>
          <t>Sim</t>
        </is>
      </c>
      <c r="P4647" t="inlineStr">
        <is>
          <t>2.350</t>
        </is>
      </c>
    </row>
    <row r="4648">
      <c r="A4648" s="24" t="n">
        <v>46266</v>
      </c>
      <c r="B4648" t="inlineStr">
        <is>
          <t>Frete de venda</t>
        </is>
      </c>
      <c r="C4648" t="inlineStr">
        <is>
          <t>Frete de venda (para clientes)</t>
        </is>
      </c>
      <c r="D4648" t="inlineStr">
        <is>
          <t>CT-e</t>
        </is>
      </c>
      <c r="E4648" t="inlineStr">
        <is>
          <t>000000623</t>
        </is>
      </c>
      <c r="F4648" t="inlineStr">
        <is>
          <t>DURA MAIS TRANSPORTES LTDA</t>
        </is>
      </c>
      <c r="G4648" s="27" t="n">
        <v>46276</v>
      </c>
      <c r="H4648" s="14" t="n">
        <v>488.79</v>
      </c>
      <c r="I4648" s="14" t="n">
        <v>0</v>
      </c>
      <c r="J4648" s="14" t="n">
        <v>58.65</v>
      </c>
      <c r="K4648" s="14" t="n">
        <v>0</v>
      </c>
      <c r="L4648" s="14" t="n">
        <v>0</v>
      </c>
      <c r="M4648" s="14">
        <f>IF(B4648="Frete de venda",0,(1-ISNUMBER(SEARCH("556",P4648)))*(I4648*VLOOKUP($B4648,Premissas!$A$4:$E$7,2,0)+J4648*VLOOKUP($B4648,Premissas!$A$4:$E$7,3,0))+K4648*VLOOKUP($B4648,Premissas!$A$4:$E$7,4,0)+L4648*VLOOKUP($B4648,Premissas!$A$4:$E$7,5,0))</f>
        <v/>
      </c>
      <c r="N4648" s="14">
        <f>H4648-M4648</f>
        <v/>
      </c>
      <c r="O4648" t="inlineStr">
        <is>
          <t>Sim</t>
        </is>
      </c>
      <c r="P4648" t="inlineStr">
        <is>
          <t>2.350</t>
        </is>
      </c>
    </row>
    <row r="4649">
      <c r="A4649" s="24" t="n">
        <v>46266</v>
      </c>
      <c r="B4649" t="inlineStr">
        <is>
          <t>Frete de venda</t>
        </is>
      </c>
      <c r="C4649" t="inlineStr">
        <is>
          <t>Frete de venda (para clientes)</t>
        </is>
      </c>
      <c r="D4649" t="inlineStr">
        <is>
          <t>CT-e</t>
        </is>
      </c>
      <c r="E4649" t="inlineStr">
        <is>
          <t>000000468</t>
        </is>
      </c>
      <c r="F4649" t="inlineStr">
        <is>
          <t>DURA MAIS TRANSPORTES LTDA</t>
        </is>
      </c>
      <c r="G4649" s="27" t="n">
        <v>46266</v>
      </c>
      <c r="H4649" s="14" t="n">
        <v>1170</v>
      </c>
      <c r="I4649" s="14" t="n">
        <v>0</v>
      </c>
      <c r="J4649" s="14" t="n">
        <v>140.4</v>
      </c>
      <c r="K4649" s="14" t="n">
        <v>0</v>
      </c>
      <c r="L4649" s="14" t="n">
        <v>0</v>
      </c>
      <c r="M4649" s="14">
        <f>IF(B4649="Frete de venda",0,(1-ISNUMBER(SEARCH("556",P4649)))*(I4649*VLOOKUP($B4649,Premissas!$A$4:$E$7,2,0)+J4649*VLOOKUP($B4649,Premissas!$A$4:$E$7,3,0))+K4649*VLOOKUP($B4649,Premissas!$A$4:$E$7,4,0)+L4649*VLOOKUP($B4649,Premissas!$A$4:$E$7,5,0))</f>
        <v/>
      </c>
      <c r="N4649" s="14">
        <f>H4649-M4649</f>
        <v/>
      </c>
      <c r="O4649" t="inlineStr">
        <is>
          <t>Sim</t>
        </is>
      </c>
      <c r="P4649" t="inlineStr">
        <is>
          <t>2.350</t>
        </is>
      </c>
    </row>
    <row r="4650">
      <c r="A4650" s="24" t="n">
        <v>46266</v>
      </c>
      <c r="B4650" t="inlineStr">
        <is>
          <t>Frete de venda</t>
        </is>
      </c>
      <c r="C4650" t="inlineStr">
        <is>
          <t>Frete de venda (para clientes)</t>
        </is>
      </c>
      <c r="D4650" t="inlineStr">
        <is>
          <t>CT-e</t>
        </is>
      </c>
      <c r="E4650" t="inlineStr">
        <is>
          <t>000000814</t>
        </is>
      </c>
      <c r="F4650" t="inlineStr">
        <is>
          <t>DURA MAIS TRANSPORTES LTDA</t>
        </is>
      </c>
      <c r="G4650" s="27" t="n">
        <v>46288</v>
      </c>
      <c r="H4650" s="14" t="n">
        <v>1272.86</v>
      </c>
      <c r="I4650" s="14" t="n">
        <v>0</v>
      </c>
      <c r="J4650" s="14" t="n">
        <v>152.74</v>
      </c>
      <c r="K4650" s="14" t="n">
        <v>0</v>
      </c>
      <c r="L4650" s="14" t="n">
        <v>0</v>
      </c>
      <c r="M4650" s="14">
        <f>IF(B4650="Frete de venda",0,(1-ISNUMBER(SEARCH("556",P4650)))*(I4650*VLOOKUP($B4650,Premissas!$A$4:$E$7,2,0)+J4650*VLOOKUP($B4650,Premissas!$A$4:$E$7,3,0))+K4650*VLOOKUP($B4650,Premissas!$A$4:$E$7,4,0)+L4650*VLOOKUP($B4650,Premissas!$A$4:$E$7,5,0))</f>
        <v/>
      </c>
      <c r="N4650" s="14">
        <f>H4650-M4650</f>
        <v/>
      </c>
      <c r="O4650" t="inlineStr">
        <is>
          <t>Sim</t>
        </is>
      </c>
      <c r="P4650" t="inlineStr">
        <is>
          <t>2.350</t>
        </is>
      </c>
    </row>
    <row r="4651">
      <c r="A4651" s="24" t="n">
        <v>46266</v>
      </c>
      <c r="B4651" t="inlineStr">
        <is>
          <t>Frete de venda</t>
        </is>
      </c>
      <c r="C4651" t="inlineStr">
        <is>
          <t>Frete de venda (para clientes)</t>
        </is>
      </c>
      <c r="D4651" t="inlineStr">
        <is>
          <t>CT-e</t>
        </is>
      </c>
      <c r="E4651" t="inlineStr">
        <is>
          <t>000000610</t>
        </is>
      </c>
      <c r="F4651" t="inlineStr">
        <is>
          <t>DURA MAIS TRANSPORTES LTDA</t>
        </is>
      </c>
      <c r="G4651" s="27" t="n">
        <v>46275</v>
      </c>
      <c r="H4651" s="14" t="n">
        <v>977.58</v>
      </c>
      <c r="I4651" s="14" t="n">
        <v>0</v>
      </c>
      <c r="J4651" s="14" t="n">
        <v>117.31</v>
      </c>
      <c r="K4651" s="14" t="n">
        <v>0</v>
      </c>
      <c r="L4651" s="14" t="n">
        <v>0</v>
      </c>
      <c r="M4651" s="14">
        <f>IF(B4651="Frete de venda",0,(1-ISNUMBER(SEARCH("556",P4651)))*(I4651*VLOOKUP($B4651,Premissas!$A$4:$E$7,2,0)+J4651*VLOOKUP($B4651,Premissas!$A$4:$E$7,3,0))+K4651*VLOOKUP($B4651,Premissas!$A$4:$E$7,4,0)+L4651*VLOOKUP($B4651,Premissas!$A$4:$E$7,5,0))</f>
        <v/>
      </c>
      <c r="N4651" s="14">
        <f>H4651-M4651</f>
        <v/>
      </c>
      <c r="O4651" t="inlineStr">
        <is>
          <t>Sim</t>
        </is>
      </c>
      <c r="P4651" t="inlineStr">
        <is>
          <t>2.350</t>
        </is>
      </c>
    </row>
    <row r="4652">
      <c r="A4652" s="24" t="n">
        <v>46266</v>
      </c>
      <c r="B4652" t="inlineStr">
        <is>
          <t>Frete de venda</t>
        </is>
      </c>
      <c r="C4652" t="inlineStr">
        <is>
          <t>Frete de venda (para clientes)</t>
        </is>
      </c>
      <c r="D4652" t="inlineStr">
        <is>
          <t>CT-e</t>
        </is>
      </c>
      <c r="E4652" t="inlineStr">
        <is>
          <t>000000849</t>
        </is>
      </c>
      <c r="F4652" t="inlineStr">
        <is>
          <t>DURA MAIS TRANSPORTES LTDA</t>
        </is>
      </c>
      <c r="G4652" s="27" t="n">
        <v>46289</v>
      </c>
      <c r="H4652" s="14" t="n">
        <v>675</v>
      </c>
      <c r="I4652" s="14" t="n">
        <v>0</v>
      </c>
      <c r="J4652" s="14" t="n">
        <v>81</v>
      </c>
      <c r="K4652" s="14" t="n">
        <v>0</v>
      </c>
      <c r="L4652" s="14" t="n">
        <v>0</v>
      </c>
      <c r="M4652" s="14">
        <f>IF(B4652="Frete de venda",0,(1-ISNUMBER(SEARCH("556",P4652)))*(I4652*VLOOKUP($B4652,Premissas!$A$4:$E$7,2,0)+J4652*VLOOKUP($B4652,Premissas!$A$4:$E$7,3,0))+K4652*VLOOKUP($B4652,Premissas!$A$4:$E$7,4,0)+L4652*VLOOKUP($B4652,Premissas!$A$4:$E$7,5,0))</f>
        <v/>
      </c>
      <c r="N4652" s="14">
        <f>H4652-M4652</f>
        <v/>
      </c>
      <c r="O4652" t="inlineStr">
        <is>
          <t>Sim</t>
        </is>
      </c>
      <c r="P4652" t="inlineStr">
        <is>
          <t>2.350</t>
        </is>
      </c>
    </row>
    <row r="4653">
      <c r="A4653" s="24" t="n">
        <v>46266</v>
      </c>
      <c r="B4653" t="inlineStr">
        <is>
          <t>Frete de venda</t>
        </is>
      </c>
      <c r="C4653" t="inlineStr">
        <is>
          <t>Frete de venda (para clientes)</t>
        </is>
      </c>
      <c r="D4653" t="inlineStr">
        <is>
          <t>CT-e</t>
        </is>
      </c>
      <c r="E4653" t="inlineStr">
        <is>
          <t>001468579</t>
        </is>
      </c>
      <c r="F4653" t="inlineStr">
        <is>
          <t>PICCOLI TRANSPORTES LTDA</t>
        </is>
      </c>
      <c r="G4653" s="27" t="n">
        <v>46267</v>
      </c>
      <c r="H4653" s="14" t="n">
        <v>354.48</v>
      </c>
      <c r="I4653" s="14" t="n">
        <v>0</v>
      </c>
      <c r="J4653" s="14" t="n">
        <v>24.81</v>
      </c>
      <c r="K4653" s="14" t="n">
        <v>0</v>
      </c>
      <c r="L4653" s="14" t="n">
        <v>0</v>
      </c>
      <c r="M4653" s="14">
        <f>IF(B4653="Frete de venda",0,(1-ISNUMBER(SEARCH("556",P4653)))*(I4653*VLOOKUP($B4653,Premissas!$A$4:$E$7,2,0)+J4653*VLOOKUP($B4653,Premissas!$A$4:$E$7,3,0))+K4653*VLOOKUP($B4653,Premissas!$A$4:$E$7,4,0)+L4653*VLOOKUP($B4653,Premissas!$A$4:$E$7,5,0))</f>
        <v/>
      </c>
      <c r="N4653" s="14">
        <f>H4653-M4653</f>
        <v/>
      </c>
      <c r="O4653" t="inlineStr">
        <is>
          <t>Sim</t>
        </is>
      </c>
      <c r="P4653" t="inlineStr">
        <is>
          <t>2.350</t>
        </is>
      </c>
    </row>
    <row r="4654">
      <c r="A4654" s="24" t="n">
        <v>46266</v>
      </c>
      <c r="B4654" t="inlineStr">
        <is>
          <t>Frete de venda</t>
        </is>
      </c>
      <c r="C4654" t="inlineStr">
        <is>
          <t>Frete de venda (para clientes)</t>
        </is>
      </c>
      <c r="D4654" t="inlineStr">
        <is>
          <t>CT-e</t>
        </is>
      </c>
      <c r="E4654" t="inlineStr">
        <is>
          <t>000000500</t>
        </is>
      </c>
      <c r="F4654" t="inlineStr">
        <is>
          <t>DURA MAIS TRANSPORTES LTDA</t>
        </is>
      </c>
      <c r="G4654" s="27" t="n">
        <v>46267</v>
      </c>
      <c r="H4654" s="14" t="n">
        <v>817.1</v>
      </c>
      <c r="I4654" s="14" t="n">
        <v>0</v>
      </c>
      <c r="J4654" s="14" t="n">
        <v>98.05</v>
      </c>
      <c r="K4654" s="14" t="n">
        <v>0</v>
      </c>
      <c r="L4654" s="14" t="n">
        <v>0</v>
      </c>
      <c r="M4654" s="14">
        <f>IF(B4654="Frete de venda",0,(1-ISNUMBER(SEARCH("556",P4654)))*(I4654*VLOOKUP($B4654,Premissas!$A$4:$E$7,2,0)+J4654*VLOOKUP($B4654,Premissas!$A$4:$E$7,3,0))+K4654*VLOOKUP($B4654,Premissas!$A$4:$E$7,4,0)+L4654*VLOOKUP($B4654,Premissas!$A$4:$E$7,5,0))</f>
        <v/>
      </c>
      <c r="N4654" s="14">
        <f>H4654-M4654</f>
        <v/>
      </c>
      <c r="O4654" t="inlineStr">
        <is>
          <t>Sim</t>
        </is>
      </c>
      <c r="P4654" t="inlineStr">
        <is>
          <t>2.350</t>
        </is>
      </c>
    </row>
    <row r="4655">
      <c r="A4655" s="24" t="n">
        <v>46266</v>
      </c>
      <c r="B4655" t="inlineStr">
        <is>
          <t>Frete de venda</t>
        </is>
      </c>
      <c r="C4655" t="inlineStr">
        <is>
          <t>Frete de venda (para clientes)</t>
        </is>
      </c>
      <c r="D4655" t="inlineStr">
        <is>
          <t>CT-e</t>
        </is>
      </c>
      <c r="E4655" t="inlineStr">
        <is>
          <t>000000491</t>
        </is>
      </c>
      <c r="F4655" t="inlineStr">
        <is>
          <t>DURA MAIS TRANSPORTES LTDA</t>
        </is>
      </c>
      <c r="G4655" s="27" t="n">
        <v>46267</v>
      </c>
      <c r="H4655" s="14" t="n">
        <v>817.1</v>
      </c>
      <c r="I4655" s="14" t="n">
        <v>0</v>
      </c>
      <c r="J4655" s="14" t="n">
        <v>98.05</v>
      </c>
      <c r="K4655" s="14" t="n">
        <v>0</v>
      </c>
      <c r="L4655" s="14" t="n">
        <v>0</v>
      </c>
      <c r="M4655" s="14">
        <f>IF(B4655="Frete de venda",0,(1-ISNUMBER(SEARCH("556",P4655)))*(I4655*VLOOKUP($B4655,Premissas!$A$4:$E$7,2,0)+J4655*VLOOKUP($B4655,Premissas!$A$4:$E$7,3,0))+K4655*VLOOKUP($B4655,Premissas!$A$4:$E$7,4,0)+L4655*VLOOKUP($B4655,Premissas!$A$4:$E$7,5,0))</f>
        <v/>
      </c>
      <c r="N4655" s="14">
        <f>H4655-M4655</f>
        <v/>
      </c>
      <c r="O4655" t="inlineStr">
        <is>
          <t>Sim</t>
        </is>
      </c>
      <c r="P4655" t="inlineStr">
        <is>
          <t>2.350</t>
        </is>
      </c>
    </row>
    <row r="4656">
      <c r="A4656" s="24" t="n">
        <v>46266</v>
      </c>
      <c r="B4656" t="inlineStr">
        <is>
          <t>Frete de venda</t>
        </is>
      </c>
      <c r="C4656" t="inlineStr">
        <is>
          <t>Frete de venda (para clientes)</t>
        </is>
      </c>
      <c r="D4656" t="inlineStr">
        <is>
          <t>CT-e</t>
        </is>
      </c>
      <c r="E4656" t="inlineStr">
        <is>
          <t>000000616</t>
        </is>
      </c>
      <c r="F4656" t="inlineStr">
        <is>
          <t>DURA MAIS TRANSPORTES LTDA</t>
        </is>
      </c>
      <c r="G4656" s="27" t="n">
        <v>46275</v>
      </c>
      <c r="H4656" s="14" t="n">
        <v>977.58</v>
      </c>
      <c r="I4656" s="14" t="n">
        <v>0</v>
      </c>
      <c r="J4656" s="14" t="n">
        <v>117.31</v>
      </c>
      <c r="K4656" s="14" t="n">
        <v>0</v>
      </c>
      <c r="L4656" s="14" t="n">
        <v>0</v>
      </c>
      <c r="M4656" s="14">
        <f>IF(B4656="Frete de venda",0,(1-ISNUMBER(SEARCH("556",P4656)))*(I4656*VLOOKUP($B4656,Premissas!$A$4:$E$7,2,0)+J4656*VLOOKUP($B4656,Premissas!$A$4:$E$7,3,0))+K4656*VLOOKUP($B4656,Premissas!$A$4:$E$7,4,0)+L4656*VLOOKUP($B4656,Premissas!$A$4:$E$7,5,0))</f>
        <v/>
      </c>
      <c r="N4656" s="14">
        <f>H4656-M4656</f>
        <v/>
      </c>
      <c r="O4656" t="inlineStr">
        <is>
          <t>Sim</t>
        </is>
      </c>
      <c r="P4656" t="inlineStr">
        <is>
          <t>2.350</t>
        </is>
      </c>
    </row>
    <row r="4657">
      <c r="A4657" s="24" t="n">
        <v>46266</v>
      </c>
      <c r="B4657" t="inlineStr">
        <is>
          <t>Frete de venda</t>
        </is>
      </c>
      <c r="C4657" t="inlineStr">
        <is>
          <t>Frete de venda (para clientes)</t>
        </is>
      </c>
      <c r="D4657" t="inlineStr">
        <is>
          <t>CT-e</t>
        </is>
      </c>
      <c r="E4657" t="inlineStr">
        <is>
          <t>000000641</t>
        </is>
      </c>
      <c r="F4657" t="inlineStr">
        <is>
          <t>DURA MAIS TRANSPORTES LTDA</t>
        </is>
      </c>
      <c r="G4657" s="27" t="n">
        <v>46277</v>
      </c>
      <c r="H4657" s="14" t="n">
        <v>817.1</v>
      </c>
      <c r="I4657" s="14" t="n">
        <v>0</v>
      </c>
      <c r="J4657" s="14" t="n">
        <v>98.05</v>
      </c>
      <c r="K4657" s="14" t="n">
        <v>0</v>
      </c>
      <c r="L4657" s="14" t="n">
        <v>0</v>
      </c>
      <c r="M4657" s="14">
        <f>IF(B4657="Frete de venda",0,(1-ISNUMBER(SEARCH("556",P4657)))*(I4657*VLOOKUP($B4657,Premissas!$A$4:$E$7,2,0)+J4657*VLOOKUP($B4657,Premissas!$A$4:$E$7,3,0))+K4657*VLOOKUP($B4657,Premissas!$A$4:$E$7,4,0)+L4657*VLOOKUP($B4657,Premissas!$A$4:$E$7,5,0))</f>
        <v/>
      </c>
      <c r="N4657" s="14">
        <f>H4657-M4657</f>
        <v/>
      </c>
      <c r="O4657" t="inlineStr">
        <is>
          <t>Sim</t>
        </is>
      </c>
      <c r="P4657" t="inlineStr">
        <is>
          <t>2.350</t>
        </is>
      </c>
    </row>
    <row r="4658">
      <c r="A4658" s="24" t="n">
        <v>46266</v>
      </c>
      <c r="B4658" t="inlineStr">
        <is>
          <t>Frete de venda</t>
        </is>
      </c>
      <c r="C4658" t="inlineStr">
        <is>
          <t>Frete de venda (para clientes)</t>
        </is>
      </c>
      <c r="D4658" t="inlineStr">
        <is>
          <t>CT-e</t>
        </is>
      </c>
      <c r="E4658" t="inlineStr">
        <is>
          <t>000000647</t>
        </is>
      </c>
      <c r="F4658" t="inlineStr">
        <is>
          <t>DURA MAIS TRANSPORTES LTDA</t>
        </is>
      </c>
      <c r="G4658" s="27" t="n">
        <v>46277</v>
      </c>
      <c r="H4658" s="14" t="n">
        <v>817.1</v>
      </c>
      <c r="I4658" s="14" t="n">
        <v>0</v>
      </c>
      <c r="J4658" s="14" t="n">
        <v>98.05</v>
      </c>
      <c r="K4658" s="14" t="n">
        <v>0</v>
      </c>
      <c r="L4658" s="14" t="n">
        <v>0</v>
      </c>
      <c r="M4658" s="14">
        <f>IF(B4658="Frete de venda",0,(1-ISNUMBER(SEARCH("556",P4658)))*(I4658*VLOOKUP($B4658,Premissas!$A$4:$E$7,2,0)+J4658*VLOOKUP($B4658,Premissas!$A$4:$E$7,3,0))+K4658*VLOOKUP($B4658,Premissas!$A$4:$E$7,4,0)+L4658*VLOOKUP($B4658,Premissas!$A$4:$E$7,5,0))</f>
        <v/>
      </c>
      <c r="N4658" s="14">
        <f>H4658-M4658</f>
        <v/>
      </c>
      <c r="O4658" t="inlineStr">
        <is>
          <t>Sim</t>
        </is>
      </c>
      <c r="P4658" t="inlineStr">
        <is>
          <t>2.350</t>
        </is>
      </c>
    </row>
    <row r="4659">
      <c r="A4659" s="24" t="n">
        <v>46266</v>
      </c>
      <c r="B4659" t="inlineStr">
        <is>
          <t>Frete de venda</t>
        </is>
      </c>
      <c r="C4659" t="inlineStr">
        <is>
          <t>Frete de venda (para clientes)</t>
        </is>
      </c>
      <c r="D4659" t="inlineStr">
        <is>
          <t>CT-e</t>
        </is>
      </c>
      <c r="E4659" t="inlineStr">
        <is>
          <t>000000503</t>
        </is>
      </c>
      <c r="F4659" t="inlineStr">
        <is>
          <t>DURA MAIS TRANSPORTES LTDA</t>
        </is>
      </c>
      <c r="G4659" s="27" t="n">
        <v>46267</v>
      </c>
      <c r="H4659" s="14" t="n">
        <v>817.1</v>
      </c>
      <c r="I4659" s="14" t="n">
        <v>0</v>
      </c>
      <c r="J4659" s="14" t="n">
        <v>98.05</v>
      </c>
      <c r="K4659" s="14" t="n">
        <v>0</v>
      </c>
      <c r="L4659" s="14" t="n">
        <v>0</v>
      </c>
      <c r="M4659" s="14">
        <f>IF(B4659="Frete de venda",0,(1-ISNUMBER(SEARCH("556",P4659)))*(I4659*VLOOKUP($B4659,Premissas!$A$4:$E$7,2,0)+J4659*VLOOKUP($B4659,Premissas!$A$4:$E$7,3,0))+K4659*VLOOKUP($B4659,Premissas!$A$4:$E$7,4,0)+L4659*VLOOKUP($B4659,Premissas!$A$4:$E$7,5,0))</f>
        <v/>
      </c>
      <c r="N4659" s="14">
        <f>H4659-M4659</f>
        <v/>
      </c>
      <c r="O4659" t="inlineStr">
        <is>
          <t>Sim</t>
        </is>
      </c>
      <c r="P4659" t="inlineStr">
        <is>
          <t>2.350</t>
        </is>
      </c>
    </row>
    <row r="4660">
      <c r="A4660" s="24" t="n">
        <v>46266</v>
      </c>
      <c r="B4660" t="inlineStr">
        <is>
          <t>Frete de venda</t>
        </is>
      </c>
      <c r="C4660" t="inlineStr">
        <is>
          <t>Frete de venda (para clientes)</t>
        </is>
      </c>
      <c r="D4660" t="inlineStr">
        <is>
          <t>CT-e</t>
        </is>
      </c>
      <c r="E4660" t="inlineStr">
        <is>
          <t>000000465</t>
        </is>
      </c>
      <c r="F4660" t="inlineStr">
        <is>
          <t>DURA MAIS TRANSPORTES LTDA</t>
        </is>
      </c>
      <c r="G4660" s="27" t="n">
        <v>46266</v>
      </c>
      <c r="H4660" s="14" t="n">
        <v>1170</v>
      </c>
      <c r="I4660" s="14" t="n">
        <v>0</v>
      </c>
      <c r="J4660" s="14" t="n">
        <v>140.4</v>
      </c>
      <c r="K4660" s="14" t="n">
        <v>0</v>
      </c>
      <c r="L4660" s="14" t="n">
        <v>0</v>
      </c>
      <c r="M4660" s="14">
        <f>IF(B4660="Frete de venda",0,(1-ISNUMBER(SEARCH("556",P4660)))*(I4660*VLOOKUP($B4660,Premissas!$A$4:$E$7,2,0)+J4660*VLOOKUP($B4660,Premissas!$A$4:$E$7,3,0))+K4660*VLOOKUP($B4660,Premissas!$A$4:$E$7,4,0)+L4660*VLOOKUP($B4660,Premissas!$A$4:$E$7,5,0))</f>
        <v/>
      </c>
      <c r="N4660" s="14">
        <f>H4660-M4660</f>
        <v/>
      </c>
      <c r="O4660" t="inlineStr">
        <is>
          <t>Sim</t>
        </is>
      </c>
      <c r="P4660" t="inlineStr">
        <is>
          <t>2.350</t>
        </is>
      </c>
    </row>
    <row r="4661">
      <c r="A4661" s="24" t="n">
        <v>46266</v>
      </c>
      <c r="B4661" t="inlineStr">
        <is>
          <t>Frete de venda</t>
        </is>
      </c>
      <c r="C4661" t="inlineStr">
        <is>
          <t>Frete de venda (para clientes)</t>
        </is>
      </c>
      <c r="D4661" t="inlineStr">
        <is>
          <t>CT-e</t>
        </is>
      </c>
      <c r="E4661" t="inlineStr">
        <is>
          <t>000000639</t>
        </is>
      </c>
      <c r="F4661" t="inlineStr">
        <is>
          <t>DURA MAIS TRANSPORTES LTDA</t>
        </is>
      </c>
      <c r="G4661" s="27" t="n">
        <v>46277</v>
      </c>
      <c r="H4661" s="14" t="n">
        <v>817.1</v>
      </c>
      <c r="I4661" s="14" t="n">
        <v>0</v>
      </c>
      <c r="J4661" s="14" t="n">
        <v>98.05</v>
      </c>
      <c r="K4661" s="14" t="n">
        <v>0</v>
      </c>
      <c r="L4661" s="14" t="n">
        <v>0</v>
      </c>
      <c r="M4661" s="14">
        <f>IF(B4661="Frete de venda",0,(1-ISNUMBER(SEARCH("556",P4661)))*(I4661*VLOOKUP($B4661,Premissas!$A$4:$E$7,2,0)+J4661*VLOOKUP($B4661,Premissas!$A$4:$E$7,3,0))+K4661*VLOOKUP($B4661,Premissas!$A$4:$E$7,4,0)+L4661*VLOOKUP($B4661,Premissas!$A$4:$E$7,5,0))</f>
        <v/>
      </c>
      <c r="N4661" s="14">
        <f>H4661-M4661</f>
        <v/>
      </c>
      <c r="O4661" t="inlineStr">
        <is>
          <t>Sim</t>
        </is>
      </c>
      <c r="P4661" t="inlineStr">
        <is>
          <t>2.350</t>
        </is>
      </c>
    </row>
    <row r="4662">
      <c r="A4662" s="24" t="n">
        <v>46266</v>
      </c>
      <c r="B4662" t="inlineStr">
        <is>
          <t>Frete de venda</t>
        </is>
      </c>
      <c r="C4662" t="inlineStr">
        <is>
          <t>Frete de venda (para clientes)</t>
        </is>
      </c>
      <c r="D4662" t="inlineStr">
        <is>
          <t>CT-e</t>
        </is>
      </c>
      <c r="E4662" t="inlineStr">
        <is>
          <t>000000501</t>
        </is>
      </c>
      <c r="F4662" t="inlineStr">
        <is>
          <t>DURA MAIS TRANSPORTES LTDA</t>
        </is>
      </c>
      <c r="G4662" s="27" t="n">
        <v>46267</v>
      </c>
      <c r="H4662" s="14" t="n">
        <v>817.1</v>
      </c>
      <c r="I4662" s="14" t="n">
        <v>0</v>
      </c>
      <c r="J4662" s="14" t="n">
        <v>98.05</v>
      </c>
      <c r="K4662" s="14" t="n">
        <v>0</v>
      </c>
      <c r="L4662" s="14" t="n">
        <v>0</v>
      </c>
      <c r="M4662" s="14">
        <f>IF(B4662="Frete de venda",0,(1-ISNUMBER(SEARCH("556",P4662)))*(I4662*VLOOKUP($B4662,Premissas!$A$4:$E$7,2,0)+J4662*VLOOKUP($B4662,Premissas!$A$4:$E$7,3,0))+K4662*VLOOKUP($B4662,Premissas!$A$4:$E$7,4,0)+L4662*VLOOKUP($B4662,Premissas!$A$4:$E$7,5,0))</f>
        <v/>
      </c>
      <c r="N4662" s="14">
        <f>H4662-M4662</f>
        <v/>
      </c>
      <c r="O4662" t="inlineStr">
        <is>
          <t>Sim</t>
        </is>
      </c>
      <c r="P4662" t="inlineStr">
        <is>
          <t>2.350</t>
        </is>
      </c>
    </row>
    <row r="4663">
      <c r="A4663" s="24" t="n">
        <v>46266</v>
      </c>
      <c r="B4663" t="inlineStr">
        <is>
          <t>Frete de venda</t>
        </is>
      </c>
      <c r="C4663" t="inlineStr">
        <is>
          <t>Frete de venda (para clientes)</t>
        </is>
      </c>
      <c r="D4663" t="inlineStr">
        <is>
          <t>CT-e</t>
        </is>
      </c>
      <c r="E4663" t="inlineStr">
        <is>
          <t>000000793</t>
        </is>
      </c>
      <c r="F4663" t="inlineStr">
        <is>
          <t>DURA MAIS TRANSPORTES LTDA</t>
        </is>
      </c>
      <c r="G4663" s="27" t="n">
        <v>46287</v>
      </c>
      <c r="H4663" s="14" t="n">
        <v>848.5700000000001</v>
      </c>
      <c r="I4663" s="14" t="n">
        <v>0</v>
      </c>
      <c r="J4663" s="14" t="n">
        <v>101.83</v>
      </c>
      <c r="K4663" s="14" t="n">
        <v>0</v>
      </c>
      <c r="L4663" s="14" t="n">
        <v>0</v>
      </c>
      <c r="M4663" s="14">
        <f>IF(B4663="Frete de venda",0,(1-ISNUMBER(SEARCH("556",P4663)))*(I4663*VLOOKUP($B4663,Premissas!$A$4:$E$7,2,0)+J4663*VLOOKUP($B4663,Premissas!$A$4:$E$7,3,0))+K4663*VLOOKUP($B4663,Premissas!$A$4:$E$7,4,0)+L4663*VLOOKUP($B4663,Premissas!$A$4:$E$7,5,0))</f>
        <v/>
      </c>
      <c r="N4663" s="14">
        <f>H4663-M4663</f>
        <v/>
      </c>
      <c r="O4663" t="inlineStr">
        <is>
          <t>Sim</t>
        </is>
      </c>
      <c r="P4663" t="inlineStr">
        <is>
          <t>2.350</t>
        </is>
      </c>
    </row>
    <row r="4664">
      <c r="A4664" s="24" t="n">
        <v>46266</v>
      </c>
      <c r="B4664" t="inlineStr">
        <is>
          <t>Frete de venda</t>
        </is>
      </c>
      <c r="C4664" t="inlineStr">
        <is>
          <t>Frete de venda (para clientes)</t>
        </is>
      </c>
      <c r="D4664" t="inlineStr">
        <is>
          <t>CT-e</t>
        </is>
      </c>
      <c r="E4664" t="inlineStr">
        <is>
          <t>000000463</t>
        </is>
      </c>
      <c r="F4664" t="inlineStr">
        <is>
          <t>DURA MAIS TRANSPORTES LTDA</t>
        </is>
      </c>
      <c r="G4664" s="27" t="n">
        <v>46266</v>
      </c>
      <c r="H4664" s="14" t="n">
        <v>1170</v>
      </c>
      <c r="I4664" s="14" t="n">
        <v>0</v>
      </c>
      <c r="J4664" s="14" t="n">
        <v>140.4</v>
      </c>
      <c r="K4664" s="14" t="n">
        <v>0</v>
      </c>
      <c r="L4664" s="14" t="n">
        <v>0</v>
      </c>
      <c r="M4664" s="14">
        <f>IF(B4664="Frete de venda",0,(1-ISNUMBER(SEARCH("556",P4664)))*(I4664*VLOOKUP($B4664,Premissas!$A$4:$E$7,2,0)+J4664*VLOOKUP($B4664,Premissas!$A$4:$E$7,3,0))+K4664*VLOOKUP($B4664,Premissas!$A$4:$E$7,4,0)+L4664*VLOOKUP($B4664,Premissas!$A$4:$E$7,5,0))</f>
        <v/>
      </c>
      <c r="N4664" s="14">
        <f>H4664-M4664</f>
        <v/>
      </c>
      <c r="O4664" t="inlineStr">
        <is>
          <t>Sim</t>
        </is>
      </c>
      <c r="P4664" t="inlineStr">
        <is>
          <t>2.350</t>
        </is>
      </c>
    </row>
    <row r="4665">
      <c r="A4665" s="24" t="n">
        <v>46266</v>
      </c>
      <c r="B4665" t="inlineStr">
        <is>
          <t>Frete de venda</t>
        </is>
      </c>
      <c r="C4665" t="inlineStr">
        <is>
          <t>Frete de venda (para clientes)</t>
        </is>
      </c>
      <c r="D4665" t="inlineStr">
        <is>
          <t>CT-e</t>
        </is>
      </c>
      <c r="E4665" t="inlineStr">
        <is>
          <t>000000478</t>
        </is>
      </c>
      <c r="F4665" t="inlineStr">
        <is>
          <t>DURA MAIS TRANSPORTES LTDA</t>
        </is>
      </c>
      <c r="G4665" s="27" t="n">
        <v>46266</v>
      </c>
      <c r="H4665" s="14" t="n">
        <v>1170</v>
      </c>
      <c r="I4665" s="14" t="n">
        <v>0</v>
      </c>
      <c r="J4665" s="14" t="n">
        <v>140.4</v>
      </c>
      <c r="K4665" s="14" t="n">
        <v>0</v>
      </c>
      <c r="L4665" s="14" t="n">
        <v>0</v>
      </c>
      <c r="M4665" s="14">
        <f>IF(B4665="Frete de venda",0,(1-ISNUMBER(SEARCH("556",P4665)))*(I4665*VLOOKUP($B4665,Premissas!$A$4:$E$7,2,0)+J4665*VLOOKUP($B4665,Premissas!$A$4:$E$7,3,0))+K4665*VLOOKUP($B4665,Premissas!$A$4:$E$7,4,0)+L4665*VLOOKUP($B4665,Premissas!$A$4:$E$7,5,0))</f>
        <v/>
      </c>
      <c r="N4665" s="14">
        <f>H4665-M4665</f>
        <v/>
      </c>
      <c r="O4665" t="inlineStr">
        <is>
          <t>Sim</t>
        </is>
      </c>
      <c r="P4665" t="inlineStr">
        <is>
          <t>2.350</t>
        </is>
      </c>
    </row>
    <row r="4666">
      <c r="A4666" s="24" t="n">
        <v>46266</v>
      </c>
      <c r="B4666" t="inlineStr">
        <is>
          <t>Frete de venda</t>
        </is>
      </c>
      <c r="C4666" t="inlineStr">
        <is>
          <t>Frete de venda (para clientes)</t>
        </is>
      </c>
      <c r="D4666" t="inlineStr">
        <is>
          <t>CT-e</t>
        </is>
      </c>
      <c r="E4666" t="inlineStr">
        <is>
          <t>000000484</t>
        </is>
      </c>
      <c r="F4666" t="inlineStr">
        <is>
          <t>DURA MAIS TRANSPORTES LTDA</t>
        </is>
      </c>
      <c r="G4666" s="27" t="n">
        <v>46267</v>
      </c>
      <c r="H4666" s="14" t="n">
        <v>1170</v>
      </c>
      <c r="I4666" s="14" t="n">
        <v>0</v>
      </c>
      <c r="J4666" s="14" t="n">
        <v>140.4</v>
      </c>
      <c r="K4666" s="14" t="n">
        <v>0</v>
      </c>
      <c r="L4666" s="14" t="n">
        <v>0</v>
      </c>
      <c r="M4666" s="14">
        <f>IF(B4666="Frete de venda",0,(1-ISNUMBER(SEARCH("556",P4666)))*(I4666*VLOOKUP($B4666,Premissas!$A$4:$E$7,2,0)+J4666*VLOOKUP($B4666,Premissas!$A$4:$E$7,3,0))+K4666*VLOOKUP($B4666,Premissas!$A$4:$E$7,4,0)+L4666*VLOOKUP($B4666,Premissas!$A$4:$E$7,5,0))</f>
        <v/>
      </c>
      <c r="N4666" s="14">
        <f>H4666-M4666</f>
        <v/>
      </c>
      <c r="O4666" t="inlineStr">
        <is>
          <t>Sim</t>
        </is>
      </c>
      <c r="P4666" t="inlineStr">
        <is>
          <t>2.350</t>
        </is>
      </c>
    </row>
    <row r="4667">
      <c r="A4667" s="24" t="n">
        <v>46266</v>
      </c>
      <c r="B4667" t="inlineStr">
        <is>
          <t>Frete de venda</t>
        </is>
      </c>
      <c r="C4667" t="inlineStr">
        <is>
          <t>Frete de venda (para clientes)</t>
        </is>
      </c>
      <c r="D4667" t="inlineStr">
        <is>
          <t>CT-e</t>
        </is>
      </c>
      <c r="E4667" t="inlineStr">
        <is>
          <t>000000798</t>
        </is>
      </c>
      <c r="F4667" t="inlineStr">
        <is>
          <t>DURA MAIS TRANSPORTES LTDA</t>
        </is>
      </c>
      <c r="G4667" s="27" t="n">
        <v>46287</v>
      </c>
      <c r="H4667" s="14" t="n">
        <v>848.5700000000001</v>
      </c>
      <c r="I4667" s="14" t="n">
        <v>0</v>
      </c>
      <c r="J4667" s="14" t="n">
        <v>101.83</v>
      </c>
      <c r="K4667" s="14" t="n">
        <v>0</v>
      </c>
      <c r="L4667" s="14" t="n">
        <v>0</v>
      </c>
      <c r="M4667" s="14">
        <f>IF(B4667="Frete de venda",0,(1-ISNUMBER(SEARCH("556",P4667)))*(I4667*VLOOKUP($B4667,Premissas!$A$4:$E$7,2,0)+J4667*VLOOKUP($B4667,Premissas!$A$4:$E$7,3,0))+K4667*VLOOKUP($B4667,Premissas!$A$4:$E$7,4,0)+L4667*VLOOKUP($B4667,Premissas!$A$4:$E$7,5,0))</f>
        <v/>
      </c>
      <c r="N4667" s="14">
        <f>H4667-M4667</f>
        <v/>
      </c>
      <c r="O4667" t="inlineStr">
        <is>
          <t>Sim</t>
        </is>
      </c>
      <c r="P4667" t="inlineStr">
        <is>
          <t>2.350</t>
        </is>
      </c>
    </row>
    <row r="4668">
      <c r="A4668" s="24" t="n">
        <v>46266</v>
      </c>
      <c r="B4668" t="inlineStr">
        <is>
          <t>Frete de venda</t>
        </is>
      </c>
      <c r="C4668" t="inlineStr">
        <is>
          <t>Frete de venda (para clientes)</t>
        </is>
      </c>
      <c r="D4668" t="inlineStr">
        <is>
          <t>CT-e</t>
        </is>
      </c>
      <c r="E4668" t="inlineStr">
        <is>
          <t>000000805</t>
        </is>
      </c>
      <c r="F4668" t="inlineStr">
        <is>
          <t>DURA MAIS TRANSPORTES LTDA</t>
        </is>
      </c>
      <c r="G4668" s="27" t="n">
        <v>46287</v>
      </c>
      <c r="H4668" s="14" t="n">
        <v>848.5700000000001</v>
      </c>
      <c r="I4668" s="14" t="n">
        <v>0</v>
      </c>
      <c r="J4668" s="14" t="n">
        <v>101.83</v>
      </c>
      <c r="K4668" s="14" t="n">
        <v>0</v>
      </c>
      <c r="L4668" s="14" t="n">
        <v>0</v>
      </c>
      <c r="M4668" s="14">
        <f>IF(B4668="Frete de venda",0,(1-ISNUMBER(SEARCH("556",P4668)))*(I4668*VLOOKUP($B4668,Premissas!$A$4:$E$7,2,0)+J4668*VLOOKUP($B4668,Premissas!$A$4:$E$7,3,0))+K4668*VLOOKUP($B4668,Premissas!$A$4:$E$7,4,0)+L4668*VLOOKUP($B4668,Premissas!$A$4:$E$7,5,0))</f>
        <v/>
      </c>
      <c r="N4668" s="14">
        <f>H4668-M4668</f>
        <v/>
      </c>
      <c r="O4668" t="inlineStr">
        <is>
          <t>Sim</t>
        </is>
      </c>
      <c r="P4668" t="inlineStr">
        <is>
          <t>2.350</t>
        </is>
      </c>
    </row>
    <row r="4669">
      <c r="A4669" s="24" t="n">
        <v>46266</v>
      </c>
      <c r="B4669" t="inlineStr">
        <is>
          <t>Frete de venda</t>
        </is>
      </c>
      <c r="C4669" t="inlineStr">
        <is>
          <t>Frete de venda (para clientes)</t>
        </is>
      </c>
      <c r="D4669" t="inlineStr">
        <is>
          <t>CT-e</t>
        </is>
      </c>
      <c r="E4669" t="inlineStr">
        <is>
          <t>000000715</t>
        </is>
      </c>
      <c r="F4669" t="inlineStr">
        <is>
          <t>DURA MAIS TRANSPORTES LTDA</t>
        </is>
      </c>
      <c r="G4669" s="27" t="n">
        <v>46283</v>
      </c>
      <c r="H4669" s="14" t="n">
        <v>833.8200000000001</v>
      </c>
      <c r="I4669" s="14" t="n">
        <v>0</v>
      </c>
      <c r="J4669" s="14" t="n">
        <v>100.06</v>
      </c>
      <c r="K4669" s="14" t="n">
        <v>0</v>
      </c>
      <c r="L4669" s="14" t="n">
        <v>0</v>
      </c>
      <c r="M4669" s="14">
        <f>IF(B4669="Frete de venda",0,(1-ISNUMBER(SEARCH("556",P4669)))*(I4669*VLOOKUP($B4669,Premissas!$A$4:$E$7,2,0)+J4669*VLOOKUP($B4669,Premissas!$A$4:$E$7,3,0))+K4669*VLOOKUP($B4669,Premissas!$A$4:$E$7,4,0)+L4669*VLOOKUP($B4669,Premissas!$A$4:$E$7,5,0))</f>
        <v/>
      </c>
      <c r="N4669" s="14">
        <f>H4669-M4669</f>
        <v/>
      </c>
      <c r="O4669" t="inlineStr">
        <is>
          <t>Sim</t>
        </is>
      </c>
      <c r="P4669" t="inlineStr">
        <is>
          <t>2.350</t>
        </is>
      </c>
    </row>
    <row r="4670">
      <c r="A4670" s="24" t="n">
        <v>46266</v>
      </c>
      <c r="B4670" t="inlineStr">
        <is>
          <t>Frete de venda</t>
        </is>
      </c>
      <c r="C4670" t="inlineStr">
        <is>
          <t>Frete de venda (para clientes)</t>
        </is>
      </c>
      <c r="D4670" t="inlineStr">
        <is>
          <t>CT-e</t>
        </is>
      </c>
      <c r="E4670" t="inlineStr">
        <is>
          <t>000000842</t>
        </is>
      </c>
      <c r="F4670" t="inlineStr">
        <is>
          <t>DURA MAIS TRANSPORTES LTDA</t>
        </is>
      </c>
      <c r="G4670" s="27" t="n">
        <v>46288</v>
      </c>
      <c r="H4670" s="14" t="n">
        <v>900</v>
      </c>
      <c r="I4670" s="14" t="n">
        <v>0</v>
      </c>
      <c r="J4670" s="14" t="n">
        <v>108</v>
      </c>
      <c r="K4670" s="14" t="n">
        <v>0</v>
      </c>
      <c r="L4670" s="14" t="n">
        <v>0</v>
      </c>
      <c r="M4670" s="14">
        <f>IF(B4670="Frete de venda",0,(1-ISNUMBER(SEARCH("556",P4670)))*(I4670*VLOOKUP($B4670,Premissas!$A$4:$E$7,2,0)+J4670*VLOOKUP($B4670,Premissas!$A$4:$E$7,3,0))+K4670*VLOOKUP($B4670,Premissas!$A$4:$E$7,4,0)+L4670*VLOOKUP($B4670,Premissas!$A$4:$E$7,5,0))</f>
        <v/>
      </c>
      <c r="N4670" s="14">
        <f>H4670-M4670</f>
        <v/>
      </c>
      <c r="O4670" t="inlineStr">
        <is>
          <t>Sim</t>
        </is>
      </c>
      <c r="P4670" t="inlineStr">
        <is>
          <t>2.350</t>
        </is>
      </c>
    </row>
    <row r="4671">
      <c r="A4671" s="24" t="n">
        <v>46266</v>
      </c>
      <c r="B4671" t="inlineStr">
        <is>
          <t>Frete de venda</t>
        </is>
      </c>
      <c r="C4671" t="inlineStr">
        <is>
          <t>Frete de venda (para clientes)</t>
        </is>
      </c>
      <c r="D4671" t="inlineStr">
        <is>
          <t>CT-e</t>
        </is>
      </c>
      <c r="E4671" t="inlineStr">
        <is>
          <t>000000803</t>
        </is>
      </c>
      <c r="F4671" t="inlineStr">
        <is>
          <t>DURA MAIS TRANSPORTES LTDA</t>
        </is>
      </c>
      <c r="G4671" s="27" t="n">
        <v>46287</v>
      </c>
      <c r="H4671" s="14" t="n">
        <v>848.5700000000001</v>
      </c>
      <c r="I4671" s="14" t="n">
        <v>0</v>
      </c>
      <c r="J4671" s="14" t="n">
        <v>101.83</v>
      </c>
      <c r="K4671" s="14" t="n">
        <v>0</v>
      </c>
      <c r="L4671" s="14" t="n">
        <v>0</v>
      </c>
      <c r="M4671" s="14">
        <f>IF(B4671="Frete de venda",0,(1-ISNUMBER(SEARCH("556",P4671)))*(I4671*VLOOKUP($B4671,Premissas!$A$4:$E$7,2,0)+J4671*VLOOKUP($B4671,Premissas!$A$4:$E$7,3,0))+K4671*VLOOKUP($B4671,Premissas!$A$4:$E$7,4,0)+L4671*VLOOKUP($B4671,Premissas!$A$4:$E$7,5,0))</f>
        <v/>
      </c>
      <c r="N4671" s="14">
        <f>H4671-M4671</f>
        <v/>
      </c>
      <c r="O4671" t="inlineStr">
        <is>
          <t>Sim</t>
        </is>
      </c>
      <c r="P4671" t="inlineStr">
        <is>
          <t>2.350</t>
        </is>
      </c>
    </row>
    <row r="4672">
      <c r="A4672" s="24" t="n">
        <v>46266</v>
      </c>
      <c r="B4672" t="inlineStr">
        <is>
          <t>Frete de venda</t>
        </is>
      </c>
      <c r="C4672" t="inlineStr">
        <is>
          <t>Frete de venda (para clientes)</t>
        </is>
      </c>
      <c r="D4672" t="inlineStr">
        <is>
          <t>CT-e</t>
        </is>
      </c>
      <c r="E4672" t="inlineStr">
        <is>
          <t>000000495</t>
        </is>
      </c>
      <c r="F4672" t="inlineStr">
        <is>
          <t>DURA MAIS TRANSPORTES LTDA</t>
        </is>
      </c>
      <c r="G4672" s="27" t="n">
        <v>46267</v>
      </c>
      <c r="H4672" s="14" t="n">
        <v>817.1</v>
      </c>
      <c r="I4672" s="14" t="n">
        <v>0</v>
      </c>
      <c r="J4672" s="14" t="n">
        <v>98.05</v>
      </c>
      <c r="K4672" s="14" t="n">
        <v>0</v>
      </c>
      <c r="L4672" s="14" t="n">
        <v>0</v>
      </c>
      <c r="M4672" s="14">
        <f>IF(B4672="Frete de venda",0,(1-ISNUMBER(SEARCH("556",P4672)))*(I4672*VLOOKUP($B4672,Premissas!$A$4:$E$7,2,0)+J4672*VLOOKUP($B4672,Premissas!$A$4:$E$7,3,0))+K4672*VLOOKUP($B4672,Premissas!$A$4:$E$7,4,0)+L4672*VLOOKUP($B4672,Premissas!$A$4:$E$7,5,0))</f>
        <v/>
      </c>
      <c r="N4672" s="14">
        <f>H4672-M4672</f>
        <v/>
      </c>
      <c r="O4672" t="inlineStr">
        <is>
          <t>Sim</t>
        </is>
      </c>
      <c r="P4672" t="inlineStr">
        <is>
          <t>2.350</t>
        </is>
      </c>
    </row>
    <row r="4673">
      <c r="A4673" s="24" t="n">
        <v>46266</v>
      </c>
      <c r="B4673" t="inlineStr">
        <is>
          <t>Frete de venda</t>
        </is>
      </c>
      <c r="C4673" t="inlineStr">
        <is>
          <t>Frete de venda (para clientes)</t>
        </is>
      </c>
      <c r="D4673" t="inlineStr">
        <is>
          <t>CT-e</t>
        </is>
      </c>
      <c r="E4673" t="inlineStr">
        <is>
          <t>000000607</t>
        </is>
      </c>
      <c r="F4673" t="inlineStr">
        <is>
          <t>DURA MAIS TRANSPORTES LTDA</t>
        </is>
      </c>
      <c r="G4673" s="27" t="n">
        <v>46275</v>
      </c>
      <c r="H4673" s="14" t="n">
        <v>488.79</v>
      </c>
      <c r="I4673" s="14" t="n">
        <v>0</v>
      </c>
      <c r="J4673" s="14" t="n">
        <v>58.65</v>
      </c>
      <c r="K4673" s="14" t="n">
        <v>0</v>
      </c>
      <c r="L4673" s="14" t="n">
        <v>0</v>
      </c>
      <c r="M4673" s="14">
        <f>IF(B4673="Frete de venda",0,(1-ISNUMBER(SEARCH("556",P4673)))*(I4673*VLOOKUP($B4673,Premissas!$A$4:$E$7,2,0)+J4673*VLOOKUP($B4673,Premissas!$A$4:$E$7,3,0))+K4673*VLOOKUP($B4673,Premissas!$A$4:$E$7,4,0)+L4673*VLOOKUP($B4673,Premissas!$A$4:$E$7,5,0))</f>
        <v/>
      </c>
      <c r="N4673" s="14">
        <f>H4673-M4673</f>
        <v/>
      </c>
      <c r="O4673" t="inlineStr">
        <is>
          <t>Sim</t>
        </is>
      </c>
      <c r="P4673" t="inlineStr">
        <is>
          <t>2.350</t>
        </is>
      </c>
    </row>
    <row r="4674">
      <c r="A4674" s="24" t="n">
        <v>46266</v>
      </c>
      <c r="B4674" t="inlineStr">
        <is>
          <t>Frete de venda</t>
        </is>
      </c>
      <c r="C4674" t="inlineStr">
        <is>
          <t>Frete de venda (para clientes)</t>
        </is>
      </c>
      <c r="D4674" t="inlineStr">
        <is>
          <t>CT-e</t>
        </is>
      </c>
      <c r="E4674" t="inlineStr">
        <is>
          <t>000000504</t>
        </is>
      </c>
      <c r="F4674" t="inlineStr">
        <is>
          <t>DURA MAIS TRANSPORTES LTDA</t>
        </is>
      </c>
      <c r="G4674" s="27" t="n">
        <v>46267</v>
      </c>
      <c r="H4674" s="14" t="n">
        <v>817.1</v>
      </c>
      <c r="I4674" s="14" t="n">
        <v>0</v>
      </c>
      <c r="J4674" s="14" t="n">
        <v>98.05</v>
      </c>
      <c r="K4674" s="14" t="n">
        <v>0</v>
      </c>
      <c r="L4674" s="14" t="n">
        <v>0</v>
      </c>
      <c r="M4674" s="14">
        <f>IF(B4674="Frete de venda",0,(1-ISNUMBER(SEARCH("556",P4674)))*(I4674*VLOOKUP($B4674,Premissas!$A$4:$E$7,2,0)+J4674*VLOOKUP($B4674,Premissas!$A$4:$E$7,3,0))+K4674*VLOOKUP($B4674,Premissas!$A$4:$E$7,4,0)+L4674*VLOOKUP($B4674,Premissas!$A$4:$E$7,5,0))</f>
        <v/>
      </c>
      <c r="N4674" s="14">
        <f>H4674-M4674</f>
        <v/>
      </c>
      <c r="O4674" t="inlineStr">
        <is>
          <t>Sim</t>
        </is>
      </c>
      <c r="P4674" t="inlineStr">
        <is>
          <t>2.350</t>
        </is>
      </c>
    </row>
    <row r="4675">
      <c r="A4675" s="24" t="n">
        <v>46266</v>
      </c>
      <c r="B4675" t="inlineStr">
        <is>
          <t>Frete de venda</t>
        </is>
      </c>
      <c r="C4675" t="inlineStr">
        <is>
          <t>Frete de venda (para clientes)</t>
        </is>
      </c>
      <c r="D4675" t="inlineStr">
        <is>
          <t>CT-e</t>
        </is>
      </c>
      <c r="E4675" t="inlineStr">
        <is>
          <t>000000533</t>
        </is>
      </c>
      <c r="F4675" t="inlineStr">
        <is>
          <t>DURA MAIS TRANSPORTES LTDA</t>
        </is>
      </c>
      <c r="G4675" s="27" t="n">
        <v>46269</v>
      </c>
      <c r="H4675" s="14" t="n">
        <v>4185</v>
      </c>
      <c r="I4675" s="14" t="n">
        <v>0</v>
      </c>
      <c r="J4675" s="14" t="n">
        <v>502.2</v>
      </c>
      <c r="K4675" s="14" t="n">
        <v>0</v>
      </c>
      <c r="L4675" s="14" t="n">
        <v>0</v>
      </c>
      <c r="M4675" s="14">
        <f>IF(B4675="Frete de venda",0,(1-ISNUMBER(SEARCH("556",P4675)))*(I4675*VLOOKUP($B4675,Premissas!$A$4:$E$7,2,0)+J4675*VLOOKUP($B4675,Premissas!$A$4:$E$7,3,0))+K4675*VLOOKUP($B4675,Premissas!$A$4:$E$7,4,0)+L4675*VLOOKUP($B4675,Premissas!$A$4:$E$7,5,0))</f>
        <v/>
      </c>
      <c r="N4675" s="14">
        <f>H4675-M4675</f>
        <v/>
      </c>
      <c r="O4675" t="inlineStr">
        <is>
          <t>Sim</t>
        </is>
      </c>
      <c r="P4675" t="inlineStr">
        <is>
          <t>2.350</t>
        </is>
      </c>
    </row>
    <row r="4676">
      <c r="A4676" s="24" t="n">
        <v>46266</v>
      </c>
      <c r="B4676" t="inlineStr">
        <is>
          <t>Frete de venda</t>
        </is>
      </c>
      <c r="C4676" t="inlineStr">
        <is>
          <t>Frete de venda (para clientes)</t>
        </is>
      </c>
      <c r="D4676" t="inlineStr">
        <is>
          <t>CT-e</t>
        </is>
      </c>
      <c r="E4676" t="inlineStr">
        <is>
          <t>000000730</t>
        </is>
      </c>
      <c r="F4676" t="inlineStr">
        <is>
          <t>DURA MAIS TRANSPORTES LTDA</t>
        </is>
      </c>
      <c r="G4676" s="27" t="n">
        <v>46283</v>
      </c>
      <c r="H4676" s="14" t="n">
        <v>100</v>
      </c>
      <c r="I4676" s="14" t="n">
        <v>0</v>
      </c>
      <c r="J4676" s="14" t="n">
        <v>12</v>
      </c>
      <c r="K4676" s="14" t="n">
        <v>0</v>
      </c>
      <c r="L4676" s="14" t="n">
        <v>0</v>
      </c>
      <c r="M4676" s="14">
        <f>IF(B4676="Frete de venda",0,(1-ISNUMBER(SEARCH("556",P4676)))*(I4676*VLOOKUP($B4676,Premissas!$A$4:$E$7,2,0)+J4676*VLOOKUP($B4676,Premissas!$A$4:$E$7,3,0))+K4676*VLOOKUP($B4676,Premissas!$A$4:$E$7,4,0)+L4676*VLOOKUP($B4676,Premissas!$A$4:$E$7,5,0))</f>
        <v/>
      </c>
      <c r="N4676" s="14">
        <f>H4676-M4676</f>
        <v/>
      </c>
      <c r="O4676" t="inlineStr">
        <is>
          <t>Sim</t>
        </is>
      </c>
      <c r="P4676" t="inlineStr">
        <is>
          <t>2.350</t>
        </is>
      </c>
    </row>
    <row r="4677">
      <c r="A4677" s="24" t="n">
        <v>46266</v>
      </c>
      <c r="B4677" t="inlineStr">
        <is>
          <t>Frete de venda</t>
        </is>
      </c>
      <c r="C4677" t="inlineStr">
        <is>
          <t>Frete de venda (para clientes)</t>
        </is>
      </c>
      <c r="D4677" t="inlineStr">
        <is>
          <t>CT-e</t>
        </is>
      </c>
      <c r="E4677" t="inlineStr">
        <is>
          <t>000000710</t>
        </is>
      </c>
      <c r="F4677" t="inlineStr">
        <is>
          <t>DURA MAIS TRANSPORTES LTDA</t>
        </is>
      </c>
      <c r="G4677" s="27" t="n">
        <v>46283</v>
      </c>
      <c r="H4677" s="14" t="n">
        <v>833.8200000000001</v>
      </c>
      <c r="I4677" s="14" t="n">
        <v>0</v>
      </c>
      <c r="J4677" s="14" t="n">
        <v>100.06</v>
      </c>
      <c r="K4677" s="14" t="n">
        <v>0</v>
      </c>
      <c r="L4677" s="14" t="n">
        <v>0</v>
      </c>
      <c r="M4677" s="14">
        <f>IF(B4677="Frete de venda",0,(1-ISNUMBER(SEARCH("556",P4677)))*(I4677*VLOOKUP($B4677,Premissas!$A$4:$E$7,2,0)+J4677*VLOOKUP($B4677,Premissas!$A$4:$E$7,3,0))+K4677*VLOOKUP($B4677,Premissas!$A$4:$E$7,4,0)+L4677*VLOOKUP($B4677,Premissas!$A$4:$E$7,5,0))</f>
        <v/>
      </c>
      <c r="N4677" s="14">
        <f>H4677-M4677</f>
        <v/>
      </c>
      <c r="O4677" t="inlineStr">
        <is>
          <t>Sim</t>
        </is>
      </c>
      <c r="P4677" t="inlineStr">
        <is>
          <t>2.350</t>
        </is>
      </c>
    </row>
    <row r="4678">
      <c r="A4678" s="24" t="n">
        <v>46266</v>
      </c>
      <c r="B4678" t="inlineStr">
        <is>
          <t>Frete de venda</t>
        </is>
      </c>
      <c r="C4678" t="inlineStr">
        <is>
          <t>Frete de venda (para clientes)</t>
        </is>
      </c>
      <c r="D4678" t="inlineStr">
        <is>
          <t>CT-e</t>
        </is>
      </c>
      <c r="E4678" t="inlineStr">
        <is>
          <t>000000711</t>
        </is>
      </c>
      <c r="F4678" t="inlineStr">
        <is>
          <t>DURA MAIS TRANSPORTES LTDA</t>
        </is>
      </c>
      <c r="G4678" s="27" t="n">
        <v>46283</v>
      </c>
      <c r="H4678" s="14" t="n">
        <v>416.91</v>
      </c>
      <c r="I4678" s="14" t="n">
        <v>0</v>
      </c>
      <c r="J4678" s="14" t="n">
        <v>50.03</v>
      </c>
      <c r="K4678" s="14" t="n">
        <v>0</v>
      </c>
      <c r="L4678" s="14" t="n">
        <v>0</v>
      </c>
      <c r="M4678" s="14">
        <f>IF(B4678="Frete de venda",0,(1-ISNUMBER(SEARCH("556",P4678)))*(I4678*VLOOKUP($B4678,Premissas!$A$4:$E$7,2,0)+J4678*VLOOKUP($B4678,Premissas!$A$4:$E$7,3,0))+K4678*VLOOKUP($B4678,Premissas!$A$4:$E$7,4,0)+L4678*VLOOKUP($B4678,Premissas!$A$4:$E$7,5,0))</f>
        <v/>
      </c>
      <c r="N4678" s="14">
        <f>H4678-M4678</f>
        <v/>
      </c>
      <c r="O4678" t="inlineStr">
        <is>
          <t>Sim</t>
        </is>
      </c>
      <c r="P4678" t="inlineStr">
        <is>
          <t>2.350</t>
        </is>
      </c>
    </row>
    <row r="4679">
      <c r="A4679" s="24" t="n">
        <v>46266</v>
      </c>
      <c r="B4679" t="inlineStr">
        <is>
          <t>Frete de venda</t>
        </is>
      </c>
      <c r="C4679" t="inlineStr">
        <is>
          <t>Frete de venda (para clientes)</t>
        </is>
      </c>
      <c r="D4679" t="inlineStr">
        <is>
          <t>CT-e</t>
        </is>
      </c>
      <c r="E4679" t="inlineStr">
        <is>
          <t>000000712</t>
        </is>
      </c>
      <c r="F4679" t="inlineStr">
        <is>
          <t>DURA MAIS TRANSPORTES LTDA</t>
        </is>
      </c>
      <c r="G4679" s="27" t="n">
        <v>46283</v>
      </c>
      <c r="H4679" s="14" t="n">
        <v>416.91</v>
      </c>
      <c r="I4679" s="14" t="n">
        <v>0</v>
      </c>
      <c r="J4679" s="14" t="n">
        <v>50.03</v>
      </c>
      <c r="K4679" s="14" t="n">
        <v>0</v>
      </c>
      <c r="L4679" s="14" t="n">
        <v>0</v>
      </c>
      <c r="M4679" s="14">
        <f>IF(B4679="Frete de venda",0,(1-ISNUMBER(SEARCH("556",P4679)))*(I4679*VLOOKUP($B4679,Premissas!$A$4:$E$7,2,0)+J4679*VLOOKUP($B4679,Premissas!$A$4:$E$7,3,0))+K4679*VLOOKUP($B4679,Premissas!$A$4:$E$7,4,0)+L4679*VLOOKUP($B4679,Premissas!$A$4:$E$7,5,0))</f>
        <v/>
      </c>
      <c r="N4679" s="14">
        <f>H4679-M4679</f>
        <v/>
      </c>
      <c r="O4679" t="inlineStr">
        <is>
          <t>Sim</t>
        </is>
      </c>
      <c r="P4679" t="inlineStr">
        <is>
          <t>2.350</t>
        </is>
      </c>
    </row>
    <row r="4680">
      <c r="A4680" s="24" t="n">
        <v>46266</v>
      </c>
      <c r="B4680" t="inlineStr">
        <is>
          <t>Frete de venda</t>
        </is>
      </c>
      <c r="C4680" t="inlineStr">
        <is>
          <t>Frete de venda (para clientes)</t>
        </is>
      </c>
      <c r="D4680" t="inlineStr">
        <is>
          <t>CT-e</t>
        </is>
      </c>
      <c r="E4680" t="inlineStr">
        <is>
          <t>000000493</t>
        </is>
      </c>
      <c r="F4680" t="inlineStr">
        <is>
          <t>DURA MAIS TRANSPORTES LTDA</t>
        </is>
      </c>
      <c r="G4680" s="27" t="n">
        <v>46267</v>
      </c>
      <c r="H4680" s="14" t="n">
        <v>817.1</v>
      </c>
      <c r="I4680" s="14" t="n">
        <v>0</v>
      </c>
      <c r="J4680" s="14" t="n">
        <v>98.05</v>
      </c>
      <c r="K4680" s="14" t="n">
        <v>0</v>
      </c>
      <c r="L4680" s="14" t="n">
        <v>0</v>
      </c>
      <c r="M4680" s="14">
        <f>IF(B4680="Frete de venda",0,(1-ISNUMBER(SEARCH("556",P4680)))*(I4680*VLOOKUP($B4680,Premissas!$A$4:$E$7,2,0)+J4680*VLOOKUP($B4680,Premissas!$A$4:$E$7,3,0))+K4680*VLOOKUP($B4680,Premissas!$A$4:$E$7,4,0)+L4680*VLOOKUP($B4680,Premissas!$A$4:$E$7,5,0))</f>
        <v/>
      </c>
      <c r="N4680" s="14">
        <f>H4680-M4680</f>
        <v/>
      </c>
      <c r="O4680" t="inlineStr">
        <is>
          <t>Sim</t>
        </is>
      </c>
      <c r="P4680" t="inlineStr">
        <is>
          <t>2.350</t>
        </is>
      </c>
    </row>
    <row r="4681">
      <c r="A4681" s="24" t="n">
        <v>46266</v>
      </c>
      <c r="B4681" t="inlineStr">
        <is>
          <t>Frete de venda</t>
        </is>
      </c>
      <c r="C4681" t="inlineStr">
        <is>
          <t>Frete de venda (para clientes)</t>
        </is>
      </c>
      <c r="D4681" t="inlineStr">
        <is>
          <t>CT-e</t>
        </is>
      </c>
      <c r="E4681" t="inlineStr">
        <is>
          <t>000000492</t>
        </is>
      </c>
      <c r="F4681" t="inlineStr">
        <is>
          <t>DURA MAIS TRANSPORTES LTDA</t>
        </is>
      </c>
      <c r="G4681" s="27" t="n">
        <v>46267</v>
      </c>
      <c r="H4681" s="14" t="n">
        <v>817.1</v>
      </c>
      <c r="I4681" s="14" t="n">
        <v>0</v>
      </c>
      <c r="J4681" s="14" t="n">
        <v>98.05</v>
      </c>
      <c r="K4681" s="14" t="n">
        <v>0</v>
      </c>
      <c r="L4681" s="14" t="n">
        <v>0</v>
      </c>
      <c r="M4681" s="14">
        <f>IF(B4681="Frete de venda",0,(1-ISNUMBER(SEARCH("556",P4681)))*(I4681*VLOOKUP($B4681,Premissas!$A$4:$E$7,2,0)+J4681*VLOOKUP($B4681,Premissas!$A$4:$E$7,3,0))+K4681*VLOOKUP($B4681,Premissas!$A$4:$E$7,4,0)+L4681*VLOOKUP($B4681,Premissas!$A$4:$E$7,5,0))</f>
        <v/>
      </c>
      <c r="N4681" s="14">
        <f>H4681-M4681</f>
        <v/>
      </c>
      <c r="O4681" t="inlineStr">
        <is>
          <t>Sim</t>
        </is>
      </c>
      <c r="P4681" t="inlineStr">
        <is>
          <t>2.350</t>
        </is>
      </c>
    </row>
    <row r="4682">
      <c r="A4682" s="24" t="n">
        <v>46266</v>
      </c>
      <c r="B4682" t="inlineStr">
        <is>
          <t>Frete de venda</t>
        </is>
      </c>
      <c r="C4682" t="inlineStr">
        <is>
          <t>Frete de venda (para clientes)</t>
        </is>
      </c>
      <c r="D4682" t="inlineStr">
        <is>
          <t>CT-e</t>
        </is>
      </c>
      <c r="E4682" t="inlineStr">
        <is>
          <t>000000800</t>
        </is>
      </c>
      <c r="F4682" t="inlineStr">
        <is>
          <t>DURA MAIS TRANSPORTES LTDA</t>
        </is>
      </c>
      <c r="G4682" s="27" t="n">
        <v>46287</v>
      </c>
      <c r="H4682" s="14" t="n">
        <v>848.5700000000001</v>
      </c>
      <c r="I4682" s="14" t="n">
        <v>0</v>
      </c>
      <c r="J4682" s="14" t="n">
        <v>101.83</v>
      </c>
      <c r="K4682" s="14" t="n">
        <v>0</v>
      </c>
      <c r="L4682" s="14" t="n">
        <v>0</v>
      </c>
      <c r="M4682" s="14">
        <f>IF(B4682="Frete de venda",0,(1-ISNUMBER(SEARCH("556",P4682)))*(I4682*VLOOKUP($B4682,Premissas!$A$4:$E$7,2,0)+J4682*VLOOKUP($B4682,Premissas!$A$4:$E$7,3,0))+K4682*VLOOKUP($B4682,Premissas!$A$4:$E$7,4,0)+L4682*VLOOKUP($B4682,Premissas!$A$4:$E$7,5,0))</f>
        <v/>
      </c>
      <c r="N4682" s="14">
        <f>H4682-M4682</f>
        <v/>
      </c>
      <c r="O4682" t="inlineStr">
        <is>
          <t>Sim</t>
        </is>
      </c>
      <c r="P4682" t="inlineStr">
        <is>
          <t>2.350</t>
        </is>
      </c>
    </row>
    <row r="4683">
      <c r="A4683" s="24" t="n">
        <v>46266</v>
      </c>
      <c r="B4683" t="inlineStr">
        <is>
          <t>Frete de venda</t>
        </is>
      </c>
      <c r="C4683" t="inlineStr">
        <is>
          <t>Frete de venda (para clientes)</t>
        </is>
      </c>
      <c r="D4683" t="inlineStr">
        <is>
          <t>CT-e</t>
        </is>
      </c>
      <c r="E4683" t="inlineStr">
        <is>
          <t>000000549</t>
        </is>
      </c>
      <c r="F4683" t="inlineStr">
        <is>
          <t>DURA MAIS TRANSPORTES LTDA</t>
        </is>
      </c>
      <c r="G4683" s="27" t="n">
        <v>46269</v>
      </c>
      <c r="H4683" s="14" t="n">
        <v>1869.22</v>
      </c>
      <c r="I4683" s="14" t="n">
        <v>0</v>
      </c>
      <c r="J4683" s="14" t="n">
        <v>224.31</v>
      </c>
      <c r="K4683" s="14" t="n">
        <v>0</v>
      </c>
      <c r="L4683" s="14" t="n">
        <v>0</v>
      </c>
      <c r="M4683" s="14">
        <f>IF(B4683="Frete de venda",0,(1-ISNUMBER(SEARCH("556",P4683)))*(I4683*VLOOKUP($B4683,Premissas!$A$4:$E$7,2,0)+J4683*VLOOKUP($B4683,Premissas!$A$4:$E$7,3,0))+K4683*VLOOKUP($B4683,Premissas!$A$4:$E$7,4,0)+L4683*VLOOKUP($B4683,Premissas!$A$4:$E$7,5,0))</f>
        <v/>
      </c>
      <c r="N4683" s="14">
        <f>H4683-M4683</f>
        <v/>
      </c>
      <c r="O4683" t="inlineStr">
        <is>
          <t>Sim</t>
        </is>
      </c>
      <c r="P4683" t="inlineStr">
        <is>
          <t>2.350</t>
        </is>
      </c>
    </row>
    <row r="4684">
      <c r="A4684" s="24" t="n">
        <v>46266</v>
      </c>
      <c r="B4684" t="inlineStr">
        <is>
          <t>Frete de venda</t>
        </is>
      </c>
      <c r="C4684" t="inlineStr">
        <is>
          <t>Frete de venda (para clientes)</t>
        </is>
      </c>
      <c r="D4684" t="inlineStr">
        <is>
          <t>CT-e</t>
        </is>
      </c>
      <c r="E4684" t="inlineStr">
        <is>
          <t>000009784</t>
        </is>
      </c>
      <c r="F4684" t="inlineStr">
        <is>
          <t>BEM TRANSPORTES E LOGISTICA</t>
        </is>
      </c>
      <c r="G4684" s="27" t="n">
        <v>46267</v>
      </c>
      <c r="H4684" s="14" t="n">
        <v>2202.65</v>
      </c>
      <c r="I4684" s="14" t="n">
        <v>0</v>
      </c>
      <c r="J4684" s="14" t="n">
        <v>0</v>
      </c>
      <c r="K4684" s="14" t="n">
        <v>0</v>
      </c>
      <c r="L4684" s="14" t="n">
        <v>0</v>
      </c>
      <c r="M4684" s="14">
        <f>IF(B4684="Frete de venda",0,(1-ISNUMBER(SEARCH("556",P4684)))*(I4684*VLOOKUP($B4684,Premissas!$A$4:$E$7,2,0)+J4684*VLOOKUP($B4684,Premissas!$A$4:$E$7,3,0))+K4684*VLOOKUP($B4684,Premissas!$A$4:$E$7,4,0)+L4684*VLOOKUP($B4684,Premissas!$A$4:$E$7,5,0))</f>
        <v/>
      </c>
      <c r="N4684" s="14">
        <f>H4684-M4684</f>
        <v/>
      </c>
      <c r="O4684" t="inlineStr">
        <is>
          <t>Sim</t>
        </is>
      </c>
      <c r="P4684" t="inlineStr">
        <is>
          <t>2.350</t>
        </is>
      </c>
    </row>
    <row r="4685">
      <c r="A4685" s="24" t="n">
        <v>46266</v>
      </c>
      <c r="B4685" t="inlineStr">
        <is>
          <t>Frete de venda</t>
        </is>
      </c>
      <c r="C4685" t="inlineStr">
        <is>
          <t>Frete de venda (para clientes)</t>
        </is>
      </c>
      <c r="D4685" t="inlineStr">
        <is>
          <t>CT-e</t>
        </is>
      </c>
      <c r="E4685" t="inlineStr">
        <is>
          <t>000000835</t>
        </is>
      </c>
      <c r="F4685" t="inlineStr">
        <is>
          <t>DURA MAIS TRANSPORTES LTDA</t>
        </is>
      </c>
      <c r="G4685" s="27" t="n">
        <v>46288</v>
      </c>
      <c r="H4685" s="14" t="n">
        <v>900</v>
      </c>
      <c r="I4685" s="14" t="n">
        <v>0</v>
      </c>
      <c r="J4685" s="14" t="n">
        <v>108</v>
      </c>
      <c r="K4685" s="14" t="n">
        <v>0</v>
      </c>
      <c r="L4685" s="14" t="n">
        <v>0</v>
      </c>
      <c r="M4685" s="14">
        <f>IF(B4685="Frete de venda",0,(1-ISNUMBER(SEARCH("556",P4685)))*(I4685*VLOOKUP($B4685,Premissas!$A$4:$E$7,2,0)+J4685*VLOOKUP($B4685,Premissas!$A$4:$E$7,3,0))+K4685*VLOOKUP($B4685,Premissas!$A$4:$E$7,4,0)+L4685*VLOOKUP($B4685,Premissas!$A$4:$E$7,5,0))</f>
        <v/>
      </c>
      <c r="N4685" s="14">
        <f>H4685-M4685</f>
        <v/>
      </c>
      <c r="O4685" t="inlineStr">
        <is>
          <t>Sim</t>
        </is>
      </c>
      <c r="P4685" t="inlineStr">
        <is>
          <t>2.350</t>
        </is>
      </c>
    </row>
    <row r="4686">
      <c r="A4686" s="24" t="n">
        <v>46266</v>
      </c>
      <c r="B4686" t="inlineStr">
        <is>
          <t>Frete de venda</t>
        </is>
      </c>
      <c r="C4686" t="inlineStr">
        <is>
          <t>Frete de venda (para clientes)</t>
        </is>
      </c>
      <c r="D4686" t="inlineStr">
        <is>
          <t>CT-e</t>
        </is>
      </c>
      <c r="E4686" t="inlineStr">
        <is>
          <t>000000494</t>
        </is>
      </c>
      <c r="F4686" t="inlineStr">
        <is>
          <t>DURA MAIS TRANSPORTES LTDA</t>
        </is>
      </c>
      <c r="G4686" s="27" t="n">
        <v>46267</v>
      </c>
      <c r="H4686" s="14" t="n">
        <v>817.1</v>
      </c>
      <c r="I4686" s="14" t="n">
        <v>0</v>
      </c>
      <c r="J4686" s="14" t="n">
        <v>98.05</v>
      </c>
      <c r="K4686" s="14" t="n">
        <v>0</v>
      </c>
      <c r="L4686" s="14" t="n">
        <v>0</v>
      </c>
      <c r="M4686" s="14">
        <f>IF(B4686="Frete de venda",0,(1-ISNUMBER(SEARCH("556",P4686)))*(I4686*VLOOKUP($B4686,Premissas!$A$4:$E$7,2,0)+J4686*VLOOKUP($B4686,Premissas!$A$4:$E$7,3,0))+K4686*VLOOKUP($B4686,Premissas!$A$4:$E$7,4,0)+L4686*VLOOKUP($B4686,Premissas!$A$4:$E$7,5,0))</f>
        <v/>
      </c>
      <c r="N4686" s="14">
        <f>H4686-M4686</f>
        <v/>
      </c>
      <c r="O4686" t="inlineStr">
        <is>
          <t>Sim</t>
        </is>
      </c>
      <c r="P4686" t="inlineStr">
        <is>
          <t>2.350</t>
        </is>
      </c>
    </row>
    <row r="4687">
      <c r="A4687" s="24" t="n">
        <v>46266</v>
      </c>
      <c r="B4687" t="inlineStr">
        <is>
          <t>Frete de venda</t>
        </is>
      </c>
      <c r="C4687" t="inlineStr">
        <is>
          <t>Frete de venda (para clientes)</t>
        </is>
      </c>
      <c r="D4687" t="inlineStr">
        <is>
          <t>CT-e</t>
        </is>
      </c>
      <c r="E4687" t="inlineStr">
        <is>
          <t>000000651</t>
        </is>
      </c>
      <c r="F4687" t="inlineStr">
        <is>
          <t>DURA MAIS TRANSPORTES LTDA</t>
        </is>
      </c>
      <c r="G4687" s="27" t="n">
        <v>46277</v>
      </c>
      <c r="H4687" s="14" t="n">
        <v>817.1</v>
      </c>
      <c r="I4687" s="14" t="n">
        <v>0</v>
      </c>
      <c r="J4687" s="14" t="n">
        <v>98.05</v>
      </c>
      <c r="K4687" s="14" t="n">
        <v>0</v>
      </c>
      <c r="L4687" s="14" t="n">
        <v>0</v>
      </c>
      <c r="M4687" s="14">
        <f>IF(B4687="Frete de venda",0,(1-ISNUMBER(SEARCH("556",P4687)))*(I4687*VLOOKUP($B4687,Premissas!$A$4:$E$7,2,0)+J4687*VLOOKUP($B4687,Premissas!$A$4:$E$7,3,0))+K4687*VLOOKUP($B4687,Premissas!$A$4:$E$7,4,0)+L4687*VLOOKUP($B4687,Premissas!$A$4:$E$7,5,0))</f>
        <v/>
      </c>
      <c r="N4687" s="14">
        <f>H4687-M4687</f>
        <v/>
      </c>
      <c r="O4687" t="inlineStr">
        <is>
          <t>Sim</t>
        </is>
      </c>
      <c r="P4687" t="inlineStr">
        <is>
          <t>2.350</t>
        </is>
      </c>
    </row>
    <row r="4688">
      <c r="A4688" s="24" t="n">
        <v>46266</v>
      </c>
      <c r="B4688" t="inlineStr">
        <is>
          <t>Frete de venda</t>
        </is>
      </c>
      <c r="C4688" t="inlineStr">
        <is>
          <t>Frete de venda (para clientes)</t>
        </is>
      </c>
      <c r="D4688" t="inlineStr">
        <is>
          <t>CT-e</t>
        </is>
      </c>
      <c r="E4688" t="inlineStr">
        <is>
          <t>000000518</t>
        </is>
      </c>
      <c r="F4688" t="inlineStr">
        <is>
          <t>DURA MAIS TRANSPORTES LTDA</t>
        </is>
      </c>
      <c r="G4688" s="27" t="n">
        <v>46267</v>
      </c>
      <c r="H4688" s="14" t="n">
        <v>2700</v>
      </c>
      <c r="I4688" s="14" t="n">
        <v>0</v>
      </c>
      <c r="J4688" s="14" t="n">
        <v>324</v>
      </c>
      <c r="K4688" s="14" t="n">
        <v>0</v>
      </c>
      <c r="L4688" s="14" t="n">
        <v>0</v>
      </c>
      <c r="M4688" s="14">
        <f>IF(B4688="Frete de venda",0,(1-ISNUMBER(SEARCH("556",P4688)))*(I4688*VLOOKUP($B4688,Premissas!$A$4:$E$7,2,0)+J4688*VLOOKUP($B4688,Premissas!$A$4:$E$7,3,0))+K4688*VLOOKUP($B4688,Premissas!$A$4:$E$7,4,0)+L4688*VLOOKUP($B4688,Premissas!$A$4:$E$7,5,0))</f>
        <v/>
      </c>
      <c r="N4688" s="14">
        <f>H4688-M4688</f>
        <v/>
      </c>
      <c r="O4688" t="inlineStr">
        <is>
          <t>Sim</t>
        </is>
      </c>
      <c r="P4688" t="inlineStr">
        <is>
          <t>2.350</t>
        </is>
      </c>
    </row>
    <row r="4689">
      <c r="A4689" s="24" t="n">
        <v>46266</v>
      </c>
      <c r="B4689" t="inlineStr">
        <is>
          <t>Frete de venda</t>
        </is>
      </c>
      <c r="C4689" t="inlineStr">
        <is>
          <t>Frete de venda (para clientes)</t>
        </is>
      </c>
      <c r="D4689" t="inlineStr">
        <is>
          <t>CT-e</t>
        </is>
      </c>
      <c r="E4689" t="inlineStr">
        <is>
          <t>000000797</t>
        </is>
      </c>
      <c r="F4689" t="inlineStr">
        <is>
          <t>DURA MAIS TRANSPORTES LTDA</t>
        </is>
      </c>
      <c r="G4689" s="27" t="n">
        <v>46287</v>
      </c>
      <c r="H4689" s="14" t="n">
        <v>848.5700000000001</v>
      </c>
      <c r="I4689" s="14" t="n">
        <v>0</v>
      </c>
      <c r="J4689" s="14" t="n">
        <v>101.83</v>
      </c>
      <c r="K4689" s="14" t="n">
        <v>0</v>
      </c>
      <c r="L4689" s="14" t="n">
        <v>0</v>
      </c>
      <c r="M4689" s="14">
        <f>IF(B4689="Frete de venda",0,(1-ISNUMBER(SEARCH("556",P4689)))*(I4689*VLOOKUP($B4689,Premissas!$A$4:$E$7,2,0)+J4689*VLOOKUP($B4689,Premissas!$A$4:$E$7,3,0))+K4689*VLOOKUP($B4689,Premissas!$A$4:$E$7,4,0)+L4689*VLOOKUP($B4689,Premissas!$A$4:$E$7,5,0))</f>
        <v/>
      </c>
      <c r="N4689" s="14">
        <f>H4689-M4689</f>
        <v/>
      </c>
      <c r="O4689" t="inlineStr">
        <is>
          <t>Sim</t>
        </is>
      </c>
      <c r="P4689" t="inlineStr">
        <is>
          <t>2.350</t>
        </is>
      </c>
    </row>
    <row r="4690">
      <c r="A4690" s="24" t="n">
        <v>46266</v>
      </c>
      <c r="B4690" t="inlineStr">
        <is>
          <t>Frete de venda</t>
        </is>
      </c>
      <c r="C4690" t="inlineStr">
        <is>
          <t>Frete de venda (para clientes)</t>
        </is>
      </c>
      <c r="D4690" t="inlineStr">
        <is>
          <t>CT-e</t>
        </is>
      </c>
      <c r="E4690" t="inlineStr">
        <is>
          <t>001468301</t>
        </is>
      </c>
      <c r="F4690" t="inlineStr">
        <is>
          <t>PICCOLI TRANSPORTES LTDA</t>
        </is>
      </c>
      <c r="G4690" s="27" t="n">
        <v>46266</v>
      </c>
      <c r="H4690" s="14" t="n">
        <v>1168.68</v>
      </c>
      <c r="I4690" s="14" t="n">
        <v>0</v>
      </c>
      <c r="J4690" s="14" t="n">
        <v>81.81</v>
      </c>
      <c r="K4690" s="14" t="n">
        <v>0</v>
      </c>
      <c r="L4690" s="14" t="n">
        <v>0</v>
      </c>
      <c r="M4690" s="14">
        <f>IF(B4690="Frete de venda",0,(1-ISNUMBER(SEARCH("556",P4690)))*(I4690*VLOOKUP($B4690,Premissas!$A$4:$E$7,2,0)+J4690*VLOOKUP($B4690,Premissas!$A$4:$E$7,3,0))+K4690*VLOOKUP($B4690,Premissas!$A$4:$E$7,4,0)+L4690*VLOOKUP($B4690,Premissas!$A$4:$E$7,5,0))</f>
        <v/>
      </c>
      <c r="N4690" s="14">
        <f>H4690-M4690</f>
        <v/>
      </c>
      <c r="O4690" t="inlineStr">
        <is>
          <t>Sim</t>
        </is>
      </c>
      <c r="P4690" t="inlineStr">
        <is>
          <t>2.350</t>
        </is>
      </c>
    </row>
    <row r="4691">
      <c r="A4691" s="24" t="n">
        <v>46266</v>
      </c>
      <c r="B4691" t="inlineStr">
        <is>
          <t>Frete de venda</t>
        </is>
      </c>
      <c r="C4691" t="inlineStr">
        <is>
          <t>Frete de venda (para clientes)</t>
        </is>
      </c>
      <c r="D4691" t="inlineStr">
        <is>
          <t>CT-e</t>
        </is>
      </c>
      <c r="E4691" t="inlineStr">
        <is>
          <t>000000737</t>
        </is>
      </c>
      <c r="F4691" t="inlineStr">
        <is>
          <t>DURA MAIS TRANSPORTES LTDA</t>
        </is>
      </c>
      <c r="G4691" s="27" t="n">
        <v>46283</v>
      </c>
      <c r="H4691" s="14" t="n">
        <v>100</v>
      </c>
      <c r="I4691" s="14" t="n">
        <v>0</v>
      </c>
      <c r="J4691" s="14" t="n">
        <v>12</v>
      </c>
      <c r="K4691" s="14" t="n">
        <v>0</v>
      </c>
      <c r="L4691" s="14" t="n">
        <v>0</v>
      </c>
      <c r="M4691" s="14">
        <f>IF(B4691="Frete de venda",0,(1-ISNUMBER(SEARCH("556",P4691)))*(I4691*VLOOKUP($B4691,Premissas!$A$4:$E$7,2,0)+J4691*VLOOKUP($B4691,Premissas!$A$4:$E$7,3,0))+K4691*VLOOKUP($B4691,Premissas!$A$4:$E$7,4,0)+L4691*VLOOKUP($B4691,Premissas!$A$4:$E$7,5,0))</f>
        <v/>
      </c>
      <c r="N4691" s="14">
        <f>H4691-M4691</f>
        <v/>
      </c>
      <c r="O4691" t="inlineStr">
        <is>
          <t>Sim</t>
        </is>
      </c>
      <c r="P4691" t="inlineStr">
        <is>
          <t>2.350</t>
        </is>
      </c>
    </row>
    <row r="4692">
      <c r="A4692" s="24" t="n">
        <v>46266</v>
      </c>
      <c r="B4692" t="inlineStr">
        <is>
          <t>Frete de venda</t>
        </is>
      </c>
      <c r="C4692" t="inlineStr">
        <is>
          <t>Frete de venda (para clientes)</t>
        </is>
      </c>
      <c r="D4692" t="inlineStr">
        <is>
          <t>CT-e</t>
        </is>
      </c>
      <c r="E4692" t="inlineStr">
        <is>
          <t>001468302</t>
        </is>
      </c>
      <c r="F4692" t="inlineStr">
        <is>
          <t>PICCOLI TRANSPORTES LTDA</t>
        </is>
      </c>
      <c r="G4692" s="27" t="n">
        <v>46266</v>
      </c>
      <c r="H4692" s="14" t="n">
        <v>850.41</v>
      </c>
      <c r="I4692" s="14" t="n">
        <v>0</v>
      </c>
      <c r="J4692" s="14" t="n">
        <v>59.53</v>
      </c>
      <c r="K4692" s="14" t="n">
        <v>0</v>
      </c>
      <c r="L4692" s="14" t="n">
        <v>0</v>
      </c>
      <c r="M4692" s="14">
        <f>IF(B4692="Frete de venda",0,(1-ISNUMBER(SEARCH("556",P4692)))*(I4692*VLOOKUP($B4692,Premissas!$A$4:$E$7,2,0)+J4692*VLOOKUP($B4692,Premissas!$A$4:$E$7,3,0))+K4692*VLOOKUP($B4692,Premissas!$A$4:$E$7,4,0)+L4692*VLOOKUP($B4692,Premissas!$A$4:$E$7,5,0))</f>
        <v/>
      </c>
      <c r="N4692" s="14">
        <f>H4692-M4692</f>
        <v/>
      </c>
      <c r="O4692" t="inlineStr">
        <is>
          <t>Sim</t>
        </is>
      </c>
      <c r="P4692" t="inlineStr">
        <is>
          <t>2.350</t>
        </is>
      </c>
    </row>
    <row r="4693">
      <c r="A4693" s="24" t="n">
        <v>46266</v>
      </c>
      <c r="B4693" t="inlineStr">
        <is>
          <t>Frete de venda</t>
        </is>
      </c>
      <c r="C4693" t="inlineStr">
        <is>
          <t>Frete de venda (para clientes)</t>
        </is>
      </c>
      <c r="D4693" t="inlineStr">
        <is>
          <t>CT-e</t>
        </is>
      </c>
      <c r="E4693" t="inlineStr">
        <is>
          <t>000000615</t>
        </is>
      </c>
      <c r="F4693" t="inlineStr">
        <is>
          <t>DURA MAIS TRANSPORTES LTDA</t>
        </is>
      </c>
      <c r="G4693" s="27" t="n">
        <v>46275</v>
      </c>
      <c r="H4693" s="14" t="n">
        <v>977.58</v>
      </c>
      <c r="I4693" s="14" t="n">
        <v>0</v>
      </c>
      <c r="J4693" s="14" t="n">
        <v>117.31</v>
      </c>
      <c r="K4693" s="14" t="n">
        <v>0</v>
      </c>
      <c r="L4693" s="14" t="n">
        <v>0</v>
      </c>
      <c r="M4693" s="14">
        <f>IF(B4693="Frete de venda",0,(1-ISNUMBER(SEARCH("556",P4693)))*(I4693*VLOOKUP($B4693,Premissas!$A$4:$E$7,2,0)+J4693*VLOOKUP($B4693,Premissas!$A$4:$E$7,3,0))+K4693*VLOOKUP($B4693,Premissas!$A$4:$E$7,4,0)+L4693*VLOOKUP($B4693,Premissas!$A$4:$E$7,5,0))</f>
        <v/>
      </c>
      <c r="N4693" s="14">
        <f>H4693-M4693</f>
        <v/>
      </c>
      <c r="O4693" t="inlineStr">
        <is>
          <t>Sim</t>
        </is>
      </c>
      <c r="P4693" t="inlineStr">
        <is>
          <t>2.350</t>
        </is>
      </c>
    </row>
    <row r="4694">
      <c r="A4694" s="24" t="n">
        <v>46266</v>
      </c>
      <c r="B4694" t="inlineStr">
        <is>
          <t>Frete de venda</t>
        </is>
      </c>
      <c r="C4694" t="inlineStr">
        <is>
          <t>Frete de venda (para clientes)</t>
        </is>
      </c>
      <c r="D4694" t="inlineStr">
        <is>
          <t>CT-e</t>
        </is>
      </c>
      <c r="E4694" t="inlineStr">
        <is>
          <t>000005183</t>
        </is>
      </c>
      <c r="F4694" t="inlineStr">
        <is>
          <t>RAPIDO XAPURI TRANSPORTES E LOGISTICA LTDA</t>
        </is>
      </c>
      <c r="G4694" s="27" t="n">
        <v>46288</v>
      </c>
      <c r="H4694" s="14" t="n">
        <v>2838.65</v>
      </c>
      <c r="I4694" s="14" t="n">
        <v>0</v>
      </c>
      <c r="J4694" s="14" t="n">
        <v>340.64</v>
      </c>
      <c r="K4694" s="14" t="n">
        <v>0</v>
      </c>
      <c r="L4694" s="14" t="n">
        <v>0</v>
      </c>
      <c r="M4694" s="14">
        <f>IF(B4694="Frete de venda",0,(1-ISNUMBER(SEARCH("556",P4694)))*(I4694*VLOOKUP($B4694,Premissas!$A$4:$E$7,2,0)+J4694*VLOOKUP($B4694,Premissas!$A$4:$E$7,3,0))+K4694*VLOOKUP($B4694,Premissas!$A$4:$E$7,4,0)+L4694*VLOOKUP($B4694,Premissas!$A$4:$E$7,5,0))</f>
        <v/>
      </c>
      <c r="N4694" s="14">
        <f>H4694-M4694</f>
        <v/>
      </c>
      <c r="O4694" t="inlineStr">
        <is>
          <t>Sim</t>
        </is>
      </c>
      <c r="P4694" t="inlineStr">
        <is>
          <t>2.350</t>
        </is>
      </c>
    </row>
    <row r="4695">
      <c r="A4695" s="24" t="n">
        <v>46266</v>
      </c>
      <c r="B4695" t="inlineStr">
        <is>
          <t>Frete de venda</t>
        </is>
      </c>
      <c r="C4695" t="inlineStr">
        <is>
          <t>Frete de venda (para clientes)</t>
        </is>
      </c>
      <c r="D4695" t="inlineStr">
        <is>
          <t>CT-e</t>
        </is>
      </c>
      <c r="E4695" t="inlineStr">
        <is>
          <t>000000708</t>
        </is>
      </c>
      <c r="F4695" t="inlineStr">
        <is>
          <t>DURA MAIS TRANSPORTES LTDA</t>
        </is>
      </c>
      <c r="G4695" s="27" t="n">
        <v>46283</v>
      </c>
      <c r="H4695" s="14" t="n">
        <v>416.91</v>
      </c>
      <c r="I4695" s="14" t="n">
        <v>0</v>
      </c>
      <c r="J4695" s="14" t="n">
        <v>50.03</v>
      </c>
      <c r="K4695" s="14" t="n">
        <v>0</v>
      </c>
      <c r="L4695" s="14" t="n">
        <v>0</v>
      </c>
      <c r="M4695" s="14">
        <f>IF(B4695="Frete de venda",0,(1-ISNUMBER(SEARCH("556",P4695)))*(I4695*VLOOKUP($B4695,Premissas!$A$4:$E$7,2,0)+J4695*VLOOKUP($B4695,Premissas!$A$4:$E$7,3,0))+K4695*VLOOKUP($B4695,Premissas!$A$4:$E$7,4,0)+L4695*VLOOKUP($B4695,Premissas!$A$4:$E$7,5,0))</f>
        <v/>
      </c>
      <c r="N4695" s="14">
        <f>H4695-M4695</f>
        <v/>
      </c>
      <c r="O4695" t="inlineStr">
        <is>
          <t>Sim</t>
        </is>
      </c>
      <c r="P4695" t="inlineStr">
        <is>
          <t>2.350</t>
        </is>
      </c>
    </row>
    <row r="4696">
      <c r="A4696" s="24" t="n">
        <v>46266</v>
      </c>
      <c r="B4696" t="inlineStr">
        <is>
          <t>Frete de venda</t>
        </is>
      </c>
      <c r="C4696" t="inlineStr">
        <is>
          <t>Frete de venda (para clientes)</t>
        </is>
      </c>
      <c r="D4696" t="inlineStr">
        <is>
          <t>CT-e</t>
        </is>
      </c>
      <c r="E4696" t="inlineStr">
        <is>
          <t>000000619</t>
        </is>
      </c>
      <c r="F4696" t="inlineStr">
        <is>
          <t>DURA MAIS TRANSPORTES LTDA</t>
        </is>
      </c>
      <c r="G4696" s="27" t="n">
        <v>46275</v>
      </c>
      <c r="H4696" s="14" t="n">
        <v>977.58</v>
      </c>
      <c r="I4696" s="14" t="n">
        <v>0</v>
      </c>
      <c r="J4696" s="14" t="n">
        <v>117.31</v>
      </c>
      <c r="K4696" s="14" t="n">
        <v>0</v>
      </c>
      <c r="L4696" s="14" t="n">
        <v>0</v>
      </c>
      <c r="M4696" s="14">
        <f>IF(B4696="Frete de venda",0,(1-ISNUMBER(SEARCH("556",P4696)))*(I4696*VLOOKUP($B4696,Premissas!$A$4:$E$7,2,0)+J4696*VLOOKUP($B4696,Premissas!$A$4:$E$7,3,0))+K4696*VLOOKUP($B4696,Premissas!$A$4:$E$7,4,0)+L4696*VLOOKUP($B4696,Premissas!$A$4:$E$7,5,0))</f>
        <v/>
      </c>
      <c r="N4696" s="14">
        <f>H4696-M4696</f>
        <v/>
      </c>
      <c r="O4696" t="inlineStr">
        <is>
          <t>Sim</t>
        </is>
      </c>
      <c r="P4696" t="inlineStr">
        <is>
          <t>2.350</t>
        </is>
      </c>
    </row>
    <row r="4697">
      <c r="A4697" s="24" t="n">
        <v>46266</v>
      </c>
      <c r="B4697" t="inlineStr">
        <is>
          <t>Frete de venda</t>
        </is>
      </c>
      <c r="C4697" t="inlineStr">
        <is>
          <t>Frete de venda (para clientes)</t>
        </is>
      </c>
      <c r="D4697" t="inlineStr">
        <is>
          <t>CT-e</t>
        </is>
      </c>
      <c r="E4697" t="inlineStr">
        <is>
          <t>000009785</t>
        </is>
      </c>
      <c r="F4697" t="inlineStr">
        <is>
          <t>BEM TRANSPORTES E LOGISTICA</t>
        </is>
      </c>
      <c r="G4697" s="27" t="n">
        <v>46267</v>
      </c>
      <c r="H4697" s="14" t="n">
        <v>972.84</v>
      </c>
      <c r="I4697" s="14" t="n">
        <v>0</v>
      </c>
      <c r="J4697" s="14" t="n">
        <v>0</v>
      </c>
      <c r="K4697" s="14" t="n">
        <v>0</v>
      </c>
      <c r="L4697" s="14" t="n">
        <v>0</v>
      </c>
      <c r="M4697" s="14">
        <f>IF(B4697="Frete de venda",0,(1-ISNUMBER(SEARCH("556",P4697)))*(I4697*VLOOKUP($B4697,Premissas!$A$4:$E$7,2,0)+J4697*VLOOKUP($B4697,Premissas!$A$4:$E$7,3,0))+K4697*VLOOKUP($B4697,Premissas!$A$4:$E$7,4,0)+L4697*VLOOKUP($B4697,Premissas!$A$4:$E$7,5,0))</f>
        <v/>
      </c>
      <c r="N4697" s="14">
        <f>H4697-M4697</f>
        <v/>
      </c>
      <c r="O4697" t="inlineStr">
        <is>
          <t>Sim</t>
        </is>
      </c>
      <c r="P4697" t="inlineStr">
        <is>
          <t>2.350</t>
        </is>
      </c>
    </row>
    <row r="4698">
      <c r="A4698" s="24" t="n">
        <v>46266</v>
      </c>
      <c r="B4698" t="inlineStr">
        <is>
          <t>Frete de venda</t>
        </is>
      </c>
      <c r="C4698" t="inlineStr">
        <is>
          <t>Frete de venda (para clientes)</t>
        </is>
      </c>
      <c r="D4698" t="inlineStr">
        <is>
          <t>CT-e</t>
        </is>
      </c>
      <c r="E4698" t="inlineStr">
        <is>
          <t>000000791</t>
        </is>
      </c>
      <c r="F4698" t="inlineStr">
        <is>
          <t>DURA MAIS TRANSPORTES LTDA</t>
        </is>
      </c>
      <c r="G4698" s="27" t="n">
        <v>46287</v>
      </c>
      <c r="H4698" s="14" t="n">
        <v>848.5700000000001</v>
      </c>
      <c r="I4698" s="14" t="n">
        <v>0</v>
      </c>
      <c r="J4698" s="14" t="n">
        <v>101.83</v>
      </c>
      <c r="K4698" s="14" t="n">
        <v>0</v>
      </c>
      <c r="L4698" s="14" t="n">
        <v>0</v>
      </c>
      <c r="M4698" s="14">
        <f>IF(B4698="Frete de venda",0,(1-ISNUMBER(SEARCH("556",P4698)))*(I4698*VLOOKUP($B4698,Premissas!$A$4:$E$7,2,0)+J4698*VLOOKUP($B4698,Premissas!$A$4:$E$7,3,0))+K4698*VLOOKUP($B4698,Premissas!$A$4:$E$7,4,0)+L4698*VLOOKUP($B4698,Premissas!$A$4:$E$7,5,0))</f>
        <v/>
      </c>
      <c r="N4698" s="14">
        <f>H4698-M4698</f>
        <v/>
      </c>
      <c r="O4698" t="inlineStr">
        <is>
          <t>Sim</t>
        </is>
      </c>
      <c r="P4698" t="inlineStr">
        <is>
          <t>2.350</t>
        </is>
      </c>
    </row>
    <row r="4699">
      <c r="A4699" s="24" t="n">
        <v>46266</v>
      </c>
      <c r="B4699" t="inlineStr">
        <is>
          <t>Frete de venda</t>
        </is>
      </c>
      <c r="C4699" t="inlineStr">
        <is>
          <t>Frete de venda (para clientes)</t>
        </is>
      </c>
      <c r="D4699" t="inlineStr">
        <is>
          <t>CT-e</t>
        </is>
      </c>
      <c r="E4699" t="inlineStr">
        <is>
          <t>001468299</t>
        </is>
      </c>
      <c r="F4699" t="inlineStr">
        <is>
          <t>PICCOLI TRANSPORTES LTDA</t>
        </is>
      </c>
      <c r="G4699" s="27" t="n">
        <v>46266</v>
      </c>
      <c r="H4699" s="14" t="n">
        <v>2224.68</v>
      </c>
      <c r="I4699" s="14" t="n">
        <v>0</v>
      </c>
      <c r="J4699" s="14" t="n">
        <v>155.73</v>
      </c>
      <c r="K4699" s="14" t="n">
        <v>0</v>
      </c>
      <c r="L4699" s="14" t="n">
        <v>0</v>
      </c>
      <c r="M4699" s="14">
        <f>IF(B4699="Frete de venda",0,(1-ISNUMBER(SEARCH("556",P4699)))*(I4699*VLOOKUP($B4699,Premissas!$A$4:$E$7,2,0)+J4699*VLOOKUP($B4699,Premissas!$A$4:$E$7,3,0))+K4699*VLOOKUP($B4699,Premissas!$A$4:$E$7,4,0)+L4699*VLOOKUP($B4699,Premissas!$A$4:$E$7,5,0))</f>
        <v/>
      </c>
      <c r="N4699" s="14">
        <f>H4699-M4699</f>
        <v/>
      </c>
      <c r="O4699" t="inlineStr">
        <is>
          <t>Sim</t>
        </is>
      </c>
      <c r="P4699" t="inlineStr">
        <is>
          <t>2.350</t>
        </is>
      </c>
    </row>
    <row r="4700">
      <c r="A4700" s="24" t="n">
        <v>46266</v>
      </c>
      <c r="B4700" t="inlineStr">
        <is>
          <t>Frete de venda</t>
        </is>
      </c>
      <c r="C4700" t="inlineStr">
        <is>
          <t>Frete de venda (para clientes)</t>
        </is>
      </c>
      <c r="D4700" t="inlineStr">
        <is>
          <t>CT-e</t>
        </is>
      </c>
      <c r="E4700" t="inlineStr">
        <is>
          <t>000000684</t>
        </is>
      </c>
      <c r="F4700" t="inlineStr">
        <is>
          <t>DURA MAIS TRANSPORTES LTDA</t>
        </is>
      </c>
      <c r="G4700" s="27" t="n">
        <v>46281</v>
      </c>
      <c r="H4700" s="14" t="n">
        <v>1125</v>
      </c>
      <c r="I4700" s="14" t="n">
        <v>0</v>
      </c>
      <c r="J4700" s="14" t="n">
        <v>225</v>
      </c>
      <c r="K4700" s="14" t="n">
        <v>0</v>
      </c>
      <c r="L4700" s="14" t="n">
        <v>0</v>
      </c>
      <c r="M4700" s="14">
        <f>IF(B4700="Frete de venda",0,(1-ISNUMBER(SEARCH("556",P4700)))*(I4700*VLOOKUP($B4700,Premissas!$A$4:$E$7,2,0)+J4700*VLOOKUP($B4700,Premissas!$A$4:$E$7,3,0))+K4700*VLOOKUP($B4700,Premissas!$A$4:$E$7,4,0)+L4700*VLOOKUP($B4700,Premissas!$A$4:$E$7,5,0))</f>
        <v/>
      </c>
      <c r="N4700" s="14">
        <f>H4700-M4700</f>
        <v/>
      </c>
      <c r="O4700" t="inlineStr">
        <is>
          <t>Sim</t>
        </is>
      </c>
      <c r="P4700" t="inlineStr">
        <is>
          <t>2.350</t>
        </is>
      </c>
    </row>
    <row r="4701">
      <c r="A4701" s="24" t="n">
        <v>46266</v>
      </c>
      <c r="B4701" t="inlineStr">
        <is>
          <t>Frete de venda</t>
        </is>
      </c>
      <c r="C4701" t="inlineStr">
        <is>
          <t>Frete de venda (para clientes)</t>
        </is>
      </c>
      <c r="D4701" t="inlineStr">
        <is>
          <t>CT-e</t>
        </is>
      </c>
      <c r="E4701" t="inlineStr">
        <is>
          <t>000000540</t>
        </is>
      </c>
      <c r="F4701" t="inlineStr">
        <is>
          <t>DURA MAIS TRANSPORTES LTDA</t>
        </is>
      </c>
      <c r="G4701" s="27" t="n">
        <v>46269</v>
      </c>
      <c r="H4701" s="14" t="n">
        <v>1856.24</v>
      </c>
      <c r="I4701" s="14" t="n">
        <v>0</v>
      </c>
      <c r="J4701" s="14" t="n">
        <v>222.75</v>
      </c>
      <c r="K4701" s="14" t="n">
        <v>0</v>
      </c>
      <c r="L4701" s="14" t="n">
        <v>0</v>
      </c>
      <c r="M4701" s="14">
        <f>IF(B4701="Frete de venda",0,(1-ISNUMBER(SEARCH("556",P4701)))*(I4701*VLOOKUP($B4701,Premissas!$A$4:$E$7,2,0)+J4701*VLOOKUP($B4701,Premissas!$A$4:$E$7,3,0))+K4701*VLOOKUP($B4701,Premissas!$A$4:$E$7,4,0)+L4701*VLOOKUP($B4701,Premissas!$A$4:$E$7,5,0))</f>
        <v/>
      </c>
      <c r="N4701" s="14">
        <f>H4701-M4701</f>
        <v/>
      </c>
      <c r="O4701" t="inlineStr">
        <is>
          <t>Sim</t>
        </is>
      </c>
      <c r="P4701" t="inlineStr">
        <is>
          <t>2.350</t>
        </is>
      </c>
    </row>
    <row r="4702">
      <c r="A4702" s="24" t="n">
        <v>46266</v>
      </c>
      <c r="B4702" t="inlineStr">
        <is>
          <t>Frete de venda</t>
        </is>
      </c>
      <c r="C4702" t="inlineStr">
        <is>
          <t>Frete de venda (para clientes)</t>
        </is>
      </c>
      <c r="D4702" t="inlineStr">
        <is>
          <t>CT-e</t>
        </is>
      </c>
      <c r="E4702" t="inlineStr">
        <is>
          <t>000009827</t>
        </is>
      </c>
      <c r="F4702" t="inlineStr">
        <is>
          <t>BEM TRANSPORTES E LOGISTICA</t>
        </is>
      </c>
      <c r="G4702" s="27" t="n">
        <v>46273</v>
      </c>
      <c r="H4702" s="14" t="n">
        <v>1176.2</v>
      </c>
      <c r="I4702" s="14" t="n">
        <v>0</v>
      </c>
      <c r="J4702" s="14" t="n">
        <v>0</v>
      </c>
      <c r="K4702" s="14" t="n">
        <v>0</v>
      </c>
      <c r="L4702" s="14" t="n">
        <v>0</v>
      </c>
      <c r="M4702" s="14">
        <f>IF(B4702="Frete de venda",0,(1-ISNUMBER(SEARCH("556",P4702)))*(I4702*VLOOKUP($B4702,Premissas!$A$4:$E$7,2,0)+J4702*VLOOKUP($B4702,Premissas!$A$4:$E$7,3,0))+K4702*VLOOKUP($B4702,Premissas!$A$4:$E$7,4,0)+L4702*VLOOKUP($B4702,Premissas!$A$4:$E$7,5,0))</f>
        <v/>
      </c>
      <c r="N4702" s="14">
        <f>H4702-M4702</f>
        <v/>
      </c>
      <c r="O4702" t="inlineStr">
        <is>
          <t>Sim</t>
        </is>
      </c>
      <c r="P4702" t="inlineStr">
        <is>
          <t>2.350</t>
        </is>
      </c>
    </row>
    <row r="4703">
      <c r="A4703" s="24" t="n">
        <v>46266</v>
      </c>
      <c r="B4703" t="inlineStr">
        <is>
          <t>Frete de venda</t>
        </is>
      </c>
      <c r="C4703" t="inlineStr">
        <is>
          <t>Frete de venda (para clientes)</t>
        </is>
      </c>
      <c r="D4703" t="inlineStr">
        <is>
          <t>CT-e</t>
        </is>
      </c>
      <c r="E4703" t="inlineStr">
        <is>
          <t>000000806</t>
        </is>
      </c>
      <c r="F4703" t="inlineStr">
        <is>
          <t>DURA MAIS TRANSPORTES LTDA</t>
        </is>
      </c>
      <c r="G4703" s="27" t="n">
        <v>46287</v>
      </c>
      <c r="H4703" s="14" t="n">
        <v>848.5700000000001</v>
      </c>
      <c r="I4703" s="14" t="n">
        <v>0</v>
      </c>
      <c r="J4703" s="14" t="n">
        <v>101.83</v>
      </c>
      <c r="K4703" s="14" t="n">
        <v>0</v>
      </c>
      <c r="L4703" s="14" t="n">
        <v>0</v>
      </c>
      <c r="M4703" s="14">
        <f>IF(B4703="Frete de venda",0,(1-ISNUMBER(SEARCH("556",P4703)))*(I4703*VLOOKUP($B4703,Premissas!$A$4:$E$7,2,0)+J4703*VLOOKUP($B4703,Premissas!$A$4:$E$7,3,0))+K4703*VLOOKUP($B4703,Premissas!$A$4:$E$7,4,0)+L4703*VLOOKUP($B4703,Premissas!$A$4:$E$7,5,0))</f>
        <v/>
      </c>
      <c r="N4703" s="14">
        <f>H4703-M4703</f>
        <v/>
      </c>
      <c r="O4703" t="inlineStr">
        <is>
          <t>Sim</t>
        </is>
      </c>
      <c r="P4703" t="inlineStr">
        <is>
          <t>2.350</t>
        </is>
      </c>
    </row>
    <row r="4704">
      <c r="A4704" s="24" t="n">
        <v>46266</v>
      </c>
      <c r="B4704" t="inlineStr">
        <is>
          <t>Frete de venda</t>
        </is>
      </c>
      <c r="C4704" t="inlineStr">
        <is>
          <t>Frete de venda (para clientes)</t>
        </is>
      </c>
      <c r="D4704" t="inlineStr">
        <is>
          <t>CT-e</t>
        </is>
      </c>
      <c r="E4704" t="inlineStr">
        <is>
          <t>000000845</t>
        </is>
      </c>
      <c r="F4704" t="inlineStr">
        <is>
          <t>DURA MAIS TRANSPORTES LTDA</t>
        </is>
      </c>
      <c r="G4704" s="27" t="n">
        <v>46288</v>
      </c>
      <c r="H4704" s="14" t="n">
        <v>900</v>
      </c>
      <c r="I4704" s="14" t="n">
        <v>0</v>
      </c>
      <c r="J4704" s="14" t="n">
        <v>108</v>
      </c>
      <c r="K4704" s="14" t="n">
        <v>0</v>
      </c>
      <c r="L4704" s="14" t="n">
        <v>0</v>
      </c>
      <c r="M4704" s="14">
        <f>IF(B4704="Frete de venda",0,(1-ISNUMBER(SEARCH("556",P4704)))*(I4704*VLOOKUP($B4704,Premissas!$A$4:$E$7,2,0)+J4704*VLOOKUP($B4704,Premissas!$A$4:$E$7,3,0))+K4704*VLOOKUP($B4704,Premissas!$A$4:$E$7,4,0)+L4704*VLOOKUP($B4704,Premissas!$A$4:$E$7,5,0))</f>
        <v/>
      </c>
      <c r="N4704" s="14">
        <f>H4704-M4704</f>
        <v/>
      </c>
      <c r="O4704" t="inlineStr">
        <is>
          <t>Sim</t>
        </is>
      </c>
      <c r="P4704" t="inlineStr">
        <is>
          <t>2.350</t>
        </is>
      </c>
    </row>
    <row r="4705">
      <c r="A4705" s="24" t="n">
        <v>46266</v>
      </c>
      <c r="B4705" t="inlineStr">
        <is>
          <t>Frete de venda</t>
        </is>
      </c>
      <c r="C4705" t="inlineStr">
        <is>
          <t>Frete de venda (para clientes)</t>
        </is>
      </c>
      <c r="D4705" t="inlineStr">
        <is>
          <t>CT-e</t>
        </is>
      </c>
      <c r="E4705" t="inlineStr">
        <is>
          <t>000000464</t>
        </is>
      </c>
      <c r="F4705" t="inlineStr">
        <is>
          <t>DURA MAIS TRANSPORTES LTDA</t>
        </is>
      </c>
      <c r="G4705" s="27" t="n">
        <v>46266</v>
      </c>
      <c r="H4705" s="14" t="n">
        <v>1170</v>
      </c>
      <c r="I4705" s="14" t="n">
        <v>0</v>
      </c>
      <c r="J4705" s="14" t="n">
        <v>140.4</v>
      </c>
      <c r="K4705" s="14" t="n">
        <v>0</v>
      </c>
      <c r="L4705" s="14" t="n">
        <v>0</v>
      </c>
      <c r="M4705" s="14">
        <f>IF(B4705="Frete de venda",0,(1-ISNUMBER(SEARCH("556",P4705)))*(I4705*VLOOKUP($B4705,Premissas!$A$4:$E$7,2,0)+J4705*VLOOKUP($B4705,Premissas!$A$4:$E$7,3,0))+K4705*VLOOKUP($B4705,Premissas!$A$4:$E$7,4,0)+L4705*VLOOKUP($B4705,Premissas!$A$4:$E$7,5,0))</f>
        <v/>
      </c>
      <c r="N4705" s="14">
        <f>H4705-M4705</f>
        <v/>
      </c>
      <c r="O4705" t="inlineStr">
        <is>
          <t>Sim</t>
        </is>
      </c>
      <c r="P4705" t="inlineStr">
        <is>
          <t>2.350</t>
        </is>
      </c>
    </row>
    <row r="4706">
      <c r="A4706" s="24" t="n">
        <v>46266</v>
      </c>
      <c r="B4706" t="inlineStr">
        <is>
          <t>Frete de venda</t>
        </is>
      </c>
      <c r="C4706" t="inlineStr">
        <is>
          <t>Frete de venda (para clientes)</t>
        </is>
      </c>
      <c r="D4706" t="inlineStr">
        <is>
          <t>CT-e</t>
        </is>
      </c>
      <c r="E4706" t="inlineStr">
        <is>
          <t>000000505</t>
        </is>
      </c>
      <c r="F4706" t="inlineStr">
        <is>
          <t>DURA MAIS TRANSPORTES LTDA</t>
        </is>
      </c>
      <c r="G4706" s="27" t="n">
        <v>46267</v>
      </c>
      <c r="H4706" s="14" t="n">
        <v>817.1</v>
      </c>
      <c r="I4706" s="14" t="n">
        <v>0</v>
      </c>
      <c r="J4706" s="14" t="n">
        <v>98.05</v>
      </c>
      <c r="K4706" s="14" t="n">
        <v>0</v>
      </c>
      <c r="L4706" s="14" t="n">
        <v>0</v>
      </c>
      <c r="M4706" s="14">
        <f>IF(B4706="Frete de venda",0,(1-ISNUMBER(SEARCH("556",P4706)))*(I4706*VLOOKUP($B4706,Premissas!$A$4:$E$7,2,0)+J4706*VLOOKUP($B4706,Premissas!$A$4:$E$7,3,0))+K4706*VLOOKUP($B4706,Premissas!$A$4:$E$7,4,0)+L4706*VLOOKUP($B4706,Premissas!$A$4:$E$7,5,0))</f>
        <v/>
      </c>
      <c r="N4706" s="14">
        <f>H4706-M4706</f>
        <v/>
      </c>
      <c r="O4706" t="inlineStr">
        <is>
          <t>Sim</t>
        </is>
      </c>
      <c r="P4706" t="inlineStr">
        <is>
          <t>2.350</t>
        </is>
      </c>
    </row>
    <row r="4707">
      <c r="A4707" s="24" t="n">
        <v>46266</v>
      </c>
      <c r="B4707" t="inlineStr">
        <is>
          <t>Frete de venda</t>
        </is>
      </c>
      <c r="C4707" t="inlineStr">
        <is>
          <t>Frete de venda (para clientes)</t>
        </is>
      </c>
      <c r="D4707" t="inlineStr">
        <is>
          <t>CT-e</t>
        </is>
      </c>
      <c r="E4707" t="inlineStr">
        <is>
          <t>000000840</t>
        </is>
      </c>
      <c r="F4707" t="inlineStr">
        <is>
          <t>DURA MAIS TRANSPORTES LTDA</t>
        </is>
      </c>
      <c r="G4707" s="27" t="n">
        <v>46288</v>
      </c>
      <c r="H4707" s="14" t="n">
        <v>900</v>
      </c>
      <c r="I4707" s="14" t="n">
        <v>0</v>
      </c>
      <c r="J4707" s="14" t="n">
        <v>108</v>
      </c>
      <c r="K4707" s="14" t="n">
        <v>0</v>
      </c>
      <c r="L4707" s="14" t="n">
        <v>0</v>
      </c>
      <c r="M4707" s="14">
        <f>IF(B4707="Frete de venda",0,(1-ISNUMBER(SEARCH("556",P4707)))*(I4707*VLOOKUP($B4707,Premissas!$A$4:$E$7,2,0)+J4707*VLOOKUP($B4707,Premissas!$A$4:$E$7,3,0))+K4707*VLOOKUP($B4707,Premissas!$A$4:$E$7,4,0)+L4707*VLOOKUP($B4707,Premissas!$A$4:$E$7,5,0))</f>
        <v/>
      </c>
      <c r="N4707" s="14">
        <f>H4707-M4707</f>
        <v/>
      </c>
      <c r="O4707" t="inlineStr">
        <is>
          <t>Sim</t>
        </is>
      </c>
      <c r="P4707" t="inlineStr">
        <is>
          <t>2.350</t>
        </is>
      </c>
    </row>
    <row r="4708">
      <c r="A4708" s="24" t="n">
        <v>46266</v>
      </c>
      <c r="B4708" t="inlineStr">
        <is>
          <t>Frete de venda</t>
        </is>
      </c>
      <c r="C4708" t="inlineStr">
        <is>
          <t>Frete de venda (para clientes)</t>
        </is>
      </c>
      <c r="D4708" t="inlineStr">
        <is>
          <t>CT-e</t>
        </is>
      </c>
      <c r="E4708" t="inlineStr">
        <is>
          <t>000000636</t>
        </is>
      </c>
      <c r="F4708" t="inlineStr">
        <is>
          <t>DURA MAIS TRANSPORTES LTDA</t>
        </is>
      </c>
      <c r="G4708" s="27" t="n">
        <v>46277</v>
      </c>
      <c r="H4708" s="14" t="n">
        <v>817.1</v>
      </c>
      <c r="I4708" s="14" t="n">
        <v>0</v>
      </c>
      <c r="J4708" s="14" t="n">
        <v>98.05</v>
      </c>
      <c r="K4708" s="14" t="n">
        <v>0</v>
      </c>
      <c r="L4708" s="14" t="n">
        <v>0</v>
      </c>
      <c r="M4708" s="14">
        <f>IF(B4708="Frete de venda",0,(1-ISNUMBER(SEARCH("556",P4708)))*(I4708*VLOOKUP($B4708,Premissas!$A$4:$E$7,2,0)+J4708*VLOOKUP($B4708,Premissas!$A$4:$E$7,3,0))+K4708*VLOOKUP($B4708,Premissas!$A$4:$E$7,4,0)+L4708*VLOOKUP($B4708,Premissas!$A$4:$E$7,5,0))</f>
        <v/>
      </c>
      <c r="N4708" s="14">
        <f>H4708-M4708</f>
        <v/>
      </c>
      <c r="O4708" t="inlineStr">
        <is>
          <t>Sim</t>
        </is>
      </c>
      <c r="P4708" t="inlineStr">
        <is>
          <t>2.350</t>
        </is>
      </c>
    </row>
    <row r="4709">
      <c r="A4709" s="24" t="n">
        <v>46266</v>
      </c>
      <c r="B4709" t="inlineStr">
        <is>
          <t>Frete de venda</t>
        </is>
      </c>
      <c r="C4709" t="inlineStr">
        <is>
          <t>Frete de venda (para clientes)</t>
        </is>
      </c>
      <c r="D4709" t="inlineStr">
        <is>
          <t>CT-e</t>
        </is>
      </c>
      <c r="E4709" t="inlineStr">
        <is>
          <t>000000585</t>
        </is>
      </c>
      <c r="F4709" t="inlineStr">
        <is>
          <t>DURA MAIS TRANSPORTES LTDA</t>
        </is>
      </c>
      <c r="G4709" s="27" t="n">
        <v>46275</v>
      </c>
      <c r="H4709" s="14" t="n">
        <v>945</v>
      </c>
      <c r="I4709" s="14" t="n">
        <v>0</v>
      </c>
      <c r="J4709" s="14" t="n">
        <v>113.4</v>
      </c>
      <c r="K4709" s="14" t="n">
        <v>0</v>
      </c>
      <c r="L4709" s="14" t="n">
        <v>0</v>
      </c>
      <c r="M4709" s="14">
        <f>IF(B4709="Frete de venda",0,(1-ISNUMBER(SEARCH("556",P4709)))*(I4709*VLOOKUP($B4709,Premissas!$A$4:$E$7,2,0)+J4709*VLOOKUP($B4709,Premissas!$A$4:$E$7,3,0))+K4709*VLOOKUP($B4709,Premissas!$A$4:$E$7,4,0)+L4709*VLOOKUP($B4709,Premissas!$A$4:$E$7,5,0))</f>
        <v/>
      </c>
      <c r="N4709" s="14">
        <f>H4709-M4709</f>
        <v/>
      </c>
      <c r="O4709" t="inlineStr">
        <is>
          <t>Sim</t>
        </is>
      </c>
      <c r="P4709" t="inlineStr">
        <is>
          <t>2.350</t>
        </is>
      </c>
    </row>
    <row r="4710">
      <c r="A4710" s="24" t="n">
        <v>46266</v>
      </c>
      <c r="B4710" t="inlineStr">
        <is>
          <t>Frete de venda</t>
        </is>
      </c>
      <c r="C4710" t="inlineStr">
        <is>
          <t>Frete de venda (para clientes)</t>
        </is>
      </c>
      <c r="D4710" t="inlineStr">
        <is>
          <t>CT-e</t>
        </is>
      </c>
      <c r="E4710" t="inlineStr">
        <is>
          <t>000000796</t>
        </is>
      </c>
      <c r="F4710" t="inlineStr">
        <is>
          <t>DURA MAIS TRANSPORTES LTDA</t>
        </is>
      </c>
      <c r="G4710" s="27" t="n">
        <v>46287</v>
      </c>
      <c r="H4710" s="14" t="n">
        <v>848.5700000000001</v>
      </c>
      <c r="I4710" s="14" t="n">
        <v>0</v>
      </c>
      <c r="J4710" s="14" t="n">
        <v>101.83</v>
      </c>
      <c r="K4710" s="14" t="n">
        <v>0</v>
      </c>
      <c r="L4710" s="14" t="n">
        <v>0</v>
      </c>
      <c r="M4710" s="14">
        <f>IF(B4710="Frete de venda",0,(1-ISNUMBER(SEARCH("556",P4710)))*(I4710*VLOOKUP($B4710,Premissas!$A$4:$E$7,2,0)+J4710*VLOOKUP($B4710,Premissas!$A$4:$E$7,3,0))+K4710*VLOOKUP($B4710,Premissas!$A$4:$E$7,4,0)+L4710*VLOOKUP($B4710,Premissas!$A$4:$E$7,5,0))</f>
        <v/>
      </c>
      <c r="N4710" s="14">
        <f>H4710-M4710</f>
        <v/>
      </c>
      <c r="O4710" t="inlineStr">
        <is>
          <t>Sim</t>
        </is>
      </c>
      <c r="P4710" t="inlineStr">
        <is>
          <t>2.350</t>
        </is>
      </c>
    </row>
    <row r="4711">
      <c r="A4711" s="24" t="n">
        <v>46266</v>
      </c>
      <c r="B4711" t="inlineStr">
        <is>
          <t>Frete de venda</t>
        </is>
      </c>
      <c r="C4711" t="inlineStr">
        <is>
          <t>Frete de venda (para clientes)</t>
        </is>
      </c>
      <c r="D4711" t="inlineStr">
        <is>
          <t>CT-e</t>
        </is>
      </c>
      <c r="E4711" t="inlineStr">
        <is>
          <t>000000795</t>
        </is>
      </c>
      <c r="F4711" t="inlineStr">
        <is>
          <t>DURA MAIS TRANSPORTES LTDA</t>
        </is>
      </c>
      <c r="G4711" s="27" t="n">
        <v>46287</v>
      </c>
      <c r="H4711" s="14" t="n">
        <v>848.5700000000001</v>
      </c>
      <c r="I4711" s="14" t="n">
        <v>0</v>
      </c>
      <c r="J4711" s="14" t="n">
        <v>101.83</v>
      </c>
      <c r="K4711" s="14" t="n">
        <v>0</v>
      </c>
      <c r="L4711" s="14" t="n">
        <v>0</v>
      </c>
      <c r="M4711" s="14">
        <f>IF(B4711="Frete de venda",0,(1-ISNUMBER(SEARCH("556",P4711)))*(I4711*VLOOKUP($B4711,Premissas!$A$4:$E$7,2,0)+J4711*VLOOKUP($B4711,Premissas!$A$4:$E$7,3,0))+K4711*VLOOKUP($B4711,Premissas!$A$4:$E$7,4,0)+L4711*VLOOKUP($B4711,Premissas!$A$4:$E$7,5,0))</f>
        <v/>
      </c>
      <c r="N4711" s="14">
        <f>H4711-M4711</f>
        <v/>
      </c>
      <c r="O4711" t="inlineStr">
        <is>
          <t>Sim</t>
        </is>
      </c>
      <c r="P4711" t="inlineStr">
        <is>
          <t>2.350</t>
        </is>
      </c>
    </row>
    <row r="4712">
      <c r="A4712" s="24" t="n">
        <v>46266</v>
      </c>
      <c r="B4712" t="inlineStr">
        <is>
          <t>Frete de venda</t>
        </is>
      </c>
      <c r="C4712" t="inlineStr">
        <is>
          <t>Frete de venda (para clientes)</t>
        </is>
      </c>
      <c r="D4712" t="inlineStr">
        <is>
          <t>CT-e</t>
        </is>
      </c>
      <c r="E4712" t="inlineStr">
        <is>
          <t>000000516</t>
        </is>
      </c>
      <c r="F4712" t="inlineStr">
        <is>
          <t>DURA MAIS TRANSPORTES LTDA</t>
        </is>
      </c>
      <c r="G4712" s="27" t="n">
        <v>46267</v>
      </c>
      <c r="H4712" s="14" t="n">
        <v>1552.5</v>
      </c>
      <c r="I4712" s="14" t="n">
        <v>0</v>
      </c>
      <c r="J4712" s="14" t="n">
        <v>186.3</v>
      </c>
      <c r="K4712" s="14" t="n">
        <v>0</v>
      </c>
      <c r="L4712" s="14" t="n">
        <v>0</v>
      </c>
      <c r="M4712" s="14">
        <f>IF(B4712="Frete de venda",0,(1-ISNUMBER(SEARCH("556",P4712)))*(I4712*VLOOKUP($B4712,Premissas!$A$4:$E$7,2,0)+J4712*VLOOKUP($B4712,Premissas!$A$4:$E$7,3,0))+K4712*VLOOKUP($B4712,Premissas!$A$4:$E$7,4,0)+L4712*VLOOKUP($B4712,Premissas!$A$4:$E$7,5,0))</f>
        <v/>
      </c>
      <c r="N4712" s="14">
        <f>H4712-M4712</f>
        <v/>
      </c>
      <c r="O4712" t="inlineStr">
        <is>
          <t>Sim</t>
        </is>
      </c>
      <c r="P4712" t="inlineStr">
        <is>
          <t>2.350</t>
        </is>
      </c>
    </row>
    <row r="4713">
      <c r="A4713" s="24" t="n">
        <v>46266</v>
      </c>
      <c r="B4713" t="inlineStr">
        <is>
          <t>Frete de venda</t>
        </is>
      </c>
      <c r="C4713" t="inlineStr">
        <is>
          <t>Frete de venda (para clientes)</t>
        </is>
      </c>
      <c r="D4713" t="inlineStr">
        <is>
          <t>CT-e</t>
        </is>
      </c>
      <c r="E4713" t="inlineStr">
        <is>
          <t>000000519</t>
        </is>
      </c>
      <c r="F4713" t="inlineStr">
        <is>
          <t>DURA MAIS TRANSPORTES LTDA</t>
        </is>
      </c>
      <c r="G4713" s="27" t="n">
        <v>46267</v>
      </c>
      <c r="H4713" s="14" t="n">
        <v>2700</v>
      </c>
      <c r="I4713" s="14" t="n">
        <v>0</v>
      </c>
      <c r="J4713" s="14" t="n">
        <v>324</v>
      </c>
      <c r="K4713" s="14" t="n">
        <v>0</v>
      </c>
      <c r="L4713" s="14" t="n">
        <v>0</v>
      </c>
      <c r="M4713" s="14">
        <f>IF(B4713="Frete de venda",0,(1-ISNUMBER(SEARCH("556",P4713)))*(I4713*VLOOKUP($B4713,Premissas!$A$4:$E$7,2,0)+J4713*VLOOKUP($B4713,Premissas!$A$4:$E$7,3,0))+K4713*VLOOKUP($B4713,Premissas!$A$4:$E$7,4,0)+L4713*VLOOKUP($B4713,Premissas!$A$4:$E$7,5,0))</f>
        <v/>
      </c>
      <c r="N4713" s="14">
        <f>H4713-M4713</f>
        <v/>
      </c>
      <c r="O4713" t="inlineStr">
        <is>
          <t>Sim</t>
        </is>
      </c>
      <c r="P4713" t="inlineStr">
        <is>
          <t>2.350</t>
        </is>
      </c>
    </row>
    <row r="4714">
      <c r="A4714" s="24" t="n">
        <v>46266</v>
      </c>
      <c r="B4714" t="inlineStr">
        <is>
          <t>Frete de venda</t>
        </is>
      </c>
      <c r="C4714" t="inlineStr">
        <is>
          <t>Frete de venda (para clientes)</t>
        </is>
      </c>
      <c r="D4714" t="inlineStr">
        <is>
          <t>CT-e</t>
        </is>
      </c>
      <c r="E4714" t="inlineStr">
        <is>
          <t>000000466</t>
        </is>
      </c>
      <c r="F4714" t="inlineStr">
        <is>
          <t>DURA MAIS TRANSPORTES LTDA</t>
        </is>
      </c>
      <c r="G4714" s="27" t="n">
        <v>46266</v>
      </c>
      <c r="H4714" s="14" t="n">
        <v>1170</v>
      </c>
      <c r="I4714" s="14" t="n">
        <v>0</v>
      </c>
      <c r="J4714" s="14" t="n">
        <v>140.4</v>
      </c>
      <c r="K4714" s="14" t="n">
        <v>0</v>
      </c>
      <c r="L4714" s="14" t="n">
        <v>0</v>
      </c>
      <c r="M4714" s="14">
        <f>IF(B4714="Frete de venda",0,(1-ISNUMBER(SEARCH("556",P4714)))*(I4714*VLOOKUP($B4714,Premissas!$A$4:$E$7,2,0)+J4714*VLOOKUP($B4714,Premissas!$A$4:$E$7,3,0))+K4714*VLOOKUP($B4714,Premissas!$A$4:$E$7,4,0)+L4714*VLOOKUP($B4714,Premissas!$A$4:$E$7,5,0))</f>
        <v/>
      </c>
      <c r="N4714" s="14">
        <f>H4714-M4714</f>
        <v/>
      </c>
      <c r="O4714" t="inlineStr">
        <is>
          <t>Sim</t>
        </is>
      </c>
      <c r="P4714" t="inlineStr">
        <is>
          <t>2.350</t>
        </is>
      </c>
    </row>
    <row r="4715">
      <c r="A4715" s="24" t="n">
        <v>46266</v>
      </c>
      <c r="B4715" t="inlineStr">
        <is>
          <t>Frete de venda</t>
        </is>
      </c>
      <c r="C4715" t="inlineStr">
        <is>
          <t>Frete de venda (para clientes)</t>
        </is>
      </c>
      <c r="D4715" t="inlineStr">
        <is>
          <t>CT-e</t>
        </is>
      </c>
      <c r="E4715" t="inlineStr">
        <is>
          <t>000000541</t>
        </is>
      </c>
      <c r="F4715" t="inlineStr">
        <is>
          <t>DURA MAIS TRANSPORTES LTDA</t>
        </is>
      </c>
      <c r="G4715" s="27" t="n">
        <v>46269</v>
      </c>
      <c r="H4715" s="14" t="n">
        <v>1856.24</v>
      </c>
      <c r="I4715" s="14" t="n">
        <v>0</v>
      </c>
      <c r="J4715" s="14" t="n">
        <v>222.75</v>
      </c>
      <c r="K4715" s="14" t="n">
        <v>0</v>
      </c>
      <c r="L4715" s="14" t="n">
        <v>0</v>
      </c>
      <c r="M4715" s="14">
        <f>IF(B4715="Frete de venda",0,(1-ISNUMBER(SEARCH("556",P4715)))*(I4715*VLOOKUP($B4715,Premissas!$A$4:$E$7,2,0)+J4715*VLOOKUP($B4715,Premissas!$A$4:$E$7,3,0))+K4715*VLOOKUP($B4715,Premissas!$A$4:$E$7,4,0)+L4715*VLOOKUP($B4715,Premissas!$A$4:$E$7,5,0))</f>
        <v/>
      </c>
      <c r="N4715" s="14">
        <f>H4715-M4715</f>
        <v/>
      </c>
      <c r="O4715" t="inlineStr">
        <is>
          <t>Sim</t>
        </is>
      </c>
      <c r="P4715" t="inlineStr">
        <is>
          <t>2.350</t>
        </is>
      </c>
    </row>
    <row r="4716">
      <c r="A4716" s="24" t="n">
        <v>46266</v>
      </c>
      <c r="B4716" t="inlineStr">
        <is>
          <t>Frete de venda</t>
        </is>
      </c>
      <c r="C4716" t="inlineStr">
        <is>
          <t>Frete de venda (para clientes)</t>
        </is>
      </c>
      <c r="D4716" t="inlineStr">
        <is>
          <t>CT-e</t>
        </is>
      </c>
      <c r="E4716" t="inlineStr">
        <is>
          <t>000009826</t>
        </is>
      </c>
      <c r="F4716" t="inlineStr">
        <is>
          <t>BEM TRANSPORTES E LOGISTICA</t>
        </is>
      </c>
      <c r="G4716" s="27" t="n">
        <v>46273</v>
      </c>
      <c r="H4716" s="14" t="n">
        <v>846.5</v>
      </c>
      <c r="I4716" s="14" t="n">
        <v>0</v>
      </c>
      <c r="J4716" s="14" t="n">
        <v>0</v>
      </c>
      <c r="K4716" s="14" t="n">
        <v>0</v>
      </c>
      <c r="L4716" s="14" t="n">
        <v>0</v>
      </c>
      <c r="M4716" s="14">
        <f>IF(B4716="Frete de venda",0,(1-ISNUMBER(SEARCH("556",P4716)))*(I4716*VLOOKUP($B4716,Premissas!$A$4:$E$7,2,0)+J4716*VLOOKUP($B4716,Premissas!$A$4:$E$7,3,0))+K4716*VLOOKUP($B4716,Premissas!$A$4:$E$7,4,0)+L4716*VLOOKUP($B4716,Premissas!$A$4:$E$7,5,0))</f>
        <v/>
      </c>
      <c r="N4716" s="14">
        <f>H4716-M4716</f>
        <v/>
      </c>
      <c r="O4716" t="inlineStr">
        <is>
          <t>Sim</t>
        </is>
      </c>
      <c r="P4716" t="inlineStr">
        <is>
          <t>2.350</t>
        </is>
      </c>
    </row>
    <row r="4717">
      <c r="A4717" s="24" t="n">
        <v>46266</v>
      </c>
      <c r="B4717" t="inlineStr">
        <is>
          <t>Frete de venda</t>
        </is>
      </c>
      <c r="C4717" t="inlineStr">
        <is>
          <t>Frete de venda (para clientes)</t>
        </is>
      </c>
      <c r="D4717" t="inlineStr">
        <is>
          <t>CT-e</t>
        </is>
      </c>
      <c r="E4717" t="inlineStr">
        <is>
          <t>000000472</t>
        </is>
      </c>
      <c r="F4717" t="inlineStr">
        <is>
          <t>DURA MAIS TRANSPORTES LTDA</t>
        </is>
      </c>
      <c r="G4717" s="27" t="n">
        <v>46266</v>
      </c>
      <c r="H4717" s="14" t="n">
        <v>1170</v>
      </c>
      <c r="I4717" s="14" t="n">
        <v>0</v>
      </c>
      <c r="J4717" s="14" t="n">
        <v>140.4</v>
      </c>
      <c r="K4717" s="14" t="n">
        <v>0</v>
      </c>
      <c r="L4717" s="14" t="n">
        <v>0</v>
      </c>
      <c r="M4717" s="14">
        <f>IF(B4717="Frete de venda",0,(1-ISNUMBER(SEARCH("556",P4717)))*(I4717*VLOOKUP($B4717,Premissas!$A$4:$E$7,2,0)+J4717*VLOOKUP($B4717,Premissas!$A$4:$E$7,3,0))+K4717*VLOOKUP($B4717,Premissas!$A$4:$E$7,4,0)+L4717*VLOOKUP($B4717,Premissas!$A$4:$E$7,5,0))</f>
        <v/>
      </c>
      <c r="N4717" s="14">
        <f>H4717-M4717</f>
        <v/>
      </c>
      <c r="O4717" t="inlineStr">
        <is>
          <t>Sim</t>
        </is>
      </c>
      <c r="P4717" t="inlineStr">
        <is>
          <t>2.350</t>
        </is>
      </c>
    </row>
    <row r="4718">
      <c r="A4718" s="24" t="n">
        <v>46266</v>
      </c>
      <c r="B4718" t="inlineStr">
        <is>
          <t>Frete de venda</t>
        </is>
      </c>
      <c r="C4718" t="inlineStr">
        <is>
          <t>Frete de venda (para clientes)</t>
        </is>
      </c>
      <c r="D4718" t="inlineStr">
        <is>
          <t>CT-e</t>
        </is>
      </c>
      <c r="E4718" t="inlineStr">
        <is>
          <t>000000807</t>
        </is>
      </c>
      <c r="F4718" t="inlineStr">
        <is>
          <t>DURA MAIS TRANSPORTES LTDA</t>
        </is>
      </c>
      <c r="G4718" s="27" t="n">
        <v>46287</v>
      </c>
      <c r="H4718" s="14" t="n">
        <v>848.5700000000001</v>
      </c>
      <c r="I4718" s="14" t="n">
        <v>0</v>
      </c>
      <c r="J4718" s="14" t="n">
        <v>101.83</v>
      </c>
      <c r="K4718" s="14" t="n">
        <v>0</v>
      </c>
      <c r="L4718" s="14" t="n">
        <v>0</v>
      </c>
      <c r="M4718" s="14">
        <f>IF(B4718="Frete de venda",0,(1-ISNUMBER(SEARCH("556",P4718)))*(I4718*VLOOKUP($B4718,Premissas!$A$4:$E$7,2,0)+J4718*VLOOKUP($B4718,Premissas!$A$4:$E$7,3,0))+K4718*VLOOKUP($B4718,Premissas!$A$4:$E$7,4,0)+L4718*VLOOKUP($B4718,Premissas!$A$4:$E$7,5,0))</f>
        <v/>
      </c>
      <c r="N4718" s="14">
        <f>H4718-M4718</f>
        <v/>
      </c>
      <c r="O4718" t="inlineStr">
        <is>
          <t>Sim</t>
        </is>
      </c>
      <c r="P4718" t="inlineStr">
        <is>
          <t>2.350</t>
        </is>
      </c>
    </row>
    <row r="4719">
      <c r="A4719" s="24" t="n">
        <v>46266</v>
      </c>
      <c r="B4719" t="inlineStr">
        <is>
          <t>Frete de venda</t>
        </is>
      </c>
      <c r="C4719" t="inlineStr">
        <is>
          <t>Frete de venda (para clientes)</t>
        </is>
      </c>
      <c r="D4719" t="inlineStr">
        <is>
          <t>CT-e</t>
        </is>
      </c>
      <c r="E4719" t="inlineStr">
        <is>
          <t>000000838</t>
        </is>
      </c>
      <c r="F4719" t="inlineStr">
        <is>
          <t>DURA MAIS TRANSPORTES LTDA</t>
        </is>
      </c>
      <c r="G4719" s="27" t="n">
        <v>46288</v>
      </c>
      <c r="H4719" s="14" t="n">
        <v>900</v>
      </c>
      <c r="I4719" s="14" t="n">
        <v>0</v>
      </c>
      <c r="J4719" s="14" t="n">
        <v>108</v>
      </c>
      <c r="K4719" s="14" t="n">
        <v>0</v>
      </c>
      <c r="L4719" s="14" t="n">
        <v>0</v>
      </c>
      <c r="M4719" s="14">
        <f>IF(B4719="Frete de venda",0,(1-ISNUMBER(SEARCH("556",P4719)))*(I4719*VLOOKUP($B4719,Premissas!$A$4:$E$7,2,0)+J4719*VLOOKUP($B4719,Premissas!$A$4:$E$7,3,0))+K4719*VLOOKUP($B4719,Premissas!$A$4:$E$7,4,0)+L4719*VLOOKUP($B4719,Premissas!$A$4:$E$7,5,0))</f>
        <v/>
      </c>
      <c r="N4719" s="14">
        <f>H4719-M4719</f>
        <v/>
      </c>
      <c r="O4719" t="inlineStr">
        <is>
          <t>Sim</t>
        </is>
      </c>
      <c r="P4719" t="inlineStr">
        <is>
          <t>2.350</t>
        </is>
      </c>
    </row>
    <row r="4720">
      <c r="A4720" s="24" t="n">
        <v>46266</v>
      </c>
      <c r="B4720" t="inlineStr">
        <is>
          <t>Frete de venda</t>
        </is>
      </c>
      <c r="C4720" t="inlineStr">
        <is>
          <t>Frete de venda (para clientes)</t>
        </is>
      </c>
      <c r="D4720" t="inlineStr">
        <is>
          <t>CT-e</t>
        </is>
      </c>
      <c r="E4720" t="inlineStr">
        <is>
          <t>000000714</t>
        </is>
      </c>
      <c r="F4720" t="inlineStr">
        <is>
          <t>DURA MAIS TRANSPORTES LTDA</t>
        </is>
      </c>
      <c r="G4720" s="27" t="n">
        <v>46283</v>
      </c>
      <c r="H4720" s="14" t="n">
        <v>416.91</v>
      </c>
      <c r="I4720" s="14" t="n">
        <v>0</v>
      </c>
      <c r="J4720" s="14" t="n">
        <v>50.03</v>
      </c>
      <c r="K4720" s="14" t="n">
        <v>0</v>
      </c>
      <c r="L4720" s="14" t="n">
        <v>0</v>
      </c>
      <c r="M4720" s="14">
        <f>IF(B4720="Frete de venda",0,(1-ISNUMBER(SEARCH("556",P4720)))*(I4720*VLOOKUP($B4720,Premissas!$A$4:$E$7,2,0)+J4720*VLOOKUP($B4720,Premissas!$A$4:$E$7,3,0))+K4720*VLOOKUP($B4720,Premissas!$A$4:$E$7,4,0)+L4720*VLOOKUP($B4720,Premissas!$A$4:$E$7,5,0))</f>
        <v/>
      </c>
      <c r="N4720" s="14">
        <f>H4720-M4720</f>
        <v/>
      </c>
      <c r="O4720" t="inlineStr">
        <is>
          <t>Sim</t>
        </is>
      </c>
      <c r="P4720" t="inlineStr">
        <is>
          <t>2.350</t>
        </is>
      </c>
    </row>
    <row r="4721">
      <c r="A4721" s="24" t="n">
        <v>46266</v>
      </c>
      <c r="B4721" t="inlineStr">
        <is>
          <t>Frete de venda</t>
        </is>
      </c>
      <c r="C4721" t="inlineStr">
        <is>
          <t>Frete de venda (para clientes)</t>
        </is>
      </c>
      <c r="D4721" t="inlineStr">
        <is>
          <t>CT-e</t>
        </is>
      </c>
      <c r="E4721" t="inlineStr">
        <is>
          <t>000000843</t>
        </is>
      </c>
      <c r="F4721" t="inlineStr">
        <is>
          <t>DURA MAIS TRANSPORTES LTDA</t>
        </is>
      </c>
      <c r="G4721" s="27" t="n">
        <v>46288</v>
      </c>
      <c r="H4721" s="14" t="n">
        <v>900</v>
      </c>
      <c r="I4721" s="14" t="n">
        <v>0</v>
      </c>
      <c r="J4721" s="14" t="n">
        <v>108</v>
      </c>
      <c r="K4721" s="14" t="n">
        <v>0</v>
      </c>
      <c r="L4721" s="14" t="n">
        <v>0</v>
      </c>
      <c r="M4721" s="14">
        <f>IF(B4721="Frete de venda",0,(1-ISNUMBER(SEARCH("556",P4721)))*(I4721*VLOOKUP($B4721,Premissas!$A$4:$E$7,2,0)+J4721*VLOOKUP($B4721,Premissas!$A$4:$E$7,3,0))+K4721*VLOOKUP($B4721,Premissas!$A$4:$E$7,4,0)+L4721*VLOOKUP($B4721,Premissas!$A$4:$E$7,5,0))</f>
        <v/>
      </c>
      <c r="N4721" s="14">
        <f>H4721-M4721</f>
        <v/>
      </c>
      <c r="O4721" t="inlineStr">
        <is>
          <t>Sim</t>
        </is>
      </c>
      <c r="P4721" t="inlineStr">
        <is>
          <t>2.350</t>
        </is>
      </c>
    </row>
    <row r="4722">
      <c r="A4722" s="24" t="n">
        <v>46266</v>
      </c>
      <c r="B4722" t="inlineStr">
        <is>
          <t>Frete de venda</t>
        </is>
      </c>
      <c r="C4722" t="inlineStr">
        <is>
          <t>Frete de venda (para clientes)</t>
        </is>
      </c>
      <c r="D4722" t="inlineStr">
        <is>
          <t>CT-e</t>
        </is>
      </c>
      <c r="E4722" t="inlineStr">
        <is>
          <t>000000685</t>
        </is>
      </c>
      <c r="F4722" t="inlineStr">
        <is>
          <t>DURA MAIS TRANSPORTES LTDA</t>
        </is>
      </c>
      <c r="G4722" s="27" t="n">
        <v>46281</v>
      </c>
      <c r="H4722" s="14" t="n">
        <v>5940</v>
      </c>
      <c r="I4722" s="14" t="n">
        <v>0</v>
      </c>
      <c r="J4722" s="14" t="n">
        <v>712.8</v>
      </c>
      <c r="K4722" s="14" t="n">
        <v>0</v>
      </c>
      <c r="L4722" s="14" t="n">
        <v>0</v>
      </c>
      <c r="M4722" s="14">
        <f>IF(B4722="Frete de venda",0,(1-ISNUMBER(SEARCH("556",P4722)))*(I4722*VLOOKUP($B4722,Premissas!$A$4:$E$7,2,0)+J4722*VLOOKUP($B4722,Premissas!$A$4:$E$7,3,0))+K4722*VLOOKUP($B4722,Premissas!$A$4:$E$7,4,0)+L4722*VLOOKUP($B4722,Premissas!$A$4:$E$7,5,0))</f>
        <v/>
      </c>
      <c r="N4722" s="14">
        <f>H4722-M4722</f>
        <v/>
      </c>
      <c r="O4722" t="inlineStr">
        <is>
          <t>Sim</t>
        </is>
      </c>
      <c r="P4722" t="inlineStr">
        <is>
          <t>2.350</t>
        </is>
      </c>
    </row>
    <row r="4723">
      <c r="A4723" s="24" t="n">
        <v>46266</v>
      </c>
      <c r="B4723" t="inlineStr">
        <is>
          <t>Frete de venda</t>
        </is>
      </c>
      <c r="C4723" t="inlineStr">
        <is>
          <t>Frete de venda (para clientes)</t>
        </is>
      </c>
      <c r="D4723" t="inlineStr">
        <is>
          <t>CT-e</t>
        </is>
      </c>
      <c r="E4723" t="inlineStr">
        <is>
          <t>000000548</t>
        </is>
      </c>
      <c r="F4723" t="inlineStr">
        <is>
          <t>DURA MAIS TRANSPORTES LTDA</t>
        </is>
      </c>
      <c r="G4723" s="27" t="n">
        <v>46269</v>
      </c>
      <c r="H4723" s="14" t="n">
        <v>1869.22</v>
      </c>
      <c r="I4723" s="14" t="n">
        <v>0</v>
      </c>
      <c r="J4723" s="14" t="n">
        <v>224.31</v>
      </c>
      <c r="K4723" s="14" t="n">
        <v>0</v>
      </c>
      <c r="L4723" s="14" t="n">
        <v>0</v>
      </c>
      <c r="M4723" s="14">
        <f>IF(B4723="Frete de venda",0,(1-ISNUMBER(SEARCH("556",P4723)))*(I4723*VLOOKUP($B4723,Premissas!$A$4:$E$7,2,0)+J4723*VLOOKUP($B4723,Premissas!$A$4:$E$7,3,0))+K4723*VLOOKUP($B4723,Premissas!$A$4:$E$7,4,0)+L4723*VLOOKUP($B4723,Premissas!$A$4:$E$7,5,0))</f>
        <v/>
      </c>
      <c r="N4723" s="14">
        <f>H4723-M4723</f>
        <v/>
      </c>
      <c r="O4723" t="inlineStr">
        <is>
          <t>Sim</t>
        </is>
      </c>
      <c r="P4723" t="inlineStr">
        <is>
          <t>2.350</t>
        </is>
      </c>
    </row>
    <row r="4724">
      <c r="A4724" s="24" t="n">
        <v>46266</v>
      </c>
      <c r="B4724" t="inlineStr">
        <is>
          <t>Frete de venda</t>
        </is>
      </c>
      <c r="C4724" t="inlineStr">
        <is>
          <t>Frete de venda (para clientes)</t>
        </is>
      </c>
      <c r="D4724" t="inlineStr">
        <is>
          <t>CT-e</t>
        </is>
      </c>
      <c r="E4724" t="inlineStr">
        <is>
          <t>000000731</t>
        </is>
      </c>
      <c r="F4724" t="inlineStr">
        <is>
          <t>DURA MAIS TRANSPORTES LTDA</t>
        </is>
      </c>
      <c r="G4724" s="27" t="n">
        <v>46283</v>
      </c>
      <c r="H4724" s="14" t="n">
        <v>100</v>
      </c>
      <c r="I4724" s="14" t="n">
        <v>0</v>
      </c>
      <c r="J4724" s="14" t="n">
        <v>12</v>
      </c>
      <c r="K4724" s="14" t="n">
        <v>0</v>
      </c>
      <c r="L4724" s="14" t="n">
        <v>0</v>
      </c>
      <c r="M4724" s="14">
        <f>IF(B4724="Frete de venda",0,(1-ISNUMBER(SEARCH("556",P4724)))*(I4724*VLOOKUP($B4724,Premissas!$A$4:$E$7,2,0)+J4724*VLOOKUP($B4724,Premissas!$A$4:$E$7,3,0))+K4724*VLOOKUP($B4724,Premissas!$A$4:$E$7,4,0)+L4724*VLOOKUP($B4724,Premissas!$A$4:$E$7,5,0))</f>
        <v/>
      </c>
      <c r="N4724" s="14">
        <f>H4724-M4724</f>
        <v/>
      </c>
      <c r="O4724" t="inlineStr">
        <is>
          <t>Sim</t>
        </is>
      </c>
      <c r="P4724" t="inlineStr">
        <is>
          <t>2.350</t>
        </is>
      </c>
    </row>
    <row r="4725">
      <c r="A4725" s="24" t="n">
        <v>46266</v>
      </c>
      <c r="B4725" t="inlineStr">
        <is>
          <t>Frete de venda</t>
        </is>
      </c>
      <c r="C4725" t="inlineStr">
        <is>
          <t>Frete de venda (para clientes)</t>
        </is>
      </c>
      <c r="D4725" t="inlineStr">
        <is>
          <t>CT-e</t>
        </is>
      </c>
      <c r="E4725" t="inlineStr">
        <is>
          <t>000000626</t>
        </is>
      </c>
      <c r="F4725" t="inlineStr">
        <is>
          <t>DURA MAIS TRANSPORTES LTDA</t>
        </is>
      </c>
      <c r="G4725" s="27" t="n">
        <v>46276</v>
      </c>
      <c r="H4725" s="14" t="n">
        <v>488.79</v>
      </c>
      <c r="I4725" s="14" t="n">
        <v>0</v>
      </c>
      <c r="J4725" s="14" t="n">
        <v>58.65</v>
      </c>
      <c r="K4725" s="14" t="n">
        <v>0</v>
      </c>
      <c r="L4725" s="14" t="n">
        <v>0</v>
      </c>
      <c r="M4725" s="14">
        <f>IF(B4725="Frete de venda",0,(1-ISNUMBER(SEARCH("556",P4725)))*(I4725*VLOOKUP($B4725,Premissas!$A$4:$E$7,2,0)+J4725*VLOOKUP($B4725,Premissas!$A$4:$E$7,3,0))+K4725*VLOOKUP($B4725,Premissas!$A$4:$E$7,4,0)+L4725*VLOOKUP($B4725,Premissas!$A$4:$E$7,5,0))</f>
        <v/>
      </c>
      <c r="N4725" s="14">
        <f>H4725-M4725</f>
        <v/>
      </c>
      <c r="O4725" t="inlineStr">
        <is>
          <t>Sim</t>
        </is>
      </c>
      <c r="P4725" t="inlineStr">
        <is>
          <t>2.350</t>
        </is>
      </c>
    </row>
    <row r="4726">
      <c r="A4726" s="24" t="n">
        <v>46266</v>
      </c>
      <c r="B4726" t="inlineStr">
        <is>
          <t>Frete de venda</t>
        </is>
      </c>
      <c r="C4726" t="inlineStr">
        <is>
          <t>Frete de venda (para clientes)</t>
        </is>
      </c>
      <c r="D4726" t="inlineStr">
        <is>
          <t>CT-e</t>
        </is>
      </c>
      <c r="E4726" t="inlineStr">
        <is>
          <t>000000544</t>
        </is>
      </c>
      <c r="F4726" t="inlineStr">
        <is>
          <t>DURA MAIS TRANSPORTES LTDA</t>
        </is>
      </c>
      <c r="G4726" s="27" t="n">
        <v>46269</v>
      </c>
      <c r="H4726" s="14" t="n">
        <v>928.2</v>
      </c>
      <c r="I4726" s="14" t="n">
        <v>0</v>
      </c>
      <c r="J4726" s="14" t="n">
        <v>111.38</v>
      </c>
      <c r="K4726" s="14" t="n">
        <v>0</v>
      </c>
      <c r="L4726" s="14" t="n">
        <v>0</v>
      </c>
      <c r="M4726" s="14">
        <f>IF(B4726="Frete de venda",0,(1-ISNUMBER(SEARCH("556",P4726)))*(I4726*VLOOKUP($B4726,Premissas!$A$4:$E$7,2,0)+J4726*VLOOKUP($B4726,Premissas!$A$4:$E$7,3,0))+K4726*VLOOKUP($B4726,Premissas!$A$4:$E$7,4,0)+L4726*VLOOKUP($B4726,Premissas!$A$4:$E$7,5,0))</f>
        <v/>
      </c>
      <c r="N4726" s="14">
        <f>H4726-M4726</f>
        <v/>
      </c>
      <c r="O4726" t="inlineStr">
        <is>
          <t>Sim</t>
        </is>
      </c>
      <c r="P4726" t="inlineStr">
        <is>
          <t>2.350</t>
        </is>
      </c>
    </row>
    <row r="4727">
      <c r="A4727" s="24" t="n">
        <v>46266</v>
      </c>
      <c r="B4727" t="inlineStr">
        <is>
          <t>Frete de venda</t>
        </is>
      </c>
      <c r="C4727" t="inlineStr">
        <is>
          <t>Frete de venda (para clientes)</t>
        </is>
      </c>
      <c r="D4727" t="inlineStr">
        <is>
          <t>CT-e</t>
        </is>
      </c>
      <c r="E4727" t="inlineStr">
        <is>
          <t>000009824</t>
        </is>
      </c>
      <c r="F4727" t="inlineStr">
        <is>
          <t>BEM TRANSPORTES E LOGISTICA</t>
        </is>
      </c>
      <c r="G4727" s="27" t="n">
        <v>46273</v>
      </c>
      <c r="H4727" s="14" t="n">
        <v>2770.7</v>
      </c>
      <c r="I4727" s="14" t="n">
        <v>0</v>
      </c>
      <c r="J4727" s="14" t="n">
        <v>0</v>
      </c>
      <c r="K4727" s="14" t="n">
        <v>0</v>
      </c>
      <c r="L4727" s="14" t="n">
        <v>0</v>
      </c>
      <c r="M4727" s="14">
        <f>IF(B4727="Frete de venda",0,(1-ISNUMBER(SEARCH("556",P4727)))*(I4727*VLOOKUP($B4727,Premissas!$A$4:$E$7,2,0)+J4727*VLOOKUP($B4727,Premissas!$A$4:$E$7,3,0))+K4727*VLOOKUP($B4727,Premissas!$A$4:$E$7,4,0)+L4727*VLOOKUP($B4727,Premissas!$A$4:$E$7,5,0))</f>
        <v/>
      </c>
      <c r="N4727" s="14">
        <f>H4727-M4727</f>
        <v/>
      </c>
      <c r="O4727" t="inlineStr">
        <is>
          <t>Sim</t>
        </is>
      </c>
      <c r="P4727" t="inlineStr">
        <is>
          <t>2.350</t>
        </is>
      </c>
    </row>
    <row r="4728">
      <c r="A4728" s="24" t="n">
        <v>46266</v>
      </c>
      <c r="B4728" t="inlineStr">
        <is>
          <t>Frete de venda</t>
        </is>
      </c>
      <c r="C4728" t="inlineStr">
        <is>
          <t>Frete de venda (para clientes)</t>
        </is>
      </c>
      <c r="D4728" t="inlineStr">
        <is>
          <t>CT-e</t>
        </is>
      </c>
      <c r="E4728" t="inlineStr">
        <is>
          <t>000000733</t>
        </is>
      </c>
      <c r="F4728" t="inlineStr">
        <is>
          <t>DURA MAIS TRANSPORTES LTDA</t>
        </is>
      </c>
      <c r="G4728" s="27" t="n">
        <v>46283</v>
      </c>
      <c r="H4728" s="14" t="n">
        <v>100</v>
      </c>
      <c r="I4728" s="14" t="n">
        <v>0</v>
      </c>
      <c r="J4728" s="14" t="n">
        <v>12</v>
      </c>
      <c r="K4728" s="14" t="n">
        <v>0</v>
      </c>
      <c r="L4728" s="14" t="n">
        <v>0</v>
      </c>
      <c r="M4728" s="14">
        <f>IF(B4728="Frete de venda",0,(1-ISNUMBER(SEARCH("556",P4728)))*(I4728*VLOOKUP($B4728,Premissas!$A$4:$E$7,2,0)+J4728*VLOOKUP($B4728,Premissas!$A$4:$E$7,3,0))+K4728*VLOOKUP($B4728,Premissas!$A$4:$E$7,4,0)+L4728*VLOOKUP($B4728,Premissas!$A$4:$E$7,5,0))</f>
        <v/>
      </c>
      <c r="N4728" s="14">
        <f>H4728-M4728</f>
        <v/>
      </c>
      <c r="O4728" t="inlineStr">
        <is>
          <t>Sim</t>
        </is>
      </c>
      <c r="P4728" t="inlineStr">
        <is>
          <t>2.350</t>
        </is>
      </c>
    </row>
    <row r="4729">
      <c r="A4729" s="24" t="n">
        <v>46266</v>
      </c>
      <c r="B4729" t="inlineStr">
        <is>
          <t>Frete de venda</t>
        </is>
      </c>
      <c r="C4729" t="inlineStr">
        <is>
          <t>Frete de venda (para clientes)</t>
        </is>
      </c>
      <c r="D4729" t="inlineStr">
        <is>
          <t>CT-e</t>
        </is>
      </c>
      <c r="E4729" t="inlineStr">
        <is>
          <t>000000539</t>
        </is>
      </c>
      <c r="F4729" t="inlineStr">
        <is>
          <t>DURA MAIS TRANSPORTES LTDA</t>
        </is>
      </c>
      <c r="G4729" s="27" t="n">
        <v>46269</v>
      </c>
      <c r="H4729" s="14" t="n">
        <v>1856.24</v>
      </c>
      <c r="I4729" s="14" t="n">
        <v>0</v>
      </c>
      <c r="J4729" s="14" t="n">
        <v>222.75</v>
      </c>
      <c r="K4729" s="14" t="n">
        <v>0</v>
      </c>
      <c r="L4729" s="14" t="n">
        <v>0</v>
      </c>
      <c r="M4729" s="14">
        <f>IF(B4729="Frete de venda",0,(1-ISNUMBER(SEARCH("556",P4729)))*(I4729*VLOOKUP($B4729,Premissas!$A$4:$E$7,2,0)+J4729*VLOOKUP($B4729,Premissas!$A$4:$E$7,3,0))+K4729*VLOOKUP($B4729,Premissas!$A$4:$E$7,4,0)+L4729*VLOOKUP($B4729,Premissas!$A$4:$E$7,5,0))</f>
        <v/>
      </c>
      <c r="N4729" s="14">
        <f>H4729-M4729</f>
        <v/>
      </c>
      <c r="O4729" t="inlineStr">
        <is>
          <t>Sim</t>
        </is>
      </c>
      <c r="P4729" t="inlineStr">
        <is>
          <t>2.350</t>
        </is>
      </c>
    </row>
    <row r="4730">
      <c r="A4730" s="24" t="n">
        <v>46266</v>
      </c>
      <c r="B4730" t="inlineStr">
        <is>
          <t>Frete de venda</t>
        </is>
      </c>
      <c r="C4730" t="inlineStr">
        <is>
          <t>Frete de venda (para clientes)</t>
        </is>
      </c>
      <c r="D4730" t="inlineStr">
        <is>
          <t>CT-e</t>
        </is>
      </c>
      <c r="E4730" t="inlineStr">
        <is>
          <t>000009828</t>
        </is>
      </c>
      <c r="F4730" t="inlineStr">
        <is>
          <t>BEM TRANSPORTES E LOGISTICA</t>
        </is>
      </c>
      <c r="G4730" s="27" t="n">
        <v>46273</v>
      </c>
      <c r="H4730" s="14" t="n">
        <v>1085.3</v>
      </c>
      <c r="I4730" s="14" t="n">
        <v>0</v>
      </c>
      <c r="J4730" s="14" t="n">
        <v>0</v>
      </c>
      <c r="K4730" s="14" t="n">
        <v>0</v>
      </c>
      <c r="L4730" s="14" t="n">
        <v>0</v>
      </c>
      <c r="M4730" s="14">
        <f>IF(B4730="Frete de venda",0,(1-ISNUMBER(SEARCH("556",P4730)))*(I4730*VLOOKUP($B4730,Premissas!$A$4:$E$7,2,0)+J4730*VLOOKUP($B4730,Premissas!$A$4:$E$7,3,0))+K4730*VLOOKUP($B4730,Premissas!$A$4:$E$7,4,0)+L4730*VLOOKUP($B4730,Premissas!$A$4:$E$7,5,0))</f>
        <v/>
      </c>
      <c r="N4730" s="14">
        <f>H4730-M4730</f>
        <v/>
      </c>
      <c r="O4730" t="inlineStr">
        <is>
          <t>Sim</t>
        </is>
      </c>
      <c r="P4730" t="inlineStr">
        <is>
          <t>2.350</t>
        </is>
      </c>
    </row>
    <row r="4731">
      <c r="A4731" s="24" t="n">
        <v>46266</v>
      </c>
      <c r="B4731" t="inlineStr">
        <is>
          <t>Frete de venda</t>
        </is>
      </c>
      <c r="C4731" t="inlineStr">
        <is>
          <t>Frete de venda (para clientes)</t>
        </is>
      </c>
      <c r="D4731" t="inlineStr">
        <is>
          <t>CT-e</t>
        </is>
      </c>
      <c r="E4731" t="inlineStr">
        <is>
          <t>000000649</t>
        </is>
      </c>
      <c r="F4731" t="inlineStr">
        <is>
          <t>DURA MAIS TRANSPORTES LTDA</t>
        </is>
      </c>
      <c r="G4731" s="27" t="n">
        <v>46277</v>
      </c>
      <c r="H4731" s="14" t="n">
        <v>817.1</v>
      </c>
      <c r="I4731" s="14" t="n">
        <v>0</v>
      </c>
      <c r="J4731" s="14" t="n">
        <v>98.05</v>
      </c>
      <c r="K4731" s="14" t="n">
        <v>0</v>
      </c>
      <c r="L4731" s="14" t="n">
        <v>0</v>
      </c>
      <c r="M4731" s="14">
        <f>IF(B4731="Frete de venda",0,(1-ISNUMBER(SEARCH("556",P4731)))*(I4731*VLOOKUP($B4731,Premissas!$A$4:$E$7,2,0)+J4731*VLOOKUP($B4731,Premissas!$A$4:$E$7,3,0))+K4731*VLOOKUP($B4731,Premissas!$A$4:$E$7,4,0)+L4731*VLOOKUP($B4731,Premissas!$A$4:$E$7,5,0))</f>
        <v/>
      </c>
      <c r="N4731" s="14">
        <f>H4731-M4731</f>
        <v/>
      </c>
      <c r="O4731" t="inlineStr">
        <is>
          <t>Sim</t>
        </is>
      </c>
      <c r="P4731" t="inlineStr">
        <is>
          <t>2.350</t>
        </is>
      </c>
    </row>
    <row r="4732">
      <c r="A4732" s="24" t="n">
        <v>46266</v>
      </c>
      <c r="B4732" t="inlineStr">
        <is>
          <t>Frete de venda</t>
        </is>
      </c>
      <c r="C4732" t="inlineStr">
        <is>
          <t>Frete de venda (para clientes)</t>
        </is>
      </c>
      <c r="D4732" t="inlineStr">
        <is>
          <t>CT-e</t>
        </is>
      </c>
      <c r="E4732" t="inlineStr">
        <is>
          <t>000000555</t>
        </is>
      </c>
      <c r="F4732" t="inlineStr">
        <is>
          <t>DURA MAIS TRANSPORTES LTDA</t>
        </is>
      </c>
      <c r="G4732" s="27" t="n">
        <v>46269</v>
      </c>
      <c r="H4732" s="14" t="n">
        <v>8100</v>
      </c>
      <c r="I4732" s="14" t="n">
        <v>0</v>
      </c>
      <c r="J4732" s="14" t="n">
        <v>972</v>
      </c>
      <c r="K4732" s="14" t="n">
        <v>0</v>
      </c>
      <c r="L4732" s="14" t="n">
        <v>0</v>
      </c>
      <c r="M4732" s="14">
        <f>IF(B4732="Frete de venda",0,(1-ISNUMBER(SEARCH("556",P4732)))*(I4732*VLOOKUP($B4732,Premissas!$A$4:$E$7,2,0)+J4732*VLOOKUP($B4732,Premissas!$A$4:$E$7,3,0))+K4732*VLOOKUP($B4732,Premissas!$A$4:$E$7,4,0)+L4732*VLOOKUP($B4732,Premissas!$A$4:$E$7,5,0))</f>
        <v/>
      </c>
      <c r="N4732" s="14">
        <f>H4732-M4732</f>
        <v/>
      </c>
      <c r="O4732" t="inlineStr">
        <is>
          <t>Sim</t>
        </is>
      </c>
      <c r="P4732" t="inlineStr">
        <is>
          <t>2.350</t>
        </is>
      </c>
    </row>
    <row r="4733">
      <c r="A4733" s="24" t="n">
        <v>46266</v>
      </c>
      <c r="B4733" t="inlineStr">
        <is>
          <t>Frete de venda</t>
        </is>
      </c>
      <c r="C4733" t="inlineStr">
        <is>
          <t>Frete de venda (para clientes)</t>
        </is>
      </c>
      <c r="D4733" t="inlineStr">
        <is>
          <t>CT-e</t>
        </is>
      </c>
      <c r="E4733" t="inlineStr">
        <is>
          <t>000000709</t>
        </is>
      </c>
      <c r="F4733" t="inlineStr">
        <is>
          <t>DURA MAIS TRANSPORTES LTDA</t>
        </is>
      </c>
      <c r="G4733" s="27" t="n">
        <v>46283</v>
      </c>
      <c r="H4733" s="14" t="n">
        <v>833.8200000000001</v>
      </c>
      <c r="I4733" s="14" t="n">
        <v>0</v>
      </c>
      <c r="J4733" s="14" t="n">
        <v>100.06</v>
      </c>
      <c r="K4733" s="14" t="n">
        <v>0</v>
      </c>
      <c r="L4733" s="14" t="n">
        <v>0</v>
      </c>
      <c r="M4733" s="14">
        <f>IF(B4733="Frete de venda",0,(1-ISNUMBER(SEARCH("556",P4733)))*(I4733*VLOOKUP($B4733,Premissas!$A$4:$E$7,2,0)+J4733*VLOOKUP($B4733,Premissas!$A$4:$E$7,3,0))+K4733*VLOOKUP($B4733,Premissas!$A$4:$E$7,4,0)+L4733*VLOOKUP($B4733,Premissas!$A$4:$E$7,5,0))</f>
        <v/>
      </c>
      <c r="N4733" s="14">
        <f>H4733-M4733</f>
        <v/>
      </c>
      <c r="O4733" t="inlineStr">
        <is>
          <t>Sim</t>
        </is>
      </c>
      <c r="P4733" t="inlineStr">
        <is>
          <t>2.350</t>
        </is>
      </c>
    </row>
    <row r="4734">
      <c r="A4734" s="24" t="n">
        <v>46266</v>
      </c>
      <c r="B4734" t="inlineStr">
        <is>
          <t>Frete de venda</t>
        </is>
      </c>
      <c r="C4734" t="inlineStr">
        <is>
          <t>Frete de venda (para clientes)</t>
        </is>
      </c>
      <c r="D4734" t="inlineStr">
        <is>
          <t>CT-e</t>
        </is>
      </c>
      <c r="E4734" t="inlineStr">
        <is>
          <t>000000612</t>
        </is>
      </c>
      <c r="F4734" t="inlineStr">
        <is>
          <t>DURA MAIS TRANSPORTES LTDA</t>
        </is>
      </c>
      <c r="G4734" s="27" t="n">
        <v>46275</v>
      </c>
      <c r="H4734" s="14" t="n">
        <v>977.58</v>
      </c>
      <c r="I4734" s="14" t="n">
        <v>0</v>
      </c>
      <c r="J4734" s="14" t="n">
        <v>117.31</v>
      </c>
      <c r="K4734" s="14" t="n">
        <v>0</v>
      </c>
      <c r="L4734" s="14" t="n">
        <v>0</v>
      </c>
      <c r="M4734" s="14">
        <f>IF(B4734="Frete de venda",0,(1-ISNUMBER(SEARCH("556",P4734)))*(I4734*VLOOKUP($B4734,Premissas!$A$4:$E$7,2,0)+J4734*VLOOKUP($B4734,Premissas!$A$4:$E$7,3,0))+K4734*VLOOKUP($B4734,Premissas!$A$4:$E$7,4,0)+L4734*VLOOKUP($B4734,Premissas!$A$4:$E$7,5,0))</f>
        <v/>
      </c>
      <c r="N4734" s="14">
        <f>H4734-M4734</f>
        <v/>
      </c>
      <c r="O4734" t="inlineStr">
        <is>
          <t>Sim</t>
        </is>
      </c>
      <c r="P4734" t="inlineStr">
        <is>
          <t>2.350</t>
        </is>
      </c>
    </row>
    <row r="4735">
      <c r="A4735" s="24" t="n">
        <v>46266</v>
      </c>
      <c r="B4735" t="inlineStr">
        <is>
          <t>Frete de venda</t>
        </is>
      </c>
      <c r="C4735" t="inlineStr">
        <is>
          <t>Frete de venda (para clientes)</t>
        </is>
      </c>
      <c r="D4735" t="inlineStr">
        <is>
          <t>CT-e</t>
        </is>
      </c>
      <c r="E4735" t="inlineStr">
        <is>
          <t>000000551</t>
        </is>
      </c>
      <c r="F4735" t="inlineStr">
        <is>
          <t>DURA MAIS TRANSPORTES LTDA</t>
        </is>
      </c>
      <c r="G4735" s="27" t="n">
        <v>46269</v>
      </c>
      <c r="H4735" s="14" t="n">
        <v>1869.22</v>
      </c>
      <c r="I4735" s="14" t="n">
        <v>0</v>
      </c>
      <c r="J4735" s="14" t="n">
        <v>224.31</v>
      </c>
      <c r="K4735" s="14" t="n">
        <v>0</v>
      </c>
      <c r="L4735" s="14" t="n">
        <v>0</v>
      </c>
      <c r="M4735" s="14">
        <f>IF(B4735="Frete de venda",0,(1-ISNUMBER(SEARCH("556",P4735)))*(I4735*VLOOKUP($B4735,Premissas!$A$4:$E$7,2,0)+J4735*VLOOKUP($B4735,Premissas!$A$4:$E$7,3,0))+K4735*VLOOKUP($B4735,Premissas!$A$4:$E$7,4,0)+L4735*VLOOKUP($B4735,Premissas!$A$4:$E$7,5,0))</f>
        <v/>
      </c>
      <c r="N4735" s="14">
        <f>H4735-M4735</f>
        <v/>
      </c>
      <c r="O4735" t="inlineStr">
        <is>
          <t>Sim</t>
        </is>
      </c>
      <c r="P4735" t="inlineStr">
        <is>
          <t>2.350</t>
        </is>
      </c>
    </row>
    <row r="4736">
      <c r="A4736" s="24" t="n">
        <v>46266</v>
      </c>
      <c r="B4736" t="inlineStr">
        <is>
          <t>Frete de venda</t>
        </is>
      </c>
      <c r="C4736" t="inlineStr">
        <is>
          <t>Frete de venda (para clientes)</t>
        </is>
      </c>
      <c r="D4736" t="inlineStr">
        <is>
          <t>CT-e</t>
        </is>
      </c>
      <c r="E4736" t="inlineStr">
        <is>
          <t>000000740</t>
        </is>
      </c>
      <c r="F4736" t="inlineStr">
        <is>
          <t>DURA MAIS TRANSPORTES LTDA</t>
        </is>
      </c>
      <c r="G4736" s="27" t="n">
        <v>46283</v>
      </c>
      <c r="H4736" s="14" t="n">
        <v>100</v>
      </c>
      <c r="I4736" s="14" t="n">
        <v>0</v>
      </c>
      <c r="J4736" s="14" t="n">
        <v>12</v>
      </c>
      <c r="K4736" s="14" t="n">
        <v>0</v>
      </c>
      <c r="L4736" s="14" t="n">
        <v>0</v>
      </c>
      <c r="M4736" s="14">
        <f>IF(B4736="Frete de venda",0,(1-ISNUMBER(SEARCH("556",P4736)))*(I4736*VLOOKUP($B4736,Premissas!$A$4:$E$7,2,0)+J4736*VLOOKUP($B4736,Premissas!$A$4:$E$7,3,0))+K4736*VLOOKUP($B4736,Premissas!$A$4:$E$7,4,0)+L4736*VLOOKUP($B4736,Premissas!$A$4:$E$7,5,0))</f>
        <v/>
      </c>
      <c r="N4736" s="14">
        <f>H4736-M4736</f>
        <v/>
      </c>
      <c r="O4736" t="inlineStr">
        <is>
          <t>Sim</t>
        </is>
      </c>
      <c r="P4736" t="inlineStr">
        <is>
          <t>2.350</t>
        </is>
      </c>
    </row>
    <row r="4737">
      <c r="A4737" s="24" t="n">
        <v>46266</v>
      </c>
      <c r="B4737" t="inlineStr">
        <is>
          <t>Frete de venda</t>
        </is>
      </c>
      <c r="C4737" t="inlineStr">
        <is>
          <t>Frete de venda (para clientes)</t>
        </is>
      </c>
      <c r="D4737" t="inlineStr">
        <is>
          <t>CT-e</t>
        </is>
      </c>
      <c r="E4737" t="inlineStr">
        <is>
          <t>000000614</t>
        </is>
      </c>
      <c r="F4737" t="inlineStr">
        <is>
          <t>DURA MAIS TRANSPORTES LTDA</t>
        </is>
      </c>
      <c r="G4737" s="27" t="n">
        <v>46275</v>
      </c>
      <c r="H4737" s="14" t="n">
        <v>488.79</v>
      </c>
      <c r="I4737" s="14" t="n">
        <v>0</v>
      </c>
      <c r="J4737" s="14" t="n">
        <v>58.65</v>
      </c>
      <c r="K4737" s="14" t="n">
        <v>0</v>
      </c>
      <c r="L4737" s="14" t="n">
        <v>0</v>
      </c>
      <c r="M4737" s="14">
        <f>IF(B4737="Frete de venda",0,(1-ISNUMBER(SEARCH("556",P4737)))*(I4737*VLOOKUP($B4737,Premissas!$A$4:$E$7,2,0)+J4737*VLOOKUP($B4737,Premissas!$A$4:$E$7,3,0))+K4737*VLOOKUP($B4737,Premissas!$A$4:$E$7,4,0)+L4737*VLOOKUP($B4737,Premissas!$A$4:$E$7,5,0))</f>
        <v/>
      </c>
      <c r="N4737" s="14">
        <f>H4737-M4737</f>
        <v/>
      </c>
      <c r="O4737" t="inlineStr">
        <is>
          <t>Sim</t>
        </is>
      </c>
      <c r="P4737" t="inlineStr">
        <is>
          <t>2.350</t>
        </is>
      </c>
    </row>
    <row r="4738">
      <c r="A4738" s="24" t="n">
        <v>46266</v>
      </c>
      <c r="B4738" t="inlineStr">
        <is>
          <t>Frete de venda</t>
        </is>
      </c>
      <c r="C4738" t="inlineStr">
        <is>
          <t>Frete de venda (para clientes)</t>
        </is>
      </c>
      <c r="D4738" t="inlineStr">
        <is>
          <t>CT-e</t>
        </is>
      </c>
      <c r="E4738" t="inlineStr">
        <is>
          <t>001468300</t>
        </is>
      </c>
      <c r="F4738" t="inlineStr">
        <is>
          <t>PICCOLI TRANSPORTES LTDA</t>
        </is>
      </c>
      <c r="G4738" s="27" t="n">
        <v>46266</v>
      </c>
      <c r="H4738" s="14" t="n">
        <v>1527.95</v>
      </c>
      <c r="I4738" s="14" t="n">
        <v>0</v>
      </c>
      <c r="J4738" s="14" t="n">
        <v>106.96</v>
      </c>
      <c r="K4738" s="14" t="n">
        <v>0</v>
      </c>
      <c r="L4738" s="14" t="n">
        <v>0</v>
      </c>
      <c r="M4738" s="14">
        <f>IF(B4738="Frete de venda",0,(1-ISNUMBER(SEARCH("556",P4738)))*(I4738*VLOOKUP($B4738,Premissas!$A$4:$E$7,2,0)+J4738*VLOOKUP($B4738,Premissas!$A$4:$E$7,3,0))+K4738*VLOOKUP($B4738,Premissas!$A$4:$E$7,4,0)+L4738*VLOOKUP($B4738,Premissas!$A$4:$E$7,5,0))</f>
        <v/>
      </c>
      <c r="N4738" s="14">
        <f>H4738-M4738</f>
        <v/>
      </c>
      <c r="O4738" t="inlineStr">
        <is>
          <t>Sim</t>
        </is>
      </c>
      <c r="P4738" t="inlineStr">
        <is>
          <t>2.350</t>
        </is>
      </c>
    </row>
    <row r="4739">
      <c r="A4739" s="24" t="n">
        <v>46266</v>
      </c>
      <c r="B4739" t="inlineStr">
        <is>
          <t>Frete de venda</t>
        </is>
      </c>
      <c r="C4739" t="inlineStr">
        <is>
          <t>Frete de venda (para clientes)</t>
        </is>
      </c>
      <c r="D4739" t="inlineStr">
        <is>
          <t>CT-e</t>
        </is>
      </c>
      <c r="E4739" t="inlineStr">
        <is>
          <t>000000846</t>
        </is>
      </c>
      <c r="F4739" t="inlineStr">
        <is>
          <t>DURA MAIS TRANSPORTES LTDA</t>
        </is>
      </c>
      <c r="G4739" s="27" t="n">
        <v>46288</v>
      </c>
      <c r="H4739" s="14" t="n">
        <v>900</v>
      </c>
      <c r="I4739" s="14" t="n">
        <v>0</v>
      </c>
      <c r="J4739" s="14" t="n">
        <v>108</v>
      </c>
      <c r="K4739" s="14" t="n">
        <v>0</v>
      </c>
      <c r="L4739" s="14" t="n">
        <v>0</v>
      </c>
      <c r="M4739" s="14">
        <f>IF(B4739="Frete de venda",0,(1-ISNUMBER(SEARCH("556",P4739)))*(I4739*VLOOKUP($B4739,Premissas!$A$4:$E$7,2,0)+J4739*VLOOKUP($B4739,Premissas!$A$4:$E$7,3,0))+K4739*VLOOKUP($B4739,Premissas!$A$4:$E$7,4,0)+L4739*VLOOKUP($B4739,Premissas!$A$4:$E$7,5,0))</f>
        <v/>
      </c>
      <c r="N4739" s="14">
        <f>H4739-M4739</f>
        <v/>
      </c>
      <c r="O4739" t="inlineStr">
        <is>
          <t>Sim</t>
        </is>
      </c>
      <c r="P4739" t="inlineStr">
        <is>
          <t>2.350</t>
        </is>
      </c>
    </row>
    <row r="4740">
      <c r="A4740" s="24" t="n">
        <v>46266</v>
      </c>
      <c r="B4740" t="inlineStr">
        <is>
          <t>Frete de venda</t>
        </is>
      </c>
      <c r="C4740" t="inlineStr">
        <is>
          <t>Frete de venda (para clientes)</t>
        </is>
      </c>
      <c r="D4740" t="inlineStr">
        <is>
          <t>CT-e</t>
        </is>
      </c>
      <c r="E4740" t="inlineStr">
        <is>
          <t>000000810</t>
        </is>
      </c>
      <c r="F4740" t="inlineStr">
        <is>
          <t>DURA MAIS TRANSPORTES LTDA</t>
        </is>
      </c>
      <c r="G4740" s="27" t="n">
        <v>46288</v>
      </c>
      <c r="H4740" s="14" t="n">
        <v>1272.86</v>
      </c>
      <c r="I4740" s="14" t="n">
        <v>0</v>
      </c>
      <c r="J4740" s="14" t="n">
        <v>152.74</v>
      </c>
      <c r="K4740" s="14" t="n">
        <v>0</v>
      </c>
      <c r="L4740" s="14" t="n">
        <v>0</v>
      </c>
      <c r="M4740" s="14">
        <f>IF(B4740="Frete de venda",0,(1-ISNUMBER(SEARCH("556",P4740)))*(I4740*VLOOKUP($B4740,Premissas!$A$4:$E$7,2,0)+J4740*VLOOKUP($B4740,Premissas!$A$4:$E$7,3,0))+K4740*VLOOKUP($B4740,Premissas!$A$4:$E$7,4,0)+L4740*VLOOKUP($B4740,Premissas!$A$4:$E$7,5,0))</f>
        <v/>
      </c>
      <c r="N4740" s="14">
        <f>H4740-M4740</f>
        <v/>
      </c>
      <c r="O4740" t="inlineStr">
        <is>
          <t>Sim</t>
        </is>
      </c>
      <c r="P4740" t="inlineStr">
        <is>
          <t>2.350</t>
        </is>
      </c>
    </row>
    <row r="4741">
      <c r="A4741" s="24" t="n">
        <v>46266</v>
      </c>
      <c r="B4741" t="inlineStr">
        <is>
          <t>Frete de venda</t>
        </is>
      </c>
      <c r="C4741" t="inlineStr">
        <is>
          <t>Frete de venda (para clientes)</t>
        </is>
      </c>
      <c r="D4741" t="inlineStr">
        <is>
          <t>CT-e</t>
        </is>
      </c>
      <c r="E4741" t="inlineStr">
        <is>
          <t>000000650</t>
        </is>
      </c>
      <c r="F4741" t="inlineStr">
        <is>
          <t>DURA MAIS TRANSPORTES LTDA</t>
        </is>
      </c>
      <c r="G4741" s="27" t="n">
        <v>46277</v>
      </c>
      <c r="H4741" s="14" t="n">
        <v>817.1</v>
      </c>
      <c r="I4741" s="14" t="n">
        <v>0</v>
      </c>
      <c r="J4741" s="14" t="n">
        <v>98.05</v>
      </c>
      <c r="K4741" s="14" t="n">
        <v>0</v>
      </c>
      <c r="L4741" s="14" t="n">
        <v>0</v>
      </c>
      <c r="M4741" s="14">
        <f>IF(B4741="Frete de venda",0,(1-ISNUMBER(SEARCH("556",P4741)))*(I4741*VLOOKUP($B4741,Premissas!$A$4:$E$7,2,0)+J4741*VLOOKUP($B4741,Premissas!$A$4:$E$7,3,0))+K4741*VLOOKUP($B4741,Premissas!$A$4:$E$7,4,0)+L4741*VLOOKUP($B4741,Premissas!$A$4:$E$7,5,0))</f>
        <v/>
      </c>
      <c r="N4741" s="14">
        <f>H4741-M4741</f>
        <v/>
      </c>
      <c r="O4741" t="inlineStr">
        <is>
          <t>Sim</t>
        </is>
      </c>
      <c r="P4741" t="inlineStr">
        <is>
          <t>2.350</t>
        </is>
      </c>
    </row>
    <row r="4742">
      <c r="A4742" s="24" t="n">
        <v>46266</v>
      </c>
      <c r="B4742" t="inlineStr">
        <is>
          <t>Frete de venda</t>
        </is>
      </c>
      <c r="C4742" t="inlineStr">
        <is>
          <t>Frete de venda (para clientes)</t>
        </is>
      </c>
      <c r="D4742" t="inlineStr">
        <is>
          <t>CT-e</t>
        </is>
      </c>
      <c r="E4742" t="inlineStr">
        <is>
          <t>000000534</t>
        </is>
      </c>
      <c r="F4742" t="inlineStr">
        <is>
          <t>DURA MAIS TRANSPORTES LTDA</t>
        </is>
      </c>
      <c r="G4742" s="27" t="n">
        <v>46269</v>
      </c>
      <c r="H4742" s="14" t="n">
        <v>4185</v>
      </c>
      <c r="I4742" s="14" t="n">
        <v>0</v>
      </c>
      <c r="J4742" s="14" t="n">
        <v>502.2</v>
      </c>
      <c r="K4742" s="14" t="n">
        <v>0</v>
      </c>
      <c r="L4742" s="14" t="n">
        <v>0</v>
      </c>
      <c r="M4742" s="14">
        <f>IF(B4742="Frete de venda",0,(1-ISNUMBER(SEARCH("556",P4742)))*(I4742*VLOOKUP($B4742,Premissas!$A$4:$E$7,2,0)+J4742*VLOOKUP($B4742,Premissas!$A$4:$E$7,3,0))+K4742*VLOOKUP($B4742,Premissas!$A$4:$E$7,4,0)+L4742*VLOOKUP($B4742,Premissas!$A$4:$E$7,5,0))</f>
        <v/>
      </c>
      <c r="N4742" s="14">
        <f>H4742-M4742</f>
        <v/>
      </c>
      <c r="O4742" t="inlineStr">
        <is>
          <t>Sim</t>
        </is>
      </c>
      <c r="P4742" t="inlineStr">
        <is>
          <t>2.350</t>
        </is>
      </c>
    </row>
    <row r="4743">
      <c r="A4743" s="24" t="n">
        <v>46266</v>
      </c>
      <c r="B4743" t="inlineStr">
        <is>
          <t>Frete de venda</t>
        </is>
      </c>
      <c r="C4743" t="inlineStr">
        <is>
          <t>Frete de venda (para clientes)</t>
        </is>
      </c>
      <c r="D4743" t="inlineStr">
        <is>
          <t>CT-e</t>
        </is>
      </c>
      <c r="E4743" t="inlineStr">
        <is>
          <t>000000470</t>
        </is>
      </c>
      <c r="F4743" t="inlineStr">
        <is>
          <t>DURA MAIS TRANSPORTES LTDA</t>
        </is>
      </c>
      <c r="G4743" s="27" t="n">
        <v>46266</v>
      </c>
      <c r="H4743" s="14" t="n">
        <v>1170</v>
      </c>
      <c r="I4743" s="14" t="n">
        <v>0</v>
      </c>
      <c r="J4743" s="14" t="n">
        <v>140.4</v>
      </c>
      <c r="K4743" s="14" t="n">
        <v>0</v>
      </c>
      <c r="L4743" s="14" t="n">
        <v>0</v>
      </c>
      <c r="M4743" s="14">
        <f>IF(B4743="Frete de venda",0,(1-ISNUMBER(SEARCH("556",P4743)))*(I4743*VLOOKUP($B4743,Premissas!$A$4:$E$7,2,0)+J4743*VLOOKUP($B4743,Premissas!$A$4:$E$7,3,0))+K4743*VLOOKUP($B4743,Premissas!$A$4:$E$7,4,0)+L4743*VLOOKUP($B4743,Premissas!$A$4:$E$7,5,0))</f>
        <v/>
      </c>
      <c r="N4743" s="14">
        <f>H4743-M4743</f>
        <v/>
      </c>
      <c r="O4743" t="inlineStr">
        <is>
          <t>Sim</t>
        </is>
      </c>
      <c r="P4743" t="inlineStr">
        <is>
          <t>2.350</t>
        </is>
      </c>
    </row>
    <row r="4744">
      <c r="A4744" s="24" t="n">
        <v>46266</v>
      </c>
      <c r="B4744" t="inlineStr">
        <is>
          <t>Frete de venda</t>
        </is>
      </c>
      <c r="C4744" t="inlineStr">
        <is>
          <t>Frete de venda (para clientes)</t>
        </is>
      </c>
      <c r="D4744" t="inlineStr">
        <is>
          <t>CT-e</t>
        </is>
      </c>
      <c r="E4744" t="inlineStr">
        <is>
          <t>000000587</t>
        </is>
      </c>
      <c r="F4744" t="inlineStr">
        <is>
          <t>DURA MAIS TRANSPORTES LTDA</t>
        </is>
      </c>
      <c r="G4744" s="27" t="n">
        <v>46275</v>
      </c>
      <c r="H4744" s="14" t="n">
        <v>945</v>
      </c>
      <c r="I4744" s="14" t="n">
        <v>0</v>
      </c>
      <c r="J4744" s="14" t="n">
        <v>113.4</v>
      </c>
      <c r="K4744" s="14" t="n">
        <v>0</v>
      </c>
      <c r="L4744" s="14" t="n">
        <v>0</v>
      </c>
      <c r="M4744" s="14">
        <f>IF(B4744="Frete de venda",0,(1-ISNUMBER(SEARCH("556",P4744)))*(I4744*VLOOKUP($B4744,Premissas!$A$4:$E$7,2,0)+J4744*VLOOKUP($B4744,Premissas!$A$4:$E$7,3,0))+K4744*VLOOKUP($B4744,Premissas!$A$4:$E$7,4,0)+L4744*VLOOKUP($B4744,Premissas!$A$4:$E$7,5,0))</f>
        <v/>
      </c>
      <c r="N4744" s="14">
        <f>H4744-M4744</f>
        <v/>
      </c>
      <c r="O4744" t="inlineStr">
        <is>
          <t>Sim</t>
        </is>
      </c>
      <c r="P4744" t="inlineStr">
        <is>
          <t>2.350</t>
        </is>
      </c>
    </row>
    <row r="4745">
      <c r="A4745" s="24" t="n">
        <v>46266</v>
      </c>
      <c r="B4745" t="inlineStr">
        <is>
          <t>Frete de venda</t>
        </is>
      </c>
      <c r="C4745" t="inlineStr">
        <is>
          <t>Frete de venda (para clientes)</t>
        </is>
      </c>
      <c r="D4745" t="inlineStr">
        <is>
          <t>CT-e</t>
        </is>
      </c>
      <c r="E4745" t="inlineStr">
        <is>
          <t>000000584</t>
        </is>
      </c>
      <c r="F4745" t="inlineStr">
        <is>
          <t>DURA MAIS TRANSPORTES LTDA</t>
        </is>
      </c>
      <c r="G4745" s="27" t="n">
        <v>46275</v>
      </c>
      <c r="H4745" s="14" t="n">
        <v>945</v>
      </c>
      <c r="I4745" s="14" t="n">
        <v>0</v>
      </c>
      <c r="J4745" s="14" t="n">
        <v>113.4</v>
      </c>
      <c r="K4745" s="14" t="n">
        <v>0</v>
      </c>
      <c r="L4745" s="14" t="n">
        <v>0</v>
      </c>
      <c r="M4745" s="14">
        <f>IF(B4745="Frete de venda",0,(1-ISNUMBER(SEARCH("556",P4745)))*(I4745*VLOOKUP($B4745,Premissas!$A$4:$E$7,2,0)+J4745*VLOOKUP($B4745,Premissas!$A$4:$E$7,3,0))+K4745*VLOOKUP($B4745,Premissas!$A$4:$E$7,4,0)+L4745*VLOOKUP($B4745,Premissas!$A$4:$E$7,5,0))</f>
        <v/>
      </c>
      <c r="N4745" s="14">
        <f>H4745-M4745</f>
        <v/>
      </c>
      <c r="O4745" t="inlineStr">
        <is>
          <t>Sim</t>
        </is>
      </c>
      <c r="P4745" t="inlineStr">
        <is>
          <t>2.350</t>
        </is>
      </c>
    </row>
    <row r="4746">
      <c r="A4746" s="24" t="n">
        <v>46266</v>
      </c>
      <c r="B4746" t="inlineStr">
        <is>
          <t>Frete de venda</t>
        </is>
      </c>
      <c r="C4746" t="inlineStr">
        <is>
          <t>Frete de venda (para clientes)</t>
        </is>
      </c>
      <c r="D4746" t="inlineStr">
        <is>
          <t>CT-e</t>
        </is>
      </c>
      <c r="E4746" t="inlineStr">
        <is>
          <t>000000508</t>
        </is>
      </c>
      <c r="F4746" t="inlineStr">
        <is>
          <t>DURA MAIS TRANSPORTES LTDA</t>
        </is>
      </c>
      <c r="G4746" s="27" t="n">
        <v>46267</v>
      </c>
      <c r="H4746" s="14" t="n">
        <v>817.1</v>
      </c>
      <c r="I4746" s="14" t="n">
        <v>0</v>
      </c>
      <c r="J4746" s="14" t="n">
        <v>98.05</v>
      </c>
      <c r="K4746" s="14" t="n">
        <v>0</v>
      </c>
      <c r="L4746" s="14" t="n">
        <v>0</v>
      </c>
      <c r="M4746" s="14">
        <f>IF(B4746="Frete de venda",0,(1-ISNUMBER(SEARCH("556",P4746)))*(I4746*VLOOKUP($B4746,Premissas!$A$4:$E$7,2,0)+J4746*VLOOKUP($B4746,Premissas!$A$4:$E$7,3,0))+K4746*VLOOKUP($B4746,Premissas!$A$4:$E$7,4,0)+L4746*VLOOKUP($B4746,Premissas!$A$4:$E$7,5,0))</f>
        <v/>
      </c>
      <c r="N4746" s="14">
        <f>H4746-M4746</f>
        <v/>
      </c>
      <c r="O4746" t="inlineStr">
        <is>
          <t>Sim</t>
        </is>
      </c>
      <c r="P4746" t="inlineStr">
        <is>
          <t>2.350</t>
        </is>
      </c>
    </row>
    <row r="4747">
      <c r="A4747" s="24" t="n">
        <v>46266</v>
      </c>
      <c r="B4747" t="inlineStr">
        <is>
          <t>Frete de venda</t>
        </is>
      </c>
      <c r="C4747" t="inlineStr">
        <is>
          <t>Frete de venda (para clientes)</t>
        </is>
      </c>
      <c r="D4747" t="inlineStr">
        <is>
          <t>CT-e</t>
        </is>
      </c>
      <c r="E4747" t="inlineStr">
        <is>
          <t>000000471</t>
        </is>
      </c>
      <c r="F4747" t="inlineStr">
        <is>
          <t>DURA MAIS TRANSPORTES LTDA</t>
        </is>
      </c>
      <c r="G4747" s="27" t="n">
        <v>46266</v>
      </c>
      <c r="H4747" s="14" t="n">
        <v>1170</v>
      </c>
      <c r="I4747" s="14" t="n">
        <v>0</v>
      </c>
      <c r="J4747" s="14" t="n">
        <v>140.4</v>
      </c>
      <c r="K4747" s="14" t="n">
        <v>0</v>
      </c>
      <c r="L4747" s="14" t="n">
        <v>0</v>
      </c>
      <c r="M4747" s="14">
        <f>IF(B4747="Frete de venda",0,(1-ISNUMBER(SEARCH("556",P4747)))*(I4747*VLOOKUP($B4747,Premissas!$A$4:$E$7,2,0)+J4747*VLOOKUP($B4747,Premissas!$A$4:$E$7,3,0))+K4747*VLOOKUP($B4747,Premissas!$A$4:$E$7,4,0)+L4747*VLOOKUP($B4747,Premissas!$A$4:$E$7,5,0))</f>
        <v/>
      </c>
      <c r="N4747" s="14">
        <f>H4747-M4747</f>
        <v/>
      </c>
      <c r="O4747" t="inlineStr">
        <is>
          <t>Sim</t>
        </is>
      </c>
      <c r="P4747" t="inlineStr">
        <is>
          <t>2.350</t>
        </is>
      </c>
    </row>
    <row r="4748">
      <c r="A4748" s="24" t="n">
        <v>46266</v>
      </c>
      <c r="B4748" t="inlineStr">
        <is>
          <t>Frete de venda</t>
        </is>
      </c>
      <c r="C4748" t="inlineStr">
        <is>
          <t>Frete de venda (para clientes)</t>
        </is>
      </c>
      <c r="D4748" t="inlineStr">
        <is>
          <t>CT-e</t>
        </is>
      </c>
      <c r="E4748" t="inlineStr">
        <is>
          <t>000000834</t>
        </is>
      </c>
      <c r="F4748" t="inlineStr">
        <is>
          <t>DURA MAIS TRANSPORTES LTDA</t>
        </is>
      </c>
      <c r="G4748" s="27" t="n">
        <v>46288</v>
      </c>
      <c r="H4748" s="14" t="n">
        <v>900</v>
      </c>
      <c r="I4748" s="14" t="n">
        <v>0</v>
      </c>
      <c r="J4748" s="14" t="n">
        <v>108</v>
      </c>
      <c r="K4748" s="14" t="n">
        <v>0</v>
      </c>
      <c r="L4748" s="14" t="n">
        <v>0</v>
      </c>
      <c r="M4748" s="14">
        <f>IF(B4748="Frete de venda",0,(1-ISNUMBER(SEARCH("556",P4748)))*(I4748*VLOOKUP($B4748,Premissas!$A$4:$E$7,2,0)+J4748*VLOOKUP($B4748,Premissas!$A$4:$E$7,3,0))+K4748*VLOOKUP($B4748,Premissas!$A$4:$E$7,4,0)+L4748*VLOOKUP($B4748,Premissas!$A$4:$E$7,5,0))</f>
        <v/>
      </c>
      <c r="N4748" s="14">
        <f>H4748-M4748</f>
        <v/>
      </c>
      <c r="O4748" t="inlineStr">
        <is>
          <t>Sim</t>
        </is>
      </c>
      <c r="P4748" t="inlineStr">
        <is>
          <t>2.350</t>
        </is>
      </c>
    </row>
    <row r="4749">
      <c r="A4749" s="24" t="n">
        <v>46266</v>
      </c>
      <c r="B4749" t="inlineStr">
        <is>
          <t>Frete de venda</t>
        </is>
      </c>
      <c r="C4749" t="inlineStr">
        <is>
          <t>Frete de venda (para clientes)</t>
        </is>
      </c>
      <c r="D4749" t="inlineStr">
        <is>
          <t>CT-e</t>
        </is>
      </c>
      <c r="E4749" t="inlineStr">
        <is>
          <t>000000553</t>
        </is>
      </c>
      <c r="F4749" t="inlineStr">
        <is>
          <t>DURA MAIS TRANSPORTES LTDA</t>
        </is>
      </c>
      <c r="G4749" s="27" t="n">
        <v>46269</v>
      </c>
      <c r="H4749" s="14" t="n">
        <v>1869.22</v>
      </c>
      <c r="I4749" s="14" t="n">
        <v>0</v>
      </c>
      <c r="J4749" s="14" t="n">
        <v>224.31</v>
      </c>
      <c r="K4749" s="14" t="n">
        <v>0</v>
      </c>
      <c r="L4749" s="14" t="n">
        <v>0</v>
      </c>
      <c r="M4749" s="14">
        <f>IF(B4749="Frete de venda",0,(1-ISNUMBER(SEARCH("556",P4749)))*(I4749*VLOOKUP($B4749,Premissas!$A$4:$E$7,2,0)+J4749*VLOOKUP($B4749,Premissas!$A$4:$E$7,3,0))+K4749*VLOOKUP($B4749,Premissas!$A$4:$E$7,4,0)+L4749*VLOOKUP($B4749,Premissas!$A$4:$E$7,5,0))</f>
        <v/>
      </c>
      <c r="N4749" s="14">
        <f>H4749-M4749</f>
        <v/>
      </c>
      <c r="O4749" t="inlineStr">
        <is>
          <t>Sim</t>
        </is>
      </c>
      <c r="P4749" t="inlineStr">
        <is>
          <t>2.350</t>
        </is>
      </c>
    </row>
    <row r="4750">
      <c r="A4750" s="24" t="n">
        <v>46266</v>
      </c>
      <c r="B4750" t="inlineStr">
        <is>
          <t>Frete de venda</t>
        </is>
      </c>
      <c r="C4750" t="inlineStr">
        <is>
          <t>Frete de venda (para clientes)</t>
        </is>
      </c>
      <c r="D4750" t="inlineStr">
        <is>
          <t>CT-e</t>
        </is>
      </c>
      <c r="E4750" t="inlineStr">
        <is>
          <t>000000836</t>
        </is>
      </c>
      <c r="F4750" t="inlineStr">
        <is>
          <t>DURA MAIS TRANSPORTES LTDA</t>
        </is>
      </c>
      <c r="G4750" s="27" t="n">
        <v>46288</v>
      </c>
      <c r="H4750" s="14" t="n">
        <v>900</v>
      </c>
      <c r="I4750" s="14" t="n">
        <v>0</v>
      </c>
      <c r="J4750" s="14" t="n">
        <v>108</v>
      </c>
      <c r="K4750" s="14" t="n">
        <v>0</v>
      </c>
      <c r="L4750" s="14" t="n">
        <v>0</v>
      </c>
      <c r="M4750" s="14">
        <f>IF(B4750="Frete de venda",0,(1-ISNUMBER(SEARCH("556",P4750)))*(I4750*VLOOKUP($B4750,Premissas!$A$4:$E$7,2,0)+J4750*VLOOKUP($B4750,Premissas!$A$4:$E$7,3,0))+K4750*VLOOKUP($B4750,Premissas!$A$4:$E$7,4,0)+L4750*VLOOKUP($B4750,Premissas!$A$4:$E$7,5,0))</f>
        <v/>
      </c>
      <c r="N4750" s="14">
        <f>H4750-M4750</f>
        <v/>
      </c>
      <c r="O4750" t="inlineStr">
        <is>
          <t>Sim</t>
        </is>
      </c>
      <c r="P4750" t="inlineStr">
        <is>
          <t>2.350</t>
        </is>
      </c>
    </row>
    <row r="4751">
      <c r="A4751" s="24" t="n">
        <v>46266</v>
      </c>
      <c r="B4751" t="inlineStr">
        <is>
          <t>Frete de venda</t>
        </is>
      </c>
      <c r="C4751" t="inlineStr">
        <is>
          <t>Frete de venda (para clientes)</t>
        </is>
      </c>
      <c r="D4751" t="inlineStr">
        <is>
          <t>CT-e</t>
        </is>
      </c>
      <c r="E4751" t="inlineStr">
        <is>
          <t>000009870</t>
        </is>
      </c>
      <c r="F4751" t="inlineStr">
        <is>
          <t>BEM TRANSPORTES E LOGISTICA</t>
        </is>
      </c>
      <c r="G4751" s="27" t="n">
        <v>46282</v>
      </c>
      <c r="H4751" s="14" t="n">
        <v>1150.7</v>
      </c>
      <c r="I4751" s="14" t="n">
        <v>0</v>
      </c>
      <c r="J4751" s="14" t="n">
        <v>0</v>
      </c>
      <c r="K4751" s="14" t="n">
        <v>0</v>
      </c>
      <c r="L4751" s="14" t="n">
        <v>0</v>
      </c>
      <c r="M4751" s="14">
        <f>IF(B4751="Frete de venda",0,(1-ISNUMBER(SEARCH("556",P4751)))*(I4751*VLOOKUP($B4751,Premissas!$A$4:$E$7,2,0)+J4751*VLOOKUP($B4751,Premissas!$A$4:$E$7,3,0))+K4751*VLOOKUP($B4751,Premissas!$A$4:$E$7,4,0)+L4751*VLOOKUP($B4751,Premissas!$A$4:$E$7,5,0))</f>
        <v/>
      </c>
      <c r="N4751" s="14">
        <f>H4751-M4751</f>
        <v/>
      </c>
      <c r="O4751" t="inlineStr">
        <is>
          <t>Sim</t>
        </is>
      </c>
      <c r="P4751" t="inlineStr">
        <is>
          <t>2.350</t>
        </is>
      </c>
    </row>
    <row r="4752">
      <c r="A4752" s="24" t="n">
        <v>46266</v>
      </c>
      <c r="B4752" t="inlineStr">
        <is>
          <t>Frete de venda</t>
        </is>
      </c>
      <c r="C4752" t="inlineStr">
        <is>
          <t>Frete de venda (para clientes)</t>
        </is>
      </c>
      <c r="D4752" t="inlineStr">
        <is>
          <t>CT-e</t>
        </is>
      </c>
      <c r="E4752" t="inlineStr">
        <is>
          <t>000009872</t>
        </is>
      </c>
      <c r="F4752" t="inlineStr">
        <is>
          <t>BEM TRANSPORTES E LOGISTICA</t>
        </is>
      </c>
      <c r="G4752" s="27" t="n">
        <v>46282</v>
      </c>
      <c r="H4752" s="14" t="n">
        <v>770.95</v>
      </c>
      <c r="I4752" s="14" t="n">
        <v>0</v>
      </c>
      <c r="J4752" s="14" t="n">
        <v>0</v>
      </c>
      <c r="K4752" s="14" t="n">
        <v>0</v>
      </c>
      <c r="L4752" s="14" t="n">
        <v>0</v>
      </c>
      <c r="M4752" s="14">
        <f>IF(B4752="Frete de venda",0,(1-ISNUMBER(SEARCH("556",P4752)))*(I4752*VLOOKUP($B4752,Premissas!$A$4:$E$7,2,0)+J4752*VLOOKUP($B4752,Premissas!$A$4:$E$7,3,0))+K4752*VLOOKUP($B4752,Premissas!$A$4:$E$7,4,0)+L4752*VLOOKUP($B4752,Premissas!$A$4:$E$7,5,0))</f>
        <v/>
      </c>
      <c r="N4752" s="14">
        <f>H4752-M4752</f>
        <v/>
      </c>
      <c r="O4752" t="inlineStr">
        <is>
          <t>Sim</t>
        </is>
      </c>
      <c r="P4752" t="inlineStr">
        <is>
          <t>2.350</t>
        </is>
      </c>
    </row>
    <row r="4753">
      <c r="A4753" s="24" t="n">
        <v>46266</v>
      </c>
      <c r="B4753" t="inlineStr">
        <is>
          <t>Frete de venda</t>
        </is>
      </c>
      <c r="C4753" t="inlineStr">
        <is>
          <t>Frete de venda (para clientes)</t>
        </is>
      </c>
      <c r="D4753" t="inlineStr">
        <is>
          <t>CT-e</t>
        </is>
      </c>
      <c r="E4753" t="inlineStr">
        <is>
          <t>000009875</t>
        </is>
      </c>
      <c r="F4753" t="inlineStr">
        <is>
          <t>BEM TRANSPORTES E LOGISTICA</t>
        </is>
      </c>
      <c r="G4753" s="27" t="n">
        <v>46282</v>
      </c>
      <c r="H4753" s="14" t="n">
        <v>1418.85</v>
      </c>
      <c r="I4753" s="14" t="n">
        <v>0</v>
      </c>
      <c r="J4753" s="14" t="n">
        <v>0</v>
      </c>
      <c r="K4753" s="14" t="n">
        <v>0</v>
      </c>
      <c r="L4753" s="14" t="n">
        <v>0</v>
      </c>
      <c r="M4753" s="14">
        <f>IF(B4753="Frete de venda",0,(1-ISNUMBER(SEARCH("556",P4753)))*(I4753*VLOOKUP($B4753,Premissas!$A$4:$E$7,2,0)+J4753*VLOOKUP($B4753,Premissas!$A$4:$E$7,3,0))+K4753*VLOOKUP($B4753,Premissas!$A$4:$E$7,4,0)+L4753*VLOOKUP($B4753,Premissas!$A$4:$E$7,5,0))</f>
        <v/>
      </c>
      <c r="N4753" s="14">
        <f>H4753-M4753</f>
        <v/>
      </c>
      <c r="O4753" t="inlineStr">
        <is>
          <t>Sim</t>
        </is>
      </c>
      <c r="P4753" t="inlineStr">
        <is>
          <t>2.350</t>
        </is>
      </c>
    </row>
    <row r="4754">
      <c r="A4754" s="24" t="n">
        <v>46266</v>
      </c>
      <c r="B4754" t="inlineStr">
        <is>
          <t>Frete de venda</t>
        </is>
      </c>
      <c r="C4754" t="inlineStr">
        <is>
          <t>Frete de venda (para clientes)</t>
        </is>
      </c>
      <c r="D4754" t="inlineStr">
        <is>
          <t>CT-e</t>
        </is>
      </c>
      <c r="E4754" t="inlineStr">
        <is>
          <t>000009869</t>
        </is>
      </c>
      <c r="F4754" t="inlineStr">
        <is>
          <t>BEM TRANSPORTES E LOGISTICA</t>
        </is>
      </c>
      <c r="G4754" s="27" t="n">
        <v>46282</v>
      </c>
      <c r="H4754" s="14" t="n">
        <v>4442.7</v>
      </c>
      <c r="I4754" s="14" t="n">
        <v>0</v>
      </c>
      <c r="J4754" s="14" t="n">
        <v>0</v>
      </c>
      <c r="K4754" s="14" t="n">
        <v>0</v>
      </c>
      <c r="L4754" s="14" t="n">
        <v>0</v>
      </c>
      <c r="M4754" s="14">
        <f>IF(B4754="Frete de venda",0,(1-ISNUMBER(SEARCH("556",P4754)))*(I4754*VLOOKUP($B4754,Premissas!$A$4:$E$7,2,0)+J4754*VLOOKUP($B4754,Premissas!$A$4:$E$7,3,0))+K4754*VLOOKUP($B4754,Premissas!$A$4:$E$7,4,0)+L4754*VLOOKUP($B4754,Premissas!$A$4:$E$7,5,0))</f>
        <v/>
      </c>
      <c r="N4754" s="14">
        <f>H4754-M4754</f>
        <v/>
      </c>
      <c r="O4754" t="inlineStr">
        <is>
          <t>Sim</t>
        </is>
      </c>
      <c r="P4754" t="inlineStr">
        <is>
          <t>2.350</t>
        </is>
      </c>
    </row>
    <row r="4755">
      <c r="A4755" s="24" t="n">
        <v>46266</v>
      </c>
      <c r="B4755" t="inlineStr">
        <is>
          <t>Frete de venda</t>
        </is>
      </c>
      <c r="C4755" t="inlineStr">
        <is>
          <t>Frete de venda (para clientes)</t>
        </is>
      </c>
      <c r="D4755" t="inlineStr">
        <is>
          <t>CT-e</t>
        </is>
      </c>
      <c r="E4755" t="inlineStr">
        <is>
          <t>000009873</t>
        </is>
      </c>
      <c r="F4755" t="inlineStr">
        <is>
          <t>BEM TRANSPORTES E LOGISTICA</t>
        </is>
      </c>
      <c r="G4755" s="27" t="n">
        <v>46282</v>
      </c>
      <c r="H4755" s="14" t="n">
        <v>599.95</v>
      </c>
      <c r="I4755" s="14" t="n">
        <v>0</v>
      </c>
      <c r="J4755" s="14" t="n">
        <v>0</v>
      </c>
      <c r="K4755" s="14" t="n">
        <v>0</v>
      </c>
      <c r="L4755" s="14" t="n">
        <v>0</v>
      </c>
      <c r="M4755" s="14">
        <f>IF(B4755="Frete de venda",0,(1-ISNUMBER(SEARCH("556",P4755)))*(I4755*VLOOKUP($B4755,Premissas!$A$4:$E$7,2,0)+J4755*VLOOKUP($B4755,Premissas!$A$4:$E$7,3,0))+K4755*VLOOKUP($B4755,Premissas!$A$4:$E$7,4,0)+L4755*VLOOKUP($B4755,Premissas!$A$4:$E$7,5,0))</f>
        <v/>
      </c>
      <c r="N4755" s="14">
        <f>H4755-M4755</f>
        <v/>
      </c>
      <c r="O4755" t="inlineStr">
        <is>
          <t>Sim</t>
        </is>
      </c>
      <c r="P4755" t="inlineStr">
        <is>
          <t>2.350</t>
        </is>
      </c>
    </row>
    <row r="4756">
      <c r="A4756" s="24" t="n">
        <v>46266</v>
      </c>
      <c r="B4756" t="inlineStr">
        <is>
          <t>Frete de venda</t>
        </is>
      </c>
      <c r="C4756" t="inlineStr">
        <is>
          <t>Frete de venda (para clientes)</t>
        </is>
      </c>
      <c r="D4756" t="inlineStr">
        <is>
          <t>CT-e</t>
        </is>
      </c>
      <c r="E4756" t="inlineStr">
        <is>
          <t>000009867</t>
        </is>
      </c>
      <c r="F4756" t="inlineStr">
        <is>
          <t>BEM TRANSPORTES E LOGISTICA</t>
        </is>
      </c>
      <c r="G4756" s="27" t="n">
        <v>46282</v>
      </c>
      <c r="H4756" s="14" t="n">
        <v>704.6</v>
      </c>
      <c r="I4756" s="14" t="n">
        <v>0</v>
      </c>
      <c r="J4756" s="14" t="n">
        <v>0</v>
      </c>
      <c r="K4756" s="14" t="n">
        <v>0</v>
      </c>
      <c r="L4756" s="14" t="n">
        <v>0</v>
      </c>
      <c r="M4756" s="14">
        <f>IF(B4756="Frete de venda",0,(1-ISNUMBER(SEARCH("556",P4756)))*(I4756*VLOOKUP($B4756,Premissas!$A$4:$E$7,2,0)+J4756*VLOOKUP($B4756,Premissas!$A$4:$E$7,3,0))+K4756*VLOOKUP($B4756,Premissas!$A$4:$E$7,4,0)+L4756*VLOOKUP($B4756,Premissas!$A$4:$E$7,5,0))</f>
        <v/>
      </c>
      <c r="N4756" s="14">
        <f>H4756-M4756</f>
        <v/>
      </c>
      <c r="O4756" t="inlineStr">
        <is>
          <t>Sim</t>
        </is>
      </c>
      <c r="P4756" t="inlineStr">
        <is>
          <t>2.350</t>
        </is>
      </c>
    </row>
    <row r="4757">
      <c r="A4757" s="24" t="n">
        <v>46266</v>
      </c>
      <c r="B4757" t="inlineStr">
        <is>
          <t>Frete de venda</t>
        </is>
      </c>
      <c r="C4757" t="inlineStr">
        <is>
          <t>Frete de venda (para clientes)</t>
        </is>
      </c>
      <c r="D4757" t="inlineStr">
        <is>
          <t>CT-e</t>
        </is>
      </c>
      <c r="E4757" t="inlineStr">
        <is>
          <t>000009876</t>
        </is>
      </c>
      <c r="F4757" t="inlineStr">
        <is>
          <t>BEM TRANSPORTES E LOGISTICA</t>
        </is>
      </c>
      <c r="G4757" s="27" t="n">
        <v>46282</v>
      </c>
      <c r="H4757" s="14" t="n">
        <v>709.2</v>
      </c>
      <c r="I4757" s="14" t="n">
        <v>0</v>
      </c>
      <c r="J4757" s="14" t="n">
        <v>0</v>
      </c>
      <c r="K4757" s="14" t="n">
        <v>0</v>
      </c>
      <c r="L4757" s="14" t="n">
        <v>0</v>
      </c>
      <c r="M4757" s="14">
        <f>IF(B4757="Frete de venda",0,(1-ISNUMBER(SEARCH("556",P4757)))*(I4757*VLOOKUP($B4757,Premissas!$A$4:$E$7,2,0)+J4757*VLOOKUP($B4757,Premissas!$A$4:$E$7,3,0))+K4757*VLOOKUP($B4757,Premissas!$A$4:$E$7,4,0)+L4757*VLOOKUP($B4757,Premissas!$A$4:$E$7,5,0))</f>
        <v/>
      </c>
      <c r="N4757" s="14">
        <f>H4757-M4757</f>
        <v/>
      </c>
      <c r="O4757" t="inlineStr">
        <is>
          <t>Sim</t>
        </is>
      </c>
      <c r="P4757" t="inlineStr">
        <is>
          <t>2.350</t>
        </is>
      </c>
    </row>
    <row r="4758">
      <c r="A4758" s="24" t="n">
        <v>46266</v>
      </c>
      <c r="B4758" t="inlineStr">
        <is>
          <t>Frete de venda</t>
        </is>
      </c>
      <c r="C4758" t="inlineStr">
        <is>
          <t>Frete de venda (para clientes)</t>
        </is>
      </c>
      <c r="D4758" t="inlineStr">
        <is>
          <t>CT-e</t>
        </is>
      </c>
      <c r="E4758" t="inlineStr">
        <is>
          <t>000009868</t>
        </is>
      </c>
      <c r="F4758" t="inlineStr">
        <is>
          <t>BEM TRANSPORTES E LOGISTICA</t>
        </is>
      </c>
      <c r="G4758" s="27" t="n">
        <v>46282</v>
      </c>
      <c r="H4758" s="14" t="n">
        <v>731.8</v>
      </c>
      <c r="I4758" s="14" t="n">
        <v>0</v>
      </c>
      <c r="J4758" s="14" t="n">
        <v>0</v>
      </c>
      <c r="K4758" s="14" t="n">
        <v>0</v>
      </c>
      <c r="L4758" s="14" t="n">
        <v>0</v>
      </c>
      <c r="M4758" s="14">
        <f>IF(B4758="Frete de venda",0,(1-ISNUMBER(SEARCH("556",P4758)))*(I4758*VLOOKUP($B4758,Premissas!$A$4:$E$7,2,0)+J4758*VLOOKUP($B4758,Premissas!$A$4:$E$7,3,0))+K4758*VLOOKUP($B4758,Premissas!$A$4:$E$7,4,0)+L4758*VLOOKUP($B4758,Premissas!$A$4:$E$7,5,0))</f>
        <v/>
      </c>
      <c r="N4758" s="14">
        <f>H4758-M4758</f>
        <v/>
      </c>
      <c r="O4758" t="inlineStr">
        <is>
          <t>Sim</t>
        </is>
      </c>
      <c r="P4758" t="inlineStr">
        <is>
          <t>2.350</t>
        </is>
      </c>
    </row>
    <row r="4759">
      <c r="A4759" s="24" t="n">
        <v>46266</v>
      </c>
      <c r="B4759" t="inlineStr">
        <is>
          <t>Frete de venda</t>
        </is>
      </c>
      <c r="C4759" t="inlineStr">
        <is>
          <t>Frete de venda (para clientes)</t>
        </is>
      </c>
      <c r="D4759" t="inlineStr">
        <is>
          <t>CT-e</t>
        </is>
      </c>
      <c r="E4759" t="inlineStr">
        <is>
          <t>000009874</t>
        </is>
      </c>
      <c r="F4759" t="inlineStr">
        <is>
          <t>BEM TRANSPORTES E LOGISTICA</t>
        </is>
      </c>
      <c r="G4759" s="27" t="n">
        <v>46282</v>
      </c>
      <c r="H4759" s="14" t="n">
        <v>3276.8</v>
      </c>
      <c r="I4759" s="14" t="n">
        <v>0</v>
      </c>
      <c r="J4759" s="14" t="n">
        <v>0</v>
      </c>
      <c r="K4759" s="14" t="n">
        <v>0</v>
      </c>
      <c r="L4759" s="14" t="n">
        <v>0</v>
      </c>
      <c r="M4759" s="14">
        <f>IF(B4759="Frete de venda",0,(1-ISNUMBER(SEARCH("556",P4759)))*(I4759*VLOOKUP($B4759,Premissas!$A$4:$E$7,2,0)+J4759*VLOOKUP($B4759,Premissas!$A$4:$E$7,3,0))+K4759*VLOOKUP($B4759,Premissas!$A$4:$E$7,4,0)+L4759*VLOOKUP($B4759,Premissas!$A$4:$E$7,5,0))</f>
        <v/>
      </c>
      <c r="N4759" s="14">
        <f>H4759-M4759</f>
        <v/>
      </c>
      <c r="O4759" t="inlineStr">
        <is>
          <t>Sim</t>
        </is>
      </c>
      <c r="P4759" t="inlineStr">
        <is>
          <t>2.350</t>
        </is>
      </c>
    </row>
    <row r="4760">
      <c r="A4760" s="24" t="n">
        <v>46266</v>
      </c>
      <c r="B4760" t="inlineStr">
        <is>
          <t>Frete de venda</t>
        </is>
      </c>
      <c r="C4760" t="inlineStr">
        <is>
          <t>Frete de venda (para clientes)</t>
        </is>
      </c>
      <c r="D4760" t="inlineStr">
        <is>
          <t>CT-e</t>
        </is>
      </c>
      <c r="E4760" t="inlineStr">
        <is>
          <t>000009871</t>
        </is>
      </c>
      <c r="F4760" t="inlineStr">
        <is>
          <t>BEM TRANSPORTES E LOGISTICA</t>
        </is>
      </c>
      <c r="G4760" s="27" t="n">
        <v>46282</v>
      </c>
      <c r="H4760" s="14" t="n">
        <v>844.1</v>
      </c>
      <c r="I4760" s="14" t="n">
        <v>0</v>
      </c>
      <c r="J4760" s="14" t="n">
        <v>0</v>
      </c>
      <c r="K4760" s="14" t="n">
        <v>0</v>
      </c>
      <c r="L4760" s="14" t="n">
        <v>0</v>
      </c>
      <c r="M4760" s="14">
        <f>IF(B4760="Frete de venda",0,(1-ISNUMBER(SEARCH("556",P4760)))*(I4760*VLOOKUP($B4760,Premissas!$A$4:$E$7,2,0)+J4760*VLOOKUP($B4760,Premissas!$A$4:$E$7,3,0))+K4760*VLOOKUP($B4760,Premissas!$A$4:$E$7,4,0)+L4760*VLOOKUP($B4760,Premissas!$A$4:$E$7,5,0))</f>
        <v/>
      </c>
      <c r="N4760" s="14">
        <f>H4760-M4760</f>
        <v/>
      </c>
      <c r="O4760" t="inlineStr">
        <is>
          <t>Sim</t>
        </is>
      </c>
      <c r="P4760" t="inlineStr">
        <is>
          <t>2.350</t>
        </is>
      </c>
    </row>
    <row r="4761">
      <c r="A4761" s="24" t="n">
        <v>46266</v>
      </c>
      <c r="B4761" t="inlineStr">
        <is>
          <t>Insumos e papel</t>
        </is>
      </c>
      <c r="C4761" t="inlineStr">
        <is>
          <t>2.01.03 Compra de Matéria Prima (Papel)</t>
        </is>
      </c>
      <c r="D4761" t="inlineStr">
        <is>
          <t>NF-e</t>
        </is>
      </c>
      <c r="E4761" t="inlineStr">
        <is>
          <t>000018822</t>
        </is>
      </c>
      <c r="F4761" t="inlineStr">
        <is>
          <t>NOVA CONPEL COMPANHIA NORDESTINA DE PAPEL LTDA</t>
        </is>
      </c>
      <c r="G4761" s="27" t="n">
        <v>46282</v>
      </c>
      <c r="H4761" s="14" t="n">
        <v>37580.89</v>
      </c>
      <c r="I4761" s="14" t="n">
        <v>1182.93</v>
      </c>
      <c r="J4761" s="14" t="n">
        <v>7279.59</v>
      </c>
      <c r="K4761" s="14" t="n">
        <v>480.45</v>
      </c>
      <c r="L4761" s="14" t="n">
        <v>2213</v>
      </c>
      <c r="M4761" s="14">
        <f>IF(B4761="Frete de venda",0,(1-ISNUMBER(SEARCH("556",P4761)))*(I4761*VLOOKUP($B4761,Premissas!$A$4:$E$7,2,0)+J4761*VLOOKUP($B4761,Premissas!$A$4:$E$7,3,0))+K4761*VLOOKUP($B4761,Premissas!$A$4:$E$7,4,0)+L4761*VLOOKUP($B4761,Premissas!$A$4:$E$7,5,0))</f>
        <v/>
      </c>
      <c r="N4761" s="14">
        <f>H4761-M4761</f>
        <v/>
      </c>
      <c r="O4761" t="inlineStr">
        <is>
          <t>Sim</t>
        </is>
      </c>
      <c r="P4761" t="inlineStr">
        <is>
          <t>1.101</t>
        </is>
      </c>
    </row>
    <row r="4762">
      <c r="A4762" s="24" t="n">
        <v>46266</v>
      </c>
      <c r="B4762" t="inlineStr">
        <is>
          <t>Insumos e papel</t>
        </is>
      </c>
      <c r="C4762" t="inlineStr">
        <is>
          <t>2.01.03 Compra de Matéria Prima (Papel)</t>
        </is>
      </c>
      <c r="D4762" t="inlineStr">
        <is>
          <t>NF-e</t>
        </is>
      </c>
      <c r="E4762" t="inlineStr">
        <is>
          <t>000018823</t>
        </is>
      </c>
      <c r="F4762" t="inlineStr">
        <is>
          <t>NOVA CONPEL COMPANHIA NORDESTINA DE PAPEL LTDA</t>
        </is>
      </c>
      <c r="G4762" s="27" t="n">
        <v>46282</v>
      </c>
      <c r="H4762" s="14" t="n">
        <v>37584.56</v>
      </c>
      <c r="I4762" s="14" t="n">
        <v>1183.04</v>
      </c>
      <c r="J4762" s="14" t="n">
        <v>7280.3</v>
      </c>
      <c r="K4762" s="14" t="n">
        <v>480.5</v>
      </c>
      <c r="L4762" s="14" t="n">
        <v>2213.21</v>
      </c>
      <c r="M4762" s="14">
        <f>IF(B4762="Frete de venda",0,(1-ISNUMBER(SEARCH("556",P4762)))*(I4762*VLOOKUP($B4762,Premissas!$A$4:$E$7,2,0)+J4762*VLOOKUP($B4762,Premissas!$A$4:$E$7,3,0))+K4762*VLOOKUP($B4762,Premissas!$A$4:$E$7,4,0)+L4762*VLOOKUP($B4762,Premissas!$A$4:$E$7,5,0))</f>
        <v/>
      </c>
      <c r="N4762" s="14">
        <f>H4762-M4762</f>
        <v/>
      </c>
      <c r="O4762" t="inlineStr">
        <is>
          <t>Sim</t>
        </is>
      </c>
      <c r="P4762" t="inlineStr">
        <is>
          <t>1.101</t>
        </is>
      </c>
    </row>
    <row r="4763">
      <c r="A4763" s="24" t="n">
        <v>46266</v>
      </c>
      <c r="B4763" t="inlineStr">
        <is>
          <t>Insumos e papel</t>
        </is>
      </c>
      <c r="C4763" t="inlineStr">
        <is>
          <t>2.01.03 Compra de Matéria Prima (Papel)</t>
        </is>
      </c>
      <c r="D4763" t="inlineStr">
        <is>
          <t>NF-e</t>
        </is>
      </c>
      <c r="E4763" t="inlineStr">
        <is>
          <t>000018824</t>
        </is>
      </c>
      <c r="F4763" t="inlineStr">
        <is>
          <t>NOVA CONPEL COMPANHIA NORDESTINA DE PAPEL LTDA</t>
        </is>
      </c>
      <c r="G4763" s="27" t="n">
        <v>46282</v>
      </c>
      <c r="H4763" s="14" t="n">
        <v>37577.22</v>
      </c>
      <c r="I4763" s="14" t="n">
        <v>1182.81</v>
      </c>
      <c r="J4763" s="14" t="n">
        <v>7278.88</v>
      </c>
      <c r="K4763" s="14" t="n">
        <v>480.41</v>
      </c>
      <c r="L4763" s="14" t="n">
        <v>2212.78</v>
      </c>
      <c r="M4763" s="14">
        <f>IF(B4763="Frete de venda",0,(1-ISNUMBER(SEARCH("556",P4763)))*(I4763*VLOOKUP($B4763,Premissas!$A$4:$E$7,2,0)+J4763*VLOOKUP($B4763,Premissas!$A$4:$E$7,3,0))+K4763*VLOOKUP($B4763,Premissas!$A$4:$E$7,4,0)+L4763*VLOOKUP($B4763,Premissas!$A$4:$E$7,5,0))</f>
        <v/>
      </c>
      <c r="N4763" s="14">
        <f>H4763-M4763</f>
        <v/>
      </c>
      <c r="O4763" t="inlineStr">
        <is>
          <t>Sim</t>
        </is>
      </c>
      <c r="P4763" t="inlineStr">
        <is>
          <t>1.101</t>
        </is>
      </c>
    </row>
    <row r="4764">
      <c r="A4764" s="24" t="n">
        <v>46266</v>
      </c>
      <c r="B4764" t="inlineStr">
        <is>
          <t>Insumos e papel</t>
        </is>
      </c>
      <c r="C4764" t="inlineStr">
        <is>
          <t>2.01.03 Compra de Matéria Prima (Papel)</t>
        </is>
      </c>
      <c r="D4764" t="inlineStr">
        <is>
          <t>NF-e</t>
        </is>
      </c>
      <c r="E4764" t="inlineStr">
        <is>
          <t>000018825</t>
        </is>
      </c>
      <c r="F4764" t="inlineStr">
        <is>
          <t>NOVA CONPEL COMPANHIA NORDESTINA DE PAPEL LTDA</t>
        </is>
      </c>
      <c r="G4764" s="27" t="n">
        <v>46282</v>
      </c>
      <c r="H4764" s="14" t="n">
        <v>37573.55</v>
      </c>
      <c r="I4764" s="14" t="n">
        <v>1182.7</v>
      </c>
      <c r="J4764" s="14" t="n">
        <v>7278.17</v>
      </c>
      <c r="K4764" s="14" t="n">
        <v>480.36</v>
      </c>
      <c r="L4764" s="14" t="n">
        <v>2212.56</v>
      </c>
      <c r="M4764" s="14">
        <f>IF(B4764="Frete de venda",0,(1-ISNUMBER(SEARCH("556",P4764)))*(I4764*VLOOKUP($B4764,Premissas!$A$4:$E$7,2,0)+J4764*VLOOKUP($B4764,Premissas!$A$4:$E$7,3,0))+K4764*VLOOKUP($B4764,Premissas!$A$4:$E$7,4,0)+L4764*VLOOKUP($B4764,Premissas!$A$4:$E$7,5,0))</f>
        <v/>
      </c>
      <c r="N4764" s="14">
        <f>H4764-M4764</f>
        <v/>
      </c>
      <c r="O4764" t="inlineStr">
        <is>
          <t>Sim</t>
        </is>
      </c>
      <c r="P4764" t="inlineStr">
        <is>
          <t>1.101</t>
        </is>
      </c>
    </row>
    <row r="4765">
      <c r="A4765" s="24" t="n">
        <v>46266</v>
      </c>
      <c r="B4765" t="inlineStr">
        <is>
          <t>Insumos e papel</t>
        </is>
      </c>
      <c r="C4765" t="inlineStr">
        <is>
          <t>2.01.03 Compra de Matéria Prima (Papel)</t>
        </is>
      </c>
      <c r="D4765" t="inlineStr">
        <is>
          <t>NF-e</t>
        </is>
      </c>
      <c r="E4765" t="inlineStr">
        <is>
          <t>000018938</t>
        </is>
      </c>
      <c r="F4765" t="inlineStr">
        <is>
          <t>NOVA CONPEL COMPANHIA NORDESTINA DE PAPEL LTDA</t>
        </is>
      </c>
      <c r="G4765" s="27" t="n">
        <v>46286</v>
      </c>
      <c r="H4765" s="14" t="n">
        <v>37643.32</v>
      </c>
      <c r="I4765" s="14" t="n">
        <v>1184.89</v>
      </c>
      <c r="J4765" s="14" t="n">
        <v>7291.68</v>
      </c>
      <c r="K4765" s="14" t="n">
        <v>481.25</v>
      </c>
      <c r="L4765" s="14" t="n">
        <v>2216.67</v>
      </c>
      <c r="M4765" s="14">
        <f>IF(B4765="Frete de venda",0,(1-ISNUMBER(SEARCH("556",P4765)))*(I4765*VLOOKUP($B4765,Premissas!$A$4:$E$7,2,0)+J4765*VLOOKUP($B4765,Premissas!$A$4:$E$7,3,0))+K4765*VLOOKUP($B4765,Premissas!$A$4:$E$7,4,0)+L4765*VLOOKUP($B4765,Premissas!$A$4:$E$7,5,0))</f>
        <v/>
      </c>
      <c r="N4765" s="14">
        <f>H4765-M4765</f>
        <v/>
      </c>
      <c r="O4765" t="inlineStr">
        <is>
          <t>Sim</t>
        </is>
      </c>
      <c r="P4765" t="inlineStr">
        <is>
          <t>1.101</t>
        </is>
      </c>
    </row>
    <row r="4766">
      <c r="A4766" s="24" t="n">
        <v>46266</v>
      </c>
      <c r="B4766" t="inlineStr">
        <is>
          <t>Insumos e papel</t>
        </is>
      </c>
      <c r="C4766" t="inlineStr">
        <is>
          <t>2.01.03 Compra de Matéria Prima (Papel)</t>
        </is>
      </c>
      <c r="D4766" t="inlineStr">
        <is>
          <t>NF-e</t>
        </is>
      </c>
      <c r="E4766" t="inlineStr">
        <is>
          <t>000018937</t>
        </is>
      </c>
      <c r="F4766" t="inlineStr">
        <is>
          <t>NOVA CONPEL COMPANHIA NORDESTINA DE PAPEL LTDA</t>
        </is>
      </c>
      <c r="G4766" s="27" t="n">
        <v>46286</v>
      </c>
      <c r="H4766" s="14" t="n">
        <v>37606.6</v>
      </c>
      <c r="I4766" s="14" t="n">
        <v>1183.74</v>
      </c>
      <c r="J4766" s="14" t="n">
        <v>7284.57</v>
      </c>
      <c r="K4766" s="14" t="n">
        <v>480.78</v>
      </c>
      <c r="L4766" s="14" t="n">
        <v>2214.51</v>
      </c>
      <c r="M4766" s="14">
        <f>IF(B4766="Frete de venda",0,(1-ISNUMBER(SEARCH("556",P4766)))*(I4766*VLOOKUP($B4766,Premissas!$A$4:$E$7,2,0)+J4766*VLOOKUP($B4766,Premissas!$A$4:$E$7,3,0))+K4766*VLOOKUP($B4766,Premissas!$A$4:$E$7,4,0)+L4766*VLOOKUP($B4766,Premissas!$A$4:$E$7,5,0))</f>
        <v/>
      </c>
      <c r="N4766" s="14">
        <f>H4766-M4766</f>
        <v/>
      </c>
      <c r="O4766" t="inlineStr">
        <is>
          <t>Sim</t>
        </is>
      </c>
      <c r="P4766" t="inlineStr">
        <is>
          <t>1.101</t>
        </is>
      </c>
    </row>
    <row r="4767">
      <c r="A4767" s="24" t="n">
        <v>46266</v>
      </c>
      <c r="B4767" t="inlineStr">
        <is>
          <t>Insumos e papel</t>
        </is>
      </c>
      <c r="C4767" t="inlineStr">
        <is>
          <t>2.01.03 Compra de Matéria Prima (Papel)</t>
        </is>
      </c>
      <c r="D4767" t="inlineStr">
        <is>
          <t>NF-e</t>
        </is>
      </c>
      <c r="E4767" t="inlineStr">
        <is>
          <t>000018936</t>
        </is>
      </c>
      <c r="F4767" t="inlineStr">
        <is>
          <t>NOVA CONPEL COMPANHIA NORDESTINA DE PAPEL LTDA</t>
        </is>
      </c>
      <c r="G4767" s="27" t="n">
        <v>46286</v>
      </c>
      <c r="H4767" s="14" t="n">
        <v>37588.24</v>
      </c>
      <c r="I4767" s="14" t="n">
        <v>1183.16</v>
      </c>
      <c r="J4767" s="14" t="n">
        <v>7281.01</v>
      </c>
      <c r="K4767" s="14" t="n">
        <v>480.55</v>
      </c>
      <c r="L4767" s="14" t="n">
        <v>2213.43</v>
      </c>
      <c r="M4767" s="14">
        <f>IF(B4767="Frete de venda",0,(1-ISNUMBER(SEARCH("556",P4767)))*(I4767*VLOOKUP($B4767,Premissas!$A$4:$E$7,2,0)+J4767*VLOOKUP($B4767,Premissas!$A$4:$E$7,3,0))+K4767*VLOOKUP($B4767,Premissas!$A$4:$E$7,4,0)+L4767*VLOOKUP($B4767,Premissas!$A$4:$E$7,5,0))</f>
        <v/>
      </c>
      <c r="N4767" s="14">
        <f>H4767-M4767</f>
        <v/>
      </c>
      <c r="O4767" t="inlineStr">
        <is>
          <t>Sim</t>
        </is>
      </c>
      <c r="P4767" t="inlineStr">
        <is>
          <t>1.101</t>
        </is>
      </c>
    </row>
    <row r="4768">
      <c r="A4768" s="24" t="n">
        <v>46266</v>
      </c>
      <c r="B4768" t="inlineStr">
        <is>
          <t>Insumos e papel</t>
        </is>
      </c>
      <c r="C4768" t="inlineStr">
        <is>
          <t>2.01.03 Compra de Matéria Prima (Papel)</t>
        </is>
      </c>
      <c r="D4768" t="inlineStr">
        <is>
          <t>NF-e</t>
        </is>
      </c>
      <c r="E4768" t="inlineStr">
        <is>
          <t>000018935</t>
        </is>
      </c>
      <c r="F4768" t="inlineStr">
        <is>
          <t>NOVA CONPEL COMPANHIA NORDESTINA DE PAPEL LTDA</t>
        </is>
      </c>
      <c r="G4768" s="27" t="n">
        <v>46286</v>
      </c>
      <c r="H4768" s="14" t="n">
        <v>37584.56</v>
      </c>
      <c r="I4768" s="14" t="n">
        <v>1183.04</v>
      </c>
      <c r="J4768" s="14" t="n">
        <v>7280.3</v>
      </c>
      <c r="K4768" s="14" t="n">
        <v>480.5</v>
      </c>
      <c r="L4768" s="14" t="n">
        <v>2213.21</v>
      </c>
      <c r="M4768" s="14">
        <f>IF(B4768="Frete de venda",0,(1-ISNUMBER(SEARCH("556",P4768)))*(I4768*VLOOKUP($B4768,Premissas!$A$4:$E$7,2,0)+J4768*VLOOKUP($B4768,Premissas!$A$4:$E$7,3,0))+K4768*VLOOKUP($B4768,Premissas!$A$4:$E$7,4,0)+L4768*VLOOKUP($B4768,Premissas!$A$4:$E$7,5,0))</f>
        <v/>
      </c>
      <c r="N4768" s="14">
        <f>H4768-M4768</f>
        <v/>
      </c>
      <c r="O4768" t="inlineStr">
        <is>
          <t>Sim</t>
        </is>
      </c>
      <c r="P4768" t="inlineStr">
        <is>
          <t>1.101</t>
        </is>
      </c>
    </row>
    <row r="4769">
      <c r="A4769" s="24" t="n">
        <v>46266</v>
      </c>
      <c r="B4769" t="inlineStr">
        <is>
          <t>Insumos e papel</t>
        </is>
      </c>
      <c r="C4769" t="inlineStr">
        <is>
          <t>2.01.79 Compra de Gás</t>
        </is>
      </c>
      <c r="D4769" t="inlineStr">
        <is>
          <t>NF-e</t>
        </is>
      </c>
      <c r="E4769" t="inlineStr">
        <is>
          <t>000008830</t>
        </is>
      </c>
      <c r="F4769" t="inlineStr">
        <is>
          <t>SUPERGASBRAS ENERGIA LTDA</t>
        </is>
      </c>
      <c r="G4769" s="27" t="n">
        <v>46267</v>
      </c>
      <c r="H4769" s="14" t="n">
        <v>326.98</v>
      </c>
      <c r="I4769" s="14" t="n">
        <v>0</v>
      </c>
      <c r="J4769" s="14" t="n">
        <v>0</v>
      </c>
      <c r="K4769" s="14" t="n">
        <v>0</v>
      </c>
      <c r="L4769" s="14" t="n">
        <v>0</v>
      </c>
      <c r="M4769" s="14">
        <f>IF(B4769="Frete de venda",0,(1-ISNUMBER(SEARCH("556",P4769)))*(I4769*VLOOKUP($B4769,Premissas!$A$4:$E$7,2,0)+J4769*VLOOKUP($B4769,Premissas!$A$4:$E$7,3,0))+K4769*VLOOKUP($B4769,Premissas!$A$4:$E$7,4,0)+L4769*VLOOKUP($B4769,Premissas!$A$4:$E$7,5,0))</f>
        <v/>
      </c>
      <c r="N4769" s="14">
        <f>H4769-M4769</f>
        <v/>
      </c>
      <c r="O4769" t="inlineStr">
        <is>
          <t>Sim</t>
        </is>
      </c>
      <c r="P4769" t="inlineStr">
        <is>
          <t>1.556</t>
        </is>
      </c>
    </row>
    <row r="4770">
      <c r="A4770" s="24" t="n">
        <v>46266</v>
      </c>
      <c r="B4770" t="inlineStr">
        <is>
          <t>Insumos e papel</t>
        </is>
      </c>
      <c r="C4770" t="inlineStr">
        <is>
          <t>2.01.79 Compra de Gás</t>
        </is>
      </c>
      <c r="D4770" t="inlineStr">
        <is>
          <t>NF-e</t>
        </is>
      </c>
      <c r="E4770" t="inlineStr">
        <is>
          <t>000008872</t>
        </is>
      </c>
      <c r="F4770" t="inlineStr">
        <is>
          <t>SUPERGASBRAS ENERGIA LTDA</t>
        </is>
      </c>
      <c r="G4770" s="27" t="n">
        <v>46273</v>
      </c>
      <c r="H4770" s="14" t="n">
        <v>490.47</v>
      </c>
      <c r="I4770" s="14" t="n">
        <v>0</v>
      </c>
      <c r="J4770" s="14" t="n">
        <v>0</v>
      </c>
      <c r="K4770" s="14" t="n">
        <v>0</v>
      </c>
      <c r="L4770" s="14" t="n">
        <v>0</v>
      </c>
      <c r="M4770" s="14">
        <f>IF(B4770="Frete de venda",0,(1-ISNUMBER(SEARCH("556",P4770)))*(I4770*VLOOKUP($B4770,Premissas!$A$4:$E$7,2,0)+J4770*VLOOKUP($B4770,Premissas!$A$4:$E$7,3,0))+K4770*VLOOKUP($B4770,Premissas!$A$4:$E$7,4,0)+L4770*VLOOKUP($B4770,Premissas!$A$4:$E$7,5,0))</f>
        <v/>
      </c>
      <c r="N4770" s="14">
        <f>H4770-M4770</f>
        <v/>
      </c>
      <c r="O4770" t="inlineStr">
        <is>
          <t>Sim</t>
        </is>
      </c>
      <c r="P4770" t="inlineStr">
        <is>
          <t>1.556</t>
        </is>
      </c>
    </row>
    <row r="4771">
      <c r="A4771" s="24" t="n">
        <v>46266</v>
      </c>
      <c r="B4771" t="inlineStr">
        <is>
          <t>Insumos e papel</t>
        </is>
      </c>
      <c r="C4771" t="inlineStr">
        <is>
          <t>2.01.79 Compra de Gás</t>
        </is>
      </c>
      <c r="D4771" t="inlineStr">
        <is>
          <t>NF-e</t>
        </is>
      </c>
      <c r="E4771" t="inlineStr">
        <is>
          <t>000008939</t>
        </is>
      </c>
      <c r="F4771" t="inlineStr">
        <is>
          <t>SUPERGASBRAS ENERGIA LTDA</t>
        </is>
      </c>
      <c r="G4771" s="27" t="n">
        <v>46280</v>
      </c>
      <c r="H4771" s="14" t="n">
        <v>817.45</v>
      </c>
      <c r="I4771" s="14" t="n">
        <v>0</v>
      </c>
      <c r="J4771" s="14" t="n">
        <v>0</v>
      </c>
      <c r="K4771" s="14" t="n">
        <v>0</v>
      </c>
      <c r="L4771" s="14" t="n">
        <v>0</v>
      </c>
      <c r="M4771" s="14">
        <f>IF(B4771="Frete de venda",0,(1-ISNUMBER(SEARCH("556",P4771)))*(I4771*VLOOKUP($B4771,Premissas!$A$4:$E$7,2,0)+J4771*VLOOKUP($B4771,Premissas!$A$4:$E$7,3,0))+K4771*VLOOKUP($B4771,Premissas!$A$4:$E$7,4,0)+L4771*VLOOKUP($B4771,Premissas!$A$4:$E$7,5,0))</f>
        <v/>
      </c>
      <c r="N4771" s="14">
        <f>H4771-M4771</f>
        <v/>
      </c>
      <c r="O4771" t="inlineStr">
        <is>
          <t>Sim</t>
        </is>
      </c>
      <c r="P4771" t="inlineStr">
        <is>
          <t>1.556</t>
        </is>
      </c>
    </row>
    <row r="4772">
      <c r="A4772" s="24" t="n">
        <v>46266</v>
      </c>
      <c r="B4772" t="inlineStr">
        <is>
          <t>Insumos e papel</t>
        </is>
      </c>
      <c r="C4772" t="inlineStr">
        <is>
          <t>2.01.79 Compra de Gás</t>
        </is>
      </c>
      <c r="D4772" t="inlineStr">
        <is>
          <t>NF-e</t>
        </is>
      </c>
      <c r="E4772" t="inlineStr">
        <is>
          <t>000008996</t>
        </is>
      </c>
      <c r="F4772" t="inlineStr">
        <is>
          <t>SUPERGASBRAS ENERGIA LTDA</t>
        </is>
      </c>
      <c r="G4772" s="27" t="n">
        <v>46286</v>
      </c>
      <c r="H4772" s="14" t="n">
        <v>653.96</v>
      </c>
      <c r="I4772" s="14" t="n">
        <v>0</v>
      </c>
      <c r="J4772" s="14" t="n">
        <v>0</v>
      </c>
      <c r="K4772" s="14" t="n">
        <v>0</v>
      </c>
      <c r="L4772" s="14" t="n">
        <v>0</v>
      </c>
      <c r="M4772" s="14">
        <f>IF(B4772="Frete de venda",0,(1-ISNUMBER(SEARCH("556",P4772)))*(I4772*VLOOKUP($B4772,Premissas!$A$4:$E$7,2,0)+J4772*VLOOKUP($B4772,Premissas!$A$4:$E$7,3,0))+K4772*VLOOKUP($B4772,Premissas!$A$4:$E$7,4,0)+L4772*VLOOKUP($B4772,Premissas!$A$4:$E$7,5,0))</f>
        <v/>
      </c>
      <c r="N4772" s="14">
        <f>H4772-M4772</f>
        <v/>
      </c>
      <c r="O4772" t="inlineStr">
        <is>
          <t>Sim</t>
        </is>
      </c>
      <c r="P4772" t="inlineStr">
        <is>
          <t>1.556</t>
        </is>
      </c>
    </row>
    <row r="4773">
      <c r="A4773" s="24" t="n">
        <v>46266</v>
      </c>
      <c r="B4773" t="inlineStr">
        <is>
          <t>Insumos e papel</t>
        </is>
      </c>
      <c r="C4773" t="inlineStr">
        <is>
          <t>2.01.79 Compra de Gás</t>
        </is>
      </c>
      <c r="D4773" t="inlineStr">
        <is>
          <t>NF-e</t>
        </is>
      </c>
      <c r="E4773" t="inlineStr">
        <is>
          <t>000009037</t>
        </is>
      </c>
      <c r="F4773" t="inlineStr">
        <is>
          <t>SUPERGASBRAS ENERGIA LTDA</t>
        </is>
      </c>
      <c r="G4773" s="27" t="n">
        <v>46289</v>
      </c>
      <c r="H4773" s="14" t="n">
        <v>490.47</v>
      </c>
      <c r="I4773" s="14" t="n">
        <v>0</v>
      </c>
      <c r="J4773" s="14" t="n">
        <v>0</v>
      </c>
      <c r="K4773" s="14" t="n">
        <v>0</v>
      </c>
      <c r="L4773" s="14" t="n">
        <v>0</v>
      </c>
      <c r="M4773" s="14">
        <f>IF(B4773="Frete de venda",0,(1-ISNUMBER(SEARCH("556",P4773)))*(I4773*VLOOKUP($B4773,Premissas!$A$4:$E$7,2,0)+J4773*VLOOKUP($B4773,Premissas!$A$4:$E$7,3,0))+K4773*VLOOKUP($B4773,Premissas!$A$4:$E$7,4,0)+L4773*VLOOKUP($B4773,Premissas!$A$4:$E$7,5,0))</f>
        <v/>
      </c>
      <c r="N4773" s="14">
        <f>H4773-M4773</f>
        <v/>
      </c>
      <c r="O4773" t="inlineStr">
        <is>
          <t>Sim</t>
        </is>
      </c>
      <c r="P4773" t="inlineStr">
        <is>
          <t>1.556</t>
        </is>
      </c>
    </row>
    <row r="4774">
      <c r="A4774" s="24" t="n">
        <v>46266</v>
      </c>
      <c r="B4774" t="inlineStr">
        <is>
          <t>Uso e consumo</t>
        </is>
      </c>
      <c r="C4774" t="inlineStr">
        <is>
          <t>2.01.85 Compra de Uso e Consumo</t>
        </is>
      </c>
      <c r="D4774" t="inlineStr">
        <is>
          <t>NF-e</t>
        </is>
      </c>
      <c r="E4774" t="inlineStr">
        <is>
          <t>000160884</t>
        </is>
      </c>
      <c r="F4774" t="inlineStr">
        <is>
          <t>ALUMIFER ALUMINIO E FERRO LTDA.</t>
        </is>
      </c>
      <c r="G4774" s="27" t="n">
        <v>46273</v>
      </c>
      <c r="H4774" s="14" t="n">
        <v>2800.5</v>
      </c>
      <c r="I4774" s="14" t="n">
        <v>0</v>
      </c>
      <c r="J4774" s="14" t="n">
        <v>153.6</v>
      </c>
      <c r="K4774" s="14" t="n">
        <v>43.65</v>
      </c>
      <c r="L4774" s="14" t="n">
        <v>201.16</v>
      </c>
      <c r="M4774" s="14">
        <f>IF(B4774="Frete de venda",0,(1-ISNUMBER(SEARCH("556",P4774)))*(I4774*VLOOKUP($B4774,Premissas!$A$4:$E$7,2,0)+J4774*VLOOKUP($B4774,Premissas!$A$4:$E$7,3,0))+K4774*VLOOKUP($B4774,Premissas!$A$4:$E$7,4,0)+L4774*VLOOKUP($B4774,Premissas!$A$4:$E$7,5,0))</f>
        <v/>
      </c>
      <c r="N4774" s="14">
        <f>H4774-M4774</f>
        <v/>
      </c>
      <c r="O4774" t="inlineStr">
        <is>
          <t>Sim</t>
        </is>
      </c>
      <c r="P4774" t="inlineStr">
        <is>
          <t>1.102, 1.556</t>
        </is>
      </c>
    </row>
    <row r="4775">
      <c r="A4775" s="24" t="n">
        <v>46266</v>
      </c>
      <c r="B4775" t="inlineStr">
        <is>
          <t>Uso e consumo</t>
        </is>
      </c>
      <c r="C4775" t="inlineStr">
        <is>
          <t>2.01.85 Compra de Uso e Consumo</t>
        </is>
      </c>
      <c r="D4775" t="inlineStr">
        <is>
          <t>NF-e</t>
        </is>
      </c>
      <c r="E4775" t="inlineStr">
        <is>
          <t>000161441</t>
        </is>
      </c>
      <c r="F4775" t="inlineStr">
        <is>
          <t>ATACADAO ECONOMICO - COMERCIO DE MATERIAL DE CONSTRUCAO LTDA</t>
        </is>
      </c>
      <c r="G4775" s="27" t="n">
        <v>46270</v>
      </c>
      <c r="H4775" s="14" t="n">
        <v>8235.139999999999</v>
      </c>
      <c r="I4775" s="14" t="n">
        <v>0</v>
      </c>
      <c r="J4775" s="14" t="n">
        <v>311.17</v>
      </c>
      <c r="K4775" s="14" t="n">
        <v>130.74</v>
      </c>
      <c r="L4775" s="14" t="n">
        <v>602.25</v>
      </c>
      <c r="M4775" s="14">
        <f>IF(B4775="Frete de venda",0,(1-ISNUMBER(SEARCH("556",P4775)))*(I4775*VLOOKUP($B4775,Premissas!$A$4:$E$7,2,0)+J4775*VLOOKUP($B4775,Premissas!$A$4:$E$7,3,0))+K4775*VLOOKUP($B4775,Premissas!$A$4:$E$7,4,0)+L4775*VLOOKUP($B4775,Premissas!$A$4:$E$7,5,0))</f>
        <v/>
      </c>
      <c r="N4775" s="14">
        <f>H4775-M4775</f>
        <v/>
      </c>
      <c r="O4775" t="inlineStr">
        <is>
          <t>Sim</t>
        </is>
      </c>
      <c r="P4775" t="inlineStr">
        <is>
          <t>1.102, 1.556</t>
        </is>
      </c>
    </row>
    <row r="4776">
      <c r="A4776" s="24" t="n">
        <v>46266</v>
      </c>
      <c r="B4776" t="inlineStr">
        <is>
          <t>Uso e consumo</t>
        </is>
      </c>
      <c r="C4776" t="inlineStr">
        <is>
          <t>2.01.85 Compra de Uso e Consumo</t>
        </is>
      </c>
      <c r="D4776" t="inlineStr">
        <is>
          <t>NF-e</t>
        </is>
      </c>
      <c r="E4776" t="inlineStr">
        <is>
          <t>000161739</t>
        </is>
      </c>
      <c r="F4776" t="inlineStr">
        <is>
          <t>ATACADAO ECONOMICO - COMERCIO DE MATERIAL DE CONSTRUCAO LTDA</t>
        </is>
      </c>
      <c r="G4776" s="27" t="n">
        <v>46274</v>
      </c>
      <c r="H4776" s="14" t="n">
        <v>374</v>
      </c>
      <c r="I4776" s="14" t="n">
        <v>0</v>
      </c>
      <c r="J4776" s="14" t="n">
        <v>0</v>
      </c>
      <c r="K4776" s="14" t="n">
        <v>6.18</v>
      </c>
      <c r="L4776" s="14" t="n">
        <v>28.42</v>
      </c>
      <c r="M4776" s="14">
        <f>IF(B4776="Frete de venda",0,(1-ISNUMBER(SEARCH("556",P4776)))*(I4776*VLOOKUP($B4776,Premissas!$A$4:$E$7,2,0)+J4776*VLOOKUP($B4776,Premissas!$A$4:$E$7,3,0))+K4776*VLOOKUP($B4776,Premissas!$A$4:$E$7,4,0)+L4776*VLOOKUP($B4776,Premissas!$A$4:$E$7,5,0))</f>
        <v/>
      </c>
      <c r="N4776" s="14">
        <f>H4776-M4776</f>
        <v/>
      </c>
      <c r="O4776" t="inlineStr">
        <is>
          <t>Sim</t>
        </is>
      </c>
      <c r="P4776" t="inlineStr">
        <is>
          <t>1.556</t>
        </is>
      </c>
    </row>
    <row r="4777">
      <c r="A4777" s="24" t="n">
        <v>46266</v>
      </c>
      <c r="B4777" t="inlineStr">
        <is>
          <t>Uso e consumo</t>
        </is>
      </c>
      <c r="C4777" t="inlineStr">
        <is>
          <t>2.01.85 Compra de Uso e Consumo</t>
        </is>
      </c>
      <c r="D4777" t="inlineStr">
        <is>
          <t>NF-e</t>
        </is>
      </c>
      <c r="E4777" t="inlineStr">
        <is>
          <t>000162030</t>
        </is>
      </c>
      <c r="F4777" t="inlineStr">
        <is>
          <t>ATACADAO ECONOMICO - COMERCIO DE MATERIAL DE CONSTRUCAO LTDA</t>
        </is>
      </c>
      <c r="G4777" s="27" t="n">
        <v>46276</v>
      </c>
      <c r="H4777" s="14" t="n">
        <v>227.8</v>
      </c>
      <c r="I4777" s="14" t="n">
        <v>0</v>
      </c>
      <c r="J4777" s="14" t="n">
        <v>20.28</v>
      </c>
      <c r="K4777" s="14" t="n">
        <v>3.43</v>
      </c>
      <c r="L4777" s="14" t="n">
        <v>15.77</v>
      </c>
      <c r="M4777" s="14">
        <f>IF(B4777="Frete de venda",0,(1-ISNUMBER(SEARCH("556",P4777)))*(I4777*VLOOKUP($B4777,Premissas!$A$4:$E$7,2,0)+J4777*VLOOKUP($B4777,Premissas!$A$4:$E$7,3,0))+K4777*VLOOKUP($B4777,Premissas!$A$4:$E$7,4,0)+L4777*VLOOKUP($B4777,Premissas!$A$4:$E$7,5,0))</f>
        <v/>
      </c>
      <c r="N4777" s="14">
        <f>H4777-M4777</f>
        <v/>
      </c>
      <c r="O4777" t="inlineStr">
        <is>
          <t>Sim</t>
        </is>
      </c>
      <c r="P4777" t="inlineStr">
        <is>
          <t>1.102, 1.556</t>
        </is>
      </c>
    </row>
    <row r="4778">
      <c r="A4778" s="24" t="n">
        <v>46266</v>
      </c>
      <c r="B4778" t="inlineStr">
        <is>
          <t>Uso e consumo</t>
        </is>
      </c>
      <c r="C4778" t="inlineStr">
        <is>
          <t>2.01.85 Compra de Uso e Consumo</t>
        </is>
      </c>
      <c r="D4778" t="inlineStr">
        <is>
          <t>NF-e</t>
        </is>
      </c>
      <c r="E4778" t="inlineStr">
        <is>
          <t>000162236</t>
        </is>
      </c>
      <c r="F4778" t="inlineStr">
        <is>
          <t>ATACADAO ECONOMICO - COMERCIO DE MATERIAL DE CONSTRUCAO LTDA</t>
        </is>
      </c>
      <c r="G4778" s="27" t="n">
        <v>46279</v>
      </c>
      <c r="H4778" s="14" t="n">
        <v>247.4</v>
      </c>
      <c r="I4778" s="14" t="n">
        <v>0</v>
      </c>
      <c r="J4778" s="14" t="n">
        <v>1.96</v>
      </c>
      <c r="K4778" s="14" t="n">
        <v>4.05</v>
      </c>
      <c r="L4778" s="14" t="n">
        <v>18.65</v>
      </c>
      <c r="M4778" s="14">
        <f>IF(B4778="Frete de venda",0,(1-ISNUMBER(SEARCH("556",P4778)))*(I4778*VLOOKUP($B4778,Premissas!$A$4:$E$7,2,0)+J4778*VLOOKUP($B4778,Premissas!$A$4:$E$7,3,0))+K4778*VLOOKUP($B4778,Premissas!$A$4:$E$7,4,0)+L4778*VLOOKUP($B4778,Premissas!$A$4:$E$7,5,0))</f>
        <v/>
      </c>
      <c r="N4778" s="14">
        <f>H4778-M4778</f>
        <v/>
      </c>
      <c r="O4778" t="inlineStr">
        <is>
          <t>Sim</t>
        </is>
      </c>
      <c r="P4778" t="inlineStr">
        <is>
          <t>1.403, 1.556</t>
        </is>
      </c>
    </row>
    <row r="4779">
      <c r="A4779" s="24" t="n">
        <v>46266</v>
      </c>
      <c r="B4779" t="inlineStr">
        <is>
          <t>Uso e consumo</t>
        </is>
      </c>
      <c r="C4779" t="inlineStr">
        <is>
          <t>2.01.85 Compra de Uso e Consumo</t>
        </is>
      </c>
      <c r="D4779" t="inlineStr">
        <is>
          <t>NF-e</t>
        </is>
      </c>
      <c r="E4779" t="inlineStr">
        <is>
          <t>000163152</t>
        </is>
      </c>
      <c r="F4779" t="inlineStr">
        <is>
          <t>ATACADAO ECONOMICO - COMERCIO DE MATERIAL DE CONSTRUCAO LTDA</t>
        </is>
      </c>
      <c r="G4779" s="27" t="n">
        <v>46287</v>
      </c>
      <c r="H4779" s="14" t="n">
        <v>198</v>
      </c>
      <c r="I4779" s="14" t="n">
        <v>0</v>
      </c>
      <c r="J4779" s="14" t="n">
        <v>0</v>
      </c>
      <c r="K4779" s="14" t="n">
        <v>3.27</v>
      </c>
      <c r="L4779" s="14" t="n">
        <v>15.05</v>
      </c>
      <c r="M4779" s="14">
        <f>IF(B4779="Frete de venda",0,(1-ISNUMBER(SEARCH("556",P4779)))*(I4779*VLOOKUP($B4779,Premissas!$A$4:$E$7,2,0)+J4779*VLOOKUP($B4779,Premissas!$A$4:$E$7,3,0))+K4779*VLOOKUP($B4779,Premissas!$A$4:$E$7,4,0)+L4779*VLOOKUP($B4779,Premissas!$A$4:$E$7,5,0))</f>
        <v/>
      </c>
      <c r="N4779" s="14">
        <f>H4779-M4779</f>
        <v/>
      </c>
      <c r="O4779" t="inlineStr">
        <is>
          <t>Sim</t>
        </is>
      </c>
      <c r="P4779" t="inlineStr">
        <is>
          <t>1.556</t>
        </is>
      </c>
    </row>
    <row r="4780">
      <c r="A4780" s="24" t="n">
        <v>46266</v>
      </c>
      <c r="B4780" t="inlineStr">
        <is>
          <t>Uso e consumo</t>
        </is>
      </c>
      <c r="C4780" t="inlineStr">
        <is>
          <t>2.01.85 Compra de Uso e Consumo</t>
        </is>
      </c>
      <c r="D4780" t="inlineStr">
        <is>
          <t>NF-e</t>
        </is>
      </c>
      <c r="E4780" t="inlineStr">
        <is>
          <t>000089800</t>
        </is>
      </c>
      <c r="F4780" t="inlineStr">
        <is>
          <t>BA - LOJAO DA ECONOMICA MATERIAIS DE CONSTRUCAO LTDA - EPP</t>
        </is>
      </c>
      <c r="G4780" s="27" t="n">
        <v>46275</v>
      </c>
      <c r="H4780" s="14" t="n">
        <v>1196.96</v>
      </c>
      <c r="I4780" s="14" t="n">
        <v>0</v>
      </c>
      <c r="J4780" s="14" t="n">
        <v>0</v>
      </c>
      <c r="K4780" s="14" t="n">
        <v>0</v>
      </c>
      <c r="L4780" s="14" t="n">
        <v>0</v>
      </c>
      <c r="M4780" s="14">
        <f>IF(B4780="Frete de venda",0,(1-ISNUMBER(SEARCH("556",P4780)))*(I4780*VLOOKUP($B4780,Premissas!$A$4:$E$7,2,0)+J4780*VLOOKUP($B4780,Premissas!$A$4:$E$7,3,0))+K4780*VLOOKUP($B4780,Premissas!$A$4:$E$7,4,0)+L4780*VLOOKUP($B4780,Premissas!$A$4:$E$7,5,0))</f>
        <v/>
      </c>
      <c r="N4780" s="14">
        <f>H4780-M4780</f>
        <v/>
      </c>
      <c r="O4780" t="inlineStr">
        <is>
          <t>Sim</t>
        </is>
      </c>
      <c r="P4780" t="inlineStr">
        <is>
          <t>1.556</t>
        </is>
      </c>
    </row>
    <row r="4781">
      <c r="A4781" s="24" t="n">
        <v>46266</v>
      </c>
      <c r="B4781" t="inlineStr">
        <is>
          <t>Uso e consumo</t>
        </is>
      </c>
      <c r="C4781" t="inlineStr">
        <is>
          <t>2.01.85 Compra de Uso e Consumo</t>
        </is>
      </c>
      <c r="D4781" t="inlineStr">
        <is>
          <t>NF-e</t>
        </is>
      </c>
      <c r="E4781" t="inlineStr">
        <is>
          <t>000000130</t>
        </is>
      </c>
      <c r="F4781" t="inlineStr">
        <is>
          <t>COMERCIAL CASA NOVA MATERIAL DE CONSTRUCAO PB LTDA</t>
        </is>
      </c>
      <c r="G4781" s="27" t="n">
        <v>46282</v>
      </c>
      <c r="H4781" s="14" t="n">
        <v>300</v>
      </c>
      <c r="I4781" s="14" t="n">
        <v>0</v>
      </c>
      <c r="J4781" s="14" t="n">
        <v>0</v>
      </c>
      <c r="K4781" s="14" t="n">
        <v>0</v>
      </c>
      <c r="L4781" s="14" t="n">
        <v>0</v>
      </c>
      <c r="M4781" s="14">
        <f>IF(B4781="Frete de venda",0,(1-ISNUMBER(SEARCH("556",P4781)))*(I4781*VLOOKUP($B4781,Premissas!$A$4:$E$7,2,0)+J4781*VLOOKUP($B4781,Premissas!$A$4:$E$7,3,0))+K4781*VLOOKUP($B4781,Premissas!$A$4:$E$7,4,0)+L4781*VLOOKUP($B4781,Premissas!$A$4:$E$7,5,0))</f>
        <v/>
      </c>
      <c r="N4781" s="14">
        <f>H4781-M4781</f>
        <v/>
      </c>
      <c r="O4781" t="inlineStr">
        <is>
          <t>Sim</t>
        </is>
      </c>
      <c r="P4781" t="inlineStr">
        <is>
          <t>1.556</t>
        </is>
      </c>
    </row>
    <row r="4782">
      <c r="A4782" s="24" t="n">
        <v>46266</v>
      </c>
      <c r="B4782" t="inlineStr">
        <is>
          <t>Uso e consumo</t>
        </is>
      </c>
      <c r="C4782" t="inlineStr">
        <is>
          <t>2.01.85 Compra de Uso e Consumo</t>
        </is>
      </c>
      <c r="D4782" t="inlineStr">
        <is>
          <t>NF-e</t>
        </is>
      </c>
      <c r="E4782" t="inlineStr">
        <is>
          <t>000015379</t>
        </is>
      </c>
      <c r="F4782" t="inlineStr">
        <is>
          <t>EDNA DE ARAUJO PACHECO LTDA</t>
        </is>
      </c>
      <c r="G4782" s="27" t="n">
        <v>46266</v>
      </c>
      <c r="H4782" s="14" t="n">
        <v>261.4</v>
      </c>
      <c r="I4782" s="14" t="n">
        <v>0</v>
      </c>
      <c r="J4782" s="14" t="n">
        <v>0</v>
      </c>
      <c r="K4782" s="14" t="n">
        <v>0</v>
      </c>
      <c r="L4782" s="14" t="n">
        <v>0</v>
      </c>
      <c r="M4782" s="14">
        <f>IF(B4782="Frete de venda",0,(1-ISNUMBER(SEARCH("556",P4782)))*(I4782*VLOOKUP($B4782,Premissas!$A$4:$E$7,2,0)+J4782*VLOOKUP($B4782,Premissas!$A$4:$E$7,3,0))+K4782*VLOOKUP($B4782,Premissas!$A$4:$E$7,4,0)+L4782*VLOOKUP($B4782,Premissas!$A$4:$E$7,5,0))</f>
        <v/>
      </c>
      <c r="N4782" s="14">
        <f>H4782-M4782</f>
        <v/>
      </c>
      <c r="O4782" t="inlineStr">
        <is>
          <t>Sim</t>
        </is>
      </c>
      <c r="P4782" t="inlineStr">
        <is>
          <t>1.102, 1.556</t>
        </is>
      </c>
    </row>
    <row r="4783">
      <c r="A4783" s="24" t="n">
        <v>46266</v>
      </c>
      <c r="B4783" t="inlineStr">
        <is>
          <t>Uso e consumo</t>
        </is>
      </c>
      <c r="C4783" t="inlineStr">
        <is>
          <t>2.01.85 Compra de Uso e Consumo</t>
        </is>
      </c>
      <c r="D4783" t="inlineStr">
        <is>
          <t>NF-e</t>
        </is>
      </c>
      <c r="E4783" t="inlineStr">
        <is>
          <t>000015385</t>
        </is>
      </c>
      <c r="F4783" t="inlineStr">
        <is>
          <t>EDNA DE ARAUJO PACHECO LTDA</t>
        </is>
      </c>
      <c r="G4783" s="27" t="n">
        <v>46267</v>
      </c>
      <c r="H4783" s="14" t="n">
        <v>220</v>
      </c>
      <c r="I4783" s="14" t="n">
        <v>0</v>
      </c>
      <c r="J4783" s="14" t="n">
        <v>0</v>
      </c>
      <c r="K4783" s="14" t="n">
        <v>0</v>
      </c>
      <c r="L4783" s="14" t="n">
        <v>0</v>
      </c>
      <c r="M4783" s="14">
        <f>IF(B4783="Frete de venda",0,(1-ISNUMBER(SEARCH("556",P4783)))*(I4783*VLOOKUP($B4783,Premissas!$A$4:$E$7,2,0)+J4783*VLOOKUP($B4783,Premissas!$A$4:$E$7,3,0))+K4783*VLOOKUP($B4783,Premissas!$A$4:$E$7,4,0)+L4783*VLOOKUP($B4783,Premissas!$A$4:$E$7,5,0))</f>
        <v/>
      </c>
      <c r="N4783" s="14">
        <f>H4783-M4783</f>
        <v/>
      </c>
      <c r="O4783" t="inlineStr">
        <is>
          <t>Sim</t>
        </is>
      </c>
      <c r="P4783" t="inlineStr">
        <is>
          <t>1.556</t>
        </is>
      </c>
    </row>
    <row r="4784">
      <c r="A4784" s="24" t="n">
        <v>46266</v>
      </c>
      <c r="B4784" t="inlineStr">
        <is>
          <t>Uso e consumo</t>
        </is>
      </c>
      <c r="C4784" t="inlineStr">
        <is>
          <t>2.01.85 Compra de Uso e Consumo</t>
        </is>
      </c>
      <c r="D4784" t="inlineStr">
        <is>
          <t>NF-e</t>
        </is>
      </c>
      <c r="E4784" t="inlineStr">
        <is>
          <t>000015424</t>
        </is>
      </c>
      <c r="F4784" t="inlineStr">
        <is>
          <t>EDNA DE ARAUJO PACHECO LTDA</t>
        </is>
      </c>
      <c r="G4784" s="27" t="n">
        <v>46273</v>
      </c>
      <c r="H4784" s="14" t="n">
        <v>228.39</v>
      </c>
      <c r="I4784" s="14" t="n">
        <v>0</v>
      </c>
      <c r="J4784" s="14" t="n">
        <v>0</v>
      </c>
      <c r="K4784" s="14" t="n">
        <v>0</v>
      </c>
      <c r="L4784" s="14" t="n">
        <v>0</v>
      </c>
      <c r="M4784" s="14">
        <f>IF(B4784="Frete de venda",0,(1-ISNUMBER(SEARCH("556",P4784)))*(I4784*VLOOKUP($B4784,Premissas!$A$4:$E$7,2,0)+J4784*VLOOKUP($B4784,Premissas!$A$4:$E$7,3,0))+K4784*VLOOKUP($B4784,Premissas!$A$4:$E$7,4,0)+L4784*VLOOKUP($B4784,Premissas!$A$4:$E$7,5,0))</f>
        <v/>
      </c>
      <c r="N4784" s="14">
        <f>H4784-M4784</f>
        <v/>
      </c>
      <c r="O4784" t="inlineStr">
        <is>
          <t>Sim</t>
        </is>
      </c>
      <c r="P4784" t="inlineStr">
        <is>
          <t>1.556</t>
        </is>
      </c>
    </row>
    <row r="4785">
      <c r="A4785" s="24" t="n">
        <v>46266</v>
      </c>
      <c r="B4785" t="inlineStr">
        <is>
          <t>Uso e consumo</t>
        </is>
      </c>
      <c r="C4785" t="inlineStr">
        <is>
          <t>2.01.85 Compra de Uso e Consumo</t>
        </is>
      </c>
      <c r="D4785" t="inlineStr">
        <is>
          <t>NF-e</t>
        </is>
      </c>
      <c r="E4785" t="inlineStr">
        <is>
          <t>000015495</t>
        </is>
      </c>
      <c r="F4785" t="inlineStr">
        <is>
          <t>EDNA DE ARAUJO PACHECO LTDA</t>
        </is>
      </c>
      <c r="G4785" s="27" t="n">
        <v>46276</v>
      </c>
      <c r="H4785" s="14" t="n">
        <v>1740.1</v>
      </c>
      <c r="I4785" s="14" t="n">
        <v>0</v>
      </c>
      <c r="J4785" s="14" t="n">
        <v>0</v>
      </c>
      <c r="K4785" s="14" t="n">
        <v>0</v>
      </c>
      <c r="L4785" s="14" t="n">
        <v>0</v>
      </c>
      <c r="M4785" s="14">
        <f>IF(B4785="Frete de venda",0,(1-ISNUMBER(SEARCH("556",P4785)))*(I4785*VLOOKUP($B4785,Premissas!$A$4:$E$7,2,0)+J4785*VLOOKUP($B4785,Premissas!$A$4:$E$7,3,0))+K4785*VLOOKUP($B4785,Premissas!$A$4:$E$7,4,0)+L4785*VLOOKUP($B4785,Premissas!$A$4:$E$7,5,0))</f>
        <v/>
      </c>
      <c r="N4785" s="14">
        <f>H4785-M4785</f>
        <v/>
      </c>
      <c r="O4785" t="inlineStr">
        <is>
          <t>Sim</t>
        </is>
      </c>
      <c r="P4785" t="inlineStr">
        <is>
          <t>1.556</t>
        </is>
      </c>
    </row>
    <row r="4786">
      <c r="A4786" s="24" t="n">
        <v>46266</v>
      </c>
      <c r="B4786" t="inlineStr">
        <is>
          <t>Uso e consumo</t>
        </is>
      </c>
      <c r="C4786" t="inlineStr">
        <is>
          <t>2.01.85 Compra de Uso e Consumo</t>
        </is>
      </c>
      <c r="D4786" t="inlineStr">
        <is>
          <t>NF-e</t>
        </is>
      </c>
      <c r="E4786" t="inlineStr">
        <is>
          <t>000015502</t>
        </is>
      </c>
      <c r="F4786" t="inlineStr">
        <is>
          <t>EDNA DE ARAUJO PACHECO LTDA</t>
        </is>
      </c>
      <c r="G4786" s="27" t="n">
        <v>46276</v>
      </c>
      <c r="H4786" s="14" t="n">
        <v>378</v>
      </c>
      <c r="I4786" s="14" t="n">
        <v>0</v>
      </c>
      <c r="J4786" s="14" t="n">
        <v>0</v>
      </c>
      <c r="K4786" s="14" t="n">
        <v>0</v>
      </c>
      <c r="L4786" s="14" t="n">
        <v>0</v>
      </c>
      <c r="M4786" s="14">
        <f>IF(B4786="Frete de venda",0,(1-ISNUMBER(SEARCH("556",P4786)))*(I4786*VLOOKUP($B4786,Premissas!$A$4:$E$7,2,0)+J4786*VLOOKUP($B4786,Premissas!$A$4:$E$7,3,0))+K4786*VLOOKUP($B4786,Premissas!$A$4:$E$7,4,0)+L4786*VLOOKUP($B4786,Premissas!$A$4:$E$7,5,0))</f>
        <v/>
      </c>
      <c r="N4786" s="14">
        <f>H4786-M4786</f>
        <v/>
      </c>
      <c r="O4786" t="inlineStr">
        <is>
          <t>Sim</t>
        </is>
      </c>
      <c r="P4786" t="inlineStr">
        <is>
          <t>1.556</t>
        </is>
      </c>
    </row>
    <row r="4787">
      <c r="A4787" s="24" t="n">
        <v>46266</v>
      </c>
      <c r="B4787" t="inlineStr">
        <is>
          <t>Uso e consumo</t>
        </is>
      </c>
      <c r="C4787" t="inlineStr">
        <is>
          <t>2.01.85 Compra de Uso e Consumo</t>
        </is>
      </c>
      <c r="D4787" t="inlineStr">
        <is>
          <t>NF-e</t>
        </is>
      </c>
      <c r="E4787" t="inlineStr">
        <is>
          <t>000015601</t>
        </is>
      </c>
      <c r="F4787" t="inlineStr">
        <is>
          <t>EDNA DE ARAUJO PACHECO LTDA</t>
        </is>
      </c>
      <c r="G4787" s="27" t="n">
        <v>46283</v>
      </c>
      <c r="H4787" s="14" t="n">
        <v>1106.41</v>
      </c>
      <c r="I4787" s="14" t="n">
        <v>0</v>
      </c>
      <c r="J4787" s="14" t="n">
        <v>0</v>
      </c>
      <c r="K4787" s="14" t="n">
        <v>0</v>
      </c>
      <c r="L4787" s="14" t="n">
        <v>0</v>
      </c>
      <c r="M4787" s="14">
        <f>IF(B4787="Frete de venda",0,(1-ISNUMBER(SEARCH("556",P4787)))*(I4787*VLOOKUP($B4787,Premissas!$A$4:$E$7,2,0)+J4787*VLOOKUP($B4787,Premissas!$A$4:$E$7,3,0))+K4787*VLOOKUP($B4787,Premissas!$A$4:$E$7,4,0)+L4787*VLOOKUP($B4787,Premissas!$A$4:$E$7,5,0))</f>
        <v/>
      </c>
      <c r="N4787" s="14">
        <f>H4787-M4787</f>
        <v/>
      </c>
      <c r="O4787" t="inlineStr">
        <is>
          <t>Sim</t>
        </is>
      </c>
      <c r="P4787" t="inlineStr">
        <is>
          <t>1.556</t>
        </is>
      </c>
    </row>
    <row r="4788">
      <c r="A4788" s="24" t="n">
        <v>46266</v>
      </c>
      <c r="B4788" t="inlineStr">
        <is>
          <t>Uso e consumo</t>
        </is>
      </c>
      <c r="C4788" t="inlineStr">
        <is>
          <t>2.01.85 Compra de Uso e Consumo</t>
        </is>
      </c>
      <c r="D4788" t="inlineStr">
        <is>
          <t>NF-e</t>
        </is>
      </c>
      <c r="E4788" t="inlineStr">
        <is>
          <t>000015610</t>
        </is>
      </c>
      <c r="F4788" t="inlineStr">
        <is>
          <t>EDNA DE ARAUJO PACHECO LTDA</t>
        </is>
      </c>
      <c r="G4788" s="27" t="n">
        <v>46283</v>
      </c>
      <c r="H4788" s="14" t="n">
        <v>150</v>
      </c>
      <c r="I4788" s="14" t="n">
        <v>0</v>
      </c>
      <c r="J4788" s="14" t="n">
        <v>0</v>
      </c>
      <c r="K4788" s="14" t="n">
        <v>0</v>
      </c>
      <c r="L4788" s="14" t="n">
        <v>0</v>
      </c>
      <c r="M4788" s="14">
        <f>IF(B4788="Frete de venda",0,(1-ISNUMBER(SEARCH("556",P4788)))*(I4788*VLOOKUP($B4788,Premissas!$A$4:$E$7,2,0)+J4788*VLOOKUP($B4788,Premissas!$A$4:$E$7,3,0))+K4788*VLOOKUP($B4788,Premissas!$A$4:$E$7,4,0)+L4788*VLOOKUP($B4788,Premissas!$A$4:$E$7,5,0))</f>
        <v/>
      </c>
      <c r="N4788" s="14">
        <f>H4788-M4788</f>
        <v/>
      </c>
      <c r="O4788" t="inlineStr">
        <is>
          <t>Sim</t>
        </is>
      </c>
      <c r="P4788" t="inlineStr">
        <is>
          <t>1.556</t>
        </is>
      </c>
    </row>
    <row r="4789">
      <c r="A4789" s="24" t="n">
        <v>46266</v>
      </c>
      <c r="B4789" t="inlineStr">
        <is>
          <t>Uso e consumo</t>
        </is>
      </c>
      <c r="C4789" t="inlineStr">
        <is>
          <t>2.01.85 Compra de Uso e Consumo</t>
        </is>
      </c>
      <c r="D4789" t="inlineStr">
        <is>
          <t>NF-e</t>
        </is>
      </c>
      <c r="E4789" t="inlineStr">
        <is>
          <t>000015660</t>
        </is>
      </c>
      <c r="F4789" t="inlineStr">
        <is>
          <t>EDNA DE ARAUJO PACHECO LTDA</t>
        </is>
      </c>
      <c r="G4789" s="27" t="n">
        <v>46287</v>
      </c>
      <c r="H4789" s="14" t="n">
        <v>425</v>
      </c>
      <c r="I4789" s="14" t="n">
        <v>0</v>
      </c>
      <c r="J4789" s="14" t="n">
        <v>0</v>
      </c>
      <c r="K4789" s="14" t="n">
        <v>0</v>
      </c>
      <c r="L4789" s="14" t="n">
        <v>0</v>
      </c>
      <c r="M4789" s="14">
        <f>IF(B4789="Frete de venda",0,(1-ISNUMBER(SEARCH("556",P4789)))*(I4789*VLOOKUP($B4789,Premissas!$A$4:$E$7,2,0)+J4789*VLOOKUP($B4789,Premissas!$A$4:$E$7,3,0))+K4789*VLOOKUP($B4789,Premissas!$A$4:$E$7,4,0)+L4789*VLOOKUP($B4789,Premissas!$A$4:$E$7,5,0))</f>
        <v/>
      </c>
      <c r="N4789" s="14">
        <f>H4789-M4789</f>
        <v/>
      </c>
      <c r="O4789" t="inlineStr">
        <is>
          <t>Sim</t>
        </is>
      </c>
      <c r="P4789" t="inlineStr">
        <is>
          <t>1.102, 1.556</t>
        </is>
      </c>
    </row>
    <row r="4790">
      <c r="A4790" s="24" t="n">
        <v>46266</v>
      </c>
      <c r="B4790" t="inlineStr">
        <is>
          <t>Uso e consumo</t>
        </is>
      </c>
      <c r="C4790" t="inlineStr">
        <is>
          <t>2.01.85 Compra de Uso e Consumo</t>
        </is>
      </c>
      <c r="D4790" t="inlineStr">
        <is>
          <t>NF-e</t>
        </is>
      </c>
      <c r="E4790" t="inlineStr">
        <is>
          <t>000063214</t>
        </is>
      </c>
      <c r="F4790" t="inlineStr">
        <is>
          <t>ELETROPOLO ELETRICIDADE LTDA</t>
        </is>
      </c>
      <c r="G4790" s="27" t="n">
        <v>46266</v>
      </c>
      <c r="H4790" s="14" t="n">
        <v>148.3</v>
      </c>
      <c r="I4790" s="14" t="n">
        <v>0</v>
      </c>
      <c r="J4790" s="14" t="n">
        <v>0</v>
      </c>
      <c r="K4790" s="14" t="n">
        <v>2.45</v>
      </c>
      <c r="L4790" s="14" t="n">
        <v>11.28</v>
      </c>
      <c r="M4790" s="14">
        <f>IF(B4790="Frete de venda",0,(1-ISNUMBER(SEARCH("556",P4790)))*(I4790*VLOOKUP($B4790,Premissas!$A$4:$E$7,2,0)+J4790*VLOOKUP($B4790,Premissas!$A$4:$E$7,3,0))+K4790*VLOOKUP($B4790,Premissas!$A$4:$E$7,4,0)+L4790*VLOOKUP($B4790,Premissas!$A$4:$E$7,5,0))</f>
        <v/>
      </c>
      <c r="N4790" s="14">
        <f>H4790-M4790</f>
        <v/>
      </c>
      <c r="O4790" t="inlineStr">
        <is>
          <t>Sim</t>
        </is>
      </c>
      <c r="P4790" t="inlineStr">
        <is>
          <t>1.556</t>
        </is>
      </c>
    </row>
    <row r="4791">
      <c r="A4791" s="24" t="n">
        <v>46266</v>
      </c>
      <c r="B4791" t="inlineStr">
        <is>
          <t>Uso e consumo</t>
        </is>
      </c>
      <c r="C4791" t="inlineStr">
        <is>
          <t>2.01.85 Compra de Uso e Consumo</t>
        </is>
      </c>
      <c r="D4791" t="inlineStr">
        <is>
          <t>NF-e</t>
        </is>
      </c>
      <c r="E4791" t="inlineStr">
        <is>
          <t>000065144</t>
        </is>
      </c>
      <c r="F4791" t="inlineStr">
        <is>
          <t>ELETROPOLO ELETRICIDADE LTDA</t>
        </is>
      </c>
      <c r="G4791" s="27" t="n">
        <v>46289</v>
      </c>
      <c r="H4791" s="14" t="n">
        <v>1169.8</v>
      </c>
      <c r="I4791" s="14" t="n">
        <v>0</v>
      </c>
      <c r="J4791" s="14" t="n">
        <v>6.56</v>
      </c>
      <c r="K4791" s="14" t="n">
        <v>19.19</v>
      </c>
      <c r="L4791" s="14" t="n">
        <v>88.41</v>
      </c>
      <c r="M4791" s="14">
        <f>IF(B4791="Frete de venda",0,(1-ISNUMBER(SEARCH("556",P4791)))*(I4791*VLOOKUP($B4791,Premissas!$A$4:$E$7,2,0)+J4791*VLOOKUP($B4791,Premissas!$A$4:$E$7,3,0))+K4791*VLOOKUP($B4791,Premissas!$A$4:$E$7,4,0)+L4791*VLOOKUP($B4791,Premissas!$A$4:$E$7,5,0))</f>
        <v/>
      </c>
      <c r="N4791" s="14">
        <f>H4791-M4791</f>
        <v/>
      </c>
      <c r="O4791" t="inlineStr">
        <is>
          <t>Sim</t>
        </is>
      </c>
      <c r="P4791" t="inlineStr">
        <is>
          <t>1.403, 1.556</t>
        </is>
      </c>
    </row>
    <row r="4792">
      <c r="A4792" s="24" t="n">
        <v>46266</v>
      </c>
      <c r="B4792" t="inlineStr">
        <is>
          <t>Uso e consumo</t>
        </is>
      </c>
      <c r="C4792" t="inlineStr">
        <is>
          <t>2.01.85 Compra de Uso e Consumo</t>
        </is>
      </c>
      <c r="D4792" t="inlineStr">
        <is>
          <t>NF-e</t>
        </is>
      </c>
      <c r="E4792" t="inlineStr">
        <is>
          <t>000000369</t>
        </is>
      </c>
      <c r="F4792" t="inlineStr">
        <is>
          <t>GEISONCLEY MONTEIRO RAMOS DA SILVA</t>
        </is>
      </c>
      <c r="G4792" s="27" t="n">
        <v>46281</v>
      </c>
      <c r="H4792" s="14" t="n">
        <v>3800</v>
      </c>
      <c r="I4792" s="14" t="n">
        <v>0</v>
      </c>
      <c r="J4792" s="14" t="n">
        <v>0</v>
      </c>
      <c r="K4792" s="14" t="n">
        <v>0</v>
      </c>
      <c r="L4792" s="14" t="n">
        <v>0</v>
      </c>
      <c r="M4792" s="14">
        <f>IF(B4792="Frete de venda",0,(1-ISNUMBER(SEARCH("556",P4792)))*(I4792*VLOOKUP($B4792,Premissas!$A$4:$E$7,2,0)+J4792*VLOOKUP($B4792,Premissas!$A$4:$E$7,3,0))+K4792*VLOOKUP($B4792,Premissas!$A$4:$E$7,4,0)+L4792*VLOOKUP($B4792,Premissas!$A$4:$E$7,5,0))</f>
        <v/>
      </c>
      <c r="N4792" s="14">
        <f>H4792-M4792</f>
        <v/>
      </c>
      <c r="O4792" t="inlineStr">
        <is>
          <t>Sim</t>
        </is>
      </c>
      <c r="P4792" t="inlineStr">
        <is>
          <t>1.556</t>
        </is>
      </c>
    </row>
    <row r="4793">
      <c r="A4793" s="24" t="n">
        <v>46266</v>
      </c>
      <c r="B4793" t="inlineStr">
        <is>
          <t>Uso e consumo</t>
        </is>
      </c>
      <c r="C4793" t="inlineStr">
        <is>
          <t>2.01.85 Compra de Uso e Consumo</t>
        </is>
      </c>
      <c r="D4793" t="inlineStr">
        <is>
          <t>NF-e</t>
        </is>
      </c>
      <c r="E4793" t="inlineStr">
        <is>
          <t>000100617</t>
        </is>
      </c>
      <c r="F4793" t="inlineStr">
        <is>
          <t>GMC COMPONENTES ELETRICOS E AUTOMACAO LTDA</t>
        </is>
      </c>
      <c r="G4793" s="27" t="n">
        <v>46283</v>
      </c>
      <c r="H4793" s="14" t="n">
        <v>247.5</v>
      </c>
      <c r="I4793" s="14" t="n">
        <v>0</v>
      </c>
      <c r="J4793" s="14" t="n">
        <v>17.33</v>
      </c>
      <c r="K4793" s="14" t="n">
        <v>1.61</v>
      </c>
      <c r="L4793" s="14" t="n">
        <v>18.81</v>
      </c>
      <c r="M4793" s="14">
        <f>IF(B4793="Frete de venda",0,(1-ISNUMBER(SEARCH("556",P4793)))*(I4793*VLOOKUP($B4793,Premissas!$A$4:$E$7,2,0)+J4793*VLOOKUP($B4793,Premissas!$A$4:$E$7,3,0))+K4793*VLOOKUP($B4793,Premissas!$A$4:$E$7,4,0)+L4793*VLOOKUP($B4793,Premissas!$A$4:$E$7,5,0))</f>
        <v/>
      </c>
      <c r="N4793" s="14">
        <f>H4793-M4793</f>
        <v/>
      </c>
      <c r="O4793" t="inlineStr">
        <is>
          <t>Sim</t>
        </is>
      </c>
      <c r="P4793" t="inlineStr">
        <is>
          <t>1.556</t>
        </is>
      </c>
    </row>
    <row r="4794">
      <c r="A4794" s="24" t="n">
        <v>46266</v>
      </c>
      <c r="B4794" t="inlineStr">
        <is>
          <t>Uso e consumo</t>
        </is>
      </c>
      <c r="C4794" t="inlineStr">
        <is>
          <t>2.01.85 Compra de Uso e Consumo</t>
        </is>
      </c>
      <c r="D4794" t="inlineStr">
        <is>
          <t>NF-e</t>
        </is>
      </c>
      <c r="E4794" t="inlineStr">
        <is>
          <t>000003995</t>
        </is>
      </c>
      <c r="F4794" t="inlineStr">
        <is>
          <t>MARILENE CARVALHO LUCENA DE BRITO - ME</t>
        </is>
      </c>
      <c r="G4794" s="27" t="n">
        <v>46279</v>
      </c>
      <c r="H4794" s="14" t="n">
        <v>13182</v>
      </c>
      <c r="I4794" s="14" t="n">
        <v>0</v>
      </c>
      <c r="J4794" s="14" t="n">
        <v>0</v>
      </c>
      <c r="K4794" s="14" t="n">
        <v>0</v>
      </c>
      <c r="L4794" s="14" t="n">
        <v>0</v>
      </c>
      <c r="M4794" s="14">
        <f>IF(B4794="Frete de venda",0,(1-ISNUMBER(SEARCH("556",P4794)))*(I4794*VLOOKUP($B4794,Premissas!$A$4:$E$7,2,0)+J4794*VLOOKUP($B4794,Premissas!$A$4:$E$7,3,0))+K4794*VLOOKUP($B4794,Premissas!$A$4:$E$7,4,0)+L4794*VLOOKUP($B4794,Premissas!$A$4:$E$7,5,0))</f>
        <v/>
      </c>
      <c r="N4794" s="14">
        <f>H4794-M4794</f>
        <v/>
      </c>
      <c r="O4794" t="inlineStr">
        <is>
          <t>Sim</t>
        </is>
      </c>
      <c r="P4794" t="inlineStr">
        <is>
          <t>1.556</t>
        </is>
      </c>
    </row>
    <row r="4795">
      <c r="A4795" s="24" t="n">
        <v>46266</v>
      </c>
      <c r="B4795" t="inlineStr">
        <is>
          <t>Uso e consumo</t>
        </is>
      </c>
      <c r="C4795" t="inlineStr">
        <is>
          <t>2.01.85 Compra de Uso e Consumo</t>
        </is>
      </c>
      <c r="D4795" t="inlineStr">
        <is>
          <t>NF-e</t>
        </is>
      </c>
      <c r="E4795" t="inlineStr">
        <is>
          <t>000223430</t>
        </is>
      </c>
      <c r="F4795" t="inlineStr">
        <is>
          <t>MUNDO DAS TINTAS LTDA</t>
        </is>
      </c>
      <c r="G4795" s="27" t="n">
        <v>46282</v>
      </c>
      <c r="H4795" s="14" t="n">
        <v>1336.22</v>
      </c>
      <c r="I4795" s="14" t="n">
        <v>0</v>
      </c>
      <c r="J4795" s="14" t="n">
        <v>26.95</v>
      </c>
      <c r="K4795" s="14" t="n">
        <v>21.6</v>
      </c>
      <c r="L4795" s="14" t="n">
        <v>99.51000000000001</v>
      </c>
      <c r="M4795" s="14">
        <f>IF(B4795="Frete de venda",0,(1-ISNUMBER(SEARCH("556",P4795)))*(I4795*VLOOKUP($B4795,Premissas!$A$4:$E$7,2,0)+J4795*VLOOKUP($B4795,Premissas!$A$4:$E$7,3,0))+K4795*VLOOKUP($B4795,Premissas!$A$4:$E$7,4,0)+L4795*VLOOKUP($B4795,Premissas!$A$4:$E$7,5,0))</f>
        <v/>
      </c>
      <c r="N4795" s="14">
        <f>H4795-M4795</f>
        <v/>
      </c>
      <c r="O4795" t="inlineStr">
        <is>
          <t>Sim</t>
        </is>
      </c>
      <c r="P4795" t="inlineStr">
        <is>
          <t>1.102, 1.556</t>
        </is>
      </c>
    </row>
    <row r="4796">
      <c r="A4796" s="24" t="n">
        <v>46266</v>
      </c>
      <c r="B4796" t="inlineStr">
        <is>
          <t>Uso e consumo</t>
        </is>
      </c>
      <c r="C4796" t="inlineStr">
        <is>
          <t>2.01.85 Compra de Uso e Consumo</t>
        </is>
      </c>
      <c r="D4796" t="inlineStr">
        <is>
          <t>NF-e</t>
        </is>
      </c>
      <c r="E4796" t="inlineStr">
        <is>
          <t>000252855</t>
        </is>
      </c>
      <c r="F4796" t="inlineStr">
        <is>
          <t>NORDIFE MATERIAIS ELETRICOS LTDA</t>
        </is>
      </c>
      <c r="G4796" s="27" t="n">
        <v>46273</v>
      </c>
      <c r="H4796" s="14" t="n">
        <v>598</v>
      </c>
      <c r="I4796" s="14" t="n">
        <v>0</v>
      </c>
      <c r="J4796" s="14" t="n">
        <v>0</v>
      </c>
      <c r="K4796" s="14" t="n">
        <v>3.87</v>
      </c>
      <c r="L4796" s="14" t="n">
        <v>17.94</v>
      </c>
      <c r="M4796" s="14">
        <f>IF(B4796="Frete de venda",0,(1-ISNUMBER(SEARCH("556",P4796)))*(I4796*VLOOKUP($B4796,Premissas!$A$4:$E$7,2,0)+J4796*VLOOKUP($B4796,Premissas!$A$4:$E$7,3,0))+K4796*VLOOKUP($B4796,Premissas!$A$4:$E$7,4,0)+L4796*VLOOKUP($B4796,Premissas!$A$4:$E$7,5,0))</f>
        <v/>
      </c>
      <c r="N4796" s="14">
        <f>H4796-M4796</f>
        <v/>
      </c>
      <c r="O4796" t="inlineStr">
        <is>
          <t>Sim</t>
        </is>
      </c>
      <c r="P4796" t="inlineStr">
        <is>
          <t>1.556</t>
        </is>
      </c>
    </row>
    <row r="4797">
      <c r="A4797" s="24" t="n">
        <v>46266</v>
      </c>
      <c r="B4797" t="inlineStr">
        <is>
          <t>Uso e consumo</t>
        </is>
      </c>
      <c r="C4797" t="inlineStr">
        <is>
          <t>2.01.85 Compra de Uso e Consumo</t>
        </is>
      </c>
      <c r="D4797" t="inlineStr">
        <is>
          <t>NF-e</t>
        </is>
      </c>
      <c r="E4797" t="inlineStr">
        <is>
          <t>000108582</t>
        </is>
      </c>
      <c r="F4797" t="inlineStr">
        <is>
          <t>PERNAMBUCO DISTRIBUIDORA ATAC EPIS, INS IND e MRO LTDA</t>
        </is>
      </c>
      <c r="G4797" s="27" t="n">
        <v>46276</v>
      </c>
      <c r="H4797" s="14" t="n">
        <v>1190</v>
      </c>
      <c r="I4797" s="14" t="n">
        <v>0</v>
      </c>
      <c r="J4797" s="14" t="n">
        <v>238</v>
      </c>
      <c r="K4797" s="14" t="n">
        <v>15.7</v>
      </c>
      <c r="L4797" s="14" t="n">
        <v>72.34999999999999</v>
      </c>
      <c r="M4797" s="14">
        <f>IF(B4797="Frete de venda",0,(1-ISNUMBER(SEARCH("556",P4797)))*(I4797*VLOOKUP($B4797,Premissas!$A$4:$E$7,2,0)+J4797*VLOOKUP($B4797,Premissas!$A$4:$E$7,3,0))+K4797*VLOOKUP($B4797,Premissas!$A$4:$E$7,4,0)+L4797*VLOOKUP($B4797,Premissas!$A$4:$E$7,5,0))</f>
        <v/>
      </c>
      <c r="N4797" s="14">
        <f>H4797-M4797</f>
        <v/>
      </c>
      <c r="O4797" t="inlineStr">
        <is>
          <t>Sim</t>
        </is>
      </c>
      <c r="P4797" t="inlineStr">
        <is>
          <t>1.102</t>
        </is>
      </c>
    </row>
    <row r="4798">
      <c r="A4798" s="24" t="n">
        <v>46266</v>
      </c>
      <c r="B4798" t="inlineStr">
        <is>
          <t>Uso e consumo</t>
        </is>
      </c>
      <c r="C4798" t="inlineStr">
        <is>
          <t>2.01.85 Compra de Uso e Consumo</t>
        </is>
      </c>
      <c r="D4798" t="inlineStr">
        <is>
          <t>NF-e</t>
        </is>
      </c>
      <c r="E4798" t="inlineStr">
        <is>
          <t>000269336</t>
        </is>
      </c>
      <c r="F4798" t="inlineStr">
        <is>
          <t>POLIMASSA ARGAMASSAS LTDA</t>
        </is>
      </c>
      <c r="G4798" s="27" t="n">
        <v>46275</v>
      </c>
      <c r="H4798" s="14" t="n">
        <v>2052.5</v>
      </c>
      <c r="I4798" s="14" t="n">
        <v>0</v>
      </c>
      <c r="J4798" s="14" t="n">
        <v>0</v>
      </c>
      <c r="K4798" s="14" t="n">
        <v>13.34</v>
      </c>
      <c r="L4798" s="14" t="n">
        <v>61.58</v>
      </c>
      <c r="M4798" s="14">
        <f>IF(B4798="Frete de venda",0,(1-ISNUMBER(SEARCH("556",P4798)))*(I4798*VLOOKUP($B4798,Premissas!$A$4:$E$7,2,0)+J4798*VLOOKUP($B4798,Premissas!$A$4:$E$7,3,0))+K4798*VLOOKUP($B4798,Premissas!$A$4:$E$7,4,0)+L4798*VLOOKUP($B4798,Premissas!$A$4:$E$7,5,0))</f>
        <v/>
      </c>
      <c r="N4798" s="14">
        <f>H4798-M4798</f>
        <v/>
      </c>
      <c r="O4798" t="inlineStr">
        <is>
          <t>Sim</t>
        </is>
      </c>
      <c r="P4798" t="inlineStr">
        <is>
          <t>1.556</t>
        </is>
      </c>
    </row>
    <row r="4799">
      <c r="A4799" s="24" t="n">
        <v>46266</v>
      </c>
      <c r="B4799" t="inlineStr">
        <is>
          <t>Uso e consumo</t>
        </is>
      </c>
      <c r="C4799" t="inlineStr">
        <is>
          <t>2.01.85 Compra de Uso e Consumo</t>
        </is>
      </c>
      <c r="D4799" t="inlineStr">
        <is>
          <t>NF-e</t>
        </is>
      </c>
      <c r="E4799" t="inlineStr">
        <is>
          <t>000269744</t>
        </is>
      </c>
      <c r="F4799" t="inlineStr">
        <is>
          <t>POLIMASSA ARGAMASSAS LTDA</t>
        </is>
      </c>
      <c r="G4799" s="27" t="n">
        <v>46287</v>
      </c>
      <c r="H4799" s="14" t="n">
        <v>1957.5</v>
      </c>
      <c r="I4799" s="14" t="n">
        <v>0</v>
      </c>
      <c r="J4799" s="14" t="n">
        <v>0</v>
      </c>
      <c r="K4799" s="14" t="n">
        <v>12.72</v>
      </c>
      <c r="L4799" s="14" t="n">
        <v>58.73</v>
      </c>
      <c r="M4799" s="14">
        <f>IF(B4799="Frete de venda",0,(1-ISNUMBER(SEARCH("556",P4799)))*(I4799*VLOOKUP($B4799,Premissas!$A$4:$E$7,2,0)+J4799*VLOOKUP($B4799,Premissas!$A$4:$E$7,3,0))+K4799*VLOOKUP($B4799,Premissas!$A$4:$E$7,4,0)+L4799*VLOOKUP($B4799,Premissas!$A$4:$E$7,5,0))</f>
        <v/>
      </c>
      <c r="N4799" s="14">
        <f>H4799-M4799</f>
        <v/>
      </c>
      <c r="O4799" t="inlineStr">
        <is>
          <t>Sim</t>
        </is>
      </c>
      <c r="P4799" t="inlineStr">
        <is>
          <t>1.556</t>
        </is>
      </c>
    </row>
    <row r="4800">
      <c r="A4800" s="24" t="n">
        <v>46266</v>
      </c>
      <c r="B4800" t="inlineStr">
        <is>
          <t>Uso e consumo</t>
        </is>
      </c>
      <c r="C4800" t="inlineStr">
        <is>
          <t>2.01.85 Compra de Uso e Consumo</t>
        </is>
      </c>
      <c r="D4800" t="inlineStr">
        <is>
          <t>NF-e</t>
        </is>
      </c>
      <c r="E4800" t="inlineStr">
        <is>
          <t>000003749</t>
        </is>
      </c>
      <c r="F4800" t="inlineStr">
        <is>
          <t>PRESENTES ESPECIAIS LTDA</t>
        </is>
      </c>
      <c r="G4800" s="27" t="n">
        <v>46267</v>
      </c>
      <c r="H4800" s="14" t="n">
        <v>1680</v>
      </c>
      <c r="I4800" s="14" t="n">
        <v>0</v>
      </c>
      <c r="J4800" s="14" t="n">
        <v>0</v>
      </c>
      <c r="K4800" s="14" t="n">
        <v>0</v>
      </c>
      <c r="L4800" s="14" t="n">
        <v>0</v>
      </c>
      <c r="M4800" s="14">
        <f>IF(B4800="Frete de venda",0,(1-ISNUMBER(SEARCH("556",P4800)))*(I4800*VLOOKUP($B4800,Premissas!$A$4:$E$7,2,0)+J4800*VLOOKUP($B4800,Premissas!$A$4:$E$7,3,0))+K4800*VLOOKUP($B4800,Premissas!$A$4:$E$7,4,0)+L4800*VLOOKUP($B4800,Premissas!$A$4:$E$7,5,0))</f>
        <v/>
      </c>
      <c r="N4800" s="14">
        <f>H4800-M4800</f>
        <v/>
      </c>
      <c r="O4800" t="inlineStr">
        <is>
          <t>Sim</t>
        </is>
      </c>
      <c r="P4800" t="inlineStr">
        <is>
          <t>1.556</t>
        </is>
      </c>
    </row>
    <row r="4801">
      <c r="A4801" s="24" t="n">
        <v>46266</v>
      </c>
      <c r="B4801" t="inlineStr">
        <is>
          <t>Uso e consumo</t>
        </is>
      </c>
      <c r="C4801" t="inlineStr">
        <is>
          <t>2.01.85 Compra de Uso e Consumo</t>
        </is>
      </c>
      <c r="D4801" t="inlineStr">
        <is>
          <t>NF-e</t>
        </is>
      </c>
      <c r="E4801" t="inlineStr">
        <is>
          <t>000154157</t>
        </is>
      </c>
      <c r="F4801" t="inlineStr">
        <is>
          <t>VEMDECLICK ECOMMERCE LTDA</t>
        </is>
      </c>
      <c r="G4801" s="27" t="n">
        <v>46274</v>
      </c>
      <c r="H4801" s="14" t="n">
        <v>69.94</v>
      </c>
      <c r="I4801" s="14" t="n">
        <v>0</v>
      </c>
      <c r="J4801" s="14" t="n">
        <v>2.8</v>
      </c>
      <c r="K4801" s="14" t="n">
        <v>1.11</v>
      </c>
      <c r="L4801" s="14" t="n">
        <v>5.1</v>
      </c>
      <c r="M4801" s="14">
        <f>IF(B4801="Frete de venda",0,(1-ISNUMBER(SEARCH("556",P4801)))*(I4801*VLOOKUP($B4801,Premissas!$A$4:$E$7,2,0)+J4801*VLOOKUP($B4801,Premissas!$A$4:$E$7,3,0))+K4801*VLOOKUP($B4801,Premissas!$A$4:$E$7,4,0)+L4801*VLOOKUP($B4801,Premissas!$A$4:$E$7,5,0))</f>
        <v/>
      </c>
      <c r="N4801" s="14">
        <f>H4801-M4801</f>
        <v/>
      </c>
      <c r="O4801" t="inlineStr">
        <is>
          <t>Sim</t>
        </is>
      </c>
      <c r="P4801" t="inlineStr">
        <is>
          <t>2.556</t>
        </is>
      </c>
    </row>
    <row r="4802">
      <c r="A4802" s="24" t="n">
        <v>46266</v>
      </c>
      <c r="B4802" t="inlineStr">
        <is>
          <t>Uso e consumo</t>
        </is>
      </c>
      <c r="C4802" t="inlineStr">
        <is>
          <t>2.01.87 Compra de Peças de Máquinas</t>
        </is>
      </c>
      <c r="D4802" t="inlineStr">
        <is>
          <t>NF-e</t>
        </is>
      </c>
      <c r="E4802" t="inlineStr">
        <is>
          <t>000107742</t>
        </is>
      </c>
      <c r="F4802" t="inlineStr">
        <is>
          <t>FERGE COMERCIO DE PRODUTOS INDUSTRIAIS LTDA</t>
        </is>
      </c>
      <c r="G4802" s="27" t="n">
        <v>46276</v>
      </c>
      <c r="H4802" s="14" t="n">
        <v>3542.2</v>
      </c>
      <c r="I4802" s="14" t="n">
        <v>0</v>
      </c>
      <c r="J4802" s="14" t="n">
        <v>708.4400000000001</v>
      </c>
      <c r="K4802" s="14" t="n">
        <v>0</v>
      </c>
      <c r="L4802" s="14" t="n">
        <v>0</v>
      </c>
      <c r="M4802" s="14">
        <f>IF(B4802="Frete de venda",0,(1-ISNUMBER(SEARCH("556",P4802)))*(I4802*VLOOKUP($B4802,Premissas!$A$4:$E$7,2,0)+J4802*VLOOKUP($B4802,Premissas!$A$4:$E$7,3,0))+K4802*VLOOKUP($B4802,Premissas!$A$4:$E$7,4,0)+L4802*VLOOKUP($B4802,Premissas!$A$4:$E$7,5,0))</f>
        <v/>
      </c>
      <c r="N4802" s="14">
        <f>H4802-M4802</f>
        <v/>
      </c>
      <c r="O4802" t="inlineStr">
        <is>
          <t>Sim</t>
        </is>
      </c>
      <c r="P4802" t="inlineStr">
        <is>
          <t>1.102, 1.556</t>
        </is>
      </c>
    </row>
    <row r="4803">
      <c r="A4803" s="24" t="n">
        <v>46266</v>
      </c>
      <c r="B4803" t="inlineStr">
        <is>
          <t>Uso e consumo</t>
        </is>
      </c>
      <c r="C4803" t="inlineStr">
        <is>
          <t>2.01.87 Compra de Peças de Máquinas</t>
        </is>
      </c>
      <c r="D4803" t="inlineStr">
        <is>
          <t>NF-e</t>
        </is>
      </c>
      <c r="E4803" t="inlineStr">
        <is>
          <t>000107875</t>
        </is>
      </c>
      <c r="F4803" t="inlineStr">
        <is>
          <t>FERGE COMERCIO DE PRODUTOS INDUSTRIAIS LTDA</t>
        </is>
      </c>
      <c r="G4803" s="27" t="n">
        <v>46281</v>
      </c>
      <c r="H4803" s="14" t="n">
        <v>3824.08</v>
      </c>
      <c r="I4803" s="14" t="n">
        <v>0</v>
      </c>
      <c r="J4803" s="14" t="n">
        <v>764.8200000000001</v>
      </c>
      <c r="K4803" s="14" t="n">
        <v>0</v>
      </c>
      <c r="L4803" s="14" t="n">
        <v>0</v>
      </c>
      <c r="M4803" s="14">
        <f>IF(B4803="Frete de venda",0,(1-ISNUMBER(SEARCH("556",P4803)))*(I4803*VLOOKUP($B4803,Premissas!$A$4:$E$7,2,0)+J4803*VLOOKUP($B4803,Premissas!$A$4:$E$7,3,0))+K4803*VLOOKUP($B4803,Premissas!$A$4:$E$7,4,0)+L4803*VLOOKUP($B4803,Premissas!$A$4:$E$7,5,0))</f>
        <v/>
      </c>
      <c r="N4803" s="14">
        <f>H4803-M4803</f>
        <v/>
      </c>
      <c r="O4803" t="inlineStr">
        <is>
          <t>Sim</t>
        </is>
      </c>
      <c r="P4803" t="inlineStr">
        <is>
          <t>1.102</t>
        </is>
      </c>
    </row>
    <row r="4804">
      <c r="A4804" s="24" t="n">
        <v>46266</v>
      </c>
      <c r="B4804" t="inlineStr">
        <is>
          <t>Uso e consumo</t>
        </is>
      </c>
      <c r="C4804" t="inlineStr">
        <is>
          <t>2.01.87 Compra de Peças de Máquinas</t>
        </is>
      </c>
      <c r="D4804" t="inlineStr">
        <is>
          <t>NF-e</t>
        </is>
      </c>
      <c r="E4804" t="inlineStr">
        <is>
          <t>000107903</t>
        </is>
      </c>
      <c r="F4804" t="inlineStr">
        <is>
          <t>FERGE COMERCIO DE PRODUTOS INDUSTRIAIS LTDA</t>
        </is>
      </c>
      <c r="G4804" s="27" t="n">
        <v>46282</v>
      </c>
      <c r="H4804" s="14" t="n">
        <v>835</v>
      </c>
      <c r="I4804" s="14" t="n">
        <v>0</v>
      </c>
      <c r="J4804" s="14" t="n">
        <v>167</v>
      </c>
      <c r="K4804" s="14" t="n">
        <v>0</v>
      </c>
      <c r="L4804" s="14" t="n">
        <v>0</v>
      </c>
      <c r="M4804" s="14">
        <f>IF(B4804="Frete de venda",0,(1-ISNUMBER(SEARCH("556",P4804)))*(I4804*VLOOKUP($B4804,Premissas!$A$4:$E$7,2,0)+J4804*VLOOKUP($B4804,Premissas!$A$4:$E$7,3,0))+K4804*VLOOKUP($B4804,Premissas!$A$4:$E$7,4,0)+L4804*VLOOKUP($B4804,Premissas!$A$4:$E$7,5,0))</f>
        <v/>
      </c>
      <c r="N4804" s="14">
        <f>H4804-M4804</f>
        <v/>
      </c>
      <c r="O4804" t="inlineStr">
        <is>
          <t>Sim</t>
        </is>
      </c>
      <c r="P4804" t="inlineStr">
        <is>
          <t>1.102</t>
        </is>
      </c>
    </row>
    <row r="4805">
      <c r="A4805" s="24" t="n">
        <v>46266</v>
      </c>
      <c r="B4805" t="inlineStr">
        <is>
          <t>Uso e consumo</t>
        </is>
      </c>
      <c r="C4805" t="inlineStr">
        <is>
          <t>2.01.87 Compra de Peças de Máquinas</t>
        </is>
      </c>
      <c r="D4805" t="inlineStr">
        <is>
          <t>NF-e</t>
        </is>
      </c>
      <c r="E4805" t="inlineStr">
        <is>
          <t>000108055</t>
        </is>
      </c>
      <c r="F4805" t="inlineStr">
        <is>
          <t>FERGE COMERCIO DE PRODUTOS INDUSTRIAIS LTDA</t>
        </is>
      </c>
      <c r="G4805" s="27" t="n">
        <v>46288</v>
      </c>
      <c r="H4805" s="14" t="n">
        <v>1170</v>
      </c>
      <c r="I4805" s="14" t="n">
        <v>0</v>
      </c>
      <c r="J4805" s="14" t="n">
        <v>234</v>
      </c>
      <c r="K4805" s="14" t="n">
        <v>0</v>
      </c>
      <c r="L4805" s="14" t="n">
        <v>0</v>
      </c>
      <c r="M4805" s="14">
        <f>IF(B4805="Frete de venda",0,(1-ISNUMBER(SEARCH("556",P4805)))*(I4805*VLOOKUP($B4805,Premissas!$A$4:$E$7,2,0)+J4805*VLOOKUP($B4805,Premissas!$A$4:$E$7,3,0))+K4805*VLOOKUP($B4805,Premissas!$A$4:$E$7,4,0)+L4805*VLOOKUP($B4805,Premissas!$A$4:$E$7,5,0))</f>
        <v/>
      </c>
      <c r="N4805" s="14">
        <f>H4805-M4805</f>
        <v/>
      </c>
      <c r="O4805" t="inlineStr">
        <is>
          <t>Sim</t>
        </is>
      </c>
      <c r="P4805" t="inlineStr">
        <is>
          <t>1.556</t>
        </is>
      </c>
    </row>
    <row r="4806">
      <c r="A4806" s="24" t="n">
        <v>46266</v>
      </c>
      <c r="B4806" t="inlineStr">
        <is>
          <t>Uso e consumo</t>
        </is>
      </c>
      <c r="C4806" t="inlineStr">
        <is>
          <t>2.01.87 Compra de Peças de Máquinas</t>
        </is>
      </c>
      <c r="D4806" t="inlineStr">
        <is>
          <t>NF-e</t>
        </is>
      </c>
      <c r="E4806" t="inlineStr">
        <is>
          <t>000108052</t>
        </is>
      </c>
      <c r="F4806" t="inlineStr">
        <is>
          <t>FERGE COMERCIO DE PRODUTOS INDUSTRIAIS LTDA</t>
        </is>
      </c>
      <c r="G4806" s="27" t="n">
        <v>46288</v>
      </c>
      <c r="H4806" s="14" t="n">
        <v>1455</v>
      </c>
      <c r="I4806" s="14" t="n">
        <v>0</v>
      </c>
      <c r="J4806" s="14" t="n">
        <v>291</v>
      </c>
      <c r="K4806" s="14" t="n">
        <v>0</v>
      </c>
      <c r="L4806" s="14" t="n">
        <v>0</v>
      </c>
      <c r="M4806" s="14">
        <f>IF(B4806="Frete de venda",0,(1-ISNUMBER(SEARCH("556",P4806)))*(I4806*VLOOKUP($B4806,Premissas!$A$4:$E$7,2,0)+J4806*VLOOKUP($B4806,Premissas!$A$4:$E$7,3,0))+K4806*VLOOKUP($B4806,Premissas!$A$4:$E$7,4,0)+L4806*VLOOKUP($B4806,Premissas!$A$4:$E$7,5,0))</f>
        <v/>
      </c>
      <c r="N4806" s="14">
        <f>H4806-M4806</f>
        <v/>
      </c>
      <c r="O4806" t="inlineStr">
        <is>
          <t>Sim</t>
        </is>
      </c>
      <c r="P4806" t="inlineStr">
        <is>
          <t>1.102</t>
        </is>
      </c>
    </row>
    <row r="4807">
      <c r="A4807" s="24" t="n">
        <v>46266</v>
      </c>
      <c r="B4807" t="inlineStr">
        <is>
          <t>Uso e consumo</t>
        </is>
      </c>
      <c r="C4807" t="inlineStr">
        <is>
          <t>2.01.87 Compra de Peças de Máquinas</t>
        </is>
      </c>
      <c r="D4807" t="inlineStr">
        <is>
          <t>NF-e</t>
        </is>
      </c>
      <c r="E4807" t="inlineStr">
        <is>
          <t>000073052</t>
        </is>
      </c>
      <c r="F4807" t="inlineStr">
        <is>
          <t>FURNAX COMERCIAL E IMPORTADORA EIRELI</t>
        </is>
      </c>
      <c r="G4807" s="27" t="n">
        <v>46266</v>
      </c>
      <c r="H4807" s="14" t="n">
        <v>12576.16</v>
      </c>
      <c r="I4807" s="14" t="n">
        <v>395.86</v>
      </c>
      <c r="J4807" s="14" t="n">
        <v>503.05</v>
      </c>
      <c r="K4807" s="14" t="n">
        <v>192.67</v>
      </c>
      <c r="L4807" s="14" t="n">
        <v>887.47</v>
      </c>
      <c r="M4807" s="14">
        <f>IF(B4807="Frete de venda",0,(1-ISNUMBER(SEARCH("556",P4807)))*(I4807*VLOOKUP($B4807,Premissas!$A$4:$E$7,2,0)+J4807*VLOOKUP($B4807,Premissas!$A$4:$E$7,3,0))+K4807*VLOOKUP($B4807,Premissas!$A$4:$E$7,4,0)+L4807*VLOOKUP($B4807,Premissas!$A$4:$E$7,5,0))</f>
        <v/>
      </c>
      <c r="N4807" s="14">
        <f>H4807-M4807</f>
        <v/>
      </c>
      <c r="O4807" t="inlineStr">
        <is>
          <t>Sim</t>
        </is>
      </c>
      <c r="P4807" t="inlineStr">
        <is>
          <t>2.556</t>
        </is>
      </c>
    </row>
    <row r="4808">
      <c r="A4808" s="24" t="n">
        <v>46266</v>
      </c>
      <c r="B4808" t="inlineStr">
        <is>
          <t>Uso e consumo</t>
        </is>
      </c>
      <c r="C4808" t="inlineStr">
        <is>
          <t>2.01.87 Compra de Peças de Máquinas</t>
        </is>
      </c>
      <c r="D4808" t="inlineStr">
        <is>
          <t>NF-e</t>
        </is>
      </c>
      <c r="E4808" t="inlineStr">
        <is>
          <t>000073056</t>
        </is>
      </c>
      <c r="F4808" t="inlineStr">
        <is>
          <t>FURNAX COMERCIAL E IMPORTADORA EIRELI</t>
        </is>
      </c>
      <c r="G4808" s="27" t="n">
        <v>46266</v>
      </c>
      <c r="H4808" s="14" t="n">
        <v>6381.16</v>
      </c>
      <c r="I4808" s="14" t="n">
        <v>200.86</v>
      </c>
      <c r="J4808" s="14" t="n">
        <v>255.24</v>
      </c>
      <c r="K4808" s="14" t="n">
        <v>97.77</v>
      </c>
      <c r="L4808" s="14" t="n">
        <v>450.3</v>
      </c>
      <c r="M4808" s="14">
        <f>IF(B4808="Frete de venda",0,(1-ISNUMBER(SEARCH("556",P4808)))*(I4808*VLOOKUP($B4808,Premissas!$A$4:$E$7,2,0)+J4808*VLOOKUP($B4808,Premissas!$A$4:$E$7,3,0))+K4808*VLOOKUP($B4808,Premissas!$A$4:$E$7,4,0)+L4808*VLOOKUP($B4808,Premissas!$A$4:$E$7,5,0))</f>
        <v/>
      </c>
      <c r="N4808" s="14">
        <f>H4808-M4808</f>
        <v/>
      </c>
      <c r="O4808" t="inlineStr">
        <is>
          <t>Sim</t>
        </is>
      </c>
      <c r="P4808" t="inlineStr">
        <is>
          <t>2.556</t>
        </is>
      </c>
    </row>
    <row r="4809">
      <c r="A4809" s="24" t="n">
        <v>46266</v>
      </c>
      <c r="B4809" t="inlineStr">
        <is>
          <t>Uso e consumo</t>
        </is>
      </c>
      <c r="C4809" t="inlineStr">
        <is>
          <t>2.01.87 Compra de Peças de Máquinas</t>
        </is>
      </c>
      <c r="D4809" t="inlineStr">
        <is>
          <t>NF-e</t>
        </is>
      </c>
      <c r="E4809" t="inlineStr">
        <is>
          <t>000073055</t>
        </is>
      </c>
      <c r="F4809" t="inlineStr">
        <is>
          <t>FURNAX COMERCIAL E IMPORTADORA EIRELI</t>
        </is>
      </c>
      <c r="G4809" s="27" t="n">
        <v>46266</v>
      </c>
      <c r="H4809" s="14" t="n">
        <v>6685.02</v>
      </c>
      <c r="I4809" s="14" t="n">
        <v>210.42</v>
      </c>
      <c r="J4809" s="14" t="n">
        <v>267.4</v>
      </c>
      <c r="K4809" s="14" t="n">
        <v>102.42</v>
      </c>
      <c r="L4809" s="14" t="n">
        <v>471.75</v>
      </c>
      <c r="M4809" s="14">
        <f>IF(B4809="Frete de venda",0,(1-ISNUMBER(SEARCH("556",P4809)))*(I4809*VLOOKUP($B4809,Premissas!$A$4:$E$7,2,0)+J4809*VLOOKUP($B4809,Premissas!$A$4:$E$7,3,0))+K4809*VLOOKUP($B4809,Premissas!$A$4:$E$7,4,0)+L4809*VLOOKUP($B4809,Premissas!$A$4:$E$7,5,0))</f>
        <v/>
      </c>
      <c r="N4809" s="14">
        <f>H4809-M4809</f>
        <v/>
      </c>
      <c r="O4809" t="inlineStr">
        <is>
          <t>Sim</t>
        </is>
      </c>
      <c r="P4809" t="inlineStr">
        <is>
          <t>2.556</t>
        </is>
      </c>
    </row>
    <row r="4810">
      <c r="A4810" s="24" t="n">
        <v>46266</v>
      </c>
      <c r="B4810" t="inlineStr">
        <is>
          <t>Uso e consumo</t>
        </is>
      </c>
      <c r="C4810" t="inlineStr">
        <is>
          <t>2.01.87 Compra de Peças de Máquinas</t>
        </is>
      </c>
      <c r="D4810" t="inlineStr">
        <is>
          <t>NF-e</t>
        </is>
      </c>
      <c r="E4810" t="inlineStr">
        <is>
          <t>000073223</t>
        </is>
      </c>
      <c r="F4810" t="inlineStr">
        <is>
          <t>FURNAX COMERCIAL E IMPORTADORA EIRELI</t>
        </is>
      </c>
      <c r="G4810" s="27" t="n">
        <v>46286</v>
      </c>
      <c r="H4810" s="14" t="n">
        <v>9393.57</v>
      </c>
      <c r="I4810" s="14" t="n">
        <v>295.69</v>
      </c>
      <c r="J4810" s="14" t="n">
        <v>375.75</v>
      </c>
      <c r="K4810" s="14" t="n">
        <v>143.91</v>
      </c>
      <c r="L4810" s="14" t="n">
        <v>662.88</v>
      </c>
      <c r="M4810" s="14">
        <f>IF(B4810="Frete de venda",0,(1-ISNUMBER(SEARCH("556",P4810)))*(I4810*VLOOKUP($B4810,Premissas!$A$4:$E$7,2,0)+J4810*VLOOKUP($B4810,Premissas!$A$4:$E$7,3,0))+K4810*VLOOKUP($B4810,Premissas!$A$4:$E$7,4,0)+L4810*VLOOKUP($B4810,Premissas!$A$4:$E$7,5,0))</f>
        <v/>
      </c>
      <c r="N4810" s="14">
        <f>H4810-M4810</f>
        <v/>
      </c>
      <c r="O4810" t="inlineStr">
        <is>
          <t>Sim</t>
        </is>
      </c>
      <c r="P4810" t="inlineStr">
        <is>
          <t>2.556</t>
        </is>
      </c>
    </row>
    <row r="4811">
      <c r="A4811" s="24" t="n">
        <v>46266</v>
      </c>
      <c r="B4811" t="inlineStr">
        <is>
          <t>Uso e consumo</t>
        </is>
      </c>
      <c r="C4811" t="inlineStr">
        <is>
          <t>2.01.87 Compra de Peças de Máquinas</t>
        </is>
      </c>
      <c r="D4811" t="inlineStr">
        <is>
          <t>NF-e</t>
        </is>
      </c>
      <c r="E4811" t="inlineStr">
        <is>
          <t>000073226</t>
        </is>
      </c>
      <c r="F4811" t="inlineStr">
        <is>
          <t>FURNAX COMERCIAL E IMPORTADORA EIRELI</t>
        </is>
      </c>
      <c r="G4811" s="27" t="n">
        <v>46286</v>
      </c>
      <c r="H4811" s="14" t="n">
        <v>1220.46</v>
      </c>
      <c r="I4811" s="14" t="n">
        <v>38.26</v>
      </c>
      <c r="J4811" s="14" t="n">
        <v>48.82</v>
      </c>
      <c r="K4811" s="14" t="n">
        <v>18.7</v>
      </c>
      <c r="L4811" s="14" t="n">
        <v>86.14</v>
      </c>
      <c r="M4811" s="14">
        <f>IF(B4811="Frete de venda",0,(1-ISNUMBER(SEARCH("556",P4811)))*(I4811*VLOOKUP($B4811,Premissas!$A$4:$E$7,2,0)+J4811*VLOOKUP($B4811,Premissas!$A$4:$E$7,3,0))+K4811*VLOOKUP($B4811,Premissas!$A$4:$E$7,4,0)+L4811*VLOOKUP($B4811,Premissas!$A$4:$E$7,5,0))</f>
        <v/>
      </c>
      <c r="N4811" s="14">
        <f>H4811-M4811</f>
        <v/>
      </c>
      <c r="O4811" t="inlineStr">
        <is>
          <t>Sim</t>
        </is>
      </c>
      <c r="P4811" t="inlineStr">
        <is>
          <t>2.556</t>
        </is>
      </c>
    </row>
    <row r="4812">
      <c r="A4812" s="24" t="n">
        <v>46266</v>
      </c>
      <c r="B4812" t="inlineStr">
        <is>
          <t>Uso e consumo</t>
        </is>
      </c>
      <c r="C4812" t="inlineStr">
        <is>
          <t>2.01.87 Compra de Peças de Máquinas</t>
        </is>
      </c>
      <c r="D4812" t="inlineStr">
        <is>
          <t>NF-e</t>
        </is>
      </c>
      <c r="E4812" t="inlineStr">
        <is>
          <t>000007741</t>
        </is>
      </c>
      <c r="F4812" t="inlineStr">
        <is>
          <t>GF COMERCIO DE PRODUTOS INDUSTRIAIS LTDA</t>
        </is>
      </c>
      <c r="G4812" s="27" t="n">
        <v>46275</v>
      </c>
      <c r="H4812" s="14" t="n">
        <v>140</v>
      </c>
      <c r="I4812" s="14" t="n">
        <v>0</v>
      </c>
      <c r="J4812" s="14" t="n">
        <v>0</v>
      </c>
      <c r="K4812" s="14" t="n">
        <v>0</v>
      </c>
      <c r="L4812" s="14" t="n">
        <v>0</v>
      </c>
      <c r="M4812" s="14">
        <f>IF(B4812="Frete de venda",0,(1-ISNUMBER(SEARCH("556",P4812)))*(I4812*VLOOKUP($B4812,Premissas!$A$4:$E$7,2,0)+J4812*VLOOKUP($B4812,Premissas!$A$4:$E$7,3,0))+K4812*VLOOKUP($B4812,Premissas!$A$4:$E$7,4,0)+L4812*VLOOKUP($B4812,Premissas!$A$4:$E$7,5,0))</f>
        <v/>
      </c>
      <c r="N4812" s="14">
        <f>H4812-M4812</f>
        <v/>
      </c>
      <c r="O4812" t="inlineStr">
        <is>
          <t>Sim</t>
        </is>
      </c>
      <c r="P4812" t="inlineStr">
        <is>
          <t>1.556</t>
        </is>
      </c>
    </row>
    <row r="4813">
      <c r="A4813" s="24" t="n">
        <v>46266</v>
      </c>
      <c r="B4813" t="inlineStr">
        <is>
          <t>Uso e consumo</t>
        </is>
      </c>
      <c r="C4813" t="inlineStr">
        <is>
          <t>2.01.87 Compra de Peças de Máquinas</t>
        </is>
      </c>
      <c r="D4813" t="inlineStr">
        <is>
          <t>NF-e</t>
        </is>
      </c>
      <c r="E4813" t="inlineStr">
        <is>
          <t>000007869</t>
        </is>
      </c>
      <c r="F4813" t="inlineStr">
        <is>
          <t>GF COMERCIO DE PRODUTOS INDUSTRIAIS LTDA</t>
        </is>
      </c>
      <c r="G4813" s="27" t="n">
        <v>46288</v>
      </c>
      <c r="H4813" s="14" t="n">
        <v>532</v>
      </c>
      <c r="I4813" s="14" t="n">
        <v>0</v>
      </c>
      <c r="J4813" s="14" t="n">
        <v>0</v>
      </c>
      <c r="K4813" s="14" t="n">
        <v>0</v>
      </c>
      <c r="L4813" s="14" t="n">
        <v>0</v>
      </c>
      <c r="M4813" s="14">
        <f>IF(B4813="Frete de venda",0,(1-ISNUMBER(SEARCH("556",P4813)))*(I4813*VLOOKUP($B4813,Premissas!$A$4:$E$7,2,0)+J4813*VLOOKUP($B4813,Premissas!$A$4:$E$7,3,0))+K4813*VLOOKUP($B4813,Premissas!$A$4:$E$7,4,0)+L4813*VLOOKUP($B4813,Premissas!$A$4:$E$7,5,0))</f>
        <v/>
      </c>
      <c r="N4813" s="14">
        <f>H4813-M4813</f>
        <v/>
      </c>
      <c r="O4813" t="inlineStr">
        <is>
          <t>Sim</t>
        </is>
      </c>
      <c r="P4813" t="inlineStr">
        <is>
          <t>1.556</t>
        </is>
      </c>
    </row>
    <row r="4814">
      <c r="A4814" s="24" t="n">
        <v>46266</v>
      </c>
      <c r="B4814" t="inlineStr">
        <is>
          <t>Uso e consumo</t>
        </is>
      </c>
      <c r="C4814" t="inlineStr">
        <is>
          <t>2.01.87 Compra de Peças de Máquinas</t>
        </is>
      </c>
      <c r="D4814" t="inlineStr">
        <is>
          <t>NF-e</t>
        </is>
      </c>
      <c r="E4814" t="inlineStr">
        <is>
          <t>000004008</t>
        </is>
      </c>
      <c r="F4814" t="inlineStr">
        <is>
          <t>TRANSBELT - COMERCIO, IMPORTACAO E EXPORTACAO DE CORREIAS IN</t>
        </is>
      </c>
      <c r="G4814" s="27" t="n">
        <v>46268</v>
      </c>
      <c r="H4814" s="14" t="n">
        <v>1969.65</v>
      </c>
      <c r="I4814" s="14" t="n">
        <v>0</v>
      </c>
      <c r="J4814" s="14" t="n">
        <v>0</v>
      </c>
      <c r="K4814" s="14" t="n">
        <v>0</v>
      </c>
      <c r="L4814" s="14" t="n">
        <v>0</v>
      </c>
      <c r="M4814" s="14">
        <f>IF(B4814="Frete de venda",0,(1-ISNUMBER(SEARCH("556",P4814)))*(I4814*VLOOKUP($B4814,Premissas!$A$4:$E$7,2,0)+J4814*VLOOKUP($B4814,Premissas!$A$4:$E$7,3,0))+K4814*VLOOKUP($B4814,Premissas!$A$4:$E$7,4,0)+L4814*VLOOKUP($B4814,Premissas!$A$4:$E$7,5,0))</f>
        <v/>
      </c>
      <c r="N4814" s="14">
        <f>H4814-M4814</f>
        <v/>
      </c>
      <c r="O4814" t="inlineStr">
        <is>
          <t>Sim</t>
        </is>
      </c>
      <c r="P4814" t="inlineStr">
        <is>
          <t>2.556</t>
        </is>
      </c>
    </row>
    <row r="4815">
      <c r="A4815" s="24" t="n">
        <v>46266</v>
      </c>
      <c r="B4815" t="inlineStr">
        <is>
          <t>Insumos e papel</t>
        </is>
      </c>
      <c r="C4815" t="inlineStr">
        <is>
          <t>2.01.91 Compra de Filme Strech</t>
        </is>
      </c>
      <c r="D4815" t="inlineStr">
        <is>
          <t>NF-e</t>
        </is>
      </c>
      <c r="E4815" t="inlineStr">
        <is>
          <t>000007040</t>
        </is>
      </c>
      <c r="F4815" t="inlineStr">
        <is>
          <t>GDM INDUSTRIA E COMERCIO DE PLASTICOS LTDA.</t>
        </is>
      </c>
      <c r="G4815" s="27" t="n">
        <v>46283</v>
      </c>
      <c r="H4815" s="14" t="n">
        <v>18854.91</v>
      </c>
      <c r="I4815" s="14" t="n">
        <v>2459.34</v>
      </c>
      <c r="J4815" s="14" t="n">
        <v>1967.47</v>
      </c>
      <c r="K4815" s="14" t="n">
        <v>238.06</v>
      </c>
      <c r="L4815" s="14" t="n">
        <v>1096.54</v>
      </c>
      <c r="M4815" s="14">
        <f>IF(B4815="Frete de venda",0,(1-ISNUMBER(SEARCH("556",P4815)))*(I4815*VLOOKUP($B4815,Premissas!$A$4:$E$7,2,0)+J4815*VLOOKUP($B4815,Premissas!$A$4:$E$7,3,0))+K4815*VLOOKUP($B4815,Premissas!$A$4:$E$7,4,0)+L4815*VLOOKUP($B4815,Premissas!$A$4:$E$7,5,0))</f>
        <v/>
      </c>
      <c r="N4815" s="14">
        <f>H4815-M4815</f>
        <v/>
      </c>
      <c r="O4815" t="inlineStr">
        <is>
          <t>Sim</t>
        </is>
      </c>
      <c r="P4815" t="inlineStr">
        <is>
          <t>2.556</t>
        </is>
      </c>
    </row>
    <row r="4816">
      <c r="A4816" s="24" t="n">
        <v>46266</v>
      </c>
      <c r="B4816" t="inlineStr">
        <is>
          <t>Insumos e papel</t>
        </is>
      </c>
      <c r="C4816" t="inlineStr">
        <is>
          <t>2.01.92 Compra de Tinta</t>
        </is>
      </c>
      <c r="D4816" t="inlineStr">
        <is>
          <t>NF-e</t>
        </is>
      </c>
      <c r="E4816" t="inlineStr">
        <is>
          <t>000016749</t>
        </is>
      </c>
      <c r="F4816" t="inlineStr">
        <is>
          <t>FITTYCOR - INDUSTRIA E COMERCIO DE TINTAS ESPECIAIS LTDA</t>
        </is>
      </c>
      <c r="G4816" s="27" t="n">
        <v>46282</v>
      </c>
      <c r="H4816" s="14" t="n">
        <v>39365</v>
      </c>
      <c r="I4816" s="14" t="n">
        <v>0</v>
      </c>
      <c r="J4816" s="14" t="n">
        <v>2755.55</v>
      </c>
      <c r="K4816" s="14" t="n">
        <v>255.87</v>
      </c>
      <c r="L4816" s="14" t="n">
        <v>1180.95</v>
      </c>
      <c r="M4816" s="14">
        <f>IF(B4816="Frete de venda",0,(1-ISNUMBER(SEARCH("556",P4816)))*(I4816*VLOOKUP($B4816,Premissas!$A$4:$E$7,2,0)+J4816*VLOOKUP($B4816,Premissas!$A$4:$E$7,3,0))+K4816*VLOOKUP($B4816,Premissas!$A$4:$E$7,4,0)+L4816*VLOOKUP($B4816,Premissas!$A$4:$E$7,5,0))</f>
        <v/>
      </c>
      <c r="N4816" s="14">
        <f>H4816-M4816</f>
        <v/>
      </c>
      <c r="O4816" t="inlineStr">
        <is>
          <t>Sim</t>
        </is>
      </c>
      <c r="P4816" t="inlineStr">
        <is>
          <t>2.101</t>
        </is>
      </c>
    </row>
    <row r="4817">
      <c r="A4817" s="24" t="n">
        <v>46266</v>
      </c>
      <c r="B4817" t="inlineStr">
        <is>
          <t>Insumos e papel</t>
        </is>
      </c>
      <c r="C4817" t="inlineStr">
        <is>
          <t>2.01.92 Compra de Tinta</t>
        </is>
      </c>
      <c r="D4817" t="inlineStr">
        <is>
          <t>NF-e</t>
        </is>
      </c>
      <c r="E4817" t="inlineStr">
        <is>
          <t>000003554</t>
        </is>
      </c>
      <c r="F4817" t="inlineStr">
        <is>
          <t>PRODUTOS, SERVICOS E TINTAS LATINOAMERICANOS PROYSA LTDA</t>
        </is>
      </c>
      <c r="G4817" s="27" t="n">
        <v>46281</v>
      </c>
      <c r="H4817" s="14" t="n">
        <v>12802</v>
      </c>
      <c r="I4817" s="14" t="n">
        <v>0</v>
      </c>
      <c r="J4817" s="14" t="n">
        <v>512.08</v>
      </c>
      <c r="K4817" s="14" t="n">
        <v>202.78</v>
      </c>
      <c r="L4817" s="14" t="n">
        <v>934.03</v>
      </c>
      <c r="M4817" s="14">
        <f>IF(B4817="Frete de venda",0,(1-ISNUMBER(SEARCH("556",P4817)))*(I4817*VLOOKUP($B4817,Premissas!$A$4:$E$7,2,0)+J4817*VLOOKUP($B4817,Premissas!$A$4:$E$7,3,0))+K4817*VLOOKUP($B4817,Premissas!$A$4:$E$7,4,0)+L4817*VLOOKUP($B4817,Premissas!$A$4:$E$7,5,0))</f>
        <v/>
      </c>
      <c r="N4817" s="14">
        <f>H4817-M4817</f>
        <v/>
      </c>
      <c r="O4817" t="inlineStr">
        <is>
          <t>Sim</t>
        </is>
      </c>
      <c r="P4817" t="inlineStr">
        <is>
          <t>1.556, 2.102</t>
        </is>
      </c>
    </row>
    <row r="4818">
      <c r="A4818" s="24" t="n">
        <v>46266</v>
      </c>
      <c r="B4818" t="inlineStr">
        <is>
          <t>Insumos e papel</t>
        </is>
      </c>
      <c r="C4818" t="inlineStr">
        <is>
          <t>2.01.93 Compra de Plástico Poliolefínico</t>
        </is>
      </c>
      <c r="D4818" t="inlineStr">
        <is>
          <t>NF-e</t>
        </is>
      </c>
      <c r="E4818" t="inlineStr">
        <is>
          <t>000009556</t>
        </is>
      </c>
      <c r="F4818" t="inlineStr">
        <is>
          <t>ALSTEK SOLUCOES EM EMBALAGENS LTDA</t>
        </is>
      </c>
      <c r="G4818" s="27" t="n">
        <v>46269</v>
      </c>
      <c r="H4818" s="14" t="n">
        <v>90478.78</v>
      </c>
      <c r="I4818" s="14" t="n">
        <v>11801.58</v>
      </c>
      <c r="J4818" s="14" t="n">
        <v>3147.09</v>
      </c>
      <c r="K4818" s="14" t="n">
        <v>490.94</v>
      </c>
      <c r="L4818" s="14" t="n">
        <v>2265.9</v>
      </c>
      <c r="M4818" s="14">
        <f>IF(B4818="Frete de venda",0,(1-ISNUMBER(SEARCH("556",P4818)))*(I4818*VLOOKUP($B4818,Premissas!$A$4:$E$7,2,0)+J4818*VLOOKUP($B4818,Premissas!$A$4:$E$7,3,0))+K4818*VLOOKUP($B4818,Premissas!$A$4:$E$7,4,0)+L4818*VLOOKUP($B4818,Premissas!$A$4:$E$7,5,0))</f>
        <v/>
      </c>
      <c r="N4818" s="14">
        <f>H4818-M4818</f>
        <v/>
      </c>
      <c r="O4818" t="inlineStr">
        <is>
          <t>Sim</t>
        </is>
      </c>
      <c r="P4818" t="inlineStr">
        <is>
          <t>1.556</t>
        </is>
      </c>
    </row>
    <row r="4819">
      <c r="A4819" s="24" t="n">
        <v>46266</v>
      </c>
      <c r="B4819" t="inlineStr">
        <is>
          <t>Insumos e papel</t>
        </is>
      </c>
      <c r="C4819" t="inlineStr">
        <is>
          <t>2.01.94 Compra de Fita Adesiva</t>
        </is>
      </c>
      <c r="D4819" t="inlineStr">
        <is>
          <t>NF-e</t>
        </is>
      </c>
      <c r="E4819" t="inlineStr">
        <is>
          <t>000000453</t>
        </is>
      </c>
      <c r="F4819" t="inlineStr">
        <is>
          <t>ODAFLEXO COMERCIO DE PRODUTOS FLEXOGRAFICOS LTDA</t>
        </is>
      </c>
      <c r="G4819" s="27" t="n">
        <v>46273</v>
      </c>
      <c r="H4819" s="14" t="n">
        <v>5400</v>
      </c>
      <c r="I4819" s="14" t="n">
        <v>0</v>
      </c>
      <c r="J4819" s="14" t="n">
        <v>0</v>
      </c>
      <c r="K4819" s="14" t="n">
        <v>0</v>
      </c>
      <c r="L4819" s="14" t="n">
        <v>0</v>
      </c>
      <c r="M4819" s="14">
        <f>IF(B4819="Frete de venda",0,(1-ISNUMBER(SEARCH("556",P4819)))*(I4819*VLOOKUP($B4819,Premissas!$A$4:$E$7,2,0)+J4819*VLOOKUP($B4819,Premissas!$A$4:$E$7,3,0))+K4819*VLOOKUP($B4819,Premissas!$A$4:$E$7,4,0)+L4819*VLOOKUP($B4819,Premissas!$A$4:$E$7,5,0))</f>
        <v/>
      </c>
      <c r="N4819" s="14">
        <f>H4819-M4819</f>
        <v/>
      </c>
      <c r="O4819" t="inlineStr">
        <is>
          <t>Sim</t>
        </is>
      </c>
      <c r="P4819" t="inlineStr">
        <is>
          <t>2.556</t>
        </is>
      </c>
    </row>
    <row r="4820">
      <c r="A4820" s="24" t="n">
        <v>46266</v>
      </c>
      <c r="B4820" t="inlineStr">
        <is>
          <t>Insumos e papel</t>
        </is>
      </c>
      <c r="C4820" t="inlineStr">
        <is>
          <t>2.01.94 Compra de Fita Adesiva</t>
        </is>
      </c>
      <c r="D4820" t="inlineStr">
        <is>
          <t>NF-e</t>
        </is>
      </c>
      <c r="E4820" t="inlineStr">
        <is>
          <t>000108371</t>
        </is>
      </c>
      <c r="F4820" t="inlineStr">
        <is>
          <t>PERNAMBUCO DISTRIBUIDORA ATAC EPIS, INS IND e MRO LTDA</t>
        </is>
      </c>
      <c r="G4820" s="27" t="n">
        <v>46274</v>
      </c>
      <c r="H4820" s="14" t="n">
        <v>11964.24</v>
      </c>
      <c r="I4820" s="14" t="n">
        <v>0</v>
      </c>
      <c r="J4820" s="14" t="n">
        <v>2392.84</v>
      </c>
      <c r="K4820" s="14" t="n">
        <v>157.92</v>
      </c>
      <c r="L4820" s="14" t="n">
        <v>727.42</v>
      </c>
      <c r="M4820" s="14">
        <f>IF(B4820="Frete de venda",0,(1-ISNUMBER(SEARCH("556",P4820)))*(I4820*VLOOKUP($B4820,Premissas!$A$4:$E$7,2,0)+J4820*VLOOKUP($B4820,Premissas!$A$4:$E$7,3,0))+K4820*VLOOKUP($B4820,Premissas!$A$4:$E$7,4,0)+L4820*VLOOKUP($B4820,Premissas!$A$4:$E$7,5,0))</f>
        <v/>
      </c>
      <c r="N4820" s="14">
        <f>H4820-M4820</f>
        <v/>
      </c>
      <c r="O4820" t="inlineStr">
        <is>
          <t>Sim</t>
        </is>
      </c>
      <c r="P4820" t="inlineStr">
        <is>
          <t>1.556</t>
        </is>
      </c>
    </row>
    <row r="4821">
      <c r="A4821" s="24" t="n">
        <v>46266</v>
      </c>
      <c r="B4821" t="inlineStr">
        <is>
          <t>Insumos e papel</t>
        </is>
      </c>
      <c r="C4821" t="inlineStr">
        <is>
          <t>2.01.95 Compra de Etiqueta</t>
        </is>
      </c>
      <c r="D4821" t="inlineStr">
        <is>
          <t>NF-e</t>
        </is>
      </c>
      <c r="E4821" t="inlineStr">
        <is>
          <t>000005540</t>
        </is>
      </c>
      <c r="F4821" t="inlineStr">
        <is>
          <t>FLEXOPEL LTDA</t>
        </is>
      </c>
      <c r="G4821" s="27" t="n">
        <v>46266</v>
      </c>
      <c r="H4821" s="14" t="n">
        <v>1432</v>
      </c>
      <c r="I4821" s="14" t="n">
        <v>0</v>
      </c>
      <c r="J4821" s="14" t="n">
        <v>286.4</v>
      </c>
      <c r="K4821" s="14" t="n">
        <v>18.91</v>
      </c>
      <c r="L4821" s="14" t="n">
        <v>87.06999999999999</v>
      </c>
      <c r="M4821" s="14">
        <f>IF(B4821="Frete de venda",0,(1-ISNUMBER(SEARCH("556",P4821)))*(I4821*VLOOKUP($B4821,Premissas!$A$4:$E$7,2,0)+J4821*VLOOKUP($B4821,Premissas!$A$4:$E$7,3,0))+K4821*VLOOKUP($B4821,Premissas!$A$4:$E$7,4,0)+L4821*VLOOKUP($B4821,Premissas!$A$4:$E$7,5,0))</f>
        <v/>
      </c>
      <c r="N4821" s="14">
        <f>H4821-M4821</f>
        <v/>
      </c>
      <c r="O4821" t="inlineStr">
        <is>
          <t>Sim</t>
        </is>
      </c>
      <c r="P4821" t="inlineStr">
        <is>
          <t>1.102, 1.556</t>
        </is>
      </c>
    </row>
    <row r="4822">
      <c r="A4822" s="24" t="n">
        <v>46266</v>
      </c>
      <c r="B4822" t="inlineStr">
        <is>
          <t>Insumos e papel</t>
        </is>
      </c>
      <c r="C4822" t="inlineStr">
        <is>
          <t>2.01.95 Compra de Etiqueta</t>
        </is>
      </c>
      <c r="D4822" t="inlineStr">
        <is>
          <t>NF-e</t>
        </is>
      </c>
      <c r="E4822" t="inlineStr">
        <is>
          <t>000004939</t>
        </is>
      </c>
      <c r="F4822" t="inlineStr">
        <is>
          <t>GS BOBINAS E ETIQUETAS</t>
        </is>
      </c>
      <c r="G4822" s="27" t="n">
        <v>46268</v>
      </c>
      <c r="H4822" s="14" t="n">
        <v>8149.2</v>
      </c>
      <c r="I4822" s="14" t="n">
        <v>0</v>
      </c>
      <c r="J4822" s="14" t="n">
        <v>977.9</v>
      </c>
      <c r="K4822" s="14" t="n">
        <v>0</v>
      </c>
      <c r="L4822" s="14" t="n">
        <v>0</v>
      </c>
      <c r="M4822" s="14">
        <f>IF(B4822="Frete de venda",0,(1-ISNUMBER(SEARCH("556",P4822)))*(I4822*VLOOKUP($B4822,Premissas!$A$4:$E$7,2,0)+J4822*VLOOKUP($B4822,Premissas!$A$4:$E$7,3,0))+K4822*VLOOKUP($B4822,Premissas!$A$4:$E$7,4,0)+L4822*VLOOKUP($B4822,Premissas!$A$4:$E$7,5,0))</f>
        <v/>
      </c>
      <c r="N4822" s="14">
        <f>H4822-M4822</f>
        <v/>
      </c>
      <c r="O4822" t="inlineStr">
        <is>
          <t>Sim</t>
        </is>
      </c>
      <c r="P4822" t="inlineStr">
        <is>
          <t>2.556</t>
        </is>
      </c>
    </row>
    <row r="4823">
      <c r="A4823" s="24" t="n">
        <v>46266</v>
      </c>
      <c r="B4823" t="inlineStr">
        <is>
          <t>Insumos e papel</t>
        </is>
      </c>
      <c r="C4823" t="inlineStr">
        <is>
          <t>2.01.96 Compra de Cola</t>
        </is>
      </c>
      <c r="D4823" t="inlineStr">
        <is>
          <t>NF-e</t>
        </is>
      </c>
      <c r="E4823" t="inlineStr">
        <is>
          <t>000038371</t>
        </is>
      </c>
      <c r="F4823" t="inlineStr">
        <is>
          <t>COLAMID</t>
        </is>
      </c>
      <c r="G4823" s="27" t="n">
        <v>46288</v>
      </c>
      <c r="H4823" s="14" t="n">
        <v>124970</v>
      </c>
      <c r="I4823" s="14" t="n">
        <v>0</v>
      </c>
      <c r="J4823" s="14" t="n">
        <v>14996.4</v>
      </c>
      <c r="K4823" s="14" t="n">
        <v>0</v>
      </c>
      <c r="L4823" s="14" t="n">
        <v>0</v>
      </c>
      <c r="M4823" s="14">
        <f>IF(B4823="Frete de venda",0,(1-ISNUMBER(SEARCH("556",P4823)))*(I4823*VLOOKUP($B4823,Premissas!$A$4:$E$7,2,0)+J4823*VLOOKUP($B4823,Premissas!$A$4:$E$7,3,0))+K4823*VLOOKUP($B4823,Premissas!$A$4:$E$7,4,0)+L4823*VLOOKUP($B4823,Premissas!$A$4:$E$7,5,0))</f>
        <v/>
      </c>
      <c r="N4823" s="14">
        <f>H4823-M4823</f>
        <v/>
      </c>
      <c r="O4823" t="inlineStr">
        <is>
          <t>Sim</t>
        </is>
      </c>
      <c r="P4823" t="inlineStr">
        <is>
          <t>2.101, 2.102</t>
        </is>
      </c>
    </row>
    <row r="4824">
      <c r="A4824" s="24" t="n">
        <v>46266</v>
      </c>
      <c r="B4824" t="inlineStr">
        <is>
          <t>Insumos e papel</t>
        </is>
      </c>
      <c r="C4824" t="inlineStr">
        <is>
          <t>2.01.97 Compra de Clichê</t>
        </is>
      </c>
      <c r="D4824" t="inlineStr">
        <is>
          <t>NF-e</t>
        </is>
      </c>
      <c r="E4824" t="inlineStr">
        <is>
          <t>000004046</t>
        </is>
      </c>
      <c r="F4824" t="inlineStr">
        <is>
          <t>BAHIA CLICHERIA LTDA</t>
        </is>
      </c>
      <c r="G4824" s="27" t="n">
        <v>46293</v>
      </c>
      <c r="H4824" s="14" t="n">
        <v>22946.22</v>
      </c>
      <c r="I4824" s="14" t="n">
        <v>0</v>
      </c>
      <c r="J4824" s="14" t="n">
        <v>0</v>
      </c>
      <c r="K4824" s="14" t="n">
        <v>0</v>
      </c>
      <c r="L4824" s="14" t="n">
        <v>0</v>
      </c>
      <c r="M4824" s="14">
        <f>IF(B4824="Frete de venda",0,(1-ISNUMBER(SEARCH("556",P4824)))*(I4824*VLOOKUP($B4824,Premissas!$A$4:$E$7,2,0)+J4824*VLOOKUP($B4824,Premissas!$A$4:$E$7,3,0))+K4824*VLOOKUP($B4824,Premissas!$A$4:$E$7,4,0)+L4824*VLOOKUP($B4824,Premissas!$A$4:$E$7,5,0))</f>
        <v/>
      </c>
      <c r="N4824" s="14">
        <f>H4824-M4824</f>
        <v/>
      </c>
      <c r="O4824" t="inlineStr">
        <is>
          <t>Sim</t>
        </is>
      </c>
      <c r="P4824" t="inlineStr">
        <is>
          <t>2.101, 2.102, 2.556</t>
        </is>
      </c>
    </row>
    <row r="4825">
      <c r="A4825" s="24" t="n">
        <v>46266</v>
      </c>
      <c r="B4825" t="inlineStr">
        <is>
          <t>Uso e consumo</t>
        </is>
      </c>
      <c r="C4825" t="inlineStr">
        <is>
          <t>2.03.90 Compra de EPI</t>
        </is>
      </c>
      <c r="D4825" t="inlineStr">
        <is>
          <t>NF-e</t>
        </is>
      </c>
      <c r="E4825" t="inlineStr">
        <is>
          <t>000108312</t>
        </is>
      </c>
      <c r="F4825" t="inlineStr">
        <is>
          <t>PERNAMBUCO DISTRIBUIDORA ATAC EPIS, INS IND e MRO LTDA</t>
        </is>
      </c>
      <c r="G4825" s="27" t="n">
        <v>46273</v>
      </c>
      <c r="H4825" s="14" t="n">
        <v>1492.01</v>
      </c>
      <c r="I4825" s="14" t="n">
        <v>0</v>
      </c>
      <c r="J4825" s="14" t="n">
        <v>298.4</v>
      </c>
      <c r="K4825" s="14" t="n">
        <v>19.67</v>
      </c>
      <c r="L4825" s="14" t="n">
        <v>90.7</v>
      </c>
      <c r="M4825" s="14">
        <f>IF(B4825="Frete de venda",0,(1-ISNUMBER(SEARCH("556",P4825)))*(I4825*VLOOKUP($B4825,Premissas!$A$4:$E$7,2,0)+J4825*VLOOKUP($B4825,Premissas!$A$4:$E$7,3,0))+K4825*VLOOKUP($B4825,Premissas!$A$4:$E$7,4,0)+L4825*VLOOKUP($B4825,Premissas!$A$4:$E$7,5,0))</f>
        <v/>
      </c>
      <c r="N4825" s="14">
        <f>H4825-M4825</f>
        <v/>
      </c>
      <c r="O4825" t="inlineStr">
        <is>
          <t>Sim</t>
        </is>
      </c>
      <c r="P4825" t="inlineStr">
        <is>
          <t>1.102</t>
        </is>
      </c>
    </row>
    <row r="4826">
      <c r="A4826" s="24" t="n">
        <v>46266</v>
      </c>
      <c r="B4826" t="inlineStr">
        <is>
          <t>Uso e consumo</t>
        </is>
      </c>
      <c r="C4826" t="inlineStr">
        <is>
          <t>2.04.06 Material de Escritório</t>
        </is>
      </c>
      <c r="D4826" t="inlineStr">
        <is>
          <t>NF-e</t>
        </is>
      </c>
      <c r="E4826" t="inlineStr">
        <is>
          <t>000275656</t>
        </is>
      </c>
      <c r="F4826" t="inlineStr">
        <is>
          <t>ABSHOP COMERCIO LTDA</t>
        </is>
      </c>
      <c r="G4826" s="27" t="n">
        <v>46273</v>
      </c>
      <c r="H4826" s="14" t="n">
        <v>379</v>
      </c>
      <c r="I4826" s="14" t="n">
        <v>0</v>
      </c>
      <c r="J4826" s="14" t="n">
        <v>0</v>
      </c>
      <c r="K4826" s="14" t="n">
        <v>0</v>
      </c>
      <c r="L4826" s="14" t="n">
        <v>0</v>
      </c>
      <c r="M4826" s="14">
        <f>IF(B4826="Frete de venda",0,(1-ISNUMBER(SEARCH("556",P4826)))*(I4826*VLOOKUP($B4826,Premissas!$A$4:$E$7,2,0)+J4826*VLOOKUP($B4826,Premissas!$A$4:$E$7,3,0))+K4826*VLOOKUP($B4826,Premissas!$A$4:$E$7,4,0)+L4826*VLOOKUP($B4826,Premissas!$A$4:$E$7,5,0))</f>
        <v/>
      </c>
      <c r="N4826" s="14">
        <f>H4826-M4826</f>
        <v/>
      </c>
      <c r="O4826" t="inlineStr">
        <is>
          <t>Sim</t>
        </is>
      </c>
      <c r="P4826" t="inlineStr">
        <is>
          <t>2.556</t>
        </is>
      </c>
    </row>
    <row r="4827">
      <c r="A4827" s="24" t="n">
        <v>46266</v>
      </c>
      <c r="B4827" t="inlineStr">
        <is>
          <t>Uso e consumo</t>
        </is>
      </c>
      <c r="C4827" t="inlineStr">
        <is>
          <t>2.04.06 Material de Escritório</t>
        </is>
      </c>
      <c r="D4827" t="inlineStr">
        <is>
          <t>NF-e</t>
        </is>
      </c>
      <c r="E4827" t="inlineStr">
        <is>
          <t>000001495</t>
        </is>
      </c>
      <c r="F4827" t="inlineStr">
        <is>
          <t>Limptech Paper Comercio Ltda</t>
        </is>
      </c>
      <c r="G4827" s="27" t="n">
        <v>46273</v>
      </c>
      <c r="H4827" s="14" t="n">
        <v>599.4</v>
      </c>
      <c r="I4827" s="14" t="n">
        <v>0</v>
      </c>
      <c r="J4827" s="14" t="n">
        <v>0</v>
      </c>
      <c r="K4827" s="14" t="n">
        <v>0</v>
      </c>
      <c r="L4827" s="14" t="n">
        <v>0</v>
      </c>
      <c r="M4827" s="14">
        <f>IF(B4827="Frete de venda",0,(1-ISNUMBER(SEARCH("556",P4827)))*(I4827*VLOOKUP($B4827,Premissas!$A$4:$E$7,2,0)+J4827*VLOOKUP($B4827,Premissas!$A$4:$E$7,3,0))+K4827*VLOOKUP($B4827,Premissas!$A$4:$E$7,4,0)+L4827*VLOOKUP($B4827,Premissas!$A$4:$E$7,5,0))</f>
        <v/>
      </c>
      <c r="N4827" s="14">
        <f>H4827-M4827</f>
        <v/>
      </c>
      <c r="O4827" t="inlineStr">
        <is>
          <t>Sim</t>
        </is>
      </c>
      <c r="P4827" t="inlineStr">
        <is>
          <t>1.556</t>
        </is>
      </c>
    </row>
    <row r="4828">
      <c r="A4828" s="24" t="n">
        <v>46266</v>
      </c>
      <c r="B4828" t="inlineStr">
        <is>
          <t>Uso e consumo</t>
        </is>
      </c>
      <c r="C4828" t="inlineStr">
        <is>
          <t>2.04.91 Compra de Material de Limpeza</t>
        </is>
      </c>
      <c r="D4828" t="inlineStr">
        <is>
          <t>NF-e</t>
        </is>
      </c>
      <c r="E4828" t="inlineStr">
        <is>
          <t>000010435</t>
        </is>
      </c>
      <c r="F4828" t="inlineStr">
        <is>
          <t>BLEED S IND. E COM. DE PRODUTOS QUIMICOS E LUBRIF. LTDA</t>
        </is>
      </c>
      <c r="G4828" s="27" t="n">
        <v>46266</v>
      </c>
      <c r="H4828" s="14" t="n">
        <v>890</v>
      </c>
      <c r="I4828" s="14" t="n">
        <v>0</v>
      </c>
      <c r="J4828" s="14" t="n">
        <v>0</v>
      </c>
      <c r="K4828" s="14" t="n">
        <v>0</v>
      </c>
      <c r="L4828" s="14" t="n">
        <v>0</v>
      </c>
      <c r="M4828" s="14">
        <f>IF(B4828="Frete de venda",0,(1-ISNUMBER(SEARCH("556",P4828)))*(I4828*VLOOKUP($B4828,Premissas!$A$4:$E$7,2,0)+J4828*VLOOKUP($B4828,Premissas!$A$4:$E$7,3,0))+K4828*VLOOKUP($B4828,Premissas!$A$4:$E$7,4,0)+L4828*VLOOKUP($B4828,Premissas!$A$4:$E$7,5,0))</f>
        <v/>
      </c>
      <c r="N4828" s="14">
        <f>H4828-M4828</f>
        <v/>
      </c>
      <c r="O4828" t="inlineStr">
        <is>
          <t>Sim</t>
        </is>
      </c>
      <c r="P4828" t="inlineStr">
        <is>
          <t>1.556</t>
        </is>
      </c>
    </row>
    <row r="4829">
      <c r="A4829" s="24" t="n">
        <v>46266</v>
      </c>
      <c r="B4829" t="inlineStr">
        <is>
          <t>Uso e consumo</t>
        </is>
      </c>
      <c r="C4829" t="inlineStr">
        <is>
          <t>2.04.91 Compra de Material de Limpeza</t>
        </is>
      </c>
      <c r="D4829" t="inlineStr">
        <is>
          <t>NF-e</t>
        </is>
      </c>
      <c r="E4829" t="inlineStr">
        <is>
          <t>000001487</t>
        </is>
      </c>
      <c r="F4829" t="inlineStr">
        <is>
          <t>Limptech Paper Comercio Ltda</t>
        </is>
      </c>
      <c r="G4829" s="27" t="n">
        <v>46269</v>
      </c>
      <c r="H4829" s="14" t="n">
        <v>3118.5</v>
      </c>
      <c r="I4829" s="14" t="n">
        <v>0</v>
      </c>
      <c r="J4829" s="14" t="n">
        <v>0</v>
      </c>
      <c r="K4829" s="14" t="n">
        <v>0</v>
      </c>
      <c r="L4829" s="14" t="n">
        <v>0</v>
      </c>
      <c r="M4829" s="14">
        <f>IF(B4829="Frete de venda",0,(1-ISNUMBER(SEARCH("556",P4829)))*(I4829*VLOOKUP($B4829,Premissas!$A$4:$E$7,2,0)+J4829*VLOOKUP($B4829,Premissas!$A$4:$E$7,3,0))+K4829*VLOOKUP($B4829,Premissas!$A$4:$E$7,4,0)+L4829*VLOOKUP($B4829,Premissas!$A$4:$E$7,5,0))</f>
        <v/>
      </c>
      <c r="N4829" s="14">
        <f>H4829-M4829</f>
        <v/>
      </c>
      <c r="O4829" t="inlineStr">
        <is>
          <t>Sim</t>
        </is>
      </c>
      <c r="P4829" t="inlineStr">
        <is>
          <t>1.102, 1.556</t>
        </is>
      </c>
    </row>
    <row r="4830">
      <c r="A4830" s="24" t="n">
        <v>46266</v>
      </c>
      <c r="B4830" t="inlineStr">
        <is>
          <t>Uso e consumo</t>
        </is>
      </c>
      <c r="C4830" t="inlineStr">
        <is>
          <t>2.04.91 Compra de Material de Limpeza</t>
        </is>
      </c>
      <c r="D4830" t="inlineStr">
        <is>
          <t>NF-e</t>
        </is>
      </c>
      <c r="E4830" t="inlineStr">
        <is>
          <t>000001531</t>
        </is>
      </c>
      <c r="F4830" t="inlineStr">
        <is>
          <t>Limptech Paper Comercio Ltda</t>
        </is>
      </c>
      <c r="G4830" s="27" t="n">
        <v>46281</v>
      </c>
      <c r="H4830" s="14" t="n">
        <v>137.25</v>
      </c>
      <c r="I4830" s="14" t="n">
        <v>0</v>
      </c>
      <c r="J4830" s="14" t="n">
        <v>0</v>
      </c>
      <c r="K4830" s="14" t="n">
        <v>0</v>
      </c>
      <c r="L4830" s="14" t="n">
        <v>0</v>
      </c>
      <c r="M4830" s="14">
        <f>IF(B4830="Frete de venda",0,(1-ISNUMBER(SEARCH("556",P4830)))*(I4830*VLOOKUP($B4830,Premissas!$A$4:$E$7,2,0)+J4830*VLOOKUP($B4830,Premissas!$A$4:$E$7,3,0))+K4830*VLOOKUP($B4830,Premissas!$A$4:$E$7,4,0)+L4830*VLOOKUP($B4830,Premissas!$A$4:$E$7,5,0))</f>
        <v/>
      </c>
      <c r="N4830" s="14">
        <f>H4830-M4830</f>
        <v/>
      </c>
      <c r="O4830" t="inlineStr">
        <is>
          <t>Sim</t>
        </is>
      </c>
      <c r="P4830" t="inlineStr">
        <is>
          <t>1.556</t>
        </is>
      </c>
    </row>
    <row r="4831">
      <c r="A4831" s="24" t="n">
        <v>46266</v>
      </c>
      <c r="B4831" t="inlineStr">
        <is>
          <t>Uso e consumo</t>
        </is>
      </c>
      <c r="C4831" t="inlineStr">
        <is>
          <t>2.04.91 Compra de Material de Limpeza</t>
        </is>
      </c>
      <c r="D4831" t="inlineStr">
        <is>
          <t>NF-e</t>
        </is>
      </c>
      <c r="E4831" t="inlineStr">
        <is>
          <t>000001541</t>
        </is>
      </c>
      <c r="F4831" t="inlineStr">
        <is>
          <t>Limptech Paper Comercio Ltda</t>
        </is>
      </c>
      <c r="G4831" s="27" t="n">
        <v>46282</v>
      </c>
      <c r="H4831" s="14" t="n">
        <v>549</v>
      </c>
      <c r="I4831" s="14" t="n">
        <v>0</v>
      </c>
      <c r="J4831" s="14" t="n">
        <v>0</v>
      </c>
      <c r="K4831" s="14" t="n">
        <v>0</v>
      </c>
      <c r="L4831" s="14" t="n">
        <v>0</v>
      </c>
      <c r="M4831" s="14">
        <f>IF(B4831="Frete de venda",0,(1-ISNUMBER(SEARCH("556",P4831)))*(I4831*VLOOKUP($B4831,Premissas!$A$4:$E$7,2,0)+J4831*VLOOKUP($B4831,Premissas!$A$4:$E$7,3,0))+K4831*VLOOKUP($B4831,Premissas!$A$4:$E$7,4,0)+L4831*VLOOKUP($B4831,Premissas!$A$4:$E$7,5,0))</f>
        <v/>
      </c>
      <c r="N4831" s="14">
        <f>H4831-M4831</f>
        <v/>
      </c>
      <c r="O4831" t="inlineStr">
        <is>
          <t>Sim</t>
        </is>
      </c>
      <c r="P4831" t="inlineStr">
        <is>
          <t>1.556</t>
        </is>
      </c>
    </row>
    <row r="4832">
      <c r="A4832" s="24" t="n">
        <v>46235</v>
      </c>
      <c r="B4832" t="inlineStr">
        <is>
          <t>Frete de venda</t>
        </is>
      </c>
      <c r="C4832" t="inlineStr">
        <is>
          <t>Frete de venda (para clientes)</t>
        </is>
      </c>
      <c r="D4832" t="inlineStr">
        <is>
          <t>Pgto sem CT-e</t>
        </is>
      </c>
      <c r="E4832" t="inlineStr">
        <is>
          <t>000000056</t>
        </is>
      </c>
      <c r="F4832" t="inlineStr">
        <is>
          <t>26.221.654 ROGERIO DA CUNHA FERREIRA</t>
        </is>
      </c>
      <c r="G4832" s="27" t="n"/>
      <c r="H4832" s="14" t="n">
        <v>18300</v>
      </c>
      <c r="I4832" s="14" t="n">
        <v>0</v>
      </c>
      <c r="J4832" s="14" t="n">
        <v>0</v>
      </c>
      <c r="K4832" s="14" t="n">
        <v>0</v>
      </c>
      <c r="L4832" s="14" t="n">
        <v>0</v>
      </c>
      <c r="M4832" s="14">
        <f>IF(B4832="Frete de venda",0,(1-ISNUMBER(SEARCH("556",P4832)))*(I4832*VLOOKUP($B4832,Premissas!$A$4:$E$7,2,0)+J4832*VLOOKUP($B4832,Premissas!$A$4:$E$7,3,0))+K4832*VLOOKUP($B4832,Premissas!$A$4:$E$7,4,0)+L4832*VLOOKUP($B4832,Premissas!$A$4:$E$7,5,0))</f>
        <v/>
      </c>
      <c r="N4832" s="14">
        <f>H4832-M4832</f>
        <v/>
      </c>
      <c r="O4832" t="inlineStr">
        <is>
          <t>n/d</t>
        </is>
      </c>
    </row>
    <row r="4833">
      <c r="A4833" s="24" t="n">
        <v>46235</v>
      </c>
      <c r="B4833" t="inlineStr">
        <is>
          <t>Frete de venda</t>
        </is>
      </c>
      <c r="C4833" t="inlineStr">
        <is>
          <t>Frete de venda (para clientes)</t>
        </is>
      </c>
      <c r="D4833" t="inlineStr">
        <is>
          <t>Pgto sem CT-e</t>
        </is>
      </c>
      <c r="E4833" t="inlineStr">
        <is>
          <t>000000012</t>
        </is>
      </c>
      <c r="F4833" t="inlineStr">
        <is>
          <t>MARCOS RIBEIRO DE MELO</t>
        </is>
      </c>
      <c r="G4833" s="27" t="n"/>
      <c r="H4833" s="14" t="n">
        <v>13800</v>
      </c>
      <c r="I4833" s="14" t="n">
        <v>0</v>
      </c>
      <c r="J4833" s="14" t="n">
        <v>0</v>
      </c>
      <c r="K4833" s="14" t="n">
        <v>0</v>
      </c>
      <c r="L4833" s="14" t="n">
        <v>0</v>
      </c>
      <c r="M4833" s="14">
        <f>IF(B4833="Frete de venda",0,(1-ISNUMBER(SEARCH("556",P4833)))*(I4833*VLOOKUP($B4833,Premissas!$A$4:$E$7,2,0)+J4833*VLOOKUP($B4833,Premissas!$A$4:$E$7,3,0))+K4833*VLOOKUP($B4833,Premissas!$A$4:$E$7,4,0)+L4833*VLOOKUP($B4833,Premissas!$A$4:$E$7,5,0))</f>
        <v/>
      </c>
      <c r="N4833" s="14">
        <f>H4833-M4833</f>
        <v/>
      </c>
      <c r="O4833" t="inlineStr">
        <is>
          <t>n/d</t>
        </is>
      </c>
    </row>
    <row r="4834">
      <c r="A4834" s="24" t="n">
        <v>46235</v>
      </c>
      <c r="B4834" t="inlineStr">
        <is>
          <t>Frete de venda</t>
        </is>
      </c>
      <c r="C4834" t="inlineStr">
        <is>
          <t>Frete de venda (para clientes)</t>
        </is>
      </c>
      <c r="D4834" t="inlineStr">
        <is>
          <t>Pgto sem CT-e</t>
        </is>
      </c>
      <c r="E4834" t="inlineStr">
        <is>
          <t>000000070</t>
        </is>
      </c>
      <c r="F4834" t="inlineStr">
        <is>
          <t>PEDRO HENRIQUE MODESTO DE QUEIROZ SILVEIRA</t>
        </is>
      </c>
      <c r="G4834" s="27" t="n"/>
      <c r="H4834" s="14" t="n">
        <v>650</v>
      </c>
      <c r="I4834" s="14" t="n">
        <v>0</v>
      </c>
      <c r="J4834" s="14" t="n">
        <v>0</v>
      </c>
      <c r="K4834" s="14" t="n">
        <v>0</v>
      </c>
      <c r="L4834" s="14" t="n">
        <v>0</v>
      </c>
      <c r="M4834" s="14">
        <f>IF(B4834="Frete de venda",0,(1-ISNUMBER(SEARCH("556",P4834)))*(I4834*VLOOKUP($B4834,Premissas!$A$4:$E$7,2,0)+J4834*VLOOKUP($B4834,Premissas!$A$4:$E$7,3,0))+K4834*VLOOKUP($B4834,Premissas!$A$4:$E$7,4,0)+L4834*VLOOKUP($B4834,Premissas!$A$4:$E$7,5,0))</f>
        <v/>
      </c>
      <c r="N4834" s="14">
        <f>H4834-M4834</f>
        <v/>
      </c>
      <c r="O4834" t="inlineStr">
        <is>
          <t>n/d</t>
        </is>
      </c>
    </row>
    <row r="4835">
      <c r="A4835" s="24" t="n">
        <v>46235</v>
      </c>
      <c r="B4835" t="inlineStr">
        <is>
          <t>Frete de venda</t>
        </is>
      </c>
      <c r="C4835" t="inlineStr">
        <is>
          <t>Frete de venda (para clientes)</t>
        </is>
      </c>
      <c r="D4835" t="inlineStr">
        <is>
          <t>Pgto sem CT-e</t>
        </is>
      </c>
      <c r="E4835" t="inlineStr">
        <is>
          <t>FATURA</t>
        </is>
      </c>
      <c r="F4835" t="inlineStr">
        <is>
          <t>ADIL CARLOS DA SILVA</t>
        </is>
      </c>
      <c r="G4835" s="27" t="n"/>
      <c r="H4835" s="14" t="n">
        <v>34500</v>
      </c>
      <c r="I4835" s="14" t="n">
        <v>0</v>
      </c>
      <c r="J4835" s="14" t="n">
        <v>0</v>
      </c>
      <c r="K4835" s="14" t="n">
        <v>0</v>
      </c>
      <c r="L4835" s="14" t="n">
        <v>0</v>
      </c>
      <c r="M4835" s="14">
        <f>IF(B4835="Frete de venda",0,(1-ISNUMBER(SEARCH("556",P4835)))*(I4835*VLOOKUP($B4835,Premissas!$A$4:$E$7,2,0)+J4835*VLOOKUP($B4835,Premissas!$A$4:$E$7,3,0))+K4835*VLOOKUP($B4835,Premissas!$A$4:$E$7,4,0)+L4835*VLOOKUP($B4835,Premissas!$A$4:$E$7,5,0))</f>
        <v/>
      </c>
      <c r="N4835" s="14">
        <f>H4835-M4835</f>
        <v/>
      </c>
      <c r="O4835" t="inlineStr">
        <is>
          <t>n/d</t>
        </is>
      </c>
    </row>
  </sheetData>
  <autoFilter ref="A1:P48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Créditos de impostos recuperáveis abatidos do custo (1 = abate, 0 = não abate). Editável.</t>
        </is>
      </c>
    </row>
    <row r="3">
      <c r="A3" s="2" t="inlineStr">
        <is>
          <t>Destino</t>
        </is>
      </c>
      <c r="B3" s="2" t="inlineStr">
        <is>
          <t>IPI</t>
        </is>
      </c>
      <c r="C3" s="2" t="inlineStr">
        <is>
          <t>ICMS</t>
        </is>
      </c>
      <c r="D3" s="2" t="inlineStr">
        <is>
          <t>PIS</t>
        </is>
      </c>
      <c r="E3" s="2" t="inlineStr">
        <is>
          <t>COFINS</t>
        </is>
      </c>
    </row>
    <row r="4">
      <c r="A4" t="inlineStr">
        <is>
          <t>Insumos e papel</t>
        </is>
      </c>
      <c r="B4" s="16" t="n">
        <v>1</v>
      </c>
      <c r="C4" s="16" t="n">
        <v>1</v>
      </c>
      <c r="D4" s="16" t="n">
        <v>1</v>
      </c>
      <c r="E4" s="16" t="n">
        <v>1</v>
      </c>
    </row>
    <row r="5">
      <c r="A5" t="inlineStr">
        <is>
          <t>Uso e consumo</t>
        </is>
      </c>
      <c r="B5" s="16" t="n">
        <v>0</v>
      </c>
      <c r="C5" s="16" t="n">
        <v>0</v>
      </c>
      <c r="D5" s="16" t="n">
        <v>1</v>
      </c>
      <c r="E5" s="16" t="n">
        <v>1</v>
      </c>
    </row>
    <row r="6">
      <c r="A6" t="inlineStr">
        <is>
          <t>Frete de compra</t>
        </is>
      </c>
      <c r="B6" s="16" t="n">
        <v>0</v>
      </c>
      <c r="C6" s="16" t="n">
        <v>1</v>
      </c>
      <c r="D6" s="16" t="n">
        <v>0</v>
      </c>
      <c r="E6" s="16" t="n">
        <v>0</v>
      </c>
    </row>
    <row r="7">
      <c r="A7" t="inlineStr">
        <is>
          <t>Frete de venda</t>
        </is>
      </c>
      <c r="B7" s="16" t="n">
        <v>0</v>
      </c>
      <c r="C7" s="16" t="n">
        <v>0</v>
      </c>
      <c r="D7" s="16" t="n">
        <v>0</v>
      </c>
      <c r="E7" s="16" t="n">
        <v>0</v>
      </c>
    </row>
    <row r="9">
      <c r="A9" t="inlineStr">
        <is>
          <t>Premissas:</t>
        </is>
      </c>
    </row>
    <row r="10">
      <c r="A10" t="inlineStr">
        <is>
          <t>1) Base = pagamentos efetivos: NF-e só entra se gerou título a pagar; exclui remessa (2.01.84), transferências 0.01, x.949, x.922 e grupo 2.09 devoluções.</t>
        </is>
      </c>
    </row>
    <row r="11">
      <c r="A11" t="inlineStr">
        <is>
          <t>2) Valores da aba Notas são brutos (com IPI/ST/frete destacado). Custo líquido = valor − créditos marcados acima (padrão: Lucro Real não cumulativo). ICMS-ST nunca é abatido.</t>
        </is>
      </c>
    </row>
    <row r="12">
      <c r="A12" t="inlineStr">
        <is>
          <t>3) Uso e consumo: ICMS/IPI sem crédito (CFOP x.556); só PIS/COFINS. Frete de compra: só ICMS. Frete de venda é despesa comercial, sem crédito. Ajuste se o contador orientar diferente.</t>
        </is>
      </c>
    </row>
    <row r="13">
      <c r="A13" t="inlineStr">
        <is>
          <t>4) Parecer fiscal: documentos com CFOP x.556 (compra para uso e consumo) não geram crédito de ICMS nem IPI; a Base zera esses créditos automaticamente (coluna CFOPs entrada). PIS/COFINS seguem as marcações da tabela.</t>
        </is>
      </c>
    </row>
    <row r="14">
      <c r="A14" t="inlineStr">
        <is>
          <t>4b) Em 14 documentos rateados por categoria os impostos constam só na 1ª linha; efeito pequeno.</t>
        </is>
      </c>
    </row>
    <row r="15">
      <c r="A15" t="inlineStr">
        <is>
          <t>5) Competência = mês de emissão. Documentos emitidos antes de 2026 e conferidos em 2026 aparecem na coluna Memo, fora do Total.</t>
        </is>
      </c>
    </row>
    <row r="16">
      <c r="A16" t="inlineStr">
        <is>
          <t>6) Esta planilha é só de despesas (sem receita, estoque ou DRE). A aba Fora do escopo lista o que foi pago mas não é almoxarifado nem frete de venda (imobilizado, manutenção, brindes, aluguel de contêiner etc.).</t>
        </is>
      </c>
    </row>
    <row r="17">
      <c r="A17" t="inlineStr">
        <is>
          <t>7) Fora do escopo desta DRE: imobilizado (2.07), manutenção, brindes, combustível, sede etc. (ver almoxarifado_e_frete_venda_2026.xlsx, aba Fora do escopo).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28" customWidth="1" min="4" max="4"/>
    <col width="38" customWidth="1" min="5" max="5"/>
    <col width="7" customWidth="1" min="6" max="6"/>
    <col width="11" customWidth="1" min="7" max="7"/>
    <col width="40" customWidth="1" min="8" max="8"/>
    <col width="20" customWidth="1" min="9" max="9"/>
    <col width="12" customWidth="1" min="10" max="10"/>
    <col width="15" customWidth="1" min="11" max="11"/>
    <col width="10" customWidth="1" min="12" max="12"/>
    <col width="40" customWidth="1" min="13" max="13"/>
  </cols>
  <sheetData>
    <row r="1">
      <c r="A1" s="2" t="inlineStr">
        <is>
          <t>Mês (emissão)</t>
        </is>
      </c>
      <c r="B1" s="2" t="inlineStr">
        <is>
          <t>Bloco anterior</t>
        </is>
      </c>
      <c r="C1" s="2" t="inlineStr">
        <is>
          <t>Seção</t>
        </is>
      </c>
      <c r="D1" s="2" t="inlineStr">
        <is>
          <t>Grupo</t>
        </is>
      </c>
      <c r="E1" s="2" t="inlineStr">
        <is>
          <t>Categoria do Omie</t>
        </is>
      </c>
      <c r="F1" s="2" t="inlineStr">
        <is>
          <t>Tipo</t>
        </is>
      </c>
      <c r="G1" s="2" t="inlineStr">
        <is>
          <t>Número</t>
        </is>
      </c>
      <c r="H1" s="2" t="inlineStr">
        <is>
          <t>Parte / Transportadora</t>
        </is>
      </c>
      <c r="I1" s="2" t="inlineStr">
        <is>
          <t>CNPJ/CPF</t>
        </is>
      </c>
      <c r="J1" s="2" t="inlineStr">
        <is>
          <t>Emissão</t>
        </is>
      </c>
      <c r="K1" s="2" t="inlineStr">
        <is>
          <t>Valor (R$)</t>
        </is>
      </c>
      <c r="L1" s="2" t="inlineStr">
        <is>
          <t>Gerou título a pagar</t>
        </is>
      </c>
      <c r="M1" s="2" t="inlineStr">
        <is>
          <t>Observação</t>
        </is>
      </c>
    </row>
    <row r="2">
      <c r="A2" t="inlineStr">
        <is>
          <t>Antes de 2026</t>
        </is>
      </c>
      <c r="B2" t="inlineStr">
        <is>
          <t>Investimento (imobilizado)</t>
        </is>
      </c>
      <c r="C2" t="inlineStr">
        <is>
          <t>NF-e</t>
        </is>
      </c>
      <c r="D2" t="inlineStr">
        <is>
          <t>2.07 Investimento</t>
        </is>
      </c>
      <c r="E2" t="inlineStr">
        <is>
          <t>2.07.01 Máquinas e Equipamentos</t>
        </is>
      </c>
      <c r="F2" t="inlineStr">
        <is>
          <t>NF-e</t>
        </is>
      </c>
      <c r="G2" t="inlineStr">
        <is>
          <t>008094334</t>
        </is>
      </c>
      <c r="H2" t="inlineStr">
        <is>
          <t>DELL COMPUTADORES DO BRASIL LTDA</t>
        </is>
      </c>
      <c r="I2" t="inlineStr">
        <is>
          <t>72.381.189/0010-01</t>
        </is>
      </c>
      <c r="J2" s="27" t="n">
        <v>45945</v>
      </c>
      <c r="K2" s="14" t="n">
        <v>1160.04</v>
      </c>
      <c r="L2" t="inlineStr">
        <is>
          <t>Sim</t>
        </is>
      </c>
    </row>
    <row r="3">
      <c r="A3" t="inlineStr">
        <is>
          <t>Antes de 2026</t>
        </is>
      </c>
      <c r="B3" t="inlineStr">
        <is>
          <t>Investimento (imobilizado)</t>
        </is>
      </c>
      <c r="C3" t="inlineStr">
        <is>
          <t>NF-e</t>
        </is>
      </c>
      <c r="D3" t="inlineStr">
        <is>
          <t>2.07 Investimento</t>
        </is>
      </c>
      <c r="E3" t="inlineStr">
        <is>
          <t>2.07.01 Máquinas e Equipamentos</t>
        </is>
      </c>
      <c r="F3" t="inlineStr">
        <is>
          <t>NF-e</t>
        </is>
      </c>
      <c r="G3" t="inlineStr">
        <is>
          <t>000070767</t>
        </is>
      </c>
      <c r="H3" t="inlineStr">
        <is>
          <t>FURNAX COMERCIAL E IMPORTADORA EIRELI</t>
        </is>
      </c>
      <c r="I3" t="inlineStr">
        <is>
          <t>00.144.257/0001-17</t>
        </is>
      </c>
      <c r="J3" s="27" t="n">
        <v>46006</v>
      </c>
      <c r="K3" s="14" t="n">
        <v>2065</v>
      </c>
      <c r="L3" t="inlineStr">
        <is>
          <t>Sim</t>
        </is>
      </c>
    </row>
    <row r="4">
      <c r="A4" t="inlineStr">
        <is>
          <t>Antes de 2026</t>
        </is>
      </c>
      <c r="B4" t="inlineStr">
        <is>
          <t>Investimento (imobilizado)</t>
        </is>
      </c>
      <c r="C4" t="inlineStr">
        <is>
          <t>NF-e</t>
        </is>
      </c>
      <c r="D4" t="inlineStr">
        <is>
          <t>2.07 Investimento</t>
        </is>
      </c>
      <c r="E4" t="inlineStr">
        <is>
          <t>2.07.05 Compra de Móveis e Utensílios</t>
        </is>
      </c>
      <c r="F4" t="inlineStr">
        <is>
          <t>NF-e</t>
        </is>
      </c>
      <c r="G4" t="inlineStr">
        <is>
          <t>000000221</t>
        </is>
      </c>
      <c r="H4" t="inlineStr">
        <is>
          <t>INOVAMAIS</t>
        </is>
      </c>
      <c r="I4" t="inlineStr">
        <is>
          <t>30.087.865/0001-06</t>
        </is>
      </c>
      <c r="J4" s="27" t="n">
        <v>45986</v>
      </c>
      <c r="K4" s="14" t="n">
        <v>7306.8</v>
      </c>
      <c r="L4" t="inlineStr">
        <is>
          <t>Sim</t>
        </is>
      </c>
    </row>
    <row r="5">
      <c r="A5" t="inlineStr">
        <is>
          <t>Antes de 2026</t>
        </is>
      </c>
      <c r="B5" t="inlineStr">
        <is>
          <t>Despesas gerais</t>
        </is>
      </c>
      <c r="C5" t="inlineStr">
        <is>
          <t>NF-e</t>
        </is>
      </c>
      <c r="D5" t="inlineStr">
        <is>
          <t>2.16 Sede Vinco</t>
        </is>
      </c>
      <c r="E5" t="inlineStr">
        <is>
          <t>2.16.94 Sede - Despesas Gerais</t>
        </is>
      </c>
      <c r="F5" t="inlineStr">
        <is>
          <t>NF-e</t>
        </is>
      </c>
      <c r="G5" t="inlineStr">
        <is>
          <t>000000003</t>
        </is>
      </c>
      <c r="H5" t="inlineStr">
        <is>
          <t>TREVO CIMENTO LTDA</t>
        </is>
      </c>
      <c r="I5" t="inlineStr">
        <is>
          <t>55.314.437/0001-91</t>
        </is>
      </c>
      <c r="J5" s="27" t="n">
        <v>46008</v>
      </c>
      <c r="K5" s="14" t="n">
        <v>6000</v>
      </c>
      <c r="L5" t="inlineStr">
        <is>
          <t>Sim</t>
        </is>
      </c>
    </row>
    <row r="6">
      <c r="A6" t="inlineStr">
        <is>
          <t>Antes de 2026</t>
        </is>
      </c>
      <c r="B6" t="inlineStr">
        <is>
          <t>Despesas gerais</t>
        </is>
      </c>
      <c r="C6" t="inlineStr">
        <is>
          <t>NF-e</t>
        </is>
      </c>
      <c r="D6" t="inlineStr">
        <is>
          <t>2.16 Sede Vinco</t>
        </is>
      </c>
      <c r="E6" t="inlineStr">
        <is>
          <t>2.16.98 Aporte - Embalafoods (Sede)</t>
        </is>
      </c>
      <c r="F6" t="inlineStr">
        <is>
          <t>NF-e</t>
        </is>
      </c>
      <c r="G6" t="inlineStr">
        <is>
          <t>000000150</t>
        </is>
      </c>
      <c r="H6" t="inlineStr">
        <is>
          <t>TREVO CIMENTO LTDA</t>
        </is>
      </c>
      <c r="I6" t="inlineStr">
        <is>
          <t>55.314.437/0001-91</t>
        </is>
      </c>
      <c r="J6" s="27" t="n">
        <v>45995</v>
      </c>
      <c r="K6" s="14" t="n">
        <v>6000</v>
      </c>
      <c r="L6" t="inlineStr">
        <is>
          <t>Sim</t>
        </is>
      </c>
    </row>
    <row r="7">
      <c r="A7" s="24" t="n">
        <v>46023</v>
      </c>
      <c r="B7" t="inlineStr">
        <is>
          <t>Despesas gerais</t>
        </is>
      </c>
      <c r="C7" t="inlineStr">
        <is>
          <t>NF-e</t>
        </is>
      </c>
      <c r="D7" t="inlineStr">
        <is>
          <t>2.02 Despesas Comerciais</t>
        </is>
      </c>
      <c r="E7" t="inlineStr">
        <is>
          <t>2.02.95 Brindes</t>
        </is>
      </c>
      <c r="F7" t="inlineStr">
        <is>
          <t>NF-e</t>
        </is>
      </c>
      <c r="G7" t="inlineStr">
        <is>
          <t>000001979</t>
        </is>
      </c>
      <c r="H7" t="inlineStr">
        <is>
          <t>KASSUA.COM.BR LTDA</t>
        </is>
      </c>
      <c r="I7" t="inlineStr">
        <is>
          <t>42.948.791/0001-26</t>
        </is>
      </c>
      <c r="J7" s="27" t="n">
        <v>46044</v>
      </c>
      <c r="K7" s="14" t="n">
        <v>748</v>
      </c>
      <c r="L7" t="inlineStr">
        <is>
          <t>Sim</t>
        </is>
      </c>
    </row>
    <row r="8">
      <c r="A8" s="24" t="n">
        <v>46023</v>
      </c>
      <c r="B8" t="inlineStr">
        <is>
          <t>Investimento (imobilizado)</t>
        </is>
      </c>
      <c r="C8" t="inlineStr">
        <is>
          <t>NF-e</t>
        </is>
      </c>
      <c r="D8" t="inlineStr">
        <is>
          <t>2.07 Investimento</t>
        </is>
      </c>
      <c r="E8" t="inlineStr">
        <is>
          <t>2.07.01 Máquinas e Equipamentos</t>
        </is>
      </c>
      <c r="F8" t="inlineStr">
        <is>
          <t>NF-e</t>
        </is>
      </c>
      <c r="G8" t="inlineStr">
        <is>
          <t>000082330</t>
        </is>
      </c>
      <c r="H8" t="inlineStr">
        <is>
          <t>KALUNGA SA</t>
        </is>
      </c>
      <c r="I8" t="inlineStr">
        <is>
          <t>43.283.811/0198-45</t>
        </is>
      </c>
      <c r="J8" s="27" t="n">
        <v>46049</v>
      </c>
      <c r="K8" s="14" t="n">
        <v>39.9</v>
      </c>
      <c r="L8" t="inlineStr">
        <is>
          <t>Sim</t>
        </is>
      </c>
    </row>
    <row r="9">
      <c r="A9" s="24" t="n">
        <v>46023</v>
      </c>
      <c r="B9" t="inlineStr">
        <is>
          <t>Investimento (imobilizado)</t>
        </is>
      </c>
      <c r="C9" t="inlineStr">
        <is>
          <t>NF-e</t>
        </is>
      </c>
      <c r="D9" t="inlineStr">
        <is>
          <t>2.07 Investimento</t>
        </is>
      </c>
      <c r="E9" t="inlineStr">
        <is>
          <t>2.07.01 Máquinas e Equipamentos</t>
        </is>
      </c>
      <c r="F9" t="inlineStr">
        <is>
          <t>NF-e</t>
        </is>
      </c>
      <c r="G9" t="inlineStr">
        <is>
          <t>000241188</t>
        </is>
      </c>
      <c r="H9" t="inlineStr">
        <is>
          <t>NORDIFE MATERIAIS ELETRICOS LTDA</t>
        </is>
      </c>
      <c r="I9" t="inlineStr">
        <is>
          <t>35.589.365/0004-20</t>
        </is>
      </c>
      <c r="J9" s="27" t="n">
        <v>46052</v>
      </c>
      <c r="K9" s="14" t="n">
        <v>811.62</v>
      </c>
      <c r="L9" t="inlineStr">
        <is>
          <t>Sim</t>
        </is>
      </c>
    </row>
    <row r="10">
      <c r="A10" s="24" t="n">
        <v>46023</v>
      </c>
      <c r="B10" t="inlineStr">
        <is>
          <t>Investimento (imobilizado)</t>
        </is>
      </c>
      <c r="C10" t="inlineStr">
        <is>
          <t>NF-e</t>
        </is>
      </c>
      <c r="D10" t="inlineStr">
        <is>
          <t>2.07 Investimento</t>
        </is>
      </c>
      <c r="E10" t="inlineStr">
        <is>
          <t>2.07.04 Equipamentos de Informática</t>
        </is>
      </c>
      <c r="F10" t="inlineStr">
        <is>
          <t>NF-e</t>
        </is>
      </c>
      <c r="G10" t="inlineStr">
        <is>
          <t>000043368</t>
        </is>
      </c>
      <c r="H10" t="inlineStr">
        <is>
          <t>MIRANDA COMPUTACAO E COMERCIO LTDA</t>
        </is>
      </c>
      <c r="I10" t="inlineStr">
        <is>
          <t>11.982.113/0011-28</t>
        </is>
      </c>
      <c r="J10" s="27" t="n">
        <v>46041</v>
      </c>
      <c r="K10" s="14" t="n">
        <v>578</v>
      </c>
      <c r="L10" t="inlineStr">
        <is>
          <t>Sim</t>
        </is>
      </c>
    </row>
    <row r="11">
      <c r="A11" s="24" t="n">
        <v>46023</v>
      </c>
      <c r="B11" t="inlineStr">
        <is>
          <t>Investimento (imobilizado)</t>
        </is>
      </c>
      <c r="C11" t="inlineStr">
        <is>
          <t>NF-e</t>
        </is>
      </c>
      <c r="D11" t="inlineStr">
        <is>
          <t>2.07 Investimento</t>
        </is>
      </c>
      <c r="E11" t="inlineStr">
        <is>
          <t>2.07.04 Equipamentos de Informática</t>
        </is>
      </c>
      <c r="F11" t="inlineStr">
        <is>
          <t>NF-e</t>
        </is>
      </c>
      <c r="G11" t="inlineStr">
        <is>
          <t>000043597</t>
        </is>
      </c>
      <c r="H11" t="inlineStr">
        <is>
          <t>MIRANDA COMPUTACAO E COMERCIO LTDA</t>
        </is>
      </c>
      <c r="I11" t="inlineStr">
        <is>
          <t>11.982.113/0011-28</t>
        </is>
      </c>
      <c r="J11" s="27" t="n">
        <v>46049</v>
      </c>
      <c r="K11" s="14" t="n">
        <v>332.02</v>
      </c>
      <c r="L11" t="inlineStr">
        <is>
          <t>Sim</t>
        </is>
      </c>
    </row>
    <row r="12">
      <c r="A12" s="24" t="n">
        <v>46023</v>
      </c>
      <c r="B12" t="inlineStr">
        <is>
          <t>Investimento (imobilizado)</t>
        </is>
      </c>
      <c r="C12" t="inlineStr">
        <is>
          <t>NF-e</t>
        </is>
      </c>
      <c r="D12" t="inlineStr">
        <is>
          <t>2.07 Investimento</t>
        </is>
      </c>
      <c r="E12" t="inlineStr">
        <is>
          <t>2.07.05 Compra de Móveis e Utensílios</t>
        </is>
      </c>
      <c r="F12" t="inlineStr">
        <is>
          <t>NF-e</t>
        </is>
      </c>
      <c r="G12" t="inlineStr">
        <is>
          <t>000003780</t>
        </is>
      </c>
      <c r="H12" t="inlineStr">
        <is>
          <t>THIAGO GABRIEL MOVEIS LTDA</t>
        </is>
      </c>
      <c r="I12" t="inlineStr">
        <is>
          <t>47.698.480/0001-70</t>
        </is>
      </c>
      <c r="J12" s="27" t="n">
        <v>46052</v>
      </c>
      <c r="K12" s="14" t="n">
        <v>4380</v>
      </c>
      <c r="L12" t="inlineStr">
        <is>
          <t>Sim</t>
        </is>
      </c>
    </row>
    <row r="13">
      <c r="A13" s="24" t="n">
        <v>46023</v>
      </c>
      <c r="B13" t="inlineStr">
        <is>
          <t>Despesas gerais</t>
        </is>
      </c>
      <c r="C13" t="inlineStr">
        <is>
          <t>NF-e</t>
        </is>
      </c>
      <c r="D13" t="inlineStr">
        <is>
          <t>2.12 Despesas com Veículos</t>
        </is>
      </c>
      <c r="E13" t="inlineStr">
        <is>
          <t>2.12.99 Combustível</t>
        </is>
      </c>
      <c r="F13" t="inlineStr">
        <is>
          <t>NF-e</t>
        </is>
      </c>
      <c r="G13" t="inlineStr">
        <is>
          <t>000006726</t>
        </is>
      </c>
      <c r="H13" t="inlineStr">
        <is>
          <t>SUPERGASBRAS ENERGIA LTDA</t>
        </is>
      </c>
      <c r="I13" t="inlineStr">
        <is>
          <t>19.791.896/0166-00</t>
        </is>
      </c>
      <c r="J13" s="27" t="n">
        <v>46041</v>
      </c>
      <c r="K13" s="14" t="n">
        <v>615.5599999999999</v>
      </c>
      <c r="L13" t="inlineStr">
        <is>
          <t>Sim</t>
        </is>
      </c>
    </row>
    <row r="14">
      <c r="A14" s="24" t="n">
        <v>46054</v>
      </c>
      <c r="B14" t="inlineStr">
        <is>
          <t>Serviços e manutenção</t>
        </is>
      </c>
      <c r="C14" t="inlineStr">
        <is>
          <t>NF-e</t>
        </is>
      </c>
      <c r="D14" t="inlineStr">
        <is>
          <t>2.01 Custos</t>
        </is>
      </c>
      <c r="E14" t="inlineStr">
        <is>
          <t>2.01.88 Manutenção e Conservação de Máquina</t>
        </is>
      </c>
      <c r="F14" t="inlineStr">
        <is>
          <t>NF-e</t>
        </is>
      </c>
      <c r="G14" t="inlineStr">
        <is>
          <t>000004536</t>
        </is>
      </c>
      <c r="H14" t="inlineStr">
        <is>
          <t>ARLINDO ALVES PASCOAL JUNIOR</t>
        </is>
      </c>
      <c r="I14" t="inlineStr">
        <is>
          <t>08.624.940/0001-63</t>
        </is>
      </c>
      <c r="J14" s="27" t="n">
        <v>46066</v>
      </c>
      <c r="K14" s="14" t="n">
        <v>3340</v>
      </c>
      <c r="L14" t="inlineStr">
        <is>
          <t>Sim</t>
        </is>
      </c>
    </row>
    <row r="15">
      <c r="A15" s="24" t="n">
        <v>46054</v>
      </c>
      <c r="B15" t="inlineStr">
        <is>
          <t>Serviços e manutenção</t>
        </is>
      </c>
      <c r="C15" t="inlineStr">
        <is>
          <t>NF-e</t>
        </is>
      </c>
      <c r="D15" t="inlineStr">
        <is>
          <t>2.01 Custos</t>
        </is>
      </c>
      <c r="E15" t="inlineStr">
        <is>
          <t>2.01.88 Manutenção e Conservação de Máquina</t>
        </is>
      </c>
      <c r="F15" t="inlineStr">
        <is>
          <t>NF-e</t>
        </is>
      </c>
      <c r="G15" t="inlineStr">
        <is>
          <t>000004537</t>
        </is>
      </c>
      <c r="H15" t="inlineStr">
        <is>
          <t>ARLINDO ALVES PASCOAL JUNIOR</t>
        </is>
      </c>
      <c r="I15" t="inlineStr">
        <is>
          <t>08.624.940/0001-63</t>
        </is>
      </c>
      <c r="J15" s="27" t="n">
        <v>46067</v>
      </c>
      <c r="K15" s="14" t="n">
        <v>2849.6</v>
      </c>
      <c r="L15" t="inlineStr">
        <is>
          <t>Sim</t>
        </is>
      </c>
    </row>
    <row r="16">
      <c r="A16" s="24" t="n">
        <v>46054</v>
      </c>
      <c r="B16" t="inlineStr">
        <is>
          <t>Serviços e manutenção</t>
        </is>
      </c>
      <c r="C16" t="inlineStr">
        <is>
          <t>NF-e</t>
        </is>
      </c>
      <c r="D16" t="inlineStr">
        <is>
          <t>2.01 Custos</t>
        </is>
      </c>
      <c r="E16" t="inlineStr">
        <is>
          <t>2.01.88 Manutenção e Conservação de Máquina</t>
        </is>
      </c>
      <c r="F16" t="inlineStr">
        <is>
          <t>NF-e</t>
        </is>
      </c>
      <c r="G16" t="inlineStr">
        <is>
          <t>000004546</t>
        </is>
      </c>
      <c r="H16" t="inlineStr">
        <is>
          <t>ARLINDO ALVES PASCOAL JUNIOR</t>
        </is>
      </c>
      <c r="I16" t="inlineStr">
        <is>
          <t>08.624.940/0001-63</t>
        </is>
      </c>
      <c r="J16" s="27" t="n">
        <v>46078</v>
      </c>
      <c r="K16" s="14" t="n">
        <v>3060</v>
      </c>
      <c r="L16" t="inlineStr">
        <is>
          <t>Sim</t>
        </is>
      </c>
    </row>
    <row r="17">
      <c r="A17" s="24" t="n">
        <v>46054</v>
      </c>
      <c r="B17" t="inlineStr">
        <is>
          <t>Serviços e manutenção</t>
        </is>
      </c>
      <c r="C17" t="inlineStr">
        <is>
          <t>NF-e</t>
        </is>
      </c>
      <c r="D17" t="inlineStr">
        <is>
          <t>2.01 Custos</t>
        </is>
      </c>
      <c r="E17" t="inlineStr">
        <is>
          <t>2.01.88 Manutenção e Conservação de Máquina</t>
        </is>
      </c>
      <c r="F17" t="inlineStr">
        <is>
          <t>NF-e</t>
        </is>
      </c>
      <c r="G17" t="inlineStr">
        <is>
          <t>000004547</t>
        </is>
      </c>
      <c r="H17" t="inlineStr">
        <is>
          <t>ARLINDO ALVES PASCOAL JUNIOR</t>
        </is>
      </c>
      <c r="I17" t="inlineStr">
        <is>
          <t>08.624.940/0001-63</t>
        </is>
      </c>
      <c r="J17" s="27" t="n">
        <v>46078</v>
      </c>
      <c r="K17" s="14" t="n">
        <v>270</v>
      </c>
      <c r="L17" t="inlineStr">
        <is>
          <t>Sim</t>
        </is>
      </c>
    </row>
    <row r="18">
      <c r="A18" s="24" t="n">
        <v>46054</v>
      </c>
      <c r="B18" t="inlineStr">
        <is>
          <t>Serviços e manutenção</t>
        </is>
      </c>
      <c r="C18" t="inlineStr">
        <is>
          <t>NF-e</t>
        </is>
      </c>
      <c r="D18" t="inlineStr">
        <is>
          <t>2.01 Custos</t>
        </is>
      </c>
      <c r="E18" t="inlineStr">
        <is>
          <t>2.01.88 Manutenção e Conservação de Máquina</t>
        </is>
      </c>
      <c r="F18" t="inlineStr">
        <is>
          <t>NF-e</t>
        </is>
      </c>
      <c r="G18" t="inlineStr">
        <is>
          <t>000093202</t>
        </is>
      </c>
      <c r="H18" t="inlineStr">
        <is>
          <t>BENE COMERCIO VAREJISTA E ATACADISTA LTDA</t>
        </is>
      </c>
      <c r="I18" t="inlineStr">
        <is>
          <t>02.994.420/0001-66</t>
        </is>
      </c>
      <c r="J18" s="27" t="n">
        <v>46065</v>
      </c>
      <c r="K18" s="14" t="n">
        <v>8</v>
      </c>
      <c r="L18" t="inlineStr">
        <is>
          <t>Sim</t>
        </is>
      </c>
    </row>
    <row r="19">
      <c r="A19" s="24" t="n">
        <v>46054</v>
      </c>
      <c r="B19" t="inlineStr">
        <is>
          <t>Serviços e manutenção</t>
        </is>
      </c>
      <c r="C19" t="inlineStr">
        <is>
          <t>NF-e</t>
        </is>
      </c>
      <c r="D19" t="inlineStr">
        <is>
          <t>2.01 Custos</t>
        </is>
      </c>
      <c r="E19" t="inlineStr">
        <is>
          <t>2.01.88 Manutenção e Conservação de Máquina</t>
        </is>
      </c>
      <c r="F19" t="inlineStr">
        <is>
          <t>NF-e</t>
        </is>
      </c>
      <c r="G19" t="inlineStr">
        <is>
          <t>000102005</t>
        </is>
      </c>
      <c r="H19" t="inlineStr">
        <is>
          <t>FERGE COMERCIO DE PRODUTOS INDUSTRIAIS LTDA</t>
        </is>
      </c>
      <c r="I19" t="inlineStr">
        <is>
          <t>09.057.961/0001-07</t>
        </is>
      </c>
      <c r="J19" s="27" t="n">
        <v>46076</v>
      </c>
      <c r="K19" s="14" t="n">
        <v>282</v>
      </c>
      <c r="L19" t="inlineStr">
        <is>
          <t>Sim</t>
        </is>
      </c>
    </row>
    <row r="20">
      <c r="A20" s="24" t="n">
        <v>46054</v>
      </c>
      <c r="B20" t="inlineStr">
        <is>
          <t>Investimento (imobilizado)</t>
        </is>
      </c>
      <c r="C20" t="inlineStr">
        <is>
          <t>NF-e</t>
        </is>
      </c>
      <c r="D20" t="inlineStr">
        <is>
          <t>2.07 Investimento</t>
        </is>
      </c>
      <c r="E20" t="inlineStr">
        <is>
          <t>2.07.01 Máquinas e Equipamentos</t>
        </is>
      </c>
      <c r="F20" t="inlineStr">
        <is>
          <t>NF-e</t>
        </is>
      </c>
      <c r="G20" t="inlineStr">
        <is>
          <t>000209851</t>
        </is>
      </c>
      <c r="H20" t="inlineStr">
        <is>
          <t>CJO LOJA DE VARIEDADES LTDA</t>
        </is>
      </c>
      <c r="I20" t="inlineStr">
        <is>
          <t>42.470.035/0001-34</t>
        </is>
      </c>
      <c r="J20" s="27" t="n">
        <v>46080</v>
      </c>
      <c r="K20" s="14" t="n">
        <v>73.08</v>
      </c>
      <c r="L20" t="inlineStr">
        <is>
          <t>Sim</t>
        </is>
      </c>
    </row>
    <row r="21">
      <c r="A21" s="24" t="n">
        <v>46054</v>
      </c>
      <c r="B21" t="inlineStr">
        <is>
          <t>Investimento (imobilizado)</t>
        </is>
      </c>
      <c r="C21" t="inlineStr">
        <is>
          <t>NF-e</t>
        </is>
      </c>
      <c r="D21" t="inlineStr">
        <is>
          <t>2.07 Investimento</t>
        </is>
      </c>
      <c r="E21" t="inlineStr">
        <is>
          <t>2.07.01 Máquinas e Equipamentos</t>
        </is>
      </c>
      <c r="F21" t="inlineStr">
        <is>
          <t>NF-e</t>
        </is>
      </c>
      <c r="G21" t="inlineStr">
        <is>
          <t>000000058</t>
        </is>
      </c>
      <c r="H21" t="inlineStr">
        <is>
          <t>EFATA CONST E COM ATACADISTA DE CAL E CIMENTOS LTDA</t>
        </is>
      </c>
      <c r="I21" t="inlineStr">
        <is>
          <t>53.581.184/0001-97</t>
        </is>
      </c>
      <c r="J21" s="27" t="n">
        <v>46077</v>
      </c>
      <c r="K21" s="14" t="n">
        <v>870.8</v>
      </c>
      <c r="L21" t="inlineStr">
        <is>
          <t>Sim</t>
        </is>
      </c>
    </row>
    <row r="22">
      <c r="A22" s="24" t="n">
        <v>46054</v>
      </c>
      <c r="B22" t="inlineStr">
        <is>
          <t>Investimento (imobilizado)</t>
        </is>
      </c>
      <c r="C22" t="inlineStr">
        <is>
          <t>NF-e</t>
        </is>
      </c>
      <c r="D22" t="inlineStr">
        <is>
          <t>2.07 Investimento</t>
        </is>
      </c>
      <c r="E22" t="inlineStr">
        <is>
          <t>2.07.04 Equipamentos de Informática</t>
        </is>
      </c>
      <c r="F22" t="inlineStr">
        <is>
          <t>NF-e</t>
        </is>
      </c>
      <c r="G22" t="inlineStr">
        <is>
          <t>000043936</t>
        </is>
      </c>
      <c r="H22" t="inlineStr">
        <is>
          <t>MIRANDA COMPUTACAO E COMERCIO LTDA</t>
        </is>
      </c>
      <c r="I22" t="inlineStr">
        <is>
          <t>11.982.113/0011-28</t>
        </is>
      </c>
      <c r="J22" s="27" t="n">
        <v>46062</v>
      </c>
      <c r="K22" s="14" t="n">
        <v>8396</v>
      </c>
      <c r="L22" t="inlineStr">
        <is>
          <t>Sim</t>
        </is>
      </c>
    </row>
    <row r="23">
      <c r="A23" s="24" t="n">
        <v>46054</v>
      </c>
      <c r="B23" t="inlineStr">
        <is>
          <t>Investimento (imobilizado)</t>
        </is>
      </c>
      <c r="C23" t="inlineStr">
        <is>
          <t>NF-e</t>
        </is>
      </c>
      <c r="D23" t="inlineStr">
        <is>
          <t>2.07 Investimento</t>
        </is>
      </c>
      <c r="E23" t="inlineStr">
        <is>
          <t>2.07.04 Equipamentos de Informática</t>
        </is>
      </c>
      <c r="F23" t="inlineStr">
        <is>
          <t>NF-e</t>
        </is>
      </c>
      <c r="G23" t="inlineStr">
        <is>
          <t>000044141</t>
        </is>
      </c>
      <c r="H23" t="inlineStr">
        <is>
          <t>MIRANDA COMPUTACAO E COMERCIO LTDA</t>
        </is>
      </c>
      <c r="I23" t="inlineStr">
        <is>
          <t>11.982.113/0011-28</t>
        </is>
      </c>
      <c r="J23" s="27" t="n">
        <v>46070</v>
      </c>
      <c r="K23" s="14" t="n">
        <v>4198</v>
      </c>
      <c r="L23" t="inlineStr">
        <is>
          <t>Sim</t>
        </is>
      </c>
    </row>
    <row r="24">
      <c r="A24" s="24" t="n">
        <v>46054</v>
      </c>
      <c r="B24" t="inlineStr">
        <is>
          <t>Investimento (imobilizado)</t>
        </is>
      </c>
      <c r="C24" t="inlineStr">
        <is>
          <t>NF-e</t>
        </is>
      </c>
      <c r="D24" t="inlineStr">
        <is>
          <t>2.07 Investimento</t>
        </is>
      </c>
      <c r="E24" t="inlineStr">
        <is>
          <t>2.07.05 Compra de Móveis e Utensílios</t>
        </is>
      </c>
      <c r="F24" t="inlineStr">
        <is>
          <t>NF-e</t>
        </is>
      </c>
      <c r="G24" t="inlineStr">
        <is>
          <t>000002347</t>
        </is>
      </c>
      <c r="H24" t="inlineStr">
        <is>
          <t>MFB MOVEIS PLANEJADOS LTDA</t>
        </is>
      </c>
      <c r="I24" t="inlineStr">
        <is>
          <t>54.825.184/0001-58</t>
        </is>
      </c>
      <c r="J24" s="27" t="n">
        <v>46059</v>
      </c>
      <c r="K24" s="14" t="n">
        <v>5484</v>
      </c>
      <c r="L24" t="inlineStr">
        <is>
          <t>Sim</t>
        </is>
      </c>
    </row>
    <row r="25">
      <c r="A25" s="24" t="n">
        <v>46054</v>
      </c>
      <c r="B25" t="inlineStr">
        <is>
          <t>Investimento (imobilizado)</t>
        </is>
      </c>
      <c r="C25" t="inlineStr">
        <is>
          <t>NF-e</t>
        </is>
      </c>
      <c r="D25" t="inlineStr">
        <is>
          <t>2.07 Investimento</t>
        </is>
      </c>
      <c r="E25" t="inlineStr">
        <is>
          <t>2.07.05 Compra de Móveis e Utensílios</t>
        </is>
      </c>
      <c r="F25" t="inlineStr">
        <is>
          <t>NF-e</t>
        </is>
      </c>
      <c r="G25" t="inlineStr">
        <is>
          <t>000838051</t>
        </is>
      </c>
      <c r="H25" t="inlineStr">
        <is>
          <t>NEGOCIA TUDO LTDA</t>
        </is>
      </c>
      <c r="I25" t="inlineStr">
        <is>
          <t>20.112.376/0001-03</t>
        </is>
      </c>
      <c r="J25" s="27" t="n">
        <v>46059</v>
      </c>
      <c r="K25" s="14" t="n">
        <v>518.79</v>
      </c>
      <c r="L25" t="inlineStr">
        <is>
          <t>Sim</t>
        </is>
      </c>
    </row>
    <row r="26">
      <c r="A26" s="24" t="n">
        <v>46054</v>
      </c>
      <c r="B26" t="inlineStr">
        <is>
          <t>Serviços e manutenção</t>
        </is>
      </c>
      <c r="C26" t="inlineStr">
        <is>
          <t>NF-e</t>
        </is>
      </c>
      <c r="D26" t="inlineStr">
        <is>
          <t>2.11 Despesa com Imóvel</t>
        </is>
      </c>
      <c r="E26" t="inlineStr">
        <is>
          <t>2.11.93 Manutenção Predial</t>
        </is>
      </c>
      <c r="F26" t="inlineStr">
        <is>
          <t>NF-e</t>
        </is>
      </c>
      <c r="G26" t="inlineStr">
        <is>
          <t>000091718</t>
        </is>
      </c>
      <c r="H26" t="inlineStr">
        <is>
          <t>CONSTRUTIVA MATERIAIS ELETRICOS LTDA</t>
        </is>
      </c>
      <c r="I26" t="inlineStr">
        <is>
          <t>06.267.222/0001-51</t>
        </is>
      </c>
      <c r="J26" s="27" t="n">
        <v>46064</v>
      </c>
      <c r="K26" s="14" t="n">
        <v>2104.6</v>
      </c>
      <c r="L26" t="inlineStr">
        <is>
          <t>Sim</t>
        </is>
      </c>
    </row>
    <row r="27">
      <c r="A27" s="24" t="n">
        <v>46054</v>
      </c>
      <c r="B27" t="inlineStr">
        <is>
          <t>Serviços e manutenção</t>
        </is>
      </c>
      <c r="C27" t="inlineStr">
        <is>
          <t>NF-e</t>
        </is>
      </c>
      <c r="D27" t="inlineStr">
        <is>
          <t>2.11 Despesa com Imóvel</t>
        </is>
      </c>
      <c r="E27" t="inlineStr">
        <is>
          <t>2.11.93 Manutenção Predial</t>
        </is>
      </c>
      <c r="F27" t="inlineStr">
        <is>
          <t>NF-e</t>
        </is>
      </c>
      <c r="G27" t="inlineStr">
        <is>
          <t>000000075</t>
        </is>
      </c>
      <c r="H27" t="inlineStr">
        <is>
          <t>MM MATERIAL DE CONSTRUCAO LTDA</t>
        </is>
      </c>
      <c r="I27" t="inlineStr">
        <is>
          <t>25.261.242/0001-60</t>
        </is>
      </c>
      <c r="J27" s="27" t="n">
        <v>46076</v>
      </c>
      <c r="K27" s="14" t="n">
        <v>95</v>
      </c>
      <c r="L27" t="inlineStr">
        <is>
          <t>Sim</t>
        </is>
      </c>
    </row>
    <row r="28">
      <c r="A28" s="24" t="n">
        <v>46054</v>
      </c>
      <c r="B28" t="inlineStr">
        <is>
          <t>Despesas gerais</t>
        </is>
      </c>
      <c r="C28" t="inlineStr">
        <is>
          <t>NF-e</t>
        </is>
      </c>
      <c r="D28" t="inlineStr">
        <is>
          <t>2.16 Sede Vinco</t>
        </is>
      </c>
      <c r="E28" t="inlineStr">
        <is>
          <t>2.16.99 Investimento Sede Vinco</t>
        </is>
      </c>
      <c r="F28" t="inlineStr">
        <is>
          <t>NF-e</t>
        </is>
      </c>
      <c r="G28" t="inlineStr">
        <is>
          <t>000000092</t>
        </is>
      </c>
      <c r="H28" t="inlineStr">
        <is>
          <t>COMERCIAL CASA NOVA MATERIAL DE CONSTRUCAO PB LTDA</t>
        </is>
      </c>
      <c r="I28" t="inlineStr">
        <is>
          <t>44.336.205/0001-18</t>
        </is>
      </c>
      <c r="J28" s="27" t="n">
        <v>46073</v>
      </c>
      <c r="K28" s="14" t="n">
        <v>320</v>
      </c>
      <c r="L28" t="inlineStr">
        <is>
          <t>Sim</t>
        </is>
      </c>
    </row>
    <row r="29">
      <c r="A29" s="24" t="n">
        <v>46054</v>
      </c>
      <c r="B29" t="inlineStr">
        <is>
          <t>Despesas gerais</t>
        </is>
      </c>
      <c r="C29" t="inlineStr">
        <is>
          <t>NF-e</t>
        </is>
      </c>
      <c r="D29" t="inlineStr">
        <is>
          <t>2.16 Sede Vinco</t>
        </is>
      </c>
      <c r="E29" t="inlineStr">
        <is>
          <t>2.16.99 Investimento Sede Vinco</t>
        </is>
      </c>
      <c r="F29" t="inlineStr">
        <is>
          <t>NF-e</t>
        </is>
      </c>
      <c r="G29" t="inlineStr">
        <is>
          <t>000001800</t>
        </is>
      </c>
      <c r="H29" t="inlineStr">
        <is>
          <t>VAMBERTO GRANGEIRO SILVA</t>
        </is>
      </c>
      <c r="I29" t="inlineStr">
        <is>
          <t>32.185.713/0001-63</t>
        </is>
      </c>
      <c r="J29" s="27" t="n">
        <v>46056</v>
      </c>
      <c r="K29" s="14" t="n">
        <v>6300</v>
      </c>
      <c r="L29" t="inlineStr">
        <is>
          <t>Sim</t>
        </is>
      </c>
    </row>
    <row r="30">
      <c r="A30" s="24" t="n">
        <v>46054</v>
      </c>
      <c r="B30" t="inlineStr">
        <is>
          <t>Despesas gerais</t>
        </is>
      </c>
      <c r="C30" t="inlineStr">
        <is>
          <t>NF-e</t>
        </is>
      </c>
      <c r="D30" t="inlineStr">
        <is>
          <t>2.16 Sede Vinco</t>
        </is>
      </c>
      <c r="E30" t="inlineStr">
        <is>
          <t>2.16.99 Investimento Sede Vinco</t>
        </is>
      </c>
      <c r="F30" t="inlineStr">
        <is>
          <t>NF-e</t>
        </is>
      </c>
      <c r="G30" t="inlineStr">
        <is>
          <t>000001806</t>
        </is>
      </c>
      <c r="H30" t="inlineStr">
        <is>
          <t>VAMBERTO GRANGEIRO SILVA</t>
        </is>
      </c>
      <c r="I30" t="inlineStr">
        <is>
          <t>32.185.713/0001-63</t>
        </is>
      </c>
      <c r="J30" s="27" t="n">
        <v>46058</v>
      </c>
      <c r="K30" s="14" t="n">
        <v>6300</v>
      </c>
      <c r="L30" t="inlineStr">
        <is>
          <t>Sim</t>
        </is>
      </c>
    </row>
    <row r="31">
      <c r="A31" s="24" t="n">
        <v>46082</v>
      </c>
      <c r="B31" t="inlineStr">
        <is>
          <t>Serviços e manutenção</t>
        </is>
      </c>
      <c r="C31" t="inlineStr">
        <is>
          <t>NF-e</t>
        </is>
      </c>
      <c r="D31" t="inlineStr">
        <is>
          <t>2.01 Custos</t>
        </is>
      </c>
      <c r="E31" t="inlineStr">
        <is>
          <t>2.01.88 Manutenção e Conservação de Máquina</t>
        </is>
      </c>
      <c r="F31" t="inlineStr">
        <is>
          <t>NF-e</t>
        </is>
      </c>
      <c r="G31" t="inlineStr">
        <is>
          <t>000013261</t>
        </is>
      </c>
      <c r="H31" t="inlineStr">
        <is>
          <t>EDNA DE ARAUJO PACHECO LTDA</t>
        </is>
      </c>
      <c r="I31" t="inlineStr">
        <is>
          <t>17.433.873/0001-90</t>
        </is>
      </c>
      <c r="J31" s="27" t="n">
        <v>46083</v>
      </c>
      <c r="K31" s="14" t="n">
        <v>591.41</v>
      </c>
      <c r="L31" t="inlineStr">
        <is>
          <t>Sim</t>
        </is>
      </c>
    </row>
    <row r="32">
      <c r="A32" s="24" t="n">
        <v>46082</v>
      </c>
      <c r="B32" t="inlineStr">
        <is>
          <t>Despesas gerais</t>
        </is>
      </c>
      <c r="C32" t="inlineStr">
        <is>
          <t>NF-e</t>
        </is>
      </c>
      <c r="D32" t="inlineStr">
        <is>
          <t>2.03 Despesas com Pessoal</t>
        </is>
      </c>
      <c r="E32" t="inlineStr">
        <is>
          <t>2.03.02 EndoMarketing</t>
        </is>
      </c>
      <c r="F32" t="inlineStr">
        <is>
          <t>NF-e</t>
        </is>
      </c>
      <c r="G32" t="inlineStr">
        <is>
          <t>000016509</t>
        </is>
      </c>
      <c r="H32" t="inlineStr">
        <is>
          <t>KELLY DE FATIMA CORREIA DA SILVA  ME</t>
        </is>
      </c>
      <c r="I32" t="inlineStr">
        <is>
          <t>27.731.565/0001-03</t>
        </is>
      </c>
      <c r="J32" s="27" t="n">
        <v>46086</v>
      </c>
      <c r="K32" s="14" t="n">
        <v>19.3</v>
      </c>
      <c r="L32" t="inlineStr">
        <is>
          <t>Sim</t>
        </is>
      </c>
    </row>
    <row r="33">
      <c r="A33" s="24" t="n">
        <v>46082</v>
      </c>
      <c r="B33" t="inlineStr">
        <is>
          <t>Investimento (imobilizado)</t>
        </is>
      </c>
      <c r="C33" t="inlineStr">
        <is>
          <t>NF-e</t>
        </is>
      </c>
      <c r="D33" t="inlineStr">
        <is>
          <t>2.07 Investimento</t>
        </is>
      </c>
      <c r="E33" t="inlineStr">
        <is>
          <t>2.07.01 Máquinas e Equipamentos</t>
        </is>
      </c>
      <c r="F33" t="inlineStr">
        <is>
          <t>NF-e</t>
        </is>
      </c>
      <c r="G33" t="inlineStr">
        <is>
          <t>000009680</t>
        </is>
      </c>
      <c r="H33" t="inlineStr">
        <is>
          <t>A HORA CERTA RELOGIOS DE PONTO COMERCIO E SERVICOS LTDA</t>
        </is>
      </c>
      <c r="I33" t="inlineStr">
        <is>
          <t>17.754.733/0001-14</t>
        </is>
      </c>
      <c r="J33" s="27" t="n">
        <v>46100</v>
      </c>
      <c r="K33" s="14" t="n">
        <v>1890</v>
      </c>
      <c r="L33" t="inlineStr">
        <is>
          <t>Sim</t>
        </is>
      </c>
    </row>
    <row r="34">
      <c r="A34" s="24" t="n">
        <v>46082</v>
      </c>
      <c r="B34" t="inlineStr">
        <is>
          <t>Investimento (imobilizado)</t>
        </is>
      </c>
      <c r="C34" t="inlineStr">
        <is>
          <t>NF-e</t>
        </is>
      </c>
      <c r="D34" t="inlineStr">
        <is>
          <t>2.07 Investimento</t>
        </is>
      </c>
      <c r="E34" t="inlineStr">
        <is>
          <t>2.07.01 Máquinas e Equipamentos</t>
        </is>
      </c>
      <c r="F34" t="inlineStr">
        <is>
          <t>NF-e</t>
        </is>
      </c>
      <c r="G34" t="inlineStr">
        <is>
          <t>000005961</t>
        </is>
      </c>
      <c r="H34" t="inlineStr">
        <is>
          <t>ARG COMERCIO LTDA</t>
        </is>
      </c>
      <c r="I34" t="inlineStr">
        <is>
          <t>61.306.848/0001-38</t>
        </is>
      </c>
      <c r="J34" s="27" t="n">
        <v>46104</v>
      </c>
      <c r="K34" s="14" t="n">
        <v>2349.53</v>
      </c>
      <c r="L34" t="inlineStr">
        <is>
          <t>Sim</t>
        </is>
      </c>
    </row>
    <row r="35">
      <c r="A35" s="24" t="n">
        <v>46082</v>
      </c>
      <c r="B35" t="inlineStr">
        <is>
          <t>Investimento (imobilizado)</t>
        </is>
      </c>
      <c r="C35" t="inlineStr">
        <is>
          <t>NF-e</t>
        </is>
      </c>
      <c r="D35" t="inlineStr">
        <is>
          <t>2.07 Investimento</t>
        </is>
      </c>
      <c r="E35" t="inlineStr">
        <is>
          <t>2.07.01 Máquinas e Equipamentos</t>
        </is>
      </c>
      <c r="F35" t="inlineStr">
        <is>
          <t>NF-e</t>
        </is>
      </c>
      <c r="G35" t="inlineStr">
        <is>
          <t>000092179</t>
        </is>
      </c>
      <c r="H35" t="inlineStr">
        <is>
          <t>CONSTRUTIVA MATERIAIS ELETRICOS LTDA</t>
        </is>
      </c>
      <c r="I35" t="inlineStr">
        <is>
          <t>06.267.222/0001-51</t>
        </is>
      </c>
      <c r="J35" s="27" t="n">
        <v>46087</v>
      </c>
      <c r="K35" s="14" t="n">
        <v>797.3</v>
      </c>
      <c r="L35" t="inlineStr">
        <is>
          <t>Sim</t>
        </is>
      </c>
    </row>
    <row r="36">
      <c r="A36" s="24" t="n">
        <v>46082</v>
      </c>
      <c r="B36" t="inlineStr">
        <is>
          <t>Investimento (imobilizado)</t>
        </is>
      </c>
      <c r="C36" t="inlineStr">
        <is>
          <t>NF-e</t>
        </is>
      </c>
      <c r="D36" t="inlineStr">
        <is>
          <t>2.07 Investimento</t>
        </is>
      </c>
      <c r="E36" t="inlineStr">
        <is>
          <t>2.07.01 Máquinas e Equipamentos</t>
        </is>
      </c>
      <c r="F36" t="inlineStr">
        <is>
          <t>NF-e</t>
        </is>
      </c>
      <c r="G36" t="inlineStr">
        <is>
          <t>110563890</t>
        </is>
      </c>
      <c r="H36" t="inlineStr">
        <is>
          <t>Ebazar.com.br. ltda</t>
        </is>
      </c>
      <c r="I36" t="inlineStr">
        <is>
          <t>03.007.331/0010-32</t>
        </is>
      </c>
      <c r="J36" s="27" t="n">
        <v>46104</v>
      </c>
      <c r="K36" s="14" t="n">
        <v>533</v>
      </c>
      <c r="L36" t="inlineStr">
        <is>
          <t>Sim</t>
        </is>
      </c>
    </row>
    <row r="37">
      <c r="A37" s="24" t="n">
        <v>46082</v>
      </c>
      <c r="B37" t="inlineStr">
        <is>
          <t>Investimento (imobilizado)</t>
        </is>
      </c>
      <c r="C37" t="inlineStr">
        <is>
          <t>NF-e</t>
        </is>
      </c>
      <c r="D37" t="inlineStr">
        <is>
          <t>2.07 Investimento</t>
        </is>
      </c>
      <c r="E37" t="inlineStr">
        <is>
          <t>2.07.01 Máquinas e Equipamentos</t>
        </is>
      </c>
      <c r="F37" t="inlineStr">
        <is>
          <t>NF-e</t>
        </is>
      </c>
      <c r="G37" t="inlineStr">
        <is>
          <t>000006077</t>
        </is>
      </c>
      <c r="H37" t="inlineStr">
        <is>
          <t>IZTRAN COMERCIO DE ELETRONICOS LTDA</t>
        </is>
      </c>
      <c r="I37" t="inlineStr">
        <is>
          <t>60.741.447/0001-43</t>
        </is>
      </c>
      <c r="J37" s="27" t="n">
        <v>46104</v>
      </c>
      <c r="K37" s="14" t="n">
        <v>1799</v>
      </c>
      <c r="L37" t="inlineStr">
        <is>
          <t>Sim</t>
        </is>
      </c>
    </row>
    <row r="38">
      <c r="A38" s="24" t="n">
        <v>46082</v>
      </c>
      <c r="B38" t="inlineStr">
        <is>
          <t>Investimento (imobilizado)</t>
        </is>
      </c>
      <c r="C38" t="inlineStr">
        <is>
          <t>NF-e</t>
        </is>
      </c>
      <c r="D38" t="inlineStr">
        <is>
          <t>2.07 Investimento</t>
        </is>
      </c>
      <c r="E38" t="inlineStr">
        <is>
          <t>2.07.01 Máquinas e Equipamentos</t>
        </is>
      </c>
      <c r="F38" t="inlineStr">
        <is>
          <t>NF-e</t>
        </is>
      </c>
      <c r="G38" t="inlineStr">
        <is>
          <t>000011851</t>
        </is>
      </c>
      <c r="H38" t="inlineStr">
        <is>
          <t>TECNOTURBO FABRICACAO E COMERCIO DE VENTILADORES LTDA</t>
        </is>
      </c>
      <c r="I38" t="inlineStr">
        <is>
          <t>51.321.633/0001-32</t>
        </is>
      </c>
      <c r="J38" s="27" t="n">
        <v>46100</v>
      </c>
      <c r="K38" s="14" t="n">
        <v>1800</v>
      </c>
      <c r="L38" t="inlineStr">
        <is>
          <t>Sim</t>
        </is>
      </c>
    </row>
    <row r="39">
      <c r="A39" s="24" t="n">
        <v>46082</v>
      </c>
      <c r="B39" t="inlineStr">
        <is>
          <t>Investimento (imobilizado)</t>
        </is>
      </c>
      <c r="C39" t="inlineStr">
        <is>
          <t>NF-e</t>
        </is>
      </c>
      <c r="D39" t="inlineStr">
        <is>
          <t>2.07 Investimento</t>
        </is>
      </c>
      <c r="E39" t="inlineStr">
        <is>
          <t>2.07.01 Máquinas e Equipamentos</t>
        </is>
      </c>
      <c r="F39" t="inlineStr">
        <is>
          <t>NF-e</t>
        </is>
      </c>
      <c r="G39" t="inlineStr">
        <is>
          <t>000028289</t>
        </is>
      </c>
      <c r="H39" t="inlineStr">
        <is>
          <t>VENDARALHO COMERCIO E SOLUCOES LTDA</t>
        </is>
      </c>
      <c r="I39" t="inlineStr">
        <is>
          <t>60.210.161/0001-31</t>
        </is>
      </c>
      <c r="J39" s="27" t="n">
        <v>46104</v>
      </c>
      <c r="K39" s="14" t="n">
        <v>6890</v>
      </c>
      <c r="L39" t="inlineStr">
        <is>
          <t>Sim</t>
        </is>
      </c>
    </row>
    <row r="40">
      <c r="A40" s="24" t="n">
        <v>46082</v>
      </c>
      <c r="B40" t="inlineStr">
        <is>
          <t>Investimento (imobilizado)</t>
        </is>
      </c>
      <c r="C40" t="inlineStr">
        <is>
          <t>NF-e</t>
        </is>
      </c>
      <c r="D40" t="inlineStr">
        <is>
          <t>2.07 Investimento</t>
        </is>
      </c>
      <c r="E40" t="inlineStr">
        <is>
          <t>2.07.04 Equipamentos de Informática</t>
        </is>
      </c>
      <c r="F40" t="inlineStr">
        <is>
          <t>NF-e</t>
        </is>
      </c>
      <c r="G40" t="inlineStr">
        <is>
          <t>110564473</t>
        </is>
      </c>
      <c r="H40" t="inlineStr">
        <is>
          <t>Ebazar.com.br. ltda</t>
        </is>
      </c>
      <c r="I40" t="inlineStr">
        <is>
          <t>03.007.331/0010-32</t>
        </is>
      </c>
      <c r="J40" s="27" t="n">
        <v>46104</v>
      </c>
      <c r="K40" s="14" t="n">
        <v>533</v>
      </c>
      <c r="L40" t="inlineStr">
        <is>
          <t>Sim</t>
        </is>
      </c>
    </row>
    <row r="41">
      <c r="A41" s="24" t="n">
        <v>46082</v>
      </c>
      <c r="B41" t="inlineStr">
        <is>
          <t>Investimento (imobilizado)</t>
        </is>
      </c>
      <c r="C41" t="inlineStr">
        <is>
          <t>NF-e</t>
        </is>
      </c>
      <c r="D41" t="inlineStr">
        <is>
          <t>2.07 Investimento</t>
        </is>
      </c>
      <c r="E41" t="inlineStr">
        <is>
          <t>2.07.04 Equipamentos de Informática</t>
        </is>
      </c>
      <c r="F41" t="inlineStr">
        <is>
          <t>NF-e</t>
        </is>
      </c>
      <c r="G41" t="inlineStr">
        <is>
          <t>000011088</t>
        </is>
      </c>
      <c r="H41" t="inlineStr">
        <is>
          <t>M. B. DE ANDRADE LTDA</t>
        </is>
      </c>
      <c r="I41" t="inlineStr">
        <is>
          <t>40.783.481/0001-73</t>
        </is>
      </c>
      <c r="J41" s="27" t="n">
        <v>46104</v>
      </c>
      <c r="K41" s="14" t="n">
        <v>415.92</v>
      </c>
      <c r="L41" t="inlineStr">
        <is>
          <t>Sim</t>
        </is>
      </c>
    </row>
    <row r="42">
      <c r="A42" s="24" t="n">
        <v>46082</v>
      </c>
      <c r="B42" t="inlineStr">
        <is>
          <t>Investimento (imobilizado)</t>
        </is>
      </c>
      <c r="C42" t="inlineStr">
        <is>
          <t>NF-e</t>
        </is>
      </c>
      <c r="D42" t="inlineStr">
        <is>
          <t>2.07 Investimento</t>
        </is>
      </c>
      <c r="E42" t="inlineStr">
        <is>
          <t>2.07.04 Equipamentos de Informática</t>
        </is>
      </c>
      <c r="F42" t="inlineStr">
        <is>
          <t>NF-e</t>
        </is>
      </c>
      <c r="G42" t="inlineStr">
        <is>
          <t>000044578</t>
        </is>
      </c>
      <c r="H42" t="inlineStr">
        <is>
          <t>MIRANDA COMPUTACAO E COMERCIO LTDA</t>
        </is>
      </c>
      <c r="I42" t="inlineStr">
        <is>
          <t>11.982.113/0011-28</t>
        </is>
      </c>
      <c r="J42" s="27" t="n">
        <v>46087</v>
      </c>
      <c r="K42" s="14" t="n">
        <v>3598</v>
      </c>
      <c r="L42" t="inlineStr">
        <is>
          <t>Sim</t>
        </is>
      </c>
    </row>
    <row r="43">
      <c r="A43" s="24" t="n">
        <v>46082</v>
      </c>
      <c r="B43" t="inlineStr">
        <is>
          <t>Investimento (imobilizado)</t>
        </is>
      </c>
      <c r="C43" t="inlineStr">
        <is>
          <t>NF-e</t>
        </is>
      </c>
      <c r="D43" t="inlineStr">
        <is>
          <t>2.07 Investimento</t>
        </is>
      </c>
      <c r="E43" t="inlineStr">
        <is>
          <t>2.07.05 Compra de Móveis e Utensílios</t>
        </is>
      </c>
      <c r="F43" t="inlineStr">
        <is>
          <t>NF-e</t>
        </is>
      </c>
      <c r="G43" t="inlineStr">
        <is>
          <t>000002550</t>
        </is>
      </c>
      <c r="H43" t="inlineStr">
        <is>
          <t>MFB MOVEIS PLANEJADOS LTDA</t>
        </is>
      </c>
      <c r="I43" t="inlineStr">
        <is>
          <t>54.825.184/0001-58</t>
        </is>
      </c>
      <c r="J43" s="27" t="n">
        <v>46099</v>
      </c>
      <c r="K43" s="14" t="n">
        <v>2742</v>
      </c>
      <c r="L43" t="inlineStr">
        <is>
          <t>Sim</t>
        </is>
      </c>
    </row>
    <row r="44">
      <c r="A44" s="24" t="n">
        <v>46082</v>
      </c>
      <c r="B44" t="inlineStr">
        <is>
          <t>Investimento (imobilizado)</t>
        </is>
      </c>
      <c r="C44" t="inlineStr">
        <is>
          <t>NF-e</t>
        </is>
      </c>
      <c r="D44" t="inlineStr">
        <is>
          <t>2.07 Investimento</t>
        </is>
      </c>
      <c r="E44" t="inlineStr">
        <is>
          <t>2.07.05 Compra de Móveis e Utensílios</t>
        </is>
      </c>
      <c r="F44" t="inlineStr">
        <is>
          <t>NF-e</t>
        </is>
      </c>
      <c r="G44" t="inlineStr">
        <is>
          <t>000003953</t>
        </is>
      </c>
      <c r="H44" t="inlineStr">
        <is>
          <t>THIAGO GABRIEL MOVEIS LTDA</t>
        </is>
      </c>
      <c r="I44" t="inlineStr">
        <is>
          <t>47.698.480/0001-70</t>
        </is>
      </c>
      <c r="J44" s="27" t="n">
        <v>46101</v>
      </c>
      <c r="K44" s="14" t="n">
        <v>730</v>
      </c>
      <c r="L44" t="inlineStr">
        <is>
          <t>Sim</t>
        </is>
      </c>
    </row>
    <row r="45">
      <c r="A45" s="24" t="n">
        <v>46082</v>
      </c>
      <c r="B45" t="inlineStr">
        <is>
          <t>Despesas gerais</t>
        </is>
      </c>
      <c r="C45" t="inlineStr">
        <is>
          <t>NF-e</t>
        </is>
      </c>
      <c r="D45" t="inlineStr">
        <is>
          <t>2.16 Sede Vinco</t>
        </is>
      </c>
      <c r="E45" t="inlineStr">
        <is>
          <t>2.16.99 Investimento Sede Vinco</t>
        </is>
      </c>
      <c r="F45" t="inlineStr">
        <is>
          <t>NF-e</t>
        </is>
      </c>
      <c r="G45" t="inlineStr">
        <is>
          <t>000000093</t>
        </is>
      </c>
      <c r="H45" t="inlineStr">
        <is>
          <t>COMERCIAL CASA NOVA MATERIAL DE CONSTRUCAO PB LTDA</t>
        </is>
      </c>
      <c r="I45" t="inlineStr">
        <is>
          <t>44.336.205/0001-18</t>
        </is>
      </c>
      <c r="J45" s="27" t="n">
        <v>46085</v>
      </c>
      <c r="K45" s="14" t="n">
        <v>6300</v>
      </c>
      <c r="L45" t="inlineStr">
        <is>
          <t>Sim</t>
        </is>
      </c>
    </row>
    <row r="46">
      <c r="A46" s="24" t="n">
        <v>46082</v>
      </c>
      <c r="B46" t="inlineStr">
        <is>
          <t>Despesas gerais</t>
        </is>
      </c>
      <c r="C46" t="inlineStr">
        <is>
          <t>NF-e</t>
        </is>
      </c>
      <c r="D46" t="inlineStr">
        <is>
          <t>2.16 Sede Vinco</t>
        </is>
      </c>
      <c r="E46" t="inlineStr">
        <is>
          <t>2.16.99 Investimento Sede Vinco</t>
        </is>
      </c>
      <c r="F46" t="inlineStr">
        <is>
          <t>NF-e</t>
        </is>
      </c>
      <c r="G46" t="inlineStr">
        <is>
          <t>000000094</t>
        </is>
      </c>
      <c r="H46" t="inlineStr">
        <is>
          <t>COMERCIAL CASA NOVA MATERIAL DE CONSTRUCAO PB LTDA</t>
        </is>
      </c>
      <c r="I46" t="inlineStr">
        <is>
          <t>44.336.205/0001-18</t>
        </is>
      </c>
      <c r="J46" s="27" t="n">
        <v>46086</v>
      </c>
      <c r="K46" s="14" t="n">
        <v>180</v>
      </c>
      <c r="L46" t="inlineStr">
        <is>
          <t>Sim</t>
        </is>
      </c>
    </row>
    <row r="47">
      <c r="A47" s="24" t="n">
        <v>46082</v>
      </c>
      <c r="B47" t="inlineStr">
        <is>
          <t>Despesas gerais</t>
        </is>
      </c>
      <c r="C47" t="inlineStr">
        <is>
          <t>NF-e</t>
        </is>
      </c>
      <c r="D47" t="inlineStr">
        <is>
          <t>2.16 Sede Vinco</t>
        </is>
      </c>
      <c r="E47" t="inlineStr">
        <is>
          <t>2.16.99 Investimento Sede Vinco</t>
        </is>
      </c>
      <c r="F47" t="inlineStr">
        <is>
          <t>NF-e</t>
        </is>
      </c>
      <c r="G47" t="inlineStr">
        <is>
          <t>000001866</t>
        </is>
      </c>
      <c r="H47" t="inlineStr">
        <is>
          <t>VAMBERTO GRANGEIRO SILVA</t>
        </is>
      </c>
      <c r="I47" t="inlineStr">
        <is>
          <t>32.185.713/0001-63</t>
        </is>
      </c>
      <c r="J47" s="27" t="n">
        <v>46108</v>
      </c>
      <c r="K47" s="14" t="n">
        <v>8400</v>
      </c>
      <c r="L47" t="inlineStr">
        <is>
          <t>Sim</t>
        </is>
      </c>
    </row>
    <row r="48">
      <c r="A48" s="24" t="n">
        <v>46113</v>
      </c>
      <c r="B48" t="inlineStr">
        <is>
          <t>Serviços e manutenção</t>
        </is>
      </c>
      <c r="C48" t="inlineStr">
        <is>
          <t>NF-e</t>
        </is>
      </c>
      <c r="D48" t="inlineStr">
        <is>
          <t>2.01 Custos</t>
        </is>
      </c>
      <c r="E48" t="inlineStr">
        <is>
          <t>2.01.88 Manutenção e Conservação de Máquina</t>
        </is>
      </c>
      <c r="F48" t="inlineStr">
        <is>
          <t>NF-e</t>
        </is>
      </c>
      <c r="G48" t="inlineStr">
        <is>
          <t>000309036</t>
        </is>
      </c>
      <c r="H48" t="inlineStr">
        <is>
          <t>ALUMIFER ALUMINIO E FERRO LTDA.</t>
        </is>
      </c>
      <c r="I48" t="inlineStr">
        <is>
          <t>05.515.224/0003-11</t>
        </is>
      </c>
      <c r="J48" s="27" t="n">
        <v>46128</v>
      </c>
      <c r="K48" s="14" t="n">
        <v>590</v>
      </c>
      <c r="L48" t="inlineStr">
        <is>
          <t>Sim</t>
        </is>
      </c>
    </row>
    <row r="49">
      <c r="A49" s="24" t="n">
        <v>46113</v>
      </c>
      <c r="B49" t="inlineStr">
        <is>
          <t>Serviços e manutenção</t>
        </is>
      </c>
      <c r="C49" t="inlineStr">
        <is>
          <t>NF-e</t>
        </is>
      </c>
      <c r="D49" t="inlineStr">
        <is>
          <t>2.01 Custos</t>
        </is>
      </c>
      <c r="E49" t="inlineStr">
        <is>
          <t>2.01.88 Manutenção e Conservação de Máquina</t>
        </is>
      </c>
      <c r="F49" t="inlineStr">
        <is>
          <t>NF-e</t>
        </is>
      </c>
      <c r="G49" t="inlineStr">
        <is>
          <t>000092837</t>
        </is>
      </c>
      <c r="H49" t="inlineStr">
        <is>
          <t>CONSTRUTIVA MATERIAIS ELETRICOS LTDA</t>
        </is>
      </c>
      <c r="I49" t="inlineStr">
        <is>
          <t>06.267.222/0001-51</t>
        </is>
      </c>
      <c r="J49" s="27" t="n">
        <v>46122</v>
      </c>
      <c r="K49" s="14" t="n">
        <v>633.25</v>
      </c>
      <c r="L49" t="inlineStr">
        <is>
          <t>Sim</t>
        </is>
      </c>
      <c r="M49" t="inlineStr">
        <is>
          <t>Valor rateado entre categorias, como no Omie</t>
        </is>
      </c>
    </row>
    <row r="50">
      <c r="A50" s="24" t="n">
        <v>46113</v>
      </c>
      <c r="B50" t="inlineStr">
        <is>
          <t>Serviços e manutenção</t>
        </is>
      </c>
      <c r="C50" t="inlineStr">
        <is>
          <t>NF-e</t>
        </is>
      </c>
      <c r="D50" t="inlineStr">
        <is>
          <t>2.01 Custos</t>
        </is>
      </c>
      <c r="E50" t="inlineStr">
        <is>
          <t>2.01.88 Manutenção e Conservação de Máquina</t>
        </is>
      </c>
      <c r="F50" t="inlineStr">
        <is>
          <t>NF-e</t>
        </is>
      </c>
      <c r="G50" t="inlineStr">
        <is>
          <t>000051503</t>
        </is>
      </c>
      <c r="H50" t="inlineStr">
        <is>
          <t>ELETROPOLO ELETRICIDADE LTDA</t>
        </is>
      </c>
      <c r="I50" t="inlineStr">
        <is>
          <t>02.375.199/0005-91</t>
        </is>
      </c>
      <c r="J50" s="27" t="n">
        <v>46118</v>
      </c>
      <c r="K50" s="14" t="n">
        <v>1351</v>
      </c>
      <c r="L50" t="inlineStr">
        <is>
          <t>Sim</t>
        </is>
      </c>
      <c r="M50" t="inlineStr">
        <is>
          <t>Valor rateado entre categorias, como no Omie</t>
        </is>
      </c>
    </row>
    <row r="51">
      <c r="A51" s="24" t="n">
        <v>46113</v>
      </c>
      <c r="B51" t="inlineStr">
        <is>
          <t>Despesas gerais</t>
        </is>
      </c>
      <c r="C51" t="inlineStr">
        <is>
          <t>NF-e</t>
        </is>
      </c>
      <c r="D51" t="inlineStr">
        <is>
          <t>2.03 Despesas com Pessoal</t>
        </is>
      </c>
      <c r="E51" t="inlineStr">
        <is>
          <t>2.03.02 EndoMarketing</t>
        </is>
      </c>
      <c r="F51" t="inlineStr">
        <is>
          <t>NF-e</t>
        </is>
      </c>
      <c r="G51" t="inlineStr">
        <is>
          <t>000496170</t>
        </is>
      </c>
      <c r="H51" t="inlineStr">
        <is>
          <t>FAZENDA SANTA TEREZINHA LTDA.</t>
        </is>
      </c>
      <c r="I51" t="inlineStr">
        <is>
          <t>01.778.112/0001-30</t>
        </is>
      </c>
      <c r="J51" s="27" t="n">
        <v>46141</v>
      </c>
      <c r="K51" s="14" t="n">
        <v>531</v>
      </c>
      <c r="L51" t="inlineStr">
        <is>
          <t>Sim</t>
        </is>
      </c>
    </row>
    <row r="52">
      <c r="A52" s="24" t="n">
        <v>46113</v>
      </c>
      <c r="B52" t="inlineStr">
        <is>
          <t>Despesas gerais</t>
        </is>
      </c>
      <c r="C52" t="inlineStr">
        <is>
          <t>NF-e</t>
        </is>
      </c>
      <c r="D52" t="inlineStr">
        <is>
          <t>2.04 Despesas Administrativas</t>
        </is>
      </c>
      <c r="E52" t="inlineStr">
        <is>
          <t>2.04.87 Frete sobre Compra</t>
        </is>
      </c>
      <c r="F52" t="inlineStr">
        <is>
          <t>NF-e</t>
        </is>
      </c>
      <c r="G52" t="inlineStr">
        <is>
          <t>000001768</t>
        </is>
      </c>
      <c r="H52" t="inlineStr">
        <is>
          <t>B. B. A. INDUSTRIA E COMERCIO IMPORTACAO E EXPORTACAO LTDA</t>
        </is>
      </c>
      <c r="I52" t="inlineStr">
        <is>
          <t>25.247.287/0001-80</t>
        </is>
      </c>
      <c r="J52" s="27" t="n">
        <v>46122</v>
      </c>
      <c r="K52" s="14" t="n">
        <v>6521.26</v>
      </c>
      <c r="L52" t="inlineStr">
        <is>
          <t>Sim</t>
        </is>
      </c>
    </row>
    <row r="53">
      <c r="A53" s="24" t="n">
        <v>46113</v>
      </c>
      <c r="B53" t="inlineStr">
        <is>
          <t>Investimento (imobilizado)</t>
        </is>
      </c>
      <c r="C53" t="inlineStr">
        <is>
          <t>NF-e</t>
        </is>
      </c>
      <c r="D53" t="inlineStr">
        <is>
          <t>2.07 Investimento</t>
        </is>
      </c>
      <c r="E53" t="inlineStr">
        <is>
          <t>2.07.01 Máquinas e Equipamentos</t>
        </is>
      </c>
      <c r="F53" t="inlineStr">
        <is>
          <t>NF-e</t>
        </is>
      </c>
      <c r="G53" t="inlineStr">
        <is>
          <t>004295109</t>
        </is>
      </c>
      <c r="H53" t="inlineStr">
        <is>
          <t>2ELETRO COMERCIO E DISTRIBUICAO DE PROD DE INFORMATICA</t>
        </is>
      </c>
      <c r="I53" t="inlineStr">
        <is>
          <t>34.036.601/0005-08</t>
        </is>
      </c>
      <c r="J53" s="27" t="n">
        <v>46136</v>
      </c>
      <c r="K53" s="14" t="n">
        <v>6569.9</v>
      </c>
      <c r="L53" t="inlineStr">
        <is>
          <t>Sim</t>
        </is>
      </c>
    </row>
    <row r="54">
      <c r="A54" s="24" t="n">
        <v>46113</v>
      </c>
      <c r="B54" t="inlineStr">
        <is>
          <t>Investimento (imobilizado)</t>
        </is>
      </c>
      <c r="C54" t="inlineStr">
        <is>
          <t>NF-e</t>
        </is>
      </c>
      <c r="D54" t="inlineStr">
        <is>
          <t>2.07 Investimento</t>
        </is>
      </c>
      <c r="E54" t="inlineStr">
        <is>
          <t>2.07.01 Máquinas e Equipamentos</t>
        </is>
      </c>
      <c r="F54" t="inlineStr">
        <is>
          <t>NF-e</t>
        </is>
      </c>
      <c r="G54" t="inlineStr">
        <is>
          <t>000092837</t>
        </is>
      </c>
      <c r="H54" t="inlineStr">
        <is>
          <t>CONSTRUTIVA MATERIAIS ELETRICOS LTDA</t>
        </is>
      </c>
      <c r="I54" t="inlineStr">
        <is>
          <t>06.267.222/0001-51</t>
        </is>
      </c>
      <c r="J54" s="27" t="n">
        <v>46122</v>
      </c>
      <c r="K54" s="14" t="n">
        <v>4174.91</v>
      </c>
      <c r="L54" t="inlineStr">
        <is>
          <t>Sim</t>
        </is>
      </c>
      <c r="M54" t="inlineStr">
        <is>
          <t>Valor rateado entre categorias, como no Omie</t>
        </is>
      </c>
    </row>
    <row r="55">
      <c r="A55" s="24" t="n">
        <v>46113</v>
      </c>
      <c r="B55" t="inlineStr">
        <is>
          <t>Investimento (imobilizado)</t>
        </is>
      </c>
      <c r="C55" t="inlineStr">
        <is>
          <t>NF-e</t>
        </is>
      </c>
      <c r="D55" t="inlineStr">
        <is>
          <t>2.07 Investimento</t>
        </is>
      </c>
      <c r="E55" t="inlineStr">
        <is>
          <t>2.07.01 Máquinas e Equipamentos</t>
        </is>
      </c>
      <c r="F55" t="inlineStr">
        <is>
          <t>NF-e</t>
        </is>
      </c>
      <c r="G55" t="inlineStr">
        <is>
          <t>000092944</t>
        </is>
      </c>
      <c r="H55" t="inlineStr">
        <is>
          <t>CONSTRUTIVA MATERIAIS ELETRICOS LTDA</t>
        </is>
      </c>
      <c r="I55" t="inlineStr">
        <is>
          <t>06.267.222/0001-51</t>
        </is>
      </c>
      <c r="J55" s="27" t="n">
        <v>46127</v>
      </c>
      <c r="K55" s="14" t="n">
        <v>798.74</v>
      </c>
      <c r="L55" t="inlineStr">
        <is>
          <t>Sim</t>
        </is>
      </c>
    </row>
    <row r="56">
      <c r="A56" s="24" t="n">
        <v>46113</v>
      </c>
      <c r="B56" t="inlineStr">
        <is>
          <t>Investimento (imobilizado)</t>
        </is>
      </c>
      <c r="C56" t="inlineStr">
        <is>
          <t>NF-e</t>
        </is>
      </c>
      <c r="D56" t="inlineStr">
        <is>
          <t>2.07 Investimento</t>
        </is>
      </c>
      <c r="E56" t="inlineStr">
        <is>
          <t>2.07.01 Máquinas e Equipamentos</t>
        </is>
      </c>
      <c r="F56" t="inlineStr">
        <is>
          <t>NF-e</t>
        </is>
      </c>
      <c r="G56" t="inlineStr">
        <is>
          <t>117146763</t>
        </is>
      </c>
      <c r="H56" t="inlineStr">
        <is>
          <t>Ebazar.com.br. ltda</t>
        </is>
      </c>
      <c r="I56" t="inlineStr">
        <is>
          <t>03.007.331/0010-32</t>
        </is>
      </c>
      <c r="J56" s="27" t="n">
        <v>46136</v>
      </c>
      <c r="K56" s="14" t="n">
        <v>724.5</v>
      </c>
      <c r="L56" t="inlineStr">
        <is>
          <t>Sim</t>
        </is>
      </c>
    </row>
    <row r="57">
      <c r="A57" s="24" t="n">
        <v>46113</v>
      </c>
      <c r="B57" t="inlineStr">
        <is>
          <t>Investimento (imobilizado)</t>
        </is>
      </c>
      <c r="C57" t="inlineStr">
        <is>
          <t>NF-e</t>
        </is>
      </c>
      <c r="D57" t="inlineStr">
        <is>
          <t>2.07 Investimento</t>
        </is>
      </c>
      <c r="E57" t="inlineStr">
        <is>
          <t>2.07.01 Máquinas e Equipamentos</t>
        </is>
      </c>
      <c r="F57" t="inlineStr">
        <is>
          <t>NF-e</t>
        </is>
      </c>
      <c r="G57" t="inlineStr">
        <is>
          <t>117220598</t>
        </is>
      </c>
      <c r="H57" t="inlineStr">
        <is>
          <t>Ebazar.com.br. ltda</t>
        </is>
      </c>
      <c r="I57" t="inlineStr">
        <is>
          <t>03.007.331/0010-32</t>
        </is>
      </c>
      <c r="J57" s="27" t="n">
        <v>46136</v>
      </c>
      <c r="K57" s="14" t="n">
        <v>3999</v>
      </c>
      <c r="L57" t="inlineStr">
        <is>
          <t>Sim</t>
        </is>
      </c>
    </row>
    <row r="58">
      <c r="A58" s="24" t="n">
        <v>46113</v>
      </c>
      <c r="B58" t="inlineStr">
        <is>
          <t>Investimento (imobilizado)</t>
        </is>
      </c>
      <c r="C58" t="inlineStr">
        <is>
          <t>NF-e</t>
        </is>
      </c>
      <c r="D58" t="inlineStr">
        <is>
          <t>2.07 Investimento</t>
        </is>
      </c>
      <c r="E58" t="inlineStr">
        <is>
          <t>2.07.01 Máquinas e Equipamentos</t>
        </is>
      </c>
      <c r="F58" t="inlineStr">
        <is>
          <t>NF-e</t>
        </is>
      </c>
      <c r="G58" t="inlineStr">
        <is>
          <t>000084303</t>
        </is>
      </c>
      <c r="H58" t="inlineStr">
        <is>
          <t>KALUNGA SA</t>
        </is>
      </c>
      <c r="I58" t="inlineStr">
        <is>
          <t>43.283.811/0198-45</t>
        </is>
      </c>
      <c r="J58" s="27" t="n">
        <v>46140</v>
      </c>
      <c r="K58" s="14" t="n">
        <v>239.8</v>
      </c>
      <c r="L58" t="inlineStr">
        <is>
          <t>Sim</t>
        </is>
      </c>
      <c r="M58" t="inlineStr">
        <is>
          <t>Valor rateado entre categorias, como no Omie</t>
        </is>
      </c>
    </row>
    <row r="59">
      <c r="A59" s="24" t="n">
        <v>46113</v>
      </c>
      <c r="B59" t="inlineStr">
        <is>
          <t>Investimento (imobilizado)</t>
        </is>
      </c>
      <c r="C59" t="inlineStr">
        <is>
          <t>NF-e</t>
        </is>
      </c>
      <c r="D59" t="inlineStr">
        <is>
          <t>2.07 Investimento</t>
        </is>
      </c>
      <c r="E59" t="inlineStr">
        <is>
          <t>2.07.01 Máquinas e Equipamentos</t>
        </is>
      </c>
      <c r="F59" t="inlineStr">
        <is>
          <t>NF-e</t>
        </is>
      </c>
      <c r="G59" t="inlineStr">
        <is>
          <t>000000053</t>
        </is>
      </c>
      <c r="H59" t="inlineStr">
        <is>
          <t>M STEEL METALURGICA LTDA</t>
        </is>
      </c>
      <c r="I59" t="inlineStr">
        <is>
          <t>61.858.794/0001-13</t>
        </is>
      </c>
      <c r="J59" s="27" t="n">
        <v>46129</v>
      </c>
      <c r="K59" s="14" t="n">
        <v>3600</v>
      </c>
      <c r="L59" t="inlineStr">
        <is>
          <t>Sim</t>
        </is>
      </c>
    </row>
    <row r="60">
      <c r="A60" s="24" t="n">
        <v>46113</v>
      </c>
      <c r="B60" t="inlineStr">
        <is>
          <t>Investimento (imobilizado)</t>
        </is>
      </c>
      <c r="C60" t="inlineStr">
        <is>
          <t>NF-e</t>
        </is>
      </c>
      <c r="D60" t="inlineStr">
        <is>
          <t>2.07 Investimento</t>
        </is>
      </c>
      <c r="E60" t="inlineStr">
        <is>
          <t>2.07.05 Compra de Móveis e Utensílios</t>
        </is>
      </c>
      <c r="F60" t="inlineStr">
        <is>
          <t>NF-e</t>
        </is>
      </c>
      <c r="G60" t="inlineStr">
        <is>
          <t>000016398</t>
        </is>
      </c>
      <c r="H60" t="inlineStr">
        <is>
          <t>BR EMBALAGENS INDUSTRIA E COMERCIO LTDA</t>
        </is>
      </c>
      <c r="I60" t="inlineStr">
        <is>
          <t>28.150.494/0001-00</t>
        </is>
      </c>
      <c r="J60" s="27" t="n">
        <v>46120</v>
      </c>
      <c r="K60" s="14" t="n">
        <v>9349.200000000001</v>
      </c>
      <c r="L60" t="inlineStr">
        <is>
          <t>Sim</t>
        </is>
      </c>
      <c r="M60" t="inlineStr">
        <is>
          <t>Valor rateado entre categorias, como no Omie</t>
        </is>
      </c>
    </row>
    <row r="61">
      <c r="A61" s="24" t="n">
        <v>46113</v>
      </c>
      <c r="B61" t="inlineStr">
        <is>
          <t>Investimento (imobilizado)</t>
        </is>
      </c>
      <c r="C61" t="inlineStr">
        <is>
          <t>NF-e</t>
        </is>
      </c>
      <c r="D61" t="inlineStr">
        <is>
          <t>2.07 Investimento</t>
        </is>
      </c>
      <c r="E61" t="inlineStr">
        <is>
          <t>2.07.05 Compra de Móveis e Utensílios</t>
        </is>
      </c>
      <c r="F61" t="inlineStr">
        <is>
          <t>NF-e</t>
        </is>
      </c>
      <c r="G61" t="inlineStr">
        <is>
          <t>000051503</t>
        </is>
      </c>
      <c r="H61" t="inlineStr">
        <is>
          <t>ELETROPOLO ELETRICIDADE LTDA</t>
        </is>
      </c>
      <c r="I61" t="inlineStr">
        <is>
          <t>02.375.199/0005-91</t>
        </is>
      </c>
      <c r="J61" s="27" t="n">
        <v>46118</v>
      </c>
      <c r="K61" s="14" t="n">
        <v>626.8</v>
      </c>
      <c r="L61" t="inlineStr">
        <is>
          <t>Sim</t>
        </is>
      </c>
      <c r="M61" t="inlineStr">
        <is>
          <t>Valor rateado entre categorias, como no Omie</t>
        </is>
      </c>
    </row>
    <row r="62">
      <c r="A62" s="24" t="n">
        <v>46113</v>
      </c>
      <c r="B62" t="inlineStr">
        <is>
          <t>Investimento (imobilizado)</t>
        </is>
      </c>
      <c r="C62" t="inlineStr">
        <is>
          <t>NF-e</t>
        </is>
      </c>
      <c r="D62" t="inlineStr">
        <is>
          <t>2.07 Investimento</t>
        </is>
      </c>
      <c r="E62" t="inlineStr">
        <is>
          <t>2.07.05 Compra de Móveis e Utensílios</t>
        </is>
      </c>
      <c r="F62" t="inlineStr">
        <is>
          <t>NF-e</t>
        </is>
      </c>
      <c r="G62" t="inlineStr">
        <is>
          <t>000151894</t>
        </is>
      </c>
      <c r="H62" t="inlineStr">
        <is>
          <t>STREETING CAR LTDA</t>
        </is>
      </c>
      <c r="I62" t="inlineStr">
        <is>
          <t>53.847.868/0001-98</t>
        </is>
      </c>
      <c r="J62" s="27" t="n">
        <v>46123</v>
      </c>
      <c r="K62" s="14" t="n">
        <v>135.96</v>
      </c>
      <c r="L62" t="inlineStr">
        <is>
          <t>Sim</t>
        </is>
      </c>
    </row>
    <row r="63">
      <c r="A63" s="24" t="n">
        <v>46113</v>
      </c>
      <c r="B63" t="inlineStr">
        <is>
          <t>Investimento (imobilizado)</t>
        </is>
      </c>
      <c r="C63" t="inlineStr">
        <is>
          <t>NF-e</t>
        </is>
      </c>
      <c r="D63" t="inlineStr">
        <is>
          <t>2.07 Investimento</t>
        </is>
      </c>
      <c r="E63" t="inlineStr">
        <is>
          <t>2.07.05 Compra de Móveis e Utensílios</t>
        </is>
      </c>
      <c r="F63" t="inlineStr">
        <is>
          <t>NF-e</t>
        </is>
      </c>
      <c r="G63" t="inlineStr">
        <is>
          <t>000151895</t>
        </is>
      </c>
      <c r="H63" t="inlineStr">
        <is>
          <t>STREETING CAR LTDA</t>
        </is>
      </c>
      <c r="I63" t="inlineStr">
        <is>
          <t>53.847.868/0001-98</t>
        </is>
      </c>
      <c r="J63" s="27" t="n">
        <v>46123</v>
      </c>
      <c r="K63" s="14" t="n">
        <v>67.98</v>
      </c>
      <c r="L63" t="inlineStr">
        <is>
          <t>Sim</t>
        </is>
      </c>
    </row>
    <row r="64">
      <c r="A64" s="24" t="n">
        <v>46113</v>
      </c>
      <c r="B64" t="inlineStr">
        <is>
          <t>Despesas gerais</t>
        </is>
      </c>
      <c r="C64" t="inlineStr">
        <is>
          <t>NF-e</t>
        </is>
      </c>
      <c r="D64" t="inlineStr">
        <is>
          <t>2.12 Despesas com Veículos</t>
        </is>
      </c>
      <c r="E64" t="inlineStr">
        <is>
          <t>2.12.99 Combustível</t>
        </is>
      </c>
      <c r="F64" t="inlineStr">
        <is>
          <t>NF-e</t>
        </is>
      </c>
      <c r="G64" t="inlineStr">
        <is>
          <t>000007528</t>
        </is>
      </c>
      <c r="H64" t="inlineStr">
        <is>
          <t>SUPERGASBRAS ENERGIA LTDA</t>
        </is>
      </c>
      <c r="I64" t="inlineStr">
        <is>
          <t>19.791.896/0166-00</t>
        </is>
      </c>
      <c r="J64" s="27" t="n">
        <v>46125</v>
      </c>
      <c r="K64" s="14" t="n">
        <v>472.47</v>
      </c>
      <c r="L64" t="inlineStr">
        <is>
          <t>Sim</t>
        </is>
      </c>
    </row>
    <row r="65">
      <c r="A65" s="24" t="n">
        <v>46113</v>
      </c>
      <c r="B65" t="inlineStr">
        <is>
          <t>Despesas gerais</t>
        </is>
      </c>
      <c r="C65" t="inlineStr">
        <is>
          <t>NF-e</t>
        </is>
      </c>
      <c r="D65" t="inlineStr">
        <is>
          <t>2.16 Sede Vinco</t>
        </is>
      </c>
      <c r="E65" t="inlineStr">
        <is>
          <t>2.16.99 Investimento Sede Vinco</t>
        </is>
      </c>
      <c r="F65" t="inlineStr">
        <is>
          <t>NF-e</t>
        </is>
      </c>
      <c r="G65" t="inlineStr">
        <is>
          <t>000000100</t>
        </is>
      </c>
      <c r="H65" t="inlineStr">
        <is>
          <t>COMERCIAL CASA NOVA MATERIAL DE CONSTRUCAO PB LTDA</t>
        </is>
      </c>
      <c r="I65" t="inlineStr">
        <is>
          <t>44.336.205/0001-18</t>
        </is>
      </c>
      <c r="J65" s="27" t="n">
        <v>46134</v>
      </c>
      <c r="K65" s="14" t="n">
        <v>6600</v>
      </c>
      <c r="L65" t="inlineStr">
        <is>
          <t>Sim</t>
        </is>
      </c>
    </row>
    <row r="66">
      <c r="A66" s="24" t="n">
        <v>46113</v>
      </c>
      <c r="B66" t="inlineStr">
        <is>
          <t>Despesas gerais</t>
        </is>
      </c>
      <c r="C66" t="inlineStr">
        <is>
          <t>NF-e</t>
        </is>
      </c>
      <c r="D66" t="inlineStr">
        <is>
          <t>2.16 Sede Vinco</t>
        </is>
      </c>
      <c r="E66" t="inlineStr">
        <is>
          <t>2.16.99 Investimento Sede Vinco</t>
        </is>
      </c>
      <c r="F66" t="inlineStr">
        <is>
          <t>NF-e</t>
        </is>
      </c>
      <c r="G66" t="inlineStr">
        <is>
          <t>000000102</t>
        </is>
      </c>
      <c r="H66" t="inlineStr">
        <is>
          <t>COMERCIAL CASA NOVA MATERIAL DE CONSTRUCAO PB LTDA</t>
        </is>
      </c>
      <c r="I66" t="inlineStr">
        <is>
          <t>44.336.205/0001-18</t>
        </is>
      </c>
      <c r="J66" s="27" t="n">
        <v>46142</v>
      </c>
      <c r="K66" s="14" t="n">
        <v>400</v>
      </c>
      <c r="L66" t="inlineStr">
        <is>
          <t>Sim</t>
        </is>
      </c>
    </row>
    <row r="67">
      <c r="A67" s="24" t="n">
        <v>46143</v>
      </c>
      <c r="B67" t="inlineStr">
        <is>
          <t>Despesas gerais</t>
        </is>
      </c>
      <c r="C67" t="inlineStr">
        <is>
          <t>NF-e</t>
        </is>
      </c>
      <c r="D67" t="inlineStr">
        <is>
          <t>2.02 Despesas Comerciais</t>
        </is>
      </c>
      <c r="E67" t="inlineStr">
        <is>
          <t>2.02.95 Brindes</t>
        </is>
      </c>
      <c r="F67" t="inlineStr">
        <is>
          <t>NF-e</t>
        </is>
      </c>
      <c r="G67" t="inlineStr">
        <is>
          <t>900564807</t>
        </is>
      </c>
      <c r="H67" t="inlineStr">
        <is>
          <t>38.277.962 RAQUEL BARBOSA DE PAIVA SANTOS SALES</t>
        </is>
      </c>
      <c r="I67" t="inlineStr">
        <is>
          <t>38.277.962/0001-65</t>
        </is>
      </c>
      <c r="J67" s="27" t="n">
        <v>46153</v>
      </c>
      <c r="K67" s="14" t="n">
        <v>4850</v>
      </c>
      <c r="L67" t="inlineStr">
        <is>
          <t>Sim</t>
        </is>
      </c>
    </row>
    <row r="68">
      <c r="A68" s="24" t="n">
        <v>46143</v>
      </c>
      <c r="B68" t="inlineStr">
        <is>
          <t>Despesas gerais</t>
        </is>
      </c>
      <c r="C68" t="inlineStr">
        <is>
          <t>NF-e</t>
        </is>
      </c>
      <c r="D68" t="inlineStr">
        <is>
          <t>2.02 Despesas Comerciais</t>
        </is>
      </c>
      <c r="E68" t="inlineStr">
        <is>
          <t>2.02.95 Brindes</t>
        </is>
      </c>
      <c r="F68" t="inlineStr">
        <is>
          <t>NF-e</t>
        </is>
      </c>
      <c r="G68" t="inlineStr">
        <is>
          <t>000000195</t>
        </is>
      </c>
      <c r="H68" t="inlineStr">
        <is>
          <t>Omega Soul Brindes e Servicos Ltda</t>
        </is>
      </c>
      <c r="I68" t="inlineStr">
        <is>
          <t>61.699.265/0001-14</t>
        </is>
      </c>
      <c r="J68" s="27" t="n">
        <v>46168</v>
      </c>
      <c r="K68" s="14" t="n">
        <v>1383.3</v>
      </c>
      <c r="L68" t="inlineStr">
        <is>
          <t>Sim</t>
        </is>
      </c>
    </row>
    <row r="69">
      <c r="A69" s="24" t="n">
        <v>46143</v>
      </c>
      <c r="B69" t="inlineStr">
        <is>
          <t>Despesas gerais</t>
        </is>
      </c>
      <c r="C69" t="inlineStr">
        <is>
          <t>NF-e</t>
        </is>
      </c>
      <c r="D69" t="inlineStr">
        <is>
          <t>2.03 Despesas com Pessoal</t>
        </is>
      </c>
      <c r="E69" t="inlineStr">
        <is>
          <t>2.03.02 EndoMarketing</t>
        </is>
      </c>
      <c r="F69" t="inlineStr">
        <is>
          <t>NF-e</t>
        </is>
      </c>
      <c r="G69" t="inlineStr">
        <is>
          <t>000002313</t>
        </is>
      </c>
      <c r="H69" t="inlineStr">
        <is>
          <t>UP GIFTS PERSONALIZADOS LTDA</t>
        </is>
      </c>
      <c r="I69" t="inlineStr">
        <is>
          <t>46.230.617/0001-02</t>
        </is>
      </c>
      <c r="J69" s="27" t="n">
        <v>46150</v>
      </c>
      <c r="K69" s="14" t="n">
        <v>84</v>
      </c>
      <c r="L69" t="inlineStr">
        <is>
          <t>Sim</t>
        </is>
      </c>
    </row>
    <row r="70">
      <c r="A70" s="24" t="n">
        <v>46143</v>
      </c>
      <c r="B70" t="inlineStr">
        <is>
          <t>Investimento (imobilizado)</t>
        </is>
      </c>
      <c r="C70" t="inlineStr">
        <is>
          <t>NF-e</t>
        </is>
      </c>
      <c r="D70" t="inlineStr">
        <is>
          <t>2.07 Investimento</t>
        </is>
      </c>
      <c r="E70" t="inlineStr">
        <is>
          <t>2.07.01 Máquinas e Equipamentos</t>
        </is>
      </c>
      <c r="F70" t="inlineStr">
        <is>
          <t>NF-e</t>
        </is>
      </c>
      <c r="G70" t="inlineStr">
        <is>
          <t>000012299</t>
        </is>
      </c>
      <c r="H70" t="inlineStr">
        <is>
          <t>E. M. AMARAL - MAQUINAS E FERRAMENTAS LTDA</t>
        </is>
      </c>
      <c r="I70" t="inlineStr">
        <is>
          <t>25.114.989/0001-95</t>
        </is>
      </c>
      <c r="J70" s="27" t="n">
        <v>46149</v>
      </c>
      <c r="K70" s="14" t="n">
        <v>6330.63</v>
      </c>
      <c r="L70" t="inlineStr">
        <is>
          <t>Sim</t>
        </is>
      </c>
    </row>
    <row r="71">
      <c r="A71" s="24" t="n">
        <v>46143</v>
      </c>
      <c r="B71" t="inlineStr">
        <is>
          <t>Investimento (imobilizado)</t>
        </is>
      </c>
      <c r="C71" t="inlineStr">
        <is>
          <t>NF-e</t>
        </is>
      </c>
      <c r="D71" t="inlineStr">
        <is>
          <t>2.07 Investimento</t>
        </is>
      </c>
      <c r="E71" t="inlineStr">
        <is>
          <t>2.07.01 Máquinas e Equipamentos</t>
        </is>
      </c>
      <c r="F71" t="inlineStr">
        <is>
          <t>NF-e</t>
        </is>
      </c>
      <c r="G71" t="inlineStr">
        <is>
          <t>000014204</t>
        </is>
      </c>
      <c r="H71" t="inlineStr">
        <is>
          <t>EDNA DE ARAUJO PACHECO LTDA</t>
        </is>
      </c>
      <c r="I71" t="inlineStr">
        <is>
          <t>17.433.873/0001-90</t>
        </is>
      </c>
      <c r="J71" s="27" t="n">
        <v>46169</v>
      </c>
      <c r="K71" s="14" t="n">
        <v>955.9</v>
      </c>
      <c r="L71" t="inlineStr">
        <is>
          <t>Sim</t>
        </is>
      </c>
    </row>
    <row r="72">
      <c r="A72" s="24" t="n">
        <v>46143</v>
      </c>
      <c r="B72" t="inlineStr">
        <is>
          <t>Investimento (imobilizado)</t>
        </is>
      </c>
      <c r="C72" t="inlineStr">
        <is>
          <t>NF-e</t>
        </is>
      </c>
      <c r="D72" t="inlineStr">
        <is>
          <t>2.07 Investimento</t>
        </is>
      </c>
      <c r="E72" t="inlineStr">
        <is>
          <t>2.07.01 Máquinas e Equipamentos</t>
        </is>
      </c>
      <c r="F72" t="inlineStr">
        <is>
          <t>NF-e</t>
        </is>
      </c>
      <c r="G72" t="inlineStr">
        <is>
          <t>124857793</t>
        </is>
      </c>
      <c r="H72" t="inlineStr">
        <is>
          <t>Ebazar.com.br. ltda</t>
        </is>
      </c>
      <c r="I72" t="inlineStr">
        <is>
          <t>03.007.331/0010-32</t>
        </is>
      </c>
      <c r="J72" s="27" t="n">
        <v>46168</v>
      </c>
      <c r="K72" s="14" t="n">
        <v>3227.76</v>
      </c>
      <c r="L72" t="inlineStr">
        <is>
          <t>Sim</t>
        </is>
      </c>
    </row>
    <row r="73">
      <c r="A73" s="24" t="n">
        <v>46143</v>
      </c>
      <c r="B73" t="inlineStr">
        <is>
          <t>Investimento (imobilizado)</t>
        </is>
      </c>
      <c r="C73" t="inlineStr">
        <is>
          <t>NF-e</t>
        </is>
      </c>
      <c r="D73" t="inlineStr">
        <is>
          <t>2.07 Investimento</t>
        </is>
      </c>
      <c r="E73" t="inlineStr">
        <is>
          <t>2.07.01 Máquinas e Equipamentos</t>
        </is>
      </c>
      <c r="F73" t="inlineStr">
        <is>
          <t>NF-e</t>
        </is>
      </c>
      <c r="G73" t="inlineStr">
        <is>
          <t>125044430</t>
        </is>
      </c>
      <c r="H73" t="inlineStr">
        <is>
          <t>Ebazar.com.br. ltda</t>
        </is>
      </c>
      <c r="I73" t="inlineStr">
        <is>
          <t>03.007.331/0010-32</t>
        </is>
      </c>
      <c r="J73" s="27" t="n">
        <v>46169</v>
      </c>
      <c r="K73" s="14" t="n">
        <v>1066.68</v>
      </c>
      <c r="L73" t="inlineStr">
        <is>
          <t>Sim</t>
        </is>
      </c>
    </row>
    <row r="74">
      <c r="A74" s="24" t="n">
        <v>46143</v>
      </c>
      <c r="B74" t="inlineStr">
        <is>
          <t>Investimento (imobilizado)</t>
        </is>
      </c>
      <c r="C74" t="inlineStr">
        <is>
          <t>NF-e</t>
        </is>
      </c>
      <c r="D74" t="inlineStr">
        <is>
          <t>2.07 Investimento</t>
        </is>
      </c>
      <c r="E74" t="inlineStr">
        <is>
          <t>2.07.04 Equipamentos de Informática</t>
        </is>
      </c>
      <c r="F74" t="inlineStr">
        <is>
          <t>NF-e</t>
        </is>
      </c>
      <c r="G74" t="inlineStr">
        <is>
          <t>000046589</t>
        </is>
      </c>
      <c r="H74" t="inlineStr">
        <is>
          <t>MIRANDA COMPUTACAO E COMERCIO LTDA</t>
        </is>
      </c>
      <c r="I74" t="inlineStr">
        <is>
          <t>11.982.113/0011-28</t>
        </is>
      </c>
      <c r="J74" s="27" t="n">
        <v>46167</v>
      </c>
      <c r="K74" s="14" t="n">
        <v>4298</v>
      </c>
      <c r="L74" t="inlineStr">
        <is>
          <t>Sim</t>
        </is>
      </c>
    </row>
    <row r="75">
      <c r="A75" s="24" t="n">
        <v>46143</v>
      </c>
      <c r="B75" t="inlineStr">
        <is>
          <t>Investimento (imobilizado)</t>
        </is>
      </c>
      <c r="C75" t="inlineStr">
        <is>
          <t>NF-e</t>
        </is>
      </c>
      <c r="D75" t="inlineStr">
        <is>
          <t>2.07 Investimento</t>
        </is>
      </c>
      <c r="E75" t="inlineStr">
        <is>
          <t>2.07.04 Equipamentos de Informática</t>
        </is>
      </c>
      <c r="F75" t="inlineStr">
        <is>
          <t>NF-e</t>
        </is>
      </c>
      <c r="G75" t="inlineStr">
        <is>
          <t>000046640</t>
        </is>
      </c>
      <c r="H75" t="inlineStr">
        <is>
          <t>MIRANDA COMPUTACAO E COMERCIO LTDA</t>
        </is>
      </c>
      <c r="I75" t="inlineStr">
        <is>
          <t>11.982.113/0011-28</t>
        </is>
      </c>
      <c r="J75" s="27" t="n">
        <v>46169</v>
      </c>
      <c r="K75" s="14" t="n">
        <v>8596</v>
      </c>
      <c r="L75" t="inlineStr">
        <is>
          <t>Sim</t>
        </is>
      </c>
    </row>
    <row r="76">
      <c r="A76" s="24" t="n">
        <v>46143</v>
      </c>
      <c r="B76" t="inlineStr">
        <is>
          <t>Investimento (imobilizado)</t>
        </is>
      </c>
      <c r="C76" t="inlineStr">
        <is>
          <t>NF-e</t>
        </is>
      </c>
      <c r="D76" t="inlineStr">
        <is>
          <t>2.07 Investimento</t>
        </is>
      </c>
      <c r="E76" t="inlineStr">
        <is>
          <t>2.07.04 Equipamentos de Informática</t>
        </is>
      </c>
      <c r="F76" t="inlineStr">
        <is>
          <t>NF-e</t>
        </is>
      </c>
      <c r="G76" t="inlineStr">
        <is>
          <t>000046639</t>
        </is>
      </c>
      <c r="H76" t="inlineStr">
        <is>
          <t>MIRANDA COMPUTACAO E COMERCIO LTDA</t>
        </is>
      </c>
      <c r="I76" t="inlineStr">
        <is>
          <t>11.982.113/0011-28</t>
        </is>
      </c>
      <c r="J76" s="27" t="n">
        <v>46169</v>
      </c>
      <c r="K76" s="14" t="n">
        <v>8596</v>
      </c>
      <c r="L76" t="inlineStr">
        <is>
          <t>Sim</t>
        </is>
      </c>
    </row>
    <row r="77">
      <c r="A77" s="24" t="n">
        <v>46143</v>
      </c>
      <c r="B77" t="inlineStr">
        <is>
          <t>Investimento (imobilizado)</t>
        </is>
      </c>
      <c r="C77" t="inlineStr">
        <is>
          <t>NF-e</t>
        </is>
      </c>
      <c r="D77" t="inlineStr">
        <is>
          <t>2.07 Investimento</t>
        </is>
      </c>
      <c r="E77" t="inlineStr">
        <is>
          <t>2.07.04 Equipamentos de Informática</t>
        </is>
      </c>
      <c r="F77" t="inlineStr">
        <is>
          <t>NF-e</t>
        </is>
      </c>
      <c r="G77" t="inlineStr">
        <is>
          <t>000046638</t>
        </is>
      </c>
      <c r="H77" t="inlineStr">
        <is>
          <t>MIRANDA COMPUTACAO E COMERCIO LTDA</t>
        </is>
      </c>
      <c r="I77" t="inlineStr">
        <is>
          <t>11.982.113/0011-28</t>
        </is>
      </c>
      <c r="J77" s="27" t="n">
        <v>46169</v>
      </c>
      <c r="K77" s="14" t="n">
        <v>5097.5</v>
      </c>
      <c r="L77" t="inlineStr">
        <is>
          <t>Sim</t>
        </is>
      </c>
    </row>
    <row r="78">
      <c r="A78" s="24" t="n">
        <v>46143</v>
      </c>
      <c r="B78" t="inlineStr">
        <is>
          <t>Investimento (imobilizado)</t>
        </is>
      </c>
      <c r="C78" t="inlineStr">
        <is>
          <t>NF-e</t>
        </is>
      </c>
      <c r="D78" t="inlineStr">
        <is>
          <t>2.07 Investimento</t>
        </is>
      </c>
      <c r="E78" t="inlineStr">
        <is>
          <t>2.07.05 Compra de Móveis e Utensílios</t>
        </is>
      </c>
      <c r="F78" t="inlineStr">
        <is>
          <t>NF-e</t>
        </is>
      </c>
      <c r="G78" t="inlineStr">
        <is>
          <t>000002878</t>
        </is>
      </c>
      <c r="H78" t="inlineStr">
        <is>
          <t>MFB MOVEIS PLANEJADOS LTDA</t>
        </is>
      </c>
      <c r="I78" t="inlineStr">
        <is>
          <t>54.825.184/0001-58</t>
        </is>
      </c>
      <c r="J78" s="27" t="n">
        <v>46170</v>
      </c>
      <c r="K78" s="14" t="n">
        <v>4196</v>
      </c>
      <c r="L78" t="inlineStr">
        <is>
          <t>Sim</t>
        </is>
      </c>
    </row>
    <row r="79">
      <c r="A79" s="24" t="n">
        <v>46143</v>
      </c>
      <c r="B79" t="inlineStr">
        <is>
          <t>Despesas gerais</t>
        </is>
      </c>
      <c r="C79" t="inlineStr">
        <is>
          <t>NF-e</t>
        </is>
      </c>
      <c r="D79" t="inlineStr">
        <is>
          <t>2.16 Sede Vinco</t>
        </is>
      </c>
      <c r="E79" t="inlineStr">
        <is>
          <t>2.16.99 Investimento Sede Vinco</t>
        </is>
      </c>
      <c r="F79" t="inlineStr">
        <is>
          <t>NF-e</t>
        </is>
      </c>
      <c r="G79" t="inlineStr">
        <is>
          <t>000000103</t>
        </is>
      </c>
      <c r="H79" t="inlineStr">
        <is>
          <t>COMERCIAL CASA NOVA MATERIAL DE CONSTRUCAO PB LTDA</t>
        </is>
      </c>
      <c r="I79" t="inlineStr">
        <is>
          <t>44.336.205/0001-18</t>
        </is>
      </c>
      <c r="J79" s="27" t="n">
        <v>46164</v>
      </c>
      <c r="K79" s="14" t="n">
        <v>265</v>
      </c>
      <c r="L79" t="inlineStr">
        <is>
          <t>Sim</t>
        </is>
      </c>
    </row>
    <row r="80">
      <c r="A80" s="24" t="n">
        <v>46174</v>
      </c>
      <c r="B80" t="inlineStr">
        <is>
          <t>Serviços e manutenção</t>
        </is>
      </c>
      <c r="C80" t="inlineStr">
        <is>
          <t>NF-e</t>
        </is>
      </c>
      <c r="D80" t="inlineStr">
        <is>
          <t>2.01 Custos</t>
        </is>
      </c>
      <c r="E80" t="inlineStr">
        <is>
          <t>2.01.88 Manutenção e Conservação de Máquina</t>
        </is>
      </c>
      <c r="F80" t="inlineStr">
        <is>
          <t>NF-e</t>
        </is>
      </c>
      <c r="G80" t="inlineStr">
        <is>
          <t>000160132</t>
        </is>
      </c>
      <c r="H80" t="inlineStr">
        <is>
          <t>Beltex Ind. e Com. de Correias Ltda.</t>
        </is>
      </c>
      <c r="I80" t="inlineStr">
        <is>
          <t>82.317.900/0001-21</t>
        </is>
      </c>
      <c r="J80" s="27" t="n">
        <v>46184</v>
      </c>
      <c r="K80" s="14" t="n">
        <v>3229.63</v>
      </c>
      <c r="L80" t="inlineStr">
        <is>
          <t>Sim</t>
        </is>
      </c>
    </row>
    <row r="81">
      <c r="A81" s="24" t="n">
        <v>46174</v>
      </c>
      <c r="B81" t="inlineStr">
        <is>
          <t>Serviços e manutenção</t>
        </is>
      </c>
      <c r="C81" t="inlineStr">
        <is>
          <t>NF-e</t>
        </is>
      </c>
      <c r="D81" t="inlineStr">
        <is>
          <t>2.01 Custos</t>
        </is>
      </c>
      <c r="E81" t="inlineStr">
        <is>
          <t>2.01.88 Manutenção e Conservação de Máquina</t>
        </is>
      </c>
      <c r="F81" t="inlineStr">
        <is>
          <t>NF-e</t>
        </is>
      </c>
      <c r="G81" t="inlineStr">
        <is>
          <t>000014392</t>
        </is>
      </c>
      <c r="H81" t="inlineStr">
        <is>
          <t>EDNA DE ARAUJO PACHECO LTDA</t>
        </is>
      </c>
      <c r="I81" t="inlineStr">
        <is>
          <t>17.433.873/0001-90</t>
        </is>
      </c>
      <c r="J81" s="27" t="n">
        <v>46185</v>
      </c>
      <c r="K81" s="14" t="n">
        <v>1183.7</v>
      </c>
      <c r="L81" t="inlineStr">
        <is>
          <t>Sim</t>
        </is>
      </c>
      <c r="M81" t="inlineStr">
        <is>
          <t>Valor rateado entre categorias, como no Omie</t>
        </is>
      </c>
    </row>
    <row r="82">
      <c r="A82" s="24" t="n">
        <v>46174</v>
      </c>
      <c r="B82" t="inlineStr">
        <is>
          <t>Serviços e manutenção</t>
        </is>
      </c>
      <c r="C82" t="inlineStr">
        <is>
          <t>NF-e</t>
        </is>
      </c>
      <c r="D82" t="inlineStr">
        <is>
          <t>2.01 Custos</t>
        </is>
      </c>
      <c r="E82" t="inlineStr">
        <is>
          <t>2.01.88 Manutenção e Conservação de Máquina</t>
        </is>
      </c>
      <c r="F82" t="inlineStr">
        <is>
          <t>NF-e</t>
        </is>
      </c>
      <c r="G82" t="inlineStr">
        <is>
          <t>000104864</t>
        </is>
      </c>
      <c r="H82" t="inlineStr">
        <is>
          <t>FERGE COMERCIO DE PRODUTOS INDUSTRIAIS LTDA</t>
        </is>
      </c>
      <c r="I82" t="inlineStr">
        <is>
          <t>09.057.961/0001-07</t>
        </is>
      </c>
      <c r="J82" s="27" t="n">
        <v>46177</v>
      </c>
      <c r="K82" s="14" t="n">
        <v>160</v>
      </c>
      <c r="L82" t="inlineStr">
        <is>
          <t>Sim</t>
        </is>
      </c>
    </row>
    <row r="83">
      <c r="A83" s="24" t="n">
        <v>46174</v>
      </c>
      <c r="B83" t="inlineStr">
        <is>
          <t>Serviços e manutenção</t>
        </is>
      </c>
      <c r="C83" t="inlineStr">
        <is>
          <t>NF-e</t>
        </is>
      </c>
      <c r="D83" t="inlineStr">
        <is>
          <t>2.01 Custos</t>
        </is>
      </c>
      <c r="E83" t="inlineStr">
        <is>
          <t>2.01.88 Manutenção e Conservação de Máquina</t>
        </is>
      </c>
      <c r="F83" t="inlineStr">
        <is>
          <t>NF-e</t>
        </is>
      </c>
      <c r="G83" t="inlineStr">
        <is>
          <t>000105080</t>
        </is>
      </c>
      <c r="H83" t="inlineStr">
        <is>
          <t>FERGE COMERCIO DE PRODUTOS INDUSTRIAIS LTDA</t>
        </is>
      </c>
      <c r="I83" t="inlineStr">
        <is>
          <t>09.057.961/0001-07</t>
        </is>
      </c>
      <c r="J83" s="27" t="n">
        <v>46185</v>
      </c>
      <c r="K83" s="14" t="n">
        <v>620</v>
      </c>
      <c r="L83" t="inlineStr">
        <is>
          <t>Sim</t>
        </is>
      </c>
    </row>
    <row r="84">
      <c r="A84" s="24" t="n">
        <v>46174</v>
      </c>
      <c r="B84" t="inlineStr">
        <is>
          <t>Serviços e manutenção</t>
        </is>
      </c>
      <c r="C84" t="inlineStr">
        <is>
          <t>NF-e</t>
        </is>
      </c>
      <c r="D84" t="inlineStr">
        <is>
          <t>2.01 Custos</t>
        </is>
      </c>
      <c r="E84" t="inlineStr">
        <is>
          <t>2.01.88 Manutenção e Conservação de Máquina</t>
        </is>
      </c>
      <c r="F84" t="inlineStr">
        <is>
          <t>NF-e</t>
        </is>
      </c>
      <c r="G84" t="inlineStr">
        <is>
          <t>000105121</t>
        </is>
      </c>
      <c r="H84" t="inlineStr">
        <is>
          <t>FERGE COMERCIO DE PRODUTOS INDUSTRIAIS LTDA</t>
        </is>
      </c>
      <c r="I84" t="inlineStr">
        <is>
          <t>09.057.961/0001-07</t>
        </is>
      </c>
      <c r="J84" s="27" t="n">
        <v>46188</v>
      </c>
      <c r="K84" s="14" t="n">
        <v>392</v>
      </c>
      <c r="L84" t="inlineStr">
        <is>
          <t>Sim</t>
        </is>
      </c>
    </row>
    <row r="85">
      <c r="A85" s="24" t="n">
        <v>46174</v>
      </c>
      <c r="B85" t="inlineStr">
        <is>
          <t>Serviços e manutenção</t>
        </is>
      </c>
      <c r="C85" t="inlineStr">
        <is>
          <t>NF-e</t>
        </is>
      </c>
      <c r="D85" t="inlineStr">
        <is>
          <t>2.01 Custos</t>
        </is>
      </c>
      <c r="E85" t="inlineStr">
        <is>
          <t>2.01.88 Manutenção e Conservação de Máquina</t>
        </is>
      </c>
      <c r="F85" t="inlineStr">
        <is>
          <t>NF-e</t>
        </is>
      </c>
      <c r="G85" t="inlineStr">
        <is>
          <t>000105277</t>
        </is>
      </c>
      <c r="H85" t="inlineStr">
        <is>
          <t>FERGE COMERCIO DE PRODUTOS INDUSTRIAIS LTDA</t>
        </is>
      </c>
      <c r="I85" t="inlineStr">
        <is>
          <t>09.057.961/0001-07</t>
        </is>
      </c>
      <c r="J85" s="27" t="n">
        <v>46192</v>
      </c>
      <c r="K85" s="14" t="n">
        <v>315</v>
      </c>
      <c r="L85" t="inlineStr">
        <is>
          <t>Sim</t>
        </is>
      </c>
    </row>
    <row r="86">
      <c r="A86" s="24" t="n">
        <v>46174</v>
      </c>
      <c r="B86" t="inlineStr">
        <is>
          <t>Serviços e manutenção</t>
        </is>
      </c>
      <c r="C86" t="inlineStr">
        <is>
          <t>NF-e</t>
        </is>
      </c>
      <c r="D86" t="inlineStr">
        <is>
          <t>2.01 Custos</t>
        </is>
      </c>
      <c r="E86" t="inlineStr">
        <is>
          <t>2.01.88 Manutenção e Conservação de Máquina</t>
        </is>
      </c>
      <c r="F86" t="inlineStr">
        <is>
          <t>NF-e</t>
        </is>
      </c>
      <c r="G86" t="inlineStr">
        <is>
          <t>000072400</t>
        </is>
      </c>
      <c r="H86" t="inlineStr">
        <is>
          <t>FURNAX COMERCIAL E IMPORTADORA EIRELI</t>
        </is>
      </c>
      <c r="I86" t="inlineStr">
        <is>
          <t>00.144.257/0001-17</t>
        </is>
      </c>
      <c r="J86" s="27" t="n">
        <v>46195</v>
      </c>
      <c r="K86" s="14" t="n">
        <v>4273.86</v>
      </c>
      <c r="L86" t="inlineStr">
        <is>
          <t>Sim</t>
        </is>
      </c>
    </row>
    <row r="87">
      <c r="A87" s="24" t="n">
        <v>46174</v>
      </c>
      <c r="B87" t="inlineStr">
        <is>
          <t>Serviços e manutenção</t>
        </is>
      </c>
      <c r="C87" t="inlineStr">
        <is>
          <t>NF-e</t>
        </is>
      </c>
      <c r="D87" t="inlineStr">
        <is>
          <t>2.01 Custos</t>
        </is>
      </c>
      <c r="E87" t="inlineStr">
        <is>
          <t>2.01.88 Manutenção e Conservação de Máquina</t>
        </is>
      </c>
      <c r="F87" t="inlineStr">
        <is>
          <t>NF-e</t>
        </is>
      </c>
      <c r="G87" t="inlineStr">
        <is>
          <t>000010118</t>
        </is>
      </c>
      <c r="H87" t="inlineStr">
        <is>
          <t>LED NORDESTE ILUMINACAO LTDA</t>
        </is>
      </c>
      <c r="I87" t="inlineStr">
        <is>
          <t>11.651.809/0001-08</t>
        </is>
      </c>
      <c r="J87" s="27" t="n">
        <v>46184</v>
      </c>
      <c r="K87" s="14" t="n">
        <v>705</v>
      </c>
      <c r="L87" t="inlineStr">
        <is>
          <t>Sim</t>
        </is>
      </c>
    </row>
    <row r="88">
      <c r="A88" s="24" t="n">
        <v>46174</v>
      </c>
      <c r="B88" t="inlineStr">
        <is>
          <t>Serviços e manutenção</t>
        </is>
      </c>
      <c r="C88" t="inlineStr">
        <is>
          <t>NF-e</t>
        </is>
      </c>
      <c r="D88" t="inlineStr">
        <is>
          <t>2.01 Custos</t>
        </is>
      </c>
      <c r="E88" t="inlineStr">
        <is>
          <t>2.01.88 Manutenção e Conservação de Máquina</t>
        </is>
      </c>
      <c r="F88" t="inlineStr">
        <is>
          <t>NF-e</t>
        </is>
      </c>
      <c r="G88" t="inlineStr">
        <is>
          <t>000282371</t>
        </is>
      </c>
      <c r="H88" t="inlineStr">
        <is>
          <t>ROLIMEC ROLAMENTOS LTDA</t>
        </is>
      </c>
      <c r="I88" t="inlineStr">
        <is>
          <t>01.612.046/0001-24</t>
        </is>
      </c>
      <c r="J88" s="27" t="n">
        <v>46203</v>
      </c>
      <c r="K88" s="14" t="n">
        <v>4146</v>
      </c>
      <c r="L88" t="inlineStr">
        <is>
          <t>Sim</t>
        </is>
      </c>
    </row>
    <row r="89">
      <c r="A89" s="24" t="n">
        <v>46174</v>
      </c>
      <c r="B89" t="inlineStr">
        <is>
          <t>Despesas gerais</t>
        </is>
      </c>
      <c r="C89" t="inlineStr">
        <is>
          <t>NF-e</t>
        </is>
      </c>
      <c r="D89" t="inlineStr">
        <is>
          <t>2.02 Despesas Comerciais</t>
        </is>
      </c>
      <c r="E89" t="inlineStr">
        <is>
          <t>2.02.95 Brindes</t>
        </is>
      </c>
      <c r="F89" t="inlineStr">
        <is>
          <t>NF-e</t>
        </is>
      </c>
      <c r="G89" t="inlineStr">
        <is>
          <t>000003591</t>
        </is>
      </c>
      <c r="H89" t="inlineStr">
        <is>
          <t>PRESENTES ESPECIAIS LTDA</t>
        </is>
      </c>
      <c r="I89" t="inlineStr">
        <is>
          <t>11.612.564/0001-00</t>
        </is>
      </c>
      <c r="J89" s="27" t="n">
        <v>46181</v>
      </c>
      <c r="K89" s="14" t="n">
        <v>135</v>
      </c>
      <c r="L89" t="inlineStr">
        <is>
          <t>Sim</t>
        </is>
      </c>
    </row>
    <row r="90">
      <c r="A90" s="24" t="n">
        <v>46174</v>
      </c>
      <c r="B90" t="inlineStr">
        <is>
          <t>Despesas gerais</t>
        </is>
      </c>
      <c r="C90" t="inlineStr">
        <is>
          <t>NF-e</t>
        </is>
      </c>
      <c r="D90" t="inlineStr">
        <is>
          <t>2.03 Despesas com Pessoal</t>
        </is>
      </c>
      <c r="E90" t="inlineStr">
        <is>
          <t>2.03.02 EndoMarketing</t>
        </is>
      </c>
      <c r="F90" t="inlineStr">
        <is>
          <t>NF-e</t>
        </is>
      </c>
      <c r="G90" t="inlineStr">
        <is>
          <t>000003661</t>
        </is>
      </c>
      <c r="H90" t="inlineStr">
        <is>
          <t>NOVO ATACADO COMERCIO DE ALIMENTOS SA</t>
        </is>
      </c>
      <c r="I90" t="inlineStr">
        <is>
          <t>20.300.157/0066-95</t>
        </is>
      </c>
      <c r="J90" s="27" t="n">
        <v>46183</v>
      </c>
      <c r="K90" s="14" t="n">
        <v>1277.47</v>
      </c>
      <c r="L90" t="inlineStr">
        <is>
          <t>Sim</t>
        </is>
      </c>
    </row>
    <row r="91">
      <c r="A91" s="24" t="n">
        <v>46174</v>
      </c>
      <c r="B91" t="inlineStr">
        <is>
          <t>Despesas gerais</t>
        </is>
      </c>
      <c r="C91" t="inlineStr">
        <is>
          <t>NF-e</t>
        </is>
      </c>
      <c r="D91" t="inlineStr">
        <is>
          <t>2.03 Despesas com Pessoal</t>
        </is>
      </c>
      <c r="E91" t="inlineStr">
        <is>
          <t>2.03.02 EndoMarketing</t>
        </is>
      </c>
      <c r="F91" t="inlineStr">
        <is>
          <t>NF-e</t>
        </is>
      </c>
      <c r="G91" t="inlineStr">
        <is>
          <t>000004066</t>
        </is>
      </c>
      <c r="H91" t="inlineStr">
        <is>
          <t>NOVO ATACADO COMERCIO DE ALIMENTOS SA</t>
        </is>
      </c>
      <c r="I91" t="inlineStr">
        <is>
          <t>20.300.157/0066-95</t>
        </is>
      </c>
      <c r="J91" s="27" t="n">
        <v>46196</v>
      </c>
      <c r="K91" s="14" t="n">
        <v>196.07</v>
      </c>
      <c r="L91" t="inlineStr">
        <is>
          <t>Sim</t>
        </is>
      </c>
    </row>
    <row r="92">
      <c r="A92" s="24" t="n">
        <v>46174</v>
      </c>
      <c r="B92" t="inlineStr">
        <is>
          <t>Investimento (imobilizado)</t>
        </is>
      </c>
      <c r="C92" t="inlineStr">
        <is>
          <t>NF-e</t>
        </is>
      </c>
      <c r="D92" t="inlineStr">
        <is>
          <t>2.07 Investimento</t>
        </is>
      </c>
      <c r="E92" t="inlineStr">
        <is>
          <t>2.07.01 Máquinas e Equipamentos</t>
        </is>
      </c>
      <c r="F92" t="inlineStr">
        <is>
          <t>NF-e</t>
        </is>
      </c>
      <c r="G92" t="inlineStr">
        <is>
          <t>000014392</t>
        </is>
      </c>
      <c r="H92" t="inlineStr">
        <is>
          <t>EDNA DE ARAUJO PACHECO LTDA</t>
        </is>
      </c>
      <c r="I92" t="inlineStr">
        <is>
          <t>17.433.873/0001-90</t>
        </is>
      </c>
      <c r="J92" s="27" t="n">
        <v>46185</v>
      </c>
      <c r="K92" s="14" t="n">
        <v>71.38</v>
      </c>
      <c r="L92" t="inlineStr">
        <is>
          <t>Sim</t>
        </is>
      </c>
      <c r="M92" t="inlineStr">
        <is>
          <t>Valor rateado entre categorias, como no Omie</t>
        </is>
      </c>
    </row>
    <row r="93">
      <c r="A93" s="24" t="n">
        <v>46174</v>
      </c>
      <c r="B93" t="inlineStr">
        <is>
          <t>Investimento (imobilizado)</t>
        </is>
      </c>
      <c r="C93" t="inlineStr">
        <is>
          <t>NF-e</t>
        </is>
      </c>
      <c r="D93" t="inlineStr">
        <is>
          <t>2.07 Investimento</t>
        </is>
      </c>
      <c r="E93" t="inlineStr">
        <is>
          <t>2.07.01 Máquinas e Equipamentos</t>
        </is>
      </c>
      <c r="F93" t="inlineStr">
        <is>
          <t>NF-e</t>
        </is>
      </c>
      <c r="G93" t="inlineStr">
        <is>
          <t>000014400</t>
        </is>
      </c>
      <c r="H93" t="inlineStr">
        <is>
          <t>EDNA DE ARAUJO PACHECO LTDA</t>
        </is>
      </c>
      <c r="I93" t="inlineStr">
        <is>
          <t>17.433.873/0001-90</t>
        </is>
      </c>
      <c r="J93" s="27" t="n">
        <v>46188</v>
      </c>
      <c r="K93" s="14" t="n">
        <v>939.9</v>
      </c>
      <c r="L93" t="inlineStr">
        <is>
          <t>Sim</t>
        </is>
      </c>
    </row>
    <row r="94">
      <c r="A94" s="24" t="n">
        <v>46174</v>
      </c>
      <c r="B94" t="inlineStr">
        <is>
          <t>Investimento (imobilizado)</t>
        </is>
      </c>
      <c r="C94" t="inlineStr">
        <is>
          <t>NF-e</t>
        </is>
      </c>
      <c r="D94" t="inlineStr">
        <is>
          <t>2.07 Investimento</t>
        </is>
      </c>
      <c r="E94" t="inlineStr">
        <is>
          <t>2.07.04 Equipamentos de Informática</t>
        </is>
      </c>
      <c r="F94" t="inlineStr">
        <is>
          <t>NF-e</t>
        </is>
      </c>
      <c r="G94" t="inlineStr">
        <is>
          <t>000268886</t>
        </is>
      </c>
      <c r="H94" t="inlineStr">
        <is>
          <t>BETEL COMERCIO DE VARIEDADES LTDA</t>
        </is>
      </c>
      <c r="I94" t="inlineStr">
        <is>
          <t>60.238.815/0001-35</t>
        </is>
      </c>
      <c r="J94" s="27" t="n">
        <v>46188</v>
      </c>
      <c r="K94" s="14" t="n">
        <v>41.99</v>
      </c>
      <c r="L94" t="inlineStr">
        <is>
          <t>Sim</t>
        </is>
      </c>
    </row>
    <row r="95">
      <c r="A95" s="24" t="n">
        <v>46174</v>
      </c>
      <c r="B95" t="inlineStr">
        <is>
          <t>Investimento (imobilizado)</t>
        </is>
      </c>
      <c r="C95" t="inlineStr">
        <is>
          <t>NF-e</t>
        </is>
      </c>
      <c r="D95" t="inlineStr">
        <is>
          <t>2.07 Investimento</t>
        </is>
      </c>
      <c r="E95" t="inlineStr">
        <is>
          <t>2.07.04 Equipamentos de Informática</t>
        </is>
      </c>
      <c r="F95" t="inlineStr">
        <is>
          <t>NF-e</t>
        </is>
      </c>
      <c r="G95" t="inlineStr">
        <is>
          <t>000047239</t>
        </is>
      </c>
      <c r="H95" t="inlineStr">
        <is>
          <t>MIRANDA COMPUTACAO E COMERCIO LTDA</t>
        </is>
      </c>
      <c r="I95" t="inlineStr">
        <is>
          <t>11.982.113/0011-28</t>
        </is>
      </c>
      <c r="J95" s="27" t="n">
        <v>46191</v>
      </c>
      <c r="K95" s="14" t="n">
        <v>4198</v>
      </c>
      <c r="L95" t="inlineStr">
        <is>
          <t>Sim</t>
        </is>
      </c>
    </row>
    <row r="96">
      <c r="A96" s="24" t="n">
        <v>46174</v>
      </c>
      <c r="B96" t="inlineStr">
        <is>
          <t>Investimento (imobilizado)</t>
        </is>
      </c>
      <c r="C96" t="inlineStr">
        <is>
          <t>NF-e</t>
        </is>
      </c>
      <c r="D96" t="inlineStr">
        <is>
          <t>2.07 Investimento</t>
        </is>
      </c>
      <c r="E96" t="inlineStr">
        <is>
          <t>2.07.04 Equipamentos de Informática</t>
        </is>
      </c>
      <c r="F96" t="inlineStr">
        <is>
          <t>NF-e</t>
        </is>
      </c>
      <c r="G96" t="inlineStr">
        <is>
          <t>000047238</t>
        </is>
      </c>
      <c r="H96" t="inlineStr">
        <is>
          <t>MIRANDA COMPUTACAO E COMERCIO LTDA</t>
        </is>
      </c>
      <c r="I96" t="inlineStr">
        <is>
          <t>11.982.113/0011-28</t>
        </is>
      </c>
      <c r="J96" s="27" t="n">
        <v>46191</v>
      </c>
      <c r="K96" s="14" t="n">
        <v>8396</v>
      </c>
      <c r="L96" t="inlineStr">
        <is>
          <t>Sim</t>
        </is>
      </c>
    </row>
    <row r="97">
      <c r="A97" s="24" t="n">
        <v>46174</v>
      </c>
      <c r="B97" t="inlineStr">
        <is>
          <t>Serviços e manutenção</t>
        </is>
      </c>
      <c r="C97" t="inlineStr">
        <is>
          <t>NF-e</t>
        </is>
      </c>
      <c r="D97" t="inlineStr">
        <is>
          <t>2.11 Despesa com Imóvel</t>
        </is>
      </c>
      <c r="E97" t="inlineStr">
        <is>
          <t>2.11.93 Manutenção Predial</t>
        </is>
      </c>
      <c r="F97" t="inlineStr">
        <is>
          <t>NF-e</t>
        </is>
      </c>
      <c r="G97" t="inlineStr">
        <is>
          <t>000057219</t>
        </is>
      </c>
      <c r="H97" t="inlineStr">
        <is>
          <t>ELETROPOLO ELETRICIDADE LTDA</t>
        </is>
      </c>
      <c r="I97" t="inlineStr">
        <is>
          <t>02.375.199/0005-91</t>
        </is>
      </c>
      <c r="J97" s="27" t="n">
        <v>46191</v>
      </c>
      <c r="K97" s="14" t="n">
        <v>403.19</v>
      </c>
      <c r="L97" t="inlineStr">
        <is>
          <t>Sim</t>
        </is>
      </c>
    </row>
    <row r="98">
      <c r="A98" s="24" t="n">
        <v>46174</v>
      </c>
      <c r="B98" t="inlineStr">
        <is>
          <t>Despesas gerais</t>
        </is>
      </c>
      <c r="C98" t="inlineStr">
        <is>
          <t>NF-e</t>
        </is>
      </c>
      <c r="D98" t="inlineStr">
        <is>
          <t>2.12 Despesas com Veículos</t>
        </is>
      </c>
      <c r="E98" t="inlineStr">
        <is>
          <t>2.12.99 Combustível</t>
        </is>
      </c>
      <c r="F98" t="inlineStr">
        <is>
          <t>NF-e</t>
        </is>
      </c>
      <c r="G98" t="inlineStr">
        <is>
          <t>000008221</t>
        </is>
      </c>
      <c r="H98" t="inlineStr">
        <is>
          <t>SUPERGASBRAS ENERGIA LTDA</t>
        </is>
      </c>
      <c r="I98" t="inlineStr">
        <is>
          <t>19.791.896/0166-00</t>
        </is>
      </c>
      <c r="J98" s="27" t="n">
        <v>46196</v>
      </c>
      <c r="K98" s="14" t="n">
        <v>629.96</v>
      </c>
      <c r="L98" t="inlineStr">
        <is>
          <t>Sim</t>
        </is>
      </c>
    </row>
    <row r="99">
      <c r="A99" s="24" t="n">
        <v>46174</v>
      </c>
      <c r="B99" t="inlineStr">
        <is>
          <t>Despesas gerais</t>
        </is>
      </c>
      <c r="C99" t="inlineStr">
        <is>
          <t>NF-e</t>
        </is>
      </c>
      <c r="D99" t="inlineStr">
        <is>
          <t>2.16 Sede Vinco</t>
        </is>
      </c>
      <c r="E99" t="inlineStr">
        <is>
          <t>2.16.99 Investimento Sede Vinco</t>
        </is>
      </c>
      <c r="F99" t="inlineStr">
        <is>
          <t>NF-e</t>
        </is>
      </c>
      <c r="G99" t="inlineStr">
        <is>
          <t>000000104</t>
        </is>
      </c>
      <c r="H99" t="inlineStr">
        <is>
          <t>COMERCIAL CASA NOVA MATERIAL DE CONSTRUCAO PB LTDA</t>
        </is>
      </c>
      <c r="I99" t="inlineStr">
        <is>
          <t>44.336.205/0001-18</t>
        </is>
      </c>
      <c r="J99" s="27" t="n">
        <v>46178</v>
      </c>
      <c r="K99" s="14" t="n">
        <v>550</v>
      </c>
      <c r="L99" t="inlineStr">
        <is>
          <t>Sim</t>
        </is>
      </c>
    </row>
    <row r="100">
      <c r="A100" s="24" t="n">
        <v>46174</v>
      </c>
      <c r="B100" t="inlineStr">
        <is>
          <t>Despesas gerais</t>
        </is>
      </c>
      <c r="C100" t="inlineStr">
        <is>
          <t>NF-e</t>
        </is>
      </c>
      <c r="D100" t="inlineStr">
        <is>
          <t>2.16 Sede Vinco</t>
        </is>
      </c>
      <c r="E100" t="inlineStr">
        <is>
          <t>2.16.99 Investimento Sede Vinco</t>
        </is>
      </c>
      <c r="F100" t="inlineStr">
        <is>
          <t>NF-e</t>
        </is>
      </c>
      <c r="G100" t="inlineStr">
        <is>
          <t>000033572</t>
        </is>
      </c>
      <c r="H100" t="inlineStr">
        <is>
          <t>VIEIRA ACO INDUSTRIA e COMERCIO LTDA</t>
        </is>
      </c>
      <c r="I100" t="inlineStr">
        <is>
          <t>12.281.632/0011-21</t>
        </is>
      </c>
      <c r="J100" s="27" t="n">
        <v>46182</v>
      </c>
      <c r="K100" s="14" t="n">
        <v>195</v>
      </c>
      <c r="L100" t="inlineStr">
        <is>
          <t>Sim</t>
        </is>
      </c>
    </row>
    <row r="101">
      <c r="A101" s="24" t="n">
        <v>46174</v>
      </c>
      <c r="B101" t="inlineStr">
        <is>
          <t>Despesas gerais</t>
        </is>
      </c>
      <c r="C101" t="inlineStr">
        <is>
          <t>NF-e</t>
        </is>
      </c>
      <c r="D101" t="inlineStr">
        <is>
          <t>2.16 Sede Vinco</t>
        </is>
      </c>
      <c r="E101" t="inlineStr">
        <is>
          <t>2.16.99 Investimento Sede Vinco</t>
        </is>
      </c>
      <c r="F101" t="inlineStr">
        <is>
          <t>NF-e</t>
        </is>
      </c>
      <c r="G101" t="inlineStr">
        <is>
          <t>000033807</t>
        </is>
      </c>
      <c r="H101" t="inlineStr">
        <is>
          <t>VIEIRA ACO INDUSTRIA e COMERCIO LTDA</t>
        </is>
      </c>
      <c r="I101" t="inlineStr">
        <is>
          <t>12.281.632/0011-21</t>
        </is>
      </c>
      <c r="J101" s="27" t="n">
        <v>46190</v>
      </c>
      <c r="K101" s="14" t="n">
        <v>96</v>
      </c>
      <c r="L101" t="inlineStr">
        <is>
          <t>Sim</t>
        </is>
      </c>
    </row>
    <row r="102">
      <c r="A102" s="24" t="n">
        <v>46204</v>
      </c>
      <c r="B102" t="inlineStr">
        <is>
          <t>Serviços e manutenção</t>
        </is>
      </c>
      <c r="C102" t="inlineStr">
        <is>
          <t>NF-e</t>
        </is>
      </c>
      <c r="D102" t="inlineStr">
        <is>
          <t>2.01 Custos</t>
        </is>
      </c>
      <c r="E102" t="inlineStr">
        <is>
          <t>2.01.88 Manutenção e Conservação de Máquina</t>
        </is>
      </c>
      <c r="F102" t="inlineStr">
        <is>
          <t>NF-e</t>
        </is>
      </c>
      <c r="G102" t="inlineStr">
        <is>
          <t>000014706</t>
        </is>
      </c>
      <c r="H102" t="inlineStr">
        <is>
          <t>EDNA DE ARAUJO PACHECO LTDA</t>
        </is>
      </c>
      <c r="I102" t="inlineStr">
        <is>
          <t>17.433.873/0001-90</t>
        </is>
      </c>
      <c r="J102" s="27" t="n">
        <v>46213</v>
      </c>
      <c r="K102" s="14" t="n">
        <v>213.28</v>
      </c>
      <c r="L102" t="inlineStr">
        <is>
          <t>Sim</t>
        </is>
      </c>
    </row>
    <row r="103">
      <c r="A103" s="24" t="n">
        <v>46204</v>
      </c>
      <c r="B103" t="inlineStr">
        <is>
          <t>Serviços e manutenção</t>
        </is>
      </c>
      <c r="C103" t="inlineStr">
        <is>
          <t>NF-e</t>
        </is>
      </c>
      <c r="D103" t="inlineStr">
        <is>
          <t>2.01 Custos</t>
        </is>
      </c>
      <c r="E103" t="inlineStr">
        <is>
          <t>2.01.88 Manutenção e Conservação de Máquina</t>
        </is>
      </c>
      <c r="F103" t="inlineStr">
        <is>
          <t>NF-e</t>
        </is>
      </c>
      <c r="G103" t="inlineStr">
        <is>
          <t>000014776</t>
        </is>
      </c>
      <c r="H103" t="inlineStr">
        <is>
          <t>EDNA DE ARAUJO PACHECO LTDA</t>
        </is>
      </c>
      <c r="I103" t="inlineStr">
        <is>
          <t>17.433.873/0001-90</t>
        </is>
      </c>
      <c r="J103" s="27" t="n">
        <v>46218</v>
      </c>
      <c r="K103" s="14" t="n">
        <v>169.12</v>
      </c>
      <c r="L103" t="inlineStr">
        <is>
          <t>Sim</t>
        </is>
      </c>
    </row>
    <row r="104">
      <c r="A104" s="24" t="n">
        <v>46204</v>
      </c>
      <c r="B104" t="inlineStr">
        <is>
          <t>Serviços e manutenção</t>
        </is>
      </c>
      <c r="C104" t="inlineStr">
        <is>
          <t>NF-e</t>
        </is>
      </c>
      <c r="D104" t="inlineStr">
        <is>
          <t>2.01 Custos</t>
        </is>
      </c>
      <c r="E104" t="inlineStr">
        <is>
          <t>2.01.88 Manutenção e Conservação de Máquina</t>
        </is>
      </c>
      <c r="F104" t="inlineStr">
        <is>
          <t>NF-e</t>
        </is>
      </c>
      <c r="G104" t="inlineStr">
        <is>
          <t>000014935</t>
        </is>
      </c>
      <c r="H104" t="inlineStr">
        <is>
          <t>EDNA DE ARAUJO PACHECO LTDA</t>
        </is>
      </c>
      <c r="I104" t="inlineStr">
        <is>
          <t>17.433.873/0001-90</t>
        </is>
      </c>
      <c r="J104" s="27" t="n">
        <v>46231</v>
      </c>
      <c r="K104" s="14" t="n">
        <v>143.14</v>
      </c>
      <c r="L104" t="inlineStr">
        <is>
          <t>Sim</t>
        </is>
      </c>
    </row>
    <row r="105">
      <c r="A105" s="24" t="n">
        <v>46204</v>
      </c>
      <c r="B105" t="inlineStr">
        <is>
          <t>Serviços e manutenção</t>
        </is>
      </c>
      <c r="C105" t="inlineStr">
        <is>
          <t>NF-e</t>
        </is>
      </c>
      <c r="D105" t="inlineStr">
        <is>
          <t>2.01 Custos</t>
        </is>
      </c>
      <c r="E105" t="inlineStr">
        <is>
          <t>2.01.88 Manutenção e Conservação de Máquina</t>
        </is>
      </c>
      <c r="F105" t="inlineStr">
        <is>
          <t>NF-e</t>
        </is>
      </c>
      <c r="G105" t="inlineStr">
        <is>
          <t>000105835</t>
        </is>
      </c>
      <c r="H105" t="inlineStr">
        <is>
          <t>FERGE COMERCIO DE PRODUTOS INDUSTRIAIS LTDA</t>
        </is>
      </c>
      <c r="I105" t="inlineStr">
        <is>
          <t>09.057.961/0001-07</t>
        </is>
      </c>
      <c r="J105" s="27" t="n">
        <v>46213</v>
      </c>
      <c r="K105" s="14" t="n">
        <v>96</v>
      </c>
      <c r="L105" t="inlineStr">
        <is>
          <t>Sim</t>
        </is>
      </c>
    </row>
    <row r="106">
      <c r="A106" s="24" t="n">
        <v>46204</v>
      </c>
      <c r="B106" t="inlineStr">
        <is>
          <t>Serviços e manutenção</t>
        </is>
      </c>
      <c r="C106" t="inlineStr">
        <is>
          <t>NF-e</t>
        </is>
      </c>
      <c r="D106" t="inlineStr">
        <is>
          <t>2.01 Custos</t>
        </is>
      </c>
      <c r="E106" t="inlineStr">
        <is>
          <t>2.01.88 Manutenção e Conservação de Máquina</t>
        </is>
      </c>
      <c r="F106" t="inlineStr">
        <is>
          <t>NF-e</t>
        </is>
      </c>
      <c r="G106" t="inlineStr">
        <is>
          <t>000105836</t>
        </is>
      </c>
      <c r="H106" t="inlineStr">
        <is>
          <t>FERGE COMERCIO DE PRODUTOS INDUSTRIAIS LTDA</t>
        </is>
      </c>
      <c r="I106" t="inlineStr">
        <is>
          <t>09.057.961/0001-07</t>
        </is>
      </c>
      <c r="J106" s="27" t="n">
        <v>46213</v>
      </c>
      <c r="K106" s="14" t="n">
        <v>108</v>
      </c>
      <c r="L106" t="inlineStr">
        <is>
          <t>Sim</t>
        </is>
      </c>
    </row>
    <row r="107">
      <c r="A107" s="24" t="n">
        <v>46204</v>
      </c>
      <c r="B107" t="inlineStr">
        <is>
          <t>Serviços e manutenção</t>
        </is>
      </c>
      <c r="C107" t="inlineStr">
        <is>
          <t>NF-e</t>
        </is>
      </c>
      <c r="D107" t="inlineStr">
        <is>
          <t>2.01 Custos</t>
        </is>
      </c>
      <c r="E107" t="inlineStr">
        <is>
          <t>2.01.88 Manutenção e Conservação de Máquina</t>
        </is>
      </c>
      <c r="F107" t="inlineStr">
        <is>
          <t>NF-e</t>
        </is>
      </c>
      <c r="G107" t="inlineStr">
        <is>
          <t>000102680</t>
        </is>
      </c>
      <c r="H107" t="inlineStr">
        <is>
          <t>GURGELMIX MAQUINAS E FERRAMENTAS S.A.</t>
        </is>
      </c>
      <c r="I107" t="inlineStr">
        <is>
          <t>29.302.348/0003-87</t>
        </is>
      </c>
      <c r="J107" s="27" t="n">
        <v>46213</v>
      </c>
      <c r="K107" s="14" t="n">
        <v>5080</v>
      </c>
      <c r="L107" t="inlineStr">
        <is>
          <t>Sim</t>
        </is>
      </c>
    </row>
    <row r="108">
      <c r="A108" s="24" t="n">
        <v>46204</v>
      </c>
      <c r="B108" t="inlineStr">
        <is>
          <t>Serviços e manutenção</t>
        </is>
      </c>
      <c r="C108" t="inlineStr">
        <is>
          <t>NF-e</t>
        </is>
      </c>
      <c r="D108" t="inlineStr">
        <is>
          <t>2.01 Custos</t>
        </is>
      </c>
      <c r="E108" t="inlineStr">
        <is>
          <t>2.01.88 Manutenção e Conservação de Máquina</t>
        </is>
      </c>
      <c r="F108" t="inlineStr">
        <is>
          <t>NF-e</t>
        </is>
      </c>
      <c r="G108" t="inlineStr">
        <is>
          <t>000283855</t>
        </is>
      </c>
      <c r="H108" t="inlineStr">
        <is>
          <t>ROLIMEC ROLAMENTOS LTDA</t>
        </is>
      </c>
      <c r="I108" t="inlineStr">
        <is>
          <t>01.612.046/0001-24</t>
        </is>
      </c>
      <c r="J108" s="27" t="n">
        <v>46234</v>
      </c>
      <c r="K108" s="14" t="n">
        <v>2628</v>
      </c>
      <c r="L108" t="inlineStr">
        <is>
          <t>Sim</t>
        </is>
      </c>
    </row>
    <row r="109">
      <c r="A109" s="24" t="n">
        <v>46204</v>
      </c>
      <c r="B109" t="inlineStr">
        <is>
          <t>Serviços e manutenção</t>
        </is>
      </c>
      <c r="C109" t="inlineStr">
        <is>
          <t>NF-e</t>
        </is>
      </c>
      <c r="D109" t="inlineStr">
        <is>
          <t>2.01 Custos</t>
        </is>
      </c>
      <c r="E109" t="inlineStr">
        <is>
          <t>2.01.88 Manutenção e Conservação de Máquina</t>
        </is>
      </c>
      <c r="F109" t="inlineStr">
        <is>
          <t>NF-e</t>
        </is>
      </c>
      <c r="G109" t="inlineStr">
        <is>
          <t>000003489</t>
        </is>
      </c>
      <c r="H109" t="inlineStr">
        <is>
          <t>TECHPRINT FACAS INDUSTRIAIS</t>
        </is>
      </c>
      <c r="I109" t="inlineStr">
        <is>
          <t>23.105.251/0001-36</t>
        </is>
      </c>
      <c r="J109" s="27" t="n">
        <v>46217</v>
      </c>
      <c r="K109" s="14" t="n">
        <v>3800</v>
      </c>
      <c r="L109" t="inlineStr">
        <is>
          <t>Sim</t>
        </is>
      </c>
    </row>
    <row r="110">
      <c r="A110" s="24" t="n">
        <v>46204</v>
      </c>
      <c r="B110" t="inlineStr">
        <is>
          <t>Serviços e manutenção</t>
        </is>
      </c>
      <c r="C110" t="inlineStr">
        <is>
          <t>NF-e</t>
        </is>
      </c>
      <c r="D110" t="inlineStr">
        <is>
          <t>2.04 Despesas Administrativas</t>
        </is>
      </c>
      <c r="E110" t="inlineStr">
        <is>
          <t>2.04.07 Manutenção de Imobilizado</t>
        </is>
      </c>
      <c r="F110" t="inlineStr">
        <is>
          <t>NF-e</t>
        </is>
      </c>
      <c r="G110" t="inlineStr">
        <is>
          <t>000014701</t>
        </is>
      </c>
      <c r="H110" t="inlineStr">
        <is>
          <t>EDNA DE ARAUJO PACHECO LTDA</t>
        </is>
      </c>
      <c r="I110" t="inlineStr">
        <is>
          <t>17.433.873/0001-90</t>
        </is>
      </c>
      <c r="J110" s="27" t="n">
        <v>46212</v>
      </c>
      <c r="K110" s="14" t="n">
        <v>214.9</v>
      </c>
      <c r="L110" t="inlineStr">
        <is>
          <t>Sim</t>
        </is>
      </c>
    </row>
    <row r="111">
      <c r="A111" s="24" t="n">
        <v>46204</v>
      </c>
      <c r="B111" t="inlineStr">
        <is>
          <t>Investimento (imobilizado)</t>
        </is>
      </c>
      <c r="C111" t="inlineStr">
        <is>
          <t>NF-e</t>
        </is>
      </c>
      <c r="D111" t="inlineStr">
        <is>
          <t>2.07 Investimento</t>
        </is>
      </c>
      <c r="E111" t="inlineStr">
        <is>
          <t>2.07.01 Máquinas e Equipamentos</t>
        </is>
      </c>
      <c r="F111" t="inlineStr">
        <is>
          <t>NF-e</t>
        </is>
      </c>
      <c r="G111" t="inlineStr">
        <is>
          <t>000002654</t>
        </is>
      </c>
      <c r="H111" t="inlineStr">
        <is>
          <t>BLESSED INFO LTDA</t>
        </is>
      </c>
      <c r="I111" t="inlineStr">
        <is>
          <t>47.488.953/0001-04</t>
        </is>
      </c>
      <c r="J111" s="27" t="n">
        <v>46210</v>
      </c>
      <c r="K111" s="14" t="n">
        <v>2749.99</v>
      </c>
      <c r="L111" t="inlineStr">
        <is>
          <t>Sim</t>
        </is>
      </c>
    </row>
    <row r="112">
      <c r="A112" s="24" t="n">
        <v>46204</v>
      </c>
      <c r="B112" t="inlineStr">
        <is>
          <t>Investimento (imobilizado)</t>
        </is>
      </c>
      <c r="C112" t="inlineStr">
        <is>
          <t>NF-e</t>
        </is>
      </c>
      <c r="D112" t="inlineStr">
        <is>
          <t>2.07 Investimento</t>
        </is>
      </c>
      <c r="E112" t="inlineStr">
        <is>
          <t>2.07.01 Máquinas e Equipamentos</t>
        </is>
      </c>
      <c r="F112" t="inlineStr">
        <is>
          <t>NF-e</t>
        </is>
      </c>
      <c r="G112" t="inlineStr">
        <is>
          <t>000304935</t>
        </is>
      </c>
      <c r="H112" t="inlineStr">
        <is>
          <t>CIL - COMERCIO DE INFORMATICA LTDA</t>
        </is>
      </c>
      <c r="I112" t="inlineStr">
        <is>
          <t>24.073.694/0001-55</t>
        </is>
      </c>
      <c r="J112" s="27" t="n">
        <v>46233</v>
      </c>
      <c r="K112" s="14" t="n">
        <v>13682.9</v>
      </c>
      <c r="L112" t="inlineStr">
        <is>
          <t>Sim</t>
        </is>
      </c>
    </row>
    <row r="113">
      <c r="A113" s="24" t="n">
        <v>46204</v>
      </c>
      <c r="B113" t="inlineStr">
        <is>
          <t>Investimento (imobilizado)</t>
        </is>
      </c>
      <c r="C113" t="inlineStr">
        <is>
          <t>NF-e</t>
        </is>
      </c>
      <c r="D113" t="inlineStr">
        <is>
          <t>2.07 Investimento</t>
        </is>
      </c>
      <c r="E113" t="inlineStr">
        <is>
          <t>2.07.04 Equipamentos de Informática</t>
        </is>
      </c>
      <c r="F113" t="inlineStr">
        <is>
          <t>NF-e</t>
        </is>
      </c>
      <c r="G113" t="inlineStr">
        <is>
          <t>142299362</t>
        </is>
      </c>
      <c r="H113" t="inlineStr">
        <is>
          <t>Ebazar.com.br. ltda</t>
        </is>
      </c>
      <c r="I113" t="inlineStr">
        <is>
          <t>03.007.331/0010-32</t>
        </is>
      </c>
      <c r="J113" s="27" t="n">
        <v>46233</v>
      </c>
      <c r="K113" s="14" t="n">
        <v>270.63</v>
      </c>
      <c r="L113" t="inlineStr">
        <is>
          <t>Sim</t>
        </is>
      </c>
    </row>
    <row r="114">
      <c r="A114" s="24" t="n">
        <v>46204</v>
      </c>
      <c r="B114" t="inlineStr">
        <is>
          <t>Investimento (imobilizado)</t>
        </is>
      </c>
      <c r="C114" t="inlineStr">
        <is>
          <t>NF-e</t>
        </is>
      </c>
      <c r="D114" t="inlineStr">
        <is>
          <t>2.07 Investimento</t>
        </is>
      </c>
      <c r="E114" t="inlineStr">
        <is>
          <t>2.07.04 Equipamentos de Informática</t>
        </is>
      </c>
      <c r="F114" t="inlineStr">
        <is>
          <t>NF-e</t>
        </is>
      </c>
      <c r="G114" t="inlineStr">
        <is>
          <t>000059129</t>
        </is>
      </c>
      <c r="H114" t="inlineStr">
        <is>
          <t>INGRID SILVA FREIRE DA ROCHA LTDA</t>
        </is>
      </c>
      <c r="I114" t="inlineStr">
        <is>
          <t>51.383.359/0001-26</t>
        </is>
      </c>
      <c r="J114" s="27" t="n">
        <v>46209</v>
      </c>
      <c r="K114" s="14" t="n">
        <v>208.9</v>
      </c>
      <c r="L114" t="inlineStr">
        <is>
          <t>Sim</t>
        </is>
      </c>
    </row>
    <row r="115">
      <c r="A115" s="24" t="n">
        <v>46204</v>
      </c>
      <c r="B115" t="inlineStr">
        <is>
          <t>Investimento (imobilizado)</t>
        </is>
      </c>
      <c r="C115" t="inlineStr">
        <is>
          <t>NF-e</t>
        </is>
      </c>
      <c r="D115" t="inlineStr">
        <is>
          <t>2.07 Investimento</t>
        </is>
      </c>
      <c r="E115" t="inlineStr">
        <is>
          <t>2.07.04 Equipamentos de Informática</t>
        </is>
      </c>
      <c r="F115" t="inlineStr">
        <is>
          <t>NF-e</t>
        </is>
      </c>
      <c r="G115" t="inlineStr">
        <is>
          <t>000137222</t>
        </is>
      </c>
      <c r="H115" t="inlineStr">
        <is>
          <t>LISS VARIEDADES E COSMETICOS LTDA</t>
        </is>
      </c>
      <c r="I115" t="inlineStr">
        <is>
          <t>39.478.001/0001-81</t>
        </is>
      </c>
      <c r="J115" s="27" t="n">
        <v>46233</v>
      </c>
      <c r="K115" s="14" t="n">
        <v>289.9</v>
      </c>
      <c r="L115" t="inlineStr">
        <is>
          <t>Sim</t>
        </is>
      </c>
    </row>
    <row r="116">
      <c r="A116" s="24" t="n">
        <v>46204</v>
      </c>
      <c r="B116" t="inlineStr">
        <is>
          <t>Investimento (imobilizado)</t>
        </is>
      </c>
      <c r="C116" t="inlineStr">
        <is>
          <t>NF-e</t>
        </is>
      </c>
      <c r="D116" t="inlineStr">
        <is>
          <t>2.07 Investimento</t>
        </is>
      </c>
      <c r="E116" t="inlineStr">
        <is>
          <t>2.07.04 Equipamentos de Informática</t>
        </is>
      </c>
      <c r="F116" t="inlineStr">
        <is>
          <t>NF-e</t>
        </is>
      </c>
      <c r="G116" t="inlineStr">
        <is>
          <t>000056259</t>
        </is>
      </c>
      <c r="H116" t="inlineStr">
        <is>
          <t>LUPITEC COMERCIAL LTDA</t>
        </is>
      </c>
      <c r="I116" t="inlineStr">
        <is>
          <t>62.646.365/0001-45</t>
        </is>
      </c>
      <c r="J116" s="27" t="n">
        <v>46232</v>
      </c>
      <c r="K116" s="14" t="n">
        <v>1015</v>
      </c>
      <c r="L116" t="inlineStr">
        <is>
          <t>Sim</t>
        </is>
      </c>
    </row>
    <row r="117">
      <c r="A117" s="24" t="n">
        <v>46204</v>
      </c>
      <c r="B117" t="inlineStr">
        <is>
          <t>Investimento (imobilizado)</t>
        </is>
      </c>
      <c r="C117" t="inlineStr">
        <is>
          <t>NF-e</t>
        </is>
      </c>
      <c r="D117" t="inlineStr">
        <is>
          <t>2.07 Investimento</t>
        </is>
      </c>
      <c r="E117" t="inlineStr">
        <is>
          <t>2.07.99 Compra de Imobilizado</t>
        </is>
      </c>
      <c r="F117" t="inlineStr">
        <is>
          <t>NF-e</t>
        </is>
      </c>
      <c r="G117" t="inlineStr">
        <is>
          <t>000000321</t>
        </is>
      </c>
      <c r="H117" t="inlineStr">
        <is>
          <t>INOVAMAIS</t>
        </is>
      </c>
      <c r="I117" t="inlineStr">
        <is>
          <t>30.087.865/0001-06</t>
        </is>
      </c>
      <c r="J117" s="27" t="n">
        <v>46232</v>
      </c>
      <c r="K117" s="14" t="n">
        <v>1400</v>
      </c>
      <c r="L117" t="inlineStr">
        <is>
          <t>Sim</t>
        </is>
      </c>
    </row>
    <row r="118">
      <c r="A118" s="24" t="n">
        <v>46204</v>
      </c>
      <c r="B118" t="inlineStr">
        <is>
          <t>Serviços e manutenção</t>
        </is>
      </c>
      <c r="C118" t="inlineStr">
        <is>
          <t>NF-e</t>
        </is>
      </c>
      <c r="D118" t="inlineStr">
        <is>
          <t>2.16 Sede Vinco</t>
        </is>
      </c>
      <c r="E118" t="inlineStr">
        <is>
          <t>2.16.93 Benfeitoria</t>
        </is>
      </c>
      <c r="F118" t="inlineStr">
        <is>
          <t>NF-e</t>
        </is>
      </c>
      <c r="G118" t="inlineStr">
        <is>
          <t>000000173</t>
        </is>
      </c>
      <c r="H118" t="inlineStr">
        <is>
          <t>THIAGO FERNANDES RODRIGUES</t>
        </is>
      </c>
      <c r="I118" t="inlineStr">
        <is>
          <t>64.961.835/0001-90</t>
        </is>
      </c>
      <c r="J118" s="27" t="n">
        <v>46233</v>
      </c>
      <c r="K118" s="14" t="n">
        <v>8900</v>
      </c>
      <c r="L118" t="inlineStr">
        <is>
          <t>Sim</t>
        </is>
      </c>
    </row>
    <row r="119">
      <c r="A119" s="24" t="n">
        <v>46204</v>
      </c>
      <c r="B119" t="inlineStr">
        <is>
          <t>Despesas gerais</t>
        </is>
      </c>
      <c r="C119" t="inlineStr">
        <is>
          <t>NF-e</t>
        </is>
      </c>
      <c r="D119" t="inlineStr">
        <is>
          <t>2.16 Sede Vinco</t>
        </is>
      </c>
      <c r="E119" t="inlineStr">
        <is>
          <t>2.16.99 Investimento Sede Vinco</t>
        </is>
      </c>
      <c r="F119" t="inlineStr">
        <is>
          <t>NF-e</t>
        </is>
      </c>
      <c r="G119" t="inlineStr">
        <is>
          <t>000000110</t>
        </is>
      </c>
      <c r="H119" t="inlineStr">
        <is>
          <t>COMERCIAL CASA NOVA MATERIAL DE CONSTRUCAO PB LTDA</t>
        </is>
      </c>
      <c r="I119" t="inlineStr">
        <is>
          <t>44.336.205/0001-18</t>
        </is>
      </c>
      <c r="J119" s="27" t="n">
        <v>46205</v>
      </c>
      <c r="K119" s="14" t="n">
        <v>100</v>
      </c>
      <c r="L119" t="inlineStr">
        <is>
          <t>Sim</t>
        </is>
      </c>
    </row>
    <row r="120">
      <c r="A120" s="24" t="n">
        <v>46204</v>
      </c>
      <c r="B120" t="inlineStr">
        <is>
          <t>Despesas gerais</t>
        </is>
      </c>
      <c r="C120" t="inlineStr">
        <is>
          <t>NF-e</t>
        </is>
      </c>
      <c r="D120" t="inlineStr">
        <is>
          <t>2.16 Sede Vinco</t>
        </is>
      </c>
      <c r="E120" t="inlineStr">
        <is>
          <t>2.16.99 Investimento Sede Vinco</t>
        </is>
      </c>
      <c r="F120" t="inlineStr">
        <is>
          <t>NF-e</t>
        </is>
      </c>
      <c r="G120" t="inlineStr">
        <is>
          <t>000000112</t>
        </is>
      </c>
      <c r="H120" t="inlineStr">
        <is>
          <t>COMERCIAL CASA NOVA MATERIAL DE CONSTRUCAO PB LTDA</t>
        </is>
      </c>
      <c r="I120" t="inlineStr">
        <is>
          <t>44.336.205/0001-18</t>
        </is>
      </c>
      <c r="J120" s="27" t="n">
        <v>46212</v>
      </c>
      <c r="K120" s="14" t="n">
        <v>115</v>
      </c>
      <c r="L120" t="inlineStr">
        <is>
          <t>Sim</t>
        </is>
      </c>
    </row>
    <row r="121">
      <c r="A121" s="24" t="n">
        <v>46204</v>
      </c>
      <c r="B121" t="inlineStr">
        <is>
          <t>Despesas gerais</t>
        </is>
      </c>
      <c r="C121" t="inlineStr">
        <is>
          <t>NF-e</t>
        </is>
      </c>
      <c r="D121" t="inlineStr">
        <is>
          <t>2.16 Sede Vinco</t>
        </is>
      </c>
      <c r="E121" t="inlineStr">
        <is>
          <t>2.16.99 Investimento Sede Vinco</t>
        </is>
      </c>
      <c r="F121" t="inlineStr">
        <is>
          <t>NF-e</t>
        </is>
      </c>
      <c r="G121" t="inlineStr">
        <is>
          <t>000000114</t>
        </is>
      </c>
      <c r="H121" t="inlineStr">
        <is>
          <t>COMERCIAL CASA NOVA MATERIAL DE CONSTRUCAO PB LTDA</t>
        </is>
      </c>
      <c r="I121" t="inlineStr">
        <is>
          <t>44.336.205/0001-18</t>
        </is>
      </c>
      <c r="J121" s="27" t="n">
        <v>46218</v>
      </c>
      <c r="K121" s="14" t="n">
        <v>6600</v>
      </c>
      <c r="L121" t="inlineStr">
        <is>
          <t>Sim</t>
        </is>
      </c>
    </row>
    <row r="122">
      <c r="A122" s="24" t="n">
        <v>46204</v>
      </c>
      <c r="B122" t="inlineStr">
        <is>
          <t>Despesas gerais</t>
        </is>
      </c>
      <c r="C122" t="inlineStr">
        <is>
          <t>NF-e</t>
        </is>
      </c>
      <c r="D122" t="inlineStr">
        <is>
          <t>2.16 Sede Vinco</t>
        </is>
      </c>
      <c r="E122" t="inlineStr">
        <is>
          <t>2.16.99 Investimento Sede Vinco</t>
        </is>
      </c>
      <c r="F122" t="inlineStr">
        <is>
          <t>NF-e</t>
        </is>
      </c>
      <c r="G122" t="inlineStr">
        <is>
          <t>000000115</t>
        </is>
      </c>
      <c r="H122" t="inlineStr">
        <is>
          <t>COMERCIAL CASA NOVA MATERIAL DE CONSTRUCAO PB LTDA</t>
        </is>
      </c>
      <c r="I122" t="inlineStr">
        <is>
          <t>44.336.205/0001-18</t>
        </is>
      </c>
      <c r="J122" s="27" t="n">
        <v>46226</v>
      </c>
      <c r="K122" s="14" t="n">
        <v>170</v>
      </c>
      <c r="L122" t="inlineStr">
        <is>
          <t>Sim</t>
        </is>
      </c>
    </row>
    <row r="123">
      <c r="A123" s="24" t="n">
        <v>46204</v>
      </c>
      <c r="B123" t="inlineStr">
        <is>
          <t>Despesas gerais</t>
        </is>
      </c>
      <c r="C123" t="inlineStr">
        <is>
          <t>NF-e</t>
        </is>
      </c>
      <c r="D123" t="inlineStr">
        <is>
          <t>2.16 Sede Vinco</t>
        </is>
      </c>
      <c r="E123" t="inlineStr">
        <is>
          <t>2.16.99 Investimento Sede Vinco</t>
        </is>
      </c>
      <c r="F123" t="inlineStr">
        <is>
          <t>NF-e</t>
        </is>
      </c>
      <c r="G123" t="inlineStr">
        <is>
          <t>000000117</t>
        </is>
      </c>
      <c r="H123" t="inlineStr">
        <is>
          <t>COMERCIAL CASA NOVA MATERIAL DE CONSTRUCAO PB LTDA</t>
        </is>
      </c>
      <c r="I123" t="inlineStr">
        <is>
          <t>44.336.205/0001-18</t>
        </is>
      </c>
      <c r="J123" s="27" t="n">
        <v>46233</v>
      </c>
      <c r="K123" s="14" t="n">
        <v>5500</v>
      </c>
      <c r="L123" t="inlineStr">
        <is>
          <t>Sim</t>
        </is>
      </c>
    </row>
    <row r="124">
      <c r="A124" s="24" t="n">
        <v>46235</v>
      </c>
      <c r="B124" t="inlineStr">
        <is>
          <t>Aluguel de contêiner</t>
        </is>
      </c>
      <c r="C124" t="inlineStr">
        <is>
          <t>Frete</t>
        </is>
      </c>
      <c r="D124" t="inlineStr">
        <is>
          <t>Frete de compra</t>
        </is>
      </c>
      <c r="E124" t="inlineStr">
        <is>
          <t>2.04.87 Frete sobre Compra</t>
        </is>
      </c>
      <c r="F124" t="inlineStr">
        <is>
          <t>CT-e</t>
        </is>
      </c>
      <c r="G124" t="inlineStr">
        <is>
          <t>000078790</t>
        </is>
      </c>
      <c r="H124" t="inlineStr">
        <is>
          <t>UNIAO MULTIMODAL OTM LTDA</t>
        </is>
      </c>
      <c r="I124" t="inlineStr">
        <is>
          <t>11.308.600/0008-04</t>
        </is>
      </c>
      <c r="J124" s="27" t="n">
        <v>46263</v>
      </c>
      <c r="K124" s="14" t="n">
        <v>21700</v>
      </c>
      <c r="L124" t="inlineStr">
        <is>
          <t>Sim</t>
        </is>
      </c>
    </row>
    <row r="125">
      <c r="A125" s="24" t="n">
        <v>46235</v>
      </c>
      <c r="B125" t="inlineStr">
        <is>
          <t>Aluguel de contêiner</t>
        </is>
      </c>
      <c r="C125" t="inlineStr">
        <is>
          <t>Frete</t>
        </is>
      </c>
      <c r="D125" t="inlineStr">
        <is>
          <t>Frete de compra</t>
        </is>
      </c>
      <c r="E125" t="inlineStr">
        <is>
          <t>2.04.87 Frete sobre Compra</t>
        </is>
      </c>
      <c r="F125" t="inlineStr">
        <is>
          <t>CT-e</t>
        </is>
      </c>
      <c r="G125" t="inlineStr">
        <is>
          <t>000078792</t>
        </is>
      </c>
      <c r="H125" t="inlineStr">
        <is>
          <t>UNIAO MULTIMODAL OTM LTDA</t>
        </is>
      </c>
      <c r="I125" t="inlineStr">
        <is>
          <t>11.308.600/0008-04</t>
        </is>
      </c>
      <c r="J125" s="27" t="n">
        <v>46263</v>
      </c>
      <c r="K125" s="14" t="n">
        <v>21700</v>
      </c>
      <c r="L125" t="inlineStr">
        <is>
          <t>Sim</t>
        </is>
      </c>
    </row>
    <row r="126">
      <c r="A126" s="24" t="n">
        <v>46235</v>
      </c>
      <c r="B126" t="inlineStr">
        <is>
          <t>Aluguel de contêiner</t>
        </is>
      </c>
      <c r="C126" t="inlineStr">
        <is>
          <t>Frete</t>
        </is>
      </c>
      <c r="D126" t="inlineStr">
        <is>
          <t>Frete de compra</t>
        </is>
      </c>
      <c r="E126" t="inlineStr">
        <is>
          <t>2.04.87 Frete sobre Compra</t>
        </is>
      </c>
      <c r="F126" t="inlineStr">
        <is>
          <t>CT-e</t>
        </is>
      </c>
      <c r="G126" t="inlineStr">
        <is>
          <t>000078796</t>
        </is>
      </c>
      <c r="H126" t="inlineStr">
        <is>
          <t>UNIAO MULTIMODAL OTM LTDA</t>
        </is>
      </c>
      <c r="I126" t="inlineStr">
        <is>
          <t>11.308.600/0008-04</t>
        </is>
      </c>
      <c r="J126" s="27" t="n">
        <v>46263</v>
      </c>
      <c r="K126" s="14" t="n">
        <v>21700</v>
      </c>
      <c r="L126" t="inlineStr">
        <is>
          <t>Sim</t>
        </is>
      </c>
    </row>
    <row r="127">
      <c r="A127" s="24" t="n">
        <v>46235</v>
      </c>
      <c r="B127" t="inlineStr">
        <is>
          <t>Aluguel de contêiner</t>
        </is>
      </c>
      <c r="C127" t="inlineStr">
        <is>
          <t>Frete</t>
        </is>
      </c>
      <c r="D127" t="inlineStr">
        <is>
          <t>Frete de compra</t>
        </is>
      </c>
      <c r="E127" t="inlineStr">
        <is>
          <t>2.04.87 Frete sobre Compra</t>
        </is>
      </c>
      <c r="F127" t="inlineStr">
        <is>
          <t>CT-e</t>
        </is>
      </c>
      <c r="G127" t="inlineStr">
        <is>
          <t>000078797</t>
        </is>
      </c>
      <c r="H127" t="inlineStr">
        <is>
          <t>UNIAO MULTIMODAL OTM LTDA</t>
        </is>
      </c>
      <c r="I127" t="inlineStr">
        <is>
          <t>11.308.600/0008-04</t>
        </is>
      </c>
      <c r="J127" s="27" t="n">
        <v>46263</v>
      </c>
      <c r="K127" s="14" t="n">
        <v>21700</v>
      </c>
      <c r="L127" t="inlineStr">
        <is>
          <t>Sim</t>
        </is>
      </c>
    </row>
    <row r="128">
      <c r="A128" s="24" t="n">
        <v>46235</v>
      </c>
      <c r="B128" t="inlineStr">
        <is>
          <t>Aluguel de contêiner</t>
        </is>
      </c>
      <c r="C128" t="inlineStr">
        <is>
          <t>Frete</t>
        </is>
      </c>
      <c r="D128" t="inlineStr">
        <is>
          <t>Frete de compra</t>
        </is>
      </c>
      <c r="E128" t="inlineStr">
        <is>
          <t>2.04.87 Frete sobre Compra</t>
        </is>
      </c>
      <c r="F128" t="inlineStr">
        <is>
          <t>CT-e</t>
        </is>
      </c>
      <c r="G128" t="inlineStr">
        <is>
          <t>000078799</t>
        </is>
      </c>
      <c r="H128" t="inlineStr">
        <is>
          <t>UNIAO MULTIMODAL OTM LTDA</t>
        </is>
      </c>
      <c r="I128" t="inlineStr">
        <is>
          <t>11.308.600/0008-04</t>
        </is>
      </c>
      <c r="J128" s="27" t="n">
        <v>46263</v>
      </c>
      <c r="K128" s="14" t="n">
        <v>21700</v>
      </c>
      <c r="L128" t="inlineStr">
        <is>
          <t>Sim</t>
        </is>
      </c>
    </row>
    <row r="129">
      <c r="A129" s="24" t="n">
        <v>46235</v>
      </c>
      <c r="B129" t="inlineStr">
        <is>
          <t>Aluguel de contêiner</t>
        </is>
      </c>
      <c r="C129" t="inlineStr">
        <is>
          <t>Frete</t>
        </is>
      </c>
      <c r="D129" t="inlineStr">
        <is>
          <t>Frete de compra</t>
        </is>
      </c>
      <c r="E129" t="inlineStr">
        <is>
          <t>2.04.87 Frete sobre Compra</t>
        </is>
      </c>
      <c r="F129" t="inlineStr">
        <is>
          <t>CT-e</t>
        </is>
      </c>
      <c r="G129" t="inlineStr">
        <is>
          <t>000078802</t>
        </is>
      </c>
      <c r="H129" t="inlineStr">
        <is>
          <t>UNIAO MULTIMODAL OTM LTDA</t>
        </is>
      </c>
      <c r="I129" t="inlineStr">
        <is>
          <t>11.308.600/0008-04</t>
        </is>
      </c>
      <c r="J129" s="27" t="n">
        <v>46263</v>
      </c>
      <c r="K129" s="14" t="n">
        <v>21700</v>
      </c>
      <c r="L129" t="inlineStr">
        <is>
          <t>Sim</t>
        </is>
      </c>
    </row>
    <row r="130">
      <c r="A130" s="24" t="n">
        <v>46235</v>
      </c>
      <c r="B130" t="inlineStr">
        <is>
          <t>Aluguel de contêiner</t>
        </is>
      </c>
      <c r="C130" t="inlineStr">
        <is>
          <t>Frete</t>
        </is>
      </c>
      <c r="D130" t="inlineStr">
        <is>
          <t>Frete de compra</t>
        </is>
      </c>
      <c r="E130" t="inlineStr">
        <is>
          <t>2.04.87 Frete sobre Compra</t>
        </is>
      </c>
      <c r="F130" t="inlineStr">
        <is>
          <t>CT-e</t>
        </is>
      </c>
      <c r="G130" t="inlineStr">
        <is>
          <t>000078805</t>
        </is>
      </c>
      <c r="H130" t="inlineStr">
        <is>
          <t>UNIAO MULTIMODAL OTM LTDA</t>
        </is>
      </c>
      <c r="I130" t="inlineStr">
        <is>
          <t>11.308.600/0008-04</t>
        </is>
      </c>
      <c r="J130" s="27" t="n">
        <v>46263</v>
      </c>
      <c r="K130" s="14" t="n">
        <v>21700</v>
      </c>
      <c r="L130" t="inlineStr">
        <is>
          <t>Sim</t>
        </is>
      </c>
    </row>
    <row r="131">
      <c r="A131" s="24" t="n">
        <v>46235</v>
      </c>
      <c r="B131" t="inlineStr">
        <is>
          <t>Aluguel de contêiner</t>
        </is>
      </c>
      <c r="C131" t="inlineStr">
        <is>
          <t>Frete</t>
        </is>
      </c>
      <c r="D131" t="inlineStr">
        <is>
          <t>Frete de compra</t>
        </is>
      </c>
      <c r="E131" t="inlineStr">
        <is>
          <t>2.04.87 Frete sobre Compra</t>
        </is>
      </c>
      <c r="F131" t="inlineStr">
        <is>
          <t>CT-e</t>
        </is>
      </c>
      <c r="G131" t="inlineStr">
        <is>
          <t>000078803</t>
        </is>
      </c>
      <c r="H131" t="inlineStr">
        <is>
          <t>UNIAO MULTIMODAL OTM LTDA</t>
        </is>
      </c>
      <c r="I131" t="inlineStr">
        <is>
          <t>11.308.600/0008-04</t>
        </is>
      </c>
      <c r="J131" s="27" t="n">
        <v>46263</v>
      </c>
      <c r="K131" s="14" t="n">
        <v>21700</v>
      </c>
      <c r="L131" t="inlineStr">
        <is>
          <t>Sim</t>
        </is>
      </c>
    </row>
    <row r="132">
      <c r="A132" s="24" t="n">
        <v>46235</v>
      </c>
      <c r="B132" t="inlineStr">
        <is>
          <t>Aluguel de contêiner</t>
        </is>
      </c>
      <c r="C132" t="inlineStr">
        <is>
          <t>Frete</t>
        </is>
      </c>
      <c r="D132" t="inlineStr">
        <is>
          <t>Frete de compra</t>
        </is>
      </c>
      <c r="E132" t="inlineStr">
        <is>
          <t>2.04.87 Frete sobre Compra</t>
        </is>
      </c>
      <c r="F132" t="inlineStr">
        <is>
          <t>CT-e</t>
        </is>
      </c>
      <c r="G132" t="inlineStr">
        <is>
          <t>000078807</t>
        </is>
      </c>
      <c r="H132" t="inlineStr">
        <is>
          <t>UNIAO MULTIMODAL OTM LTDA</t>
        </is>
      </c>
      <c r="I132" t="inlineStr">
        <is>
          <t>11.308.600/0008-04</t>
        </is>
      </c>
      <c r="J132" s="27" t="n">
        <v>46263</v>
      </c>
      <c r="K132" s="14" t="n">
        <v>21700</v>
      </c>
      <c r="L132" t="inlineStr">
        <is>
          <t>Sim</t>
        </is>
      </c>
    </row>
    <row r="133">
      <c r="A133" s="24" t="n">
        <v>46235</v>
      </c>
      <c r="B133" t="inlineStr">
        <is>
          <t>Aluguel de contêiner</t>
        </is>
      </c>
      <c r="C133" t="inlineStr">
        <is>
          <t>Frete</t>
        </is>
      </c>
      <c r="D133" t="inlineStr">
        <is>
          <t>Frete de compra</t>
        </is>
      </c>
      <c r="E133" t="inlineStr">
        <is>
          <t>2.04.87 Frete sobre Compra</t>
        </is>
      </c>
      <c r="F133" t="inlineStr">
        <is>
          <t>CT-e</t>
        </is>
      </c>
      <c r="G133" t="inlineStr">
        <is>
          <t>000078809</t>
        </is>
      </c>
      <c r="H133" t="inlineStr">
        <is>
          <t>UNIAO MULTIMODAL OTM LTDA</t>
        </is>
      </c>
      <c r="I133" t="inlineStr">
        <is>
          <t>11.308.600/0008-04</t>
        </is>
      </c>
      <c r="J133" s="27" t="n">
        <v>46263</v>
      </c>
      <c r="K133" s="14" t="n">
        <v>21700</v>
      </c>
      <c r="L133" t="inlineStr">
        <is>
          <t>Sim</t>
        </is>
      </c>
    </row>
    <row r="134">
      <c r="A134" s="24" t="n">
        <v>46235</v>
      </c>
      <c r="B134" t="inlineStr">
        <is>
          <t>Aluguel de contêiner</t>
        </is>
      </c>
      <c r="C134" t="inlineStr">
        <is>
          <t>Frete</t>
        </is>
      </c>
      <c r="D134" t="inlineStr">
        <is>
          <t>Frete de compra</t>
        </is>
      </c>
      <c r="E134" t="inlineStr">
        <is>
          <t>2.04.87 Frete sobre Compra</t>
        </is>
      </c>
      <c r="F134" t="inlineStr">
        <is>
          <t>CT-e</t>
        </is>
      </c>
      <c r="G134" t="inlineStr">
        <is>
          <t>000078811</t>
        </is>
      </c>
      <c r="H134" t="inlineStr">
        <is>
          <t>UNIAO MULTIMODAL OTM LTDA</t>
        </is>
      </c>
      <c r="I134" t="inlineStr">
        <is>
          <t>11.308.600/0008-04</t>
        </is>
      </c>
      <c r="J134" s="27" t="n">
        <v>46263</v>
      </c>
      <c r="K134" s="14" t="n">
        <v>21700</v>
      </c>
      <c r="L134" t="inlineStr">
        <is>
          <t>Sim</t>
        </is>
      </c>
    </row>
    <row r="135">
      <c r="A135" s="24" t="n">
        <v>46235</v>
      </c>
      <c r="B135" t="inlineStr">
        <is>
          <t>Aluguel de contêiner</t>
        </is>
      </c>
      <c r="C135" t="inlineStr">
        <is>
          <t>Frete</t>
        </is>
      </c>
      <c r="D135" t="inlineStr">
        <is>
          <t>Frete de compra</t>
        </is>
      </c>
      <c r="E135" t="inlineStr">
        <is>
          <t>2.04.87 Frete sobre Compra</t>
        </is>
      </c>
      <c r="F135" t="inlineStr">
        <is>
          <t>CT-e</t>
        </is>
      </c>
      <c r="G135" t="inlineStr">
        <is>
          <t>000078812</t>
        </is>
      </c>
      <c r="H135" t="inlineStr">
        <is>
          <t>UNIAO MULTIMODAL OTM LTDA</t>
        </is>
      </c>
      <c r="I135" t="inlineStr">
        <is>
          <t>11.308.600/0008-04</t>
        </is>
      </c>
      <c r="J135" s="27" t="n">
        <v>46263</v>
      </c>
      <c r="K135" s="14" t="n">
        <v>21700</v>
      </c>
      <c r="L135" t="inlineStr">
        <is>
          <t>Sim</t>
        </is>
      </c>
    </row>
    <row r="136">
      <c r="A136" s="24" t="n">
        <v>46235</v>
      </c>
      <c r="B136" t="inlineStr">
        <is>
          <t>Aluguel de contêiner</t>
        </is>
      </c>
      <c r="C136" t="inlineStr">
        <is>
          <t>Frete</t>
        </is>
      </c>
      <c r="D136" t="inlineStr">
        <is>
          <t>Frete de compra</t>
        </is>
      </c>
      <c r="E136" t="inlineStr">
        <is>
          <t>2.04.87 Frete sobre Compra</t>
        </is>
      </c>
      <c r="F136" t="inlineStr">
        <is>
          <t>CT-e</t>
        </is>
      </c>
      <c r="G136" t="inlineStr">
        <is>
          <t>000077837</t>
        </is>
      </c>
      <c r="H136" t="inlineStr">
        <is>
          <t>UNIAO MULTIMODAL OTM LTDA</t>
        </is>
      </c>
      <c r="I136" t="inlineStr">
        <is>
          <t>76.487.651/0001-10</t>
        </is>
      </c>
      <c r="J136" s="27" t="n">
        <v>46246</v>
      </c>
      <c r="K136" s="14" t="n">
        <v>16330</v>
      </c>
      <c r="L136" t="inlineStr">
        <is>
          <t>Sim</t>
        </is>
      </c>
    </row>
    <row r="137">
      <c r="A137" s="24" t="n">
        <v>46235</v>
      </c>
      <c r="B137" t="inlineStr">
        <is>
          <t>Aluguel de contêiner</t>
        </is>
      </c>
      <c r="C137" t="inlineStr">
        <is>
          <t>Frete</t>
        </is>
      </c>
      <c r="D137" t="inlineStr">
        <is>
          <t>Frete de compra</t>
        </is>
      </c>
      <c r="E137" t="inlineStr">
        <is>
          <t>2.04.87 Frete sobre Compra</t>
        </is>
      </c>
      <c r="F137" t="inlineStr">
        <is>
          <t>CT-e</t>
        </is>
      </c>
      <c r="G137" t="inlineStr">
        <is>
          <t>000077838</t>
        </is>
      </c>
      <c r="H137" t="inlineStr">
        <is>
          <t>UNIAO MULTIMODAL OTM LTDA</t>
        </is>
      </c>
      <c r="I137" t="inlineStr">
        <is>
          <t>76.487.651/0001-10</t>
        </is>
      </c>
      <c r="J137" s="27" t="n">
        <v>46246</v>
      </c>
      <c r="K137" s="14" t="n">
        <v>16330</v>
      </c>
      <c r="L137" t="inlineStr">
        <is>
          <t>Sim</t>
        </is>
      </c>
    </row>
    <row r="138">
      <c r="A138" s="24" t="n">
        <v>46235</v>
      </c>
      <c r="B138" t="inlineStr">
        <is>
          <t>Serviços e manutenção</t>
        </is>
      </c>
      <c r="C138" t="inlineStr">
        <is>
          <t>NF-e</t>
        </is>
      </c>
      <c r="D138" t="inlineStr">
        <is>
          <t>2.01 Custos</t>
        </is>
      </c>
      <c r="E138" t="inlineStr">
        <is>
          <t>2.01.88 Manutenção e Conservação de Máquina</t>
        </is>
      </c>
      <c r="F138" t="inlineStr">
        <is>
          <t>NF-e</t>
        </is>
      </c>
      <c r="G138" t="inlineStr">
        <is>
          <t>000162705</t>
        </is>
      </c>
      <c r="H138" t="inlineStr">
        <is>
          <t>Beltex Ind. e Com. de Correias Ltda.</t>
        </is>
      </c>
      <c r="I138" t="inlineStr">
        <is>
          <t>82.317.900/0001-21</t>
        </is>
      </c>
      <c r="J138" s="27" t="n">
        <v>46252</v>
      </c>
      <c r="K138" s="14" t="n">
        <v>4196.64</v>
      </c>
      <c r="L138" t="inlineStr">
        <is>
          <t>Sim</t>
        </is>
      </c>
    </row>
    <row r="139">
      <c r="A139" s="24" t="n">
        <v>46235</v>
      </c>
      <c r="B139" t="inlineStr">
        <is>
          <t>Serviços e manutenção</t>
        </is>
      </c>
      <c r="C139" t="inlineStr">
        <is>
          <t>NF-e</t>
        </is>
      </c>
      <c r="D139" t="inlineStr">
        <is>
          <t>2.01 Custos</t>
        </is>
      </c>
      <c r="E139" t="inlineStr">
        <is>
          <t>2.01.88 Manutenção e Conservação de Máquina</t>
        </is>
      </c>
      <c r="F139" t="inlineStr">
        <is>
          <t>NF-e</t>
        </is>
      </c>
      <c r="G139" t="inlineStr">
        <is>
          <t>000610271</t>
        </is>
      </c>
      <c r="H139" t="inlineStr">
        <is>
          <t>DPALMA IMPORTADORA LTDA</t>
        </is>
      </c>
      <c r="I139" t="inlineStr">
        <is>
          <t>48.687.356/0001-71</t>
        </is>
      </c>
      <c r="J139" s="27" t="n">
        <v>46243</v>
      </c>
      <c r="K139" s="14" t="n">
        <v>132.1</v>
      </c>
      <c r="L139" t="inlineStr">
        <is>
          <t>Sim</t>
        </is>
      </c>
    </row>
    <row r="140">
      <c r="A140" s="24" t="n">
        <v>46235</v>
      </c>
      <c r="B140" t="inlineStr">
        <is>
          <t>Serviços e manutenção</t>
        </is>
      </c>
      <c r="C140" t="inlineStr">
        <is>
          <t>NF-e</t>
        </is>
      </c>
      <c r="D140" t="inlineStr">
        <is>
          <t>2.01 Custos</t>
        </is>
      </c>
      <c r="E140" t="inlineStr">
        <is>
          <t>2.01.88 Manutenção e Conservação de Máquina</t>
        </is>
      </c>
      <c r="F140" t="inlineStr">
        <is>
          <t>NF-e</t>
        </is>
      </c>
      <c r="G140" t="inlineStr">
        <is>
          <t>000015034</t>
        </is>
      </c>
      <c r="H140" t="inlineStr">
        <is>
          <t>EDNA DE ARAUJO PACHECO LTDA</t>
        </is>
      </c>
      <c r="I140" t="inlineStr">
        <is>
          <t>17.433.873/0001-90</t>
        </is>
      </c>
      <c r="J140" s="27" t="n">
        <v>46240</v>
      </c>
      <c r="K140" s="14" t="n">
        <v>139.24</v>
      </c>
      <c r="L140" t="inlineStr">
        <is>
          <t>Sim</t>
        </is>
      </c>
    </row>
    <row r="141">
      <c r="A141" s="24" t="n">
        <v>46235</v>
      </c>
      <c r="B141" t="inlineStr">
        <is>
          <t>Serviços e manutenção</t>
        </is>
      </c>
      <c r="C141" t="inlineStr">
        <is>
          <t>NF-e</t>
        </is>
      </c>
      <c r="D141" t="inlineStr">
        <is>
          <t>2.01 Custos</t>
        </is>
      </c>
      <c r="E141" t="inlineStr">
        <is>
          <t>2.01.88 Manutenção e Conservação de Máquina</t>
        </is>
      </c>
      <c r="F141" t="inlineStr">
        <is>
          <t>NF-e</t>
        </is>
      </c>
      <c r="G141" t="inlineStr">
        <is>
          <t>000015079</t>
        </is>
      </c>
      <c r="H141" t="inlineStr">
        <is>
          <t>EDNA DE ARAUJO PACHECO LTDA</t>
        </is>
      </c>
      <c r="I141" t="inlineStr">
        <is>
          <t>17.433.873/0001-90</t>
        </is>
      </c>
      <c r="J141" s="27" t="n">
        <v>46245</v>
      </c>
      <c r="K141" s="14" t="n">
        <v>837.5</v>
      </c>
      <c r="L141" t="inlineStr">
        <is>
          <t>Sim</t>
        </is>
      </c>
    </row>
    <row r="142">
      <c r="A142" s="24" t="n">
        <v>46235</v>
      </c>
      <c r="B142" t="inlineStr">
        <is>
          <t>Serviços e manutenção</t>
        </is>
      </c>
      <c r="C142" t="inlineStr">
        <is>
          <t>NF-e</t>
        </is>
      </c>
      <c r="D142" t="inlineStr">
        <is>
          <t>2.01 Custos</t>
        </is>
      </c>
      <c r="E142" t="inlineStr">
        <is>
          <t>2.01.88 Manutenção e Conservação de Máquina</t>
        </is>
      </c>
      <c r="F142" t="inlineStr">
        <is>
          <t>NF-e</t>
        </is>
      </c>
      <c r="G142" t="inlineStr">
        <is>
          <t>000081696</t>
        </is>
      </c>
      <c r="H142" t="inlineStr">
        <is>
          <t>LUBNORTE DISTRIBUIDOR DE LUBRIFICANTES LTDA</t>
        </is>
      </c>
      <c r="I142" t="inlineStr">
        <is>
          <t>06.280.265/0001-77</t>
        </is>
      </c>
      <c r="J142" s="27" t="n">
        <v>46262</v>
      </c>
      <c r="K142" s="14" t="n">
        <v>500</v>
      </c>
      <c r="L142" t="inlineStr">
        <is>
          <t>Sim</t>
        </is>
      </c>
    </row>
    <row r="143">
      <c r="A143" s="24" t="n">
        <v>46235</v>
      </c>
      <c r="B143" t="inlineStr">
        <is>
          <t>Investimento (imobilizado)</t>
        </is>
      </c>
      <c r="C143" t="inlineStr">
        <is>
          <t>NF-e</t>
        </is>
      </c>
      <c r="D143" t="inlineStr">
        <is>
          <t>2.07 Investimento</t>
        </is>
      </c>
      <c r="E143" t="inlineStr">
        <is>
          <t>2.07.01 Máquinas e Equipamentos</t>
        </is>
      </c>
      <c r="F143" t="inlineStr">
        <is>
          <t>NF-e</t>
        </is>
      </c>
      <c r="G143" t="inlineStr">
        <is>
          <t>000012447</t>
        </is>
      </c>
      <c r="H143" t="inlineStr">
        <is>
          <t>E. M. AMARAL - MAQUINAS E FERRAMENTAS LTDA</t>
        </is>
      </c>
      <c r="I143" t="inlineStr">
        <is>
          <t>25.114.989/0001-95</t>
        </is>
      </c>
      <c r="J143" s="27" t="n">
        <v>46253</v>
      </c>
      <c r="K143" s="14" t="n">
        <v>4620</v>
      </c>
      <c r="L143" t="inlineStr">
        <is>
          <t>Sim</t>
        </is>
      </c>
    </row>
    <row r="144">
      <c r="A144" s="24" t="n">
        <v>46235</v>
      </c>
      <c r="B144" t="inlineStr">
        <is>
          <t>Investimento (imobilizado)</t>
        </is>
      </c>
      <c r="C144" t="inlineStr">
        <is>
          <t>NF-e</t>
        </is>
      </c>
      <c r="D144" t="inlineStr">
        <is>
          <t>2.07 Investimento</t>
        </is>
      </c>
      <c r="E144" t="inlineStr">
        <is>
          <t>2.07.01 Máquinas e Equipamentos</t>
        </is>
      </c>
      <c r="F144" t="inlineStr">
        <is>
          <t>NF-e</t>
        </is>
      </c>
      <c r="G144" t="inlineStr">
        <is>
          <t>000812416</t>
        </is>
      </c>
      <c r="H144" t="inlineStr">
        <is>
          <t>FRIGELAR COMERCIO E INDUSTRIA LTDA</t>
        </is>
      </c>
      <c r="I144" t="inlineStr">
        <is>
          <t>92.660.406/0009-76</t>
        </is>
      </c>
      <c r="J144" s="27" t="n">
        <v>46247</v>
      </c>
      <c r="K144" s="14" t="n">
        <v>4232.98</v>
      </c>
      <c r="L144" t="inlineStr">
        <is>
          <t>Sim</t>
        </is>
      </c>
    </row>
    <row r="145">
      <c r="A145" s="24" t="n">
        <v>46235</v>
      </c>
      <c r="B145" t="inlineStr">
        <is>
          <t>Investimento (imobilizado)</t>
        </is>
      </c>
      <c r="C145" t="inlineStr">
        <is>
          <t>NF-e</t>
        </is>
      </c>
      <c r="D145" t="inlineStr">
        <is>
          <t>2.07 Investimento</t>
        </is>
      </c>
      <c r="E145" t="inlineStr">
        <is>
          <t>2.07.01 Máquinas e Equipamentos</t>
        </is>
      </c>
      <c r="F145" t="inlineStr">
        <is>
          <t>NF-e</t>
        </is>
      </c>
      <c r="G145" t="inlineStr">
        <is>
          <t>000816206</t>
        </is>
      </c>
      <c r="H145" t="inlineStr">
        <is>
          <t>FRIGELAR COMERCIO E INDUSTRIA LTDA</t>
        </is>
      </c>
      <c r="I145" t="inlineStr">
        <is>
          <t>92.660.406/0009-76</t>
        </is>
      </c>
      <c r="J145" s="27" t="n">
        <v>46260</v>
      </c>
      <c r="K145" s="14" t="n">
        <v>4041.51</v>
      </c>
      <c r="L145" t="inlineStr">
        <is>
          <t>Sim</t>
        </is>
      </c>
    </row>
    <row r="146">
      <c r="A146" s="24" t="n">
        <v>46235</v>
      </c>
      <c r="B146" t="inlineStr">
        <is>
          <t>Investimento (imobilizado)</t>
        </is>
      </c>
      <c r="C146" t="inlineStr">
        <is>
          <t>NF-e</t>
        </is>
      </c>
      <c r="D146" t="inlineStr">
        <is>
          <t>2.07 Investimento</t>
        </is>
      </c>
      <c r="E146" t="inlineStr">
        <is>
          <t>2.07.01 Máquinas e Equipamentos</t>
        </is>
      </c>
      <c r="F146" t="inlineStr">
        <is>
          <t>NF-e</t>
        </is>
      </c>
      <c r="G146" t="inlineStr">
        <is>
          <t>000000087</t>
        </is>
      </c>
      <c r="H146" t="inlineStr">
        <is>
          <t>M STEEL METALURGICA LTDA</t>
        </is>
      </c>
      <c r="I146" t="inlineStr">
        <is>
          <t>61.858.794/0001-13</t>
        </is>
      </c>
      <c r="J146" s="27" t="n">
        <v>46260</v>
      </c>
      <c r="K146" s="14" t="n">
        <v>2850</v>
      </c>
      <c r="L146" t="inlineStr">
        <is>
          <t>Sim</t>
        </is>
      </c>
    </row>
    <row r="147">
      <c r="A147" s="24" t="n">
        <v>46235</v>
      </c>
      <c r="B147" t="inlineStr">
        <is>
          <t>Investimento (imobilizado)</t>
        </is>
      </c>
      <c r="C147" t="inlineStr">
        <is>
          <t>NF-e</t>
        </is>
      </c>
      <c r="D147" t="inlineStr">
        <is>
          <t>2.07 Investimento</t>
        </is>
      </c>
      <c r="E147" t="inlineStr">
        <is>
          <t>2.07.01 Máquinas e Equipamentos</t>
        </is>
      </c>
      <c r="F147" t="inlineStr">
        <is>
          <t>NF-e</t>
        </is>
      </c>
      <c r="G147" t="inlineStr">
        <is>
          <t>000061371</t>
        </is>
      </c>
      <c r="H147" t="inlineStr">
        <is>
          <t>MOREIRA ACESSORIOS E EQUIPAMENTOS ELETRONICOS LTDA</t>
        </is>
      </c>
      <c r="I147" t="inlineStr">
        <is>
          <t>57.424.752/0001-05</t>
        </is>
      </c>
      <c r="J147" s="27" t="n">
        <v>46254</v>
      </c>
      <c r="K147" s="14" t="n">
        <v>89.73</v>
      </c>
      <c r="L147" t="inlineStr">
        <is>
          <t>Sim</t>
        </is>
      </c>
    </row>
    <row r="148">
      <c r="A148" s="24" t="n">
        <v>46235</v>
      </c>
      <c r="B148" t="inlineStr">
        <is>
          <t>Investimento (imobilizado)</t>
        </is>
      </c>
      <c r="C148" t="inlineStr">
        <is>
          <t>NF-e</t>
        </is>
      </c>
      <c r="D148" t="inlineStr">
        <is>
          <t>2.07 Investimento</t>
        </is>
      </c>
      <c r="E148" t="inlineStr">
        <is>
          <t>2.07.04 Equipamentos de Informática</t>
        </is>
      </c>
      <c r="F148" t="inlineStr">
        <is>
          <t>NF-e</t>
        </is>
      </c>
      <c r="G148" t="inlineStr">
        <is>
          <t>000048576</t>
        </is>
      </c>
      <c r="H148" t="inlineStr">
        <is>
          <t>MIRANDA COMPUTACAO E COMERCIO LTDA</t>
        </is>
      </c>
      <c r="I148" t="inlineStr">
        <is>
          <t>11.982.113/0011-28</t>
        </is>
      </c>
      <c r="J148" s="27" t="n">
        <v>46244</v>
      </c>
      <c r="K148" s="14" t="n">
        <v>5398</v>
      </c>
      <c r="L148" t="inlineStr">
        <is>
          <t>Sim</t>
        </is>
      </c>
    </row>
    <row r="149">
      <c r="A149" s="24" t="n">
        <v>46235</v>
      </c>
      <c r="B149" t="inlineStr">
        <is>
          <t>Investimento (imobilizado)</t>
        </is>
      </c>
      <c r="C149" t="inlineStr">
        <is>
          <t>NF-e</t>
        </is>
      </c>
      <c r="D149" t="inlineStr">
        <is>
          <t>2.07 Investimento</t>
        </is>
      </c>
      <c r="E149" t="inlineStr">
        <is>
          <t>2.07.05 Compra de Móveis e Utensílios</t>
        </is>
      </c>
      <c r="F149" t="inlineStr">
        <is>
          <t>NF-e</t>
        </is>
      </c>
      <c r="G149" t="inlineStr">
        <is>
          <t>000031228</t>
        </is>
      </c>
      <c r="H149" t="inlineStr">
        <is>
          <t>J CARLOS MOVEIS LTDA</t>
        </is>
      </c>
      <c r="I149" t="inlineStr">
        <is>
          <t>09.238.106/0001-00</t>
        </is>
      </c>
      <c r="J149" s="27" t="n">
        <v>46241</v>
      </c>
      <c r="K149" s="14" t="n">
        <v>6084</v>
      </c>
      <c r="L149" t="inlineStr">
        <is>
          <t>Sim</t>
        </is>
      </c>
    </row>
    <row r="150">
      <c r="A150" s="24" t="n">
        <v>46235</v>
      </c>
      <c r="B150" t="inlineStr">
        <is>
          <t>Investimento (imobilizado)</t>
        </is>
      </c>
      <c r="C150" t="inlineStr">
        <is>
          <t>NF-e</t>
        </is>
      </c>
      <c r="D150" t="inlineStr">
        <is>
          <t>2.07 Investimento</t>
        </is>
      </c>
      <c r="E150" t="inlineStr">
        <is>
          <t>2.07.99 Compra de Imobilizado</t>
        </is>
      </c>
      <c r="F150" t="inlineStr">
        <is>
          <t>NF-e</t>
        </is>
      </c>
      <c r="G150" t="inlineStr">
        <is>
          <t>000809805</t>
        </is>
      </c>
      <c r="H150" t="inlineStr">
        <is>
          <t>FRIGELAR COMERCIO E INDUSTRIA LTDA</t>
        </is>
      </c>
      <c r="I150" t="inlineStr">
        <is>
          <t>92.660.406/0009-76</t>
        </is>
      </c>
      <c r="J150" s="27" t="n">
        <v>46241</v>
      </c>
      <c r="K150" s="14" t="n">
        <v>2347.51</v>
      </c>
      <c r="L150" t="inlineStr">
        <is>
          <t>Sim</t>
        </is>
      </c>
    </row>
    <row r="151">
      <c r="A151" s="24" t="n">
        <v>46235</v>
      </c>
      <c r="B151" t="inlineStr">
        <is>
          <t>Serviços e manutenção</t>
        </is>
      </c>
      <c r="C151" t="inlineStr">
        <is>
          <t>NF-e</t>
        </is>
      </c>
      <c r="D151" t="inlineStr">
        <is>
          <t>2.16 Sede Vinco</t>
        </is>
      </c>
      <c r="E151" t="inlineStr">
        <is>
          <t>2.16.93 Benfeitoria</t>
        </is>
      </c>
      <c r="F151" t="inlineStr">
        <is>
          <t>NF-e</t>
        </is>
      </c>
      <c r="G151" t="inlineStr">
        <is>
          <t>000000222</t>
        </is>
      </c>
      <c r="H151" t="inlineStr">
        <is>
          <t>THIAGO FERNANDES RODRIGUES</t>
        </is>
      </c>
      <c r="I151" t="inlineStr">
        <is>
          <t>64.961.835/0001-90</t>
        </is>
      </c>
      <c r="J151" s="27" t="n">
        <v>46265</v>
      </c>
      <c r="K151" s="14" t="n">
        <v>4632</v>
      </c>
      <c r="L151" t="inlineStr">
        <is>
          <t>Sim</t>
        </is>
      </c>
    </row>
    <row r="152">
      <c r="A152" s="24" t="n">
        <v>46266</v>
      </c>
      <c r="B152" t="inlineStr">
        <is>
          <t>Serviços e manutenção</t>
        </is>
      </c>
      <c r="C152" t="inlineStr">
        <is>
          <t>NF-e</t>
        </is>
      </c>
      <c r="D152" t="inlineStr">
        <is>
          <t>2.01 Custos</t>
        </is>
      </c>
      <c r="E152" t="inlineStr">
        <is>
          <t>2.01.88 Manutenção e Conservação de Máquina</t>
        </is>
      </c>
      <c r="F152" t="inlineStr">
        <is>
          <t>NF-e</t>
        </is>
      </c>
      <c r="G152" t="inlineStr">
        <is>
          <t>000011957</t>
        </is>
      </c>
      <c r="H152" t="inlineStr">
        <is>
          <t>LED NORDESTE ILUMINACAO LTDA</t>
        </is>
      </c>
      <c r="I152" t="inlineStr">
        <is>
          <t>11.651.809/0001-08</t>
        </is>
      </c>
      <c r="J152" s="27" t="n">
        <v>46269</v>
      </c>
      <c r="K152" s="14" t="n">
        <v>7786.2</v>
      </c>
      <c r="L152" t="inlineStr">
        <is>
          <t>Sim</t>
        </is>
      </c>
    </row>
    <row r="153">
      <c r="A153" s="24" t="n">
        <v>46266</v>
      </c>
      <c r="B153" t="inlineStr">
        <is>
          <t>Despesas gerais</t>
        </is>
      </c>
      <c r="C153" t="inlineStr">
        <is>
          <t>NF-e</t>
        </is>
      </c>
      <c r="D153" t="inlineStr">
        <is>
          <t>2.02 Despesas Comerciais</t>
        </is>
      </c>
      <c r="E153" t="inlineStr">
        <is>
          <t>2.02.85 Premiação Comercial</t>
        </is>
      </c>
      <c r="F153" t="inlineStr">
        <is>
          <t>NF-e</t>
        </is>
      </c>
      <c r="G153" t="inlineStr">
        <is>
          <t>000340532</t>
        </is>
      </c>
      <c r="H153" t="inlineStr">
        <is>
          <t>LOJAS EDMIL S/A</t>
        </is>
      </c>
      <c r="I153" t="inlineStr">
        <is>
          <t>21.545.371/0087-07</t>
        </is>
      </c>
      <c r="J153" s="27" t="n">
        <v>46288</v>
      </c>
      <c r="K153" s="14" t="n">
        <v>17501.8</v>
      </c>
      <c r="L153" t="inlineStr">
        <is>
          <t>Sim</t>
        </is>
      </c>
    </row>
    <row r="154">
      <c r="A154" s="24" t="n">
        <v>46266</v>
      </c>
      <c r="B154" t="inlineStr">
        <is>
          <t>Despesas gerais</t>
        </is>
      </c>
      <c r="C154" t="inlineStr">
        <is>
          <t>NF-e</t>
        </is>
      </c>
      <c r="D154" t="inlineStr">
        <is>
          <t>2.02 Despesas Comerciais</t>
        </is>
      </c>
      <c r="E154" t="inlineStr">
        <is>
          <t>2.02.95 Brindes</t>
        </is>
      </c>
      <c r="F154" t="inlineStr">
        <is>
          <t>NF-e</t>
        </is>
      </c>
      <c r="G154" t="inlineStr">
        <is>
          <t>900621941</t>
        </is>
      </c>
      <c r="H154" t="inlineStr">
        <is>
          <t>38.277.962 RAQUEL BARBOSA DE PAIVA SANTOS SALES</t>
        </is>
      </c>
      <c r="I154" t="inlineStr">
        <is>
          <t>38.277.962/0001-65</t>
        </is>
      </c>
      <c r="J154" s="27" t="n">
        <v>46266</v>
      </c>
      <c r="K154" s="14" t="n">
        <v>1920</v>
      </c>
      <c r="L154" t="inlineStr">
        <is>
          <t>Sim</t>
        </is>
      </c>
    </row>
    <row r="155">
      <c r="A155" s="24" t="n">
        <v>46266</v>
      </c>
      <c r="B155" t="inlineStr">
        <is>
          <t>Investimento (imobilizado)</t>
        </is>
      </c>
      <c r="C155" t="inlineStr">
        <is>
          <t>NF-e</t>
        </is>
      </c>
      <c r="D155" t="inlineStr">
        <is>
          <t>2.07 Investimento</t>
        </is>
      </c>
      <c r="E155" t="inlineStr">
        <is>
          <t>2.07.01 Máquinas e Equipamentos</t>
        </is>
      </c>
      <c r="F155" t="inlineStr">
        <is>
          <t>NF-e</t>
        </is>
      </c>
      <c r="G155" t="inlineStr">
        <is>
          <t>000020795</t>
        </is>
      </c>
      <c r="H155" t="inlineStr">
        <is>
          <t>B. B. A. INDUSTRIA E COMERCIO IMPORTACAO E EXPORTACAO LTDA</t>
        </is>
      </c>
      <c r="I155" t="inlineStr">
        <is>
          <t>25.247.287/0003-41</t>
        </is>
      </c>
      <c r="J155" s="27" t="n">
        <v>46279</v>
      </c>
      <c r="K155" s="14" t="n">
        <v>8797.4</v>
      </c>
      <c r="L155" t="inlineStr">
        <is>
          <t>Sim</t>
        </is>
      </c>
    </row>
    <row r="156">
      <c r="A156" s="24" t="n">
        <v>46266</v>
      </c>
      <c r="B156" t="inlineStr">
        <is>
          <t>Investimento (imobilizado)</t>
        </is>
      </c>
      <c r="C156" t="inlineStr">
        <is>
          <t>NF-e</t>
        </is>
      </c>
      <c r="D156" t="inlineStr">
        <is>
          <t>2.07 Investimento</t>
        </is>
      </c>
      <c r="E156" t="inlineStr">
        <is>
          <t>2.07.01 Máquinas e Equipamentos</t>
        </is>
      </c>
      <c r="F156" t="inlineStr">
        <is>
          <t>NF-e</t>
        </is>
      </c>
      <c r="G156" t="inlineStr">
        <is>
          <t>000819777</t>
        </is>
      </c>
      <c r="H156" t="inlineStr">
        <is>
          <t>FRIGELAR COMERCIO E INDUSTRIA LTDA</t>
        </is>
      </c>
      <c r="I156" t="inlineStr">
        <is>
          <t>92.660.406/0009-76</t>
        </is>
      </c>
      <c r="J156" s="27" t="n">
        <v>46274</v>
      </c>
      <c r="K156" s="14" t="n">
        <v>3587.12</v>
      </c>
      <c r="L156" t="inlineStr">
        <is>
          <t>Sim</t>
        </is>
      </c>
    </row>
    <row r="157">
      <c r="A157" s="24" t="n">
        <v>46266</v>
      </c>
      <c r="B157" t="inlineStr">
        <is>
          <t>Investimento (imobilizado)</t>
        </is>
      </c>
      <c r="C157" t="inlineStr">
        <is>
          <t>NF-e</t>
        </is>
      </c>
      <c r="D157" t="inlineStr">
        <is>
          <t>2.07 Investimento</t>
        </is>
      </c>
      <c r="E157" t="inlineStr">
        <is>
          <t>2.07.01 Máquinas e Equipamentos</t>
        </is>
      </c>
      <c r="F157" t="inlineStr">
        <is>
          <t>NF-e</t>
        </is>
      </c>
      <c r="G157" t="inlineStr">
        <is>
          <t>000822798</t>
        </is>
      </c>
      <c r="H157" t="inlineStr">
        <is>
          <t>FRIGELAR COMERCIO E INDUSTRIA LTDA</t>
        </is>
      </c>
      <c r="I157" t="inlineStr">
        <is>
          <t>92.660.406/0009-76</t>
        </is>
      </c>
      <c r="J157" s="27" t="n">
        <v>46287</v>
      </c>
      <c r="K157" s="14" t="n">
        <v>4916.79</v>
      </c>
      <c r="L157" t="inlineStr">
        <is>
          <t>Sim</t>
        </is>
      </c>
    </row>
    <row r="158">
      <c r="A158" s="24" t="n">
        <v>46266</v>
      </c>
      <c r="B158" t="inlineStr">
        <is>
          <t>Investimento (imobilizado)</t>
        </is>
      </c>
      <c r="C158" t="inlineStr">
        <is>
          <t>NF-e</t>
        </is>
      </c>
      <c r="D158" t="inlineStr">
        <is>
          <t>2.07 Investimento</t>
        </is>
      </c>
      <c r="E158" t="inlineStr">
        <is>
          <t>2.07.01 Máquinas e Equipamentos</t>
        </is>
      </c>
      <c r="F158" t="inlineStr">
        <is>
          <t>NF-e</t>
        </is>
      </c>
      <c r="G158" t="inlineStr">
        <is>
          <t>000049498</t>
        </is>
      </c>
      <c r="H158" t="inlineStr">
        <is>
          <t>MIRANDA COMPUTACAO E COMERCIO LTDA</t>
        </is>
      </c>
      <c r="I158" t="inlineStr">
        <is>
          <t>11.982.113/0011-28</t>
        </is>
      </c>
      <c r="J158" s="27" t="n">
        <v>46283</v>
      </c>
      <c r="K158" s="14" t="n">
        <v>208.8</v>
      </c>
      <c r="L158" t="inlineStr">
        <is>
          <t>Sim</t>
        </is>
      </c>
    </row>
    <row r="159">
      <c r="A159" s="24" t="n">
        <v>46266</v>
      </c>
      <c r="B159" t="inlineStr">
        <is>
          <t>Investimento (imobilizado)</t>
        </is>
      </c>
      <c r="C159" t="inlineStr">
        <is>
          <t>NF-e</t>
        </is>
      </c>
      <c r="D159" t="inlineStr">
        <is>
          <t>2.07 Investimento</t>
        </is>
      </c>
      <c r="E159" t="inlineStr">
        <is>
          <t>2.07.01 Máquinas e Equipamentos</t>
        </is>
      </c>
      <c r="F159" t="inlineStr">
        <is>
          <t>NF-e</t>
        </is>
      </c>
      <c r="G159" t="inlineStr">
        <is>
          <t>000097618</t>
        </is>
      </c>
      <c r="H159" t="inlineStr">
        <is>
          <t>negociunoficial</t>
        </is>
      </c>
      <c r="I159" t="inlineStr">
        <is>
          <t>20.704.757/0012-26</t>
        </is>
      </c>
      <c r="J159" s="27" t="n">
        <v>46286</v>
      </c>
      <c r="K159" s="14" t="n">
        <v>5019.2</v>
      </c>
      <c r="L159" t="inlineStr">
        <is>
          <t>Sim</t>
        </is>
      </c>
    </row>
    <row r="160">
      <c r="A160" s="24" t="n">
        <v>46266</v>
      </c>
      <c r="B160" t="inlineStr">
        <is>
          <t>Investimento (imobilizado)</t>
        </is>
      </c>
      <c r="C160" t="inlineStr">
        <is>
          <t>NF-e</t>
        </is>
      </c>
      <c r="D160" t="inlineStr">
        <is>
          <t>2.07 Investimento</t>
        </is>
      </c>
      <c r="E160" t="inlineStr">
        <is>
          <t>2.07.04 Equipamentos de Informática</t>
        </is>
      </c>
      <c r="F160" t="inlineStr">
        <is>
          <t>NF-e</t>
        </is>
      </c>
      <c r="G160" t="inlineStr">
        <is>
          <t>000049405</t>
        </is>
      </c>
      <c r="H160" t="inlineStr">
        <is>
          <t>MIRANDA COMPUTACAO E COMERCIO LTDA</t>
        </is>
      </c>
      <c r="I160" t="inlineStr">
        <is>
          <t>11.982.113/0011-28</t>
        </is>
      </c>
      <c r="J160" s="27" t="n">
        <v>46280</v>
      </c>
      <c r="K160" s="14" t="n">
        <v>5498</v>
      </c>
      <c r="L160" t="inlineStr">
        <is>
          <t>Sim</t>
        </is>
      </c>
    </row>
    <row r="161">
      <c r="A161" s="24" t="n">
        <v>46266</v>
      </c>
      <c r="B161" t="inlineStr">
        <is>
          <t>Investimento (imobilizado)</t>
        </is>
      </c>
      <c r="C161" t="inlineStr">
        <is>
          <t>NF-e</t>
        </is>
      </c>
      <c r="D161" t="inlineStr">
        <is>
          <t>2.07 Investimento</t>
        </is>
      </c>
      <c r="E161" t="inlineStr">
        <is>
          <t>2.07.04 Equipamentos de Informática</t>
        </is>
      </c>
      <c r="F161" t="inlineStr">
        <is>
          <t>NF-e</t>
        </is>
      </c>
      <c r="G161" t="inlineStr">
        <is>
          <t>000049369</t>
        </is>
      </c>
      <c r="H161" t="inlineStr">
        <is>
          <t>MIRANDA COMPUTACAO E COMERCIO LTDA</t>
        </is>
      </c>
      <c r="I161" t="inlineStr">
        <is>
          <t>11.982.113/0011-28</t>
        </is>
      </c>
      <c r="J161" s="27" t="n">
        <v>46279</v>
      </c>
      <c r="K161" s="14" t="n">
        <v>9796</v>
      </c>
      <c r="L161" t="inlineStr">
        <is>
          <t>Sim</t>
        </is>
      </c>
    </row>
    <row r="162">
      <c r="A162" s="24" t="n">
        <v>46266</v>
      </c>
      <c r="B162" t="inlineStr">
        <is>
          <t>Investimento (imobilizado)</t>
        </is>
      </c>
      <c r="C162" t="inlineStr">
        <is>
          <t>NF-e</t>
        </is>
      </c>
      <c r="D162" t="inlineStr">
        <is>
          <t>2.07 Investimento</t>
        </is>
      </c>
      <c r="E162" t="inlineStr">
        <is>
          <t>2.07.04 Equipamentos de Informática</t>
        </is>
      </c>
      <c r="F162" t="inlineStr">
        <is>
          <t>NF-e</t>
        </is>
      </c>
      <c r="G162" t="inlineStr">
        <is>
          <t>000049554</t>
        </is>
      </c>
      <c r="H162" t="inlineStr">
        <is>
          <t>MIRANDA COMPUTACAO E COMERCIO LTDA</t>
        </is>
      </c>
      <c r="I162" t="inlineStr">
        <is>
          <t>11.982.113/0011-28</t>
        </is>
      </c>
      <c r="J162" s="27" t="n">
        <v>46288</v>
      </c>
      <c r="K162" s="14" t="n">
        <v>4476</v>
      </c>
      <c r="L162" t="inlineStr">
        <is>
          <t>Sim</t>
        </is>
      </c>
    </row>
    <row r="163">
      <c r="A163" s="24" t="n">
        <v>46266</v>
      </c>
      <c r="B163" t="inlineStr">
        <is>
          <t>Serviços e manutenção</t>
        </is>
      </c>
      <c r="C163" t="inlineStr">
        <is>
          <t>NF-e</t>
        </is>
      </c>
      <c r="D163" t="inlineStr">
        <is>
          <t>2.11 Despesa com Imóvel</t>
        </is>
      </c>
      <c r="E163" t="inlineStr">
        <is>
          <t>2.11.93 Manutenção Predial</t>
        </is>
      </c>
      <c r="F163" t="inlineStr">
        <is>
          <t>NF-e</t>
        </is>
      </c>
      <c r="G163" t="inlineStr">
        <is>
          <t>001415103</t>
        </is>
      </c>
      <c r="H163" t="inlineStr">
        <is>
          <t>CHAVES REFRIGERACAO LTDA</t>
        </is>
      </c>
      <c r="I163" t="inlineStr">
        <is>
          <t>09.102.134/0001-98</t>
        </is>
      </c>
      <c r="J163" s="27" t="n">
        <v>46283</v>
      </c>
      <c r="K163" s="14" t="n">
        <v>229</v>
      </c>
      <c r="L163" t="inlineStr">
        <is>
          <t>Sim</t>
        </is>
      </c>
    </row>
    <row r="164">
      <c r="A164" s="24" t="n">
        <v>46266</v>
      </c>
      <c r="B164" t="inlineStr">
        <is>
          <t>Serviços e manutenção</t>
        </is>
      </c>
      <c r="C164" t="inlineStr">
        <is>
          <t>NF-e</t>
        </is>
      </c>
      <c r="D164" t="inlineStr">
        <is>
          <t>2.11 Despesa com Imóvel</t>
        </is>
      </c>
      <c r="E164" t="inlineStr">
        <is>
          <t>2.11.93 Manutenção Predial</t>
        </is>
      </c>
      <c r="F164" t="inlineStr">
        <is>
          <t>NF-e</t>
        </is>
      </c>
      <c r="G164" t="inlineStr">
        <is>
          <t>000008244</t>
        </is>
      </c>
      <c r="H164" t="inlineStr">
        <is>
          <t>DR. REPAROS COMERCIO E SERVICOS LTDA</t>
        </is>
      </c>
      <c r="I164" t="inlineStr">
        <is>
          <t>24.644.790/0001-06</t>
        </is>
      </c>
      <c r="J164" s="27" t="n">
        <v>46283</v>
      </c>
      <c r="K164" s="14" t="n">
        <v>378.2</v>
      </c>
      <c r="L164" t="inlineStr">
        <is>
          <t>Sim</t>
        </is>
      </c>
    </row>
    <row r="165">
      <c r="A165" s="24" t="n">
        <v>46266</v>
      </c>
      <c r="B165" t="inlineStr">
        <is>
          <t>Serviços e manutenção</t>
        </is>
      </c>
      <c r="C165" t="inlineStr">
        <is>
          <t>NF-e</t>
        </is>
      </c>
      <c r="D165" t="inlineStr">
        <is>
          <t>2.11 Despesa com Imóvel</t>
        </is>
      </c>
      <c r="E165" t="inlineStr">
        <is>
          <t>2.11.93 Manutenção Predial</t>
        </is>
      </c>
      <c r="F165" t="inlineStr">
        <is>
          <t>NF-e</t>
        </is>
      </c>
      <c r="G165" t="inlineStr">
        <is>
          <t>000063965</t>
        </is>
      </c>
      <c r="H165" t="inlineStr">
        <is>
          <t>ELETROPOLO ELETRICIDADE LTDA</t>
        </is>
      </c>
      <c r="I165" t="inlineStr">
        <is>
          <t>02.375.199/0005-91</t>
        </is>
      </c>
      <c r="J165" s="27" t="n">
        <v>46275</v>
      </c>
      <c r="K165" s="14" t="n">
        <v>198.3</v>
      </c>
      <c r="L165" t="inlineStr">
        <is>
          <t>Sim</t>
        </is>
      </c>
    </row>
    <row r="166">
      <c r="A166" s="24" t="n">
        <v>46266</v>
      </c>
      <c r="B166" t="inlineStr">
        <is>
          <t>Serviços e manutenção</t>
        </is>
      </c>
      <c r="C166" t="inlineStr">
        <is>
          <t>NF-e</t>
        </is>
      </c>
      <c r="D166" t="inlineStr">
        <is>
          <t>2.11 Despesa com Imóvel</t>
        </is>
      </c>
      <c r="E166" t="inlineStr">
        <is>
          <t>2.11.93 Manutenção Predial</t>
        </is>
      </c>
      <c r="F166" t="inlineStr">
        <is>
          <t>NF-e</t>
        </is>
      </c>
      <c r="G166" t="inlineStr">
        <is>
          <t>000064190</t>
        </is>
      </c>
      <c r="H166" t="inlineStr">
        <is>
          <t>ELETROPOLO ELETRICIDADE LTDA</t>
        </is>
      </c>
      <c r="I166" t="inlineStr">
        <is>
          <t>02.375.199/0005-91</t>
        </is>
      </c>
      <c r="J166" s="27" t="n">
        <v>46277</v>
      </c>
      <c r="K166" s="14" t="n">
        <v>45.7</v>
      </c>
      <c r="L166" t="inlineStr">
        <is>
          <t>Sim</t>
        </is>
      </c>
    </row>
    <row r="167">
      <c r="A167" s="24" t="n">
        <v>46266</v>
      </c>
      <c r="B167" t="inlineStr">
        <is>
          <t>Serviços e manutenção</t>
        </is>
      </c>
      <c r="C167" t="inlineStr">
        <is>
          <t>NF-e</t>
        </is>
      </c>
      <c r="D167" t="inlineStr">
        <is>
          <t>2.11 Despesa com Imóvel</t>
        </is>
      </c>
      <c r="E167" t="inlineStr">
        <is>
          <t>2.11.93 Manutenção Predial</t>
        </is>
      </c>
      <c r="F167" t="inlineStr">
        <is>
          <t>NF-e</t>
        </is>
      </c>
      <c r="G167" t="inlineStr">
        <is>
          <t>000064204</t>
        </is>
      </c>
      <c r="H167" t="inlineStr">
        <is>
          <t>ELETROPOLO ELETRICIDADE LTDA</t>
        </is>
      </c>
      <c r="I167" t="inlineStr">
        <is>
          <t>02.375.199/0005-91</t>
        </is>
      </c>
      <c r="J167" s="27" t="n">
        <v>46277</v>
      </c>
      <c r="K167" s="14" t="n">
        <v>1900.2</v>
      </c>
      <c r="L167" t="inlineStr">
        <is>
          <t>Sim</t>
        </is>
      </c>
    </row>
    <row r="168">
      <c r="A168" s="24" t="n">
        <v>46266</v>
      </c>
      <c r="B168" t="inlineStr">
        <is>
          <t>Serviços e manutenção</t>
        </is>
      </c>
      <c r="C168" t="inlineStr">
        <is>
          <t>NF-e</t>
        </is>
      </c>
      <c r="D168" t="inlineStr">
        <is>
          <t>2.11 Despesa com Imóvel</t>
        </is>
      </c>
      <c r="E168" t="inlineStr">
        <is>
          <t>2.11.93 Manutenção Predial</t>
        </is>
      </c>
      <c r="F168" t="inlineStr">
        <is>
          <t>NF-e</t>
        </is>
      </c>
      <c r="G168" t="inlineStr">
        <is>
          <t>000064259</t>
        </is>
      </c>
      <c r="H168" t="inlineStr">
        <is>
          <t>ELETROPOLO ELETRICIDADE LTDA</t>
        </is>
      </c>
      <c r="I168" t="inlineStr">
        <is>
          <t>02.375.199/0005-91</t>
        </is>
      </c>
      <c r="J168" s="27" t="n">
        <v>46279</v>
      </c>
      <c r="K168" s="14" t="n">
        <v>2783.51</v>
      </c>
      <c r="L168" t="inlineStr">
        <is>
          <t>Sim</t>
        </is>
      </c>
    </row>
    <row r="169">
      <c r="A169" s="24" t="n">
        <v>46266</v>
      </c>
      <c r="B169" t="inlineStr">
        <is>
          <t>Serviços e manutenção</t>
        </is>
      </c>
      <c r="C169" t="inlineStr">
        <is>
          <t>NF-e</t>
        </is>
      </c>
      <c r="D169" t="inlineStr">
        <is>
          <t>2.11 Despesa com Imóvel</t>
        </is>
      </c>
      <c r="E169" t="inlineStr">
        <is>
          <t>2.11.93 Manutenção Predial</t>
        </is>
      </c>
      <c r="F169" t="inlineStr">
        <is>
          <t>NF-e</t>
        </is>
      </c>
      <c r="G169" t="inlineStr">
        <is>
          <t>000064582</t>
        </is>
      </c>
      <c r="H169" t="inlineStr">
        <is>
          <t>ELETROPOLO ELETRICIDADE LTDA</t>
        </is>
      </c>
      <c r="I169" t="inlineStr">
        <is>
          <t>02.375.199/0005-91</t>
        </is>
      </c>
      <c r="J169" s="27" t="n">
        <v>46282</v>
      </c>
      <c r="K169" s="14" t="n">
        <v>1350.92</v>
      </c>
      <c r="L169" t="inlineStr">
        <is>
          <t>Sim</t>
        </is>
      </c>
    </row>
    <row r="170">
      <c r="A170" s="24" t="n">
        <v>46266</v>
      </c>
      <c r="B170" t="inlineStr">
        <is>
          <t>Serviços e manutenção</t>
        </is>
      </c>
      <c r="C170" t="inlineStr">
        <is>
          <t>NF-e</t>
        </is>
      </c>
      <c r="D170" t="inlineStr">
        <is>
          <t>2.11 Despesa com Imóvel</t>
        </is>
      </c>
      <c r="E170" t="inlineStr">
        <is>
          <t>2.11.93 Manutenção Predial</t>
        </is>
      </c>
      <c r="F170" t="inlineStr">
        <is>
          <t>NF-e</t>
        </is>
      </c>
      <c r="G170" t="inlineStr">
        <is>
          <t>000064583</t>
        </is>
      </c>
      <c r="H170" t="inlineStr">
        <is>
          <t>ELETROPOLO ELETRICIDADE LTDA</t>
        </is>
      </c>
      <c r="I170" t="inlineStr">
        <is>
          <t>02.375.199/0005-91</t>
        </is>
      </c>
      <c r="J170" s="27" t="n">
        <v>46282</v>
      </c>
      <c r="K170" s="14" t="n">
        <v>11080.5</v>
      </c>
      <c r="L170" t="inlineStr">
        <is>
          <t>Sim</t>
        </is>
      </c>
    </row>
    <row r="171">
      <c r="A171" s="24" t="n">
        <v>46266</v>
      </c>
      <c r="B171" t="inlineStr">
        <is>
          <t>Serviços e manutenção</t>
        </is>
      </c>
      <c r="C171" t="inlineStr">
        <is>
          <t>NF-e</t>
        </is>
      </c>
      <c r="D171" t="inlineStr">
        <is>
          <t>2.11 Despesa com Imóvel</t>
        </is>
      </c>
      <c r="E171" t="inlineStr">
        <is>
          <t>2.11.93 Manutenção Predial</t>
        </is>
      </c>
      <c r="F171" t="inlineStr">
        <is>
          <t>NF-e</t>
        </is>
      </c>
      <c r="G171" t="inlineStr">
        <is>
          <t>000064730</t>
        </is>
      </c>
      <c r="H171" t="inlineStr">
        <is>
          <t>ELETROPOLO ELETRICIDADE LTDA</t>
        </is>
      </c>
      <c r="I171" t="inlineStr">
        <is>
          <t>02.375.199/0005-91</t>
        </is>
      </c>
      <c r="J171" s="27" t="n">
        <v>46283</v>
      </c>
      <c r="K171" s="14" t="n">
        <v>579</v>
      </c>
      <c r="L171" t="inlineStr">
        <is>
          <t>Sim</t>
        </is>
      </c>
    </row>
    <row r="172">
      <c r="A172" s="24" t="n">
        <v>46266</v>
      </c>
      <c r="B172" t="inlineStr">
        <is>
          <t>Serviços e manutenção</t>
        </is>
      </c>
      <c r="C172" t="inlineStr">
        <is>
          <t>NF-e</t>
        </is>
      </c>
      <c r="D172" t="inlineStr">
        <is>
          <t>2.16 Sede Vinco</t>
        </is>
      </c>
      <c r="E172" t="inlineStr">
        <is>
          <t>2.16.93 Benfeitoria</t>
        </is>
      </c>
      <c r="F172" t="inlineStr">
        <is>
          <t>NF-e</t>
        </is>
      </c>
      <c r="G172" t="inlineStr">
        <is>
          <t>000000236</t>
        </is>
      </c>
      <c r="H172" t="inlineStr">
        <is>
          <t>THIAGO FERNANDES RODRIGUES</t>
        </is>
      </c>
      <c r="I172" t="inlineStr">
        <is>
          <t>64.961.835/0001-90</t>
        </is>
      </c>
      <c r="J172" s="27" t="n">
        <v>46268</v>
      </c>
      <c r="K172" s="14" t="n">
        <v>523.5</v>
      </c>
      <c r="L172" t="inlineStr">
        <is>
          <t>Sim</t>
        </is>
      </c>
    </row>
    <row r="173">
      <c r="A173" s="24" t="n">
        <v>46266</v>
      </c>
      <c r="B173" t="inlineStr">
        <is>
          <t>Serviços e manutenção</t>
        </is>
      </c>
      <c r="C173" t="inlineStr">
        <is>
          <t>NF-e</t>
        </is>
      </c>
      <c r="D173" t="inlineStr">
        <is>
          <t>2.16 Sede Vinco</t>
        </is>
      </c>
      <c r="E173" t="inlineStr">
        <is>
          <t>2.16.93 Benfeitoria</t>
        </is>
      </c>
      <c r="F173" t="inlineStr">
        <is>
          <t>NF-e</t>
        </is>
      </c>
      <c r="G173" t="inlineStr">
        <is>
          <t>000000233</t>
        </is>
      </c>
      <c r="H173" t="inlineStr">
        <is>
          <t>THIAGO FERNANDES RODRIGUES</t>
        </is>
      </c>
      <c r="I173" t="inlineStr">
        <is>
          <t>64.961.835/0001-90</t>
        </is>
      </c>
      <c r="J173" s="27" t="n">
        <v>46268</v>
      </c>
      <c r="K173" s="14" t="n">
        <v>5429.46</v>
      </c>
      <c r="L173" t="inlineStr">
        <is>
          <t>Sim</t>
        </is>
      </c>
    </row>
    <row r="174">
      <c r="A174" s="24" t="n">
        <v>46266</v>
      </c>
      <c r="B174" t="inlineStr">
        <is>
          <t>Despesas gerais</t>
        </is>
      </c>
      <c r="C174" t="inlineStr">
        <is>
          <t>NF-e</t>
        </is>
      </c>
      <c r="D174" t="inlineStr">
        <is>
          <t>2.16 Sede Vinco</t>
        </is>
      </c>
      <c r="E174" t="inlineStr">
        <is>
          <t>2.16.99 Investimento Sede Vinco</t>
        </is>
      </c>
      <c r="F174" t="inlineStr">
        <is>
          <t>NF-e</t>
        </is>
      </c>
      <c r="G174" t="inlineStr">
        <is>
          <t>000000125</t>
        </is>
      </c>
      <c r="H174" t="inlineStr">
        <is>
          <t>COMERCIAL CASA NOVA MATERIAL DE CONSTRUCAO PB LTDA</t>
        </is>
      </c>
      <c r="I174" t="inlineStr">
        <is>
          <t>44.336.205/0001-18</t>
        </is>
      </c>
      <c r="J174" s="27" t="n">
        <v>46268</v>
      </c>
      <c r="K174" s="14" t="n">
        <v>450</v>
      </c>
      <c r="L174" t="inlineStr">
        <is>
          <t>Sim</t>
        </is>
      </c>
    </row>
    <row r="175">
      <c r="A175" s="24" t="n">
        <v>46266</v>
      </c>
      <c r="B175" t="inlineStr">
        <is>
          <t>Despesas gerais</t>
        </is>
      </c>
      <c r="C175" t="inlineStr">
        <is>
          <t>NF-e</t>
        </is>
      </c>
      <c r="D175" t="inlineStr">
        <is>
          <t>2.16 Sede Vinco</t>
        </is>
      </c>
      <c r="E175" t="inlineStr">
        <is>
          <t>2.16.99 Investimento Sede Vinco</t>
        </is>
      </c>
      <c r="F175" t="inlineStr">
        <is>
          <t>NF-e</t>
        </is>
      </c>
      <c r="G175" t="inlineStr">
        <is>
          <t>000000133</t>
        </is>
      </c>
      <c r="H175" t="inlineStr">
        <is>
          <t>COMERCIAL CASA NOVA MATERIAL DE CONSTRUCAO PB LTDA</t>
        </is>
      </c>
      <c r="I175" t="inlineStr">
        <is>
          <t>44.336.205/0001-18</t>
        </is>
      </c>
      <c r="J175" s="27" t="n">
        <v>46289</v>
      </c>
      <c r="K175" s="14" t="n">
        <v>115</v>
      </c>
      <c r="L175" t="inlineStr">
        <is>
          <t>Sim</t>
        </is>
      </c>
    </row>
    <row r="176">
      <c r="A176" s="24" t="n">
        <v>46266</v>
      </c>
      <c r="B176" t="inlineStr">
        <is>
          <t>Despesas gerais</t>
        </is>
      </c>
      <c r="C176" t="inlineStr">
        <is>
          <t>NF-e</t>
        </is>
      </c>
      <c r="D176" t="inlineStr">
        <is>
          <t>2.16 Sede Vinco</t>
        </is>
      </c>
      <c r="E176" t="inlineStr">
        <is>
          <t>2.16.99 Investimento Sede Vinco</t>
        </is>
      </c>
      <c r="F176" t="inlineStr">
        <is>
          <t>NF-e</t>
        </is>
      </c>
      <c r="G176" t="inlineStr">
        <is>
          <t>000036295</t>
        </is>
      </c>
      <c r="H176" t="inlineStr">
        <is>
          <t>VIEIRA ACO INDUSTRIA e COMERCIO LTDA</t>
        </is>
      </c>
      <c r="I176" t="inlineStr">
        <is>
          <t>12.281.632/0011-21</t>
        </is>
      </c>
      <c r="J176" s="27" t="n">
        <v>46288</v>
      </c>
      <c r="K176" s="14" t="n">
        <v>81</v>
      </c>
      <c r="L176" t="inlineStr">
        <is>
          <t>Sim</t>
        </is>
      </c>
    </row>
  </sheetData>
  <autoFilter ref="A1:M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2026-09-30T13:13:21Z</dcterms:created>
  <dcterms:modified xsi:type="dcterms:W3CDTF">2026-09-30T13:15:32Z</dcterms:modified>
</cp:coreProperties>
</file>